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13335" windowHeight="9615" tabRatio="1000" activeTab="1"/>
  </bookViews>
  <sheets>
    <sheet name="Datos Empresa" sheetId="8" r:id="rId1"/>
    <sheet name="Ctas Crédito BCR" sheetId="12" r:id="rId2"/>
    <sheet name="Ctas Crédito SINPE" sheetId="5" r:id="rId3"/>
    <sheet name="Cheques" sheetId="6" r:id="rId4"/>
    <sheet name="Expedientes Judiciales" sheetId="10" r:id="rId5"/>
  </sheets>
  <definedNames>
    <definedName name="_xlnm.Print_Area" localSheetId="1">'Ctas Crédito BCR'!$A$1:$J$80</definedName>
    <definedName name="_xlnm.Print_Area" localSheetId="2">'Ctas Crédito SINPE'!$A$1:$G$80</definedName>
    <definedName name="_xlnm.Print_Area" localSheetId="0">'Datos Empresa'!$A$1:$J$25</definedName>
    <definedName name="_xlnm.Print_Area" localSheetId="4">'Expedientes Judiciales'!$A$1:$F$80</definedName>
    <definedName name="z" localSheetId="1">#REF!</definedName>
    <definedName name="z">#REF!</definedName>
  </definedNames>
  <calcPr calcId="144525"/>
</workbook>
</file>

<file path=xl/calcChain.xml><?xml version="1.0" encoding="utf-8"?>
<calcChain xmlns="http://schemas.openxmlformats.org/spreadsheetml/2006/main">
  <c r="AP4" i="5" l="1"/>
  <c r="AP5" i="5"/>
  <c r="AP6" i="5"/>
  <c r="AP7" i="5"/>
  <c r="AP8" i="5"/>
  <c r="AP9" i="5"/>
  <c r="AP10" i="5"/>
  <c r="AP11" i="5"/>
  <c r="AP12" i="5"/>
  <c r="AP13" i="5"/>
  <c r="AP14" i="5"/>
  <c r="AP15" i="5"/>
  <c r="AP16" i="5"/>
  <c r="AP17" i="5"/>
  <c r="AP18" i="5"/>
  <c r="AP19" i="5"/>
  <c r="AP20" i="5"/>
  <c r="AP21" i="5"/>
  <c r="AP22" i="5"/>
  <c r="AP23" i="5"/>
  <c r="AP24" i="5"/>
  <c r="AP25" i="5"/>
  <c r="AP26" i="5"/>
  <c r="AP27" i="5"/>
  <c r="AP28" i="5"/>
  <c r="AP29" i="5"/>
  <c r="AP30" i="5"/>
  <c r="AP31" i="5"/>
  <c r="AP32" i="5"/>
  <c r="AP33" i="5"/>
  <c r="AP34" i="5"/>
  <c r="AP35" i="5"/>
  <c r="AP36" i="5"/>
  <c r="AP37" i="5"/>
  <c r="AP38" i="5"/>
  <c r="AP39" i="5"/>
  <c r="AP40" i="5"/>
  <c r="AP41" i="5"/>
  <c r="AP42" i="5"/>
  <c r="AP43" i="5"/>
  <c r="AP44" i="5"/>
  <c r="AP45" i="5"/>
  <c r="AP46" i="5"/>
  <c r="AP47" i="5"/>
  <c r="AP48" i="5"/>
  <c r="AP49" i="5"/>
  <c r="AP50" i="5"/>
  <c r="AP51" i="5"/>
  <c r="AP52" i="5"/>
  <c r="AP53" i="5"/>
  <c r="AP54" i="5"/>
  <c r="AP55" i="5"/>
  <c r="AP56" i="5"/>
  <c r="AP57" i="5"/>
  <c r="AP58" i="5"/>
  <c r="AP59" i="5"/>
  <c r="AP60" i="5"/>
  <c r="AP61" i="5"/>
  <c r="AP62" i="5"/>
  <c r="AP63" i="5"/>
  <c r="AP64" i="5"/>
  <c r="AP65" i="5"/>
  <c r="AP66" i="5"/>
  <c r="AP67" i="5"/>
  <c r="AP68" i="5"/>
  <c r="AP69" i="5"/>
  <c r="AP70" i="5"/>
  <c r="AP71" i="5"/>
  <c r="AP72" i="5"/>
  <c r="AP73" i="5"/>
  <c r="AP74" i="5"/>
  <c r="AP75" i="5"/>
  <c r="AP76" i="5"/>
  <c r="AP77" i="5"/>
  <c r="AP78" i="5"/>
  <c r="AP79" i="5"/>
  <c r="AP80" i="5"/>
  <c r="AP81" i="5"/>
  <c r="AP82" i="5"/>
  <c r="AP83" i="5"/>
  <c r="AP84" i="5"/>
  <c r="AP85" i="5"/>
  <c r="AP86" i="5"/>
  <c r="AP87" i="5"/>
  <c r="AP88" i="5"/>
  <c r="AP89" i="5"/>
  <c r="AP90" i="5"/>
  <c r="AP91" i="5"/>
  <c r="AP92" i="5"/>
  <c r="AP93" i="5"/>
  <c r="AP94" i="5"/>
  <c r="AP95" i="5"/>
  <c r="AP96" i="5"/>
  <c r="AP97" i="5"/>
  <c r="AP98" i="5"/>
  <c r="AP99" i="5"/>
  <c r="AP100" i="5"/>
  <c r="AP101" i="5"/>
  <c r="AP102" i="5"/>
  <c r="AP103" i="5"/>
  <c r="AP104" i="5"/>
  <c r="AP105" i="5"/>
  <c r="AP106" i="5"/>
  <c r="AP107" i="5"/>
  <c r="AP108" i="5"/>
  <c r="AP109" i="5"/>
  <c r="AP110" i="5"/>
  <c r="AP111" i="5"/>
  <c r="AP112" i="5"/>
  <c r="AP113" i="5"/>
  <c r="AP114" i="5"/>
  <c r="AP115" i="5"/>
  <c r="AP116" i="5"/>
  <c r="AP117" i="5"/>
  <c r="AP118" i="5"/>
  <c r="AP119" i="5"/>
  <c r="AP120" i="5"/>
  <c r="AP121" i="5"/>
  <c r="AP122" i="5"/>
  <c r="AP123" i="5"/>
  <c r="AP124" i="5"/>
  <c r="AP125" i="5"/>
  <c r="AP126" i="5"/>
  <c r="AP127" i="5"/>
  <c r="AP128" i="5"/>
  <c r="AP129" i="5"/>
  <c r="AP130" i="5"/>
  <c r="AP131" i="5"/>
  <c r="AP132" i="5"/>
  <c r="AP133" i="5"/>
  <c r="AP134" i="5"/>
  <c r="AP135" i="5"/>
  <c r="AP136" i="5"/>
  <c r="AP137" i="5"/>
  <c r="AP138" i="5"/>
  <c r="AP139" i="5"/>
  <c r="AP140" i="5"/>
  <c r="AP141" i="5"/>
  <c r="AP142" i="5"/>
  <c r="AP143" i="5"/>
  <c r="AP144" i="5"/>
  <c r="AP145" i="5"/>
  <c r="AP146" i="5"/>
  <c r="AP147" i="5"/>
  <c r="AP148" i="5"/>
  <c r="AP149" i="5"/>
  <c r="AP150" i="5"/>
  <c r="AP151" i="5"/>
  <c r="AP152" i="5"/>
  <c r="AP153" i="5"/>
  <c r="AP154" i="5"/>
  <c r="AP155" i="5"/>
  <c r="AP156" i="5"/>
  <c r="AP157" i="5"/>
  <c r="AP158" i="5"/>
  <c r="AP159" i="5"/>
  <c r="AP160" i="5"/>
  <c r="AP161" i="5"/>
  <c r="AP162" i="5"/>
  <c r="AP163" i="5"/>
  <c r="AP164" i="5"/>
  <c r="AP165" i="5"/>
  <c r="AP166" i="5"/>
  <c r="AP167" i="5"/>
  <c r="AP168" i="5"/>
  <c r="AP169" i="5"/>
  <c r="AP170" i="5"/>
  <c r="AP171" i="5"/>
  <c r="AP172" i="5"/>
  <c r="AP173" i="5"/>
  <c r="AP174" i="5"/>
  <c r="AP175" i="5"/>
  <c r="AP176" i="5"/>
  <c r="AP177" i="5"/>
  <c r="AP178" i="5"/>
  <c r="AP179" i="5"/>
  <c r="AP180" i="5"/>
  <c r="AP181" i="5"/>
  <c r="AP182" i="5"/>
  <c r="AP183" i="5"/>
  <c r="AP184" i="5"/>
  <c r="AP185" i="5"/>
  <c r="AP186" i="5"/>
  <c r="AP187" i="5"/>
  <c r="AP188" i="5"/>
  <c r="AP189" i="5"/>
  <c r="AP190" i="5"/>
  <c r="AP191" i="5"/>
  <c r="AP192" i="5"/>
  <c r="AP193" i="5"/>
  <c r="AP194" i="5"/>
  <c r="AP195" i="5"/>
  <c r="AP196" i="5"/>
  <c r="AP197" i="5"/>
  <c r="AP198" i="5"/>
  <c r="AP199" i="5"/>
  <c r="AP200" i="5"/>
  <c r="AP201" i="5"/>
  <c r="AP202" i="5"/>
  <c r="AP203" i="5"/>
  <c r="AP204" i="5"/>
  <c r="AP205" i="5"/>
  <c r="AP206" i="5"/>
  <c r="AP207" i="5"/>
  <c r="AP208" i="5"/>
  <c r="AP209" i="5"/>
  <c r="AP210" i="5"/>
  <c r="AP211" i="5"/>
  <c r="AP212" i="5"/>
  <c r="AP213" i="5"/>
  <c r="AP214" i="5"/>
  <c r="AP215" i="5"/>
  <c r="AP216" i="5"/>
  <c r="AP217" i="5"/>
  <c r="AP218" i="5"/>
  <c r="AP219" i="5"/>
  <c r="AP220" i="5"/>
  <c r="AP221" i="5"/>
  <c r="AP222" i="5"/>
  <c r="AP223" i="5"/>
  <c r="AP224" i="5"/>
  <c r="AP225" i="5"/>
  <c r="AP226" i="5"/>
  <c r="AP227" i="5"/>
  <c r="AP228" i="5"/>
  <c r="AP229" i="5"/>
  <c r="AP230" i="5"/>
  <c r="AP231" i="5"/>
  <c r="AP232" i="5"/>
  <c r="AP233" i="5"/>
  <c r="AP234" i="5"/>
  <c r="AP235" i="5"/>
  <c r="AP236" i="5"/>
  <c r="AP237" i="5"/>
  <c r="AP238" i="5"/>
  <c r="AP239" i="5"/>
  <c r="AP240" i="5"/>
  <c r="AP241" i="5"/>
  <c r="AP242" i="5"/>
  <c r="AP243" i="5"/>
  <c r="AP244" i="5"/>
  <c r="AP245" i="5"/>
  <c r="AP246" i="5"/>
  <c r="AP247" i="5"/>
  <c r="AP248" i="5"/>
  <c r="AP249" i="5"/>
  <c r="AP250" i="5"/>
  <c r="AP251" i="5"/>
  <c r="AP252" i="5"/>
  <c r="AP253" i="5"/>
  <c r="AP254" i="5"/>
  <c r="AP255" i="5"/>
  <c r="AP256" i="5"/>
  <c r="AP257" i="5"/>
  <c r="AP258" i="5"/>
  <c r="AP259" i="5"/>
  <c r="AP260" i="5"/>
  <c r="AP261" i="5"/>
  <c r="AP262" i="5"/>
  <c r="AP263" i="5"/>
  <c r="AP264" i="5"/>
  <c r="AP265" i="5"/>
  <c r="AP266" i="5"/>
  <c r="AP267" i="5"/>
  <c r="AP268" i="5"/>
  <c r="AP269" i="5"/>
  <c r="AP270" i="5"/>
  <c r="AP271" i="5"/>
  <c r="AP272" i="5"/>
  <c r="AP273" i="5"/>
  <c r="AP274" i="5"/>
  <c r="AP275" i="5"/>
  <c r="AP276" i="5"/>
  <c r="AP277" i="5"/>
  <c r="AP278" i="5"/>
  <c r="AP279" i="5"/>
  <c r="AP280" i="5"/>
  <c r="AP281" i="5"/>
  <c r="AP282" i="5"/>
  <c r="AP283" i="5"/>
  <c r="AP284" i="5"/>
  <c r="AP285" i="5"/>
  <c r="AP286" i="5"/>
  <c r="AP287" i="5"/>
  <c r="AP288" i="5"/>
  <c r="AP289" i="5"/>
  <c r="AP290" i="5"/>
  <c r="AP291" i="5"/>
  <c r="AP292" i="5"/>
  <c r="AP293" i="5"/>
  <c r="AP294" i="5"/>
  <c r="AP295" i="5"/>
  <c r="AP296" i="5"/>
  <c r="AP297" i="5"/>
  <c r="AP298" i="5"/>
  <c r="AP299" i="5"/>
  <c r="AP300" i="5"/>
  <c r="AP301" i="5"/>
  <c r="AP302" i="5"/>
  <c r="AP303" i="5"/>
  <c r="AP304" i="5"/>
  <c r="AP305" i="5"/>
  <c r="AP306" i="5"/>
  <c r="AP307" i="5"/>
  <c r="AP308" i="5"/>
  <c r="AP309" i="5"/>
  <c r="AP310" i="5"/>
  <c r="AP311" i="5"/>
  <c r="AP312" i="5"/>
  <c r="AP313" i="5"/>
  <c r="AP314" i="5"/>
  <c r="AP315" i="5"/>
  <c r="AP316" i="5"/>
  <c r="AP317" i="5"/>
  <c r="AP318" i="5"/>
  <c r="AP319" i="5"/>
  <c r="AP320" i="5"/>
  <c r="AP321" i="5"/>
  <c r="AP322" i="5"/>
  <c r="AP323" i="5"/>
  <c r="AP324" i="5"/>
  <c r="AP325" i="5"/>
  <c r="AP326" i="5"/>
  <c r="AP327" i="5"/>
  <c r="AP328" i="5"/>
  <c r="AP329" i="5"/>
  <c r="AP330" i="5"/>
  <c r="AP331" i="5"/>
  <c r="AP332" i="5"/>
  <c r="AP333" i="5"/>
  <c r="AP334" i="5"/>
  <c r="AP335" i="5"/>
  <c r="AP336" i="5"/>
  <c r="AP337" i="5"/>
  <c r="AP338" i="5"/>
  <c r="AP339" i="5"/>
  <c r="AP340" i="5"/>
  <c r="AP341" i="5"/>
  <c r="AP342" i="5"/>
  <c r="AP343" i="5"/>
  <c r="AP344" i="5"/>
  <c r="AP345" i="5"/>
  <c r="AP346" i="5"/>
  <c r="AP347" i="5"/>
  <c r="AP348" i="5"/>
  <c r="AP349" i="5"/>
  <c r="AP350" i="5"/>
  <c r="AP351" i="5"/>
  <c r="AP352" i="5"/>
  <c r="AP353" i="5"/>
  <c r="AP354" i="5"/>
  <c r="AP355" i="5"/>
  <c r="AP356" i="5"/>
  <c r="AP357" i="5"/>
  <c r="AP358" i="5"/>
  <c r="AP359" i="5"/>
  <c r="AP360" i="5"/>
  <c r="AP361" i="5"/>
  <c r="AP362" i="5"/>
  <c r="AP363" i="5"/>
  <c r="AP364" i="5"/>
  <c r="AP365" i="5"/>
  <c r="AP366" i="5"/>
  <c r="AP367" i="5"/>
  <c r="AP368" i="5"/>
  <c r="AP369" i="5"/>
  <c r="AP370" i="5"/>
  <c r="AP371" i="5"/>
  <c r="AP372" i="5"/>
  <c r="AP373" i="5"/>
  <c r="AP374" i="5"/>
  <c r="AP375" i="5"/>
  <c r="AP376" i="5"/>
  <c r="AP377" i="5"/>
  <c r="AP378" i="5"/>
  <c r="AP379" i="5"/>
  <c r="AP380" i="5"/>
  <c r="AP381" i="5"/>
  <c r="AP382" i="5"/>
  <c r="AP383" i="5"/>
  <c r="AP384" i="5"/>
  <c r="AP385" i="5"/>
  <c r="AP386" i="5"/>
  <c r="AP387" i="5"/>
  <c r="AP388" i="5"/>
  <c r="AP389" i="5"/>
  <c r="AP390" i="5"/>
  <c r="AP391" i="5"/>
  <c r="AP392" i="5"/>
  <c r="AP393" i="5"/>
  <c r="AP394" i="5"/>
  <c r="AP395" i="5"/>
  <c r="AP396" i="5"/>
  <c r="AP397" i="5"/>
  <c r="AP398" i="5"/>
  <c r="AP399" i="5"/>
  <c r="AP400" i="5"/>
  <c r="AP401" i="5"/>
  <c r="AP402" i="5"/>
  <c r="AP403" i="5"/>
  <c r="AP404" i="5"/>
  <c r="AP405" i="5"/>
  <c r="AP406" i="5"/>
  <c r="AP407" i="5"/>
  <c r="AP408" i="5"/>
  <c r="AP409" i="5"/>
  <c r="AP410" i="5"/>
  <c r="AP411" i="5"/>
  <c r="AP412" i="5"/>
  <c r="AP413" i="5"/>
  <c r="AP414" i="5"/>
  <c r="AP415" i="5"/>
  <c r="AP416" i="5"/>
  <c r="AP417" i="5"/>
  <c r="AP418" i="5"/>
  <c r="AP419" i="5"/>
  <c r="AP420" i="5"/>
  <c r="AP421" i="5"/>
  <c r="AP422" i="5"/>
  <c r="AP423" i="5"/>
  <c r="AP424" i="5"/>
  <c r="AP425" i="5"/>
  <c r="AP426" i="5"/>
  <c r="AP427" i="5"/>
  <c r="AP428" i="5"/>
  <c r="AP429" i="5"/>
  <c r="AP430" i="5"/>
  <c r="AP431" i="5"/>
  <c r="AP432" i="5"/>
  <c r="AP433" i="5"/>
  <c r="AP434" i="5"/>
  <c r="AP435" i="5"/>
  <c r="AP436" i="5"/>
  <c r="AP437" i="5"/>
  <c r="AP438" i="5"/>
  <c r="AP439" i="5"/>
  <c r="AP440" i="5"/>
  <c r="AP441" i="5"/>
  <c r="AP442" i="5"/>
  <c r="AP443" i="5"/>
  <c r="AP444" i="5"/>
  <c r="AP445" i="5"/>
  <c r="AP446" i="5"/>
  <c r="AP447" i="5"/>
  <c r="AP448" i="5"/>
  <c r="AP449" i="5"/>
  <c r="AP450" i="5"/>
  <c r="AP451" i="5"/>
  <c r="AP452" i="5"/>
  <c r="AP453" i="5"/>
  <c r="AP454" i="5"/>
  <c r="AP455" i="5"/>
  <c r="AP456" i="5"/>
  <c r="AP457" i="5"/>
  <c r="AP458" i="5"/>
  <c r="AP459" i="5"/>
  <c r="AP460" i="5"/>
  <c r="AP461" i="5"/>
  <c r="AP462" i="5"/>
  <c r="AP463" i="5"/>
  <c r="AP464" i="5"/>
  <c r="AP465" i="5"/>
  <c r="AP466" i="5"/>
  <c r="AP467" i="5"/>
  <c r="AP468" i="5"/>
  <c r="AP469" i="5"/>
  <c r="AP470" i="5"/>
  <c r="AP471" i="5"/>
  <c r="AP472" i="5"/>
  <c r="AP473" i="5"/>
  <c r="AP474" i="5"/>
  <c r="AP475" i="5"/>
  <c r="AP476" i="5"/>
  <c r="AP477" i="5"/>
  <c r="AP478" i="5"/>
  <c r="AP479" i="5"/>
  <c r="AP480" i="5"/>
  <c r="AP481" i="5"/>
  <c r="AP482" i="5"/>
  <c r="AP483" i="5"/>
  <c r="AP484" i="5"/>
  <c r="AP485" i="5"/>
  <c r="AP486" i="5"/>
  <c r="AP487" i="5"/>
  <c r="AP488" i="5"/>
  <c r="AP489" i="5"/>
  <c r="AP490" i="5"/>
  <c r="AP491" i="5"/>
  <c r="AP492" i="5"/>
  <c r="AP493" i="5"/>
  <c r="AP494" i="5"/>
  <c r="AP495" i="5"/>
  <c r="AP496" i="5"/>
  <c r="AP497" i="5"/>
  <c r="AP498" i="5"/>
  <c r="AP499" i="5"/>
  <c r="AP500" i="5"/>
  <c r="AP501" i="5"/>
  <c r="AP502" i="5"/>
  <c r="AP503" i="5"/>
  <c r="AP504" i="5"/>
  <c r="AP505" i="5"/>
  <c r="AP506" i="5"/>
  <c r="AP507" i="5"/>
  <c r="AP508" i="5"/>
  <c r="AP509" i="5"/>
  <c r="AP510" i="5"/>
  <c r="AP511" i="5"/>
  <c r="AP512" i="5"/>
  <c r="AP513" i="5"/>
  <c r="AP514" i="5"/>
  <c r="AP515" i="5"/>
  <c r="AP516" i="5"/>
  <c r="AP517" i="5"/>
  <c r="AP518" i="5"/>
  <c r="AP519" i="5"/>
  <c r="AP520" i="5"/>
  <c r="AP521" i="5"/>
  <c r="AP522" i="5"/>
  <c r="AP523" i="5"/>
  <c r="AP524" i="5"/>
  <c r="AP525" i="5"/>
  <c r="AP526" i="5"/>
  <c r="AP527" i="5"/>
  <c r="AP528" i="5"/>
  <c r="AP529" i="5"/>
  <c r="AP530" i="5"/>
  <c r="AP531" i="5"/>
  <c r="AP532" i="5"/>
  <c r="AP533" i="5"/>
  <c r="AP534" i="5"/>
  <c r="AP535" i="5"/>
  <c r="AP536" i="5"/>
  <c r="AP537" i="5"/>
  <c r="AP538" i="5"/>
  <c r="AP539" i="5"/>
  <c r="AP540" i="5"/>
  <c r="AP541" i="5"/>
  <c r="AP542" i="5"/>
  <c r="AP543" i="5"/>
  <c r="AP544" i="5"/>
  <c r="AP545" i="5"/>
  <c r="AP546" i="5"/>
  <c r="AP547" i="5"/>
  <c r="AP548" i="5"/>
  <c r="AP549" i="5"/>
  <c r="AP550" i="5"/>
  <c r="AP551" i="5"/>
  <c r="AP552" i="5"/>
  <c r="AP553" i="5"/>
  <c r="AP554" i="5"/>
  <c r="AP555" i="5"/>
  <c r="AP556" i="5"/>
  <c r="AP557" i="5"/>
  <c r="AP558" i="5"/>
  <c r="AP559" i="5"/>
  <c r="AP560" i="5"/>
  <c r="AP561" i="5"/>
  <c r="AP562" i="5"/>
  <c r="AP563" i="5"/>
  <c r="AP564" i="5"/>
  <c r="AP565" i="5"/>
  <c r="AP566" i="5"/>
  <c r="AP567" i="5"/>
  <c r="AP568" i="5"/>
  <c r="AP569" i="5"/>
  <c r="AP570" i="5"/>
  <c r="AP571" i="5"/>
  <c r="AP572" i="5"/>
  <c r="AP573" i="5"/>
  <c r="AP574" i="5"/>
  <c r="AP575" i="5"/>
  <c r="AP576" i="5"/>
  <c r="AP577" i="5"/>
  <c r="AP578" i="5"/>
  <c r="AP579" i="5"/>
  <c r="AP580" i="5"/>
  <c r="AP581" i="5"/>
  <c r="AP582" i="5"/>
  <c r="AP583" i="5"/>
  <c r="AP584" i="5"/>
  <c r="AP585" i="5"/>
  <c r="AP586" i="5"/>
  <c r="AP587" i="5"/>
  <c r="AP588" i="5"/>
  <c r="AP589" i="5"/>
  <c r="AP590" i="5"/>
  <c r="AP591" i="5"/>
  <c r="AP592" i="5"/>
  <c r="AP593" i="5"/>
  <c r="AP594" i="5"/>
  <c r="AP595" i="5"/>
  <c r="AP596" i="5"/>
  <c r="AP597" i="5"/>
  <c r="AP598" i="5"/>
  <c r="AP599" i="5"/>
  <c r="AP600" i="5"/>
  <c r="AP601" i="5"/>
  <c r="AP602" i="5"/>
  <c r="AP603" i="5"/>
  <c r="AP604" i="5"/>
  <c r="AP605" i="5"/>
  <c r="AP606" i="5"/>
  <c r="AP607" i="5"/>
  <c r="AP608" i="5"/>
  <c r="AP609" i="5"/>
  <c r="AP610" i="5"/>
  <c r="AP611" i="5"/>
  <c r="AP612" i="5"/>
  <c r="AP613" i="5"/>
  <c r="AP614" i="5"/>
  <c r="AP615" i="5"/>
  <c r="AP616" i="5"/>
  <c r="AP617" i="5"/>
  <c r="AP618" i="5"/>
  <c r="AP619" i="5"/>
  <c r="AP620" i="5"/>
  <c r="AP621" i="5"/>
  <c r="AP622" i="5"/>
  <c r="AP623" i="5"/>
  <c r="AP624" i="5"/>
  <c r="AP625" i="5"/>
  <c r="AP626" i="5"/>
  <c r="AP627" i="5"/>
  <c r="AP628" i="5"/>
  <c r="AP629" i="5"/>
  <c r="AP630" i="5"/>
  <c r="AP631" i="5"/>
  <c r="AP632" i="5"/>
  <c r="AP633" i="5"/>
  <c r="AP634" i="5"/>
  <c r="AP635" i="5"/>
  <c r="AP636" i="5"/>
  <c r="AP637" i="5"/>
  <c r="AP638" i="5"/>
  <c r="AP639" i="5"/>
  <c r="AP640" i="5"/>
  <c r="AP641" i="5"/>
  <c r="AP642" i="5"/>
  <c r="AP643" i="5"/>
  <c r="AP644" i="5"/>
  <c r="AP645" i="5"/>
  <c r="AP646" i="5"/>
  <c r="AP647" i="5"/>
  <c r="AP648" i="5"/>
  <c r="AP649" i="5"/>
  <c r="AP650" i="5"/>
  <c r="AP651" i="5"/>
  <c r="AP652" i="5"/>
  <c r="AP653" i="5"/>
  <c r="AP654" i="5"/>
  <c r="AP655" i="5"/>
  <c r="AP656" i="5"/>
  <c r="AP657" i="5"/>
  <c r="AP658" i="5"/>
  <c r="AP659" i="5"/>
  <c r="AP660" i="5"/>
  <c r="AP661" i="5"/>
  <c r="AP662" i="5"/>
  <c r="AP663" i="5"/>
  <c r="AP664" i="5"/>
  <c r="AP665" i="5"/>
  <c r="AP666" i="5"/>
  <c r="AP667" i="5"/>
  <c r="AP668" i="5"/>
  <c r="AP669" i="5"/>
  <c r="AP670" i="5"/>
  <c r="AP671" i="5"/>
  <c r="AP672" i="5"/>
  <c r="AP673" i="5"/>
  <c r="AP674" i="5"/>
  <c r="AP675" i="5"/>
  <c r="AP676" i="5"/>
  <c r="AP677" i="5"/>
  <c r="AP678" i="5"/>
  <c r="AP679" i="5"/>
  <c r="AP680" i="5"/>
  <c r="AP681" i="5"/>
  <c r="AP682" i="5"/>
  <c r="AP683" i="5"/>
  <c r="AP684" i="5"/>
  <c r="AP685" i="5"/>
  <c r="AP686" i="5"/>
  <c r="AP687" i="5"/>
  <c r="AP688" i="5"/>
  <c r="AP689" i="5"/>
  <c r="AP690" i="5"/>
  <c r="AP691" i="5"/>
  <c r="AP692" i="5"/>
  <c r="AP693" i="5"/>
  <c r="AP694" i="5"/>
  <c r="AP695" i="5"/>
  <c r="AP696" i="5"/>
  <c r="AP697" i="5"/>
  <c r="AP698" i="5"/>
  <c r="AP699" i="5"/>
  <c r="AP700" i="5"/>
  <c r="AP701" i="5"/>
  <c r="AP702" i="5"/>
  <c r="AP703" i="5"/>
  <c r="AP704" i="5"/>
  <c r="AP705" i="5"/>
  <c r="AP706" i="5"/>
  <c r="AP707" i="5"/>
  <c r="AP708" i="5"/>
  <c r="AP709" i="5"/>
  <c r="AP710" i="5"/>
  <c r="AP711" i="5"/>
  <c r="AP712" i="5"/>
  <c r="AP713" i="5"/>
  <c r="AP714" i="5"/>
  <c r="AP715" i="5"/>
  <c r="AP716" i="5"/>
  <c r="AP717" i="5"/>
  <c r="AP718" i="5"/>
  <c r="AP719" i="5"/>
  <c r="AP720" i="5"/>
  <c r="AP721" i="5"/>
  <c r="AP722" i="5"/>
  <c r="AP723" i="5"/>
  <c r="AP724" i="5"/>
  <c r="AP725" i="5"/>
  <c r="AP726" i="5"/>
  <c r="AP727" i="5"/>
  <c r="AP728" i="5"/>
  <c r="AP729" i="5"/>
  <c r="AP730" i="5"/>
  <c r="AP731" i="5"/>
  <c r="AP732" i="5"/>
  <c r="AP733" i="5"/>
  <c r="AP734" i="5"/>
  <c r="AP735" i="5"/>
  <c r="AP736" i="5"/>
  <c r="AP737" i="5"/>
  <c r="AP738" i="5"/>
  <c r="AP739" i="5"/>
  <c r="AP740" i="5"/>
  <c r="AP741" i="5"/>
  <c r="AP742" i="5"/>
  <c r="AP743" i="5"/>
  <c r="AP744" i="5"/>
  <c r="AP745" i="5"/>
  <c r="AP746" i="5"/>
  <c r="AP747" i="5"/>
  <c r="AP748" i="5"/>
  <c r="AP749" i="5"/>
  <c r="AP750" i="5"/>
  <c r="AP751" i="5"/>
  <c r="AP752" i="5"/>
  <c r="AP753" i="5"/>
  <c r="AP754" i="5"/>
  <c r="AP755" i="5"/>
  <c r="AP756" i="5"/>
  <c r="AP757" i="5"/>
  <c r="AP758" i="5"/>
  <c r="AP759" i="5"/>
  <c r="AP760" i="5"/>
  <c r="AP761" i="5"/>
  <c r="AP762" i="5"/>
  <c r="AP763" i="5"/>
  <c r="AP764" i="5"/>
  <c r="AP765" i="5"/>
  <c r="AP766" i="5"/>
  <c r="AP767" i="5"/>
  <c r="AP768" i="5"/>
  <c r="AP769" i="5"/>
  <c r="AP770" i="5"/>
  <c r="AP771" i="5"/>
  <c r="AP772" i="5"/>
  <c r="AP773" i="5"/>
  <c r="AP774" i="5"/>
  <c r="AP775" i="5"/>
  <c r="AP776" i="5"/>
  <c r="AP777" i="5"/>
  <c r="AP778" i="5"/>
  <c r="AP779" i="5"/>
  <c r="AP780" i="5"/>
  <c r="AP781" i="5"/>
  <c r="AP782" i="5"/>
  <c r="AP783" i="5"/>
  <c r="AP784" i="5"/>
  <c r="AP785" i="5"/>
  <c r="AP786" i="5"/>
  <c r="AP787" i="5"/>
  <c r="AP788" i="5"/>
  <c r="AP789" i="5"/>
  <c r="AP790" i="5"/>
  <c r="AP791" i="5"/>
  <c r="AP792" i="5"/>
  <c r="AP793" i="5"/>
  <c r="AP794" i="5"/>
  <c r="AP795" i="5"/>
  <c r="AP796" i="5"/>
  <c r="AP797" i="5"/>
  <c r="AP798" i="5"/>
  <c r="AP799" i="5"/>
  <c r="AP800" i="5"/>
  <c r="AP801" i="5"/>
  <c r="AP802" i="5"/>
  <c r="AP803" i="5"/>
  <c r="AP804" i="5"/>
  <c r="AP805" i="5"/>
  <c r="AP806" i="5"/>
  <c r="AP807" i="5"/>
  <c r="AP808" i="5"/>
  <c r="AP809" i="5"/>
  <c r="AP810" i="5"/>
  <c r="AP811" i="5"/>
  <c r="AP812" i="5"/>
  <c r="AP813" i="5"/>
  <c r="AP814" i="5"/>
  <c r="AP815" i="5"/>
  <c r="AP816" i="5"/>
  <c r="AP817" i="5"/>
  <c r="AP818" i="5"/>
  <c r="AP819" i="5"/>
  <c r="AP820" i="5"/>
  <c r="AP821" i="5"/>
  <c r="AP822" i="5"/>
  <c r="AP823" i="5"/>
  <c r="AP824" i="5"/>
  <c r="AP825" i="5"/>
  <c r="AP826" i="5"/>
  <c r="AP827" i="5"/>
  <c r="AP828" i="5"/>
  <c r="AP829" i="5"/>
  <c r="AP830" i="5"/>
  <c r="AP831" i="5"/>
  <c r="AP832" i="5"/>
  <c r="AP833" i="5"/>
  <c r="AP834" i="5"/>
  <c r="AP835" i="5"/>
  <c r="AP836" i="5"/>
  <c r="AP837" i="5"/>
  <c r="AP838" i="5"/>
  <c r="AP839" i="5"/>
  <c r="AP840" i="5"/>
  <c r="AP841" i="5"/>
  <c r="AP842" i="5"/>
  <c r="AP843" i="5"/>
  <c r="AP844" i="5"/>
  <c r="AP845" i="5"/>
  <c r="AP846" i="5"/>
  <c r="AP847" i="5"/>
  <c r="AP848" i="5"/>
  <c r="AP849" i="5"/>
  <c r="AP850" i="5"/>
  <c r="AP851" i="5"/>
  <c r="AP852" i="5"/>
  <c r="AP853" i="5"/>
  <c r="AP854" i="5"/>
  <c r="AP855" i="5"/>
  <c r="AP856" i="5"/>
  <c r="AP857" i="5"/>
  <c r="AP858" i="5"/>
  <c r="AP859" i="5"/>
  <c r="AP860" i="5"/>
  <c r="AP861" i="5"/>
  <c r="AP862" i="5"/>
  <c r="AP863" i="5"/>
  <c r="AP864" i="5"/>
  <c r="AP865" i="5"/>
  <c r="AP866" i="5"/>
  <c r="AP867" i="5"/>
  <c r="AP868" i="5"/>
  <c r="AP869" i="5"/>
  <c r="AP870" i="5"/>
  <c r="AP871" i="5"/>
  <c r="AP872" i="5"/>
  <c r="AP873" i="5"/>
  <c r="AP874" i="5"/>
  <c r="AP875" i="5"/>
  <c r="AP876" i="5"/>
  <c r="AP877" i="5"/>
  <c r="AP878" i="5"/>
  <c r="AP879" i="5"/>
  <c r="AP880" i="5"/>
  <c r="AP881" i="5"/>
  <c r="AP882" i="5"/>
  <c r="AP883" i="5"/>
  <c r="AP884" i="5"/>
  <c r="AP885" i="5"/>
  <c r="AP886" i="5"/>
  <c r="AP887" i="5"/>
  <c r="AP888" i="5"/>
  <c r="AP889" i="5"/>
  <c r="AP890" i="5"/>
  <c r="AP891" i="5"/>
  <c r="AP892" i="5"/>
  <c r="AP893" i="5"/>
  <c r="AP894" i="5"/>
  <c r="AP895" i="5"/>
  <c r="AP896" i="5"/>
  <c r="AP897" i="5"/>
  <c r="AP898" i="5"/>
  <c r="AP899" i="5"/>
  <c r="AP900" i="5"/>
  <c r="AP901" i="5"/>
  <c r="AP902" i="5"/>
  <c r="AP903" i="5"/>
  <c r="AP904" i="5"/>
  <c r="AP905" i="5"/>
  <c r="AP906" i="5"/>
  <c r="AP907" i="5"/>
  <c r="AP908" i="5"/>
  <c r="AP909" i="5"/>
  <c r="AP910" i="5"/>
  <c r="AP911" i="5"/>
  <c r="AP912" i="5"/>
  <c r="AP913" i="5"/>
  <c r="AP914" i="5"/>
  <c r="AP915" i="5"/>
  <c r="AP916" i="5"/>
  <c r="AP917" i="5"/>
  <c r="AP918" i="5"/>
  <c r="AP919" i="5"/>
  <c r="AP920" i="5"/>
  <c r="AP921" i="5"/>
  <c r="AP922" i="5"/>
  <c r="AP923" i="5"/>
  <c r="AP924" i="5"/>
  <c r="AP925" i="5"/>
  <c r="AP926" i="5"/>
  <c r="AP927" i="5"/>
  <c r="AP928" i="5"/>
  <c r="AP929" i="5"/>
  <c r="AP930" i="5"/>
  <c r="AP931" i="5"/>
  <c r="AP932" i="5"/>
  <c r="AP933" i="5"/>
  <c r="AP934" i="5"/>
  <c r="AP935" i="5"/>
  <c r="AP936" i="5"/>
  <c r="AP937" i="5"/>
  <c r="AP938" i="5"/>
  <c r="AP939" i="5"/>
  <c r="AP940" i="5"/>
  <c r="AP941" i="5"/>
  <c r="AP942" i="5"/>
  <c r="AP943" i="5"/>
  <c r="AP944" i="5"/>
  <c r="AP945" i="5"/>
  <c r="AP946" i="5"/>
  <c r="AP947" i="5"/>
  <c r="AP948" i="5"/>
  <c r="AP949" i="5"/>
  <c r="AP950" i="5"/>
  <c r="AP951" i="5"/>
  <c r="AP952" i="5"/>
  <c r="AP953" i="5"/>
  <c r="AP954" i="5"/>
  <c r="AP955" i="5"/>
  <c r="AP956" i="5"/>
  <c r="AP957" i="5"/>
  <c r="AP958" i="5"/>
  <c r="AP959" i="5"/>
  <c r="AP960" i="5"/>
  <c r="AP961" i="5"/>
  <c r="AP962" i="5"/>
  <c r="AP963" i="5"/>
  <c r="AP964" i="5"/>
  <c r="AP965" i="5"/>
  <c r="AP966" i="5"/>
  <c r="AP967" i="5"/>
  <c r="AP968" i="5"/>
  <c r="AP969" i="5"/>
  <c r="AP970" i="5"/>
  <c r="AP971" i="5"/>
  <c r="AP972" i="5"/>
  <c r="AP973" i="5"/>
  <c r="AP974" i="5"/>
  <c r="AP975" i="5"/>
  <c r="AP976" i="5"/>
  <c r="AP977" i="5"/>
  <c r="AP978" i="5"/>
  <c r="AP979" i="5"/>
  <c r="AP980" i="5"/>
  <c r="AP981" i="5"/>
  <c r="AP982" i="5"/>
  <c r="AP983" i="5"/>
  <c r="AP984" i="5"/>
  <c r="AP985" i="5"/>
  <c r="AP986" i="5"/>
  <c r="AP987" i="5"/>
  <c r="AP988" i="5"/>
  <c r="AP989" i="5"/>
  <c r="AP990" i="5"/>
  <c r="AP991" i="5"/>
  <c r="AP992" i="5"/>
  <c r="AP993" i="5"/>
  <c r="AP994" i="5"/>
  <c r="AP995" i="5"/>
  <c r="AP996" i="5"/>
  <c r="AP997" i="5"/>
  <c r="AP998" i="5"/>
  <c r="AP999" i="5"/>
  <c r="AP1000" i="5"/>
  <c r="AT18" i="12" l="1"/>
  <c r="AT19" i="12"/>
  <c r="AT20" i="12"/>
  <c r="AT21" i="12"/>
  <c r="AQ22" i="12"/>
  <c r="AS22" i="12" s="1"/>
  <c r="AR22" i="12"/>
  <c r="AT22" i="12"/>
  <c r="AT23" i="12"/>
  <c r="AT24" i="12"/>
  <c r="AT25" i="12"/>
  <c r="AT26" i="12"/>
  <c r="AQ27" i="12"/>
  <c r="AT27" i="12"/>
  <c r="AT28" i="12"/>
  <c r="AT29" i="12"/>
  <c r="AT30" i="12"/>
  <c r="AT31" i="12"/>
  <c r="AT32" i="12"/>
  <c r="AT33" i="12"/>
  <c r="AT34" i="12"/>
  <c r="AQ35" i="12"/>
  <c r="AR35" i="12"/>
  <c r="AT35" i="12"/>
  <c r="AT36" i="12"/>
  <c r="AT37" i="12"/>
  <c r="AT38" i="12"/>
  <c r="AT39" i="12"/>
  <c r="AQ40" i="12"/>
  <c r="AR40" i="12" s="1"/>
  <c r="AT40" i="12"/>
  <c r="AT41" i="12"/>
  <c r="AT42" i="12"/>
  <c r="AT43" i="12"/>
  <c r="AT44" i="12"/>
  <c r="AT45" i="12"/>
  <c r="AT46" i="12"/>
  <c r="AT47" i="12"/>
  <c r="AT48" i="12"/>
  <c r="AT49" i="12"/>
  <c r="AT50" i="12"/>
  <c r="AP51" i="12"/>
  <c r="AQ51" i="12"/>
  <c r="AR51" i="12"/>
  <c r="AS51" i="12"/>
  <c r="AT51" i="12"/>
  <c r="AP52" i="12"/>
  <c r="AQ52" i="12"/>
  <c r="AR52" i="12"/>
  <c r="AS52" i="12"/>
  <c r="AT52" i="12"/>
  <c r="AP53" i="12"/>
  <c r="AQ53" i="12"/>
  <c r="AR53" i="12"/>
  <c r="AS53" i="12"/>
  <c r="AT53" i="12"/>
  <c r="AP54" i="12"/>
  <c r="AQ54" i="12"/>
  <c r="AR54" i="12"/>
  <c r="AS54" i="12"/>
  <c r="AT54" i="12"/>
  <c r="AP55" i="12"/>
  <c r="AQ55" i="12"/>
  <c r="AR55" i="12"/>
  <c r="AS55" i="12"/>
  <c r="AT55" i="12"/>
  <c r="AP56" i="12"/>
  <c r="AQ56" i="12"/>
  <c r="AR56" i="12"/>
  <c r="AS56" i="12"/>
  <c r="AT56" i="12"/>
  <c r="AP57" i="12"/>
  <c r="AQ57" i="12"/>
  <c r="AR57" i="12"/>
  <c r="AS57" i="12"/>
  <c r="AT57" i="12"/>
  <c r="AP58" i="12"/>
  <c r="AQ58" i="12"/>
  <c r="AR58" i="12"/>
  <c r="AS58" i="12"/>
  <c r="AT58" i="12"/>
  <c r="AP59" i="12"/>
  <c r="AQ59" i="12"/>
  <c r="AR59" i="12"/>
  <c r="AS59" i="12"/>
  <c r="AT59" i="12"/>
  <c r="AP60" i="12"/>
  <c r="AQ60" i="12"/>
  <c r="AR60" i="12"/>
  <c r="AS60" i="12"/>
  <c r="AT60" i="12"/>
  <c r="AP61" i="12"/>
  <c r="AQ61" i="12"/>
  <c r="AR61" i="12"/>
  <c r="AS61" i="12"/>
  <c r="AT61" i="12"/>
  <c r="AP62" i="12"/>
  <c r="AQ62" i="12"/>
  <c r="AR62" i="12"/>
  <c r="AS62" i="12"/>
  <c r="AT62" i="12"/>
  <c r="AP63" i="12"/>
  <c r="AQ63" i="12"/>
  <c r="AR63" i="12"/>
  <c r="AS63" i="12"/>
  <c r="AT63" i="12"/>
  <c r="AP64" i="12"/>
  <c r="AQ64" i="12"/>
  <c r="AR64" i="12"/>
  <c r="AS64" i="12"/>
  <c r="AT64" i="12"/>
  <c r="AP65" i="12"/>
  <c r="AQ65" i="12"/>
  <c r="AR65" i="12"/>
  <c r="AS65" i="12"/>
  <c r="AT65" i="12"/>
  <c r="AP66" i="12"/>
  <c r="AQ66" i="12"/>
  <c r="AR66" i="12"/>
  <c r="AS66" i="12"/>
  <c r="AT66" i="12"/>
  <c r="AP67" i="12"/>
  <c r="AQ67" i="12"/>
  <c r="AR67" i="12"/>
  <c r="AS67" i="12"/>
  <c r="AT67" i="12"/>
  <c r="AP68" i="12"/>
  <c r="AQ68" i="12"/>
  <c r="AR68" i="12"/>
  <c r="AS68" i="12"/>
  <c r="AT68" i="12"/>
  <c r="AP69" i="12"/>
  <c r="AQ69" i="12"/>
  <c r="AR69" i="12"/>
  <c r="AS69" i="12"/>
  <c r="AT69" i="12"/>
  <c r="AP70" i="12"/>
  <c r="AQ70" i="12"/>
  <c r="AR70" i="12"/>
  <c r="AS70" i="12"/>
  <c r="AT70" i="12"/>
  <c r="AP71" i="12"/>
  <c r="AQ71" i="12"/>
  <c r="AR71" i="12"/>
  <c r="AS71" i="12"/>
  <c r="AT71" i="12"/>
  <c r="AP72" i="12"/>
  <c r="AQ72" i="12"/>
  <c r="AR72" i="12"/>
  <c r="AS72" i="12"/>
  <c r="AT72" i="12"/>
  <c r="AP73" i="12"/>
  <c r="AQ73" i="12"/>
  <c r="AR73" i="12"/>
  <c r="AS73" i="12"/>
  <c r="AT73" i="12"/>
  <c r="AP74" i="12"/>
  <c r="AQ74" i="12"/>
  <c r="AR74" i="12"/>
  <c r="AS74" i="12"/>
  <c r="AT74" i="12"/>
  <c r="AP75" i="12"/>
  <c r="AQ75" i="12"/>
  <c r="AR75" i="12"/>
  <c r="AS75" i="12"/>
  <c r="AT75" i="12"/>
  <c r="AP76" i="12"/>
  <c r="AQ76" i="12"/>
  <c r="AR76" i="12"/>
  <c r="AS76" i="12"/>
  <c r="AT76" i="12"/>
  <c r="AP77" i="12"/>
  <c r="AQ77" i="12"/>
  <c r="AR77" i="12"/>
  <c r="AS77" i="12"/>
  <c r="AT77" i="12"/>
  <c r="AP78" i="12"/>
  <c r="AQ78" i="12"/>
  <c r="AR78" i="12"/>
  <c r="AS78" i="12"/>
  <c r="AT78" i="12"/>
  <c r="AP79" i="12"/>
  <c r="AQ79" i="12"/>
  <c r="AR79" i="12"/>
  <c r="AS79" i="12"/>
  <c r="AT79" i="12"/>
  <c r="AP80" i="12"/>
  <c r="AQ80" i="12"/>
  <c r="AR80" i="12"/>
  <c r="AS80" i="12"/>
  <c r="AT80" i="12"/>
  <c r="AP81" i="12"/>
  <c r="AQ81" i="12"/>
  <c r="AR81" i="12"/>
  <c r="AS81" i="12"/>
  <c r="AT81" i="12"/>
  <c r="AP82" i="12"/>
  <c r="AQ82" i="12"/>
  <c r="AR82" i="12"/>
  <c r="AS82" i="12"/>
  <c r="AT82" i="12"/>
  <c r="AP83" i="12"/>
  <c r="AQ83" i="12"/>
  <c r="AR83" i="12"/>
  <c r="AS83" i="12"/>
  <c r="AT83" i="12"/>
  <c r="AP84" i="12"/>
  <c r="AQ84" i="12"/>
  <c r="AR84" i="12"/>
  <c r="AS84" i="12"/>
  <c r="AT84" i="12"/>
  <c r="AP85" i="12"/>
  <c r="AQ85" i="12"/>
  <c r="AR85" i="12"/>
  <c r="AS85" i="12"/>
  <c r="AT85" i="12"/>
  <c r="AP86" i="12"/>
  <c r="AQ86" i="12"/>
  <c r="AR86" i="12"/>
  <c r="AS86" i="12"/>
  <c r="AT86" i="12"/>
  <c r="AP87" i="12"/>
  <c r="AQ87" i="12"/>
  <c r="AR87" i="12"/>
  <c r="AS87" i="12"/>
  <c r="AT87" i="12"/>
  <c r="AP88" i="12"/>
  <c r="AQ88" i="12"/>
  <c r="AR88" i="12"/>
  <c r="AS88" i="12"/>
  <c r="AT88" i="12"/>
  <c r="AP89" i="12"/>
  <c r="AQ89" i="12"/>
  <c r="AR89" i="12"/>
  <c r="AS89" i="12"/>
  <c r="AT89" i="12"/>
  <c r="AP90" i="12"/>
  <c r="AQ90" i="12"/>
  <c r="AR90" i="12"/>
  <c r="AS90" i="12"/>
  <c r="AT90" i="12"/>
  <c r="AP91" i="12"/>
  <c r="AQ91" i="12"/>
  <c r="AR91" i="12"/>
  <c r="AS91" i="12"/>
  <c r="AT91" i="12"/>
  <c r="AP92" i="12"/>
  <c r="AQ92" i="12"/>
  <c r="AR92" i="12"/>
  <c r="AS92" i="12"/>
  <c r="AT92" i="12"/>
  <c r="AP93" i="12"/>
  <c r="AQ93" i="12"/>
  <c r="AR93" i="12"/>
  <c r="AS93" i="12"/>
  <c r="AT93" i="12"/>
  <c r="AP94" i="12"/>
  <c r="AQ94" i="12"/>
  <c r="AR94" i="12"/>
  <c r="AS94" i="12"/>
  <c r="AT94" i="12"/>
  <c r="AP95" i="12"/>
  <c r="AQ95" i="12"/>
  <c r="AR95" i="12"/>
  <c r="AS95" i="12"/>
  <c r="AT95" i="12"/>
  <c r="AP96" i="12"/>
  <c r="AQ96" i="12"/>
  <c r="AR96" i="12"/>
  <c r="AS96" i="12"/>
  <c r="AT96" i="12"/>
  <c r="AP97" i="12"/>
  <c r="AQ97" i="12"/>
  <c r="AR97" i="12"/>
  <c r="AS97" i="12"/>
  <c r="AT97" i="12"/>
  <c r="AP98" i="12"/>
  <c r="AQ98" i="12"/>
  <c r="AR98" i="12"/>
  <c r="AS98" i="12"/>
  <c r="AT98" i="12"/>
  <c r="AP99" i="12"/>
  <c r="AQ99" i="12"/>
  <c r="AR99" i="12"/>
  <c r="AS99" i="12"/>
  <c r="AT99" i="12"/>
  <c r="AP100" i="12"/>
  <c r="AQ100" i="12"/>
  <c r="AR100" i="12"/>
  <c r="AS100" i="12"/>
  <c r="AT100" i="12"/>
  <c r="AP101" i="12"/>
  <c r="AQ101" i="12"/>
  <c r="AR101" i="12"/>
  <c r="AS101" i="12"/>
  <c r="AT101" i="12"/>
  <c r="AP102" i="12"/>
  <c r="AQ102" i="12"/>
  <c r="AR102" i="12"/>
  <c r="AS102" i="12"/>
  <c r="AT102" i="12"/>
  <c r="AP103" i="12"/>
  <c r="AQ103" i="12"/>
  <c r="AR103" i="12"/>
  <c r="AS103" i="12"/>
  <c r="AT103" i="12"/>
  <c r="AP104" i="12"/>
  <c r="AQ104" i="12"/>
  <c r="AR104" i="12"/>
  <c r="AS104" i="12"/>
  <c r="AT104" i="12"/>
  <c r="AP105" i="12"/>
  <c r="AQ105" i="12"/>
  <c r="AR105" i="12"/>
  <c r="AS105" i="12"/>
  <c r="AT105" i="12"/>
  <c r="AP106" i="12"/>
  <c r="AQ106" i="12"/>
  <c r="AR106" i="12"/>
  <c r="AS106" i="12"/>
  <c r="AT106" i="12"/>
  <c r="AP107" i="12"/>
  <c r="AQ107" i="12"/>
  <c r="AR107" i="12"/>
  <c r="AS107" i="12"/>
  <c r="AT107" i="12"/>
  <c r="AP108" i="12"/>
  <c r="AQ108" i="12"/>
  <c r="AR108" i="12"/>
  <c r="AS108" i="12"/>
  <c r="AT108" i="12"/>
  <c r="AP109" i="12"/>
  <c r="AQ109" i="12"/>
  <c r="AR109" i="12"/>
  <c r="AS109" i="12"/>
  <c r="AT109" i="12"/>
  <c r="AP110" i="12"/>
  <c r="AQ110" i="12"/>
  <c r="AR110" i="12"/>
  <c r="AS110" i="12"/>
  <c r="AT110" i="12"/>
  <c r="AP111" i="12"/>
  <c r="AQ111" i="12"/>
  <c r="AR111" i="12"/>
  <c r="AS111" i="12"/>
  <c r="AT111" i="12"/>
  <c r="AP112" i="12"/>
  <c r="AQ112" i="12"/>
  <c r="AR112" i="12"/>
  <c r="AS112" i="12"/>
  <c r="AT112" i="12"/>
  <c r="AP113" i="12"/>
  <c r="AQ113" i="12"/>
  <c r="AR113" i="12"/>
  <c r="AS113" i="12"/>
  <c r="AT113" i="12"/>
  <c r="AP114" i="12"/>
  <c r="AQ114" i="12"/>
  <c r="AR114" i="12"/>
  <c r="AS114" i="12"/>
  <c r="AT114" i="12"/>
  <c r="AP115" i="12"/>
  <c r="AQ115" i="12"/>
  <c r="AR115" i="12"/>
  <c r="AS115" i="12"/>
  <c r="AT115" i="12"/>
  <c r="AP116" i="12"/>
  <c r="AQ116" i="12"/>
  <c r="AR116" i="12"/>
  <c r="AS116" i="12"/>
  <c r="AT116" i="12"/>
  <c r="AP117" i="12"/>
  <c r="AQ117" i="12"/>
  <c r="AR117" i="12"/>
  <c r="AS117" i="12"/>
  <c r="AT117" i="12"/>
  <c r="AP118" i="12"/>
  <c r="AQ118" i="12"/>
  <c r="AR118" i="12"/>
  <c r="AS118" i="12"/>
  <c r="AT118" i="12"/>
  <c r="AP119" i="12"/>
  <c r="AQ119" i="12"/>
  <c r="AR119" i="12"/>
  <c r="AS119" i="12"/>
  <c r="AT119" i="12"/>
  <c r="AP120" i="12"/>
  <c r="AQ120" i="12"/>
  <c r="AR120" i="12"/>
  <c r="AS120" i="12"/>
  <c r="AT120" i="12"/>
  <c r="AP121" i="12"/>
  <c r="AQ121" i="12"/>
  <c r="AR121" i="12"/>
  <c r="AS121" i="12"/>
  <c r="AT121" i="12"/>
  <c r="AP122" i="12"/>
  <c r="AQ122" i="12"/>
  <c r="AR122" i="12"/>
  <c r="AS122" i="12"/>
  <c r="AT122" i="12"/>
  <c r="AP123" i="12"/>
  <c r="AQ123" i="12"/>
  <c r="AR123" i="12"/>
  <c r="AS123" i="12"/>
  <c r="AT123" i="12"/>
  <c r="AP124" i="12"/>
  <c r="AQ124" i="12"/>
  <c r="AR124" i="12"/>
  <c r="AS124" i="12"/>
  <c r="AT124" i="12"/>
  <c r="AP125" i="12"/>
  <c r="AQ125" i="12"/>
  <c r="AR125" i="12"/>
  <c r="AS125" i="12"/>
  <c r="AT125" i="12"/>
  <c r="AP126" i="12"/>
  <c r="AQ126" i="12"/>
  <c r="AR126" i="12"/>
  <c r="AS126" i="12"/>
  <c r="AT126" i="12"/>
  <c r="AP127" i="12"/>
  <c r="AQ127" i="12"/>
  <c r="AR127" i="12"/>
  <c r="AS127" i="12"/>
  <c r="AT127" i="12"/>
  <c r="AP128" i="12"/>
  <c r="AQ128" i="12"/>
  <c r="AR128" i="12"/>
  <c r="AS128" i="12"/>
  <c r="AT128" i="12"/>
  <c r="AP129" i="12"/>
  <c r="AQ129" i="12"/>
  <c r="AR129" i="12"/>
  <c r="AS129" i="12"/>
  <c r="AT129" i="12"/>
  <c r="AP130" i="12"/>
  <c r="AQ130" i="12"/>
  <c r="AR130" i="12"/>
  <c r="AS130" i="12"/>
  <c r="AT130" i="12"/>
  <c r="AP131" i="12"/>
  <c r="AQ131" i="12"/>
  <c r="AR131" i="12"/>
  <c r="AS131" i="12"/>
  <c r="AT131" i="12"/>
  <c r="AP132" i="12"/>
  <c r="AQ132" i="12"/>
  <c r="AR132" i="12"/>
  <c r="AS132" i="12"/>
  <c r="AT132" i="12"/>
  <c r="AP133" i="12"/>
  <c r="AQ133" i="12"/>
  <c r="AR133" i="12"/>
  <c r="AS133" i="12"/>
  <c r="AT133" i="12"/>
  <c r="AP134" i="12"/>
  <c r="AQ134" i="12"/>
  <c r="AR134" i="12"/>
  <c r="AS134" i="12"/>
  <c r="AT134" i="12"/>
  <c r="AP135" i="12"/>
  <c r="AQ135" i="12"/>
  <c r="AR135" i="12"/>
  <c r="AS135" i="12"/>
  <c r="AT135" i="12"/>
  <c r="AP136" i="12"/>
  <c r="AQ136" i="12"/>
  <c r="AR136" i="12"/>
  <c r="AS136" i="12"/>
  <c r="AT136" i="12"/>
  <c r="AP137" i="12"/>
  <c r="AQ137" i="12"/>
  <c r="AR137" i="12"/>
  <c r="AS137" i="12"/>
  <c r="AT137" i="12"/>
  <c r="AP138" i="12"/>
  <c r="AQ138" i="12"/>
  <c r="AR138" i="12"/>
  <c r="AS138" i="12"/>
  <c r="AT138" i="12"/>
  <c r="AP139" i="12"/>
  <c r="AQ139" i="12"/>
  <c r="AR139" i="12"/>
  <c r="AS139" i="12"/>
  <c r="AT139" i="12"/>
  <c r="AP140" i="12"/>
  <c r="AQ140" i="12"/>
  <c r="AR140" i="12"/>
  <c r="AS140" i="12"/>
  <c r="AT140" i="12"/>
  <c r="AP141" i="12"/>
  <c r="AQ141" i="12"/>
  <c r="AR141" i="12"/>
  <c r="AS141" i="12"/>
  <c r="AT141" i="12"/>
  <c r="AP142" i="12"/>
  <c r="AQ142" i="12"/>
  <c r="AR142" i="12"/>
  <c r="AS142" i="12"/>
  <c r="AT142" i="12"/>
  <c r="AP143" i="12"/>
  <c r="AQ143" i="12"/>
  <c r="AR143" i="12"/>
  <c r="AS143" i="12"/>
  <c r="AT143" i="12"/>
  <c r="AP144" i="12"/>
  <c r="AQ144" i="12"/>
  <c r="AR144" i="12"/>
  <c r="AS144" i="12"/>
  <c r="AT144" i="12"/>
  <c r="AP145" i="12"/>
  <c r="AQ145" i="12"/>
  <c r="AR145" i="12"/>
  <c r="AS145" i="12"/>
  <c r="AT145" i="12"/>
  <c r="AP146" i="12"/>
  <c r="AQ146" i="12"/>
  <c r="AR146" i="12"/>
  <c r="AS146" i="12"/>
  <c r="AT146" i="12"/>
  <c r="AP147" i="12"/>
  <c r="AQ147" i="12"/>
  <c r="AR147" i="12"/>
  <c r="AS147" i="12"/>
  <c r="AT147" i="12"/>
  <c r="AP148" i="12"/>
  <c r="AQ148" i="12"/>
  <c r="AR148" i="12"/>
  <c r="AS148" i="12"/>
  <c r="AT148" i="12"/>
  <c r="AP149" i="12"/>
  <c r="AQ149" i="12"/>
  <c r="AR149" i="12"/>
  <c r="AS149" i="12"/>
  <c r="AT149" i="12"/>
  <c r="AP150" i="12"/>
  <c r="AQ150" i="12"/>
  <c r="AR150" i="12"/>
  <c r="AS150" i="12"/>
  <c r="AT150" i="12"/>
  <c r="AP151" i="12"/>
  <c r="AQ151" i="12"/>
  <c r="AR151" i="12"/>
  <c r="AS151" i="12"/>
  <c r="AT151" i="12"/>
  <c r="AP152" i="12"/>
  <c r="AQ152" i="12"/>
  <c r="AR152" i="12"/>
  <c r="AS152" i="12"/>
  <c r="AT152" i="12"/>
  <c r="AP153" i="12"/>
  <c r="AQ153" i="12"/>
  <c r="AR153" i="12"/>
  <c r="AS153" i="12"/>
  <c r="AT153" i="12"/>
  <c r="AP154" i="12"/>
  <c r="AQ154" i="12"/>
  <c r="AR154" i="12"/>
  <c r="AS154" i="12"/>
  <c r="AT154" i="12"/>
  <c r="AP155" i="12"/>
  <c r="AQ155" i="12"/>
  <c r="AR155" i="12"/>
  <c r="AS155" i="12"/>
  <c r="AT155" i="12"/>
  <c r="AP156" i="12"/>
  <c r="AQ156" i="12"/>
  <c r="AR156" i="12"/>
  <c r="AS156" i="12"/>
  <c r="AT156" i="12"/>
  <c r="AP157" i="12"/>
  <c r="AQ157" i="12"/>
  <c r="AR157" i="12"/>
  <c r="AS157" i="12"/>
  <c r="AT157" i="12"/>
  <c r="AP158" i="12"/>
  <c r="AQ158" i="12"/>
  <c r="AR158" i="12"/>
  <c r="AS158" i="12"/>
  <c r="AT158" i="12"/>
  <c r="AP159" i="12"/>
  <c r="AQ159" i="12"/>
  <c r="AR159" i="12"/>
  <c r="AS159" i="12"/>
  <c r="AT159" i="12"/>
  <c r="AP160" i="12"/>
  <c r="AQ160" i="12"/>
  <c r="AR160" i="12"/>
  <c r="AS160" i="12"/>
  <c r="AT160" i="12"/>
  <c r="AP161" i="12"/>
  <c r="AQ161" i="12"/>
  <c r="AR161" i="12"/>
  <c r="AS161" i="12"/>
  <c r="AT161" i="12"/>
  <c r="AP162" i="12"/>
  <c r="AQ162" i="12"/>
  <c r="AR162" i="12"/>
  <c r="AS162" i="12"/>
  <c r="AT162" i="12"/>
  <c r="AP163" i="12"/>
  <c r="AQ163" i="12"/>
  <c r="AR163" i="12"/>
  <c r="AS163" i="12"/>
  <c r="AT163" i="12"/>
  <c r="AP164" i="12"/>
  <c r="AQ164" i="12"/>
  <c r="AR164" i="12"/>
  <c r="AS164" i="12"/>
  <c r="AT164" i="12"/>
  <c r="AP165" i="12"/>
  <c r="AQ165" i="12"/>
  <c r="AR165" i="12"/>
  <c r="AS165" i="12"/>
  <c r="AT165" i="12"/>
  <c r="AP166" i="12"/>
  <c r="AQ166" i="12"/>
  <c r="AR166" i="12"/>
  <c r="AS166" i="12"/>
  <c r="AT166" i="12"/>
  <c r="AP167" i="12"/>
  <c r="AQ167" i="12"/>
  <c r="AR167" i="12"/>
  <c r="AS167" i="12"/>
  <c r="AT167" i="12"/>
  <c r="AP168" i="12"/>
  <c r="AQ168" i="12"/>
  <c r="AR168" i="12"/>
  <c r="AS168" i="12"/>
  <c r="AT168" i="12"/>
  <c r="AP169" i="12"/>
  <c r="AQ169" i="12"/>
  <c r="AR169" i="12"/>
  <c r="AS169" i="12"/>
  <c r="AT169" i="12"/>
  <c r="AP170" i="12"/>
  <c r="AQ170" i="12"/>
  <c r="AR170" i="12"/>
  <c r="AS170" i="12"/>
  <c r="AT170" i="12"/>
  <c r="AP171" i="12"/>
  <c r="AQ171" i="12"/>
  <c r="AR171" i="12"/>
  <c r="AS171" i="12"/>
  <c r="AT171" i="12"/>
  <c r="AP172" i="12"/>
  <c r="AQ172" i="12"/>
  <c r="AR172" i="12"/>
  <c r="AS172" i="12"/>
  <c r="AT172" i="12"/>
  <c r="AP173" i="12"/>
  <c r="AQ173" i="12"/>
  <c r="AR173" i="12"/>
  <c r="AS173" i="12"/>
  <c r="AT173" i="12"/>
  <c r="AP174" i="12"/>
  <c r="AQ174" i="12"/>
  <c r="AR174" i="12"/>
  <c r="AS174" i="12"/>
  <c r="AT174" i="12"/>
  <c r="AP175" i="12"/>
  <c r="AQ175" i="12"/>
  <c r="AR175" i="12"/>
  <c r="AS175" i="12"/>
  <c r="AT175" i="12"/>
  <c r="AP176" i="12"/>
  <c r="AQ176" i="12"/>
  <c r="AR176" i="12"/>
  <c r="AS176" i="12"/>
  <c r="AT176" i="12"/>
  <c r="AP177" i="12"/>
  <c r="AQ177" i="12"/>
  <c r="AR177" i="12"/>
  <c r="AS177" i="12"/>
  <c r="AT177" i="12"/>
  <c r="AP178" i="12"/>
  <c r="AQ178" i="12"/>
  <c r="AR178" i="12"/>
  <c r="AS178" i="12"/>
  <c r="AT178" i="12"/>
  <c r="AP179" i="12"/>
  <c r="AQ179" i="12"/>
  <c r="AR179" i="12"/>
  <c r="AS179" i="12"/>
  <c r="AT179" i="12"/>
  <c r="AP180" i="12"/>
  <c r="AQ180" i="12"/>
  <c r="AR180" i="12"/>
  <c r="AS180" i="12"/>
  <c r="AT180" i="12"/>
  <c r="AP181" i="12"/>
  <c r="AQ181" i="12"/>
  <c r="AR181" i="12"/>
  <c r="AS181" i="12"/>
  <c r="AT181" i="12"/>
  <c r="AP182" i="12"/>
  <c r="AQ182" i="12"/>
  <c r="AR182" i="12"/>
  <c r="AS182" i="12"/>
  <c r="AT182" i="12"/>
  <c r="AP183" i="12"/>
  <c r="AQ183" i="12"/>
  <c r="AR183" i="12"/>
  <c r="AS183" i="12"/>
  <c r="AT183" i="12"/>
  <c r="AP184" i="12"/>
  <c r="AQ184" i="12"/>
  <c r="AR184" i="12"/>
  <c r="AS184" i="12"/>
  <c r="AT184" i="12"/>
  <c r="AP185" i="12"/>
  <c r="AQ185" i="12"/>
  <c r="AR185" i="12"/>
  <c r="AS185" i="12"/>
  <c r="AT185" i="12"/>
  <c r="AP186" i="12"/>
  <c r="AQ186" i="12"/>
  <c r="AR186" i="12"/>
  <c r="AS186" i="12"/>
  <c r="AT186" i="12"/>
  <c r="AP187" i="12"/>
  <c r="AQ187" i="12"/>
  <c r="AR187" i="12"/>
  <c r="AS187" i="12"/>
  <c r="AT187" i="12"/>
  <c r="AP188" i="12"/>
  <c r="AQ188" i="12"/>
  <c r="AR188" i="12"/>
  <c r="AS188" i="12"/>
  <c r="AT188" i="12"/>
  <c r="AP189" i="12"/>
  <c r="AQ189" i="12"/>
  <c r="AR189" i="12"/>
  <c r="AS189" i="12"/>
  <c r="AT189" i="12"/>
  <c r="AP190" i="12"/>
  <c r="AQ190" i="12"/>
  <c r="AR190" i="12"/>
  <c r="AS190" i="12"/>
  <c r="AT190" i="12"/>
  <c r="AP191" i="12"/>
  <c r="AQ191" i="12"/>
  <c r="AR191" i="12"/>
  <c r="AS191" i="12"/>
  <c r="AT191" i="12"/>
  <c r="AP192" i="12"/>
  <c r="AQ192" i="12"/>
  <c r="AR192" i="12"/>
  <c r="AS192" i="12"/>
  <c r="AT192" i="12"/>
  <c r="AP193" i="12"/>
  <c r="AQ193" i="12"/>
  <c r="AR193" i="12"/>
  <c r="AS193" i="12"/>
  <c r="AT193" i="12"/>
  <c r="AP194" i="12"/>
  <c r="AQ194" i="12"/>
  <c r="AR194" i="12"/>
  <c r="AS194" i="12"/>
  <c r="AT194" i="12"/>
  <c r="AP195" i="12"/>
  <c r="AQ195" i="12"/>
  <c r="AR195" i="12"/>
  <c r="AS195" i="12"/>
  <c r="AT195" i="12"/>
  <c r="AP196" i="12"/>
  <c r="AQ196" i="12"/>
  <c r="AR196" i="12"/>
  <c r="AS196" i="12"/>
  <c r="AT196" i="12"/>
  <c r="AP197" i="12"/>
  <c r="AQ197" i="12"/>
  <c r="AR197" i="12"/>
  <c r="AS197" i="12"/>
  <c r="AT197" i="12"/>
  <c r="AP198" i="12"/>
  <c r="AQ198" i="12"/>
  <c r="AR198" i="12"/>
  <c r="AS198" i="12"/>
  <c r="AT198" i="12"/>
  <c r="AP199" i="12"/>
  <c r="AQ199" i="12"/>
  <c r="AR199" i="12"/>
  <c r="AS199" i="12"/>
  <c r="AT199" i="12"/>
  <c r="AP200" i="12"/>
  <c r="AQ200" i="12"/>
  <c r="AR200" i="12"/>
  <c r="AS200" i="12"/>
  <c r="AT200" i="12"/>
  <c r="AP201" i="12"/>
  <c r="AQ201" i="12"/>
  <c r="AR201" i="12"/>
  <c r="AS201" i="12"/>
  <c r="AT201" i="12"/>
  <c r="AP202" i="12"/>
  <c r="AQ202" i="12"/>
  <c r="AR202" i="12"/>
  <c r="AS202" i="12"/>
  <c r="AT202" i="12"/>
  <c r="AP203" i="12"/>
  <c r="AQ203" i="12"/>
  <c r="AR203" i="12"/>
  <c r="AS203" i="12"/>
  <c r="AT203" i="12"/>
  <c r="AP204" i="12"/>
  <c r="AQ204" i="12"/>
  <c r="AR204" i="12"/>
  <c r="AS204" i="12"/>
  <c r="AT204" i="12"/>
  <c r="AP205" i="12"/>
  <c r="AQ205" i="12"/>
  <c r="AR205" i="12"/>
  <c r="AS205" i="12"/>
  <c r="AT205" i="12"/>
  <c r="AP206" i="12"/>
  <c r="AQ206" i="12"/>
  <c r="AR206" i="12"/>
  <c r="AS206" i="12"/>
  <c r="AT206" i="12"/>
  <c r="AP207" i="12"/>
  <c r="AQ207" i="12"/>
  <c r="AR207" i="12"/>
  <c r="AS207" i="12"/>
  <c r="AT207" i="12"/>
  <c r="AP208" i="12"/>
  <c r="AQ208" i="12"/>
  <c r="AR208" i="12"/>
  <c r="AS208" i="12"/>
  <c r="AT208" i="12"/>
  <c r="AP209" i="12"/>
  <c r="AQ209" i="12"/>
  <c r="AR209" i="12"/>
  <c r="AS209" i="12"/>
  <c r="AT209" i="12"/>
  <c r="AP210" i="12"/>
  <c r="AQ210" i="12"/>
  <c r="AR210" i="12"/>
  <c r="AS210" i="12"/>
  <c r="AT210" i="12"/>
  <c r="AP211" i="12"/>
  <c r="AQ211" i="12"/>
  <c r="AR211" i="12"/>
  <c r="AS211" i="12"/>
  <c r="AT211" i="12"/>
  <c r="AP212" i="12"/>
  <c r="AQ212" i="12"/>
  <c r="AR212" i="12"/>
  <c r="AS212" i="12"/>
  <c r="AT212" i="12"/>
  <c r="AP213" i="12"/>
  <c r="AQ213" i="12"/>
  <c r="AR213" i="12"/>
  <c r="AS213" i="12"/>
  <c r="AT213" i="12"/>
  <c r="AP214" i="12"/>
  <c r="AQ214" i="12"/>
  <c r="AR214" i="12"/>
  <c r="AS214" i="12"/>
  <c r="AT214" i="12"/>
  <c r="AP215" i="12"/>
  <c r="AQ215" i="12"/>
  <c r="AR215" i="12"/>
  <c r="AS215" i="12"/>
  <c r="AT215" i="12"/>
  <c r="AP216" i="12"/>
  <c r="AQ216" i="12"/>
  <c r="AR216" i="12"/>
  <c r="AS216" i="12"/>
  <c r="AT216" i="12"/>
  <c r="AP217" i="12"/>
  <c r="AQ217" i="12"/>
  <c r="AR217" i="12"/>
  <c r="AS217" i="12"/>
  <c r="AT217" i="12"/>
  <c r="AP218" i="12"/>
  <c r="AQ218" i="12"/>
  <c r="AR218" i="12"/>
  <c r="AS218" i="12"/>
  <c r="AT218" i="12"/>
  <c r="AP219" i="12"/>
  <c r="AQ219" i="12"/>
  <c r="AR219" i="12"/>
  <c r="AS219" i="12"/>
  <c r="AT219" i="12"/>
  <c r="AP220" i="12"/>
  <c r="AQ220" i="12"/>
  <c r="AR220" i="12"/>
  <c r="AS220" i="12"/>
  <c r="AT220" i="12"/>
  <c r="AP221" i="12"/>
  <c r="AQ221" i="12"/>
  <c r="AR221" i="12"/>
  <c r="AS221" i="12"/>
  <c r="AT221" i="12"/>
  <c r="AP222" i="12"/>
  <c r="AQ222" i="12"/>
  <c r="AR222" i="12"/>
  <c r="AS222" i="12"/>
  <c r="AT222" i="12"/>
  <c r="AP223" i="12"/>
  <c r="AQ223" i="12"/>
  <c r="AR223" i="12"/>
  <c r="AS223" i="12"/>
  <c r="AT223" i="12"/>
  <c r="AP224" i="12"/>
  <c r="AQ224" i="12"/>
  <c r="AR224" i="12"/>
  <c r="AS224" i="12"/>
  <c r="AT224" i="12"/>
  <c r="AP225" i="12"/>
  <c r="AQ225" i="12"/>
  <c r="AR225" i="12"/>
  <c r="AS225" i="12"/>
  <c r="AT225" i="12"/>
  <c r="AP226" i="12"/>
  <c r="AQ226" i="12"/>
  <c r="AR226" i="12"/>
  <c r="AS226" i="12"/>
  <c r="AT226" i="12"/>
  <c r="AP227" i="12"/>
  <c r="AQ227" i="12"/>
  <c r="AR227" i="12"/>
  <c r="AS227" i="12"/>
  <c r="AT227" i="12"/>
  <c r="AP228" i="12"/>
  <c r="AQ228" i="12"/>
  <c r="AR228" i="12"/>
  <c r="AS228" i="12"/>
  <c r="AT228" i="12"/>
  <c r="AP229" i="12"/>
  <c r="AQ229" i="12"/>
  <c r="AR229" i="12"/>
  <c r="AS229" i="12"/>
  <c r="AT229" i="12"/>
  <c r="AP230" i="12"/>
  <c r="AQ230" i="12"/>
  <c r="AR230" i="12"/>
  <c r="AS230" i="12"/>
  <c r="AT230" i="12"/>
  <c r="AP231" i="12"/>
  <c r="AQ231" i="12"/>
  <c r="AR231" i="12"/>
  <c r="AS231" i="12"/>
  <c r="AT231" i="12"/>
  <c r="AP232" i="12"/>
  <c r="AQ232" i="12"/>
  <c r="AR232" i="12"/>
  <c r="AS232" i="12"/>
  <c r="AT232" i="12"/>
  <c r="AP233" i="12"/>
  <c r="AQ233" i="12"/>
  <c r="AR233" i="12"/>
  <c r="AS233" i="12"/>
  <c r="AT233" i="12"/>
  <c r="AP234" i="12"/>
  <c r="AQ234" i="12"/>
  <c r="AR234" i="12"/>
  <c r="AS234" i="12"/>
  <c r="AT234" i="12"/>
  <c r="AP235" i="12"/>
  <c r="AQ235" i="12"/>
  <c r="AR235" i="12"/>
  <c r="AS235" i="12"/>
  <c r="AT235" i="12"/>
  <c r="AP236" i="12"/>
  <c r="AQ236" i="12"/>
  <c r="AR236" i="12"/>
  <c r="AS236" i="12"/>
  <c r="AT236" i="12"/>
  <c r="AP237" i="12"/>
  <c r="AQ237" i="12"/>
  <c r="AR237" i="12"/>
  <c r="AS237" i="12"/>
  <c r="AT237" i="12"/>
  <c r="AP238" i="12"/>
  <c r="AQ238" i="12"/>
  <c r="AR238" i="12"/>
  <c r="AS238" i="12"/>
  <c r="AT238" i="12"/>
  <c r="AP239" i="12"/>
  <c r="AQ239" i="12"/>
  <c r="AR239" i="12"/>
  <c r="AS239" i="12"/>
  <c r="AT239" i="12"/>
  <c r="AP240" i="12"/>
  <c r="AQ240" i="12"/>
  <c r="AR240" i="12"/>
  <c r="AS240" i="12"/>
  <c r="AT240" i="12"/>
  <c r="AP241" i="12"/>
  <c r="AQ241" i="12"/>
  <c r="AR241" i="12"/>
  <c r="AS241" i="12"/>
  <c r="AT241" i="12"/>
  <c r="AP242" i="12"/>
  <c r="AQ242" i="12"/>
  <c r="AR242" i="12"/>
  <c r="AS242" i="12"/>
  <c r="AT242" i="12"/>
  <c r="AP243" i="12"/>
  <c r="AQ243" i="12"/>
  <c r="AR243" i="12"/>
  <c r="AS243" i="12"/>
  <c r="AT243" i="12"/>
  <c r="AP244" i="12"/>
  <c r="AQ244" i="12"/>
  <c r="AR244" i="12"/>
  <c r="AS244" i="12"/>
  <c r="AT244" i="12"/>
  <c r="AP245" i="12"/>
  <c r="AQ245" i="12"/>
  <c r="AR245" i="12"/>
  <c r="AS245" i="12"/>
  <c r="AT245" i="12"/>
  <c r="AP246" i="12"/>
  <c r="AQ246" i="12"/>
  <c r="AR246" i="12"/>
  <c r="AS246" i="12"/>
  <c r="AT246" i="12"/>
  <c r="AP247" i="12"/>
  <c r="AQ247" i="12"/>
  <c r="AR247" i="12"/>
  <c r="AS247" i="12"/>
  <c r="AT247" i="12"/>
  <c r="AP248" i="12"/>
  <c r="AQ248" i="12"/>
  <c r="AR248" i="12"/>
  <c r="AS248" i="12"/>
  <c r="AT248" i="12"/>
  <c r="AP249" i="12"/>
  <c r="AQ249" i="12"/>
  <c r="AR249" i="12"/>
  <c r="AS249" i="12"/>
  <c r="AT249" i="12"/>
  <c r="AP250" i="12"/>
  <c r="AQ250" i="12"/>
  <c r="AR250" i="12"/>
  <c r="AS250" i="12"/>
  <c r="AT250" i="12"/>
  <c r="AP251" i="12"/>
  <c r="AQ251" i="12"/>
  <c r="AR251" i="12"/>
  <c r="AS251" i="12"/>
  <c r="AT251" i="12"/>
  <c r="AP252" i="12"/>
  <c r="AQ252" i="12"/>
  <c r="AR252" i="12"/>
  <c r="AS252" i="12"/>
  <c r="AT252" i="12"/>
  <c r="AP253" i="12"/>
  <c r="AQ253" i="12"/>
  <c r="AR253" i="12"/>
  <c r="AS253" i="12"/>
  <c r="AT253" i="12"/>
  <c r="AP254" i="12"/>
  <c r="AQ254" i="12"/>
  <c r="AR254" i="12"/>
  <c r="AS254" i="12"/>
  <c r="AT254" i="12"/>
  <c r="AP255" i="12"/>
  <c r="AQ255" i="12"/>
  <c r="AR255" i="12"/>
  <c r="AS255" i="12"/>
  <c r="AT255" i="12"/>
  <c r="AP256" i="12"/>
  <c r="AQ256" i="12"/>
  <c r="AR256" i="12"/>
  <c r="AS256" i="12"/>
  <c r="AT256" i="12"/>
  <c r="AP257" i="12"/>
  <c r="AQ257" i="12"/>
  <c r="AR257" i="12"/>
  <c r="AS257" i="12"/>
  <c r="AT257" i="12"/>
  <c r="AP258" i="12"/>
  <c r="AQ258" i="12"/>
  <c r="AR258" i="12"/>
  <c r="AS258" i="12"/>
  <c r="AT258" i="12"/>
  <c r="AP259" i="12"/>
  <c r="AQ259" i="12"/>
  <c r="AR259" i="12"/>
  <c r="AS259" i="12"/>
  <c r="AT259" i="12"/>
  <c r="AP260" i="12"/>
  <c r="AQ260" i="12"/>
  <c r="AR260" i="12"/>
  <c r="AS260" i="12"/>
  <c r="AT260" i="12"/>
  <c r="AP261" i="12"/>
  <c r="AQ261" i="12"/>
  <c r="AR261" i="12"/>
  <c r="AS261" i="12"/>
  <c r="AT261" i="12"/>
  <c r="AP262" i="12"/>
  <c r="AQ262" i="12"/>
  <c r="AR262" i="12"/>
  <c r="AS262" i="12"/>
  <c r="AT262" i="12"/>
  <c r="AP263" i="12"/>
  <c r="AQ263" i="12"/>
  <c r="AR263" i="12"/>
  <c r="AS263" i="12"/>
  <c r="AT263" i="12"/>
  <c r="AP264" i="12"/>
  <c r="AQ264" i="12"/>
  <c r="AR264" i="12"/>
  <c r="AS264" i="12"/>
  <c r="AT264" i="12"/>
  <c r="AP265" i="12"/>
  <c r="AQ265" i="12"/>
  <c r="AR265" i="12"/>
  <c r="AS265" i="12"/>
  <c r="AT265" i="12"/>
  <c r="AP266" i="12"/>
  <c r="AQ266" i="12"/>
  <c r="AR266" i="12"/>
  <c r="AS266" i="12"/>
  <c r="AT266" i="12"/>
  <c r="AP267" i="12"/>
  <c r="AQ267" i="12"/>
  <c r="AR267" i="12"/>
  <c r="AS267" i="12"/>
  <c r="AT267" i="12"/>
  <c r="AP268" i="12"/>
  <c r="AQ268" i="12"/>
  <c r="AR268" i="12"/>
  <c r="AS268" i="12"/>
  <c r="AT268" i="12"/>
  <c r="AP269" i="12"/>
  <c r="AQ269" i="12"/>
  <c r="AR269" i="12"/>
  <c r="AS269" i="12"/>
  <c r="AT269" i="12"/>
  <c r="AP270" i="12"/>
  <c r="AQ270" i="12"/>
  <c r="AR270" i="12"/>
  <c r="AS270" i="12"/>
  <c r="AT270" i="12"/>
  <c r="AP271" i="12"/>
  <c r="AQ271" i="12"/>
  <c r="AR271" i="12"/>
  <c r="AS271" i="12"/>
  <c r="AT271" i="12"/>
  <c r="AP272" i="12"/>
  <c r="AQ272" i="12"/>
  <c r="AR272" i="12"/>
  <c r="AS272" i="12"/>
  <c r="AT272" i="12"/>
  <c r="AP273" i="12"/>
  <c r="AQ273" i="12"/>
  <c r="AR273" i="12"/>
  <c r="AS273" i="12"/>
  <c r="AT273" i="12"/>
  <c r="AP274" i="12"/>
  <c r="AQ274" i="12"/>
  <c r="AR274" i="12"/>
  <c r="AS274" i="12"/>
  <c r="AT274" i="12"/>
  <c r="AP275" i="12"/>
  <c r="AQ275" i="12"/>
  <c r="AR275" i="12"/>
  <c r="AS275" i="12"/>
  <c r="AT275" i="12"/>
  <c r="AP276" i="12"/>
  <c r="AQ276" i="12"/>
  <c r="AR276" i="12"/>
  <c r="AS276" i="12"/>
  <c r="AT276" i="12"/>
  <c r="AP277" i="12"/>
  <c r="AQ277" i="12"/>
  <c r="AR277" i="12"/>
  <c r="AS277" i="12"/>
  <c r="AT277" i="12"/>
  <c r="AP278" i="12"/>
  <c r="AQ278" i="12"/>
  <c r="AR278" i="12"/>
  <c r="AS278" i="12"/>
  <c r="AT278" i="12"/>
  <c r="AP279" i="12"/>
  <c r="AQ279" i="12"/>
  <c r="AR279" i="12"/>
  <c r="AS279" i="12"/>
  <c r="AT279" i="12"/>
  <c r="AP280" i="12"/>
  <c r="AQ280" i="12"/>
  <c r="AR280" i="12"/>
  <c r="AS280" i="12"/>
  <c r="AT280" i="12"/>
  <c r="AP281" i="12"/>
  <c r="AQ281" i="12"/>
  <c r="AR281" i="12"/>
  <c r="AS281" i="12"/>
  <c r="AT281" i="12"/>
  <c r="AP282" i="12"/>
  <c r="AQ282" i="12"/>
  <c r="AR282" i="12"/>
  <c r="AS282" i="12"/>
  <c r="AT282" i="12"/>
  <c r="AP283" i="12"/>
  <c r="AQ283" i="12"/>
  <c r="AR283" i="12"/>
  <c r="AS283" i="12"/>
  <c r="AT283" i="12"/>
  <c r="AP284" i="12"/>
  <c r="AQ284" i="12"/>
  <c r="AR284" i="12"/>
  <c r="AS284" i="12"/>
  <c r="AT284" i="12"/>
  <c r="AP285" i="12"/>
  <c r="AQ285" i="12"/>
  <c r="AR285" i="12"/>
  <c r="AS285" i="12"/>
  <c r="AT285" i="12"/>
  <c r="AP286" i="12"/>
  <c r="AQ286" i="12"/>
  <c r="AR286" i="12"/>
  <c r="AS286" i="12"/>
  <c r="AT286" i="12"/>
  <c r="AP287" i="12"/>
  <c r="AQ287" i="12"/>
  <c r="AR287" i="12"/>
  <c r="AS287" i="12"/>
  <c r="AT287" i="12"/>
  <c r="AP288" i="12"/>
  <c r="AQ288" i="12"/>
  <c r="AR288" i="12"/>
  <c r="AS288" i="12"/>
  <c r="AT288" i="12"/>
  <c r="AP289" i="12"/>
  <c r="AQ289" i="12"/>
  <c r="AR289" i="12"/>
  <c r="AS289" i="12"/>
  <c r="AT289" i="12"/>
  <c r="AP290" i="12"/>
  <c r="AQ290" i="12"/>
  <c r="AR290" i="12"/>
  <c r="AS290" i="12"/>
  <c r="AT290" i="12"/>
  <c r="AP291" i="12"/>
  <c r="AQ291" i="12"/>
  <c r="AR291" i="12"/>
  <c r="AS291" i="12"/>
  <c r="AT291" i="12"/>
  <c r="AP292" i="12"/>
  <c r="AQ292" i="12"/>
  <c r="AR292" i="12"/>
  <c r="AS292" i="12"/>
  <c r="AT292" i="12"/>
  <c r="AP293" i="12"/>
  <c r="AQ293" i="12"/>
  <c r="AR293" i="12"/>
  <c r="AS293" i="12"/>
  <c r="AT293" i="12"/>
  <c r="AP294" i="12"/>
  <c r="AQ294" i="12"/>
  <c r="AR294" i="12"/>
  <c r="AS294" i="12"/>
  <c r="AT294" i="12"/>
  <c r="AP295" i="12"/>
  <c r="AQ295" i="12"/>
  <c r="AR295" i="12"/>
  <c r="AS295" i="12"/>
  <c r="AT295" i="12"/>
  <c r="AP296" i="12"/>
  <c r="AQ296" i="12"/>
  <c r="AR296" i="12"/>
  <c r="AS296" i="12"/>
  <c r="AT296" i="12"/>
  <c r="AP297" i="12"/>
  <c r="AQ297" i="12"/>
  <c r="AR297" i="12"/>
  <c r="AS297" i="12"/>
  <c r="AT297" i="12"/>
  <c r="AP298" i="12"/>
  <c r="AQ298" i="12"/>
  <c r="AR298" i="12"/>
  <c r="AS298" i="12"/>
  <c r="AT298" i="12"/>
  <c r="AP299" i="12"/>
  <c r="AQ299" i="12"/>
  <c r="AR299" i="12"/>
  <c r="AS299" i="12"/>
  <c r="AT299" i="12"/>
  <c r="AP300" i="12"/>
  <c r="AQ300" i="12"/>
  <c r="AR300" i="12"/>
  <c r="AS300" i="12"/>
  <c r="AT300" i="12"/>
  <c r="AP301" i="12"/>
  <c r="AQ301" i="12"/>
  <c r="AR301" i="12"/>
  <c r="AS301" i="12"/>
  <c r="AT301" i="12"/>
  <c r="AP302" i="12"/>
  <c r="AQ302" i="12"/>
  <c r="AR302" i="12"/>
  <c r="AS302" i="12"/>
  <c r="AT302" i="12"/>
  <c r="AP303" i="12"/>
  <c r="AQ303" i="12"/>
  <c r="AR303" i="12"/>
  <c r="AS303" i="12"/>
  <c r="AT303" i="12"/>
  <c r="AP304" i="12"/>
  <c r="AQ304" i="12"/>
  <c r="AR304" i="12"/>
  <c r="AS304" i="12"/>
  <c r="AT304" i="12"/>
  <c r="AP305" i="12"/>
  <c r="AQ305" i="12"/>
  <c r="AR305" i="12"/>
  <c r="AS305" i="12"/>
  <c r="AT305" i="12"/>
  <c r="AP306" i="12"/>
  <c r="AQ306" i="12"/>
  <c r="AR306" i="12"/>
  <c r="AS306" i="12"/>
  <c r="AT306" i="12"/>
  <c r="AP307" i="12"/>
  <c r="AQ307" i="12"/>
  <c r="AR307" i="12"/>
  <c r="AS307" i="12"/>
  <c r="AT307" i="12"/>
  <c r="AP308" i="12"/>
  <c r="AQ308" i="12"/>
  <c r="AR308" i="12"/>
  <c r="AS308" i="12"/>
  <c r="AT308" i="12"/>
  <c r="AP309" i="12"/>
  <c r="AQ309" i="12"/>
  <c r="AR309" i="12"/>
  <c r="AS309" i="12"/>
  <c r="AT309" i="12"/>
  <c r="AP310" i="12"/>
  <c r="AQ310" i="12"/>
  <c r="AR310" i="12"/>
  <c r="AS310" i="12"/>
  <c r="AT310" i="12"/>
  <c r="AP311" i="12"/>
  <c r="AQ311" i="12"/>
  <c r="AR311" i="12"/>
  <c r="AS311" i="12"/>
  <c r="AT311" i="12"/>
  <c r="AP312" i="12"/>
  <c r="AQ312" i="12"/>
  <c r="AR312" i="12"/>
  <c r="AS312" i="12"/>
  <c r="AT312" i="12"/>
  <c r="AP313" i="12"/>
  <c r="AQ313" i="12"/>
  <c r="AR313" i="12"/>
  <c r="AS313" i="12"/>
  <c r="AT313" i="12"/>
  <c r="AP314" i="12"/>
  <c r="AQ314" i="12"/>
  <c r="AR314" i="12"/>
  <c r="AS314" i="12"/>
  <c r="AT314" i="12"/>
  <c r="AP315" i="12"/>
  <c r="AQ315" i="12"/>
  <c r="AR315" i="12"/>
  <c r="AS315" i="12"/>
  <c r="AT315" i="12"/>
  <c r="AP316" i="12"/>
  <c r="AQ316" i="12"/>
  <c r="AR316" i="12"/>
  <c r="AS316" i="12"/>
  <c r="AT316" i="12"/>
  <c r="AP317" i="12"/>
  <c r="AQ317" i="12"/>
  <c r="AR317" i="12"/>
  <c r="AS317" i="12"/>
  <c r="AT317" i="12"/>
  <c r="AP318" i="12"/>
  <c r="AQ318" i="12"/>
  <c r="AR318" i="12"/>
  <c r="AS318" i="12"/>
  <c r="AT318" i="12"/>
  <c r="AP319" i="12"/>
  <c r="AQ319" i="12"/>
  <c r="AR319" i="12"/>
  <c r="AS319" i="12"/>
  <c r="AT319" i="12"/>
  <c r="AP320" i="12"/>
  <c r="AQ320" i="12"/>
  <c r="AR320" i="12"/>
  <c r="AS320" i="12"/>
  <c r="AT320" i="12"/>
  <c r="AP321" i="12"/>
  <c r="AQ321" i="12"/>
  <c r="AR321" i="12"/>
  <c r="AS321" i="12"/>
  <c r="AT321" i="12"/>
  <c r="AP322" i="12"/>
  <c r="AQ322" i="12"/>
  <c r="AR322" i="12"/>
  <c r="AS322" i="12"/>
  <c r="AT322" i="12"/>
  <c r="AP323" i="12"/>
  <c r="AQ323" i="12"/>
  <c r="AR323" i="12"/>
  <c r="AS323" i="12"/>
  <c r="AT323" i="12"/>
  <c r="AP324" i="12"/>
  <c r="AQ324" i="12"/>
  <c r="AR324" i="12"/>
  <c r="AS324" i="12"/>
  <c r="AT324" i="12"/>
  <c r="AP325" i="12"/>
  <c r="AQ325" i="12"/>
  <c r="AR325" i="12"/>
  <c r="AS325" i="12"/>
  <c r="AT325" i="12"/>
  <c r="AP326" i="12"/>
  <c r="AQ326" i="12"/>
  <c r="AR326" i="12"/>
  <c r="AS326" i="12"/>
  <c r="AT326" i="12"/>
  <c r="AP327" i="12"/>
  <c r="AQ327" i="12"/>
  <c r="AR327" i="12"/>
  <c r="AS327" i="12"/>
  <c r="AT327" i="12"/>
  <c r="AP328" i="12"/>
  <c r="AQ328" i="12"/>
  <c r="AR328" i="12"/>
  <c r="AS328" i="12"/>
  <c r="AT328" i="12"/>
  <c r="AP329" i="12"/>
  <c r="AQ329" i="12"/>
  <c r="AR329" i="12"/>
  <c r="AS329" i="12"/>
  <c r="AT329" i="12"/>
  <c r="AP330" i="12"/>
  <c r="AQ330" i="12"/>
  <c r="AR330" i="12"/>
  <c r="AS330" i="12"/>
  <c r="AT330" i="12"/>
  <c r="AP331" i="12"/>
  <c r="AQ331" i="12"/>
  <c r="AR331" i="12"/>
  <c r="AS331" i="12"/>
  <c r="AT331" i="12"/>
  <c r="AP332" i="12"/>
  <c r="AQ332" i="12"/>
  <c r="AR332" i="12"/>
  <c r="AS332" i="12"/>
  <c r="AT332" i="12"/>
  <c r="AP333" i="12"/>
  <c r="AQ333" i="12"/>
  <c r="AR333" i="12"/>
  <c r="AS333" i="12"/>
  <c r="AT333" i="12"/>
  <c r="AP334" i="12"/>
  <c r="AQ334" i="12"/>
  <c r="AR334" i="12"/>
  <c r="AS334" i="12"/>
  <c r="AT334" i="12"/>
  <c r="AP335" i="12"/>
  <c r="AQ335" i="12"/>
  <c r="AR335" i="12"/>
  <c r="AS335" i="12"/>
  <c r="AT335" i="12"/>
  <c r="AP336" i="12"/>
  <c r="AQ336" i="12"/>
  <c r="AR336" i="12"/>
  <c r="AS336" i="12"/>
  <c r="AT336" i="12"/>
  <c r="AP337" i="12"/>
  <c r="AQ337" i="12"/>
  <c r="AR337" i="12"/>
  <c r="AS337" i="12"/>
  <c r="AT337" i="12"/>
  <c r="AP338" i="12"/>
  <c r="AQ338" i="12"/>
  <c r="AR338" i="12"/>
  <c r="AS338" i="12"/>
  <c r="AT338" i="12"/>
  <c r="AP339" i="12"/>
  <c r="AQ339" i="12"/>
  <c r="AR339" i="12"/>
  <c r="AS339" i="12"/>
  <c r="AT339" i="12"/>
  <c r="AP340" i="12"/>
  <c r="AQ340" i="12"/>
  <c r="AR340" i="12"/>
  <c r="AS340" i="12"/>
  <c r="AT340" i="12"/>
  <c r="AP341" i="12"/>
  <c r="AQ341" i="12"/>
  <c r="AR341" i="12"/>
  <c r="AS341" i="12"/>
  <c r="AT341" i="12"/>
  <c r="AP342" i="12"/>
  <c r="AQ342" i="12"/>
  <c r="AR342" i="12"/>
  <c r="AS342" i="12"/>
  <c r="AT342" i="12"/>
  <c r="AP343" i="12"/>
  <c r="AQ343" i="12"/>
  <c r="AR343" i="12"/>
  <c r="AS343" i="12"/>
  <c r="AT343" i="12"/>
  <c r="AP344" i="12"/>
  <c r="AQ344" i="12"/>
  <c r="AR344" i="12"/>
  <c r="AS344" i="12"/>
  <c r="AT344" i="12"/>
  <c r="AP345" i="12"/>
  <c r="AQ345" i="12"/>
  <c r="AR345" i="12"/>
  <c r="AS345" i="12"/>
  <c r="AT345" i="12"/>
  <c r="AP346" i="12"/>
  <c r="AQ346" i="12"/>
  <c r="AR346" i="12"/>
  <c r="AS346" i="12"/>
  <c r="AT346" i="12"/>
  <c r="AP347" i="12"/>
  <c r="AQ347" i="12"/>
  <c r="AR347" i="12"/>
  <c r="AS347" i="12"/>
  <c r="AT347" i="12"/>
  <c r="AP348" i="12"/>
  <c r="AQ348" i="12"/>
  <c r="AR348" i="12"/>
  <c r="AS348" i="12"/>
  <c r="AT348" i="12"/>
  <c r="AP349" i="12"/>
  <c r="AQ349" i="12"/>
  <c r="AR349" i="12"/>
  <c r="AS349" i="12"/>
  <c r="AT349" i="12"/>
  <c r="AP350" i="12"/>
  <c r="AQ350" i="12"/>
  <c r="AR350" i="12"/>
  <c r="AS350" i="12"/>
  <c r="AT350" i="12"/>
  <c r="AP351" i="12"/>
  <c r="AQ351" i="12"/>
  <c r="AR351" i="12"/>
  <c r="AS351" i="12"/>
  <c r="AT351" i="12"/>
  <c r="AP352" i="12"/>
  <c r="AQ352" i="12"/>
  <c r="AR352" i="12"/>
  <c r="AS352" i="12"/>
  <c r="AT352" i="12"/>
  <c r="AP353" i="12"/>
  <c r="AQ353" i="12"/>
  <c r="AR353" i="12"/>
  <c r="AS353" i="12"/>
  <c r="AT353" i="12"/>
  <c r="AP354" i="12"/>
  <c r="AQ354" i="12"/>
  <c r="AR354" i="12"/>
  <c r="AS354" i="12"/>
  <c r="AT354" i="12"/>
  <c r="AP355" i="12"/>
  <c r="AQ355" i="12"/>
  <c r="AR355" i="12"/>
  <c r="AS355" i="12"/>
  <c r="AT355" i="12"/>
  <c r="AP356" i="12"/>
  <c r="AQ356" i="12"/>
  <c r="AR356" i="12"/>
  <c r="AS356" i="12"/>
  <c r="AT356" i="12"/>
  <c r="AP357" i="12"/>
  <c r="AQ357" i="12"/>
  <c r="AR357" i="12"/>
  <c r="AS357" i="12"/>
  <c r="AT357" i="12"/>
  <c r="AP358" i="12"/>
  <c r="AQ358" i="12"/>
  <c r="AR358" i="12"/>
  <c r="AS358" i="12"/>
  <c r="AT358" i="12"/>
  <c r="AP359" i="12"/>
  <c r="AQ359" i="12"/>
  <c r="AR359" i="12"/>
  <c r="AS359" i="12"/>
  <c r="AT359" i="12"/>
  <c r="AP360" i="12"/>
  <c r="AQ360" i="12"/>
  <c r="AR360" i="12"/>
  <c r="AS360" i="12"/>
  <c r="AT360" i="12"/>
  <c r="AP361" i="12"/>
  <c r="AQ361" i="12"/>
  <c r="AR361" i="12"/>
  <c r="AS361" i="12"/>
  <c r="AT361" i="12"/>
  <c r="AP362" i="12"/>
  <c r="AQ362" i="12"/>
  <c r="AR362" i="12"/>
  <c r="AS362" i="12"/>
  <c r="AT362" i="12"/>
  <c r="AP363" i="12"/>
  <c r="AQ363" i="12"/>
  <c r="AR363" i="12"/>
  <c r="AS363" i="12"/>
  <c r="AT363" i="12"/>
  <c r="AP364" i="12"/>
  <c r="AQ364" i="12"/>
  <c r="AR364" i="12"/>
  <c r="AS364" i="12"/>
  <c r="AT364" i="12"/>
  <c r="AP365" i="12"/>
  <c r="AQ365" i="12"/>
  <c r="AR365" i="12"/>
  <c r="AS365" i="12"/>
  <c r="AT365" i="12"/>
  <c r="AP366" i="12"/>
  <c r="AQ366" i="12"/>
  <c r="AR366" i="12"/>
  <c r="AS366" i="12"/>
  <c r="AT366" i="12"/>
  <c r="AP367" i="12"/>
  <c r="AQ367" i="12"/>
  <c r="AR367" i="12"/>
  <c r="AS367" i="12"/>
  <c r="AT367" i="12"/>
  <c r="AP368" i="12"/>
  <c r="AQ368" i="12"/>
  <c r="AR368" i="12"/>
  <c r="AS368" i="12"/>
  <c r="AT368" i="12"/>
  <c r="AP369" i="12"/>
  <c r="AQ369" i="12"/>
  <c r="AR369" i="12"/>
  <c r="AS369" i="12"/>
  <c r="AT369" i="12"/>
  <c r="AP370" i="12"/>
  <c r="AQ370" i="12"/>
  <c r="AR370" i="12"/>
  <c r="AS370" i="12"/>
  <c r="AT370" i="12"/>
  <c r="AP371" i="12"/>
  <c r="AQ371" i="12"/>
  <c r="AR371" i="12"/>
  <c r="AS371" i="12"/>
  <c r="AT371" i="12"/>
  <c r="AP372" i="12"/>
  <c r="AQ372" i="12"/>
  <c r="AR372" i="12"/>
  <c r="AS372" i="12"/>
  <c r="AT372" i="12"/>
  <c r="AP373" i="12"/>
  <c r="AQ373" i="12"/>
  <c r="AR373" i="12"/>
  <c r="AS373" i="12"/>
  <c r="AT373" i="12"/>
  <c r="AP374" i="12"/>
  <c r="AQ374" i="12"/>
  <c r="AR374" i="12"/>
  <c r="AS374" i="12"/>
  <c r="AT374" i="12"/>
  <c r="AP375" i="12"/>
  <c r="AQ375" i="12"/>
  <c r="AR375" i="12"/>
  <c r="AS375" i="12"/>
  <c r="AT375" i="12"/>
  <c r="AP376" i="12"/>
  <c r="AQ376" i="12"/>
  <c r="AR376" i="12"/>
  <c r="AS376" i="12"/>
  <c r="AT376" i="12"/>
  <c r="AP377" i="12"/>
  <c r="AQ377" i="12"/>
  <c r="AR377" i="12"/>
  <c r="AS377" i="12"/>
  <c r="AT377" i="12"/>
  <c r="AP378" i="12"/>
  <c r="AQ378" i="12"/>
  <c r="AR378" i="12"/>
  <c r="AS378" i="12"/>
  <c r="AT378" i="12"/>
  <c r="AP379" i="12"/>
  <c r="AQ379" i="12"/>
  <c r="AR379" i="12"/>
  <c r="AS379" i="12"/>
  <c r="AT379" i="12"/>
  <c r="AP380" i="12"/>
  <c r="AQ380" i="12"/>
  <c r="AR380" i="12"/>
  <c r="AS380" i="12"/>
  <c r="AT380" i="12"/>
  <c r="AP381" i="12"/>
  <c r="AQ381" i="12"/>
  <c r="AR381" i="12"/>
  <c r="AS381" i="12"/>
  <c r="AT381" i="12"/>
  <c r="AP382" i="12"/>
  <c r="AQ382" i="12"/>
  <c r="AR382" i="12"/>
  <c r="AS382" i="12"/>
  <c r="AT382" i="12"/>
  <c r="AP383" i="12"/>
  <c r="AQ383" i="12"/>
  <c r="AR383" i="12"/>
  <c r="AS383" i="12"/>
  <c r="AT383" i="12"/>
  <c r="AP384" i="12"/>
  <c r="AQ384" i="12"/>
  <c r="AR384" i="12"/>
  <c r="AS384" i="12"/>
  <c r="AT384" i="12"/>
  <c r="AP385" i="12"/>
  <c r="AQ385" i="12"/>
  <c r="AR385" i="12"/>
  <c r="AS385" i="12"/>
  <c r="AT385" i="12"/>
  <c r="AP386" i="12"/>
  <c r="AQ386" i="12"/>
  <c r="AR386" i="12"/>
  <c r="AS386" i="12"/>
  <c r="AT386" i="12"/>
  <c r="AP387" i="12"/>
  <c r="AQ387" i="12"/>
  <c r="AR387" i="12"/>
  <c r="AS387" i="12"/>
  <c r="AT387" i="12"/>
  <c r="AP388" i="12"/>
  <c r="AQ388" i="12"/>
  <c r="AR388" i="12"/>
  <c r="AS388" i="12"/>
  <c r="AT388" i="12"/>
  <c r="AP389" i="12"/>
  <c r="AQ389" i="12"/>
  <c r="AR389" i="12"/>
  <c r="AS389" i="12"/>
  <c r="AT389" i="12"/>
  <c r="AP390" i="12"/>
  <c r="AQ390" i="12"/>
  <c r="AR390" i="12"/>
  <c r="AS390" i="12"/>
  <c r="AT390" i="12"/>
  <c r="AP391" i="12"/>
  <c r="AQ391" i="12"/>
  <c r="AR391" i="12"/>
  <c r="AS391" i="12"/>
  <c r="AT391" i="12"/>
  <c r="AP392" i="12"/>
  <c r="AQ392" i="12"/>
  <c r="AR392" i="12"/>
  <c r="AS392" i="12"/>
  <c r="AT392" i="12"/>
  <c r="AP393" i="12"/>
  <c r="AQ393" i="12"/>
  <c r="AR393" i="12"/>
  <c r="AS393" i="12"/>
  <c r="AT393" i="12"/>
  <c r="AP394" i="12"/>
  <c r="AQ394" i="12"/>
  <c r="AR394" i="12"/>
  <c r="AS394" i="12"/>
  <c r="AT394" i="12"/>
  <c r="AP395" i="12"/>
  <c r="AQ395" i="12"/>
  <c r="AR395" i="12"/>
  <c r="AS395" i="12"/>
  <c r="AT395" i="12"/>
  <c r="AP396" i="12"/>
  <c r="AQ396" i="12"/>
  <c r="AR396" i="12"/>
  <c r="AS396" i="12"/>
  <c r="AT396" i="12"/>
  <c r="AP397" i="12"/>
  <c r="AQ397" i="12"/>
  <c r="AR397" i="12"/>
  <c r="AS397" i="12"/>
  <c r="AT397" i="12"/>
  <c r="AP398" i="12"/>
  <c r="AQ398" i="12"/>
  <c r="AR398" i="12"/>
  <c r="AS398" i="12"/>
  <c r="AT398" i="12"/>
  <c r="AP399" i="12"/>
  <c r="AQ399" i="12"/>
  <c r="AR399" i="12"/>
  <c r="AS399" i="12"/>
  <c r="AT399" i="12"/>
  <c r="AP400" i="12"/>
  <c r="AQ400" i="12"/>
  <c r="AR400" i="12"/>
  <c r="AS400" i="12"/>
  <c r="AT400" i="12"/>
  <c r="AP401" i="12"/>
  <c r="AQ401" i="12"/>
  <c r="AR401" i="12"/>
  <c r="AS401" i="12"/>
  <c r="AT401" i="12"/>
  <c r="AP402" i="12"/>
  <c r="AQ402" i="12"/>
  <c r="AR402" i="12"/>
  <c r="AS402" i="12"/>
  <c r="AT402" i="12"/>
  <c r="AP403" i="12"/>
  <c r="AQ403" i="12"/>
  <c r="AR403" i="12"/>
  <c r="AS403" i="12"/>
  <c r="AT403" i="12"/>
  <c r="AP404" i="12"/>
  <c r="AQ404" i="12"/>
  <c r="AR404" i="12"/>
  <c r="AS404" i="12"/>
  <c r="AT404" i="12"/>
  <c r="AP405" i="12"/>
  <c r="AQ405" i="12"/>
  <c r="AR405" i="12"/>
  <c r="AS405" i="12"/>
  <c r="AT405" i="12"/>
  <c r="AP406" i="12"/>
  <c r="AQ406" i="12"/>
  <c r="AR406" i="12"/>
  <c r="AS406" i="12"/>
  <c r="AT406" i="12"/>
  <c r="AP407" i="12"/>
  <c r="AQ407" i="12"/>
  <c r="AR407" i="12"/>
  <c r="AS407" i="12"/>
  <c r="AT407" i="12"/>
  <c r="AP408" i="12"/>
  <c r="AQ408" i="12"/>
  <c r="AR408" i="12"/>
  <c r="AS408" i="12"/>
  <c r="AT408" i="12"/>
  <c r="AP409" i="12"/>
  <c r="AQ409" i="12"/>
  <c r="AR409" i="12"/>
  <c r="AS409" i="12"/>
  <c r="AT409" i="12"/>
  <c r="AP410" i="12"/>
  <c r="AQ410" i="12"/>
  <c r="AR410" i="12"/>
  <c r="AS410" i="12"/>
  <c r="AT410" i="12"/>
  <c r="AP411" i="12"/>
  <c r="AQ411" i="12"/>
  <c r="AR411" i="12"/>
  <c r="AS411" i="12"/>
  <c r="AT411" i="12"/>
  <c r="AP412" i="12"/>
  <c r="AQ412" i="12"/>
  <c r="AR412" i="12"/>
  <c r="AS412" i="12"/>
  <c r="AT412" i="12"/>
  <c r="AP413" i="12"/>
  <c r="AQ413" i="12"/>
  <c r="AR413" i="12"/>
  <c r="AS413" i="12"/>
  <c r="AT413" i="12"/>
  <c r="AP414" i="12"/>
  <c r="AQ414" i="12"/>
  <c r="AR414" i="12"/>
  <c r="AS414" i="12"/>
  <c r="AT414" i="12"/>
  <c r="AP415" i="12"/>
  <c r="AQ415" i="12"/>
  <c r="AR415" i="12"/>
  <c r="AS415" i="12"/>
  <c r="AT415" i="12"/>
  <c r="AP416" i="12"/>
  <c r="AQ416" i="12"/>
  <c r="AR416" i="12"/>
  <c r="AS416" i="12"/>
  <c r="AT416" i="12"/>
  <c r="AP417" i="12"/>
  <c r="AQ417" i="12"/>
  <c r="AR417" i="12"/>
  <c r="AS417" i="12"/>
  <c r="AT417" i="12"/>
  <c r="AP418" i="12"/>
  <c r="AQ418" i="12"/>
  <c r="AR418" i="12"/>
  <c r="AS418" i="12"/>
  <c r="AT418" i="12"/>
  <c r="AP419" i="12"/>
  <c r="AQ419" i="12"/>
  <c r="AR419" i="12"/>
  <c r="AS419" i="12"/>
  <c r="AT419" i="12"/>
  <c r="AP420" i="12"/>
  <c r="AQ420" i="12"/>
  <c r="AR420" i="12"/>
  <c r="AS420" i="12"/>
  <c r="AT420" i="12"/>
  <c r="AP421" i="12"/>
  <c r="AQ421" i="12"/>
  <c r="AR421" i="12"/>
  <c r="AS421" i="12"/>
  <c r="AT421" i="12"/>
  <c r="AP422" i="12"/>
  <c r="AQ422" i="12"/>
  <c r="AR422" i="12"/>
  <c r="AS422" i="12"/>
  <c r="AT422" i="12"/>
  <c r="AP423" i="12"/>
  <c r="AQ423" i="12"/>
  <c r="AR423" i="12"/>
  <c r="AS423" i="12"/>
  <c r="AT423" i="12"/>
  <c r="AP424" i="12"/>
  <c r="AQ424" i="12"/>
  <c r="AR424" i="12"/>
  <c r="AS424" i="12"/>
  <c r="AT424" i="12"/>
  <c r="AP425" i="12"/>
  <c r="AQ425" i="12"/>
  <c r="AR425" i="12"/>
  <c r="AS425" i="12"/>
  <c r="AT425" i="12"/>
  <c r="AP426" i="12"/>
  <c r="AQ426" i="12"/>
  <c r="AR426" i="12"/>
  <c r="AS426" i="12"/>
  <c r="AT426" i="12"/>
  <c r="AP427" i="12"/>
  <c r="AQ427" i="12"/>
  <c r="AR427" i="12"/>
  <c r="AS427" i="12"/>
  <c r="AT427" i="12"/>
  <c r="AP428" i="12"/>
  <c r="AQ428" i="12"/>
  <c r="AR428" i="12"/>
  <c r="AS428" i="12"/>
  <c r="AT428" i="12"/>
  <c r="AP429" i="12"/>
  <c r="AQ429" i="12"/>
  <c r="AR429" i="12"/>
  <c r="AS429" i="12"/>
  <c r="AT429" i="12"/>
  <c r="AP430" i="12"/>
  <c r="AQ430" i="12"/>
  <c r="AR430" i="12"/>
  <c r="AS430" i="12"/>
  <c r="AT430" i="12"/>
  <c r="AP431" i="12"/>
  <c r="AQ431" i="12"/>
  <c r="AR431" i="12"/>
  <c r="AS431" i="12"/>
  <c r="AT431" i="12"/>
  <c r="AP432" i="12"/>
  <c r="AQ432" i="12"/>
  <c r="AR432" i="12"/>
  <c r="AS432" i="12"/>
  <c r="AT432" i="12"/>
  <c r="AP433" i="12"/>
  <c r="AQ433" i="12"/>
  <c r="AR433" i="12"/>
  <c r="AS433" i="12"/>
  <c r="AT433" i="12"/>
  <c r="AP434" i="12"/>
  <c r="AQ434" i="12"/>
  <c r="AR434" i="12"/>
  <c r="AS434" i="12"/>
  <c r="AT434" i="12"/>
  <c r="AP435" i="12"/>
  <c r="AQ435" i="12"/>
  <c r="AR435" i="12"/>
  <c r="AS435" i="12"/>
  <c r="AT435" i="12"/>
  <c r="AP436" i="12"/>
  <c r="AQ436" i="12"/>
  <c r="AR436" i="12"/>
  <c r="AS436" i="12"/>
  <c r="AT436" i="12"/>
  <c r="AP437" i="12"/>
  <c r="AQ437" i="12"/>
  <c r="AR437" i="12"/>
  <c r="AS437" i="12"/>
  <c r="AT437" i="12"/>
  <c r="AP438" i="12"/>
  <c r="AQ438" i="12"/>
  <c r="AR438" i="12"/>
  <c r="AS438" i="12"/>
  <c r="AT438" i="12"/>
  <c r="AP439" i="12"/>
  <c r="AQ439" i="12"/>
  <c r="AR439" i="12"/>
  <c r="AS439" i="12"/>
  <c r="AT439" i="12"/>
  <c r="AP440" i="12"/>
  <c r="AQ440" i="12"/>
  <c r="AR440" i="12"/>
  <c r="AS440" i="12"/>
  <c r="AT440" i="12"/>
  <c r="AP441" i="12"/>
  <c r="AQ441" i="12"/>
  <c r="AR441" i="12"/>
  <c r="AS441" i="12"/>
  <c r="AT441" i="12"/>
  <c r="AP442" i="12"/>
  <c r="AQ442" i="12"/>
  <c r="AR442" i="12"/>
  <c r="AS442" i="12"/>
  <c r="AT442" i="12"/>
  <c r="AP443" i="12"/>
  <c r="AQ443" i="12"/>
  <c r="AR443" i="12"/>
  <c r="AS443" i="12"/>
  <c r="AT443" i="12"/>
  <c r="AP444" i="12"/>
  <c r="AQ444" i="12"/>
  <c r="AR444" i="12"/>
  <c r="AS444" i="12"/>
  <c r="AT444" i="12"/>
  <c r="AP445" i="12"/>
  <c r="AQ445" i="12"/>
  <c r="AR445" i="12"/>
  <c r="AS445" i="12"/>
  <c r="AT445" i="12"/>
  <c r="AP446" i="12"/>
  <c r="AQ446" i="12"/>
  <c r="AR446" i="12"/>
  <c r="AS446" i="12"/>
  <c r="AT446" i="12"/>
  <c r="AP447" i="12"/>
  <c r="AQ447" i="12"/>
  <c r="AR447" i="12"/>
  <c r="AS447" i="12"/>
  <c r="AT447" i="12"/>
  <c r="AP448" i="12"/>
  <c r="AQ448" i="12"/>
  <c r="AR448" i="12"/>
  <c r="AS448" i="12"/>
  <c r="AT448" i="12"/>
  <c r="AP449" i="12"/>
  <c r="AQ449" i="12"/>
  <c r="AR449" i="12"/>
  <c r="AS449" i="12"/>
  <c r="AT449" i="12"/>
  <c r="AP450" i="12"/>
  <c r="AQ450" i="12"/>
  <c r="AR450" i="12"/>
  <c r="AS450" i="12"/>
  <c r="AT450" i="12"/>
  <c r="AP451" i="12"/>
  <c r="AQ451" i="12"/>
  <c r="AR451" i="12"/>
  <c r="AS451" i="12"/>
  <c r="AT451" i="12"/>
  <c r="AP452" i="12"/>
  <c r="AQ452" i="12"/>
  <c r="AR452" i="12"/>
  <c r="AS452" i="12"/>
  <c r="AT452" i="12"/>
  <c r="AP453" i="12"/>
  <c r="AQ453" i="12"/>
  <c r="AR453" i="12"/>
  <c r="AS453" i="12"/>
  <c r="AT453" i="12"/>
  <c r="AP454" i="12"/>
  <c r="AQ454" i="12"/>
  <c r="AR454" i="12"/>
  <c r="AS454" i="12"/>
  <c r="AT454" i="12"/>
  <c r="AP455" i="12"/>
  <c r="AQ455" i="12"/>
  <c r="AR455" i="12"/>
  <c r="AS455" i="12"/>
  <c r="AT455" i="12"/>
  <c r="AP456" i="12"/>
  <c r="AQ456" i="12"/>
  <c r="AR456" i="12"/>
  <c r="AS456" i="12"/>
  <c r="AT456" i="12"/>
  <c r="AP457" i="12"/>
  <c r="AQ457" i="12"/>
  <c r="AR457" i="12"/>
  <c r="AS457" i="12"/>
  <c r="AT457" i="12"/>
  <c r="AP458" i="12"/>
  <c r="AQ458" i="12"/>
  <c r="AR458" i="12"/>
  <c r="AS458" i="12"/>
  <c r="AT458" i="12"/>
  <c r="AP459" i="12"/>
  <c r="AQ459" i="12"/>
  <c r="AR459" i="12"/>
  <c r="AS459" i="12"/>
  <c r="AT459" i="12"/>
  <c r="AP460" i="12"/>
  <c r="AQ460" i="12"/>
  <c r="AR460" i="12"/>
  <c r="AS460" i="12"/>
  <c r="AT460" i="12"/>
  <c r="AP461" i="12"/>
  <c r="AQ461" i="12"/>
  <c r="AR461" i="12"/>
  <c r="AS461" i="12"/>
  <c r="AT461" i="12"/>
  <c r="AP462" i="12"/>
  <c r="AQ462" i="12"/>
  <c r="AR462" i="12"/>
  <c r="AS462" i="12"/>
  <c r="AT462" i="12"/>
  <c r="AP463" i="12"/>
  <c r="AQ463" i="12"/>
  <c r="AR463" i="12"/>
  <c r="AS463" i="12"/>
  <c r="AT463" i="12"/>
  <c r="AP464" i="12"/>
  <c r="AQ464" i="12"/>
  <c r="AR464" i="12"/>
  <c r="AS464" i="12"/>
  <c r="AT464" i="12"/>
  <c r="AP465" i="12"/>
  <c r="AQ465" i="12"/>
  <c r="AR465" i="12"/>
  <c r="AS465" i="12"/>
  <c r="AT465" i="12"/>
  <c r="AP466" i="12"/>
  <c r="AQ466" i="12"/>
  <c r="AR466" i="12"/>
  <c r="AS466" i="12"/>
  <c r="AT466" i="12"/>
  <c r="AP467" i="12"/>
  <c r="AQ467" i="12"/>
  <c r="AR467" i="12"/>
  <c r="AS467" i="12"/>
  <c r="AT467" i="12"/>
  <c r="AP468" i="12"/>
  <c r="AQ468" i="12"/>
  <c r="AR468" i="12"/>
  <c r="AS468" i="12"/>
  <c r="AT468" i="12"/>
  <c r="AP469" i="12"/>
  <c r="AQ469" i="12"/>
  <c r="AR469" i="12"/>
  <c r="AS469" i="12"/>
  <c r="AT469" i="12"/>
  <c r="AP470" i="12"/>
  <c r="AQ470" i="12"/>
  <c r="AR470" i="12"/>
  <c r="AS470" i="12"/>
  <c r="AT470" i="12"/>
  <c r="AP471" i="12"/>
  <c r="AQ471" i="12"/>
  <c r="AR471" i="12"/>
  <c r="AS471" i="12"/>
  <c r="AT471" i="12"/>
  <c r="AP472" i="12"/>
  <c r="AQ472" i="12"/>
  <c r="AR472" i="12"/>
  <c r="AS472" i="12"/>
  <c r="AT472" i="12"/>
  <c r="AP473" i="12"/>
  <c r="AQ473" i="12"/>
  <c r="AR473" i="12"/>
  <c r="AS473" i="12"/>
  <c r="AT473" i="12"/>
  <c r="AP474" i="12"/>
  <c r="AQ474" i="12"/>
  <c r="AR474" i="12"/>
  <c r="AS474" i="12"/>
  <c r="AT474" i="12"/>
  <c r="AP475" i="12"/>
  <c r="AQ475" i="12"/>
  <c r="AR475" i="12"/>
  <c r="AS475" i="12"/>
  <c r="AT475" i="12"/>
  <c r="AP476" i="12"/>
  <c r="AQ476" i="12"/>
  <c r="AR476" i="12"/>
  <c r="AS476" i="12"/>
  <c r="AT476" i="12"/>
  <c r="AP477" i="12"/>
  <c r="AQ477" i="12"/>
  <c r="AR477" i="12"/>
  <c r="AS477" i="12"/>
  <c r="AT477" i="12"/>
  <c r="AP478" i="12"/>
  <c r="AQ478" i="12"/>
  <c r="AR478" i="12"/>
  <c r="AS478" i="12"/>
  <c r="AT478" i="12"/>
  <c r="AP479" i="12"/>
  <c r="AQ479" i="12"/>
  <c r="AR479" i="12"/>
  <c r="AS479" i="12"/>
  <c r="AT479" i="12"/>
  <c r="AP480" i="12"/>
  <c r="AQ480" i="12"/>
  <c r="AR480" i="12"/>
  <c r="AS480" i="12"/>
  <c r="AT480" i="12"/>
  <c r="AP481" i="12"/>
  <c r="AQ481" i="12"/>
  <c r="AR481" i="12"/>
  <c r="AS481" i="12"/>
  <c r="AT481" i="12"/>
  <c r="AP482" i="12"/>
  <c r="AQ482" i="12"/>
  <c r="AR482" i="12"/>
  <c r="AS482" i="12"/>
  <c r="AT482" i="12"/>
  <c r="AP483" i="12"/>
  <c r="AQ483" i="12"/>
  <c r="AR483" i="12"/>
  <c r="AS483" i="12"/>
  <c r="AT483" i="12"/>
  <c r="AP484" i="12"/>
  <c r="AQ484" i="12"/>
  <c r="AR484" i="12"/>
  <c r="AS484" i="12"/>
  <c r="AT484" i="12"/>
  <c r="AP485" i="12"/>
  <c r="AQ485" i="12"/>
  <c r="AR485" i="12"/>
  <c r="AS485" i="12"/>
  <c r="AT485" i="12"/>
  <c r="AP486" i="12"/>
  <c r="AQ486" i="12"/>
  <c r="AR486" i="12"/>
  <c r="AS486" i="12"/>
  <c r="AT486" i="12"/>
  <c r="AP487" i="12"/>
  <c r="AQ487" i="12"/>
  <c r="AR487" i="12"/>
  <c r="AS487" i="12"/>
  <c r="AT487" i="12"/>
  <c r="AP488" i="12"/>
  <c r="AQ488" i="12"/>
  <c r="AR488" i="12"/>
  <c r="AS488" i="12"/>
  <c r="AT488" i="12"/>
  <c r="AP489" i="12"/>
  <c r="AQ489" i="12"/>
  <c r="AR489" i="12"/>
  <c r="AS489" i="12"/>
  <c r="AT489" i="12"/>
  <c r="AP490" i="12"/>
  <c r="AQ490" i="12"/>
  <c r="AR490" i="12"/>
  <c r="AS490" i="12"/>
  <c r="AT490" i="12"/>
  <c r="AP491" i="12"/>
  <c r="AQ491" i="12"/>
  <c r="AR491" i="12"/>
  <c r="AS491" i="12"/>
  <c r="AT491" i="12"/>
  <c r="AP492" i="12"/>
  <c r="AQ492" i="12"/>
  <c r="AR492" i="12"/>
  <c r="AS492" i="12"/>
  <c r="AT492" i="12"/>
  <c r="AP493" i="12"/>
  <c r="AQ493" i="12"/>
  <c r="AR493" i="12"/>
  <c r="AS493" i="12"/>
  <c r="AT493" i="12"/>
  <c r="AP494" i="12"/>
  <c r="AQ494" i="12"/>
  <c r="AR494" i="12"/>
  <c r="AS494" i="12"/>
  <c r="AT494" i="12"/>
  <c r="AP495" i="12"/>
  <c r="AQ495" i="12"/>
  <c r="AR495" i="12"/>
  <c r="AS495" i="12"/>
  <c r="AT495" i="12"/>
  <c r="AP496" i="12"/>
  <c r="AQ496" i="12"/>
  <c r="AR496" i="12"/>
  <c r="AS496" i="12"/>
  <c r="AT496" i="12"/>
  <c r="AP497" i="12"/>
  <c r="AQ497" i="12"/>
  <c r="AR497" i="12"/>
  <c r="AS497" i="12"/>
  <c r="AT497" i="12"/>
  <c r="AP498" i="12"/>
  <c r="AQ498" i="12"/>
  <c r="AR498" i="12"/>
  <c r="AS498" i="12"/>
  <c r="AT498" i="12"/>
  <c r="AP499" i="12"/>
  <c r="AQ499" i="12"/>
  <c r="AR499" i="12"/>
  <c r="AS499" i="12"/>
  <c r="AT499" i="12"/>
  <c r="AP500" i="12"/>
  <c r="AQ500" i="12"/>
  <c r="AR500" i="12"/>
  <c r="AS500" i="12"/>
  <c r="AT500" i="12"/>
  <c r="AP501" i="12"/>
  <c r="AQ501" i="12"/>
  <c r="AR501" i="12"/>
  <c r="AS501" i="12"/>
  <c r="AT501" i="12"/>
  <c r="AP502" i="12"/>
  <c r="AQ502" i="12"/>
  <c r="AR502" i="12"/>
  <c r="AS502" i="12"/>
  <c r="AT502" i="12"/>
  <c r="AP503" i="12"/>
  <c r="AQ503" i="12"/>
  <c r="AR503" i="12"/>
  <c r="AS503" i="12"/>
  <c r="AT503" i="12"/>
  <c r="AP504" i="12"/>
  <c r="AQ504" i="12"/>
  <c r="AR504" i="12"/>
  <c r="AS504" i="12"/>
  <c r="AT504" i="12"/>
  <c r="AP505" i="12"/>
  <c r="AQ505" i="12"/>
  <c r="AR505" i="12"/>
  <c r="AS505" i="12"/>
  <c r="AT505" i="12"/>
  <c r="AP506" i="12"/>
  <c r="AQ506" i="12"/>
  <c r="AR506" i="12"/>
  <c r="AS506" i="12"/>
  <c r="AT506" i="12"/>
  <c r="AP507" i="12"/>
  <c r="AQ507" i="12"/>
  <c r="AR507" i="12"/>
  <c r="AS507" i="12"/>
  <c r="AT507" i="12"/>
  <c r="AP508" i="12"/>
  <c r="AQ508" i="12"/>
  <c r="AR508" i="12"/>
  <c r="AS508" i="12"/>
  <c r="AT508" i="12"/>
  <c r="AP509" i="12"/>
  <c r="AQ509" i="12"/>
  <c r="AR509" i="12"/>
  <c r="AS509" i="12"/>
  <c r="AT509" i="12"/>
  <c r="AP510" i="12"/>
  <c r="AQ510" i="12"/>
  <c r="AR510" i="12"/>
  <c r="AS510" i="12"/>
  <c r="AT510" i="12"/>
  <c r="AP511" i="12"/>
  <c r="AQ511" i="12"/>
  <c r="AR511" i="12"/>
  <c r="AS511" i="12"/>
  <c r="AT511" i="12"/>
  <c r="AP512" i="12"/>
  <c r="AQ512" i="12"/>
  <c r="AR512" i="12"/>
  <c r="AS512" i="12"/>
  <c r="AT512" i="12"/>
  <c r="AP513" i="12"/>
  <c r="AQ513" i="12"/>
  <c r="AR513" i="12"/>
  <c r="AS513" i="12"/>
  <c r="AT513" i="12"/>
  <c r="AP514" i="12"/>
  <c r="AQ514" i="12"/>
  <c r="AR514" i="12"/>
  <c r="AS514" i="12"/>
  <c r="AT514" i="12"/>
  <c r="AP515" i="12"/>
  <c r="AQ515" i="12"/>
  <c r="AR515" i="12"/>
  <c r="AS515" i="12"/>
  <c r="AT515" i="12"/>
  <c r="AP516" i="12"/>
  <c r="AQ516" i="12"/>
  <c r="AR516" i="12"/>
  <c r="AS516" i="12"/>
  <c r="AT516" i="12"/>
  <c r="AP517" i="12"/>
  <c r="AQ517" i="12"/>
  <c r="AR517" i="12"/>
  <c r="AS517" i="12"/>
  <c r="AT517" i="12"/>
  <c r="AP518" i="12"/>
  <c r="AQ518" i="12"/>
  <c r="AR518" i="12"/>
  <c r="AS518" i="12"/>
  <c r="AT518" i="12"/>
  <c r="AP519" i="12"/>
  <c r="AQ519" i="12"/>
  <c r="AR519" i="12"/>
  <c r="AS519" i="12"/>
  <c r="AT519" i="12"/>
  <c r="AP520" i="12"/>
  <c r="AQ520" i="12"/>
  <c r="AR520" i="12"/>
  <c r="AS520" i="12"/>
  <c r="AT520" i="12"/>
  <c r="AP521" i="12"/>
  <c r="AQ521" i="12"/>
  <c r="AR521" i="12"/>
  <c r="AS521" i="12"/>
  <c r="AT521" i="12"/>
  <c r="AP522" i="12"/>
  <c r="AQ522" i="12"/>
  <c r="AR522" i="12"/>
  <c r="AS522" i="12"/>
  <c r="AT522" i="12"/>
  <c r="AP523" i="12"/>
  <c r="AQ523" i="12"/>
  <c r="AR523" i="12"/>
  <c r="AS523" i="12"/>
  <c r="AT523" i="12"/>
  <c r="AP524" i="12"/>
  <c r="AQ524" i="12"/>
  <c r="AR524" i="12"/>
  <c r="AS524" i="12"/>
  <c r="AT524" i="12"/>
  <c r="AP525" i="12"/>
  <c r="AQ525" i="12"/>
  <c r="AR525" i="12"/>
  <c r="AS525" i="12"/>
  <c r="AT525" i="12"/>
  <c r="AP526" i="12"/>
  <c r="AQ526" i="12"/>
  <c r="AR526" i="12"/>
  <c r="AS526" i="12"/>
  <c r="AT526" i="12"/>
  <c r="AP527" i="12"/>
  <c r="AQ527" i="12"/>
  <c r="AR527" i="12"/>
  <c r="AS527" i="12"/>
  <c r="AT527" i="12"/>
  <c r="AP528" i="12"/>
  <c r="AQ528" i="12"/>
  <c r="AR528" i="12"/>
  <c r="AS528" i="12"/>
  <c r="AT528" i="12"/>
  <c r="AP529" i="12"/>
  <c r="AQ529" i="12"/>
  <c r="AR529" i="12"/>
  <c r="AS529" i="12"/>
  <c r="AT529" i="12"/>
  <c r="AP530" i="12"/>
  <c r="AQ530" i="12"/>
  <c r="AR530" i="12"/>
  <c r="AS530" i="12"/>
  <c r="AT530" i="12"/>
  <c r="AP531" i="12"/>
  <c r="AQ531" i="12"/>
  <c r="AR531" i="12"/>
  <c r="AS531" i="12"/>
  <c r="AT531" i="12"/>
  <c r="AP532" i="12"/>
  <c r="AQ532" i="12"/>
  <c r="AR532" i="12"/>
  <c r="AS532" i="12"/>
  <c r="AT532" i="12"/>
  <c r="AP533" i="12"/>
  <c r="AQ533" i="12"/>
  <c r="AR533" i="12"/>
  <c r="AS533" i="12"/>
  <c r="AT533" i="12"/>
  <c r="AP534" i="12"/>
  <c r="AQ534" i="12"/>
  <c r="AR534" i="12"/>
  <c r="AS534" i="12"/>
  <c r="AT534" i="12"/>
  <c r="AP535" i="12"/>
  <c r="AQ535" i="12"/>
  <c r="AR535" i="12"/>
  <c r="AS535" i="12"/>
  <c r="AT535" i="12"/>
  <c r="AP536" i="12"/>
  <c r="AQ536" i="12"/>
  <c r="AR536" i="12"/>
  <c r="AS536" i="12"/>
  <c r="AT536" i="12"/>
  <c r="AP537" i="12"/>
  <c r="AQ537" i="12"/>
  <c r="AR537" i="12"/>
  <c r="AS537" i="12"/>
  <c r="AT537" i="12"/>
  <c r="AP538" i="12"/>
  <c r="AQ538" i="12"/>
  <c r="AR538" i="12"/>
  <c r="AS538" i="12"/>
  <c r="AT538" i="12"/>
  <c r="AP539" i="12"/>
  <c r="AQ539" i="12"/>
  <c r="AR539" i="12"/>
  <c r="AS539" i="12"/>
  <c r="AT539" i="12"/>
  <c r="AP540" i="12"/>
  <c r="AQ540" i="12"/>
  <c r="AR540" i="12"/>
  <c r="AS540" i="12"/>
  <c r="AT540" i="12"/>
  <c r="AP541" i="12"/>
  <c r="AQ541" i="12"/>
  <c r="AR541" i="12"/>
  <c r="AS541" i="12"/>
  <c r="AT541" i="12"/>
  <c r="AP542" i="12"/>
  <c r="AQ542" i="12"/>
  <c r="AR542" i="12"/>
  <c r="AS542" i="12"/>
  <c r="AT542" i="12"/>
  <c r="AP543" i="12"/>
  <c r="AQ543" i="12"/>
  <c r="AR543" i="12"/>
  <c r="AS543" i="12"/>
  <c r="AT543" i="12"/>
  <c r="AP544" i="12"/>
  <c r="AQ544" i="12"/>
  <c r="AR544" i="12"/>
  <c r="AS544" i="12"/>
  <c r="AT544" i="12"/>
  <c r="AP545" i="12"/>
  <c r="AQ545" i="12"/>
  <c r="AR545" i="12"/>
  <c r="AS545" i="12"/>
  <c r="AT545" i="12"/>
  <c r="AP546" i="12"/>
  <c r="AQ546" i="12"/>
  <c r="AR546" i="12"/>
  <c r="AS546" i="12"/>
  <c r="AT546" i="12"/>
  <c r="AP547" i="12"/>
  <c r="AQ547" i="12"/>
  <c r="AR547" i="12"/>
  <c r="AS547" i="12"/>
  <c r="AT547" i="12"/>
  <c r="AP548" i="12"/>
  <c r="AQ548" i="12"/>
  <c r="AR548" i="12"/>
  <c r="AS548" i="12"/>
  <c r="AT548" i="12"/>
  <c r="AP549" i="12"/>
  <c r="AQ549" i="12"/>
  <c r="AR549" i="12"/>
  <c r="AS549" i="12"/>
  <c r="AT549" i="12"/>
  <c r="AP550" i="12"/>
  <c r="AQ550" i="12"/>
  <c r="AR550" i="12"/>
  <c r="AS550" i="12"/>
  <c r="AT550" i="12"/>
  <c r="AP551" i="12"/>
  <c r="AQ551" i="12"/>
  <c r="AR551" i="12"/>
  <c r="AS551" i="12"/>
  <c r="AT551" i="12"/>
  <c r="AP552" i="12"/>
  <c r="AQ552" i="12"/>
  <c r="AR552" i="12"/>
  <c r="AS552" i="12"/>
  <c r="AT552" i="12"/>
  <c r="AP553" i="12"/>
  <c r="AQ553" i="12"/>
  <c r="AR553" i="12"/>
  <c r="AS553" i="12"/>
  <c r="AT553" i="12"/>
  <c r="AP554" i="12"/>
  <c r="AQ554" i="12"/>
  <c r="AR554" i="12"/>
  <c r="AS554" i="12"/>
  <c r="AT554" i="12"/>
  <c r="AP555" i="12"/>
  <c r="AQ555" i="12"/>
  <c r="AR555" i="12"/>
  <c r="AS555" i="12"/>
  <c r="AT555" i="12"/>
  <c r="AP556" i="12"/>
  <c r="AQ556" i="12"/>
  <c r="AR556" i="12"/>
  <c r="AS556" i="12"/>
  <c r="AT556" i="12"/>
  <c r="AP557" i="12"/>
  <c r="AQ557" i="12"/>
  <c r="AR557" i="12"/>
  <c r="AS557" i="12"/>
  <c r="AT557" i="12"/>
  <c r="AP558" i="12"/>
  <c r="AQ558" i="12"/>
  <c r="AR558" i="12"/>
  <c r="AS558" i="12"/>
  <c r="AT558" i="12"/>
  <c r="AP559" i="12"/>
  <c r="AQ559" i="12"/>
  <c r="AR559" i="12"/>
  <c r="AS559" i="12"/>
  <c r="AT559" i="12"/>
  <c r="AP560" i="12"/>
  <c r="AQ560" i="12"/>
  <c r="AR560" i="12"/>
  <c r="AS560" i="12"/>
  <c r="AT560" i="12"/>
  <c r="AP561" i="12"/>
  <c r="AQ561" i="12"/>
  <c r="AR561" i="12"/>
  <c r="AS561" i="12"/>
  <c r="AT561" i="12"/>
  <c r="AP562" i="12"/>
  <c r="AQ562" i="12"/>
  <c r="AR562" i="12"/>
  <c r="AS562" i="12"/>
  <c r="AT562" i="12"/>
  <c r="AP563" i="12"/>
  <c r="AQ563" i="12"/>
  <c r="AR563" i="12"/>
  <c r="AS563" i="12"/>
  <c r="AT563" i="12"/>
  <c r="AP564" i="12"/>
  <c r="AQ564" i="12"/>
  <c r="AR564" i="12"/>
  <c r="AS564" i="12"/>
  <c r="AT564" i="12"/>
  <c r="AP565" i="12"/>
  <c r="AQ565" i="12"/>
  <c r="AR565" i="12"/>
  <c r="AS565" i="12"/>
  <c r="AT565" i="12"/>
  <c r="AP566" i="12"/>
  <c r="AQ566" i="12"/>
  <c r="AR566" i="12"/>
  <c r="AS566" i="12"/>
  <c r="AT566" i="12"/>
  <c r="AP567" i="12"/>
  <c r="AQ567" i="12"/>
  <c r="AR567" i="12"/>
  <c r="AS567" i="12"/>
  <c r="AT567" i="12"/>
  <c r="AP568" i="12"/>
  <c r="AQ568" i="12"/>
  <c r="AR568" i="12"/>
  <c r="AS568" i="12"/>
  <c r="AT568" i="12"/>
  <c r="AP569" i="12"/>
  <c r="AQ569" i="12"/>
  <c r="AR569" i="12"/>
  <c r="AS569" i="12"/>
  <c r="AT569" i="12"/>
  <c r="AP570" i="12"/>
  <c r="AQ570" i="12"/>
  <c r="AR570" i="12"/>
  <c r="AS570" i="12"/>
  <c r="AT570" i="12"/>
  <c r="AP571" i="12"/>
  <c r="AQ571" i="12"/>
  <c r="AR571" i="12"/>
  <c r="AS571" i="12"/>
  <c r="AT571" i="12"/>
  <c r="AP572" i="12"/>
  <c r="AQ572" i="12"/>
  <c r="AR572" i="12"/>
  <c r="AS572" i="12"/>
  <c r="AT572" i="12"/>
  <c r="AP573" i="12"/>
  <c r="AQ573" i="12"/>
  <c r="AR573" i="12"/>
  <c r="AS573" i="12"/>
  <c r="AT573" i="12"/>
  <c r="AP574" i="12"/>
  <c r="AQ574" i="12"/>
  <c r="AR574" i="12"/>
  <c r="AS574" i="12"/>
  <c r="AT574" i="12"/>
  <c r="AP575" i="12"/>
  <c r="AQ575" i="12"/>
  <c r="AR575" i="12"/>
  <c r="AS575" i="12"/>
  <c r="AT575" i="12"/>
  <c r="AP576" i="12"/>
  <c r="AQ576" i="12"/>
  <c r="AR576" i="12"/>
  <c r="AS576" i="12"/>
  <c r="AT576" i="12"/>
  <c r="AP577" i="12"/>
  <c r="AQ577" i="12"/>
  <c r="AR577" i="12"/>
  <c r="AS577" i="12"/>
  <c r="AT577" i="12"/>
  <c r="AP578" i="12"/>
  <c r="AQ578" i="12"/>
  <c r="AR578" i="12"/>
  <c r="AS578" i="12"/>
  <c r="AT578" i="12"/>
  <c r="AP579" i="12"/>
  <c r="AQ579" i="12"/>
  <c r="AR579" i="12"/>
  <c r="AS579" i="12"/>
  <c r="AT579" i="12"/>
  <c r="AP580" i="12"/>
  <c r="AQ580" i="12"/>
  <c r="AR580" i="12"/>
  <c r="AS580" i="12"/>
  <c r="AT580" i="12"/>
  <c r="AP581" i="12"/>
  <c r="AQ581" i="12"/>
  <c r="AR581" i="12"/>
  <c r="AS581" i="12"/>
  <c r="AT581" i="12"/>
  <c r="AP582" i="12"/>
  <c r="AQ582" i="12"/>
  <c r="AR582" i="12"/>
  <c r="AS582" i="12"/>
  <c r="AT582" i="12"/>
  <c r="AP583" i="12"/>
  <c r="AQ583" i="12"/>
  <c r="AR583" i="12"/>
  <c r="AS583" i="12"/>
  <c r="AT583" i="12"/>
  <c r="AP584" i="12"/>
  <c r="AQ584" i="12"/>
  <c r="AR584" i="12"/>
  <c r="AS584" i="12"/>
  <c r="AT584" i="12"/>
  <c r="AP585" i="12"/>
  <c r="AQ585" i="12"/>
  <c r="AR585" i="12"/>
  <c r="AS585" i="12"/>
  <c r="AT585" i="12"/>
  <c r="AP586" i="12"/>
  <c r="AQ586" i="12"/>
  <c r="AR586" i="12"/>
  <c r="AS586" i="12"/>
  <c r="AT586" i="12"/>
  <c r="AP587" i="12"/>
  <c r="AQ587" i="12"/>
  <c r="AR587" i="12"/>
  <c r="AS587" i="12"/>
  <c r="AT587" i="12"/>
  <c r="AP588" i="12"/>
  <c r="AQ588" i="12"/>
  <c r="AR588" i="12"/>
  <c r="AS588" i="12"/>
  <c r="AT588" i="12"/>
  <c r="AP589" i="12"/>
  <c r="AQ589" i="12"/>
  <c r="AR589" i="12"/>
  <c r="AS589" i="12"/>
  <c r="AT589" i="12"/>
  <c r="AP590" i="12"/>
  <c r="AQ590" i="12"/>
  <c r="AR590" i="12"/>
  <c r="AS590" i="12"/>
  <c r="AT590" i="12"/>
  <c r="AP591" i="12"/>
  <c r="AQ591" i="12"/>
  <c r="AR591" i="12"/>
  <c r="AS591" i="12"/>
  <c r="AT591" i="12"/>
  <c r="AP592" i="12"/>
  <c r="AQ592" i="12"/>
  <c r="AR592" i="12"/>
  <c r="AS592" i="12"/>
  <c r="AT592" i="12"/>
  <c r="AP593" i="12"/>
  <c r="AQ593" i="12"/>
  <c r="AR593" i="12"/>
  <c r="AS593" i="12"/>
  <c r="AT593" i="12"/>
  <c r="AP594" i="12"/>
  <c r="AQ594" i="12"/>
  <c r="AR594" i="12"/>
  <c r="AS594" i="12"/>
  <c r="AT594" i="12"/>
  <c r="AP595" i="12"/>
  <c r="AQ595" i="12"/>
  <c r="AR595" i="12"/>
  <c r="AS595" i="12"/>
  <c r="AT595" i="12"/>
  <c r="AP596" i="12"/>
  <c r="AQ596" i="12"/>
  <c r="AR596" i="12"/>
  <c r="AS596" i="12"/>
  <c r="AT596" i="12"/>
  <c r="AP597" i="12"/>
  <c r="AQ597" i="12"/>
  <c r="AR597" i="12"/>
  <c r="AS597" i="12"/>
  <c r="AT597" i="12"/>
  <c r="AP598" i="12"/>
  <c r="AQ598" i="12"/>
  <c r="AR598" i="12"/>
  <c r="AS598" i="12"/>
  <c r="AT598" i="12"/>
  <c r="AP599" i="12"/>
  <c r="AQ599" i="12"/>
  <c r="AR599" i="12"/>
  <c r="AS599" i="12"/>
  <c r="AT599" i="12"/>
  <c r="AP600" i="12"/>
  <c r="AQ600" i="12"/>
  <c r="AR600" i="12"/>
  <c r="AS600" i="12"/>
  <c r="AT600" i="12"/>
  <c r="AP601" i="12"/>
  <c r="AQ601" i="12"/>
  <c r="AR601" i="12"/>
  <c r="AS601" i="12"/>
  <c r="AT601" i="12"/>
  <c r="AP602" i="12"/>
  <c r="AQ602" i="12"/>
  <c r="AR602" i="12"/>
  <c r="AS602" i="12"/>
  <c r="AT602" i="12"/>
  <c r="AP603" i="12"/>
  <c r="AQ603" i="12"/>
  <c r="AR603" i="12"/>
  <c r="AS603" i="12"/>
  <c r="AT603" i="12"/>
  <c r="AP604" i="12"/>
  <c r="AQ604" i="12"/>
  <c r="AR604" i="12"/>
  <c r="AS604" i="12"/>
  <c r="AT604" i="12"/>
  <c r="AP605" i="12"/>
  <c r="AQ605" i="12"/>
  <c r="AR605" i="12"/>
  <c r="AS605" i="12"/>
  <c r="AT605" i="12"/>
  <c r="AP606" i="12"/>
  <c r="AQ606" i="12"/>
  <c r="AR606" i="12"/>
  <c r="AS606" i="12"/>
  <c r="AT606" i="12"/>
  <c r="AP607" i="12"/>
  <c r="AQ607" i="12"/>
  <c r="AR607" i="12"/>
  <c r="AS607" i="12"/>
  <c r="AT607" i="12"/>
  <c r="AP608" i="12"/>
  <c r="AQ608" i="12"/>
  <c r="AR608" i="12"/>
  <c r="AS608" i="12"/>
  <c r="AT608" i="12"/>
  <c r="AP609" i="12"/>
  <c r="AQ609" i="12"/>
  <c r="AR609" i="12"/>
  <c r="AS609" i="12"/>
  <c r="AT609" i="12"/>
  <c r="AP610" i="12"/>
  <c r="AQ610" i="12"/>
  <c r="AR610" i="12"/>
  <c r="AS610" i="12"/>
  <c r="AT610" i="12"/>
  <c r="AP611" i="12"/>
  <c r="AQ611" i="12"/>
  <c r="AR611" i="12"/>
  <c r="AS611" i="12"/>
  <c r="AT611" i="12"/>
  <c r="AP612" i="12"/>
  <c r="AQ612" i="12"/>
  <c r="AR612" i="12"/>
  <c r="AS612" i="12"/>
  <c r="AT612" i="12"/>
  <c r="AP613" i="12"/>
  <c r="AQ613" i="12"/>
  <c r="AR613" i="12"/>
  <c r="AS613" i="12"/>
  <c r="AT613" i="12"/>
  <c r="AP614" i="12"/>
  <c r="AQ614" i="12"/>
  <c r="AR614" i="12"/>
  <c r="AS614" i="12"/>
  <c r="AT614" i="12"/>
  <c r="AP615" i="12"/>
  <c r="AQ615" i="12"/>
  <c r="AR615" i="12"/>
  <c r="AS615" i="12"/>
  <c r="AT615" i="12"/>
  <c r="AP616" i="12"/>
  <c r="AQ616" i="12"/>
  <c r="AR616" i="12"/>
  <c r="AS616" i="12"/>
  <c r="AT616" i="12"/>
  <c r="AP617" i="12"/>
  <c r="AQ617" i="12"/>
  <c r="AR617" i="12"/>
  <c r="AS617" i="12"/>
  <c r="AT617" i="12"/>
  <c r="AP618" i="12"/>
  <c r="AQ618" i="12"/>
  <c r="AR618" i="12"/>
  <c r="AS618" i="12"/>
  <c r="AT618" i="12"/>
  <c r="AP619" i="12"/>
  <c r="AQ619" i="12"/>
  <c r="AR619" i="12"/>
  <c r="AS619" i="12"/>
  <c r="AT619" i="12"/>
  <c r="AP620" i="12"/>
  <c r="AQ620" i="12"/>
  <c r="AR620" i="12"/>
  <c r="AS620" i="12"/>
  <c r="AT620" i="12"/>
  <c r="AP621" i="12"/>
  <c r="AQ621" i="12"/>
  <c r="AR621" i="12"/>
  <c r="AS621" i="12"/>
  <c r="AT621" i="12"/>
  <c r="AP622" i="12"/>
  <c r="AQ622" i="12"/>
  <c r="AR622" i="12"/>
  <c r="AS622" i="12"/>
  <c r="AT622" i="12"/>
  <c r="AP623" i="12"/>
  <c r="AQ623" i="12"/>
  <c r="AR623" i="12"/>
  <c r="AS623" i="12"/>
  <c r="AT623" i="12"/>
  <c r="AP624" i="12"/>
  <c r="AQ624" i="12"/>
  <c r="AR624" i="12"/>
  <c r="AS624" i="12"/>
  <c r="AT624" i="12"/>
  <c r="AP625" i="12"/>
  <c r="AQ625" i="12"/>
  <c r="AR625" i="12"/>
  <c r="AS625" i="12"/>
  <c r="AT625" i="12"/>
  <c r="AP626" i="12"/>
  <c r="AQ626" i="12"/>
  <c r="AR626" i="12"/>
  <c r="AS626" i="12"/>
  <c r="AT626" i="12"/>
  <c r="AP627" i="12"/>
  <c r="AQ627" i="12"/>
  <c r="AR627" i="12"/>
  <c r="AS627" i="12"/>
  <c r="AT627" i="12"/>
  <c r="AP628" i="12"/>
  <c r="AQ628" i="12"/>
  <c r="AR628" i="12"/>
  <c r="AS628" i="12"/>
  <c r="AT628" i="12"/>
  <c r="AP629" i="12"/>
  <c r="AQ629" i="12"/>
  <c r="AR629" i="12"/>
  <c r="AS629" i="12"/>
  <c r="AT629" i="12"/>
  <c r="AP630" i="12"/>
  <c r="AQ630" i="12"/>
  <c r="AR630" i="12"/>
  <c r="AS630" i="12"/>
  <c r="AT630" i="12"/>
  <c r="AP631" i="12"/>
  <c r="AQ631" i="12"/>
  <c r="AR631" i="12"/>
  <c r="AS631" i="12"/>
  <c r="AT631" i="12"/>
  <c r="AP632" i="12"/>
  <c r="AQ632" i="12"/>
  <c r="AR632" i="12"/>
  <c r="AS632" i="12"/>
  <c r="AT632" i="12"/>
  <c r="AP633" i="12"/>
  <c r="AQ633" i="12"/>
  <c r="AR633" i="12"/>
  <c r="AS633" i="12"/>
  <c r="AT633" i="12"/>
  <c r="AP634" i="12"/>
  <c r="AQ634" i="12"/>
  <c r="AR634" i="12"/>
  <c r="AS634" i="12"/>
  <c r="AT634" i="12"/>
  <c r="AP635" i="12"/>
  <c r="AQ635" i="12"/>
  <c r="AR635" i="12"/>
  <c r="AS635" i="12"/>
  <c r="AT635" i="12"/>
  <c r="AP636" i="12"/>
  <c r="AQ636" i="12"/>
  <c r="AR636" i="12"/>
  <c r="AS636" i="12"/>
  <c r="AT636" i="12"/>
  <c r="AP637" i="12"/>
  <c r="AQ637" i="12"/>
  <c r="AR637" i="12"/>
  <c r="AS637" i="12"/>
  <c r="AT637" i="12"/>
  <c r="AP638" i="12"/>
  <c r="AQ638" i="12"/>
  <c r="AR638" i="12"/>
  <c r="AS638" i="12"/>
  <c r="AT638" i="12"/>
  <c r="AP639" i="12"/>
  <c r="AQ639" i="12"/>
  <c r="AR639" i="12"/>
  <c r="AS639" i="12"/>
  <c r="AT639" i="12"/>
  <c r="AP640" i="12"/>
  <c r="AQ640" i="12"/>
  <c r="AR640" i="12"/>
  <c r="AS640" i="12"/>
  <c r="AT640" i="12"/>
  <c r="AP641" i="12"/>
  <c r="AQ641" i="12"/>
  <c r="AR641" i="12"/>
  <c r="AS641" i="12"/>
  <c r="AT641" i="12"/>
  <c r="AP642" i="12"/>
  <c r="AQ642" i="12"/>
  <c r="AR642" i="12"/>
  <c r="AS642" i="12"/>
  <c r="AT642" i="12"/>
  <c r="AP643" i="12"/>
  <c r="AQ643" i="12"/>
  <c r="AR643" i="12"/>
  <c r="AS643" i="12"/>
  <c r="AT643" i="12"/>
  <c r="AP644" i="12"/>
  <c r="AQ644" i="12"/>
  <c r="AR644" i="12"/>
  <c r="AS644" i="12"/>
  <c r="AT644" i="12"/>
  <c r="AP645" i="12"/>
  <c r="AQ645" i="12"/>
  <c r="AR645" i="12"/>
  <c r="AS645" i="12"/>
  <c r="AT645" i="12"/>
  <c r="AP646" i="12"/>
  <c r="AQ646" i="12"/>
  <c r="AR646" i="12"/>
  <c r="AS646" i="12"/>
  <c r="AT646" i="12"/>
  <c r="AP647" i="12"/>
  <c r="AQ647" i="12"/>
  <c r="AR647" i="12"/>
  <c r="AS647" i="12"/>
  <c r="AT647" i="12"/>
  <c r="AP648" i="12"/>
  <c r="AQ648" i="12"/>
  <c r="AR648" i="12"/>
  <c r="AS648" i="12"/>
  <c r="AT648" i="12"/>
  <c r="AP649" i="12"/>
  <c r="AQ649" i="12"/>
  <c r="AR649" i="12"/>
  <c r="AS649" i="12"/>
  <c r="AT649" i="12"/>
  <c r="AP650" i="12"/>
  <c r="AQ650" i="12"/>
  <c r="AR650" i="12"/>
  <c r="AS650" i="12"/>
  <c r="AT650" i="12"/>
  <c r="AP651" i="12"/>
  <c r="AQ651" i="12"/>
  <c r="AR651" i="12"/>
  <c r="AS651" i="12"/>
  <c r="AT651" i="12"/>
  <c r="AP652" i="12"/>
  <c r="AQ652" i="12"/>
  <c r="AR652" i="12"/>
  <c r="AS652" i="12"/>
  <c r="AT652" i="12"/>
  <c r="AP653" i="12"/>
  <c r="AQ653" i="12"/>
  <c r="AR653" i="12"/>
  <c r="AS653" i="12"/>
  <c r="AT653" i="12"/>
  <c r="AP654" i="12"/>
  <c r="AQ654" i="12"/>
  <c r="AR654" i="12"/>
  <c r="AS654" i="12"/>
  <c r="AT654" i="12"/>
  <c r="AP655" i="12"/>
  <c r="AQ655" i="12"/>
  <c r="AR655" i="12"/>
  <c r="AS655" i="12"/>
  <c r="AT655" i="12"/>
  <c r="AP656" i="12"/>
  <c r="AQ656" i="12"/>
  <c r="AR656" i="12"/>
  <c r="AS656" i="12"/>
  <c r="AT656" i="12"/>
  <c r="AP657" i="12"/>
  <c r="AQ657" i="12"/>
  <c r="AR657" i="12"/>
  <c r="AS657" i="12"/>
  <c r="AT657" i="12"/>
  <c r="AP658" i="12"/>
  <c r="AQ658" i="12"/>
  <c r="AR658" i="12"/>
  <c r="AS658" i="12"/>
  <c r="AT658" i="12"/>
  <c r="AP659" i="12"/>
  <c r="AQ659" i="12"/>
  <c r="AR659" i="12"/>
  <c r="AS659" i="12"/>
  <c r="AT659" i="12"/>
  <c r="AP660" i="12"/>
  <c r="AQ660" i="12"/>
  <c r="AR660" i="12"/>
  <c r="AS660" i="12"/>
  <c r="AT660" i="12"/>
  <c r="AP661" i="12"/>
  <c r="AQ661" i="12"/>
  <c r="AR661" i="12"/>
  <c r="AS661" i="12"/>
  <c r="AT661" i="12"/>
  <c r="AP662" i="12"/>
  <c r="AQ662" i="12"/>
  <c r="AR662" i="12"/>
  <c r="AS662" i="12"/>
  <c r="AT662" i="12"/>
  <c r="AP663" i="12"/>
  <c r="AQ663" i="12"/>
  <c r="AR663" i="12"/>
  <c r="AS663" i="12"/>
  <c r="AT663" i="12"/>
  <c r="AP664" i="12"/>
  <c r="AQ664" i="12"/>
  <c r="AR664" i="12"/>
  <c r="AS664" i="12"/>
  <c r="AT664" i="12"/>
  <c r="AP665" i="12"/>
  <c r="AQ665" i="12"/>
  <c r="AR665" i="12"/>
  <c r="AS665" i="12"/>
  <c r="AT665" i="12"/>
  <c r="AP666" i="12"/>
  <c r="AQ666" i="12"/>
  <c r="AR666" i="12"/>
  <c r="AS666" i="12"/>
  <c r="AT666" i="12"/>
  <c r="AP667" i="12"/>
  <c r="AQ667" i="12"/>
  <c r="AR667" i="12"/>
  <c r="AS667" i="12"/>
  <c r="AT667" i="12"/>
  <c r="AP668" i="12"/>
  <c r="AQ668" i="12"/>
  <c r="AR668" i="12"/>
  <c r="AS668" i="12"/>
  <c r="AT668" i="12"/>
  <c r="AP669" i="12"/>
  <c r="AQ669" i="12"/>
  <c r="AR669" i="12"/>
  <c r="AS669" i="12"/>
  <c r="AT669" i="12"/>
  <c r="AP670" i="12"/>
  <c r="AQ670" i="12"/>
  <c r="AR670" i="12"/>
  <c r="AS670" i="12"/>
  <c r="AT670" i="12"/>
  <c r="AP671" i="12"/>
  <c r="AQ671" i="12"/>
  <c r="AR671" i="12"/>
  <c r="AS671" i="12"/>
  <c r="AT671" i="12"/>
  <c r="AP672" i="12"/>
  <c r="AQ672" i="12"/>
  <c r="AR672" i="12"/>
  <c r="AS672" i="12"/>
  <c r="AT672" i="12"/>
  <c r="AP673" i="12"/>
  <c r="AQ673" i="12"/>
  <c r="AR673" i="12"/>
  <c r="AS673" i="12"/>
  <c r="AT673" i="12"/>
  <c r="AP674" i="12"/>
  <c r="AQ674" i="12"/>
  <c r="AR674" i="12"/>
  <c r="AS674" i="12"/>
  <c r="AT674" i="12"/>
  <c r="AP675" i="12"/>
  <c r="AQ675" i="12"/>
  <c r="AR675" i="12"/>
  <c r="AS675" i="12"/>
  <c r="AT675" i="12"/>
  <c r="AP676" i="12"/>
  <c r="AQ676" i="12"/>
  <c r="AR676" i="12"/>
  <c r="AS676" i="12"/>
  <c r="AT676" i="12"/>
  <c r="AP677" i="12"/>
  <c r="AQ677" i="12"/>
  <c r="AR677" i="12"/>
  <c r="AS677" i="12"/>
  <c r="AT677" i="12"/>
  <c r="AP678" i="12"/>
  <c r="AQ678" i="12"/>
  <c r="AR678" i="12"/>
  <c r="AS678" i="12"/>
  <c r="AT678" i="12"/>
  <c r="AP679" i="12"/>
  <c r="AQ679" i="12"/>
  <c r="AR679" i="12"/>
  <c r="AS679" i="12"/>
  <c r="AT679" i="12"/>
  <c r="AP680" i="12"/>
  <c r="AQ680" i="12"/>
  <c r="AR680" i="12"/>
  <c r="AS680" i="12"/>
  <c r="AT680" i="12"/>
  <c r="AP681" i="12"/>
  <c r="AQ681" i="12"/>
  <c r="AR681" i="12"/>
  <c r="AS681" i="12"/>
  <c r="AT681" i="12"/>
  <c r="AP682" i="12"/>
  <c r="AQ682" i="12"/>
  <c r="AR682" i="12"/>
  <c r="AS682" i="12"/>
  <c r="AT682" i="12"/>
  <c r="AP683" i="12"/>
  <c r="AQ683" i="12"/>
  <c r="AR683" i="12"/>
  <c r="AS683" i="12"/>
  <c r="AT683" i="12"/>
  <c r="AP684" i="12"/>
  <c r="AQ684" i="12"/>
  <c r="AR684" i="12"/>
  <c r="AS684" i="12"/>
  <c r="AT684" i="12"/>
  <c r="AP685" i="12"/>
  <c r="AQ685" i="12"/>
  <c r="AR685" i="12"/>
  <c r="AS685" i="12"/>
  <c r="AT685" i="12"/>
  <c r="AP686" i="12"/>
  <c r="AQ686" i="12"/>
  <c r="AR686" i="12"/>
  <c r="AS686" i="12"/>
  <c r="AT686" i="12"/>
  <c r="AP687" i="12"/>
  <c r="AQ687" i="12"/>
  <c r="AR687" i="12"/>
  <c r="AS687" i="12"/>
  <c r="AT687" i="12"/>
  <c r="AP688" i="12"/>
  <c r="AQ688" i="12"/>
  <c r="AR688" i="12"/>
  <c r="AS688" i="12"/>
  <c r="AT688" i="12"/>
  <c r="AP689" i="12"/>
  <c r="AQ689" i="12"/>
  <c r="AR689" i="12"/>
  <c r="AS689" i="12"/>
  <c r="AT689" i="12"/>
  <c r="AP690" i="12"/>
  <c r="AQ690" i="12"/>
  <c r="AR690" i="12"/>
  <c r="AS690" i="12"/>
  <c r="AT690" i="12"/>
  <c r="AP691" i="12"/>
  <c r="AQ691" i="12"/>
  <c r="AR691" i="12"/>
  <c r="AS691" i="12"/>
  <c r="AT691" i="12"/>
  <c r="AP692" i="12"/>
  <c r="AQ692" i="12"/>
  <c r="AR692" i="12"/>
  <c r="AS692" i="12"/>
  <c r="AT692" i="12"/>
  <c r="AP693" i="12"/>
  <c r="AQ693" i="12"/>
  <c r="AR693" i="12"/>
  <c r="AS693" i="12"/>
  <c r="AT693" i="12"/>
  <c r="AP694" i="12"/>
  <c r="AQ694" i="12"/>
  <c r="AR694" i="12"/>
  <c r="AS694" i="12"/>
  <c r="AT694" i="12"/>
  <c r="AP695" i="12"/>
  <c r="AQ695" i="12"/>
  <c r="AR695" i="12"/>
  <c r="AS695" i="12"/>
  <c r="AT695" i="12"/>
  <c r="AP696" i="12"/>
  <c r="AQ696" i="12"/>
  <c r="AR696" i="12"/>
  <c r="AS696" i="12"/>
  <c r="AT696" i="12"/>
  <c r="AP697" i="12"/>
  <c r="AQ697" i="12"/>
  <c r="AR697" i="12"/>
  <c r="AS697" i="12"/>
  <c r="AT697" i="12"/>
  <c r="AP698" i="12"/>
  <c r="AQ698" i="12"/>
  <c r="AR698" i="12"/>
  <c r="AS698" i="12"/>
  <c r="AT698" i="12"/>
  <c r="AP699" i="12"/>
  <c r="AQ699" i="12"/>
  <c r="AR699" i="12"/>
  <c r="AS699" i="12"/>
  <c r="AT699" i="12"/>
  <c r="AP700" i="12"/>
  <c r="AQ700" i="12"/>
  <c r="AR700" i="12"/>
  <c r="AS700" i="12"/>
  <c r="AT700" i="12"/>
  <c r="AP701" i="12"/>
  <c r="AQ701" i="12"/>
  <c r="AR701" i="12"/>
  <c r="AS701" i="12"/>
  <c r="AT701" i="12"/>
  <c r="AP702" i="12"/>
  <c r="AQ702" i="12"/>
  <c r="AR702" i="12"/>
  <c r="AS702" i="12"/>
  <c r="AT702" i="12"/>
  <c r="AP703" i="12"/>
  <c r="AQ703" i="12"/>
  <c r="AR703" i="12"/>
  <c r="AS703" i="12"/>
  <c r="AT703" i="12"/>
  <c r="AP704" i="12"/>
  <c r="AQ704" i="12"/>
  <c r="AR704" i="12"/>
  <c r="AS704" i="12"/>
  <c r="AT704" i="12"/>
  <c r="AP705" i="12"/>
  <c r="AQ705" i="12"/>
  <c r="AR705" i="12"/>
  <c r="AS705" i="12"/>
  <c r="AT705" i="12"/>
  <c r="AP706" i="12"/>
  <c r="AQ706" i="12"/>
  <c r="AR706" i="12"/>
  <c r="AS706" i="12"/>
  <c r="AT706" i="12"/>
  <c r="AP707" i="12"/>
  <c r="AQ707" i="12"/>
  <c r="AR707" i="12"/>
  <c r="AS707" i="12"/>
  <c r="AT707" i="12"/>
  <c r="AP708" i="12"/>
  <c r="AQ708" i="12"/>
  <c r="AR708" i="12"/>
  <c r="AS708" i="12"/>
  <c r="AT708" i="12"/>
  <c r="AP709" i="12"/>
  <c r="AQ709" i="12"/>
  <c r="AR709" i="12"/>
  <c r="AS709" i="12"/>
  <c r="AT709" i="12"/>
  <c r="AP710" i="12"/>
  <c r="AQ710" i="12"/>
  <c r="AR710" i="12"/>
  <c r="AS710" i="12"/>
  <c r="AT710" i="12"/>
  <c r="AP711" i="12"/>
  <c r="AQ711" i="12"/>
  <c r="AR711" i="12"/>
  <c r="AS711" i="12"/>
  <c r="AT711" i="12"/>
  <c r="AP712" i="12"/>
  <c r="AQ712" i="12"/>
  <c r="AR712" i="12"/>
  <c r="AS712" i="12"/>
  <c r="AT712" i="12"/>
  <c r="AP713" i="12"/>
  <c r="AQ713" i="12"/>
  <c r="AR713" i="12"/>
  <c r="AS713" i="12"/>
  <c r="AT713" i="12"/>
  <c r="AP714" i="12"/>
  <c r="AQ714" i="12"/>
  <c r="AR714" i="12"/>
  <c r="AS714" i="12"/>
  <c r="AT714" i="12"/>
  <c r="AP715" i="12"/>
  <c r="AQ715" i="12"/>
  <c r="AR715" i="12"/>
  <c r="AS715" i="12"/>
  <c r="AT715" i="12"/>
  <c r="AP716" i="12"/>
  <c r="AQ716" i="12"/>
  <c r="AR716" i="12"/>
  <c r="AS716" i="12"/>
  <c r="AT716" i="12"/>
  <c r="AP717" i="12"/>
  <c r="AQ717" i="12"/>
  <c r="AR717" i="12"/>
  <c r="AS717" i="12"/>
  <c r="AT717" i="12"/>
  <c r="AP718" i="12"/>
  <c r="AQ718" i="12"/>
  <c r="AR718" i="12"/>
  <c r="AS718" i="12"/>
  <c r="AT718" i="12"/>
  <c r="AP719" i="12"/>
  <c r="AQ719" i="12"/>
  <c r="AR719" i="12"/>
  <c r="AS719" i="12"/>
  <c r="AT719" i="12"/>
  <c r="AP720" i="12"/>
  <c r="AQ720" i="12"/>
  <c r="AR720" i="12"/>
  <c r="AS720" i="12"/>
  <c r="AT720" i="12"/>
  <c r="AP721" i="12"/>
  <c r="AQ721" i="12"/>
  <c r="AR721" i="12"/>
  <c r="AS721" i="12"/>
  <c r="AT721" i="12"/>
  <c r="AP722" i="12"/>
  <c r="AQ722" i="12"/>
  <c r="AR722" i="12"/>
  <c r="AS722" i="12"/>
  <c r="AT722" i="12"/>
  <c r="AP723" i="12"/>
  <c r="AQ723" i="12"/>
  <c r="AR723" i="12"/>
  <c r="AS723" i="12"/>
  <c r="AT723" i="12"/>
  <c r="AP724" i="12"/>
  <c r="AQ724" i="12"/>
  <c r="AR724" i="12"/>
  <c r="AS724" i="12"/>
  <c r="AT724" i="12"/>
  <c r="AP725" i="12"/>
  <c r="AQ725" i="12"/>
  <c r="AR725" i="12"/>
  <c r="AS725" i="12"/>
  <c r="AT725" i="12"/>
  <c r="AP726" i="12"/>
  <c r="AQ726" i="12"/>
  <c r="AR726" i="12"/>
  <c r="AS726" i="12"/>
  <c r="AT726" i="12"/>
  <c r="AP727" i="12"/>
  <c r="AQ727" i="12"/>
  <c r="AR727" i="12"/>
  <c r="AS727" i="12"/>
  <c r="AT727" i="12"/>
  <c r="AP728" i="12"/>
  <c r="AQ728" i="12"/>
  <c r="AR728" i="12"/>
  <c r="AS728" i="12"/>
  <c r="AT728" i="12"/>
  <c r="AP729" i="12"/>
  <c r="AQ729" i="12"/>
  <c r="AR729" i="12"/>
  <c r="AS729" i="12"/>
  <c r="AT729" i="12"/>
  <c r="AP730" i="12"/>
  <c r="AQ730" i="12"/>
  <c r="AR730" i="12"/>
  <c r="AS730" i="12"/>
  <c r="AT730" i="12"/>
  <c r="AP731" i="12"/>
  <c r="AQ731" i="12"/>
  <c r="AR731" i="12"/>
  <c r="AS731" i="12"/>
  <c r="AT731" i="12"/>
  <c r="AP732" i="12"/>
  <c r="AQ732" i="12"/>
  <c r="AR732" i="12"/>
  <c r="AS732" i="12"/>
  <c r="AT732" i="12"/>
  <c r="AP733" i="12"/>
  <c r="AQ733" i="12"/>
  <c r="AR733" i="12"/>
  <c r="AS733" i="12"/>
  <c r="AT733" i="12"/>
  <c r="AP734" i="12"/>
  <c r="AQ734" i="12"/>
  <c r="AR734" i="12"/>
  <c r="AS734" i="12"/>
  <c r="AT734" i="12"/>
  <c r="AP735" i="12"/>
  <c r="AQ735" i="12"/>
  <c r="AR735" i="12"/>
  <c r="AS735" i="12"/>
  <c r="AT735" i="12"/>
  <c r="AP736" i="12"/>
  <c r="AQ736" i="12"/>
  <c r="AR736" i="12"/>
  <c r="AS736" i="12"/>
  <c r="AT736" i="12"/>
  <c r="AP737" i="12"/>
  <c r="AQ737" i="12"/>
  <c r="AR737" i="12"/>
  <c r="AS737" i="12"/>
  <c r="AT737" i="12"/>
  <c r="AP738" i="12"/>
  <c r="AQ738" i="12"/>
  <c r="AR738" i="12"/>
  <c r="AS738" i="12"/>
  <c r="AT738" i="12"/>
  <c r="AP739" i="12"/>
  <c r="AQ739" i="12"/>
  <c r="AR739" i="12"/>
  <c r="AS739" i="12"/>
  <c r="AT739" i="12"/>
  <c r="AP740" i="12"/>
  <c r="AQ740" i="12"/>
  <c r="AR740" i="12"/>
  <c r="AS740" i="12"/>
  <c r="AT740" i="12"/>
  <c r="AP741" i="12"/>
  <c r="AQ741" i="12"/>
  <c r="AR741" i="12"/>
  <c r="AS741" i="12"/>
  <c r="AT741" i="12"/>
  <c r="AP742" i="12"/>
  <c r="AQ742" i="12"/>
  <c r="AR742" i="12"/>
  <c r="AS742" i="12"/>
  <c r="AT742" i="12"/>
  <c r="AP743" i="12"/>
  <c r="AQ743" i="12"/>
  <c r="AR743" i="12"/>
  <c r="AS743" i="12"/>
  <c r="AT743" i="12"/>
  <c r="AP744" i="12"/>
  <c r="AQ744" i="12"/>
  <c r="AR744" i="12"/>
  <c r="AS744" i="12"/>
  <c r="AT744" i="12"/>
  <c r="AP745" i="12"/>
  <c r="AQ745" i="12"/>
  <c r="AR745" i="12"/>
  <c r="AS745" i="12"/>
  <c r="AT745" i="12"/>
  <c r="AP746" i="12"/>
  <c r="AQ746" i="12"/>
  <c r="AR746" i="12"/>
  <c r="AS746" i="12"/>
  <c r="AT746" i="12"/>
  <c r="AP747" i="12"/>
  <c r="AQ747" i="12"/>
  <c r="AR747" i="12"/>
  <c r="AS747" i="12"/>
  <c r="AT747" i="12"/>
  <c r="AP748" i="12"/>
  <c r="AQ748" i="12"/>
  <c r="AR748" i="12"/>
  <c r="AS748" i="12"/>
  <c r="AT748" i="12"/>
  <c r="AP749" i="12"/>
  <c r="AQ749" i="12"/>
  <c r="AR749" i="12"/>
  <c r="AS749" i="12"/>
  <c r="AT749" i="12"/>
  <c r="AP750" i="12"/>
  <c r="AQ750" i="12"/>
  <c r="AR750" i="12"/>
  <c r="AS750" i="12"/>
  <c r="AT750" i="12"/>
  <c r="AP751" i="12"/>
  <c r="AQ751" i="12"/>
  <c r="AR751" i="12"/>
  <c r="AS751" i="12"/>
  <c r="AT751" i="12"/>
  <c r="AP752" i="12"/>
  <c r="AQ752" i="12"/>
  <c r="AR752" i="12"/>
  <c r="AS752" i="12"/>
  <c r="AT752" i="12"/>
  <c r="AP753" i="12"/>
  <c r="AQ753" i="12"/>
  <c r="AR753" i="12"/>
  <c r="AS753" i="12"/>
  <c r="AT753" i="12"/>
  <c r="AP754" i="12"/>
  <c r="AQ754" i="12"/>
  <c r="AR754" i="12"/>
  <c r="AS754" i="12"/>
  <c r="AT754" i="12"/>
  <c r="AP755" i="12"/>
  <c r="AQ755" i="12"/>
  <c r="AR755" i="12"/>
  <c r="AS755" i="12"/>
  <c r="AT755" i="12"/>
  <c r="AP756" i="12"/>
  <c r="AQ756" i="12"/>
  <c r="AR756" i="12"/>
  <c r="AS756" i="12"/>
  <c r="AT756" i="12"/>
  <c r="AP757" i="12"/>
  <c r="AQ757" i="12"/>
  <c r="AR757" i="12"/>
  <c r="AS757" i="12"/>
  <c r="AT757" i="12"/>
  <c r="AP758" i="12"/>
  <c r="AQ758" i="12"/>
  <c r="AR758" i="12"/>
  <c r="AS758" i="12"/>
  <c r="AT758" i="12"/>
  <c r="AP759" i="12"/>
  <c r="AQ759" i="12"/>
  <c r="AR759" i="12"/>
  <c r="AS759" i="12"/>
  <c r="AT759" i="12"/>
  <c r="AP760" i="12"/>
  <c r="AQ760" i="12"/>
  <c r="AR760" i="12"/>
  <c r="AS760" i="12"/>
  <c r="AT760" i="12"/>
  <c r="AP761" i="12"/>
  <c r="AQ761" i="12"/>
  <c r="AR761" i="12"/>
  <c r="AS761" i="12"/>
  <c r="AT761" i="12"/>
  <c r="AP762" i="12"/>
  <c r="AQ762" i="12"/>
  <c r="AR762" i="12"/>
  <c r="AS762" i="12"/>
  <c r="AT762" i="12"/>
  <c r="AP763" i="12"/>
  <c r="AQ763" i="12"/>
  <c r="AR763" i="12"/>
  <c r="AS763" i="12"/>
  <c r="AT763" i="12"/>
  <c r="AP764" i="12"/>
  <c r="AQ764" i="12"/>
  <c r="AR764" i="12"/>
  <c r="AS764" i="12"/>
  <c r="AT764" i="12"/>
  <c r="AP765" i="12"/>
  <c r="AQ765" i="12"/>
  <c r="AR765" i="12"/>
  <c r="AS765" i="12"/>
  <c r="AT765" i="12"/>
  <c r="AP766" i="12"/>
  <c r="AQ766" i="12"/>
  <c r="AR766" i="12"/>
  <c r="AS766" i="12"/>
  <c r="AT766" i="12"/>
  <c r="AP767" i="12"/>
  <c r="AQ767" i="12"/>
  <c r="AR767" i="12"/>
  <c r="AS767" i="12"/>
  <c r="AT767" i="12"/>
  <c r="AP768" i="12"/>
  <c r="AQ768" i="12"/>
  <c r="AR768" i="12"/>
  <c r="AS768" i="12"/>
  <c r="AT768" i="12"/>
  <c r="AP769" i="12"/>
  <c r="AQ769" i="12"/>
  <c r="AR769" i="12"/>
  <c r="AS769" i="12"/>
  <c r="AT769" i="12"/>
  <c r="AP770" i="12"/>
  <c r="AQ770" i="12"/>
  <c r="AR770" i="12"/>
  <c r="AS770" i="12"/>
  <c r="AT770" i="12"/>
  <c r="AP771" i="12"/>
  <c r="AQ771" i="12"/>
  <c r="AR771" i="12"/>
  <c r="AS771" i="12"/>
  <c r="AT771" i="12"/>
  <c r="AP772" i="12"/>
  <c r="AQ772" i="12"/>
  <c r="AR772" i="12"/>
  <c r="AS772" i="12"/>
  <c r="AT772" i="12"/>
  <c r="AP773" i="12"/>
  <c r="AQ773" i="12"/>
  <c r="AR773" i="12"/>
  <c r="AS773" i="12"/>
  <c r="AT773" i="12"/>
  <c r="AP774" i="12"/>
  <c r="AQ774" i="12"/>
  <c r="AR774" i="12"/>
  <c r="AS774" i="12"/>
  <c r="AT774" i="12"/>
  <c r="AP775" i="12"/>
  <c r="AQ775" i="12"/>
  <c r="AR775" i="12"/>
  <c r="AS775" i="12"/>
  <c r="AT775" i="12"/>
  <c r="AP776" i="12"/>
  <c r="AQ776" i="12"/>
  <c r="AR776" i="12"/>
  <c r="AS776" i="12"/>
  <c r="AT776" i="12"/>
  <c r="AP777" i="12"/>
  <c r="AQ777" i="12"/>
  <c r="AR777" i="12"/>
  <c r="AS777" i="12"/>
  <c r="AT777" i="12"/>
  <c r="AP778" i="12"/>
  <c r="AQ778" i="12"/>
  <c r="AR778" i="12"/>
  <c r="AS778" i="12"/>
  <c r="AT778" i="12"/>
  <c r="AP779" i="12"/>
  <c r="AQ779" i="12"/>
  <c r="AR779" i="12"/>
  <c r="AS779" i="12"/>
  <c r="AT779" i="12"/>
  <c r="AP780" i="12"/>
  <c r="AQ780" i="12"/>
  <c r="AR780" i="12"/>
  <c r="AS780" i="12"/>
  <c r="AT780" i="12"/>
  <c r="AP781" i="12"/>
  <c r="AQ781" i="12"/>
  <c r="AR781" i="12"/>
  <c r="AS781" i="12"/>
  <c r="AT781" i="12"/>
  <c r="AP782" i="12"/>
  <c r="AQ782" i="12"/>
  <c r="AR782" i="12"/>
  <c r="AS782" i="12"/>
  <c r="AT782" i="12"/>
  <c r="AP783" i="12"/>
  <c r="AQ783" i="12"/>
  <c r="AR783" i="12"/>
  <c r="AS783" i="12"/>
  <c r="AT783" i="12"/>
  <c r="AP784" i="12"/>
  <c r="AQ784" i="12"/>
  <c r="AR784" i="12"/>
  <c r="AS784" i="12"/>
  <c r="AT784" i="12"/>
  <c r="AP785" i="12"/>
  <c r="AQ785" i="12"/>
  <c r="AR785" i="12"/>
  <c r="AS785" i="12"/>
  <c r="AT785" i="12"/>
  <c r="AP786" i="12"/>
  <c r="AQ786" i="12"/>
  <c r="AR786" i="12"/>
  <c r="AS786" i="12"/>
  <c r="AT786" i="12"/>
  <c r="AP787" i="12"/>
  <c r="AQ787" i="12"/>
  <c r="AR787" i="12"/>
  <c r="AS787" i="12"/>
  <c r="AT787" i="12"/>
  <c r="AP788" i="12"/>
  <c r="AQ788" i="12"/>
  <c r="AR788" i="12"/>
  <c r="AS788" i="12"/>
  <c r="AT788" i="12"/>
  <c r="AP789" i="12"/>
  <c r="AQ789" i="12"/>
  <c r="AR789" i="12"/>
  <c r="AS789" i="12"/>
  <c r="AT789" i="12"/>
  <c r="AP790" i="12"/>
  <c r="AQ790" i="12"/>
  <c r="AR790" i="12"/>
  <c r="AS790" i="12"/>
  <c r="AT790" i="12"/>
  <c r="AP791" i="12"/>
  <c r="AQ791" i="12"/>
  <c r="AR791" i="12"/>
  <c r="AS791" i="12"/>
  <c r="AT791" i="12"/>
  <c r="AP792" i="12"/>
  <c r="AQ792" i="12"/>
  <c r="AR792" i="12"/>
  <c r="AS792" i="12"/>
  <c r="AT792" i="12"/>
  <c r="AP793" i="12"/>
  <c r="AQ793" i="12"/>
  <c r="AR793" i="12"/>
  <c r="AS793" i="12"/>
  <c r="AT793" i="12"/>
  <c r="AP794" i="12"/>
  <c r="AQ794" i="12"/>
  <c r="AR794" i="12"/>
  <c r="AS794" i="12"/>
  <c r="AT794" i="12"/>
  <c r="AP795" i="12"/>
  <c r="AQ795" i="12"/>
  <c r="AR795" i="12"/>
  <c r="AS795" i="12"/>
  <c r="AT795" i="12"/>
  <c r="AP796" i="12"/>
  <c r="AQ796" i="12"/>
  <c r="AR796" i="12"/>
  <c r="AS796" i="12"/>
  <c r="AT796" i="12"/>
  <c r="AP797" i="12"/>
  <c r="AQ797" i="12"/>
  <c r="AR797" i="12"/>
  <c r="AS797" i="12"/>
  <c r="AT797" i="12"/>
  <c r="AP798" i="12"/>
  <c r="AQ798" i="12"/>
  <c r="AR798" i="12"/>
  <c r="AS798" i="12"/>
  <c r="AT798" i="12"/>
  <c r="AP799" i="12"/>
  <c r="AQ799" i="12"/>
  <c r="AR799" i="12"/>
  <c r="AS799" i="12"/>
  <c r="AT799" i="12"/>
  <c r="AP800" i="12"/>
  <c r="AQ800" i="12"/>
  <c r="AR800" i="12"/>
  <c r="AS800" i="12"/>
  <c r="AT800" i="12"/>
  <c r="AP801" i="12"/>
  <c r="AQ801" i="12"/>
  <c r="AR801" i="12"/>
  <c r="AS801" i="12"/>
  <c r="AT801" i="12"/>
  <c r="AP802" i="12"/>
  <c r="AQ802" i="12"/>
  <c r="AR802" i="12"/>
  <c r="AS802" i="12"/>
  <c r="AT802" i="12"/>
  <c r="AP803" i="12"/>
  <c r="AQ803" i="12"/>
  <c r="AR803" i="12"/>
  <c r="AS803" i="12"/>
  <c r="AT803" i="12"/>
  <c r="AP804" i="12"/>
  <c r="AQ804" i="12"/>
  <c r="AR804" i="12"/>
  <c r="AS804" i="12"/>
  <c r="AT804" i="12"/>
  <c r="AP805" i="12"/>
  <c r="AQ805" i="12"/>
  <c r="AR805" i="12"/>
  <c r="AS805" i="12"/>
  <c r="AT805" i="12"/>
  <c r="AP806" i="12"/>
  <c r="AQ806" i="12"/>
  <c r="AR806" i="12"/>
  <c r="AS806" i="12"/>
  <c r="AT806" i="12"/>
  <c r="AP807" i="12"/>
  <c r="AQ807" i="12"/>
  <c r="AR807" i="12"/>
  <c r="AS807" i="12"/>
  <c r="AT807" i="12"/>
  <c r="AP808" i="12"/>
  <c r="AQ808" i="12"/>
  <c r="AR808" i="12"/>
  <c r="AS808" i="12"/>
  <c r="AT808" i="12"/>
  <c r="AP809" i="12"/>
  <c r="AQ809" i="12"/>
  <c r="AR809" i="12"/>
  <c r="AS809" i="12"/>
  <c r="AT809" i="12"/>
  <c r="AP810" i="12"/>
  <c r="AQ810" i="12"/>
  <c r="AR810" i="12"/>
  <c r="AS810" i="12"/>
  <c r="AT810" i="12"/>
  <c r="AP811" i="12"/>
  <c r="AQ811" i="12"/>
  <c r="AR811" i="12"/>
  <c r="AS811" i="12"/>
  <c r="AT811" i="12"/>
  <c r="AP812" i="12"/>
  <c r="AQ812" i="12"/>
  <c r="AR812" i="12"/>
  <c r="AS812" i="12"/>
  <c r="AT812" i="12"/>
  <c r="AP813" i="12"/>
  <c r="AQ813" i="12"/>
  <c r="AR813" i="12"/>
  <c r="AS813" i="12"/>
  <c r="AT813" i="12"/>
  <c r="AP814" i="12"/>
  <c r="AQ814" i="12"/>
  <c r="AR814" i="12"/>
  <c r="AS814" i="12"/>
  <c r="AT814" i="12"/>
  <c r="AP815" i="12"/>
  <c r="AQ815" i="12"/>
  <c r="AR815" i="12"/>
  <c r="AS815" i="12"/>
  <c r="AT815" i="12"/>
  <c r="AP816" i="12"/>
  <c r="AQ816" i="12"/>
  <c r="AR816" i="12"/>
  <c r="AS816" i="12"/>
  <c r="AT816" i="12"/>
  <c r="AP817" i="12"/>
  <c r="AQ817" i="12"/>
  <c r="AR817" i="12"/>
  <c r="AS817" i="12"/>
  <c r="AT817" i="12"/>
  <c r="AP818" i="12"/>
  <c r="AQ818" i="12"/>
  <c r="AR818" i="12"/>
  <c r="AS818" i="12"/>
  <c r="AT818" i="12"/>
  <c r="AP819" i="12"/>
  <c r="AQ819" i="12"/>
  <c r="AR819" i="12"/>
  <c r="AS819" i="12"/>
  <c r="AT819" i="12"/>
  <c r="AP820" i="12"/>
  <c r="AQ820" i="12"/>
  <c r="AR820" i="12"/>
  <c r="AS820" i="12"/>
  <c r="AT820" i="12"/>
  <c r="AP821" i="12"/>
  <c r="AQ821" i="12"/>
  <c r="AR821" i="12"/>
  <c r="AS821" i="12"/>
  <c r="AT821" i="12"/>
  <c r="AP822" i="12"/>
  <c r="AQ822" i="12"/>
  <c r="AR822" i="12"/>
  <c r="AS822" i="12"/>
  <c r="AT822" i="12"/>
  <c r="AP823" i="12"/>
  <c r="AQ823" i="12"/>
  <c r="AR823" i="12"/>
  <c r="AS823" i="12"/>
  <c r="AT823" i="12"/>
  <c r="AP824" i="12"/>
  <c r="AQ824" i="12"/>
  <c r="AR824" i="12"/>
  <c r="AS824" i="12"/>
  <c r="AT824" i="12"/>
  <c r="AP825" i="12"/>
  <c r="AQ825" i="12"/>
  <c r="AR825" i="12"/>
  <c r="AS825" i="12"/>
  <c r="AT825" i="12"/>
  <c r="AP826" i="12"/>
  <c r="AQ826" i="12"/>
  <c r="AR826" i="12"/>
  <c r="AS826" i="12"/>
  <c r="AT826" i="12"/>
  <c r="AP827" i="12"/>
  <c r="AQ827" i="12"/>
  <c r="AR827" i="12"/>
  <c r="AS827" i="12"/>
  <c r="AT827" i="12"/>
  <c r="AP828" i="12"/>
  <c r="AQ828" i="12"/>
  <c r="AR828" i="12"/>
  <c r="AS828" i="12"/>
  <c r="AT828" i="12"/>
  <c r="AP829" i="12"/>
  <c r="AQ829" i="12"/>
  <c r="AR829" i="12"/>
  <c r="AS829" i="12"/>
  <c r="AT829" i="12"/>
  <c r="AP830" i="12"/>
  <c r="AQ830" i="12"/>
  <c r="AR830" i="12"/>
  <c r="AS830" i="12"/>
  <c r="AT830" i="12"/>
  <c r="AP831" i="12"/>
  <c r="AQ831" i="12"/>
  <c r="AR831" i="12"/>
  <c r="AS831" i="12"/>
  <c r="AT831" i="12"/>
  <c r="AP832" i="12"/>
  <c r="AQ832" i="12"/>
  <c r="AR832" i="12"/>
  <c r="AS832" i="12"/>
  <c r="AT832" i="12"/>
  <c r="AP833" i="12"/>
  <c r="AQ833" i="12"/>
  <c r="AR833" i="12"/>
  <c r="AS833" i="12"/>
  <c r="AT833" i="12"/>
  <c r="AP834" i="12"/>
  <c r="AQ834" i="12"/>
  <c r="AR834" i="12"/>
  <c r="AS834" i="12"/>
  <c r="AT834" i="12"/>
  <c r="AP835" i="12"/>
  <c r="AQ835" i="12"/>
  <c r="AR835" i="12"/>
  <c r="AS835" i="12"/>
  <c r="AT835" i="12"/>
  <c r="AP836" i="12"/>
  <c r="AQ836" i="12"/>
  <c r="AR836" i="12"/>
  <c r="AS836" i="12"/>
  <c r="AT836" i="12"/>
  <c r="AP837" i="12"/>
  <c r="AQ837" i="12"/>
  <c r="AR837" i="12"/>
  <c r="AS837" i="12"/>
  <c r="AT837" i="12"/>
  <c r="AP838" i="12"/>
  <c r="AQ838" i="12"/>
  <c r="AR838" i="12"/>
  <c r="AS838" i="12"/>
  <c r="AT838" i="12"/>
  <c r="AP839" i="12"/>
  <c r="AQ839" i="12"/>
  <c r="AR839" i="12"/>
  <c r="AS839" i="12"/>
  <c r="AT839" i="12"/>
  <c r="AP840" i="12"/>
  <c r="AQ840" i="12"/>
  <c r="AR840" i="12"/>
  <c r="AS840" i="12"/>
  <c r="AT840" i="12"/>
  <c r="AP841" i="12"/>
  <c r="AQ841" i="12"/>
  <c r="AR841" i="12"/>
  <c r="AS841" i="12"/>
  <c r="AT841" i="12"/>
  <c r="AP842" i="12"/>
  <c r="AQ842" i="12"/>
  <c r="AR842" i="12"/>
  <c r="AS842" i="12"/>
  <c r="AT842" i="12"/>
  <c r="AP843" i="12"/>
  <c r="AQ843" i="12"/>
  <c r="AR843" i="12"/>
  <c r="AS843" i="12"/>
  <c r="AT843" i="12"/>
  <c r="AP844" i="12"/>
  <c r="AQ844" i="12"/>
  <c r="AR844" i="12"/>
  <c r="AS844" i="12"/>
  <c r="AT844" i="12"/>
  <c r="AP845" i="12"/>
  <c r="AQ845" i="12"/>
  <c r="AR845" i="12"/>
  <c r="AS845" i="12"/>
  <c r="AT845" i="12"/>
  <c r="AP846" i="12"/>
  <c r="AQ846" i="12"/>
  <c r="AR846" i="12"/>
  <c r="AS846" i="12"/>
  <c r="AT846" i="12"/>
  <c r="AP847" i="12"/>
  <c r="AQ847" i="12"/>
  <c r="AR847" i="12"/>
  <c r="AS847" i="12"/>
  <c r="AT847" i="12"/>
  <c r="AP848" i="12"/>
  <c r="AQ848" i="12"/>
  <c r="AR848" i="12"/>
  <c r="AS848" i="12"/>
  <c r="AT848" i="12"/>
  <c r="AP849" i="12"/>
  <c r="AQ849" i="12"/>
  <c r="AR849" i="12"/>
  <c r="AS849" i="12"/>
  <c r="AT849" i="12"/>
  <c r="AP850" i="12"/>
  <c r="AQ850" i="12"/>
  <c r="AR850" i="12"/>
  <c r="AS850" i="12"/>
  <c r="AT850" i="12"/>
  <c r="AP851" i="12"/>
  <c r="AQ851" i="12"/>
  <c r="AR851" i="12"/>
  <c r="AS851" i="12"/>
  <c r="AT851" i="12"/>
  <c r="AP852" i="12"/>
  <c r="AQ852" i="12"/>
  <c r="AR852" i="12"/>
  <c r="AS852" i="12"/>
  <c r="AT852" i="12"/>
  <c r="AP853" i="12"/>
  <c r="AQ853" i="12"/>
  <c r="AR853" i="12"/>
  <c r="AS853" i="12"/>
  <c r="AT853" i="12"/>
  <c r="AP854" i="12"/>
  <c r="AQ854" i="12"/>
  <c r="AR854" i="12"/>
  <c r="AS854" i="12"/>
  <c r="AT854" i="12"/>
  <c r="AP855" i="12"/>
  <c r="AQ855" i="12"/>
  <c r="AR855" i="12"/>
  <c r="AS855" i="12"/>
  <c r="AT855" i="12"/>
  <c r="AP856" i="12"/>
  <c r="AQ856" i="12"/>
  <c r="AR856" i="12"/>
  <c r="AS856" i="12"/>
  <c r="AT856" i="12"/>
  <c r="AP857" i="12"/>
  <c r="AQ857" i="12"/>
  <c r="AR857" i="12"/>
  <c r="AS857" i="12"/>
  <c r="AT857" i="12"/>
  <c r="AP858" i="12"/>
  <c r="AQ858" i="12"/>
  <c r="AR858" i="12"/>
  <c r="AS858" i="12"/>
  <c r="AT858" i="12"/>
  <c r="AP859" i="12"/>
  <c r="AQ859" i="12"/>
  <c r="AR859" i="12"/>
  <c r="AS859" i="12"/>
  <c r="AT859" i="12"/>
  <c r="AP860" i="12"/>
  <c r="AQ860" i="12"/>
  <c r="AR860" i="12"/>
  <c r="AS860" i="12"/>
  <c r="AT860" i="12"/>
  <c r="AP861" i="12"/>
  <c r="AQ861" i="12"/>
  <c r="AR861" i="12"/>
  <c r="AS861" i="12"/>
  <c r="AT861" i="12"/>
  <c r="AP862" i="12"/>
  <c r="AQ862" i="12"/>
  <c r="AR862" i="12"/>
  <c r="AS862" i="12"/>
  <c r="AT862" i="12"/>
  <c r="AP863" i="12"/>
  <c r="AQ863" i="12"/>
  <c r="AR863" i="12"/>
  <c r="AS863" i="12"/>
  <c r="AT863" i="12"/>
  <c r="AP864" i="12"/>
  <c r="AQ864" i="12"/>
  <c r="AR864" i="12"/>
  <c r="AS864" i="12"/>
  <c r="AT864" i="12"/>
  <c r="AP865" i="12"/>
  <c r="AQ865" i="12"/>
  <c r="AR865" i="12"/>
  <c r="AS865" i="12"/>
  <c r="AT865" i="12"/>
  <c r="AP866" i="12"/>
  <c r="AQ866" i="12"/>
  <c r="AR866" i="12"/>
  <c r="AS866" i="12"/>
  <c r="AT866" i="12"/>
  <c r="AP867" i="12"/>
  <c r="AQ867" i="12"/>
  <c r="AR867" i="12"/>
  <c r="AS867" i="12"/>
  <c r="AT867" i="12"/>
  <c r="AP868" i="12"/>
  <c r="AQ868" i="12"/>
  <c r="AR868" i="12"/>
  <c r="AS868" i="12"/>
  <c r="AT868" i="12"/>
  <c r="AP869" i="12"/>
  <c r="AQ869" i="12"/>
  <c r="AR869" i="12"/>
  <c r="AS869" i="12"/>
  <c r="AT869" i="12"/>
  <c r="AP870" i="12"/>
  <c r="AQ870" i="12"/>
  <c r="AR870" i="12"/>
  <c r="AS870" i="12"/>
  <c r="AT870" i="12"/>
  <c r="AP871" i="12"/>
  <c r="AQ871" i="12"/>
  <c r="AR871" i="12"/>
  <c r="AS871" i="12"/>
  <c r="AT871" i="12"/>
  <c r="AP872" i="12"/>
  <c r="AQ872" i="12"/>
  <c r="AR872" i="12"/>
  <c r="AS872" i="12"/>
  <c r="AT872" i="12"/>
  <c r="AP873" i="12"/>
  <c r="AQ873" i="12"/>
  <c r="AR873" i="12"/>
  <c r="AS873" i="12"/>
  <c r="AT873" i="12"/>
  <c r="AP874" i="12"/>
  <c r="AQ874" i="12"/>
  <c r="AR874" i="12"/>
  <c r="AS874" i="12"/>
  <c r="AT874" i="12"/>
  <c r="AP875" i="12"/>
  <c r="AQ875" i="12"/>
  <c r="AR875" i="12"/>
  <c r="AS875" i="12"/>
  <c r="AT875" i="12"/>
  <c r="AP876" i="12"/>
  <c r="AQ876" i="12"/>
  <c r="AR876" i="12"/>
  <c r="AS876" i="12"/>
  <c r="AT876" i="12"/>
  <c r="AP877" i="12"/>
  <c r="AQ877" i="12"/>
  <c r="AR877" i="12"/>
  <c r="AS877" i="12"/>
  <c r="AT877" i="12"/>
  <c r="AP878" i="12"/>
  <c r="AQ878" i="12"/>
  <c r="AR878" i="12"/>
  <c r="AS878" i="12"/>
  <c r="AT878" i="12"/>
  <c r="AP879" i="12"/>
  <c r="AQ879" i="12"/>
  <c r="AR879" i="12"/>
  <c r="AS879" i="12"/>
  <c r="AT879" i="12"/>
  <c r="AP880" i="12"/>
  <c r="AQ880" i="12"/>
  <c r="AR880" i="12"/>
  <c r="AS880" i="12"/>
  <c r="AT880" i="12"/>
  <c r="AP881" i="12"/>
  <c r="AQ881" i="12"/>
  <c r="AR881" i="12"/>
  <c r="AS881" i="12"/>
  <c r="AT881" i="12"/>
  <c r="AP882" i="12"/>
  <c r="AQ882" i="12"/>
  <c r="AR882" i="12"/>
  <c r="AS882" i="12"/>
  <c r="AT882" i="12"/>
  <c r="AP883" i="12"/>
  <c r="AQ883" i="12"/>
  <c r="AR883" i="12"/>
  <c r="AS883" i="12"/>
  <c r="AT883" i="12"/>
  <c r="AP884" i="12"/>
  <c r="AQ884" i="12"/>
  <c r="AR884" i="12"/>
  <c r="AS884" i="12"/>
  <c r="AT884" i="12"/>
  <c r="AP885" i="12"/>
  <c r="AQ885" i="12"/>
  <c r="AR885" i="12"/>
  <c r="AS885" i="12"/>
  <c r="AT885" i="12"/>
  <c r="AP886" i="12"/>
  <c r="AQ886" i="12"/>
  <c r="AR886" i="12"/>
  <c r="AS886" i="12"/>
  <c r="AT886" i="12"/>
  <c r="AP887" i="12"/>
  <c r="AQ887" i="12"/>
  <c r="AR887" i="12"/>
  <c r="AS887" i="12"/>
  <c r="AT887" i="12"/>
  <c r="AP888" i="12"/>
  <c r="AQ888" i="12"/>
  <c r="AR888" i="12"/>
  <c r="AS888" i="12"/>
  <c r="AT888" i="12"/>
  <c r="AP889" i="12"/>
  <c r="AQ889" i="12"/>
  <c r="AR889" i="12"/>
  <c r="AS889" i="12"/>
  <c r="AT889" i="12"/>
  <c r="AP890" i="12"/>
  <c r="AQ890" i="12"/>
  <c r="AR890" i="12"/>
  <c r="AS890" i="12"/>
  <c r="AT890" i="12"/>
  <c r="AP891" i="12"/>
  <c r="AQ891" i="12"/>
  <c r="AR891" i="12"/>
  <c r="AS891" i="12"/>
  <c r="AT891" i="12"/>
  <c r="AP892" i="12"/>
  <c r="AQ892" i="12"/>
  <c r="AR892" i="12"/>
  <c r="AS892" i="12"/>
  <c r="AT892" i="12"/>
  <c r="AP893" i="12"/>
  <c r="AQ893" i="12"/>
  <c r="AR893" i="12"/>
  <c r="AS893" i="12"/>
  <c r="AT893" i="12"/>
  <c r="AP894" i="12"/>
  <c r="AQ894" i="12"/>
  <c r="AR894" i="12"/>
  <c r="AS894" i="12"/>
  <c r="AT894" i="12"/>
  <c r="AP895" i="12"/>
  <c r="AQ895" i="12"/>
  <c r="AR895" i="12"/>
  <c r="AS895" i="12"/>
  <c r="AT895" i="12"/>
  <c r="AP896" i="12"/>
  <c r="AQ896" i="12"/>
  <c r="AR896" i="12"/>
  <c r="AS896" i="12"/>
  <c r="AT896" i="12"/>
  <c r="AP897" i="12"/>
  <c r="AQ897" i="12"/>
  <c r="AR897" i="12"/>
  <c r="AS897" i="12"/>
  <c r="AT897" i="12"/>
  <c r="AP898" i="12"/>
  <c r="AQ898" i="12"/>
  <c r="AR898" i="12"/>
  <c r="AS898" i="12"/>
  <c r="AT898" i="12"/>
  <c r="AP899" i="12"/>
  <c r="AQ899" i="12"/>
  <c r="AR899" i="12"/>
  <c r="AS899" i="12"/>
  <c r="AT899" i="12"/>
  <c r="AP900" i="12"/>
  <c r="AQ900" i="12"/>
  <c r="AR900" i="12"/>
  <c r="AS900" i="12"/>
  <c r="AT900" i="12"/>
  <c r="AP901" i="12"/>
  <c r="AQ901" i="12"/>
  <c r="AR901" i="12"/>
  <c r="AS901" i="12"/>
  <c r="AT901" i="12"/>
  <c r="AP902" i="12"/>
  <c r="AQ902" i="12"/>
  <c r="AR902" i="12"/>
  <c r="AS902" i="12"/>
  <c r="AT902" i="12"/>
  <c r="AP903" i="12"/>
  <c r="AQ903" i="12"/>
  <c r="AR903" i="12"/>
  <c r="AS903" i="12"/>
  <c r="AT903" i="12"/>
  <c r="AP904" i="12"/>
  <c r="AQ904" i="12"/>
  <c r="AR904" i="12"/>
  <c r="AS904" i="12"/>
  <c r="AT904" i="12"/>
  <c r="AP905" i="12"/>
  <c r="AQ905" i="12"/>
  <c r="AR905" i="12"/>
  <c r="AS905" i="12"/>
  <c r="AT905" i="12"/>
  <c r="AP906" i="12"/>
  <c r="AQ906" i="12"/>
  <c r="AR906" i="12"/>
  <c r="AS906" i="12"/>
  <c r="AT906" i="12"/>
  <c r="AP907" i="12"/>
  <c r="AQ907" i="12"/>
  <c r="AR907" i="12"/>
  <c r="AS907" i="12"/>
  <c r="AT907" i="12"/>
  <c r="AP908" i="12"/>
  <c r="AQ908" i="12"/>
  <c r="AR908" i="12"/>
  <c r="AS908" i="12"/>
  <c r="AT908" i="12"/>
  <c r="AP909" i="12"/>
  <c r="AQ909" i="12"/>
  <c r="AR909" i="12"/>
  <c r="AS909" i="12"/>
  <c r="AT909" i="12"/>
  <c r="AP910" i="12"/>
  <c r="AQ910" i="12"/>
  <c r="AR910" i="12"/>
  <c r="AS910" i="12"/>
  <c r="AT910" i="12"/>
  <c r="AP911" i="12"/>
  <c r="AQ911" i="12"/>
  <c r="AR911" i="12"/>
  <c r="AS911" i="12"/>
  <c r="AT911" i="12"/>
  <c r="AP912" i="12"/>
  <c r="AQ912" i="12"/>
  <c r="AR912" i="12"/>
  <c r="AS912" i="12"/>
  <c r="AT912" i="12"/>
  <c r="AP913" i="12"/>
  <c r="AQ913" i="12"/>
  <c r="AR913" i="12"/>
  <c r="AS913" i="12"/>
  <c r="AT913" i="12"/>
  <c r="AP914" i="12"/>
  <c r="AQ914" i="12"/>
  <c r="AR914" i="12"/>
  <c r="AS914" i="12"/>
  <c r="AT914" i="12"/>
  <c r="AP915" i="12"/>
  <c r="AQ915" i="12"/>
  <c r="AR915" i="12"/>
  <c r="AS915" i="12"/>
  <c r="AT915" i="12"/>
  <c r="AP916" i="12"/>
  <c r="AQ916" i="12"/>
  <c r="AR916" i="12"/>
  <c r="AS916" i="12"/>
  <c r="AT916" i="12"/>
  <c r="AP917" i="12"/>
  <c r="AQ917" i="12"/>
  <c r="AR917" i="12"/>
  <c r="AS917" i="12"/>
  <c r="AT917" i="12"/>
  <c r="AP918" i="12"/>
  <c r="AQ918" i="12"/>
  <c r="AR918" i="12"/>
  <c r="AS918" i="12"/>
  <c r="AT918" i="12"/>
  <c r="AP919" i="12"/>
  <c r="AQ919" i="12"/>
  <c r="AR919" i="12"/>
  <c r="AS919" i="12"/>
  <c r="AT919" i="12"/>
  <c r="AP920" i="12"/>
  <c r="AQ920" i="12"/>
  <c r="AR920" i="12"/>
  <c r="AS920" i="12"/>
  <c r="AT920" i="12"/>
  <c r="AP921" i="12"/>
  <c r="AQ921" i="12"/>
  <c r="AR921" i="12"/>
  <c r="AS921" i="12"/>
  <c r="AT921" i="12"/>
  <c r="AP922" i="12"/>
  <c r="AQ922" i="12"/>
  <c r="AR922" i="12"/>
  <c r="AS922" i="12"/>
  <c r="AT922" i="12"/>
  <c r="AP923" i="12"/>
  <c r="AQ923" i="12"/>
  <c r="AR923" i="12"/>
  <c r="AS923" i="12"/>
  <c r="AT923" i="12"/>
  <c r="AP924" i="12"/>
  <c r="AQ924" i="12"/>
  <c r="AR924" i="12"/>
  <c r="AS924" i="12"/>
  <c r="AT924" i="12"/>
  <c r="AP925" i="12"/>
  <c r="AQ925" i="12"/>
  <c r="AR925" i="12"/>
  <c r="AS925" i="12"/>
  <c r="AT925" i="12"/>
  <c r="AP926" i="12"/>
  <c r="AQ926" i="12"/>
  <c r="AR926" i="12"/>
  <c r="AS926" i="12"/>
  <c r="AT926" i="12"/>
  <c r="AP927" i="12"/>
  <c r="AQ927" i="12"/>
  <c r="AR927" i="12"/>
  <c r="AS927" i="12"/>
  <c r="AT927" i="12"/>
  <c r="AP928" i="12"/>
  <c r="AQ928" i="12"/>
  <c r="AR928" i="12"/>
  <c r="AS928" i="12"/>
  <c r="AT928" i="12"/>
  <c r="AP929" i="12"/>
  <c r="AQ929" i="12"/>
  <c r="AR929" i="12"/>
  <c r="AS929" i="12"/>
  <c r="AT929" i="12"/>
  <c r="AP930" i="12"/>
  <c r="AQ930" i="12"/>
  <c r="AR930" i="12"/>
  <c r="AS930" i="12"/>
  <c r="AT930" i="12"/>
  <c r="AP931" i="12"/>
  <c r="AQ931" i="12"/>
  <c r="AR931" i="12"/>
  <c r="AS931" i="12"/>
  <c r="AT931" i="12"/>
  <c r="AP932" i="12"/>
  <c r="AQ932" i="12"/>
  <c r="AR932" i="12"/>
  <c r="AS932" i="12"/>
  <c r="AT932" i="12"/>
  <c r="AP933" i="12"/>
  <c r="AQ933" i="12"/>
  <c r="AR933" i="12"/>
  <c r="AS933" i="12"/>
  <c r="AT933" i="12"/>
  <c r="AP934" i="12"/>
  <c r="AQ934" i="12"/>
  <c r="AR934" i="12"/>
  <c r="AS934" i="12"/>
  <c r="AT934" i="12"/>
  <c r="AP935" i="12"/>
  <c r="AQ935" i="12"/>
  <c r="AR935" i="12"/>
  <c r="AS935" i="12"/>
  <c r="AT935" i="12"/>
  <c r="AP936" i="12"/>
  <c r="AQ936" i="12"/>
  <c r="AR936" i="12"/>
  <c r="AS936" i="12"/>
  <c r="AT936" i="12"/>
  <c r="AP937" i="12"/>
  <c r="AQ937" i="12"/>
  <c r="AR937" i="12"/>
  <c r="AS937" i="12"/>
  <c r="AT937" i="12"/>
  <c r="AP938" i="12"/>
  <c r="AQ938" i="12"/>
  <c r="AR938" i="12"/>
  <c r="AS938" i="12"/>
  <c r="AT938" i="12"/>
  <c r="AP939" i="12"/>
  <c r="AQ939" i="12"/>
  <c r="AR939" i="12"/>
  <c r="AS939" i="12"/>
  <c r="AT939" i="12"/>
  <c r="AP940" i="12"/>
  <c r="AQ940" i="12"/>
  <c r="AR940" i="12"/>
  <c r="AS940" i="12"/>
  <c r="AT940" i="12"/>
  <c r="AP941" i="12"/>
  <c r="AQ941" i="12"/>
  <c r="AR941" i="12"/>
  <c r="AS941" i="12"/>
  <c r="AT941" i="12"/>
  <c r="AP942" i="12"/>
  <c r="AQ942" i="12"/>
  <c r="AR942" i="12"/>
  <c r="AS942" i="12"/>
  <c r="AT942" i="12"/>
  <c r="AP943" i="12"/>
  <c r="AQ943" i="12"/>
  <c r="AR943" i="12"/>
  <c r="AS943" i="12"/>
  <c r="AT943" i="12"/>
  <c r="AP944" i="12"/>
  <c r="AQ944" i="12"/>
  <c r="AR944" i="12"/>
  <c r="AS944" i="12"/>
  <c r="AT944" i="12"/>
  <c r="AP945" i="12"/>
  <c r="AQ945" i="12"/>
  <c r="AR945" i="12"/>
  <c r="AS945" i="12"/>
  <c r="AT945" i="12"/>
  <c r="AP946" i="12"/>
  <c r="AQ946" i="12"/>
  <c r="AR946" i="12"/>
  <c r="AS946" i="12"/>
  <c r="AT946" i="12"/>
  <c r="AP947" i="12"/>
  <c r="AQ947" i="12"/>
  <c r="AR947" i="12"/>
  <c r="AS947" i="12"/>
  <c r="AT947" i="12"/>
  <c r="AP948" i="12"/>
  <c r="AQ948" i="12"/>
  <c r="AR948" i="12"/>
  <c r="AS948" i="12"/>
  <c r="AT948" i="12"/>
  <c r="AP949" i="12"/>
  <c r="AQ949" i="12"/>
  <c r="AR949" i="12"/>
  <c r="AS949" i="12"/>
  <c r="AT949" i="12"/>
  <c r="AP950" i="12"/>
  <c r="AQ950" i="12"/>
  <c r="AR950" i="12"/>
  <c r="AS950" i="12"/>
  <c r="AT950" i="12"/>
  <c r="AP951" i="12"/>
  <c r="AQ951" i="12"/>
  <c r="AR951" i="12"/>
  <c r="AS951" i="12"/>
  <c r="AT951" i="12"/>
  <c r="AP952" i="12"/>
  <c r="AQ952" i="12"/>
  <c r="AR952" i="12"/>
  <c r="AS952" i="12"/>
  <c r="AT952" i="12"/>
  <c r="AP953" i="12"/>
  <c r="AQ953" i="12"/>
  <c r="AR953" i="12"/>
  <c r="AS953" i="12"/>
  <c r="AT953" i="12"/>
  <c r="AP954" i="12"/>
  <c r="AQ954" i="12"/>
  <c r="AR954" i="12"/>
  <c r="AS954" i="12"/>
  <c r="AT954" i="12"/>
  <c r="AP955" i="12"/>
  <c r="AQ955" i="12"/>
  <c r="AR955" i="12"/>
  <c r="AS955" i="12"/>
  <c r="AT955" i="12"/>
  <c r="AP956" i="12"/>
  <c r="AQ956" i="12"/>
  <c r="AR956" i="12"/>
  <c r="AS956" i="12"/>
  <c r="AT956" i="12"/>
  <c r="AP957" i="12"/>
  <c r="AQ957" i="12"/>
  <c r="AR957" i="12"/>
  <c r="AS957" i="12"/>
  <c r="AT957" i="12"/>
  <c r="AP958" i="12"/>
  <c r="AQ958" i="12"/>
  <c r="AR958" i="12"/>
  <c r="AS958" i="12"/>
  <c r="AT958" i="12"/>
  <c r="AP959" i="12"/>
  <c r="AQ959" i="12"/>
  <c r="AR959" i="12"/>
  <c r="AS959" i="12"/>
  <c r="AT959" i="12"/>
  <c r="AP960" i="12"/>
  <c r="AQ960" i="12"/>
  <c r="AR960" i="12"/>
  <c r="AS960" i="12"/>
  <c r="AT960" i="12"/>
  <c r="AP961" i="12"/>
  <c r="AQ961" i="12"/>
  <c r="AR961" i="12"/>
  <c r="AS961" i="12"/>
  <c r="AT961" i="12"/>
  <c r="AP962" i="12"/>
  <c r="AQ962" i="12"/>
  <c r="AR962" i="12"/>
  <c r="AS962" i="12"/>
  <c r="AT962" i="12"/>
  <c r="AP963" i="12"/>
  <c r="AQ963" i="12"/>
  <c r="AR963" i="12"/>
  <c r="AS963" i="12"/>
  <c r="AT963" i="12"/>
  <c r="AP964" i="12"/>
  <c r="AQ964" i="12"/>
  <c r="AR964" i="12"/>
  <c r="AS964" i="12"/>
  <c r="AT964" i="12"/>
  <c r="AP965" i="12"/>
  <c r="AQ965" i="12"/>
  <c r="AR965" i="12"/>
  <c r="AS965" i="12"/>
  <c r="AT965" i="12"/>
  <c r="AP966" i="12"/>
  <c r="AQ966" i="12"/>
  <c r="AR966" i="12"/>
  <c r="AS966" i="12"/>
  <c r="AT966" i="12"/>
  <c r="AP967" i="12"/>
  <c r="AQ967" i="12"/>
  <c r="AR967" i="12"/>
  <c r="AS967" i="12"/>
  <c r="AT967" i="12"/>
  <c r="AP968" i="12"/>
  <c r="AQ968" i="12"/>
  <c r="AR968" i="12"/>
  <c r="AS968" i="12"/>
  <c r="AT968" i="12"/>
  <c r="AP969" i="12"/>
  <c r="AQ969" i="12"/>
  <c r="AR969" i="12"/>
  <c r="AS969" i="12"/>
  <c r="AT969" i="12"/>
  <c r="AP970" i="12"/>
  <c r="AQ970" i="12"/>
  <c r="AR970" i="12"/>
  <c r="AS970" i="12"/>
  <c r="AT970" i="12"/>
  <c r="AP971" i="12"/>
  <c r="AQ971" i="12"/>
  <c r="AR971" i="12"/>
  <c r="AS971" i="12"/>
  <c r="AT971" i="12"/>
  <c r="AP972" i="12"/>
  <c r="AQ972" i="12"/>
  <c r="AR972" i="12"/>
  <c r="AS972" i="12"/>
  <c r="AT972" i="12"/>
  <c r="AP973" i="12"/>
  <c r="AQ973" i="12"/>
  <c r="AR973" i="12"/>
  <c r="AS973" i="12"/>
  <c r="AT973" i="12"/>
  <c r="AP974" i="12"/>
  <c r="AQ974" i="12"/>
  <c r="AR974" i="12"/>
  <c r="AS974" i="12"/>
  <c r="AT974" i="12"/>
  <c r="AP975" i="12"/>
  <c r="AQ975" i="12"/>
  <c r="AR975" i="12"/>
  <c r="AS975" i="12"/>
  <c r="AT975" i="12"/>
  <c r="AP976" i="12"/>
  <c r="AQ976" i="12"/>
  <c r="AR976" i="12"/>
  <c r="AS976" i="12"/>
  <c r="AT976" i="12"/>
  <c r="AP977" i="12"/>
  <c r="AQ977" i="12"/>
  <c r="AR977" i="12"/>
  <c r="AS977" i="12"/>
  <c r="AT977" i="12"/>
  <c r="AP978" i="12"/>
  <c r="AQ978" i="12"/>
  <c r="AR978" i="12"/>
  <c r="AS978" i="12"/>
  <c r="AT978" i="12"/>
  <c r="AP979" i="12"/>
  <c r="AQ979" i="12"/>
  <c r="AR979" i="12"/>
  <c r="AS979" i="12"/>
  <c r="AT979" i="12"/>
  <c r="AP980" i="12"/>
  <c r="AQ980" i="12"/>
  <c r="AR980" i="12"/>
  <c r="AS980" i="12"/>
  <c r="AT980" i="12"/>
  <c r="AP981" i="12"/>
  <c r="AQ981" i="12"/>
  <c r="AR981" i="12"/>
  <c r="AS981" i="12"/>
  <c r="AT981" i="12"/>
  <c r="AP982" i="12"/>
  <c r="AQ982" i="12"/>
  <c r="AR982" i="12"/>
  <c r="AS982" i="12"/>
  <c r="AT982" i="12"/>
  <c r="AP983" i="12"/>
  <c r="AQ983" i="12"/>
  <c r="AR983" i="12"/>
  <c r="AS983" i="12"/>
  <c r="AT983" i="12"/>
  <c r="AP984" i="12"/>
  <c r="AQ984" i="12"/>
  <c r="AR984" i="12"/>
  <c r="AS984" i="12"/>
  <c r="AT984" i="12"/>
  <c r="AP985" i="12"/>
  <c r="AQ985" i="12"/>
  <c r="AR985" i="12"/>
  <c r="AS985" i="12"/>
  <c r="AT985" i="12"/>
  <c r="AP986" i="12"/>
  <c r="AQ986" i="12"/>
  <c r="AR986" i="12"/>
  <c r="AS986" i="12"/>
  <c r="AT986" i="12"/>
  <c r="AP987" i="12"/>
  <c r="AQ987" i="12"/>
  <c r="AR987" i="12"/>
  <c r="AS987" i="12"/>
  <c r="AT987" i="12"/>
  <c r="AP988" i="12"/>
  <c r="AQ988" i="12"/>
  <c r="AR988" i="12"/>
  <c r="AS988" i="12"/>
  <c r="AT988" i="12"/>
  <c r="AP989" i="12"/>
  <c r="AQ989" i="12"/>
  <c r="AR989" i="12"/>
  <c r="AS989" i="12"/>
  <c r="AT989" i="12"/>
  <c r="AP990" i="12"/>
  <c r="AQ990" i="12"/>
  <c r="AR990" i="12"/>
  <c r="AS990" i="12"/>
  <c r="AT990" i="12"/>
  <c r="AP991" i="12"/>
  <c r="AQ991" i="12"/>
  <c r="AR991" i="12"/>
  <c r="AS991" i="12"/>
  <c r="AT991" i="12"/>
  <c r="AP992" i="12"/>
  <c r="AQ992" i="12"/>
  <c r="AR992" i="12"/>
  <c r="AS992" i="12"/>
  <c r="AT992" i="12"/>
  <c r="AP993" i="12"/>
  <c r="AQ993" i="12"/>
  <c r="AR993" i="12"/>
  <c r="AS993" i="12"/>
  <c r="AT993" i="12"/>
  <c r="AP994" i="12"/>
  <c r="AQ994" i="12"/>
  <c r="AR994" i="12"/>
  <c r="AS994" i="12"/>
  <c r="AT994" i="12"/>
  <c r="AP995" i="12"/>
  <c r="AQ995" i="12"/>
  <c r="AR995" i="12"/>
  <c r="AS995" i="12"/>
  <c r="AT995" i="12"/>
  <c r="AP996" i="12"/>
  <c r="AQ996" i="12"/>
  <c r="AR996" i="12"/>
  <c r="AS996" i="12"/>
  <c r="AT996" i="12"/>
  <c r="AP997" i="12"/>
  <c r="AQ997" i="12"/>
  <c r="AR997" i="12"/>
  <c r="AS997" i="12"/>
  <c r="AT997" i="12"/>
  <c r="AP998" i="12"/>
  <c r="AQ998" i="12"/>
  <c r="AR998" i="12"/>
  <c r="AS998" i="12"/>
  <c r="AT998" i="12"/>
  <c r="AP999" i="12"/>
  <c r="AQ999" i="12"/>
  <c r="AR999" i="12"/>
  <c r="AS999" i="12"/>
  <c r="AT999" i="12"/>
  <c r="AP1000" i="12"/>
  <c r="AQ1000" i="12"/>
  <c r="AR1000" i="12"/>
  <c r="AS1000" i="12"/>
  <c r="AT1000" i="12"/>
  <c r="AA17" i="12"/>
  <c r="AB17" i="12"/>
  <c r="AC17" i="12"/>
  <c r="AD17" i="12"/>
  <c r="AE17" i="12"/>
  <c r="AF17" i="12" s="1"/>
  <c r="AH17" i="12" s="1"/>
  <c r="AI17" i="12" s="1"/>
  <c r="AK17" i="12"/>
  <c r="AL17" i="12"/>
  <c r="AM17" i="12" s="1"/>
  <c r="AA18" i="12"/>
  <c r="AB18" i="12"/>
  <c r="AC18" i="12"/>
  <c r="AD18" i="12"/>
  <c r="AE18" i="12"/>
  <c r="AK18" i="12"/>
  <c r="AL18" i="12"/>
  <c r="AM18" i="12"/>
  <c r="AA19" i="12"/>
  <c r="AB19" i="12"/>
  <c r="AC19" i="12"/>
  <c r="AD19" i="12"/>
  <c r="AE19" i="12"/>
  <c r="AG19" i="12" s="1"/>
  <c r="AK19" i="12"/>
  <c r="AL19" i="12"/>
  <c r="AM19" i="12" s="1"/>
  <c r="AA20" i="12"/>
  <c r="AB20" i="12"/>
  <c r="AQ19" i="12" s="1"/>
  <c r="AC20" i="12"/>
  <c r="AD20" i="12"/>
  <c r="AE20" i="12"/>
  <c r="AK20" i="12"/>
  <c r="AL20" i="12"/>
  <c r="AM20" i="12"/>
  <c r="AA21" i="12"/>
  <c r="AB21" i="12"/>
  <c r="AC21" i="12"/>
  <c r="AD21" i="12"/>
  <c r="AE21" i="12"/>
  <c r="AF21" i="12" s="1"/>
  <c r="AH21" i="12" s="1"/>
  <c r="AI21" i="12" s="1"/>
  <c r="AK21" i="12"/>
  <c r="AL21" i="12"/>
  <c r="AM21" i="12" s="1"/>
  <c r="AA22" i="12"/>
  <c r="AB22" i="12"/>
  <c r="AC22" i="12"/>
  <c r="AD22" i="12"/>
  <c r="AE22" i="12"/>
  <c r="AF22" i="12" s="1"/>
  <c r="AH22" i="12" s="1"/>
  <c r="AI22" i="12" s="1"/>
  <c r="AG22" i="12"/>
  <c r="AK22" i="12"/>
  <c r="AL22" i="12"/>
  <c r="AM22" i="12" s="1"/>
  <c r="AA23" i="12"/>
  <c r="AB23" i="12"/>
  <c r="AC23" i="12"/>
  <c r="AD23" i="12"/>
  <c r="AE23" i="12"/>
  <c r="AG23" i="12" s="1"/>
  <c r="AK23" i="12"/>
  <c r="AL23" i="12"/>
  <c r="AM23" i="12" s="1"/>
  <c r="AA24" i="12"/>
  <c r="AB24" i="12"/>
  <c r="AC24" i="12"/>
  <c r="AQ23" i="12" s="1"/>
  <c r="AD24" i="12"/>
  <c r="AE24" i="12"/>
  <c r="AF24" i="12" s="1"/>
  <c r="AH24" i="12" s="1"/>
  <c r="AI24" i="12" s="1"/>
  <c r="AK24" i="12"/>
  <c r="AL24" i="12"/>
  <c r="AM24" i="12" s="1"/>
  <c r="AA25" i="12"/>
  <c r="AB25" i="12"/>
  <c r="AQ24" i="12" s="1"/>
  <c r="AR24" i="12" s="1"/>
  <c r="AC25" i="12"/>
  <c r="AD25" i="12"/>
  <c r="AE25" i="12"/>
  <c r="AG25" i="12" s="1"/>
  <c r="AK25" i="12"/>
  <c r="AL25" i="12"/>
  <c r="AM25" i="12" s="1"/>
  <c r="AA26" i="12"/>
  <c r="AB26" i="12"/>
  <c r="AC26" i="12"/>
  <c r="AD26" i="12"/>
  <c r="AE26" i="12"/>
  <c r="AK26" i="12"/>
  <c r="AL26" i="12"/>
  <c r="AM26" i="12"/>
  <c r="AA27" i="12"/>
  <c r="AB27" i="12"/>
  <c r="AC27" i="12"/>
  <c r="AD27" i="12"/>
  <c r="AE27" i="12"/>
  <c r="AG27" i="12" s="1"/>
  <c r="AF27" i="12"/>
  <c r="AH27" i="12"/>
  <c r="AI27" i="12" s="1"/>
  <c r="AK27" i="12"/>
  <c r="AL27" i="12"/>
  <c r="AM27" i="12" s="1"/>
  <c r="AA28" i="12"/>
  <c r="AB28" i="12"/>
  <c r="AC28" i="12"/>
  <c r="AD28" i="12"/>
  <c r="AE28" i="12"/>
  <c r="AK28" i="12"/>
  <c r="AL28" i="12"/>
  <c r="AM28" i="12"/>
  <c r="AA29" i="12"/>
  <c r="AB29" i="12"/>
  <c r="AC29" i="12"/>
  <c r="AD29" i="12"/>
  <c r="AE29" i="12"/>
  <c r="AG29" i="12" s="1"/>
  <c r="AF29" i="12"/>
  <c r="AH29" i="12" s="1"/>
  <c r="AI29" i="12" s="1"/>
  <c r="AK29" i="12"/>
  <c r="AL29" i="12"/>
  <c r="AM29" i="12" s="1"/>
  <c r="AA30" i="12"/>
  <c r="AB30" i="12"/>
  <c r="AC30" i="12"/>
  <c r="AQ29" i="12" s="1"/>
  <c r="AD30" i="12"/>
  <c r="AE30" i="12"/>
  <c r="AF30" i="12" s="1"/>
  <c r="AH30" i="12" s="1"/>
  <c r="AI30" i="12" s="1"/>
  <c r="AK30" i="12"/>
  <c r="AL30" i="12"/>
  <c r="AM30" i="12" s="1"/>
  <c r="AA31" i="12"/>
  <c r="AB31" i="12"/>
  <c r="AQ30" i="12" s="1"/>
  <c r="AC31" i="12"/>
  <c r="AD31" i="12"/>
  <c r="AE31" i="12"/>
  <c r="AG31" i="12" s="1"/>
  <c r="AF31" i="12"/>
  <c r="AH31" i="12" s="1"/>
  <c r="AI31" i="12" s="1"/>
  <c r="AJ31" i="12" s="1"/>
  <c r="AK31" i="12"/>
  <c r="AL31" i="12"/>
  <c r="AM31" i="12" s="1"/>
  <c r="AA32" i="12"/>
  <c r="AB32" i="12"/>
  <c r="AC32" i="12"/>
  <c r="AQ31" i="12" s="1"/>
  <c r="AD32" i="12"/>
  <c r="AE32" i="12"/>
  <c r="AF32" i="12" s="1"/>
  <c r="AH32" i="12" s="1"/>
  <c r="AI32" i="12" s="1"/>
  <c r="AG32" i="12"/>
  <c r="AK32" i="12"/>
  <c r="AL32" i="12"/>
  <c r="AM32" i="12" s="1"/>
  <c r="AA33" i="12"/>
  <c r="AB33" i="12"/>
  <c r="AQ32" i="12" s="1"/>
  <c r="AR32" i="12" s="1"/>
  <c r="AC33" i="12"/>
  <c r="AD33" i="12"/>
  <c r="AE33" i="12"/>
  <c r="AF33" i="12"/>
  <c r="AH33" i="12" s="1"/>
  <c r="AI33" i="12" s="1"/>
  <c r="AG33" i="12"/>
  <c r="AK33" i="12"/>
  <c r="AL33" i="12"/>
  <c r="AM33" i="12" s="1"/>
  <c r="AA34" i="12"/>
  <c r="AB34" i="12"/>
  <c r="AC34" i="12"/>
  <c r="AD34" i="12"/>
  <c r="AE34" i="12"/>
  <c r="AK34" i="12"/>
  <c r="AL34" i="12"/>
  <c r="AM34" i="12" s="1"/>
  <c r="AA35" i="12"/>
  <c r="AB35" i="12"/>
  <c r="AC35" i="12"/>
  <c r="AD35" i="12"/>
  <c r="AE35" i="12"/>
  <c r="AG35" i="12" s="1"/>
  <c r="AF35" i="12"/>
  <c r="AH35" i="12" s="1"/>
  <c r="AI35" i="12" s="1"/>
  <c r="AK35" i="12"/>
  <c r="AL35" i="12"/>
  <c r="AM35" i="12" s="1"/>
  <c r="AA36" i="12"/>
  <c r="AB36" i="12"/>
  <c r="AC36" i="12"/>
  <c r="AD36" i="12"/>
  <c r="AE36" i="12"/>
  <c r="AK36" i="12"/>
  <c r="AL36" i="12"/>
  <c r="AM36" i="12" s="1"/>
  <c r="AA37" i="12"/>
  <c r="AB37" i="12"/>
  <c r="AC37" i="12"/>
  <c r="AD37" i="12"/>
  <c r="AE37" i="12"/>
  <c r="AF37" i="12"/>
  <c r="AH37" i="12" s="1"/>
  <c r="AI37" i="12" s="1"/>
  <c r="AG37" i="12"/>
  <c r="AJ37" i="12"/>
  <c r="AK37" i="12"/>
  <c r="AL37" i="12"/>
  <c r="AM37" i="12" s="1"/>
  <c r="AA38" i="12"/>
  <c r="AB38" i="12"/>
  <c r="AC38" i="12"/>
  <c r="AQ37" i="12" s="1"/>
  <c r="AD38" i="12"/>
  <c r="AE38" i="12"/>
  <c r="AG38" i="12" s="1"/>
  <c r="AF38" i="12"/>
  <c r="AH38" i="12" s="1"/>
  <c r="AI38" i="12" s="1"/>
  <c r="AK38" i="12"/>
  <c r="AL38" i="12"/>
  <c r="AM38" i="12"/>
  <c r="AA39" i="12"/>
  <c r="AB39" i="12"/>
  <c r="AQ38" i="12" s="1"/>
  <c r="AC39" i="12"/>
  <c r="AD39" i="12"/>
  <c r="AE39" i="12"/>
  <c r="AG39" i="12" s="1"/>
  <c r="AK39" i="12"/>
  <c r="AL39" i="12"/>
  <c r="AM39" i="12"/>
  <c r="AA40" i="12"/>
  <c r="AB40" i="12"/>
  <c r="AC40" i="12"/>
  <c r="AD40" i="12"/>
  <c r="AE40" i="12"/>
  <c r="AF40" i="12" s="1"/>
  <c r="AH40" i="12" s="1"/>
  <c r="AI40" i="12" s="1"/>
  <c r="AK40" i="12"/>
  <c r="AL40" i="12"/>
  <c r="AM40" i="12" s="1"/>
  <c r="AA41" i="12"/>
  <c r="AB41" i="12"/>
  <c r="AC41" i="12"/>
  <c r="AD41" i="12"/>
  <c r="AE41" i="12"/>
  <c r="AF41" i="12" s="1"/>
  <c r="AH41" i="12" s="1"/>
  <c r="AI41" i="12" s="1"/>
  <c r="AK41" i="12"/>
  <c r="AL41" i="12"/>
  <c r="AM41" i="12" s="1"/>
  <c r="AA42" i="12"/>
  <c r="AB42" i="12"/>
  <c r="AQ41" i="12" s="1"/>
  <c r="AC42" i="12"/>
  <c r="AD42" i="12"/>
  <c r="AE42" i="12"/>
  <c r="AG42" i="12" s="1"/>
  <c r="AK42" i="12"/>
  <c r="AL42" i="12"/>
  <c r="AM42" i="12"/>
  <c r="AA43" i="12"/>
  <c r="AB43" i="12"/>
  <c r="AC43" i="12"/>
  <c r="AQ42" i="12" s="1"/>
  <c r="AD43" i="12"/>
  <c r="AE43" i="12"/>
  <c r="AG43" i="12" s="1"/>
  <c r="AK43" i="12"/>
  <c r="AL43" i="12"/>
  <c r="AM43" i="12"/>
  <c r="AA44" i="12"/>
  <c r="AB44" i="12"/>
  <c r="AQ43" i="12" s="1"/>
  <c r="AC44" i="12"/>
  <c r="AD44" i="12"/>
  <c r="AE44" i="12"/>
  <c r="AF44" i="12" s="1"/>
  <c r="AH44" i="12" s="1"/>
  <c r="AI44" i="12" s="1"/>
  <c r="AK44" i="12"/>
  <c r="AL44" i="12"/>
  <c r="AM44" i="12" s="1"/>
  <c r="AA45" i="12"/>
  <c r="AB45" i="12"/>
  <c r="AC45" i="12"/>
  <c r="AD45" i="12"/>
  <c r="AE45" i="12"/>
  <c r="AG45" i="12" s="1"/>
  <c r="AK45" i="12"/>
  <c r="AL45" i="12"/>
  <c r="AM45" i="12" s="1"/>
  <c r="AA46" i="12"/>
  <c r="AB46" i="12"/>
  <c r="AC46" i="12"/>
  <c r="AQ45" i="12" s="1"/>
  <c r="AD46" i="12"/>
  <c r="AE46" i="12"/>
  <c r="AG46" i="12" s="1"/>
  <c r="AK46" i="12"/>
  <c r="AL46" i="12"/>
  <c r="AM46" i="12" s="1"/>
  <c r="AA47" i="12"/>
  <c r="AB47" i="12"/>
  <c r="AQ46" i="12" s="1"/>
  <c r="AC47" i="12"/>
  <c r="AD47" i="12"/>
  <c r="AE47" i="12"/>
  <c r="AG47" i="12" s="1"/>
  <c r="AF47" i="12"/>
  <c r="AH47" i="12" s="1"/>
  <c r="AI47" i="12" s="1"/>
  <c r="AK47" i="12"/>
  <c r="AL47" i="12"/>
  <c r="AM47" i="12" s="1"/>
  <c r="AA48" i="12"/>
  <c r="AB48" i="12"/>
  <c r="AC48" i="12"/>
  <c r="AQ47" i="12" s="1"/>
  <c r="AD48" i="12"/>
  <c r="AE48" i="12"/>
  <c r="AF48" i="12" s="1"/>
  <c r="AH48" i="12" s="1"/>
  <c r="AI48" i="12" s="1"/>
  <c r="AK48" i="12"/>
  <c r="AL48" i="12"/>
  <c r="AM48" i="12" s="1"/>
  <c r="AA49" i="12"/>
  <c r="AB49" i="12"/>
  <c r="AQ48" i="12" s="1"/>
  <c r="AR48" i="12" s="1"/>
  <c r="AC49" i="12"/>
  <c r="AD49" i="12"/>
  <c r="AE49" i="12"/>
  <c r="AG49" i="12" s="1"/>
  <c r="AK49" i="12"/>
  <c r="AL49" i="12"/>
  <c r="AM49" i="12" s="1"/>
  <c r="AA50" i="12"/>
  <c r="AB50" i="12"/>
  <c r="AQ49" i="12" s="1"/>
  <c r="AC50" i="12"/>
  <c r="AD50" i="12"/>
  <c r="AE50" i="12"/>
  <c r="AG50" i="12" s="1"/>
  <c r="AK50" i="12"/>
  <c r="AL50" i="12"/>
  <c r="AM50" i="12" s="1"/>
  <c r="AA51" i="12"/>
  <c r="AB51" i="12"/>
  <c r="AC51" i="12"/>
  <c r="AQ50" i="12" s="1"/>
  <c r="AD51" i="12"/>
  <c r="AE51" i="12"/>
  <c r="AG51" i="12" s="1"/>
  <c r="AK51" i="12"/>
  <c r="AL51" i="12"/>
  <c r="AM51" i="12" s="1"/>
  <c r="AA52" i="12"/>
  <c r="AB52" i="12"/>
  <c r="AC52" i="12"/>
  <c r="AD52" i="12"/>
  <c r="AE52" i="12"/>
  <c r="AF52" i="12" s="1"/>
  <c r="AH52" i="12" s="1"/>
  <c r="AI52" i="12" s="1"/>
  <c r="AK52" i="12"/>
  <c r="AL52" i="12"/>
  <c r="AM52" i="12" s="1"/>
  <c r="AA53" i="12"/>
  <c r="AB53" i="12"/>
  <c r="AC53" i="12"/>
  <c r="AD53" i="12"/>
  <c r="AE53" i="12"/>
  <c r="AG53" i="12" s="1"/>
  <c r="AF53" i="12"/>
  <c r="AH53" i="12" s="1"/>
  <c r="AI53" i="12" s="1"/>
  <c r="AK53" i="12"/>
  <c r="AL53" i="12"/>
  <c r="AM53" i="12" s="1"/>
  <c r="AA54" i="12"/>
  <c r="AB54" i="12"/>
  <c r="AC54" i="12"/>
  <c r="AD54" i="12"/>
  <c r="AE54" i="12"/>
  <c r="AF54" i="12" s="1"/>
  <c r="AH54" i="12" s="1"/>
  <c r="AI54" i="12" s="1"/>
  <c r="AK54" i="12"/>
  <c r="AL54" i="12"/>
  <c r="AM54" i="12"/>
  <c r="AA55" i="12"/>
  <c r="AB55" i="12"/>
  <c r="AC55" i="12"/>
  <c r="AD55" i="12"/>
  <c r="AE55" i="12"/>
  <c r="AG55" i="12" s="1"/>
  <c r="AF55" i="12"/>
  <c r="AH55" i="12" s="1"/>
  <c r="AI55" i="12" s="1"/>
  <c r="AJ55" i="12" s="1"/>
  <c r="AK55" i="12"/>
  <c r="AL55" i="12"/>
  <c r="AM55" i="12"/>
  <c r="AA56" i="12"/>
  <c r="AB56" i="12"/>
  <c r="AC56" i="12"/>
  <c r="AD56" i="12"/>
  <c r="AE56" i="12"/>
  <c r="AF56" i="12" s="1"/>
  <c r="AG56" i="12"/>
  <c r="AH56" i="12"/>
  <c r="AI56" i="12" s="1"/>
  <c r="AK56" i="12"/>
  <c r="AL56" i="12"/>
  <c r="AM56" i="12" s="1"/>
  <c r="AA57" i="12"/>
  <c r="AB57" i="12"/>
  <c r="AC57" i="12"/>
  <c r="AD57" i="12"/>
  <c r="AE57" i="12"/>
  <c r="AF57" i="12" s="1"/>
  <c r="AH57" i="12" s="1"/>
  <c r="AI57" i="12" s="1"/>
  <c r="AK57" i="12"/>
  <c r="AL57" i="12"/>
  <c r="AM57" i="12" s="1"/>
  <c r="AA58" i="12"/>
  <c r="AB58" i="12"/>
  <c r="AC58" i="12"/>
  <c r="AD58" i="12"/>
  <c r="AE58" i="12"/>
  <c r="AG58" i="12" s="1"/>
  <c r="AK58" i="12"/>
  <c r="AL58" i="12"/>
  <c r="AM58" i="12"/>
  <c r="AA59" i="12"/>
  <c r="AB59" i="12"/>
  <c r="AC59" i="12"/>
  <c r="AD59" i="12"/>
  <c r="AE59" i="12"/>
  <c r="AG59" i="12" s="1"/>
  <c r="AK59" i="12"/>
  <c r="AL59" i="12"/>
  <c r="AM59" i="12"/>
  <c r="AA60" i="12"/>
  <c r="AB60" i="12"/>
  <c r="AC60" i="12"/>
  <c r="AD60" i="12"/>
  <c r="AE60" i="12"/>
  <c r="AF60" i="12" s="1"/>
  <c r="AH60" i="12" s="1"/>
  <c r="AI60" i="12" s="1"/>
  <c r="AG60" i="12"/>
  <c r="AK60" i="12"/>
  <c r="AL60" i="12"/>
  <c r="AM60" i="12" s="1"/>
  <c r="AA61" i="12"/>
  <c r="AB61" i="12"/>
  <c r="AC61" i="12"/>
  <c r="AD61" i="12"/>
  <c r="AE61" i="12"/>
  <c r="AF61" i="12"/>
  <c r="AH61" i="12" s="1"/>
  <c r="AI61" i="12" s="1"/>
  <c r="AG61" i="12"/>
  <c r="AJ61" i="12" s="1"/>
  <c r="AK61" i="12"/>
  <c r="AL61" i="12"/>
  <c r="AM61" i="12" s="1"/>
  <c r="AA62" i="12"/>
  <c r="AB62" i="12"/>
  <c r="AC62" i="12"/>
  <c r="AD62" i="12"/>
  <c r="AE62" i="12"/>
  <c r="AF62" i="12" s="1"/>
  <c r="AH62" i="12" s="1"/>
  <c r="AI62" i="12" s="1"/>
  <c r="AK62" i="12"/>
  <c r="AL62" i="12"/>
  <c r="AM62" i="12"/>
  <c r="AA63" i="12"/>
  <c r="AB63" i="12"/>
  <c r="AC63" i="12"/>
  <c r="AD63" i="12"/>
  <c r="AE63" i="12"/>
  <c r="AG63" i="12" s="1"/>
  <c r="AK63" i="12"/>
  <c r="AL63" i="12"/>
  <c r="AM63" i="12"/>
  <c r="AA64" i="12"/>
  <c r="AB64" i="12"/>
  <c r="AC64" i="12"/>
  <c r="AD64" i="12"/>
  <c r="AE64" i="12"/>
  <c r="AF64" i="12" s="1"/>
  <c r="AH64" i="12"/>
  <c r="AI64" i="12"/>
  <c r="AK64" i="12"/>
  <c r="AL64" i="12"/>
  <c r="AM64" i="12" s="1"/>
  <c r="AA65" i="12"/>
  <c r="AB65" i="12"/>
  <c r="AC65" i="12"/>
  <c r="AD65" i="12"/>
  <c r="AE65" i="12"/>
  <c r="AF65" i="12"/>
  <c r="AH65" i="12" s="1"/>
  <c r="AI65" i="12" s="1"/>
  <c r="AG65" i="12"/>
  <c r="AK65" i="12"/>
  <c r="AL65" i="12"/>
  <c r="AM65" i="12" s="1"/>
  <c r="AA66" i="12"/>
  <c r="AB66" i="12"/>
  <c r="AC66" i="12"/>
  <c r="AD66" i="12"/>
  <c r="AE66" i="12"/>
  <c r="AG66" i="12" s="1"/>
  <c r="AK66" i="12"/>
  <c r="AL66" i="12"/>
  <c r="AM66" i="12"/>
  <c r="AA67" i="12"/>
  <c r="AB67" i="12"/>
  <c r="AC67" i="12"/>
  <c r="AD67" i="12"/>
  <c r="AE67" i="12"/>
  <c r="AG67" i="12" s="1"/>
  <c r="AK67" i="12"/>
  <c r="AL67" i="12"/>
  <c r="AM67" i="12"/>
  <c r="AA68" i="12"/>
  <c r="AB68" i="12"/>
  <c r="AC68" i="12"/>
  <c r="AD68" i="12"/>
  <c r="AE68" i="12"/>
  <c r="AF68" i="12" s="1"/>
  <c r="AH68" i="12" s="1"/>
  <c r="AI68" i="12" s="1"/>
  <c r="AK68" i="12"/>
  <c r="AL68" i="12"/>
  <c r="AM68" i="12" s="1"/>
  <c r="AA69" i="12"/>
  <c r="AB69" i="12"/>
  <c r="AC69" i="12"/>
  <c r="AD69" i="12"/>
  <c r="AE69" i="12"/>
  <c r="AF69" i="12" s="1"/>
  <c r="AH69" i="12" s="1"/>
  <c r="AI69" i="12" s="1"/>
  <c r="AK69" i="12"/>
  <c r="AL69" i="12"/>
  <c r="AM69" i="12" s="1"/>
  <c r="AA70" i="12"/>
  <c r="AB70" i="12"/>
  <c r="AC70" i="12"/>
  <c r="AD70" i="12"/>
  <c r="AE70" i="12"/>
  <c r="AF70" i="12" s="1"/>
  <c r="AH70" i="12" s="1"/>
  <c r="AI70" i="12" s="1"/>
  <c r="AG70" i="12"/>
  <c r="AK70" i="12"/>
  <c r="AL70" i="12"/>
  <c r="AM70" i="12"/>
  <c r="AA71" i="12"/>
  <c r="AB71" i="12"/>
  <c r="AC71" i="12"/>
  <c r="AD71" i="12"/>
  <c r="AE71" i="12"/>
  <c r="AG71" i="12" s="1"/>
  <c r="AF71" i="12"/>
  <c r="AH71" i="12" s="1"/>
  <c r="AI71" i="12"/>
  <c r="AJ71" i="12" s="1"/>
  <c r="AK71" i="12"/>
  <c r="AL71" i="12"/>
  <c r="AM71" i="12"/>
  <c r="AA72" i="12"/>
  <c r="AB72" i="12"/>
  <c r="AC72" i="12"/>
  <c r="AD72" i="12"/>
  <c r="AE72" i="12"/>
  <c r="AF72" i="12" s="1"/>
  <c r="AH72" i="12" s="1"/>
  <c r="AI72" i="12" s="1"/>
  <c r="AK72" i="12"/>
  <c r="AL72" i="12"/>
  <c r="AM72" i="12" s="1"/>
  <c r="AA73" i="12"/>
  <c r="AB73" i="12"/>
  <c r="AC73" i="12"/>
  <c r="AD73" i="12"/>
  <c r="AE73" i="12"/>
  <c r="AF73" i="12" s="1"/>
  <c r="AH73" i="12" s="1"/>
  <c r="AI73" i="12" s="1"/>
  <c r="AK73" i="12"/>
  <c r="AL73" i="12"/>
  <c r="AM73" i="12" s="1"/>
  <c r="AA74" i="12"/>
  <c r="AB74" i="12"/>
  <c r="AC74" i="12"/>
  <c r="AD74" i="12"/>
  <c r="AE74" i="12"/>
  <c r="AF74" i="12" s="1"/>
  <c r="AH74" i="12" s="1"/>
  <c r="AI74" i="12"/>
  <c r="AK74" i="12"/>
  <c r="AL74" i="12"/>
  <c r="AM74" i="12"/>
  <c r="AA75" i="12"/>
  <c r="AB75" i="12"/>
  <c r="AC75" i="12"/>
  <c r="AD75" i="12"/>
  <c r="AE75" i="12"/>
  <c r="AF75" i="12"/>
  <c r="AH75" i="12" s="1"/>
  <c r="AI75" i="12" s="1"/>
  <c r="AG75" i="12"/>
  <c r="AJ75" i="12" s="1"/>
  <c r="AK75" i="12"/>
  <c r="AL75" i="12"/>
  <c r="AM75" i="12" s="1"/>
  <c r="AA76" i="12"/>
  <c r="AB76" i="12"/>
  <c r="AC76" i="12"/>
  <c r="AD76" i="12"/>
  <c r="AE76" i="12"/>
  <c r="AF76" i="12" s="1"/>
  <c r="AH76" i="12" s="1"/>
  <c r="AI76" i="12" s="1"/>
  <c r="AK76" i="12"/>
  <c r="AL76" i="12"/>
  <c r="AM76" i="12"/>
  <c r="AA77" i="12"/>
  <c r="AB77" i="12"/>
  <c r="AC77" i="12"/>
  <c r="AD77" i="12"/>
  <c r="AE77" i="12"/>
  <c r="AG77" i="12" s="1"/>
  <c r="AK77" i="12"/>
  <c r="AL77" i="12"/>
  <c r="AM77" i="12" s="1"/>
  <c r="AA78" i="12"/>
  <c r="AB78" i="12"/>
  <c r="AC78" i="12"/>
  <c r="AD78" i="12"/>
  <c r="AE78" i="12"/>
  <c r="AF78" i="12" s="1"/>
  <c r="AH78" i="12" s="1"/>
  <c r="AI78" i="12"/>
  <c r="AK78" i="12"/>
  <c r="AL78" i="12"/>
  <c r="AM78" i="12"/>
  <c r="AA79" i="12"/>
  <c r="AB79" i="12"/>
  <c r="AC79" i="12"/>
  <c r="AD79" i="12"/>
  <c r="AE79" i="12"/>
  <c r="AF79" i="12"/>
  <c r="AH79" i="12" s="1"/>
  <c r="AI79" i="12" s="1"/>
  <c r="AJ79" i="12" s="1"/>
  <c r="AG79" i="12"/>
  <c r="AK79" i="12"/>
  <c r="AL79" i="12"/>
  <c r="AM79" i="12" s="1"/>
  <c r="AA80" i="12"/>
  <c r="AB80" i="12"/>
  <c r="AC80" i="12"/>
  <c r="AD80" i="12"/>
  <c r="AE80" i="12"/>
  <c r="AK80" i="12"/>
  <c r="AL80" i="12"/>
  <c r="AM80" i="12"/>
  <c r="AA81" i="12"/>
  <c r="AB81" i="12"/>
  <c r="AC81" i="12"/>
  <c r="AD81" i="12"/>
  <c r="AE81" i="12"/>
  <c r="AG81" i="12" s="1"/>
  <c r="AK81" i="12"/>
  <c r="AL81" i="12"/>
  <c r="AM81" i="12" s="1"/>
  <c r="AA82" i="12"/>
  <c r="AB82" i="12"/>
  <c r="AC82" i="12"/>
  <c r="AD82" i="12"/>
  <c r="AE82" i="12"/>
  <c r="AF82" i="12" s="1"/>
  <c r="AH82" i="12" s="1"/>
  <c r="AI82" i="12" s="1"/>
  <c r="AK82" i="12"/>
  <c r="AL82" i="12"/>
  <c r="AM82" i="12"/>
  <c r="AA83" i="12"/>
  <c r="AB83" i="12"/>
  <c r="AC83" i="12"/>
  <c r="AD83" i="12"/>
  <c r="AE83" i="12"/>
  <c r="AF83" i="12"/>
  <c r="AH83" i="12" s="1"/>
  <c r="AI83" i="12" s="1"/>
  <c r="AJ83" i="12" s="1"/>
  <c r="AG83" i="12"/>
  <c r="AK83" i="12"/>
  <c r="AL83" i="12"/>
  <c r="AM83" i="12" s="1"/>
  <c r="AA84" i="12"/>
  <c r="AB84" i="12"/>
  <c r="AC84" i="12"/>
  <c r="AD84" i="12"/>
  <c r="AE84" i="12"/>
  <c r="AK84" i="12"/>
  <c r="AL84" i="12"/>
  <c r="AM84" i="12"/>
  <c r="AA85" i="12"/>
  <c r="AB85" i="12"/>
  <c r="AC85" i="12"/>
  <c r="AD85" i="12"/>
  <c r="AE85" i="12"/>
  <c r="AG85" i="12" s="1"/>
  <c r="AK85" i="12"/>
  <c r="AL85" i="12"/>
  <c r="AM85" i="12" s="1"/>
  <c r="AA86" i="12"/>
  <c r="AB86" i="12"/>
  <c r="AC86" i="12"/>
  <c r="AD86" i="12"/>
  <c r="AE86" i="12"/>
  <c r="AK86" i="12"/>
  <c r="AL86" i="12"/>
  <c r="AM86" i="12"/>
  <c r="AA87" i="12"/>
  <c r="AB87" i="12"/>
  <c r="AC87" i="12"/>
  <c r="AD87" i="12"/>
  <c r="AE87" i="12"/>
  <c r="AF87" i="12" s="1"/>
  <c r="AH87" i="12" s="1"/>
  <c r="AI87" i="12" s="1"/>
  <c r="AK87" i="12"/>
  <c r="AL87" i="12"/>
  <c r="AM87" i="12" s="1"/>
  <c r="AA88" i="12"/>
  <c r="AB88" i="12"/>
  <c r="AC88" i="12"/>
  <c r="AD88" i="12"/>
  <c r="AE88" i="12"/>
  <c r="AF88" i="12" s="1"/>
  <c r="AH88" i="12" s="1"/>
  <c r="AI88" i="12"/>
  <c r="AK88" i="12"/>
  <c r="AL88" i="12"/>
  <c r="AM88" i="12"/>
  <c r="AA89" i="12"/>
  <c r="AB89" i="12"/>
  <c r="AC89" i="12"/>
  <c r="AD89" i="12"/>
  <c r="AE89" i="12"/>
  <c r="AG89" i="12" s="1"/>
  <c r="AF89" i="12"/>
  <c r="AH89" i="12" s="1"/>
  <c r="AI89" i="12" s="1"/>
  <c r="AK89" i="12"/>
  <c r="AL89" i="12"/>
  <c r="AM89" i="12" s="1"/>
  <c r="AA90" i="12"/>
  <c r="AB90" i="12"/>
  <c r="AC90" i="12"/>
  <c r="AD90" i="12"/>
  <c r="AE90" i="12"/>
  <c r="AF90" i="12" s="1"/>
  <c r="AH90" i="12" s="1"/>
  <c r="AG90" i="12"/>
  <c r="AI90" i="12"/>
  <c r="AK90" i="12"/>
  <c r="AL90" i="12"/>
  <c r="AM90" i="12"/>
  <c r="AA91" i="12"/>
  <c r="AB91" i="12"/>
  <c r="AC91" i="12"/>
  <c r="AD91" i="12"/>
  <c r="AE91" i="12"/>
  <c r="AF91" i="12" s="1"/>
  <c r="AH91" i="12" s="1"/>
  <c r="AI91" i="12" s="1"/>
  <c r="AK91" i="12"/>
  <c r="AL91" i="12"/>
  <c r="AM91" i="12" s="1"/>
  <c r="AA92" i="12"/>
  <c r="AB92" i="12"/>
  <c r="AC92" i="12"/>
  <c r="AD92" i="12"/>
  <c r="AE92" i="12"/>
  <c r="AF92" i="12" s="1"/>
  <c r="AH92" i="12" s="1"/>
  <c r="AI92" i="12" s="1"/>
  <c r="AK92" i="12"/>
  <c r="AL92" i="12"/>
  <c r="AM92" i="12"/>
  <c r="AA93" i="12"/>
  <c r="AB93" i="12"/>
  <c r="AC93" i="12"/>
  <c r="AD93" i="12"/>
  <c r="AE93" i="12"/>
  <c r="AG93" i="12" s="1"/>
  <c r="AK93" i="12"/>
  <c r="AL93" i="12"/>
  <c r="AM93" i="12" s="1"/>
  <c r="AA94" i="12"/>
  <c r="AB94" i="12"/>
  <c r="AC94" i="12"/>
  <c r="AD94" i="12"/>
  <c r="AE94" i="12"/>
  <c r="AF94" i="12" s="1"/>
  <c r="AH94" i="12" s="1"/>
  <c r="AG94" i="12"/>
  <c r="AI94" i="12"/>
  <c r="AK94" i="12"/>
  <c r="AL94" i="12"/>
  <c r="AM94" i="12"/>
  <c r="AA95" i="12"/>
  <c r="AB95" i="12"/>
  <c r="AC95" i="12"/>
  <c r="AD95" i="12"/>
  <c r="AE95" i="12"/>
  <c r="AF95" i="12" s="1"/>
  <c r="AH95" i="12" s="1"/>
  <c r="AI95" i="12" s="1"/>
  <c r="AK95" i="12"/>
  <c r="AL95" i="12"/>
  <c r="AM95" i="12" s="1"/>
  <c r="AA96" i="12"/>
  <c r="AB96" i="12"/>
  <c r="AC96" i="12"/>
  <c r="AD96" i="12"/>
  <c r="AE96" i="12"/>
  <c r="AF96" i="12" s="1"/>
  <c r="AH96" i="12" s="1"/>
  <c r="AI96" i="12" s="1"/>
  <c r="AK96" i="12"/>
  <c r="AL96" i="12"/>
  <c r="AM96" i="12"/>
  <c r="AA97" i="12"/>
  <c r="AB97" i="12"/>
  <c r="AC97" i="12"/>
  <c r="AD97" i="12"/>
  <c r="AE97" i="12"/>
  <c r="AG97" i="12" s="1"/>
  <c r="AK97" i="12"/>
  <c r="AL97" i="12"/>
  <c r="AM97" i="12" s="1"/>
  <c r="AA98" i="12"/>
  <c r="AB98" i="12"/>
  <c r="AC98" i="12"/>
  <c r="AD98" i="12"/>
  <c r="AE98" i="12"/>
  <c r="AF98" i="12" s="1"/>
  <c r="AH98" i="12" s="1"/>
  <c r="AI98" i="12" s="1"/>
  <c r="AK98" i="12"/>
  <c r="AL98" i="12"/>
  <c r="AM98" i="12"/>
  <c r="AA99" i="12"/>
  <c r="AB99" i="12"/>
  <c r="AC99" i="12"/>
  <c r="AD99" i="12"/>
  <c r="AE99" i="12"/>
  <c r="AF99" i="12"/>
  <c r="AG99" i="12"/>
  <c r="AH99" i="12"/>
  <c r="AI99" i="12" s="1"/>
  <c r="AJ99" i="12" s="1"/>
  <c r="AK99" i="12"/>
  <c r="AL99" i="12"/>
  <c r="AM99" i="12" s="1"/>
  <c r="AA100" i="12"/>
  <c r="AB100" i="12"/>
  <c r="AC100" i="12"/>
  <c r="AD100" i="12"/>
  <c r="AE100" i="12"/>
  <c r="AK100" i="12"/>
  <c r="AL100" i="12"/>
  <c r="AM100" i="12"/>
  <c r="AA101" i="12"/>
  <c r="AB101" i="12"/>
  <c r="AC101" i="12"/>
  <c r="AD101" i="12"/>
  <c r="AE101" i="12"/>
  <c r="AG101" i="12" s="1"/>
  <c r="AF101" i="12"/>
  <c r="AH101" i="12" s="1"/>
  <c r="AI101" i="12" s="1"/>
  <c r="AK101" i="12"/>
  <c r="AL101" i="12"/>
  <c r="AM101" i="12" s="1"/>
  <c r="AA102" i="12"/>
  <c r="AB102" i="12"/>
  <c r="AC102" i="12"/>
  <c r="AD102" i="12"/>
  <c r="AE102" i="12"/>
  <c r="AK102" i="12"/>
  <c r="AL102" i="12"/>
  <c r="AM102" i="12"/>
  <c r="AA103" i="12"/>
  <c r="AB103" i="12"/>
  <c r="AC103" i="12"/>
  <c r="AD103" i="12"/>
  <c r="AE103" i="12"/>
  <c r="AF103" i="12" s="1"/>
  <c r="AH103" i="12" s="1"/>
  <c r="AI103" i="12" s="1"/>
  <c r="AK103" i="12"/>
  <c r="AL103" i="12"/>
  <c r="AM103" i="12" s="1"/>
  <c r="AA104" i="12"/>
  <c r="AB104" i="12"/>
  <c r="AC104" i="12"/>
  <c r="AD104" i="12"/>
  <c r="AE104" i="12"/>
  <c r="AF104" i="12"/>
  <c r="AH104" i="12" s="1"/>
  <c r="AI104" i="12" s="1"/>
  <c r="AG104" i="12"/>
  <c r="AK104" i="12"/>
  <c r="AL104" i="12"/>
  <c r="AM104" i="12"/>
  <c r="AA105" i="12"/>
  <c r="AB105" i="12"/>
  <c r="AC105" i="12"/>
  <c r="AD105" i="12"/>
  <c r="AE105" i="12"/>
  <c r="AG105" i="12" s="1"/>
  <c r="AK105" i="12"/>
  <c r="AL105" i="12"/>
  <c r="AM105" i="12" s="1"/>
  <c r="AA106" i="12"/>
  <c r="AB106" i="12"/>
  <c r="AC106" i="12"/>
  <c r="AD106" i="12"/>
  <c r="AE106" i="12"/>
  <c r="AF106" i="12" s="1"/>
  <c r="AG106" i="12"/>
  <c r="AH106" i="12"/>
  <c r="AI106" i="12" s="1"/>
  <c r="AK106" i="12"/>
  <c r="AL106" i="12"/>
  <c r="AM106" i="12"/>
  <c r="AA107" i="12"/>
  <c r="AB107" i="12"/>
  <c r="AC107" i="12"/>
  <c r="AD107" i="12"/>
  <c r="AE107" i="12"/>
  <c r="AG107" i="12" s="1"/>
  <c r="AF107" i="12"/>
  <c r="AH107" i="12" s="1"/>
  <c r="AI107" i="12" s="1"/>
  <c r="AJ107" i="12" s="1"/>
  <c r="AK107" i="12"/>
  <c r="AL107" i="12"/>
  <c r="AM107" i="12" s="1"/>
  <c r="AA108" i="12"/>
  <c r="AB108" i="12"/>
  <c r="AC108" i="12"/>
  <c r="AD108" i="12"/>
  <c r="AE108" i="12"/>
  <c r="AK108" i="12"/>
  <c r="AL108" i="12"/>
  <c r="AM108" i="12"/>
  <c r="AA109" i="12"/>
  <c r="AB109" i="12"/>
  <c r="AC109" i="12"/>
  <c r="AD109" i="12"/>
  <c r="AE109" i="12"/>
  <c r="AG109" i="12" s="1"/>
  <c r="AF109" i="12"/>
  <c r="AH109" i="12" s="1"/>
  <c r="AI109" i="12" s="1"/>
  <c r="AJ109" i="12" s="1"/>
  <c r="AK109" i="12"/>
  <c r="AL109" i="12"/>
  <c r="AM109" i="12"/>
  <c r="AA110" i="12"/>
  <c r="AB110" i="12"/>
  <c r="AC110" i="12"/>
  <c r="AD110" i="12"/>
  <c r="AE110" i="12"/>
  <c r="AF110" i="12" s="1"/>
  <c r="AH110" i="12" s="1"/>
  <c r="AI110" i="12" s="1"/>
  <c r="AK110" i="12"/>
  <c r="AL110" i="12"/>
  <c r="AM110" i="12" s="1"/>
  <c r="AA111" i="12"/>
  <c r="AB111" i="12"/>
  <c r="AC111" i="12"/>
  <c r="AD111" i="12"/>
  <c r="AE111" i="12"/>
  <c r="AF111" i="12" s="1"/>
  <c r="AH111" i="12" s="1"/>
  <c r="AI111" i="12" s="1"/>
  <c r="AK111" i="12"/>
  <c r="AL111" i="12"/>
  <c r="AM111" i="12" s="1"/>
  <c r="AA112" i="12"/>
  <c r="AB112" i="12"/>
  <c r="AC112" i="12"/>
  <c r="AD112" i="12"/>
  <c r="AE112" i="12"/>
  <c r="AF112" i="12" s="1"/>
  <c r="AH112" i="12" s="1"/>
  <c r="AI112" i="12" s="1"/>
  <c r="AG112" i="12"/>
  <c r="AK112" i="12"/>
  <c r="AL112" i="12"/>
  <c r="AM112" i="12"/>
  <c r="AA113" i="12"/>
  <c r="AB113" i="12"/>
  <c r="AC113" i="12"/>
  <c r="AD113" i="12"/>
  <c r="AE113" i="12"/>
  <c r="AG113" i="12" s="1"/>
  <c r="AF113" i="12"/>
  <c r="AH113" i="12" s="1"/>
  <c r="AI113" i="12" s="1"/>
  <c r="AJ113" i="12" s="1"/>
  <c r="AK113" i="12"/>
  <c r="AL113" i="12"/>
  <c r="AM113" i="12" s="1"/>
  <c r="AA114" i="12"/>
  <c r="AB114" i="12"/>
  <c r="AC114" i="12"/>
  <c r="AD114" i="12"/>
  <c r="AE114" i="12"/>
  <c r="AF114" i="12" s="1"/>
  <c r="AH114" i="12" s="1"/>
  <c r="AI114" i="12" s="1"/>
  <c r="AK114" i="12"/>
  <c r="AL114" i="12"/>
  <c r="AM114" i="12"/>
  <c r="AA115" i="12"/>
  <c r="AB115" i="12"/>
  <c r="AC115" i="12"/>
  <c r="AD115" i="12"/>
  <c r="AE115" i="12"/>
  <c r="AF115" i="12" s="1"/>
  <c r="AH115" i="12" s="1"/>
  <c r="AI115" i="12" s="1"/>
  <c r="AK115" i="12"/>
  <c r="AL115" i="12"/>
  <c r="AM115" i="12" s="1"/>
  <c r="AA116" i="12"/>
  <c r="AB116" i="12"/>
  <c r="AC116" i="12"/>
  <c r="AD116" i="12"/>
  <c r="AE116" i="12"/>
  <c r="AK116" i="12"/>
  <c r="AL116" i="12"/>
  <c r="AM116" i="12"/>
  <c r="AA117" i="12"/>
  <c r="AB117" i="12"/>
  <c r="AC117" i="12"/>
  <c r="AD117" i="12"/>
  <c r="AE117" i="12"/>
  <c r="AG117" i="12" s="1"/>
  <c r="AK117" i="12"/>
  <c r="AL117" i="12"/>
  <c r="AM117" i="12"/>
  <c r="AA118" i="12"/>
  <c r="AB118" i="12"/>
  <c r="AC118" i="12"/>
  <c r="AD118" i="12"/>
  <c r="AE118" i="12"/>
  <c r="AK118" i="12"/>
  <c r="AL118" i="12"/>
  <c r="AM118" i="12" s="1"/>
  <c r="AA119" i="12"/>
  <c r="AB119" i="12"/>
  <c r="AC119" i="12"/>
  <c r="AD119" i="12"/>
  <c r="AE119" i="12"/>
  <c r="AF119" i="12" s="1"/>
  <c r="AH119" i="12" s="1"/>
  <c r="AI119" i="12" s="1"/>
  <c r="AG119" i="12"/>
  <c r="AK119" i="12"/>
  <c r="AL119" i="12"/>
  <c r="AM119" i="12" s="1"/>
  <c r="AA120" i="12"/>
  <c r="AB120" i="12"/>
  <c r="AC120" i="12"/>
  <c r="AD120" i="12"/>
  <c r="AE120" i="12"/>
  <c r="AF120" i="12"/>
  <c r="AH120" i="12" s="1"/>
  <c r="AG120" i="12"/>
  <c r="AI120" i="12"/>
  <c r="AK120" i="12"/>
  <c r="AL120" i="12"/>
  <c r="AM120" i="12"/>
  <c r="AA121" i="12"/>
  <c r="AB121" i="12"/>
  <c r="AC121" i="12"/>
  <c r="AD121" i="12"/>
  <c r="AE121" i="12"/>
  <c r="AG121" i="12" s="1"/>
  <c r="AK121" i="12"/>
  <c r="AL121" i="12"/>
  <c r="AM121" i="12" s="1"/>
  <c r="AA122" i="12"/>
  <c r="AB122" i="12"/>
  <c r="AC122" i="12"/>
  <c r="AD122" i="12"/>
  <c r="AE122" i="12"/>
  <c r="AF122" i="12" s="1"/>
  <c r="AH122" i="12" s="1"/>
  <c r="AI122" i="12" s="1"/>
  <c r="AK122" i="12"/>
  <c r="AL122" i="12"/>
  <c r="AM122" i="12"/>
  <c r="AA123" i="12"/>
  <c r="AB123" i="12"/>
  <c r="AC123" i="12"/>
  <c r="AD123" i="12"/>
  <c r="AE123" i="12"/>
  <c r="AF123" i="12" s="1"/>
  <c r="AH123" i="12" s="1"/>
  <c r="AI123" i="12" s="1"/>
  <c r="AJ123" i="12" s="1"/>
  <c r="AG123" i="12"/>
  <c r="AK123" i="12"/>
  <c r="AL123" i="12"/>
  <c r="AM123" i="12" s="1"/>
  <c r="AA124" i="12"/>
  <c r="AB124" i="12"/>
  <c r="AC124" i="12"/>
  <c r="AD124" i="12"/>
  <c r="AE124" i="12"/>
  <c r="AG124" i="12" s="1"/>
  <c r="AK124" i="12"/>
  <c r="AL124" i="12"/>
  <c r="AM124" i="12"/>
  <c r="AA125" i="12"/>
  <c r="AB125" i="12"/>
  <c r="AC125" i="12"/>
  <c r="AD125" i="12"/>
  <c r="AE125" i="12"/>
  <c r="AK125" i="12"/>
  <c r="AL125" i="12"/>
  <c r="AM125" i="12"/>
  <c r="AA126" i="12"/>
  <c r="AB126" i="12"/>
  <c r="AC126" i="12"/>
  <c r="AD126" i="12"/>
  <c r="AE126" i="12"/>
  <c r="AF126" i="12" s="1"/>
  <c r="AH126" i="12" s="1"/>
  <c r="AI126" i="12" s="1"/>
  <c r="AK126" i="12"/>
  <c r="AL126" i="12"/>
  <c r="AM126" i="12" s="1"/>
  <c r="AA127" i="12"/>
  <c r="AB127" i="12"/>
  <c r="AC127" i="12"/>
  <c r="AD127" i="12"/>
  <c r="AE127" i="12"/>
  <c r="AF127" i="12"/>
  <c r="AH127" i="12" s="1"/>
  <c r="AI127" i="12" s="1"/>
  <c r="AG127" i="12"/>
  <c r="AJ127" i="12" s="1"/>
  <c r="AK127" i="12"/>
  <c r="AL127" i="12"/>
  <c r="AM127" i="12" s="1"/>
  <c r="AA128" i="12"/>
  <c r="AB128" i="12"/>
  <c r="AC128" i="12"/>
  <c r="AD128" i="12"/>
  <c r="AE128" i="12"/>
  <c r="AF128" i="12"/>
  <c r="AH128" i="12" s="1"/>
  <c r="AI128" i="12" s="1"/>
  <c r="AG128" i="12"/>
  <c r="AK128" i="12"/>
  <c r="AL128" i="12"/>
  <c r="AM128" i="12"/>
  <c r="AA129" i="12"/>
  <c r="AB129" i="12"/>
  <c r="AC129" i="12"/>
  <c r="AD129" i="12"/>
  <c r="AE129" i="12"/>
  <c r="AG129" i="12" s="1"/>
  <c r="AF129" i="12"/>
  <c r="AH129" i="12" s="1"/>
  <c r="AI129" i="12" s="1"/>
  <c r="AJ129" i="12" s="1"/>
  <c r="AK129" i="12"/>
  <c r="AL129" i="12"/>
  <c r="AM129" i="12"/>
  <c r="AA130" i="12"/>
  <c r="AB130" i="12"/>
  <c r="AC130" i="12"/>
  <c r="AD130" i="12"/>
  <c r="AE130" i="12"/>
  <c r="AF130" i="12" s="1"/>
  <c r="AH130" i="12"/>
  <c r="AI130" i="12"/>
  <c r="AK130" i="12"/>
  <c r="AL130" i="12"/>
  <c r="AM130" i="12"/>
  <c r="AA131" i="12"/>
  <c r="AB131" i="12"/>
  <c r="AC131" i="12"/>
  <c r="AD131" i="12"/>
  <c r="AE131" i="12"/>
  <c r="AG131" i="12" s="1"/>
  <c r="AF131" i="12"/>
  <c r="AH131" i="12" s="1"/>
  <c r="AI131" i="12" s="1"/>
  <c r="AK131" i="12"/>
  <c r="AL131" i="12"/>
  <c r="AM131" i="12" s="1"/>
  <c r="AA132" i="12"/>
  <c r="AB132" i="12"/>
  <c r="AC132" i="12"/>
  <c r="AD132" i="12"/>
  <c r="AE132" i="12"/>
  <c r="AG132" i="12" s="1"/>
  <c r="AK132" i="12"/>
  <c r="AL132" i="12"/>
  <c r="AM132" i="12"/>
  <c r="AA133" i="12"/>
  <c r="AB133" i="12"/>
  <c r="AC133" i="12"/>
  <c r="AD133" i="12"/>
  <c r="AE133" i="12"/>
  <c r="AK133" i="12"/>
  <c r="AL133" i="12"/>
  <c r="AM133" i="12"/>
  <c r="AA134" i="12"/>
  <c r="AB134" i="12"/>
  <c r="AC134" i="12"/>
  <c r="AD134" i="12"/>
  <c r="AE134" i="12"/>
  <c r="AF134" i="12" s="1"/>
  <c r="AH134" i="12" s="1"/>
  <c r="AI134" i="12" s="1"/>
  <c r="AK134" i="12"/>
  <c r="AL134" i="12"/>
  <c r="AM134" i="12" s="1"/>
  <c r="AA135" i="12"/>
  <c r="AB135" i="12"/>
  <c r="AC135" i="12"/>
  <c r="AD135" i="12"/>
  <c r="AE135" i="12"/>
  <c r="AF135" i="12" s="1"/>
  <c r="AH135" i="12" s="1"/>
  <c r="AI135" i="12" s="1"/>
  <c r="AG135" i="12"/>
  <c r="AK135" i="12"/>
  <c r="AL135" i="12"/>
  <c r="AM135" i="12" s="1"/>
  <c r="AA136" i="12"/>
  <c r="AB136" i="12"/>
  <c r="AC136" i="12"/>
  <c r="AD136" i="12"/>
  <c r="AE136" i="12"/>
  <c r="AF136" i="12"/>
  <c r="AH136" i="12" s="1"/>
  <c r="AG136" i="12"/>
  <c r="AI136" i="12"/>
  <c r="AK136" i="12"/>
  <c r="AL136" i="12"/>
  <c r="AM136" i="12"/>
  <c r="AA137" i="12"/>
  <c r="AB137" i="12"/>
  <c r="AC137" i="12"/>
  <c r="AD137" i="12"/>
  <c r="AE137" i="12"/>
  <c r="AG137" i="12" s="1"/>
  <c r="AK137" i="12"/>
  <c r="AL137" i="12"/>
  <c r="AM137" i="12"/>
  <c r="AA138" i="12"/>
  <c r="AB138" i="12"/>
  <c r="AC138" i="12"/>
  <c r="AD138" i="12"/>
  <c r="AE138" i="12"/>
  <c r="AF138" i="12" s="1"/>
  <c r="AH138" i="12" s="1"/>
  <c r="AI138" i="12" s="1"/>
  <c r="AK138" i="12"/>
  <c r="AL138" i="12"/>
  <c r="AM138" i="12"/>
  <c r="AA139" i="12"/>
  <c r="AB139" i="12"/>
  <c r="AC139" i="12"/>
  <c r="AD139" i="12"/>
  <c r="AE139" i="12"/>
  <c r="AF139" i="12"/>
  <c r="AG139" i="12"/>
  <c r="AJ139" i="12" s="1"/>
  <c r="AH139" i="12"/>
  <c r="AI139" i="12" s="1"/>
  <c r="AK139" i="12"/>
  <c r="AL139" i="12"/>
  <c r="AM139" i="12" s="1"/>
  <c r="AA140" i="12"/>
  <c r="AB140" i="12"/>
  <c r="AC140" i="12"/>
  <c r="AD140" i="12"/>
  <c r="AE140" i="12"/>
  <c r="AG140" i="12" s="1"/>
  <c r="AK140" i="12"/>
  <c r="AL140" i="12"/>
  <c r="AM140" i="12"/>
  <c r="AA141" i="12"/>
  <c r="AB141" i="12"/>
  <c r="AC141" i="12"/>
  <c r="AD141" i="12"/>
  <c r="AE141" i="12"/>
  <c r="AG141" i="12" s="1"/>
  <c r="AK141" i="12"/>
  <c r="AL141" i="12"/>
  <c r="AM141" i="12"/>
  <c r="AA142" i="12"/>
  <c r="AB142" i="12"/>
  <c r="AC142" i="12"/>
  <c r="AD142" i="12"/>
  <c r="AE142" i="12"/>
  <c r="AF142" i="12" s="1"/>
  <c r="AH142" i="12" s="1"/>
  <c r="AI142" i="12" s="1"/>
  <c r="AK142" i="12"/>
  <c r="AL142" i="12"/>
  <c r="AM142" i="12" s="1"/>
  <c r="AA143" i="12"/>
  <c r="AB143" i="12"/>
  <c r="AC143" i="12"/>
  <c r="AD143" i="12"/>
  <c r="AE143" i="12"/>
  <c r="AF143" i="12" s="1"/>
  <c r="AH143" i="12" s="1"/>
  <c r="AI143" i="12" s="1"/>
  <c r="AK143" i="12"/>
  <c r="AL143" i="12"/>
  <c r="AM143" i="12" s="1"/>
  <c r="AA144" i="12"/>
  <c r="AB144" i="12"/>
  <c r="AC144" i="12"/>
  <c r="AD144" i="12"/>
  <c r="AE144" i="12"/>
  <c r="AF144" i="12"/>
  <c r="AH144" i="12" s="1"/>
  <c r="AI144" i="12" s="1"/>
  <c r="AG144" i="12"/>
  <c r="AK144" i="12"/>
  <c r="AL144" i="12"/>
  <c r="AM144" i="12"/>
  <c r="AA145" i="12"/>
  <c r="AB145" i="12"/>
  <c r="AC145" i="12"/>
  <c r="AD145" i="12"/>
  <c r="AE145" i="12"/>
  <c r="AG145" i="12" s="1"/>
  <c r="AK145" i="12"/>
  <c r="AL145" i="12"/>
  <c r="AM145" i="12" s="1"/>
  <c r="AA146" i="12"/>
  <c r="AB146" i="12"/>
  <c r="AC146" i="12"/>
  <c r="AD146" i="12"/>
  <c r="AE146" i="12"/>
  <c r="AF146" i="12" s="1"/>
  <c r="AG146" i="12"/>
  <c r="AH146" i="12"/>
  <c r="AI146" i="12" s="1"/>
  <c r="AK146" i="12"/>
  <c r="AL146" i="12"/>
  <c r="AM146" i="12"/>
  <c r="AA147" i="12"/>
  <c r="AB147" i="12"/>
  <c r="AC147" i="12"/>
  <c r="AD147" i="12"/>
  <c r="AE147" i="12"/>
  <c r="AG147" i="12" s="1"/>
  <c r="AF147" i="12"/>
  <c r="AH147" i="12" s="1"/>
  <c r="AI147" i="12" s="1"/>
  <c r="AJ147" i="12" s="1"/>
  <c r="AK147" i="12"/>
  <c r="AL147" i="12"/>
  <c r="AM147" i="12" s="1"/>
  <c r="AA148" i="12"/>
  <c r="AB148" i="12"/>
  <c r="AC148" i="12"/>
  <c r="AD148" i="12"/>
  <c r="AE148" i="12"/>
  <c r="AK148" i="12"/>
  <c r="AL148" i="12"/>
  <c r="AM148" i="12"/>
  <c r="AA149" i="12"/>
  <c r="AB149" i="12"/>
  <c r="AC149" i="12"/>
  <c r="AD149" i="12"/>
  <c r="AE149" i="12"/>
  <c r="AG149" i="12" s="1"/>
  <c r="AF149" i="12"/>
  <c r="AH149" i="12" s="1"/>
  <c r="AI149" i="12" s="1"/>
  <c r="AJ149" i="12" s="1"/>
  <c r="AK149" i="12"/>
  <c r="AL149" i="12"/>
  <c r="AM149" i="12"/>
  <c r="AA150" i="12"/>
  <c r="AB150" i="12"/>
  <c r="AC150" i="12"/>
  <c r="AD150" i="12"/>
  <c r="AE150" i="12"/>
  <c r="AK150" i="12"/>
  <c r="AL150" i="12"/>
  <c r="AM150" i="12" s="1"/>
  <c r="AA151" i="12"/>
  <c r="AB151" i="12"/>
  <c r="AC151" i="12"/>
  <c r="AD151" i="12"/>
  <c r="AE151" i="12"/>
  <c r="AF151" i="12" s="1"/>
  <c r="AH151" i="12" s="1"/>
  <c r="AI151" i="12" s="1"/>
  <c r="AK151" i="12"/>
  <c r="AL151" i="12"/>
  <c r="AM151" i="12" s="1"/>
  <c r="AA152" i="12"/>
  <c r="AB152" i="12"/>
  <c r="AC152" i="12"/>
  <c r="AD152" i="12"/>
  <c r="AE152" i="12"/>
  <c r="AF152" i="12" s="1"/>
  <c r="AH152" i="12" s="1"/>
  <c r="AI152" i="12" s="1"/>
  <c r="AK152" i="12"/>
  <c r="AL152" i="12"/>
  <c r="AM152" i="12"/>
  <c r="AA153" i="12"/>
  <c r="AB153" i="12"/>
  <c r="AC153" i="12"/>
  <c r="AD153" i="12"/>
  <c r="AE153" i="12"/>
  <c r="AG153" i="12" s="1"/>
  <c r="AF153" i="12"/>
  <c r="AH153" i="12"/>
  <c r="AI153" i="12" s="1"/>
  <c r="AJ153" i="12" s="1"/>
  <c r="AK153" i="12"/>
  <c r="AL153" i="12"/>
  <c r="AM153" i="12" s="1"/>
  <c r="AA154" i="12"/>
  <c r="AB154" i="12"/>
  <c r="AC154" i="12"/>
  <c r="AD154" i="12"/>
  <c r="AE154" i="12"/>
  <c r="AF154" i="12" s="1"/>
  <c r="AH154" i="12" s="1"/>
  <c r="AI154" i="12" s="1"/>
  <c r="AK154" i="12"/>
  <c r="AL154" i="12"/>
  <c r="AM154" i="12"/>
  <c r="AA155" i="12"/>
  <c r="AB155" i="12"/>
  <c r="AC155" i="12"/>
  <c r="AD155" i="12"/>
  <c r="AE155" i="12"/>
  <c r="AF155" i="12" s="1"/>
  <c r="AH155" i="12" s="1"/>
  <c r="AI155" i="12" s="1"/>
  <c r="AK155" i="12"/>
  <c r="AL155" i="12"/>
  <c r="AM155" i="12" s="1"/>
  <c r="AA156" i="12"/>
  <c r="AB156" i="12"/>
  <c r="AC156" i="12"/>
  <c r="AD156" i="12"/>
  <c r="AE156" i="12"/>
  <c r="AG156" i="12" s="1"/>
  <c r="AK156" i="12"/>
  <c r="AL156" i="12"/>
  <c r="AM156" i="12"/>
  <c r="AA157" i="12"/>
  <c r="AB157" i="12"/>
  <c r="AC157" i="12"/>
  <c r="AD157" i="12"/>
  <c r="AE157" i="12"/>
  <c r="AG157" i="12" s="1"/>
  <c r="AK157" i="12"/>
  <c r="AL157" i="12"/>
  <c r="AM157" i="12"/>
  <c r="AA158" i="12"/>
  <c r="AB158" i="12"/>
  <c r="AC158" i="12"/>
  <c r="AD158" i="12"/>
  <c r="AE158" i="12"/>
  <c r="AF158" i="12" s="1"/>
  <c r="AH158" i="12" s="1"/>
  <c r="AI158" i="12" s="1"/>
  <c r="AK158" i="12"/>
  <c r="AL158" i="12"/>
  <c r="AM158" i="12"/>
  <c r="AA159" i="12"/>
  <c r="AB159" i="12"/>
  <c r="AC159" i="12"/>
  <c r="AD159" i="12"/>
  <c r="AE159" i="12"/>
  <c r="AK159" i="12"/>
  <c r="AL159" i="12"/>
  <c r="AM159" i="12"/>
  <c r="AA160" i="12"/>
  <c r="AB160" i="12"/>
  <c r="AC160" i="12"/>
  <c r="AD160" i="12"/>
  <c r="AE160" i="12"/>
  <c r="AK160" i="12"/>
  <c r="AL160" i="12"/>
  <c r="AM160" i="12"/>
  <c r="AA161" i="12"/>
  <c r="AB161" i="12"/>
  <c r="AC161" i="12"/>
  <c r="AD161" i="12"/>
  <c r="AE161" i="12"/>
  <c r="AF161" i="12"/>
  <c r="AG161" i="12"/>
  <c r="AH161" i="12"/>
  <c r="AI161" i="12" s="1"/>
  <c r="AK161" i="12"/>
  <c r="AL161" i="12"/>
  <c r="AM161" i="12" s="1"/>
  <c r="AA162" i="12"/>
  <c r="AB162" i="12"/>
  <c r="AC162" i="12"/>
  <c r="AD162" i="12"/>
  <c r="AE162" i="12"/>
  <c r="AG162" i="12" s="1"/>
  <c r="AJ162" i="12" s="1"/>
  <c r="AF162" i="12"/>
  <c r="AH162" i="12" s="1"/>
  <c r="AI162" i="12" s="1"/>
  <c r="AK162" i="12"/>
  <c r="AL162" i="12"/>
  <c r="AM162" i="12"/>
  <c r="AA163" i="12"/>
  <c r="AB163" i="12"/>
  <c r="AC163" i="12"/>
  <c r="AD163" i="12"/>
  <c r="AE163" i="12"/>
  <c r="AG163" i="12" s="1"/>
  <c r="AK163" i="12"/>
  <c r="AL163" i="12"/>
  <c r="AM163" i="12"/>
  <c r="AA164" i="12"/>
  <c r="AB164" i="12"/>
  <c r="AC164" i="12"/>
  <c r="AD164" i="12"/>
  <c r="AE164" i="12"/>
  <c r="AK164" i="12"/>
  <c r="AL164" i="12"/>
  <c r="AM164" i="12" s="1"/>
  <c r="AA165" i="12"/>
  <c r="AB165" i="12"/>
  <c r="AC165" i="12"/>
  <c r="AD165" i="12"/>
  <c r="AE165" i="12"/>
  <c r="AF165" i="12" s="1"/>
  <c r="AH165" i="12" s="1"/>
  <c r="AI165" i="12" s="1"/>
  <c r="AK165" i="12"/>
  <c r="AL165" i="12"/>
  <c r="AM165" i="12" s="1"/>
  <c r="AA166" i="12"/>
  <c r="AB166" i="12"/>
  <c r="AC166" i="12"/>
  <c r="AD166" i="12"/>
  <c r="AE166" i="12"/>
  <c r="AF166" i="12" s="1"/>
  <c r="AH166" i="12" s="1"/>
  <c r="AI166" i="12" s="1"/>
  <c r="AK166" i="12"/>
  <c r="AL166" i="12"/>
  <c r="AM166" i="12"/>
  <c r="AA167" i="12"/>
  <c r="AB167" i="12"/>
  <c r="AC167" i="12"/>
  <c r="AD167" i="12"/>
  <c r="AE167" i="12"/>
  <c r="AG167" i="12" s="1"/>
  <c r="AK167" i="12"/>
  <c r="AL167" i="12"/>
  <c r="AM167" i="12"/>
  <c r="AA168" i="12"/>
  <c r="AB168" i="12"/>
  <c r="AC168" i="12"/>
  <c r="AD168" i="12"/>
  <c r="AE168" i="12"/>
  <c r="AK168" i="12"/>
  <c r="AL168" i="12"/>
  <c r="AM168" i="12"/>
  <c r="AA169" i="12"/>
  <c r="AB169" i="12"/>
  <c r="AC169" i="12"/>
  <c r="AD169" i="12"/>
  <c r="AE169" i="12"/>
  <c r="AF169" i="12"/>
  <c r="AG169" i="12"/>
  <c r="AH169" i="12"/>
  <c r="AI169" i="12" s="1"/>
  <c r="AK169" i="12"/>
  <c r="AL169" i="12"/>
  <c r="AM169" i="12" s="1"/>
  <c r="AA170" i="12"/>
  <c r="AB170" i="12"/>
  <c r="AC170" i="12"/>
  <c r="AD170" i="12"/>
  <c r="AE170" i="12"/>
  <c r="AG170" i="12" s="1"/>
  <c r="AF170" i="12"/>
  <c r="AH170" i="12" s="1"/>
  <c r="AI170" i="12" s="1"/>
  <c r="AK170" i="12"/>
  <c r="AL170" i="12"/>
  <c r="AM170" i="12"/>
  <c r="AA171" i="12"/>
  <c r="AB171" i="12"/>
  <c r="AC171" i="12"/>
  <c r="AD171" i="12"/>
  <c r="AE171" i="12"/>
  <c r="AG171" i="12" s="1"/>
  <c r="AK171" i="12"/>
  <c r="AL171" i="12"/>
  <c r="AM171" i="12"/>
  <c r="AA172" i="12"/>
  <c r="AB172" i="12"/>
  <c r="AC172" i="12"/>
  <c r="AD172" i="12"/>
  <c r="AE172" i="12"/>
  <c r="AK172" i="12"/>
  <c r="AL172" i="12"/>
  <c r="AM172" i="12" s="1"/>
  <c r="AA173" i="12"/>
  <c r="AB173" i="12"/>
  <c r="AC173" i="12"/>
  <c r="AD173" i="12"/>
  <c r="AE173" i="12"/>
  <c r="AF173" i="12" s="1"/>
  <c r="AH173" i="12" s="1"/>
  <c r="AI173" i="12" s="1"/>
  <c r="AK173" i="12"/>
  <c r="AL173" i="12"/>
  <c r="AM173" i="12" s="1"/>
  <c r="AA174" i="12"/>
  <c r="AB174" i="12"/>
  <c r="AC174" i="12"/>
  <c r="AD174" i="12"/>
  <c r="AE174" i="12"/>
  <c r="AF174" i="12" s="1"/>
  <c r="AH174" i="12" s="1"/>
  <c r="AI174" i="12" s="1"/>
  <c r="AK174" i="12"/>
  <c r="AL174" i="12"/>
  <c r="AM174" i="12"/>
  <c r="AA175" i="12"/>
  <c r="AB175" i="12"/>
  <c r="AC175" i="12"/>
  <c r="AD175" i="12"/>
  <c r="AE175" i="12"/>
  <c r="AG175" i="12" s="1"/>
  <c r="AF175" i="12"/>
  <c r="AH175" i="12" s="1"/>
  <c r="AI175" i="12" s="1"/>
  <c r="AK175" i="12"/>
  <c r="AL175" i="12"/>
  <c r="AM175" i="12"/>
  <c r="AA176" i="12"/>
  <c r="AB176" i="12"/>
  <c r="AC176" i="12"/>
  <c r="AD176" i="12"/>
  <c r="AE176" i="12"/>
  <c r="AK176" i="12"/>
  <c r="AL176" i="12"/>
  <c r="AM176" i="12"/>
  <c r="AA177" i="12"/>
  <c r="AB177" i="12"/>
  <c r="AC177" i="12"/>
  <c r="AD177" i="12"/>
  <c r="AE177" i="12"/>
  <c r="AF177" i="12"/>
  <c r="AH177" i="12" s="1"/>
  <c r="AI177" i="12" s="1"/>
  <c r="AG177" i="12"/>
  <c r="AK177" i="12"/>
  <c r="AL177" i="12"/>
  <c r="AM177" i="12" s="1"/>
  <c r="AA178" i="12"/>
  <c r="AB178" i="12"/>
  <c r="AC178" i="12"/>
  <c r="AD178" i="12"/>
  <c r="AE178" i="12"/>
  <c r="AF178" i="12" s="1"/>
  <c r="AH178" i="12" s="1"/>
  <c r="AI178" i="12" s="1"/>
  <c r="AK178" i="12"/>
  <c r="AL178" i="12"/>
  <c r="AM178" i="12"/>
  <c r="AA179" i="12"/>
  <c r="AB179" i="12"/>
  <c r="AC179" i="12"/>
  <c r="AD179" i="12"/>
  <c r="AE179" i="12"/>
  <c r="AG179" i="12" s="1"/>
  <c r="AK179" i="12"/>
  <c r="AL179" i="12"/>
  <c r="AM179" i="12"/>
  <c r="AA180" i="12"/>
  <c r="AB180" i="12"/>
  <c r="AC180" i="12"/>
  <c r="AD180" i="12"/>
  <c r="AE180" i="12"/>
  <c r="AK180" i="12"/>
  <c r="AL180" i="12"/>
  <c r="AM180" i="12" s="1"/>
  <c r="AA181" i="12"/>
  <c r="AB181" i="12"/>
  <c r="AC181" i="12"/>
  <c r="AD181" i="12"/>
  <c r="AE181" i="12"/>
  <c r="AG181" i="12" s="1"/>
  <c r="AJ181" i="12" s="1"/>
  <c r="AF181" i="12"/>
  <c r="AH181" i="12" s="1"/>
  <c r="AI181" i="12" s="1"/>
  <c r="AK181" i="12"/>
  <c r="AL181" i="12"/>
  <c r="AM181" i="12" s="1"/>
  <c r="AA182" i="12"/>
  <c r="AB182" i="12"/>
  <c r="AC182" i="12"/>
  <c r="AD182" i="12"/>
  <c r="AE182" i="12"/>
  <c r="AG182" i="12" s="1"/>
  <c r="AJ182" i="12" s="1"/>
  <c r="AF182" i="12"/>
  <c r="AH182" i="12" s="1"/>
  <c r="AI182" i="12" s="1"/>
  <c r="AK182" i="12"/>
  <c r="AL182" i="12"/>
  <c r="AM182" i="12"/>
  <c r="AA183" i="12"/>
  <c r="AB183" i="12"/>
  <c r="AC183" i="12"/>
  <c r="AD183" i="12"/>
  <c r="AE183" i="12"/>
  <c r="AK183" i="12"/>
  <c r="AL183" i="12"/>
  <c r="AM183" i="12"/>
  <c r="AA184" i="12"/>
  <c r="AB184" i="12"/>
  <c r="AC184" i="12"/>
  <c r="AD184" i="12"/>
  <c r="AE184" i="12"/>
  <c r="AK184" i="12"/>
  <c r="AL184" i="12"/>
  <c r="AM184" i="12"/>
  <c r="AA185" i="12"/>
  <c r="AB185" i="12"/>
  <c r="AC185" i="12"/>
  <c r="AD185" i="12"/>
  <c r="AE185" i="12"/>
  <c r="AF185" i="12"/>
  <c r="AG185" i="12"/>
  <c r="AH185" i="12"/>
  <c r="AI185" i="12" s="1"/>
  <c r="AJ185" i="12" s="1"/>
  <c r="AK185" i="12"/>
  <c r="AL185" i="12"/>
  <c r="AM185" i="12" s="1"/>
  <c r="AA186" i="12"/>
  <c r="AB186" i="12"/>
  <c r="AC186" i="12"/>
  <c r="AD186" i="12"/>
  <c r="AE186" i="12"/>
  <c r="AG186" i="12" s="1"/>
  <c r="AK186" i="12"/>
  <c r="AL186" i="12"/>
  <c r="AM186" i="12"/>
  <c r="AA187" i="12"/>
  <c r="AB187" i="12"/>
  <c r="AC187" i="12"/>
  <c r="AD187" i="12"/>
  <c r="AE187" i="12"/>
  <c r="AK187" i="12"/>
  <c r="AL187" i="12"/>
  <c r="AM187" i="12" s="1"/>
  <c r="AA188" i="12"/>
  <c r="AB188" i="12"/>
  <c r="AC188" i="12"/>
  <c r="AD188" i="12"/>
  <c r="AE188" i="12"/>
  <c r="AK188" i="12"/>
  <c r="AL188" i="12"/>
  <c r="AM188" i="12" s="1"/>
  <c r="AA189" i="12"/>
  <c r="AB189" i="12"/>
  <c r="AC189" i="12"/>
  <c r="AD189" i="12"/>
  <c r="AE189" i="12"/>
  <c r="AF189" i="12"/>
  <c r="AH189" i="12" s="1"/>
  <c r="AI189" i="12" s="1"/>
  <c r="AG189" i="12"/>
  <c r="AK189" i="12"/>
  <c r="AL189" i="12"/>
  <c r="AM189" i="12" s="1"/>
  <c r="AA190" i="12"/>
  <c r="AB190" i="12"/>
  <c r="AC190" i="12"/>
  <c r="AD190" i="12"/>
  <c r="AE190" i="12"/>
  <c r="AF190" i="12" s="1"/>
  <c r="AH190" i="12" s="1"/>
  <c r="AG190" i="12"/>
  <c r="AI190" i="12"/>
  <c r="AK190" i="12"/>
  <c r="AL190" i="12"/>
  <c r="AM190" i="12"/>
  <c r="AA191" i="12"/>
  <c r="AB191" i="12"/>
  <c r="AC191" i="12"/>
  <c r="AD191" i="12"/>
  <c r="AE191" i="12"/>
  <c r="AG191" i="12" s="1"/>
  <c r="AK191" i="12"/>
  <c r="AL191" i="12"/>
  <c r="AM191" i="12"/>
  <c r="AA192" i="12"/>
  <c r="AB192" i="12"/>
  <c r="AC192" i="12"/>
  <c r="AD192" i="12"/>
  <c r="AE192" i="12"/>
  <c r="AF192" i="12" s="1"/>
  <c r="AH192" i="12"/>
  <c r="AI192" i="12"/>
  <c r="AK192" i="12"/>
  <c r="AL192" i="12"/>
  <c r="AM192" i="12"/>
  <c r="AA193" i="12"/>
  <c r="AB193" i="12"/>
  <c r="AC193" i="12"/>
  <c r="AD193" i="12"/>
  <c r="AE193" i="12"/>
  <c r="AF193" i="12"/>
  <c r="AG193" i="12"/>
  <c r="AH193" i="12"/>
  <c r="AI193" i="12" s="1"/>
  <c r="AJ193" i="12"/>
  <c r="AK193" i="12"/>
  <c r="AL193" i="12"/>
  <c r="AM193" i="12" s="1"/>
  <c r="AA194" i="12"/>
  <c r="AB194" i="12"/>
  <c r="AC194" i="12"/>
  <c r="AD194" i="12"/>
  <c r="AE194" i="12"/>
  <c r="AG194" i="12" s="1"/>
  <c r="AF194" i="12"/>
  <c r="AH194" i="12" s="1"/>
  <c r="AI194" i="12" s="1"/>
  <c r="AJ194" i="12"/>
  <c r="AK194" i="12"/>
  <c r="AL194" i="12"/>
  <c r="AM194" i="12"/>
  <c r="AA195" i="12"/>
  <c r="AB195" i="12"/>
  <c r="AC195" i="12"/>
  <c r="AD195" i="12"/>
  <c r="AE195" i="12"/>
  <c r="AK195" i="12"/>
  <c r="AL195" i="12"/>
  <c r="AM195" i="12" s="1"/>
  <c r="AA196" i="12"/>
  <c r="AB196" i="12"/>
  <c r="AC196" i="12"/>
  <c r="AD196" i="12"/>
  <c r="AE196" i="12"/>
  <c r="AF196" i="12" s="1"/>
  <c r="AH196" i="12" s="1"/>
  <c r="AI196" i="12" s="1"/>
  <c r="AK196" i="12"/>
  <c r="AL196" i="12"/>
  <c r="AM196" i="12" s="1"/>
  <c r="AA197" i="12"/>
  <c r="AB197" i="12"/>
  <c r="AC197" i="12"/>
  <c r="AD197" i="12"/>
  <c r="AE197" i="12"/>
  <c r="AF197" i="12"/>
  <c r="AH197" i="12" s="1"/>
  <c r="AI197" i="12" s="1"/>
  <c r="AG197" i="12"/>
  <c r="AJ197" i="12" s="1"/>
  <c r="AK197" i="12"/>
  <c r="AL197" i="12"/>
  <c r="AM197" i="12" s="1"/>
  <c r="AA198" i="12"/>
  <c r="AB198" i="12"/>
  <c r="AC198" i="12"/>
  <c r="AD198" i="12"/>
  <c r="AE198" i="12"/>
  <c r="AF198" i="12" s="1"/>
  <c r="AH198" i="12" s="1"/>
  <c r="AG198" i="12"/>
  <c r="AJ198" i="12" s="1"/>
  <c r="AI198" i="12"/>
  <c r="AK198" i="12"/>
  <c r="AL198" i="12"/>
  <c r="AM198" i="12"/>
  <c r="AA199" i="12"/>
  <c r="AB199" i="12"/>
  <c r="AC199" i="12"/>
  <c r="AD199" i="12"/>
  <c r="AE199" i="12"/>
  <c r="AG199" i="12" s="1"/>
  <c r="AK199" i="12"/>
  <c r="AL199" i="12"/>
  <c r="AM199" i="12" s="1"/>
  <c r="AA200" i="12"/>
  <c r="AB200" i="12"/>
  <c r="AC200" i="12"/>
  <c r="AD200" i="12"/>
  <c r="AE200" i="12"/>
  <c r="AF200" i="12" s="1"/>
  <c r="AH200" i="12"/>
  <c r="AI200" i="12"/>
  <c r="AK200" i="12"/>
  <c r="AL200" i="12"/>
  <c r="AM200" i="12"/>
  <c r="AA201" i="12"/>
  <c r="AB201" i="12"/>
  <c r="AC201" i="12"/>
  <c r="AD201" i="12"/>
  <c r="AE201" i="12"/>
  <c r="AF201" i="12"/>
  <c r="AG201" i="12"/>
  <c r="AH201" i="12"/>
  <c r="AI201" i="12" s="1"/>
  <c r="AJ201" i="12"/>
  <c r="AK201" i="12"/>
  <c r="AL201" i="12"/>
  <c r="AM201" i="12" s="1"/>
  <c r="AA202" i="12"/>
  <c r="AB202" i="12"/>
  <c r="AC202" i="12"/>
  <c r="AD202" i="12"/>
  <c r="AE202" i="12"/>
  <c r="AG202" i="12" s="1"/>
  <c r="AF202" i="12"/>
  <c r="AH202" i="12" s="1"/>
  <c r="AI202" i="12" s="1"/>
  <c r="AK202" i="12"/>
  <c r="AL202" i="12"/>
  <c r="AM202" i="12"/>
  <c r="AA203" i="12"/>
  <c r="AB203" i="12"/>
  <c r="AC203" i="12"/>
  <c r="AD203" i="12"/>
  <c r="AE203" i="12"/>
  <c r="AG203" i="12" s="1"/>
  <c r="AK203" i="12"/>
  <c r="AL203" i="12"/>
  <c r="AM203" i="12" s="1"/>
  <c r="AA204" i="12"/>
  <c r="AB204" i="12"/>
  <c r="AC204" i="12"/>
  <c r="AD204" i="12"/>
  <c r="AE204" i="12"/>
  <c r="AF204" i="12" s="1"/>
  <c r="AH204" i="12" s="1"/>
  <c r="AI204" i="12" s="1"/>
  <c r="AG204" i="12"/>
  <c r="AJ204" i="12" s="1"/>
  <c r="AK204" i="12"/>
  <c r="AL204" i="12"/>
  <c r="AM204" i="12" s="1"/>
  <c r="AA205" i="12"/>
  <c r="AB205" i="12"/>
  <c r="AC205" i="12"/>
  <c r="AD205" i="12"/>
  <c r="AE205" i="12"/>
  <c r="AF205" i="12"/>
  <c r="AH205" i="12" s="1"/>
  <c r="AI205" i="12" s="1"/>
  <c r="AG205" i="12"/>
  <c r="AJ205" i="12" s="1"/>
  <c r="AK205" i="12"/>
  <c r="AL205" i="12"/>
  <c r="AM205" i="12" s="1"/>
  <c r="AA206" i="12"/>
  <c r="AB206" i="12"/>
  <c r="AC206" i="12"/>
  <c r="AD206" i="12"/>
  <c r="AE206" i="12"/>
  <c r="AF206" i="12" s="1"/>
  <c r="AH206" i="12" s="1"/>
  <c r="AI206" i="12" s="1"/>
  <c r="AG206" i="12"/>
  <c r="AJ206" i="12" s="1"/>
  <c r="AK206" i="12"/>
  <c r="AL206" i="12"/>
  <c r="AM206" i="12"/>
  <c r="AA207" i="12"/>
  <c r="AB207" i="12"/>
  <c r="AC207" i="12"/>
  <c r="AD207" i="12"/>
  <c r="AE207" i="12"/>
  <c r="AG207" i="12" s="1"/>
  <c r="AK207" i="12"/>
  <c r="AL207" i="12"/>
  <c r="AM207" i="12" s="1"/>
  <c r="AA208" i="12"/>
  <c r="AB208" i="12"/>
  <c r="AC208" i="12"/>
  <c r="AD208" i="12"/>
  <c r="AE208" i="12"/>
  <c r="AF208" i="12" s="1"/>
  <c r="AH208" i="12"/>
  <c r="AI208" i="12" s="1"/>
  <c r="AK208" i="12"/>
  <c r="AL208" i="12"/>
  <c r="AM208" i="12"/>
  <c r="AA209" i="12"/>
  <c r="AB209" i="12"/>
  <c r="AC209" i="12"/>
  <c r="AD209" i="12"/>
  <c r="AE209" i="12"/>
  <c r="AF209" i="12"/>
  <c r="AG209" i="12"/>
  <c r="AH209" i="12"/>
  <c r="AI209" i="12" s="1"/>
  <c r="AJ209" i="12" s="1"/>
  <c r="AK209" i="12"/>
  <c r="AL209" i="12"/>
  <c r="AM209" i="12" s="1"/>
  <c r="AA210" i="12"/>
  <c r="AB210" i="12"/>
  <c r="AC210" i="12"/>
  <c r="AD210" i="12"/>
  <c r="AE210" i="12"/>
  <c r="AK210" i="12"/>
  <c r="AL210" i="12"/>
  <c r="AM210" i="12"/>
  <c r="AA211" i="12"/>
  <c r="AB211" i="12"/>
  <c r="AC211" i="12"/>
  <c r="AD211" i="12"/>
  <c r="AE211" i="12"/>
  <c r="AG211" i="12" s="1"/>
  <c r="AF211" i="12"/>
  <c r="AH211" i="12" s="1"/>
  <c r="AI211" i="12" s="1"/>
  <c r="AJ211" i="12" s="1"/>
  <c r="AK211" i="12"/>
  <c r="AL211" i="12"/>
  <c r="AM211" i="12" s="1"/>
  <c r="AA212" i="12"/>
  <c r="AB212" i="12"/>
  <c r="AC212" i="12"/>
  <c r="AD212" i="12"/>
  <c r="AE212" i="12"/>
  <c r="AK212" i="12"/>
  <c r="AL212" i="12"/>
  <c r="AM212" i="12" s="1"/>
  <c r="AA213" i="12"/>
  <c r="AB213" i="12"/>
  <c r="AC213" i="12"/>
  <c r="AD213" i="12"/>
  <c r="AE213" i="12"/>
  <c r="AF213" i="12"/>
  <c r="AH213" i="12" s="1"/>
  <c r="AI213" i="12" s="1"/>
  <c r="AG213" i="12"/>
  <c r="AK213" i="12"/>
  <c r="AL213" i="12"/>
  <c r="AM213" i="12" s="1"/>
  <c r="AA214" i="12"/>
  <c r="AB214" i="12"/>
  <c r="AC214" i="12"/>
  <c r="AD214" i="12"/>
  <c r="AE214" i="12"/>
  <c r="AF214" i="12" s="1"/>
  <c r="AH214" i="12" s="1"/>
  <c r="AI214" i="12" s="1"/>
  <c r="AG214" i="12"/>
  <c r="AK214" i="12"/>
  <c r="AL214" i="12"/>
  <c r="AM214" i="12"/>
  <c r="AA215" i="12"/>
  <c r="AB215" i="12"/>
  <c r="AC215" i="12"/>
  <c r="AD215" i="12"/>
  <c r="AE215" i="12"/>
  <c r="AG215" i="12" s="1"/>
  <c r="AK215" i="12"/>
  <c r="AL215" i="12"/>
  <c r="AM215" i="12"/>
  <c r="AA216" i="12"/>
  <c r="AB216" i="12"/>
  <c r="AC216" i="12"/>
  <c r="AD216" i="12"/>
  <c r="AE216" i="12"/>
  <c r="AF216" i="12" s="1"/>
  <c r="AH216" i="12"/>
  <c r="AI216" i="12" s="1"/>
  <c r="AK216" i="12"/>
  <c r="AL216" i="12"/>
  <c r="AM216" i="12"/>
  <c r="AA217" i="12"/>
  <c r="AB217" i="12"/>
  <c r="AC217" i="12"/>
  <c r="AD217" i="12"/>
  <c r="AE217" i="12"/>
  <c r="AF217" i="12"/>
  <c r="AG217" i="12"/>
  <c r="AH217" i="12"/>
  <c r="AI217" i="12" s="1"/>
  <c r="AJ217" i="12" s="1"/>
  <c r="AK217" i="12"/>
  <c r="AL217" i="12"/>
  <c r="AM217" i="12" s="1"/>
  <c r="AA218" i="12"/>
  <c r="AB218" i="12"/>
  <c r="AC218" i="12"/>
  <c r="AD218" i="12"/>
  <c r="AE218" i="12"/>
  <c r="AG218" i="12" s="1"/>
  <c r="AK218" i="12"/>
  <c r="AL218" i="12"/>
  <c r="AM218" i="12"/>
  <c r="AA219" i="12"/>
  <c r="AB219" i="12"/>
  <c r="AC219" i="12"/>
  <c r="AD219" i="12"/>
  <c r="AE219" i="12"/>
  <c r="AK219" i="12"/>
  <c r="AL219" i="12"/>
  <c r="AM219" i="12" s="1"/>
  <c r="AA220" i="12"/>
  <c r="AB220" i="12"/>
  <c r="AC220" i="12"/>
  <c r="AD220" i="12"/>
  <c r="AE220" i="12"/>
  <c r="AK220" i="12"/>
  <c r="AL220" i="12"/>
  <c r="AM220" i="12" s="1"/>
  <c r="AA221" i="12"/>
  <c r="AB221" i="12"/>
  <c r="AC221" i="12"/>
  <c r="AD221" i="12"/>
  <c r="AE221" i="12"/>
  <c r="AF221" i="12"/>
  <c r="AH221" i="12" s="1"/>
  <c r="AI221" i="12" s="1"/>
  <c r="AG221" i="12"/>
  <c r="AK221" i="12"/>
  <c r="AL221" i="12"/>
  <c r="AM221" i="12" s="1"/>
  <c r="AA222" i="12"/>
  <c r="AB222" i="12"/>
  <c r="AC222" i="12"/>
  <c r="AD222" i="12"/>
  <c r="AE222" i="12"/>
  <c r="AF222" i="12" s="1"/>
  <c r="AH222" i="12" s="1"/>
  <c r="AG222" i="12"/>
  <c r="AI222" i="12"/>
  <c r="AK222" i="12"/>
  <c r="AL222" i="12"/>
  <c r="AM222" i="12"/>
  <c r="AA223" i="12"/>
  <c r="AB223" i="12"/>
  <c r="AC223" i="12"/>
  <c r="AD223" i="12"/>
  <c r="AE223" i="12"/>
  <c r="AG223" i="12" s="1"/>
  <c r="AK223" i="12"/>
  <c r="AL223" i="12"/>
  <c r="AM223" i="12"/>
  <c r="AA224" i="12"/>
  <c r="AB224" i="12"/>
  <c r="AC224" i="12"/>
  <c r="AD224" i="12"/>
  <c r="AE224" i="12"/>
  <c r="AF224" i="12" s="1"/>
  <c r="AH224" i="12"/>
  <c r="AI224" i="12"/>
  <c r="AK224" i="12"/>
  <c r="AL224" i="12"/>
  <c r="AM224" i="12"/>
  <c r="AA225" i="12"/>
  <c r="AB225" i="12"/>
  <c r="AC225" i="12"/>
  <c r="AD225" i="12"/>
  <c r="AE225" i="12"/>
  <c r="AK225" i="12"/>
  <c r="AL225" i="12"/>
  <c r="AM225" i="12" s="1"/>
  <c r="AA226" i="12"/>
  <c r="AB226" i="12"/>
  <c r="AC226" i="12"/>
  <c r="AD226" i="12"/>
  <c r="AE226" i="12"/>
  <c r="AF226" i="12" s="1"/>
  <c r="AG226" i="12"/>
  <c r="AH226" i="12"/>
  <c r="AI226" i="12" s="1"/>
  <c r="AK226" i="12"/>
  <c r="AL226" i="12"/>
  <c r="AM226" i="12" s="1"/>
  <c r="AA227" i="12"/>
  <c r="AB227" i="12"/>
  <c r="AC227" i="12"/>
  <c r="AD227" i="12"/>
  <c r="AE227" i="12"/>
  <c r="AF227" i="12"/>
  <c r="AH227" i="12" s="1"/>
  <c r="AI227" i="12" s="1"/>
  <c r="AG227" i="12"/>
  <c r="AK227" i="12"/>
  <c r="AL227" i="12"/>
  <c r="AM227" i="12" s="1"/>
  <c r="AA228" i="12"/>
  <c r="AB228" i="12"/>
  <c r="AC228" i="12"/>
  <c r="AD228" i="12"/>
  <c r="AE228" i="12"/>
  <c r="AK228" i="12"/>
  <c r="AL228" i="12"/>
  <c r="AM228" i="12"/>
  <c r="AA229" i="12"/>
  <c r="AB229" i="12"/>
  <c r="AC229" i="12"/>
  <c r="AD229" i="12"/>
  <c r="AE229" i="12"/>
  <c r="AK229" i="12"/>
  <c r="AL229" i="12"/>
  <c r="AM229" i="12" s="1"/>
  <c r="AA230" i="12"/>
  <c r="AB230" i="12"/>
  <c r="AC230" i="12"/>
  <c r="AD230" i="12"/>
  <c r="AE230" i="12"/>
  <c r="AF230" i="12" s="1"/>
  <c r="AG230" i="12"/>
  <c r="AH230" i="12"/>
  <c r="AI230" i="12" s="1"/>
  <c r="AK230" i="12"/>
  <c r="AL230" i="12"/>
  <c r="AM230" i="12" s="1"/>
  <c r="AA231" i="12"/>
  <c r="AB231" i="12"/>
  <c r="AC231" i="12"/>
  <c r="AD231" i="12"/>
  <c r="AE231" i="12"/>
  <c r="AF231" i="12"/>
  <c r="AH231" i="12" s="1"/>
  <c r="AI231" i="12" s="1"/>
  <c r="AG231" i="12"/>
  <c r="AK231" i="12"/>
  <c r="AL231" i="12"/>
  <c r="AM231" i="12" s="1"/>
  <c r="AA232" i="12"/>
  <c r="AB232" i="12"/>
  <c r="AC232" i="12"/>
  <c r="AD232" i="12"/>
  <c r="AE232" i="12"/>
  <c r="AK232" i="12"/>
  <c r="AL232" i="12"/>
  <c r="AM232" i="12"/>
  <c r="AA233" i="12"/>
  <c r="AB233" i="12"/>
  <c r="AC233" i="12"/>
  <c r="AD233" i="12"/>
  <c r="AE233" i="12"/>
  <c r="AK233" i="12"/>
  <c r="AL233" i="12"/>
  <c r="AM233" i="12" s="1"/>
  <c r="AA234" i="12"/>
  <c r="AB234" i="12"/>
  <c r="AC234" i="12"/>
  <c r="AD234" i="12"/>
  <c r="AE234" i="12"/>
  <c r="AF234" i="12" s="1"/>
  <c r="AG234" i="12"/>
  <c r="AH234" i="12"/>
  <c r="AI234" i="12" s="1"/>
  <c r="AK234" i="12"/>
  <c r="AL234" i="12"/>
  <c r="AM234" i="12" s="1"/>
  <c r="AA235" i="12"/>
  <c r="AB235" i="12"/>
  <c r="AC235" i="12"/>
  <c r="AD235" i="12"/>
  <c r="AE235" i="12"/>
  <c r="AF235" i="12"/>
  <c r="AH235" i="12" s="1"/>
  <c r="AI235" i="12" s="1"/>
  <c r="AG235" i="12"/>
  <c r="AK235" i="12"/>
  <c r="AL235" i="12"/>
  <c r="AM235" i="12" s="1"/>
  <c r="AA236" i="12"/>
  <c r="AB236" i="12"/>
  <c r="AC236" i="12"/>
  <c r="AD236" i="12"/>
  <c r="AE236" i="12"/>
  <c r="AK236" i="12"/>
  <c r="AL236" i="12"/>
  <c r="AM236" i="12"/>
  <c r="AA237" i="12"/>
  <c r="AB237" i="12"/>
  <c r="AC237" i="12"/>
  <c r="AD237" i="12"/>
  <c r="AE237" i="12"/>
  <c r="AK237" i="12"/>
  <c r="AL237" i="12"/>
  <c r="AM237" i="12" s="1"/>
  <c r="AA238" i="12"/>
  <c r="AB238" i="12"/>
  <c r="AC238" i="12"/>
  <c r="AD238" i="12"/>
  <c r="AE238" i="12"/>
  <c r="AF238" i="12" s="1"/>
  <c r="AG238" i="12"/>
  <c r="AH238" i="12"/>
  <c r="AI238" i="12" s="1"/>
  <c r="AK238" i="12"/>
  <c r="AL238" i="12"/>
  <c r="AM238" i="12" s="1"/>
  <c r="AA239" i="12"/>
  <c r="AB239" i="12"/>
  <c r="AC239" i="12"/>
  <c r="AD239" i="12"/>
  <c r="AE239" i="12"/>
  <c r="AF239" i="12"/>
  <c r="AH239" i="12" s="1"/>
  <c r="AI239" i="12" s="1"/>
  <c r="AG239" i="12"/>
  <c r="AK239" i="12"/>
  <c r="AL239" i="12"/>
  <c r="AM239" i="12" s="1"/>
  <c r="AA240" i="12"/>
  <c r="AB240" i="12"/>
  <c r="AC240" i="12"/>
  <c r="AD240" i="12"/>
  <c r="AE240" i="12"/>
  <c r="AK240" i="12"/>
  <c r="AL240" i="12"/>
  <c r="AM240" i="12"/>
  <c r="AA241" i="12"/>
  <c r="AB241" i="12"/>
  <c r="AC241" i="12"/>
  <c r="AD241" i="12"/>
  <c r="AE241" i="12"/>
  <c r="AK241" i="12"/>
  <c r="AL241" i="12"/>
  <c r="AM241" i="12" s="1"/>
  <c r="AA242" i="12"/>
  <c r="AB242" i="12"/>
  <c r="AC242" i="12"/>
  <c r="AD242" i="12"/>
  <c r="AE242" i="12"/>
  <c r="AF242" i="12" s="1"/>
  <c r="AG242" i="12"/>
  <c r="AH242" i="12"/>
  <c r="AI242" i="12" s="1"/>
  <c r="AK242" i="12"/>
  <c r="AL242" i="12"/>
  <c r="AM242" i="12" s="1"/>
  <c r="AA243" i="12"/>
  <c r="AB243" i="12"/>
  <c r="AC243" i="12"/>
  <c r="AD243" i="12"/>
  <c r="AE243" i="12"/>
  <c r="AF243" i="12"/>
  <c r="AH243" i="12" s="1"/>
  <c r="AI243" i="12" s="1"/>
  <c r="AG243" i="12"/>
  <c r="AK243" i="12"/>
  <c r="AL243" i="12"/>
  <c r="AM243" i="12" s="1"/>
  <c r="AA244" i="12"/>
  <c r="AB244" i="12"/>
  <c r="AC244" i="12"/>
  <c r="AD244" i="12"/>
  <c r="AE244" i="12"/>
  <c r="AK244" i="12"/>
  <c r="AL244" i="12"/>
  <c r="AM244" i="12"/>
  <c r="AA245" i="12"/>
  <c r="AB245" i="12"/>
  <c r="AC245" i="12"/>
  <c r="AD245" i="12"/>
  <c r="AE245" i="12"/>
  <c r="AK245" i="12"/>
  <c r="AL245" i="12"/>
  <c r="AM245" i="12" s="1"/>
  <c r="AA246" i="12"/>
  <c r="AB246" i="12"/>
  <c r="AC246" i="12"/>
  <c r="AD246" i="12"/>
  <c r="AE246" i="12"/>
  <c r="AF246" i="12" s="1"/>
  <c r="AG246" i="12"/>
  <c r="AH246" i="12"/>
  <c r="AI246" i="12" s="1"/>
  <c r="AK246" i="12"/>
  <c r="AL246" i="12"/>
  <c r="AM246" i="12" s="1"/>
  <c r="AA247" i="12"/>
  <c r="AB247" i="12"/>
  <c r="AC247" i="12"/>
  <c r="AD247" i="12"/>
  <c r="AE247" i="12"/>
  <c r="AF247" i="12"/>
  <c r="AH247" i="12" s="1"/>
  <c r="AI247" i="12" s="1"/>
  <c r="AG247" i="12"/>
  <c r="AK247" i="12"/>
  <c r="AL247" i="12"/>
  <c r="AM247" i="12" s="1"/>
  <c r="AA248" i="12"/>
  <c r="AB248" i="12"/>
  <c r="AC248" i="12"/>
  <c r="AD248" i="12"/>
  <c r="AE248" i="12"/>
  <c r="AK248" i="12"/>
  <c r="AL248" i="12"/>
  <c r="AM248" i="12"/>
  <c r="AA249" i="12"/>
  <c r="AB249" i="12"/>
  <c r="AC249" i="12"/>
  <c r="AD249" i="12"/>
  <c r="AE249" i="12"/>
  <c r="AK249" i="12"/>
  <c r="AL249" i="12"/>
  <c r="AM249" i="12" s="1"/>
  <c r="AA250" i="12"/>
  <c r="AB250" i="12"/>
  <c r="AC250" i="12"/>
  <c r="AD250" i="12"/>
  <c r="AE250" i="12"/>
  <c r="AF250" i="12" s="1"/>
  <c r="AG250" i="12"/>
  <c r="AH250" i="12"/>
  <c r="AI250" i="12" s="1"/>
  <c r="AK250" i="12"/>
  <c r="AL250" i="12"/>
  <c r="AM250" i="12" s="1"/>
  <c r="AA251" i="12"/>
  <c r="AB251" i="12"/>
  <c r="AC251" i="12"/>
  <c r="AD251" i="12"/>
  <c r="AE251" i="12"/>
  <c r="AF251" i="12"/>
  <c r="AH251" i="12" s="1"/>
  <c r="AI251" i="12" s="1"/>
  <c r="AG251" i="12"/>
  <c r="AK251" i="12"/>
  <c r="AL251" i="12"/>
  <c r="AM251" i="12" s="1"/>
  <c r="AA252" i="12"/>
  <c r="AB252" i="12"/>
  <c r="AC252" i="12"/>
  <c r="AD252" i="12"/>
  <c r="AE252" i="12"/>
  <c r="AK252" i="12"/>
  <c r="AL252" i="12"/>
  <c r="AM252" i="12"/>
  <c r="AA253" i="12"/>
  <c r="AB253" i="12"/>
  <c r="AC253" i="12"/>
  <c r="AD253" i="12"/>
  <c r="AE253" i="12"/>
  <c r="AK253" i="12"/>
  <c r="AL253" i="12"/>
  <c r="AM253" i="12" s="1"/>
  <c r="AA254" i="12"/>
  <c r="AB254" i="12"/>
  <c r="AC254" i="12"/>
  <c r="AD254" i="12"/>
  <c r="AE254" i="12"/>
  <c r="AF254" i="12" s="1"/>
  <c r="AG254" i="12"/>
  <c r="AH254" i="12"/>
  <c r="AI254" i="12" s="1"/>
  <c r="AK254" i="12"/>
  <c r="AL254" i="12"/>
  <c r="AM254" i="12" s="1"/>
  <c r="AA255" i="12"/>
  <c r="AB255" i="12"/>
  <c r="AC255" i="12"/>
  <c r="AD255" i="12"/>
  <c r="AE255" i="12"/>
  <c r="AF255" i="12"/>
  <c r="AH255" i="12" s="1"/>
  <c r="AI255" i="12" s="1"/>
  <c r="AG255" i="12"/>
  <c r="AK255" i="12"/>
  <c r="AL255" i="12"/>
  <c r="AM255" i="12" s="1"/>
  <c r="AA256" i="12"/>
  <c r="AB256" i="12"/>
  <c r="AC256" i="12"/>
  <c r="AD256" i="12"/>
  <c r="AE256" i="12"/>
  <c r="AK256" i="12"/>
  <c r="AL256" i="12"/>
  <c r="AM256" i="12"/>
  <c r="AA257" i="12"/>
  <c r="AB257" i="12"/>
  <c r="AC257" i="12"/>
  <c r="AD257" i="12"/>
  <c r="AE257" i="12"/>
  <c r="AK257" i="12"/>
  <c r="AL257" i="12"/>
  <c r="AM257" i="12" s="1"/>
  <c r="AA258" i="12"/>
  <c r="AB258" i="12"/>
  <c r="AC258" i="12"/>
  <c r="AD258" i="12"/>
  <c r="AE258" i="12"/>
  <c r="AF258" i="12" s="1"/>
  <c r="AG258" i="12"/>
  <c r="AH258" i="12"/>
  <c r="AI258" i="12" s="1"/>
  <c r="AK258" i="12"/>
  <c r="AL258" i="12"/>
  <c r="AM258" i="12" s="1"/>
  <c r="AA259" i="12"/>
  <c r="AB259" i="12"/>
  <c r="AC259" i="12"/>
  <c r="AD259" i="12"/>
  <c r="AE259" i="12"/>
  <c r="AF259" i="12"/>
  <c r="AH259" i="12" s="1"/>
  <c r="AI259" i="12" s="1"/>
  <c r="AG259" i="12"/>
  <c r="AK259" i="12"/>
  <c r="AL259" i="12"/>
  <c r="AM259" i="12" s="1"/>
  <c r="AA260" i="12"/>
  <c r="AB260" i="12"/>
  <c r="AC260" i="12"/>
  <c r="AD260" i="12"/>
  <c r="AE260" i="12"/>
  <c r="AK260" i="12"/>
  <c r="AL260" i="12"/>
  <c r="AM260" i="12"/>
  <c r="AA261" i="12"/>
  <c r="AB261" i="12"/>
  <c r="AC261" i="12"/>
  <c r="AD261" i="12"/>
  <c r="AE261" i="12"/>
  <c r="AK261" i="12"/>
  <c r="AL261" i="12"/>
  <c r="AM261" i="12" s="1"/>
  <c r="AA262" i="12"/>
  <c r="AB262" i="12"/>
  <c r="AC262" i="12"/>
  <c r="AD262" i="12"/>
  <c r="AE262" i="12"/>
  <c r="AF262" i="12" s="1"/>
  <c r="AG262" i="12"/>
  <c r="AH262" i="12"/>
  <c r="AI262" i="12" s="1"/>
  <c r="AK262" i="12"/>
  <c r="AL262" i="12"/>
  <c r="AM262" i="12" s="1"/>
  <c r="AA263" i="12"/>
  <c r="AB263" i="12"/>
  <c r="AC263" i="12"/>
  <c r="AD263" i="12"/>
  <c r="AE263" i="12"/>
  <c r="AF263" i="12"/>
  <c r="AH263" i="12" s="1"/>
  <c r="AI263" i="12" s="1"/>
  <c r="AG263" i="12"/>
  <c r="AK263" i="12"/>
  <c r="AL263" i="12"/>
  <c r="AM263" i="12" s="1"/>
  <c r="AA264" i="12"/>
  <c r="AB264" i="12"/>
  <c r="AC264" i="12"/>
  <c r="AD264" i="12"/>
  <c r="AE264" i="12"/>
  <c r="AK264" i="12"/>
  <c r="AL264" i="12"/>
  <c r="AM264" i="12"/>
  <c r="AA265" i="12"/>
  <c r="AB265" i="12"/>
  <c r="AC265" i="12"/>
  <c r="AD265" i="12"/>
  <c r="AE265" i="12"/>
  <c r="AK265" i="12"/>
  <c r="AL265" i="12"/>
  <c r="AM265" i="12" s="1"/>
  <c r="AA266" i="12"/>
  <c r="AB266" i="12"/>
  <c r="AC266" i="12"/>
  <c r="AD266" i="12"/>
  <c r="AE266" i="12"/>
  <c r="AF266" i="12" s="1"/>
  <c r="AG266" i="12"/>
  <c r="AH266" i="12"/>
  <c r="AI266" i="12" s="1"/>
  <c r="AK266" i="12"/>
  <c r="AL266" i="12"/>
  <c r="AM266" i="12" s="1"/>
  <c r="AA267" i="12"/>
  <c r="AB267" i="12"/>
  <c r="AC267" i="12"/>
  <c r="AD267" i="12"/>
  <c r="AE267" i="12"/>
  <c r="AF267" i="12"/>
  <c r="AH267" i="12" s="1"/>
  <c r="AI267" i="12" s="1"/>
  <c r="AG267" i="12"/>
  <c r="AK267" i="12"/>
  <c r="AL267" i="12"/>
  <c r="AM267" i="12" s="1"/>
  <c r="AA268" i="12"/>
  <c r="AB268" i="12"/>
  <c r="AC268" i="12"/>
  <c r="AD268" i="12"/>
  <c r="AE268" i="12"/>
  <c r="AK268" i="12"/>
  <c r="AL268" i="12"/>
  <c r="AM268" i="12"/>
  <c r="AA269" i="12"/>
  <c r="AB269" i="12"/>
  <c r="AC269" i="12"/>
  <c r="AD269" i="12"/>
  <c r="AE269" i="12"/>
  <c r="AK269" i="12"/>
  <c r="AL269" i="12"/>
  <c r="AM269" i="12" s="1"/>
  <c r="AA270" i="12"/>
  <c r="AB270" i="12"/>
  <c r="AC270" i="12"/>
  <c r="AD270" i="12"/>
  <c r="AE270" i="12"/>
  <c r="AF270" i="12" s="1"/>
  <c r="AG270" i="12"/>
  <c r="AH270" i="12"/>
  <c r="AI270" i="12" s="1"/>
  <c r="AK270" i="12"/>
  <c r="AL270" i="12"/>
  <c r="AM270" i="12" s="1"/>
  <c r="AA271" i="12"/>
  <c r="AB271" i="12"/>
  <c r="AC271" i="12"/>
  <c r="AD271" i="12"/>
  <c r="AE271" i="12"/>
  <c r="AF271" i="12"/>
  <c r="AH271" i="12" s="1"/>
  <c r="AI271" i="12" s="1"/>
  <c r="AG271" i="12"/>
  <c r="AK271" i="12"/>
  <c r="AL271" i="12"/>
  <c r="AM271" i="12" s="1"/>
  <c r="AA272" i="12"/>
  <c r="AB272" i="12"/>
  <c r="AC272" i="12"/>
  <c r="AD272" i="12"/>
  <c r="AE272" i="12"/>
  <c r="AK272" i="12"/>
  <c r="AL272" i="12"/>
  <c r="AM272" i="12"/>
  <c r="AA273" i="12"/>
  <c r="AB273" i="12"/>
  <c r="AC273" i="12"/>
  <c r="AD273" i="12"/>
  <c r="AE273" i="12"/>
  <c r="AK273" i="12"/>
  <c r="AL273" i="12"/>
  <c r="AM273" i="12" s="1"/>
  <c r="AA274" i="12"/>
  <c r="AB274" i="12"/>
  <c r="AC274" i="12"/>
  <c r="AD274" i="12"/>
  <c r="AE274" i="12"/>
  <c r="AF274" i="12" s="1"/>
  <c r="AG274" i="12"/>
  <c r="AH274" i="12"/>
  <c r="AI274" i="12" s="1"/>
  <c r="AK274" i="12"/>
  <c r="AL274" i="12"/>
  <c r="AM274" i="12" s="1"/>
  <c r="AA275" i="12"/>
  <c r="AB275" i="12"/>
  <c r="AC275" i="12"/>
  <c r="AD275" i="12"/>
  <c r="AE275" i="12"/>
  <c r="AF275" i="12"/>
  <c r="AH275" i="12" s="1"/>
  <c r="AI275" i="12" s="1"/>
  <c r="AG275" i="12"/>
  <c r="AK275" i="12"/>
  <c r="AL275" i="12"/>
  <c r="AM275" i="12" s="1"/>
  <c r="AA276" i="12"/>
  <c r="AB276" i="12"/>
  <c r="AC276" i="12"/>
  <c r="AD276" i="12"/>
  <c r="AE276" i="12"/>
  <c r="AF276" i="12"/>
  <c r="AH276" i="12" s="1"/>
  <c r="AG276" i="12"/>
  <c r="AJ276" i="12" s="1"/>
  <c r="AI276" i="12"/>
  <c r="AK276" i="12"/>
  <c r="AL276" i="12"/>
  <c r="AM276" i="12"/>
  <c r="AA277" i="12"/>
  <c r="AB277" i="12"/>
  <c r="AC277" i="12"/>
  <c r="AD277" i="12"/>
  <c r="AE277" i="12"/>
  <c r="AG277" i="12" s="1"/>
  <c r="AF277" i="12"/>
  <c r="AH277" i="12"/>
  <c r="AI277" i="12"/>
  <c r="AJ277" i="12" s="1"/>
  <c r="AK277" i="12"/>
  <c r="AL277" i="12"/>
  <c r="AM277" i="12" s="1"/>
  <c r="AA278" i="12"/>
  <c r="AB278" i="12"/>
  <c r="AC278" i="12"/>
  <c r="AD278" i="12"/>
  <c r="AE278" i="12"/>
  <c r="AF278" i="12" s="1"/>
  <c r="AG278" i="12"/>
  <c r="AH278" i="12"/>
  <c r="AI278" i="12" s="1"/>
  <c r="AK278" i="12"/>
  <c r="AL278" i="12"/>
  <c r="AM278" i="12"/>
  <c r="AA279" i="12"/>
  <c r="AB279" i="12"/>
  <c r="AC279" i="12"/>
  <c r="AD279" i="12"/>
  <c r="AE279" i="12"/>
  <c r="AF279" i="12"/>
  <c r="AG279" i="12"/>
  <c r="AH279" i="12"/>
  <c r="AI279" i="12" s="1"/>
  <c r="AJ279" i="12" s="1"/>
  <c r="AK279" i="12"/>
  <c r="AL279" i="12"/>
  <c r="AM279" i="12" s="1"/>
  <c r="AA280" i="12"/>
  <c r="AB280" i="12"/>
  <c r="AC280" i="12"/>
  <c r="AD280" i="12"/>
  <c r="AE280" i="12"/>
  <c r="AK280" i="12"/>
  <c r="AL280" i="12"/>
  <c r="AM280" i="12"/>
  <c r="AA281" i="12"/>
  <c r="AB281" i="12"/>
  <c r="AC281" i="12"/>
  <c r="AD281" i="12"/>
  <c r="AE281" i="12"/>
  <c r="AK281" i="12"/>
  <c r="AL281" i="12"/>
  <c r="AM281" i="12"/>
  <c r="AA282" i="12"/>
  <c r="AB282" i="12"/>
  <c r="AC282" i="12"/>
  <c r="AD282" i="12"/>
  <c r="AE282" i="12"/>
  <c r="AK282" i="12"/>
  <c r="AL282" i="12"/>
  <c r="AM282" i="12" s="1"/>
  <c r="AA283" i="12"/>
  <c r="AB283" i="12"/>
  <c r="AC283" i="12"/>
  <c r="AD283" i="12"/>
  <c r="AE283" i="12"/>
  <c r="AF283" i="12"/>
  <c r="AH283" i="12" s="1"/>
  <c r="AI283" i="12" s="1"/>
  <c r="AG283" i="12"/>
  <c r="AJ283" i="12" s="1"/>
  <c r="AK283" i="12"/>
  <c r="AL283" i="12"/>
  <c r="AM283" i="12" s="1"/>
  <c r="AA284" i="12"/>
  <c r="AB284" i="12"/>
  <c r="AC284" i="12"/>
  <c r="AD284" i="12"/>
  <c r="AE284" i="12"/>
  <c r="AF284" i="12"/>
  <c r="AH284" i="12" s="1"/>
  <c r="AG284" i="12"/>
  <c r="AI284" i="12"/>
  <c r="AK284" i="12"/>
  <c r="AL284" i="12"/>
  <c r="AM284" i="12" s="1"/>
  <c r="AA285" i="12"/>
  <c r="AB285" i="12"/>
  <c r="AC285" i="12"/>
  <c r="AD285" i="12"/>
  <c r="AE285" i="12"/>
  <c r="AF285" i="12"/>
  <c r="AG285" i="12"/>
  <c r="AJ285" i="12" s="1"/>
  <c r="AH285" i="12"/>
  <c r="AI285" i="12" s="1"/>
  <c r="AK285" i="12"/>
  <c r="AL285" i="12"/>
  <c r="AM285" i="12" s="1"/>
  <c r="AA286" i="12"/>
  <c r="AB286" i="12"/>
  <c r="AC286" i="12"/>
  <c r="AD286" i="12"/>
  <c r="AE286" i="12"/>
  <c r="AF286" i="12"/>
  <c r="AH286" i="12" s="1"/>
  <c r="AI286" i="12" s="1"/>
  <c r="AG286" i="12"/>
  <c r="AJ286" i="12" s="1"/>
  <c r="AK286" i="12"/>
  <c r="AL286" i="12"/>
  <c r="AM286" i="12"/>
  <c r="AA287" i="12"/>
  <c r="AB287" i="12"/>
  <c r="AC287" i="12"/>
  <c r="AD287" i="12"/>
  <c r="AE287" i="12"/>
  <c r="AG287" i="12" s="1"/>
  <c r="AF287" i="12"/>
  <c r="AH287" i="12" s="1"/>
  <c r="AI287" i="12" s="1"/>
  <c r="AJ287" i="12"/>
  <c r="AK287" i="12"/>
  <c r="AL287" i="12"/>
  <c r="AM287" i="12"/>
  <c r="AA288" i="12"/>
  <c r="AB288" i="12"/>
  <c r="AC288" i="12"/>
  <c r="AD288" i="12"/>
  <c r="AE288" i="12"/>
  <c r="AK288" i="12"/>
  <c r="AL288" i="12"/>
  <c r="AM288" i="12" s="1"/>
  <c r="AA289" i="12"/>
  <c r="AB289" i="12"/>
  <c r="AC289" i="12"/>
  <c r="AD289" i="12"/>
  <c r="AE289" i="12"/>
  <c r="AF289" i="12"/>
  <c r="AG289" i="12"/>
  <c r="AJ289" i="12" s="1"/>
  <c r="AH289" i="12"/>
  <c r="AI289" i="12" s="1"/>
  <c r="AK289" i="12"/>
  <c r="AL289" i="12"/>
  <c r="AM289" i="12" s="1"/>
  <c r="AA290" i="12"/>
  <c r="AB290" i="12"/>
  <c r="AC290" i="12"/>
  <c r="AD290" i="12"/>
  <c r="AE290" i="12"/>
  <c r="AF290" i="12"/>
  <c r="AH290" i="12" s="1"/>
  <c r="AI290" i="12" s="1"/>
  <c r="AG290" i="12"/>
  <c r="AJ290" i="12" s="1"/>
  <c r="AK290" i="12"/>
  <c r="AL290" i="12"/>
  <c r="AM290" i="12"/>
  <c r="AA291" i="12"/>
  <c r="AB291" i="12"/>
  <c r="AC291" i="12"/>
  <c r="AD291" i="12"/>
  <c r="AE291" i="12"/>
  <c r="AG291" i="12" s="1"/>
  <c r="AF291" i="12"/>
  <c r="AH291" i="12" s="1"/>
  <c r="AI291" i="12" s="1"/>
  <c r="AJ291" i="12"/>
  <c r="AK291" i="12"/>
  <c r="AL291" i="12"/>
  <c r="AM291" i="12"/>
  <c r="AA292" i="12"/>
  <c r="AB292" i="12"/>
  <c r="AC292" i="12"/>
  <c r="AD292" i="12"/>
  <c r="AE292" i="12"/>
  <c r="AK292" i="12"/>
  <c r="AL292" i="12"/>
  <c r="AM292" i="12" s="1"/>
  <c r="AA293" i="12"/>
  <c r="AB293" i="12"/>
  <c r="AC293" i="12"/>
  <c r="AD293" i="12"/>
  <c r="AE293" i="12"/>
  <c r="AF293" i="12"/>
  <c r="AG293" i="12"/>
  <c r="AJ293" i="12" s="1"/>
  <c r="AH293" i="12"/>
  <c r="AI293" i="12" s="1"/>
  <c r="AK293" i="12"/>
  <c r="AL293" i="12"/>
  <c r="AM293" i="12" s="1"/>
  <c r="AA294" i="12"/>
  <c r="AB294" i="12"/>
  <c r="AC294" i="12"/>
  <c r="AD294" i="12"/>
  <c r="AE294" i="12"/>
  <c r="AF294" i="12"/>
  <c r="AH294" i="12" s="1"/>
  <c r="AI294" i="12" s="1"/>
  <c r="AG294" i="12"/>
  <c r="AJ294" i="12" s="1"/>
  <c r="AK294" i="12"/>
  <c r="AL294" i="12"/>
  <c r="AM294" i="12"/>
  <c r="AA295" i="12"/>
  <c r="AB295" i="12"/>
  <c r="AC295" i="12"/>
  <c r="AD295" i="12"/>
  <c r="AE295" i="12"/>
  <c r="AG295" i="12" s="1"/>
  <c r="AF295" i="12"/>
  <c r="AH295" i="12" s="1"/>
  <c r="AI295" i="12" s="1"/>
  <c r="AJ295" i="12"/>
  <c r="AK295" i="12"/>
  <c r="AL295" i="12"/>
  <c r="AM295" i="12"/>
  <c r="AA296" i="12"/>
  <c r="AB296" i="12"/>
  <c r="AC296" i="12"/>
  <c r="AD296" i="12"/>
  <c r="AE296" i="12"/>
  <c r="AK296" i="12"/>
  <c r="AL296" i="12"/>
  <c r="AM296" i="12" s="1"/>
  <c r="AA297" i="12"/>
  <c r="AB297" i="12"/>
  <c r="AC297" i="12"/>
  <c r="AD297" i="12"/>
  <c r="AE297" i="12"/>
  <c r="AF297" i="12"/>
  <c r="AG297" i="12"/>
  <c r="AJ297" i="12" s="1"/>
  <c r="AH297" i="12"/>
  <c r="AI297" i="12" s="1"/>
  <c r="AK297" i="12"/>
  <c r="AL297" i="12"/>
  <c r="AM297" i="12" s="1"/>
  <c r="AA298" i="12"/>
  <c r="AB298" i="12"/>
  <c r="AC298" i="12"/>
  <c r="AD298" i="12"/>
  <c r="AE298" i="12"/>
  <c r="AF298" i="12"/>
  <c r="AH298" i="12" s="1"/>
  <c r="AI298" i="12" s="1"/>
  <c r="AG298" i="12"/>
  <c r="AJ298" i="12" s="1"/>
  <c r="AK298" i="12"/>
  <c r="AL298" i="12"/>
  <c r="AM298" i="12"/>
  <c r="AA299" i="12"/>
  <c r="AB299" i="12"/>
  <c r="AC299" i="12"/>
  <c r="AD299" i="12"/>
  <c r="AE299" i="12"/>
  <c r="AG299" i="12" s="1"/>
  <c r="AF299" i="12"/>
  <c r="AH299" i="12" s="1"/>
  <c r="AI299" i="12" s="1"/>
  <c r="AJ299" i="12"/>
  <c r="AK299" i="12"/>
  <c r="AL299" i="12"/>
  <c r="AM299" i="12"/>
  <c r="AA300" i="12"/>
  <c r="AB300" i="12"/>
  <c r="AC300" i="12"/>
  <c r="AD300" i="12"/>
  <c r="AE300" i="12"/>
  <c r="AK300" i="12"/>
  <c r="AL300" i="12"/>
  <c r="AM300" i="12" s="1"/>
  <c r="AA301" i="12"/>
  <c r="AB301" i="12"/>
  <c r="AC301" i="12"/>
  <c r="AD301" i="12"/>
  <c r="AE301" i="12"/>
  <c r="AF301" i="12"/>
  <c r="AG301" i="12"/>
  <c r="AJ301" i="12" s="1"/>
  <c r="AH301" i="12"/>
  <c r="AI301" i="12" s="1"/>
  <c r="AK301" i="12"/>
  <c r="AL301" i="12"/>
  <c r="AM301" i="12" s="1"/>
  <c r="AA302" i="12"/>
  <c r="AB302" i="12"/>
  <c r="AC302" i="12"/>
  <c r="AD302" i="12"/>
  <c r="AE302" i="12"/>
  <c r="AF302" i="12"/>
  <c r="AH302" i="12" s="1"/>
  <c r="AI302" i="12" s="1"/>
  <c r="AG302" i="12"/>
  <c r="AJ302" i="12" s="1"/>
  <c r="AK302" i="12"/>
  <c r="AL302" i="12"/>
  <c r="AM302" i="12"/>
  <c r="AA303" i="12"/>
  <c r="AB303" i="12"/>
  <c r="AC303" i="12"/>
  <c r="AD303" i="12"/>
  <c r="AE303" i="12"/>
  <c r="AG303" i="12" s="1"/>
  <c r="AF303" i="12"/>
  <c r="AH303" i="12" s="1"/>
  <c r="AI303" i="12" s="1"/>
  <c r="AJ303" i="12"/>
  <c r="AK303" i="12"/>
  <c r="AL303" i="12"/>
  <c r="AM303" i="12"/>
  <c r="AA304" i="12"/>
  <c r="AB304" i="12"/>
  <c r="AC304" i="12"/>
  <c r="AD304" i="12"/>
  <c r="AE304" i="12"/>
  <c r="AK304" i="12"/>
  <c r="AL304" i="12"/>
  <c r="AM304" i="12" s="1"/>
  <c r="AA305" i="12"/>
  <c r="AB305" i="12"/>
  <c r="AC305" i="12"/>
  <c r="AD305" i="12"/>
  <c r="AE305" i="12"/>
  <c r="AF305" i="12"/>
  <c r="AG305" i="12"/>
  <c r="AJ305" i="12" s="1"/>
  <c r="AH305" i="12"/>
  <c r="AI305" i="12" s="1"/>
  <c r="AK305" i="12"/>
  <c r="AL305" i="12"/>
  <c r="AM305" i="12" s="1"/>
  <c r="AA306" i="12"/>
  <c r="AB306" i="12"/>
  <c r="AC306" i="12"/>
  <c r="AD306" i="12"/>
  <c r="AE306" i="12"/>
  <c r="AF306" i="12"/>
  <c r="AH306" i="12" s="1"/>
  <c r="AI306" i="12" s="1"/>
  <c r="AG306" i="12"/>
  <c r="AJ306" i="12" s="1"/>
  <c r="AK306" i="12"/>
  <c r="AL306" i="12"/>
  <c r="AM306" i="12"/>
  <c r="AA307" i="12"/>
  <c r="AB307" i="12"/>
  <c r="AC307" i="12"/>
  <c r="AD307" i="12"/>
  <c r="AE307" i="12"/>
  <c r="AG307" i="12" s="1"/>
  <c r="AF307" i="12"/>
  <c r="AH307" i="12" s="1"/>
  <c r="AI307" i="12" s="1"/>
  <c r="AJ307" i="12"/>
  <c r="AK307" i="12"/>
  <c r="AL307" i="12"/>
  <c r="AM307" i="12"/>
  <c r="AA308" i="12"/>
  <c r="AB308" i="12"/>
  <c r="AC308" i="12"/>
  <c r="AD308" i="12"/>
  <c r="AE308" i="12"/>
  <c r="AK308" i="12"/>
  <c r="AL308" i="12"/>
  <c r="AM308" i="12" s="1"/>
  <c r="AA309" i="12"/>
  <c r="AB309" i="12"/>
  <c r="AC309" i="12"/>
  <c r="AD309" i="12"/>
  <c r="AE309" i="12"/>
  <c r="AF309" i="12"/>
  <c r="AG309" i="12"/>
  <c r="AJ309" i="12" s="1"/>
  <c r="AH309" i="12"/>
  <c r="AI309" i="12" s="1"/>
  <c r="AK309" i="12"/>
  <c r="AL309" i="12"/>
  <c r="AM309" i="12" s="1"/>
  <c r="AA310" i="12"/>
  <c r="AB310" i="12"/>
  <c r="AC310" i="12"/>
  <c r="AD310" i="12"/>
  <c r="AE310" i="12"/>
  <c r="AF310" i="12"/>
  <c r="AH310" i="12" s="1"/>
  <c r="AI310" i="12" s="1"/>
  <c r="AG310" i="12"/>
  <c r="AJ310" i="12" s="1"/>
  <c r="AK310" i="12"/>
  <c r="AL310" i="12"/>
  <c r="AM310" i="12"/>
  <c r="AA311" i="12"/>
  <c r="AB311" i="12"/>
  <c r="AC311" i="12"/>
  <c r="AD311" i="12"/>
  <c r="AE311" i="12"/>
  <c r="AG311" i="12" s="1"/>
  <c r="AF311" i="12"/>
  <c r="AH311" i="12" s="1"/>
  <c r="AI311" i="12" s="1"/>
  <c r="AJ311" i="12"/>
  <c r="AK311" i="12"/>
  <c r="AL311" i="12"/>
  <c r="AM311" i="12"/>
  <c r="AA312" i="12"/>
  <c r="AB312" i="12"/>
  <c r="AC312" i="12"/>
  <c r="AD312" i="12"/>
  <c r="AE312" i="12"/>
  <c r="AK312" i="12"/>
  <c r="AL312" i="12"/>
  <c r="AM312" i="12" s="1"/>
  <c r="AA313" i="12"/>
  <c r="AB313" i="12"/>
  <c r="AC313" i="12"/>
  <c r="AD313" i="12"/>
  <c r="AE313" i="12"/>
  <c r="AF313" i="12"/>
  <c r="AG313" i="12"/>
  <c r="AJ313" i="12" s="1"/>
  <c r="AH313" i="12"/>
  <c r="AI313" i="12" s="1"/>
  <c r="AK313" i="12"/>
  <c r="AL313" i="12"/>
  <c r="AM313" i="12" s="1"/>
  <c r="AA314" i="12"/>
  <c r="AB314" i="12"/>
  <c r="AC314" i="12"/>
  <c r="AD314" i="12"/>
  <c r="AE314" i="12"/>
  <c r="AF314" i="12"/>
  <c r="AH314" i="12" s="1"/>
  <c r="AI314" i="12" s="1"/>
  <c r="AG314" i="12"/>
  <c r="AJ314" i="12" s="1"/>
  <c r="AK314" i="12"/>
  <c r="AL314" i="12"/>
  <c r="AM314" i="12"/>
  <c r="AA315" i="12"/>
  <c r="AB315" i="12"/>
  <c r="AC315" i="12"/>
  <c r="AD315" i="12"/>
  <c r="AE315" i="12"/>
  <c r="AG315" i="12" s="1"/>
  <c r="AF315" i="12"/>
  <c r="AH315" i="12" s="1"/>
  <c r="AI315" i="12" s="1"/>
  <c r="AJ315" i="12"/>
  <c r="AK315" i="12"/>
  <c r="AL315" i="12"/>
  <c r="AM315" i="12"/>
  <c r="AA316" i="12"/>
  <c r="AB316" i="12"/>
  <c r="AC316" i="12"/>
  <c r="AD316" i="12"/>
  <c r="AE316" i="12"/>
  <c r="AK316" i="12"/>
  <c r="AL316" i="12"/>
  <c r="AM316" i="12" s="1"/>
  <c r="AA317" i="12"/>
  <c r="AB317" i="12"/>
  <c r="AC317" i="12"/>
  <c r="AD317" i="12"/>
  <c r="AE317" i="12"/>
  <c r="AF317" i="12"/>
  <c r="AG317" i="12"/>
  <c r="AJ317" i="12" s="1"/>
  <c r="AH317" i="12"/>
  <c r="AI317" i="12" s="1"/>
  <c r="AK317" i="12"/>
  <c r="AL317" i="12"/>
  <c r="AM317" i="12" s="1"/>
  <c r="AA318" i="12"/>
  <c r="AB318" i="12"/>
  <c r="AC318" i="12"/>
  <c r="AD318" i="12"/>
  <c r="AE318" i="12"/>
  <c r="AF318" i="12"/>
  <c r="AH318" i="12" s="1"/>
  <c r="AI318" i="12" s="1"/>
  <c r="AG318" i="12"/>
  <c r="AJ318" i="12" s="1"/>
  <c r="AK318" i="12"/>
  <c r="AL318" i="12"/>
  <c r="AM318" i="12"/>
  <c r="AA319" i="12"/>
  <c r="AB319" i="12"/>
  <c r="AC319" i="12"/>
  <c r="AD319" i="12"/>
  <c r="AE319" i="12"/>
  <c r="AG319" i="12" s="1"/>
  <c r="AF319" i="12"/>
  <c r="AH319" i="12" s="1"/>
  <c r="AI319" i="12" s="1"/>
  <c r="AJ319" i="12"/>
  <c r="AK319" i="12"/>
  <c r="AL319" i="12"/>
  <c r="AM319" i="12"/>
  <c r="AA320" i="12"/>
  <c r="AB320" i="12"/>
  <c r="AC320" i="12"/>
  <c r="AD320" i="12"/>
  <c r="AE320" i="12"/>
  <c r="AK320" i="12"/>
  <c r="AL320" i="12"/>
  <c r="AM320" i="12" s="1"/>
  <c r="AA321" i="12"/>
  <c r="AB321" i="12"/>
  <c r="AC321" i="12"/>
  <c r="AD321" i="12"/>
  <c r="AE321" i="12"/>
  <c r="AF321" i="12"/>
  <c r="AG321" i="12"/>
  <c r="AJ321" i="12" s="1"/>
  <c r="AH321" i="12"/>
  <c r="AI321" i="12" s="1"/>
  <c r="AK321" i="12"/>
  <c r="AL321" i="12"/>
  <c r="AM321" i="12" s="1"/>
  <c r="AA322" i="12"/>
  <c r="AB322" i="12"/>
  <c r="AC322" i="12"/>
  <c r="AD322" i="12"/>
  <c r="AE322" i="12"/>
  <c r="AF322" i="12"/>
  <c r="AH322" i="12" s="1"/>
  <c r="AI322" i="12" s="1"/>
  <c r="AG322" i="12"/>
  <c r="AJ322" i="12" s="1"/>
  <c r="AK322" i="12"/>
  <c r="AL322" i="12"/>
  <c r="AM322" i="12"/>
  <c r="AA323" i="12"/>
  <c r="AB323" i="12"/>
  <c r="AC323" i="12"/>
  <c r="AD323" i="12"/>
  <c r="AE323" i="12"/>
  <c r="AG323" i="12" s="1"/>
  <c r="AF323" i="12"/>
  <c r="AH323" i="12" s="1"/>
  <c r="AI323" i="12" s="1"/>
  <c r="AJ323" i="12"/>
  <c r="AK323" i="12"/>
  <c r="AL323" i="12"/>
  <c r="AM323" i="12"/>
  <c r="AA324" i="12"/>
  <c r="AB324" i="12"/>
  <c r="AC324" i="12"/>
  <c r="AD324" i="12"/>
  <c r="AE324" i="12"/>
  <c r="AK324" i="12"/>
  <c r="AL324" i="12"/>
  <c r="AM324" i="12" s="1"/>
  <c r="AA325" i="12"/>
  <c r="AB325" i="12"/>
  <c r="AC325" i="12"/>
  <c r="AD325" i="12"/>
  <c r="AE325" i="12"/>
  <c r="AF325" i="12"/>
  <c r="AG325" i="12"/>
  <c r="AJ325" i="12" s="1"/>
  <c r="AH325" i="12"/>
  <c r="AI325" i="12" s="1"/>
  <c r="AK325" i="12"/>
  <c r="AL325" i="12"/>
  <c r="AM325" i="12" s="1"/>
  <c r="AA326" i="12"/>
  <c r="AB326" i="12"/>
  <c r="AC326" i="12"/>
  <c r="AD326" i="12"/>
  <c r="AE326" i="12"/>
  <c r="AF326" i="12"/>
  <c r="AH326" i="12" s="1"/>
  <c r="AI326" i="12" s="1"/>
  <c r="AG326" i="12"/>
  <c r="AJ326" i="12" s="1"/>
  <c r="AK326" i="12"/>
  <c r="AL326" i="12"/>
  <c r="AM326" i="12"/>
  <c r="AA327" i="12"/>
  <c r="AB327" i="12"/>
  <c r="AC327" i="12"/>
  <c r="AD327" i="12"/>
  <c r="AE327" i="12"/>
  <c r="AG327" i="12" s="1"/>
  <c r="AF327" i="12"/>
  <c r="AH327" i="12" s="1"/>
  <c r="AI327" i="12" s="1"/>
  <c r="AJ327" i="12"/>
  <c r="AK327" i="12"/>
  <c r="AL327" i="12"/>
  <c r="AM327" i="12"/>
  <c r="AA328" i="12"/>
  <c r="AB328" i="12"/>
  <c r="AC328" i="12"/>
  <c r="AD328" i="12"/>
  <c r="AE328" i="12"/>
  <c r="AK328" i="12"/>
  <c r="AL328" i="12"/>
  <c r="AM328" i="12" s="1"/>
  <c r="AA329" i="12"/>
  <c r="AB329" i="12"/>
  <c r="AC329" i="12"/>
  <c r="AD329" i="12"/>
  <c r="AE329" i="12"/>
  <c r="AF329" i="12"/>
  <c r="AG329" i="12"/>
  <c r="AJ329" i="12" s="1"/>
  <c r="AH329" i="12"/>
  <c r="AI329" i="12" s="1"/>
  <c r="AK329" i="12"/>
  <c r="AL329" i="12"/>
  <c r="AM329" i="12" s="1"/>
  <c r="AA330" i="12"/>
  <c r="AB330" i="12"/>
  <c r="AC330" i="12"/>
  <c r="AD330" i="12"/>
  <c r="AE330" i="12"/>
  <c r="AF330" i="12"/>
  <c r="AH330" i="12" s="1"/>
  <c r="AI330" i="12" s="1"/>
  <c r="AG330" i="12"/>
  <c r="AJ330" i="12" s="1"/>
  <c r="AK330" i="12"/>
  <c r="AL330" i="12"/>
  <c r="AM330" i="12"/>
  <c r="AA331" i="12"/>
  <c r="AB331" i="12"/>
  <c r="AC331" i="12"/>
  <c r="AD331" i="12"/>
  <c r="AE331" i="12"/>
  <c r="AG331" i="12" s="1"/>
  <c r="AF331" i="12"/>
  <c r="AH331" i="12" s="1"/>
  <c r="AI331" i="12" s="1"/>
  <c r="AJ331" i="12"/>
  <c r="AK331" i="12"/>
  <c r="AL331" i="12"/>
  <c r="AM331" i="12"/>
  <c r="AA332" i="12"/>
  <c r="AB332" i="12"/>
  <c r="AC332" i="12"/>
  <c r="AD332" i="12"/>
  <c r="AE332" i="12"/>
  <c r="AK332" i="12"/>
  <c r="AL332" i="12"/>
  <c r="AM332" i="12" s="1"/>
  <c r="AA333" i="12"/>
  <c r="AB333" i="12"/>
  <c r="AC333" i="12"/>
  <c r="AD333" i="12"/>
  <c r="AE333" i="12"/>
  <c r="AF333" i="12"/>
  <c r="AG333" i="12"/>
  <c r="AJ333" i="12" s="1"/>
  <c r="AH333" i="12"/>
  <c r="AI333" i="12" s="1"/>
  <c r="AK333" i="12"/>
  <c r="AL333" i="12"/>
  <c r="AM333" i="12" s="1"/>
  <c r="AA334" i="12"/>
  <c r="AB334" i="12"/>
  <c r="AC334" i="12"/>
  <c r="AD334" i="12"/>
  <c r="AE334" i="12"/>
  <c r="AF334" i="12"/>
  <c r="AH334" i="12" s="1"/>
  <c r="AI334" i="12" s="1"/>
  <c r="AG334" i="12"/>
  <c r="AJ334" i="12" s="1"/>
  <c r="AK334" i="12"/>
  <c r="AL334" i="12"/>
  <c r="AM334" i="12"/>
  <c r="AA335" i="12"/>
  <c r="AB335" i="12"/>
  <c r="AC335" i="12"/>
  <c r="AD335" i="12"/>
  <c r="AE335" i="12"/>
  <c r="AG335" i="12" s="1"/>
  <c r="AF335" i="12"/>
  <c r="AH335" i="12" s="1"/>
  <c r="AI335" i="12" s="1"/>
  <c r="AJ335" i="12"/>
  <c r="AK335" i="12"/>
  <c r="AL335" i="12"/>
  <c r="AM335" i="12"/>
  <c r="AA336" i="12"/>
  <c r="AB336" i="12"/>
  <c r="AC336" i="12"/>
  <c r="AD336" i="12"/>
  <c r="AE336" i="12"/>
  <c r="AK336" i="12"/>
  <c r="AL336" i="12"/>
  <c r="AM336" i="12" s="1"/>
  <c r="AA337" i="12"/>
  <c r="AB337" i="12"/>
  <c r="AC337" i="12"/>
  <c r="AD337" i="12"/>
  <c r="AE337" i="12"/>
  <c r="AF337" i="12"/>
  <c r="AG337" i="12"/>
  <c r="AJ337" i="12" s="1"/>
  <c r="AH337" i="12"/>
  <c r="AI337" i="12" s="1"/>
  <c r="AK337" i="12"/>
  <c r="AL337" i="12"/>
  <c r="AM337" i="12" s="1"/>
  <c r="AA338" i="12"/>
  <c r="AB338" i="12"/>
  <c r="AC338" i="12"/>
  <c r="AD338" i="12"/>
  <c r="AE338" i="12"/>
  <c r="AF338" i="12"/>
  <c r="AH338" i="12" s="1"/>
  <c r="AI338" i="12" s="1"/>
  <c r="AG338" i="12"/>
  <c r="AJ338" i="12" s="1"/>
  <c r="AK338" i="12"/>
  <c r="AL338" i="12"/>
  <c r="AM338" i="12"/>
  <c r="AA339" i="12"/>
  <c r="AB339" i="12"/>
  <c r="AC339" i="12"/>
  <c r="AD339" i="12"/>
  <c r="AE339" i="12"/>
  <c r="AG339" i="12" s="1"/>
  <c r="AF339" i="12"/>
  <c r="AH339" i="12" s="1"/>
  <c r="AI339" i="12"/>
  <c r="AJ339" i="12" s="1"/>
  <c r="AK339" i="12"/>
  <c r="AL339" i="12"/>
  <c r="AM339" i="12"/>
  <c r="AA340" i="12"/>
  <c r="AB340" i="12"/>
  <c r="AC340" i="12"/>
  <c r="AD340" i="12"/>
  <c r="AE340" i="12"/>
  <c r="AK340" i="12"/>
  <c r="AL340" i="12"/>
  <c r="AM340" i="12" s="1"/>
  <c r="AA341" i="12"/>
  <c r="AB341" i="12"/>
  <c r="AC341" i="12"/>
  <c r="AD341" i="12"/>
  <c r="AE341" i="12"/>
  <c r="AF341" i="12"/>
  <c r="AG341" i="12"/>
  <c r="AJ341" i="12" s="1"/>
  <c r="AH341" i="12"/>
  <c r="AI341" i="12" s="1"/>
  <c r="AK341" i="12"/>
  <c r="AL341" i="12"/>
  <c r="AM341" i="12" s="1"/>
  <c r="AA342" i="12"/>
  <c r="AB342" i="12"/>
  <c r="AC342" i="12"/>
  <c r="AD342" i="12"/>
  <c r="AE342" i="12"/>
  <c r="AF342" i="12"/>
  <c r="AH342" i="12" s="1"/>
  <c r="AI342" i="12" s="1"/>
  <c r="AG342" i="12"/>
  <c r="AJ342" i="12"/>
  <c r="AK342" i="12"/>
  <c r="AL342" i="12"/>
  <c r="AM342" i="12"/>
  <c r="AA343" i="12"/>
  <c r="AB343" i="12"/>
  <c r="AC343" i="12"/>
  <c r="AD343" i="12"/>
  <c r="AE343" i="12"/>
  <c r="AK343" i="12"/>
  <c r="AL343" i="12"/>
  <c r="AM343" i="12"/>
  <c r="AA344" i="12"/>
  <c r="AB344" i="12"/>
  <c r="AC344" i="12"/>
  <c r="AD344" i="12"/>
  <c r="AE344" i="12"/>
  <c r="AK344" i="12"/>
  <c r="AL344" i="12"/>
  <c r="AM344" i="12" s="1"/>
  <c r="AA345" i="12"/>
  <c r="AB345" i="12"/>
  <c r="AC345" i="12"/>
  <c r="AD345" i="12"/>
  <c r="AE345" i="12"/>
  <c r="AF345" i="12"/>
  <c r="AG345" i="12"/>
  <c r="AJ345" i="12" s="1"/>
  <c r="AH345" i="12"/>
  <c r="AI345" i="12" s="1"/>
  <c r="AK345" i="12"/>
  <c r="AL345" i="12"/>
  <c r="AM345" i="12" s="1"/>
  <c r="AA346" i="12"/>
  <c r="AB346" i="12"/>
  <c r="AC346" i="12"/>
  <c r="AD346" i="12"/>
  <c r="AE346" i="12"/>
  <c r="AF346" i="12"/>
  <c r="AH346" i="12" s="1"/>
  <c r="AI346" i="12" s="1"/>
  <c r="AG346" i="12"/>
  <c r="AJ346" i="12" s="1"/>
  <c r="AK346" i="12"/>
  <c r="AL346" i="12"/>
  <c r="AM346" i="12"/>
  <c r="AA347" i="12"/>
  <c r="AB347" i="12"/>
  <c r="AC347" i="12"/>
  <c r="AD347" i="12"/>
  <c r="AE347" i="12"/>
  <c r="AG347" i="12" s="1"/>
  <c r="AF347" i="12"/>
  <c r="AH347" i="12" s="1"/>
  <c r="AI347" i="12"/>
  <c r="AJ347" i="12" s="1"/>
  <c r="AK347" i="12"/>
  <c r="AL347" i="12"/>
  <c r="AM347" i="12"/>
  <c r="AA348" i="12"/>
  <c r="AB348" i="12"/>
  <c r="AC348" i="12"/>
  <c r="AD348" i="12"/>
  <c r="AE348" i="12"/>
  <c r="AK348" i="12"/>
  <c r="AL348" i="12"/>
  <c r="AM348" i="12" s="1"/>
  <c r="AA349" i="12"/>
  <c r="AB349" i="12"/>
  <c r="AC349" i="12"/>
  <c r="AD349" i="12"/>
  <c r="AE349" i="12"/>
  <c r="AF349" i="12"/>
  <c r="AG349" i="12"/>
  <c r="AJ349" i="12" s="1"/>
  <c r="AH349" i="12"/>
  <c r="AI349" i="12" s="1"/>
  <c r="AK349" i="12"/>
  <c r="AL349" i="12"/>
  <c r="AM349" i="12" s="1"/>
  <c r="AA350" i="12"/>
  <c r="AB350" i="12"/>
  <c r="AC350" i="12"/>
  <c r="AD350" i="12"/>
  <c r="AE350" i="12"/>
  <c r="AF350" i="12"/>
  <c r="AH350" i="12" s="1"/>
  <c r="AI350" i="12" s="1"/>
  <c r="AG350" i="12"/>
  <c r="AJ350" i="12"/>
  <c r="AK350" i="12"/>
  <c r="AL350" i="12"/>
  <c r="AM350" i="12"/>
  <c r="AA351" i="12"/>
  <c r="AB351" i="12"/>
  <c r="AC351" i="12"/>
  <c r="AD351" i="12"/>
  <c r="AE351" i="12"/>
  <c r="AK351" i="12"/>
  <c r="AL351" i="12"/>
  <c r="AM351" i="12"/>
  <c r="AA352" i="12"/>
  <c r="AB352" i="12"/>
  <c r="AC352" i="12"/>
  <c r="AD352" i="12"/>
  <c r="AE352" i="12"/>
  <c r="AK352" i="12"/>
  <c r="AL352" i="12"/>
  <c r="AM352" i="12" s="1"/>
  <c r="AA353" i="12"/>
  <c r="AB353" i="12"/>
  <c r="AC353" i="12"/>
  <c r="AD353" i="12"/>
  <c r="AE353" i="12"/>
  <c r="AF353" i="12"/>
  <c r="AG353" i="12"/>
  <c r="AJ353" i="12" s="1"/>
  <c r="AH353" i="12"/>
  <c r="AI353" i="12" s="1"/>
  <c r="AK353" i="12"/>
  <c r="AL353" i="12"/>
  <c r="AM353" i="12" s="1"/>
  <c r="AA354" i="12"/>
  <c r="AB354" i="12"/>
  <c r="AC354" i="12"/>
  <c r="AD354" i="12"/>
  <c r="AE354" i="12"/>
  <c r="AF354" i="12"/>
  <c r="AH354" i="12" s="1"/>
  <c r="AI354" i="12" s="1"/>
  <c r="AG354" i="12"/>
  <c r="AJ354" i="12" s="1"/>
  <c r="AK354" i="12"/>
  <c r="AL354" i="12"/>
  <c r="AM354" i="12"/>
  <c r="AA355" i="12"/>
  <c r="AB355" i="12"/>
  <c r="AC355" i="12"/>
  <c r="AD355" i="12"/>
  <c r="AE355" i="12"/>
  <c r="AG355" i="12" s="1"/>
  <c r="AF355" i="12"/>
  <c r="AH355" i="12" s="1"/>
  <c r="AI355" i="12"/>
  <c r="AJ355" i="12" s="1"/>
  <c r="AK355" i="12"/>
  <c r="AL355" i="12"/>
  <c r="AM355" i="12"/>
  <c r="AA356" i="12"/>
  <c r="AB356" i="12"/>
  <c r="AC356" i="12"/>
  <c r="AD356" i="12"/>
  <c r="AE356" i="12"/>
  <c r="AK356" i="12"/>
  <c r="AL356" i="12"/>
  <c r="AM356" i="12" s="1"/>
  <c r="AA357" i="12"/>
  <c r="AB357" i="12"/>
  <c r="AC357" i="12"/>
  <c r="AD357" i="12"/>
  <c r="AE357" i="12"/>
  <c r="AF357" i="12"/>
  <c r="AG357" i="12"/>
  <c r="AJ357" i="12" s="1"/>
  <c r="AH357" i="12"/>
  <c r="AI357" i="12" s="1"/>
  <c r="AK357" i="12"/>
  <c r="AL357" i="12"/>
  <c r="AM357" i="12" s="1"/>
  <c r="AA358" i="12"/>
  <c r="AB358" i="12"/>
  <c r="AC358" i="12"/>
  <c r="AD358" i="12"/>
  <c r="AE358" i="12"/>
  <c r="AF358" i="12"/>
  <c r="AH358" i="12" s="1"/>
  <c r="AI358" i="12" s="1"/>
  <c r="AG358" i="12"/>
  <c r="AJ358" i="12"/>
  <c r="AK358" i="12"/>
  <c r="AL358" i="12"/>
  <c r="AM358" i="12"/>
  <c r="AA359" i="12"/>
  <c r="AB359" i="12"/>
  <c r="AC359" i="12"/>
  <c r="AD359" i="12"/>
  <c r="AE359" i="12"/>
  <c r="AK359" i="12"/>
  <c r="AL359" i="12"/>
  <c r="AM359" i="12"/>
  <c r="AA360" i="12"/>
  <c r="AB360" i="12"/>
  <c r="AC360" i="12"/>
  <c r="AD360" i="12"/>
  <c r="AE360" i="12"/>
  <c r="AK360" i="12"/>
  <c r="AL360" i="12"/>
  <c r="AM360" i="12" s="1"/>
  <c r="AA361" i="12"/>
  <c r="AB361" i="12"/>
  <c r="AC361" i="12"/>
  <c r="AD361" i="12"/>
  <c r="AE361" i="12"/>
  <c r="AF361" i="12"/>
  <c r="AG361" i="12"/>
  <c r="AJ361" i="12" s="1"/>
  <c r="AH361" i="12"/>
  <c r="AI361" i="12" s="1"/>
  <c r="AK361" i="12"/>
  <c r="AL361" i="12"/>
  <c r="AM361" i="12" s="1"/>
  <c r="AA362" i="12"/>
  <c r="AB362" i="12"/>
  <c r="AC362" i="12"/>
  <c r="AD362" i="12"/>
  <c r="AE362" i="12"/>
  <c r="AF362" i="12"/>
  <c r="AH362" i="12" s="1"/>
  <c r="AI362" i="12" s="1"/>
  <c r="AG362" i="12"/>
  <c r="AJ362" i="12" s="1"/>
  <c r="AK362" i="12"/>
  <c r="AL362" i="12"/>
  <c r="AM362" i="12"/>
  <c r="AA363" i="12"/>
  <c r="AB363" i="12"/>
  <c r="AC363" i="12"/>
  <c r="AD363" i="12"/>
  <c r="AE363" i="12"/>
  <c r="AG363" i="12" s="1"/>
  <c r="AF363" i="12"/>
  <c r="AH363" i="12" s="1"/>
  <c r="AI363" i="12"/>
  <c r="AJ363" i="12" s="1"/>
  <c r="AK363" i="12"/>
  <c r="AL363" i="12"/>
  <c r="AM363" i="12"/>
  <c r="AA364" i="12"/>
  <c r="AB364" i="12"/>
  <c r="AC364" i="12"/>
  <c r="AD364" i="12"/>
  <c r="AE364" i="12"/>
  <c r="AK364" i="12"/>
  <c r="AL364" i="12"/>
  <c r="AM364" i="12" s="1"/>
  <c r="AA365" i="12"/>
  <c r="AB365" i="12"/>
  <c r="AC365" i="12"/>
  <c r="AD365" i="12"/>
  <c r="AE365" i="12"/>
  <c r="AF365" i="12"/>
  <c r="AG365" i="12"/>
  <c r="AJ365" i="12" s="1"/>
  <c r="AH365" i="12"/>
  <c r="AI365" i="12" s="1"/>
  <c r="AK365" i="12"/>
  <c r="AL365" i="12"/>
  <c r="AM365" i="12" s="1"/>
  <c r="AA366" i="12"/>
  <c r="AB366" i="12"/>
  <c r="AC366" i="12"/>
  <c r="AD366" i="12"/>
  <c r="AE366" i="12"/>
  <c r="AF366" i="12"/>
  <c r="AH366" i="12" s="1"/>
  <c r="AI366" i="12" s="1"/>
  <c r="AG366" i="12"/>
  <c r="AJ366" i="12"/>
  <c r="AK366" i="12"/>
  <c r="AL366" i="12"/>
  <c r="AM366" i="12"/>
  <c r="AA367" i="12"/>
  <c r="AB367" i="12"/>
  <c r="AC367" i="12"/>
  <c r="AD367" i="12"/>
  <c r="AE367" i="12"/>
  <c r="AK367" i="12"/>
  <c r="AL367" i="12"/>
  <c r="AM367" i="12"/>
  <c r="AA368" i="12"/>
  <c r="AB368" i="12"/>
  <c r="AC368" i="12"/>
  <c r="AD368" i="12"/>
  <c r="AE368" i="12"/>
  <c r="AK368" i="12"/>
  <c r="AL368" i="12"/>
  <c r="AM368" i="12" s="1"/>
  <c r="AA369" i="12"/>
  <c r="AB369" i="12"/>
  <c r="AC369" i="12"/>
  <c r="AD369" i="12"/>
  <c r="AE369" i="12"/>
  <c r="AF369" i="12"/>
  <c r="AG369" i="12"/>
  <c r="AJ369" i="12" s="1"/>
  <c r="AH369" i="12"/>
  <c r="AI369" i="12" s="1"/>
  <c r="AK369" i="12"/>
  <c r="AL369" i="12"/>
  <c r="AM369" i="12" s="1"/>
  <c r="AA370" i="12"/>
  <c r="AB370" i="12"/>
  <c r="AC370" i="12"/>
  <c r="AD370" i="12"/>
  <c r="AE370" i="12"/>
  <c r="AF370" i="12"/>
  <c r="AH370" i="12" s="1"/>
  <c r="AI370" i="12" s="1"/>
  <c r="AG370" i="12"/>
  <c r="AJ370" i="12" s="1"/>
  <c r="AK370" i="12"/>
  <c r="AL370" i="12"/>
  <c r="AM370" i="12"/>
  <c r="AA371" i="12"/>
  <c r="AB371" i="12"/>
  <c r="AC371" i="12"/>
  <c r="AD371" i="12"/>
  <c r="AE371" i="12"/>
  <c r="AG371" i="12" s="1"/>
  <c r="AF371" i="12"/>
  <c r="AH371" i="12" s="1"/>
  <c r="AI371" i="12"/>
  <c r="AJ371" i="12" s="1"/>
  <c r="AK371" i="12"/>
  <c r="AL371" i="12"/>
  <c r="AM371" i="12"/>
  <c r="AA372" i="12"/>
  <c r="AB372" i="12"/>
  <c r="AC372" i="12"/>
  <c r="AD372" i="12"/>
  <c r="AE372" i="12"/>
  <c r="AK372" i="12"/>
  <c r="AL372" i="12"/>
  <c r="AM372" i="12" s="1"/>
  <c r="AA373" i="12"/>
  <c r="AB373" i="12"/>
  <c r="AC373" i="12"/>
  <c r="AD373" i="12"/>
  <c r="AE373" i="12"/>
  <c r="AF373" i="12"/>
  <c r="AG373" i="12"/>
  <c r="AJ373" i="12" s="1"/>
  <c r="AH373" i="12"/>
  <c r="AI373" i="12" s="1"/>
  <c r="AK373" i="12"/>
  <c r="AL373" i="12"/>
  <c r="AM373" i="12" s="1"/>
  <c r="AA374" i="12"/>
  <c r="AB374" i="12"/>
  <c r="AC374" i="12"/>
  <c r="AD374" i="12"/>
  <c r="AE374" i="12"/>
  <c r="AF374" i="12"/>
  <c r="AH374" i="12" s="1"/>
  <c r="AI374" i="12" s="1"/>
  <c r="AG374" i="12"/>
  <c r="AJ374" i="12"/>
  <c r="AK374" i="12"/>
  <c r="AL374" i="12"/>
  <c r="AM374" i="12"/>
  <c r="AA375" i="12"/>
  <c r="AB375" i="12"/>
  <c r="AC375" i="12"/>
  <c r="AD375" i="12"/>
  <c r="AE375" i="12"/>
  <c r="AK375" i="12"/>
  <c r="AL375" i="12"/>
  <c r="AM375" i="12"/>
  <c r="AA376" i="12"/>
  <c r="AB376" i="12"/>
  <c r="AC376" i="12"/>
  <c r="AD376" i="12"/>
  <c r="AE376" i="12"/>
  <c r="AK376" i="12"/>
  <c r="AL376" i="12"/>
  <c r="AM376" i="12" s="1"/>
  <c r="AA377" i="12"/>
  <c r="AB377" i="12"/>
  <c r="AC377" i="12"/>
  <c r="AD377" i="12"/>
  <c r="AE377" i="12"/>
  <c r="AF377" i="12"/>
  <c r="AG377" i="12"/>
  <c r="AJ377" i="12" s="1"/>
  <c r="AH377" i="12"/>
  <c r="AI377" i="12" s="1"/>
  <c r="AK377" i="12"/>
  <c r="AL377" i="12"/>
  <c r="AM377" i="12" s="1"/>
  <c r="AA378" i="12"/>
  <c r="AB378" i="12"/>
  <c r="AC378" i="12"/>
  <c r="AD378" i="12"/>
  <c r="AE378" i="12"/>
  <c r="AF378" i="12"/>
  <c r="AH378" i="12" s="1"/>
  <c r="AI378" i="12" s="1"/>
  <c r="AG378" i="12"/>
  <c r="AJ378" i="12" s="1"/>
  <c r="AK378" i="12"/>
  <c r="AL378" i="12"/>
  <c r="AM378" i="12"/>
  <c r="AA379" i="12"/>
  <c r="AB379" i="12"/>
  <c r="AC379" i="12"/>
  <c r="AD379" i="12"/>
  <c r="AE379" i="12"/>
  <c r="AG379" i="12" s="1"/>
  <c r="AF379" i="12"/>
  <c r="AH379" i="12" s="1"/>
  <c r="AI379" i="12"/>
  <c r="AJ379" i="12" s="1"/>
  <c r="AK379" i="12"/>
  <c r="AL379" i="12"/>
  <c r="AM379" i="12"/>
  <c r="AA380" i="12"/>
  <c r="AB380" i="12"/>
  <c r="AC380" i="12"/>
  <c r="AD380" i="12"/>
  <c r="AE380" i="12"/>
  <c r="AK380" i="12"/>
  <c r="AL380" i="12"/>
  <c r="AM380" i="12" s="1"/>
  <c r="AA381" i="12"/>
  <c r="AB381" i="12"/>
  <c r="AC381" i="12"/>
  <c r="AD381" i="12"/>
  <c r="AE381" i="12"/>
  <c r="AF381" i="12"/>
  <c r="AG381" i="12"/>
  <c r="AJ381" i="12" s="1"/>
  <c r="AH381" i="12"/>
  <c r="AI381" i="12" s="1"/>
  <c r="AK381" i="12"/>
  <c r="AL381" i="12"/>
  <c r="AM381" i="12" s="1"/>
  <c r="AA382" i="12"/>
  <c r="AB382" i="12"/>
  <c r="AC382" i="12"/>
  <c r="AD382" i="12"/>
  <c r="AE382" i="12"/>
  <c r="AF382" i="12"/>
  <c r="AH382" i="12" s="1"/>
  <c r="AI382" i="12" s="1"/>
  <c r="AG382" i="12"/>
  <c r="AJ382" i="12"/>
  <c r="AK382" i="12"/>
  <c r="AL382" i="12"/>
  <c r="AM382" i="12"/>
  <c r="AA383" i="12"/>
  <c r="AB383" i="12"/>
  <c r="AC383" i="12"/>
  <c r="AD383" i="12"/>
  <c r="AE383" i="12"/>
  <c r="AK383" i="12"/>
  <c r="AL383" i="12"/>
  <c r="AM383" i="12"/>
  <c r="AA384" i="12"/>
  <c r="AB384" i="12"/>
  <c r="AC384" i="12"/>
  <c r="AD384" i="12"/>
  <c r="AE384" i="12"/>
  <c r="AK384" i="12"/>
  <c r="AL384" i="12"/>
  <c r="AM384" i="12" s="1"/>
  <c r="AA385" i="12"/>
  <c r="AB385" i="12"/>
  <c r="AC385" i="12"/>
  <c r="AD385" i="12"/>
  <c r="AE385" i="12"/>
  <c r="AF385" i="12"/>
  <c r="AG385" i="12"/>
  <c r="AJ385" i="12" s="1"/>
  <c r="AH385" i="12"/>
  <c r="AI385" i="12" s="1"/>
  <c r="AK385" i="12"/>
  <c r="AL385" i="12"/>
  <c r="AM385" i="12" s="1"/>
  <c r="AA386" i="12"/>
  <c r="AB386" i="12"/>
  <c r="AC386" i="12"/>
  <c r="AD386" i="12"/>
  <c r="AE386" i="12"/>
  <c r="AF386" i="12"/>
  <c r="AH386" i="12" s="1"/>
  <c r="AI386" i="12" s="1"/>
  <c r="AG386" i="12"/>
  <c r="AJ386" i="12" s="1"/>
  <c r="AK386" i="12"/>
  <c r="AL386" i="12"/>
  <c r="AM386" i="12"/>
  <c r="AA387" i="12"/>
  <c r="AB387" i="12"/>
  <c r="AC387" i="12"/>
  <c r="AD387" i="12"/>
  <c r="AE387" i="12"/>
  <c r="AG387" i="12" s="1"/>
  <c r="AF387" i="12"/>
  <c r="AH387" i="12" s="1"/>
  <c r="AI387" i="12"/>
  <c r="AJ387" i="12" s="1"/>
  <c r="AK387" i="12"/>
  <c r="AL387" i="12"/>
  <c r="AM387" i="12"/>
  <c r="AA388" i="12"/>
  <c r="AB388" i="12"/>
  <c r="AC388" i="12"/>
  <c r="AD388" i="12"/>
  <c r="AE388" i="12"/>
  <c r="AK388" i="12"/>
  <c r="AL388" i="12"/>
  <c r="AM388" i="12" s="1"/>
  <c r="AA389" i="12"/>
  <c r="AB389" i="12"/>
  <c r="AC389" i="12"/>
  <c r="AD389" i="12"/>
  <c r="AE389" i="12"/>
  <c r="AF389" i="12"/>
  <c r="AG389" i="12"/>
  <c r="AJ389" i="12" s="1"/>
  <c r="AH389" i="12"/>
  <c r="AI389" i="12" s="1"/>
  <c r="AK389" i="12"/>
  <c r="AL389" i="12"/>
  <c r="AM389" i="12" s="1"/>
  <c r="AA390" i="12"/>
  <c r="AB390" i="12"/>
  <c r="AC390" i="12"/>
  <c r="AD390" i="12"/>
  <c r="AE390" i="12"/>
  <c r="AF390" i="12"/>
  <c r="AH390" i="12" s="1"/>
  <c r="AI390" i="12" s="1"/>
  <c r="AG390" i="12"/>
  <c r="AJ390" i="12"/>
  <c r="AK390" i="12"/>
  <c r="AL390" i="12"/>
  <c r="AM390" i="12"/>
  <c r="AA391" i="12"/>
  <c r="AB391" i="12"/>
  <c r="AC391" i="12"/>
  <c r="AD391" i="12"/>
  <c r="AE391" i="12"/>
  <c r="AK391" i="12"/>
  <c r="AL391" i="12"/>
  <c r="AM391" i="12"/>
  <c r="AA392" i="12"/>
  <c r="AB392" i="12"/>
  <c r="AC392" i="12"/>
  <c r="AD392" i="12"/>
  <c r="AE392" i="12"/>
  <c r="AK392" i="12"/>
  <c r="AL392" i="12"/>
  <c r="AM392" i="12" s="1"/>
  <c r="AA393" i="12"/>
  <c r="AB393" i="12"/>
  <c r="AC393" i="12"/>
  <c r="AD393" i="12"/>
  <c r="AE393" i="12"/>
  <c r="AF393" i="12"/>
  <c r="AG393" i="12"/>
  <c r="AJ393" i="12" s="1"/>
  <c r="AH393" i="12"/>
  <c r="AI393" i="12" s="1"/>
  <c r="AK393" i="12"/>
  <c r="AL393" i="12"/>
  <c r="AM393" i="12" s="1"/>
  <c r="AA394" i="12"/>
  <c r="AB394" i="12"/>
  <c r="AC394" i="12"/>
  <c r="AD394" i="12"/>
  <c r="AE394" i="12"/>
  <c r="AF394" i="12"/>
  <c r="AH394" i="12" s="1"/>
  <c r="AI394" i="12" s="1"/>
  <c r="AG394" i="12"/>
  <c r="AJ394" i="12" s="1"/>
  <c r="AK394" i="12"/>
  <c r="AL394" i="12"/>
  <c r="AM394" i="12"/>
  <c r="AA395" i="12"/>
  <c r="AB395" i="12"/>
  <c r="AC395" i="12"/>
  <c r="AD395" i="12"/>
  <c r="AE395" i="12"/>
  <c r="AG395" i="12" s="1"/>
  <c r="AF395" i="12"/>
  <c r="AH395" i="12" s="1"/>
  <c r="AI395" i="12"/>
  <c r="AJ395" i="12" s="1"/>
  <c r="AK395" i="12"/>
  <c r="AL395" i="12"/>
  <c r="AM395" i="12"/>
  <c r="AA396" i="12"/>
  <c r="AB396" i="12"/>
  <c r="AC396" i="12"/>
  <c r="AD396" i="12"/>
  <c r="AE396" i="12"/>
  <c r="AK396" i="12"/>
  <c r="AL396" i="12"/>
  <c r="AM396" i="12" s="1"/>
  <c r="AA397" i="12"/>
  <c r="AB397" i="12"/>
  <c r="AC397" i="12"/>
  <c r="AD397" i="12"/>
  <c r="AE397" i="12"/>
  <c r="AF397" i="12"/>
  <c r="AG397" i="12"/>
  <c r="AJ397" i="12" s="1"/>
  <c r="AH397" i="12"/>
  <c r="AI397" i="12" s="1"/>
  <c r="AK397" i="12"/>
  <c r="AL397" i="12"/>
  <c r="AM397" i="12" s="1"/>
  <c r="AA398" i="12"/>
  <c r="AB398" i="12"/>
  <c r="AC398" i="12"/>
  <c r="AD398" i="12"/>
  <c r="AE398" i="12"/>
  <c r="AF398" i="12"/>
  <c r="AH398" i="12" s="1"/>
  <c r="AI398" i="12" s="1"/>
  <c r="AG398" i="12"/>
  <c r="AJ398" i="12"/>
  <c r="AK398" i="12"/>
  <c r="AL398" i="12"/>
  <c r="AM398" i="12"/>
  <c r="AA399" i="12"/>
  <c r="AB399" i="12"/>
  <c r="AC399" i="12"/>
  <c r="AD399" i="12"/>
  <c r="AE399" i="12"/>
  <c r="AK399" i="12"/>
  <c r="AL399" i="12"/>
  <c r="AM399" i="12"/>
  <c r="AA400" i="12"/>
  <c r="AB400" i="12"/>
  <c r="AC400" i="12"/>
  <c r="AD400" i="12"/>
  <c r="AE400" i="12"/>
  <c r="AK400" i="12"/>
  <c r="AL400" i="12"/>
  <c r="AM400" i="12" s="1"/>
  <c r="AA401" i="12"/>
  <c r="AB401" i="12"/>
  <c r="AC401" i="12"/>
  <c r="AD401" i="12"/>
  <c r="AE401" i="12"/>
  <c r="AF401" i="12"/>
  <c r="AG401" i="12"/>
  <c r="AJ401" i="12" s="1"/>
  <c r="AH401" i="12"/>
  <c r="AI401" i="12" s="1"/>
  <c r="AK401" i="12"/>
  <c r="AL401" i="12"/>
  <c r="AM401" i="12" s="1"/>
  <c r="AA402" i="12"/>
  <c r="AB402" i="12"/>
  <c r="AC402" i="12"/>
  <c r="AD402" i="12"/>
  <c r="AE402" i="12"/>
  <c r="AF402" i="12"/>
  <c r="AH402" i="12" s="1"/>
  <c r="AI402" i="12" s="1"/>
  <c r="AG402" i="12"/>
  <c r="AJ402" i="12" s="1"/>
  <c r="AK402" i="12"/>
  <c r="AL402" i="12"/>
  <c r="AM402" i="12"/>
  <c r="AA403" i="12"/>
  <c r="AB403" i="12"/>
  <c r="AC403" i="12"/>
  <c r="AD403" i="12"/>
  <c r="AE403" i="12"/>
  <c r="AG403" i="12" s="1"/>
  <c r="AF403" i="12"/>
  <c r="AH403" i="12" s="1"/>
  <c r="AI403" i="12"/>
  <c r="AJ403" i="12" s="1"/>
  <c r="AK403" i="12"/>
  <c r="AL403" i="12"/>
  <c r="AM403" i="12"/>
  <c r="AA404" i="12"/>
  <c r="AB404" i="12"/>
  <c r="AC404" i="12"/>
  <c r="AD404" i="12"/>
  <c r="AE404" i="12"/>
  <c r="AK404" i="12"/>
  <c r="AL404" i="12"/>
  <c r="AM404" i="12" s="1"/>
  <c r="AA405" i="12"/>
  <c r="AB405" i="12"/>
  <c r="AC405" i="12"/>
  <c r="AD405" i="12"/>
  <c r="AE405" i="12"/>
  <c r="AF405" i="12"/>
  <c r="AG405" i="12"/>
  <c r="AJ405" i="12" s="1"/>
  <c r="AH405" i="12"/>
  <c r="AI405" i="12" s="1"/>
  <c r="AK405" i="12"/>
  <c r="AL405" i="12"/>
  <c r="AM405" i="12" s="1"/>
  <c r="AA406" i="12"/>
  <c r="AB406" i="12"/>
  <c r="AC406" i="12"/>
  <c r="AD406" i="12"/>
  <c r="AE406" i="12"/>
  <c r="AF406" i="12"/>
  <c r="AH406" i="12" s="1"/>
  <c r="AI406" i="12" s="1"/>
  <c r="AG406" i="12"/>
  <c r="AJ406" i="12"/>
  <c r="AK406" i="12"/>
  <c r="AL406" i="12"/>
  <c r="AM406" i="12"/>
  <c r="AA407" i="12"/>
  <c r="AB407" i="12"/>
  <c r="AC407" i="12"/>
  <c r="AD407" i="12"/>
  <c r="AE407" i="12"/>
  <c r="AK407" i="12"/>
  <c r="AL407" i="12"/>
  <c r="AM407" i="12"/>
  <c r="AA408" i="12"/>
  <c r="AB408" i="12"/>
  <c r="AC408" i="12"/>
  <c r="AD408" i="12"/>
  <c r="AE408" i="12"/>
  <c r="AK408" i="12"/>
  <c r="AL408" i="12"/>
  <c r="AM408" i="12" s="1"/>
  <c r="AA409" i="12"/>
  <c r="AB409" i="12"/>
  <c r="AC409" i="12"/>
  <c r="AD409" i="12"/>
  <c r="AE409" i="12"/>
  <c r="AF409" i="12"/>
  <c r="AG409" i="12"/>
  <c r="AJ409" i="12" s="1"/>
  <c r="AH409" i="12"/>
  <c r="AI409" i="12" s="1"/>
  <c r="AK409" i="12"/>
  <c r="AL409" i="12"/>
  <c r="AM409" i="12" s="1"/>
  <c r="AA410" i="12"/>
  <c r="AB410" i="12"/>
  <c r="AC410" i="12"/>
  <c r="AD410" i="12"/>
  <c r="AE410" i="12"/>
  <c r="AF410" i="12"/>
  <c r="AH410" i="12" s="1"/>
  <c r="AI410" i="12" s="1"/>
  <c r="AG410" i="12"/>
  <c r="AJ410" i="12" s="1"/>
  <c r="AK410" i="12"/>
  <c r="AL410" i="12"/>
  <c r="AM410" i="12"/>
  <c r="AA411" i="12"/>
  <c r="AB411" i="12"/>
  <c r="AC411" i="12"/>
  <c r="AD411" i="12"/>
  <c r="AE411" i="12"/>
  <c r="AG411" i="12" s="1"/>
  <c r="AF411" i="12"/>
  <c r="AH411" i="12" s="1"/>
  <c r="AI411" i="12"/>
  <c r="AJ411" i="12" s="1"/>
  <c r="AK411" i="12"/>
  <c r="AL411" i="12"/>
  <c r="AM411" i="12"/>
  <c r="AA412" i="12"/>
  <c r="AB412" i="12"/>
  <c r="AC412" i="12"/>
  <c r="AD412" i="12"/>
  <c r="AE412" i="12"/>
  <c r="AK412" i="12"/>
  <c r="AL412" i="12"/>
  <c r="AM412" i="12" s="1"/>
  <c r="AA413" i="12"/>
  <c r="AB413" i="12"/>
  <c r="AC413" i="12"/>
  <c r="AD413" i="12"/>
  <c r="AE413" i="12"/>
  <c r="AF413" i="12"/>
  <c r="AG413" i="12"/>
  <c r="AJ413" i="12" s="1"/>
  <c r="AH413" i="12"/>
  <c r="AI413" i="12" s="1"/>
  <c r="AK413" i="12"/>
  <c r="AL413" i="12"/>
  <c r="AM413" i="12" s="1"/>
  <c r="AA414" i="12"/>
  <c r="AB414" i="12"/>
  <c r="AC414" i="12"/>
  <c r="AD414" i="12"/>
  <c r="AE414" i="12"/>
  <c r="AF414" i="12"/>
  <c r="AH414" i="12" s="1"/>
  <c r="AI414" i="12" s="1"/>
  <c r="AG414" i="12"/>
  <c r="AJ414" i="12"/>
  <c r="AK414" i="12"/>
  <c r="AL414" i="12"/>
  <c r="AM414" i="12"/>
  <c r="AA415" i="12"/>
  <c r="AB415" i="12"/>
  <c r="AC415" i="12"/>
  <c r="AD415" i="12"/>
  <c r="AE415" i="12"/>
  <c r="AK415" i="12"/>
  <c r="AL415" i="12"/>
  <c r="AM415" i="12"/>
  <c r="AA416" i="12"/>
  <c r="AB416" i="12"/>
  <c r="AC416" i="12"/>
  <c r="AD416" i="12"/>
  <c r="AE416" i="12"/>
  <c r="AK416" i="12"/>
  <c r="AL416" i="12"/>
  <c r="AM416" i="12"/>
  <c r="AA417" i="12"/>
  <c r="AB417" i="12"/>
  <c r="AC417" i="12"/>
  <c r="AD417" i="12"/>
  <c r="AE417" i="12"/>
  <c r="AF417" i="12"/>
  <c r="AG417" i="12"/>
  <c r="AH417" i="12"/>
  <c r="AI417" i="12" s="1"/>
  <c r="AK417" i="12"/>
  <c r="AL417" i="12"/>
  <c r="AM417" i="12" s="1"/>
  <c r="AA418" i="12"/>
  <c r="AB418" i="12"/>
  <c r="AC418" i="12"/>
  <c r="AD418" i="12"/>
  <c r="AE418" i="12"/>
  <c r="AF418" i="12"/>
  <c r="AH418" i="12" s="1"/>
  <c r="AI418" i="12" s="1"/>
  <c r="AJ418" i="12" s="1"/>
  <c r="AG418" i="12"/>
  <c r="AK418" i="12"/>
  <c r="AL418" i="12"/>
  <c r="AM418" i="12"/>
  <c r="AA419" i="12"/>
  <c r="AB419" i="12"/>
  <c r="AC419" i="12"/>
  <c r="AD419" i="12"/>
  <c r="AE419" i="12"/>
  <c r="AK419" i="12"/>
  <c r="AL419" i="12"/>
  <c r="AM419" i="12"/>
  <c r="AA420" i="12"/>
  <c r="AB420" i="12"/>
  <c r="AC420" i="12"/>
  <c r="AD420" i="12"/>
  <c r="AE420" i="12"/>
  <c r="AK420" i="12"/>
  <c r="AL420" i="12"/>
  <c r="AM420" i="12"/>
  <c r="AA421" i="12"/>
  <c r="AB421" i="12"/>
  <c r="AC421" i="12"/>
  <c r="AD421" i="12"/>
  <c r="AE421" i="12"/>
  <c r="AF421" i="12"/>
  <c r="AG421" i="12"/>
  <c r="AH421" i="12"/>
  <c r="AI421" i="12" s="1"/>
  <c r="AK421" i="12"/>
  <c r="AL421" i="12"/>
  <c r="AM421" i="12" s="1"/>
  <c r="AA422" i="12"/>
  <c r="AB422" i="12"/>
  <c r="AC422" i="12"/>
  <c r="AD422" i="12"/>
  <c r="AE422" i="12"/>
  <c r="AF422" i="12"/>
  <c r="AH422" i="12" s="1"/>
  <c r="AI422" i="12" s="1"/>
  <c r="AJ422" i="12" s="1"/>
  <c r="AG422" i="12"/>
  <c r="AK422" i="12"/>
  <c r="AL422" i="12"/>
  <c r="AM422" i="12"/>
  <c r="AA423" i="12"/>
  <c r="AB423" i="12"/>
  <c r="AC423" i="12"/>
  <c r="AD423" i="12"/>
  <c r="AE423" i="12"/>
  <c r="AK423" i="12"/>
  <c r="AL423" i="12"/>
  <c r="AM423" i="12"/>
  <c r="AA424" i="12"/>
  <c r="AB424" i="12"/>
  <c r="AC424" i="12"/>
  <c r="AD424" i="12"/>
  <c r="AE424" i="12"/>
  <c r="AK424" i="12"/>
  <c r="AL424" i="12"/>
  <c r="AM424" i="12"/>
  <c r="AA425" i="12"/>
  <c r="AB425" i="12"/>
  <c r="AC425" i="12"/>
  <c r="AD425" i="12"/>
  <c r="AE425" i="12"/>
  <c r="AF425" i="12"/>
  <c r="AG425" i="12"/>
  <c r="AH425" i="12"/>
  <c r="AI425" i="12" s="1"/>
  <c r="AK425" i="12"/>
  <c r="AL425" i="12"/>
  <c r="AM425" i="12" s="1"/>
  <c r="AA426" i="12"/>
  <c r="AB426" i="12"/>
  <c r="AC426" i="12"/>
  <c r="AD426" i="12"/>
  <c r="AE426" i="12"/>
  <c r="AF426" i="12"/>
  <c r="AH426" i="12" s="1"/>
  <c r="AI426" i="12" s="1"/>
  <c r="AJ426" i="12" s="1"/>
  <c r="AG426" i="12"/>
  <c r="AK426" i="12"/>
  <c r="AL426" i="12"/>
  <c r="AM426" i="12"/>
  <c r="AA427" i="12"/>
  <c r="AB427" i="12"/>
  <c r="AC427" i="12"/>
  <c r="AD427" i="12"/>
  <c r="AE427" i="12"/>
  <c r="AK427" i="12"/>
  <c r="AL427" i="12"/>
  <c r="AM427" i="12"/>
  <c r="AA428" i="12"/>
  <c r="AB428" i="12"/>
  <c r="AC428" i="12"/>
  <c r="AD428" i="12"/>
  <c r="AE428" i="12"/>
  <c r="AK428" i="12"/>
  <c r="AL428" i="12"/>
  <c r="AM428" i="12"/>
  <c r="AA429" i="12"/>
  <c r="AB429" i="12"/>
  <c r="AC429" i="12"/>
  <c r="AD429" i="12"/>
  <c r="AE429" i="12"/>
  <c r="AF429" i="12"/>
  <c r="AG429" i="12"/>
  <c r="AH429" i="12"/>
  <c r="AI429" i="12" s="1"/>
  <c r="AK429" i="12"/>
  <c r="AL429" i="12"/>
  <c r="AM429" i="12" s="1"/>
  <c r="AA430" i="12"/>
  <c r="AB430" i="12"/>
  <c r="AC430" i="12"/>
  <c r="AD430" i="12"/>
  <c r="AE430" i="12"/>
  <c r="AF430" i="12"/>
  <c r="AH430" i="12" s="1"/>
  <c r="AI430" i="12" s="1"/>
  <c r="AG430" i="12"/>
  <c r="AJ430" i="12"/>
  <c r="AK430" i="12"/>
  <c r="AL430" i="12"/>
  <c r="AM430" i="12"/>
  <c r="AA431" i="12"/>
  <c r="AB431" i="12"/>
  <c r="AC431" i="12"/>
  <c r="AD431" i="12"/>
  <c r="AE431" i="12"/>
  <c r="AK431" i="12"/>
  <c r="AL431" i="12"/>
  <c r="AM431" i="12"/>
  <c r="AA432" i="12"/>
  <c r="AB432" i="12"/>
  <c r="AC432" i="12"/>
  <c r="AD432" i="12"/>
  <c r="AE432" i="12"/>
  <c r="AK432" i="12"/>
  <c r="AL432" i="12"/>
  <c r="AM432" i="12"/>
  <c r="AA433" i="12"/>
  <c r="AB433" i="12"/>
  <c r="AC433" i="12"/>
  <c r="AD433" i="12"/>
  <c r="AE433" i="12"/>
  <c r="AF433" i="12"/>
  <c r="AG433" i="12"/>
  <c r="AH433" i="12"/>
  <c r="AI433" i="12" s="1"/>
  <c r="AK433" i="12"/>
  <c r="AL433" i="12"/>
  <c r="AM433" i="12" s="1"/>
  <c r="AA434" i="12"/>
  <c r="AB434" i="12"/>
  <c r="AC434" i="12"/>
  <c r="AD434" i="12"/>
  <c r="AE434" i="12"/>
  <c r="AF434" i="12"/>
  <c r="AH434" i="12" s="1"/>
  <c r="AI434" i="12" s="1"/>
  <c r="AJ434" i="12" s="1"/>
  <c r="AG434" i="12"/>
  <c r="AK434" i="12"/>
  <c r="AL434" i="12"/>
  <c r="AM434" i="12"/>
  <c r="AA435" i="12"/>
  <c r="AB435" i="12"/>
  <c r="AC435" i="12"/>
  <c r="AD435" i="12"/>
  <c r="AE435" i="12"/>
  <c r="AK435" i="12"/>
  <c r="AL435" i="12"/>
  <c r="AM435" i="12"/>
  <c r="AA436" i="12"/>
  <c r="AB436" i="12"/>
  <c r="AC436" i="12"/>
  <c r="AD436" i="12"/>
  <c r="AE436" i="12"/>
  <c r="AK436" i="12"/>
  <c r="AL436" i="12"/>
  <c r="AM436" i="12"/>
  <c r="AA437" i="12"/>
  <c r="AB437" i="12"/>
  <c r="AC437" i="12"/>
  <c r="AD437" i="12"/>
  <c r="AE437" i="12"/>
  <c r="AF437" i="12"/>
  <c r="AG437" i="12"/>
  <c r="AH437" i="12"/>
  <c r="AI437" i="12" s="1"/>
  <c r="AK437" i="12"/>
  <c r="AL437" i="12"/>
  <c r="AM437" i="12" s="1"/>
  <c r="AA438" i="12"/>
  <c r="AB438" i="12"/>
  <c r="AC438" i="12"/>
  <c r="AD438" i="12"/>
  <c r="AE438" i="12"/>
  <c r="AF438" i="12"/>
  <c r="AH438" i="12" s="1"/>
  <c r="AI438" i="12" s="1"/>
  <c r="AJ438" i="12" s="1"/>
  <c r="AG438" i="12"/>
  <c r="AK438" i="12"/>
  <c r="AL438" i="12"/>
  <c r="AM438" i="12"/>
  <c r="AA439" i="12"/>
  <c r="AB439" i="12"/>
  <c r="AC439" i="12"/>
  <c r="AD439" i="12"/>
  <c r="AE439" i="12"/>
  <c r="AK439" i="12"/>
  <c r="AL439" i="12"/>
  <c r="AM439" i="12"/>
  <c r="AA440" i="12"/>
  <c r="AB440" i="12"/>
  <c r="AC440" i="12"/>
  <c r="AD440" i="12"/>
  <c r="AE440" i="12"/>
  <c r="AK440" i="12"/>
  <c r="AL440" i="12"/>
  <c r="AM440" i="12"/>
  <c r="AA441" i="12"/>
  <c r="AB441" i="12"/>
  <c r="AC441" i="12"/>
  <c r="AD441" i="12"/>
  <c r="AE441" i="12"/>
  <c r="AF441" i="12"/>
  <c r="AH441" i="12" s="1"/>
  <c r="AI441" i="12" s="1"/>
  <c r="AG441" i="12"/>
  <c r="AK441" i="12"/>
  <c r="AL441" i="12"/>
  <c r="AM441" i="12" s="1"/>
  <c r="AA442" i="12"/>
  <c r="AB442" i="12"/>
  <c r="AC442" i="12"/>
  <c r="AD442" i="12"/>
  <c r="AE442" i="12"/>
  <c r="AF442" i="12" s="1"/>
  <c r="AH442" i="12" s="1"/>
  <c r="AI442" i="12" s="1"/>
  <c r="AG442" i="12"/>
  <c r="AJ442" i="12" s="1"/>
  <c r="AK442" i="12"/>
  <c r="AL442" i="12"/>
  <c r="AM442" i="12"/>
  <c r="AA443" i="12"/>
  <c r="AB443" i="12"/>
  <c r="AC443" i="12"/>
  <c r="AD443" i="12"/>
  <c r="AE443" i="12"/>
  <c r="AK443" i="12"/>
  <c r="AL443" i="12"/>
  <c r="AM443" i="12" s="1"/>
  <c r="AA444" i="12"/>
  <c r="AB444" i="12"/>
  <c r="AC444" i="12"/>
  <c r="AD444" i="12"/>
  <c r="AE444" i="12"/>
  <c r="AK444" i="12"/>
  <c r="AL444" i="12"/>
  <c r="AM444" i="12"/>
  <c r="AA445" i="12"/>
  <c r="AB445" i="12"/>
  <c r="AC445" i="12"/>
  <c r="AD445" i="12"/>
  <c r="AE445" i="12"/>
  <c r="AF445" i="12"/>
  <c r="AH445" i="12" s="1"/>
  <c r="AI445" i="12" s="1"/>
  <c r="AJ445" i="12" s="1"/>
  <c r="AG445" i="12"/>
  <c r="AK445" i="12"/>
  <c r="AL445" i="12"/>
  <c r="AM445" i="12" s="1"/>
  <c r="AA446" i="12"/>
  <c r="AB446" i="12"/>
  <c r="AC446" i="12"/>
  <c r="AD446" i="12"/>
  <c r="AE446" i="12"/>
  <c r="AF446" i="12" s="1"/>
  <c r="AH446" i="12" s="1"/>
  <c r="AI446" i="12" s="1"/>
  <c r="AG446" i="12"/>
  <c r="AJ446" i="12" s="1"/>
  <c r="AK446" i="12"/>
  <c r="AL446" i="12"/>
  <c r="AM446" i="12"/>
  <c r="AA447" i="12"/>
  <c r="AB447" i="12"/>
  <c r="AC447" i="12"/>
  <c r="AD447" i="12"/>
  <c r="AE447" i="12"/>
  <c r="AK447" i="12"/>
  <c r="AL447" i="12"/>
  <c r="AM447" i="12" s="1"/>
  <c r="AA448" i="12"/>
  <c r="AB448" i="12"/>
  <c r="AC448" i="12"/>
  <c r="AD448" i="12"/>
  <c r="AE448" i="12"/>
  <c r="AK448" i="12"/>
  <c r="AL448" i="12"/>
  <c r="AM448" i="12"/>
  <c r="AA449" i="12"/>
  <c r="AB449" i="12"/>
  <c r="AC449" i="12"/>
  <c r="AD449" i="12"/>
  <c r="AE449" i="12"/>
  <c r="AF449" i="12"/>
  <c r="AH449" i="12" s="1"/>
  <c r="AI449" i="12" s="1"/>
  <c r="AG449" i="12"/>
  <c r="AK449" i="12"/>
  <c r="AL449" i="12"/>
  <c r="AM449" i="12" s="1"/>
  <c r="AA450" i="12"/>
  <c r="AB450" i="12"/>
  <c r="AC450" i="12"/>
  <c r="AD450" i="12"/>
  <c r="AE450" i="12"/>
  <c r="AF450" i="12" s="1"/>
  <c r="AH450" i="12" s="1"/>
  <c r="AI450" i="12" s="1"/>
  <c r="AG450" i="12"/>
  <c r="AJ450" i="12" s="1"/>
  <c r="AK450" i="12"/>
  <c r="AL450" i="12"/>
  <c r="AM450" i="12"/>
  <c r="AA451" i="12"/>
  <c r="AB451" i="12"/>
  <c r="AC451" i="12"/>
  <c r="AD451" i="12"/>
  <c r="AE451" i="12"/>
  <c r="AK451" i="12"/>
  <c r="AL451" i="12"/>
  <c r="AM451" i="12" s="1"/>
  <c r="AA452" i="12"/>
  <c r="AB452" i="12"/>
  <c r="AC452" i="12"/>
  <c r="AD452" i="12"/>
  <c r="AE452" i="12"/>
  <c r="AK452" i="12"/>
  <c r="AL452" i="12"/>
  <c r="AM452" i="12"/>
  <c r="AA453" i="12"/>
  <c r="AB453" i="12"/>
  <c r="AC453" i="12"/>
  <c r="AD453" i="12"/>
  <c r="AE453" i="12"/>
  <c r="AF453" i="12"/>
  <c r="AG453" i="12"/>
  <c r="AH453" i="12"/>
  <c r="AI453" i="12" s="1"/>
  <c r="AJ453" i="12" s="1"/>
  <c r="AK453" i="12"/>
  <c r="AL453" i="12"/>
  <c r="AM453" i="12" s="1"/>
  <c r="AA454" i="12"/>
  <c r="AB454" i="12"/>
  <c r="AC454" i="12"/>
  <c r="AD454" i="12"/>
  <c r="AE454" i="12"/>
  <c r="AF454" i="12" s="1"/>
  <c r="AH454" i="12" s="1"/>
  <c r="AI454" i="12" s="1"/>
  <c r="AG454" i="12"/>
  <c r="AJ454" i="12" s="1"/>
  <c r="AK454" i="12"/>
  <c r="AL454" i="12"/>
  <c r="AM454" i="12"/>
  <c r="AA455" i="12"/>
  <c r="AB455" i="12"/>
  <c r="AC455" i="12"/>
  <c r="AD455" i="12"/>
  <c r="AE455" i="12"/>
  <c r="AK455" i="12"/>
  <c r="AL455" i="12"/>
  <c r="AM455" i="12" s="1"/>
  <c r="AA456" i="12"/>
  <c r="AB456" i="12"/>
  <c r="AC456" i="12"/>
  <c r="AD456" i="12"/>
  <c r="AE456" i="12"/>
  <c r="AK456" i="12"/>
  <c r="AL456" i="12"/>
  <c r="AM456" i="12"/>
  <c r="AA457" i="12"/>
  <c r="AB457" i="12"/>
  <c r="AC457" i="12"/>
  <c r="AD457" i="12"/>
  <c r="AE457" i="12"/>
  <c r="AF457" i="12"/>
  <c r="AH457" i="12" s="1"/>
  <c r="AI457" i="12" s="1"/>
  <c r="AG457" i="12"/>
  <c r="AK457" i="12"/>
  <c r="AL457" i="12"/>
  <c r="AM457" i="12" s="1"/>
  <c r="AA458" i="12"/>
  <c r="AB458" i="12"/>
  <c r="AC458" i="12"/>
  <c r="AD458" i="12"/>
  <c r="AE458" i="12"/>
  <c r="AF458" i="12" s="1"/>
  <c r="AH458" i="12" s="1"/>
  <c r="AI458" i="12" s="1"/>
  <c r="AG458" i="12"/>
  <c r="AJ458" i="12" s="1"/>
  <c r="AK458" i="12"/>
  <c r="AL458" i="12"/>
  <c r="AM458" i="12" s="1"/>
  <c r="AA459" i="12"/>
  <c r="AB459" i="12"/>
  <c r="AC459" i="12"/>
  <c r="AD459" i="12"/>
  <c r="AE459" i="12"/>
  <c r="AK459" i="12"/>
  <c r="AL459" i="12"/>
  <c r="AM459" i="12"/>
  <c r="AA460" i="12"/>
  <c r="AB460" i="12"/>
  <c r="AC460" i="12"/>
  <c r="AD460" i="12"/>
  <c r="AE460" i="12"/>
  <c r="AF460" i="12"/>
  <c r="AG460" i="12"/>
  <c r="AH460" i="12"/>
  <c r="AI460" i="12" s="1"/>
  <c r="AJ460" i="12"/>
  <c r="AK460" i="12"/>
  <c r="AL460" i="12"/>
  <c r="AM460" i="12" s="1"/>
  <c r="AA461" i="12"/>
  <c r="AB461" i="12"/>
  <c r="AC461" i="12"/>
  <c r="AD461" i="12"/>
  <c r="AE461" i="12"/>
  <c r="AF461" i="12" s="1"/>
  <c r="AH461" i="12" s="1"/>
  <c r="AI461" i="12" s="1"/>
  <c r="AG461" i="12"/>
  <c r="AK461" i="12"/>
  <c r="AL461" i="12"/>
  <c r="AM461" i="12"/>
  <c r="AA462" i="12"/>
  <c r="AB462" i="12"/>
  <c r="AC462" i="12"/>
  <c r="AD462" i="12"/>
  <c r="AE462" i="12"/>
  <c r="AG462" i="12" s="1"/>
  <c r="AF462" i="12"/>
  <c r="AH462" i="12" s="1"/>
  <c r="AI462" i="12" s="1"/>
  <c r="AJ462" i="12" s="1"/>
  <c r="AK462" i="12"/>
  <c r="AL462" i="12"/>
  <c r="AM462" i="12" s="1"/>
  <c r="AA463" i="12"/>
  <c r="AB463" i="12"/>
  <c r="AC463" i="12"/>
  <c r="AD463" i="12"/>
  <c r="AE463" i="12"/>
  <c r="AF463" i="12" s="1"/>
  <c r="AH463" i="12" s="1"/>
  <c r="AI463" i="12" s="1"/>
  <c r="AG463" i="12"/>
  <c r="AK463" i="12"/>
  <c r="AL463" i="12"/>
  <c r="AM463" i="12"/>
  <c r="AA464" i="12"/>
  <c r="AB464" i="12"/>
  <c r="AC464" i="12"/>
  <c r="AD464" i="12"/>
  <c r="AE464" i="12"/>
  <c r="AF464" i="12"/>
  <c r="AG464" i="12"/>
  <c r="AH464" i="12"/>
  <c r="AI464" i="12" s="1"/>
  <c r="AJ464" i="12" s="1"/>
  <c r="AK464" i="12"/>
  <c r="AL464" i="12"/>
  <c r="AM464" i="12" s="1"/>
  <c r="AA465" i="12"/>
  <c r="AB465" i="12"/>
  <c r="AC465" i="12"/>
  <c r="AD465" i="12"/>
  <c r="AE465" i="12"/>
  <c r="AK465" i="12"/>
  <c r="AL465" i="12"/>
  <c r="AM465" i="12"/>
  <c r="AA466" i="12"/>
  <c r="AB466" i="12"/>
  <c r="AC466" i="12"/>
  <c r="AD466" i="12"/>
  <c r="AE466" i="12"/>
  <c r="AG466" i="12" s="1"/>
  <c r="AJ466" i="12" s="1"/>
  <c r="AF466" i="12"/>
  <c r="AH466" i="12"/>
  <c r="AI466" i="12" s="1"/>
  <c r="AK466" i="12"/>
  <c r="AL466" i="12"/>
  <c r="AM466" i="12" s="1"/>
  <c r="AA467" i="12"/>
  <c r="AB467" i="12"/>
  <c r="AC467" i="12"/>
  <c r="AD467" i="12"/>
  <c r="AE467" i="12"/>
  <c r="AK467" i="12"/>
  <c r="AL467" i="12"/>
  <c r="AM467" i="12"/>
  <c r="AA468" i="12"/>
  <c r="AB468" i="12"/>
  <c r="AC468" i="12"/>
  <c r="AD468" i="12"/>
  <c r="AE468" i="12"/>
  <c r="AF468" i="12"/>
  <c r="AH468" i="12" s="1"/>
  <c r="AI468" i="12" s="1"/>
  <c r="AJ468" i="12" s="1"/>
  <c r="AG468" i="12"/>
  <c r="AK468" i="12"/>
  <c r="AL468" i="12"/>
  <c r="AM468" i="12" s="1"/>
  <c r="AA469" i="12"/>
  <c r="AB469" i="12"/>
  <c r="AC469" i="12"/>
  <c r="AD469" i="12"/>
  <c r="AE469" i="12"/>
  <c r="AF469" i="12" s="1"/>
  <c r="AH469" i="12" s="1"/>
  <c r="AG469" i="12"/>
  <c r="AJ469" i="12" s="1"/>
  <c r="AI469" i="12"/>
  <c r="AK469" i="12"/>
  <c r="AL469" i="12"/>
  <c r="AM469" i="12"/>
  <c r="AA470" i="12"/>
  <c r="AB470" i="12"/>
  <c r="AC470" i="12"/>
  <c r="AD470" i="12"/>
  <c r="AE470" i="12"/>
  <c r="AG470" i="12" s="1"/>
  <c r="AF470" i="12"/>
  <c r="AH470" i="12" s="1"/>
  <c r="AI470" i="12" s="1"/>
  <c r="AJ470" i="12"/>
  <c r="AK470" i="12"/>
  <c r="AL470" i="12"/>
  <c r="AM470" i="12" s="1"/>
  <c r="AA471" i="12"/>
  <c r="AB471" i="12"/>
  <c r="AC471" i="12"/>
  <c r="AD471" i="12"/>
  <c r="AE471" i="12"/>
  <c r="AF471" i="12" s="1"/>
  <c r="AH471" i="12" s="1"/>
  <c r="AG471" i="12"/>
  <c r="AJ471" i="12" s="1"/>
  <c r="AI471" i="12"/>
  <c r="AK471" i="12"/>
  <c r="AL471" i="12"/>
  <c r="AM471" i="12"/>
  <c r="AA472" i="12"/>
  <c r="AB472" i="12"/>
  <c r="AC472" i="12"/>
  <c r="AD472" i="12"/>
  <c r="AE472" i="12"/>
  <c r="AF472" i="12"/>
  <c r="AG472" i="12"/>
  <c r="AH472" i="12"/>
  <c r="AI472" i="12" s="1"/>
  <c r="AJ472" i="12" s="1"/>
  <c r="AK472" i="12"/>
  <c r="AL472" i="12"/>
  <c r="AM472" i="12" s="1"/>
  <c r="AA473" i="12"/>
  <c r="AB473" i="12"/>
  <c r="AC473" i="12"/>
  <c r="AD473" i="12"/>
  <c r="AE473" i="12"/>
  <c r="AK473" i="12"/>
  <c r="AL473" i="12"/>
  <c r="AM473" i="12"/>
  <c r="AA474" i="12"/>
  <c r="AB474" i="12"/>
  <c r="AC474" i="12"/>
  <c r="AD474" i="12"/>
  <c r="AE474" i="12"/>
  <c r="AG474" i="12" s="1"/>
  <c r="AJ474" i="12" s="1"/>
  <c r="AF474" i="12"/>
  <c r="AH474" i="12"/>
  <c r="AI474" i="12" s="1"/>
  <c r="AK474" i="12"/>
  <c r="AL474" i="12"/>
  <c r="AM474" i="12" s="1"/>
  <c r="AA475" i="12"/>
  <c r="AB475" i="12"/>
  <c r="AC475" i="12"/>
  <c r="AD475" i="12"/>
  <c r="AE475" i="12"/>
  <c r="AK475" i="12"/>
  <c r="AL475" i="12"/>
  <c r="AM475" i="12"/>
  <c r="AA476" i="12"/>
  <c r="AB476" i="12"/>
  <c r="AC476" i="12"/>
  <c r="AD476" i="12"/>
  <c r="AE476" i="12"/>
  <c r="AF476" i="12"/>
  <c r="AG476" i="12"/>
  <c r="AH476" i="12"/>
  <c r="AI476" i="12" s="1"/>
  <c r="AJ476" i="12"/>
  <c r="AK476" i="12"/>
  <c r="AL476" i="12"/>
  <c r="AM476" i="12" s="1"/>
  <c r="AA477" i="12"/>
  <c r="AB477" i="12"/>
  <c r="AC477" i="12"/>
  <c r="AD477" i="12"/>
  <c r="AE477" i="12"/>
  <c r="AF477" i="12" s="1"/>
  <c r="AH477" i="12" s="1"/>
  <c r="AI477" i="12" s="1"/>
  <c r="AG477" i="12"/>
  <c r="AJ477" i="12" s="1"/>
  <c r="AK477" i="12"/>
  <c r="AL477" i="12"/>
  <c r="AM477" i="12"/>
  <c r="AA478" i="12"/>
  <c r="AB478" i="12"/>
  <c r="AC478" i="12"/>
  <c r="AD478" i="12"/>
  <c r="AE478" i="12"/>
  <c r="AG478" i="12" s="1"/>
  <c r="AF478" i="12"/>
  <c r="AH478" i="12" s="1"/>
  <c r="AI478" i="12" s="1"/>
  <c r="AJ478" i="12"/>
  <c r="AK478" i="12"/>
  <c r="AL478" i="12"/>
  <c r="AM478" i="12" s="1"/>
  <c r="AA479" i="12"/>
  <c r="AB479" i="12"/>
  <c r="AC479" i="12"/>
  <c r="AD479" i="12"/>
  <c r="AE479" i="12"/>
  <c r="AF479" i="12" s="1"/>
  <c r="AH479" i="12" s="1"/>
  <c r="AI479" i="12" s="1"/>
  <c r="AG479" i="12"/>
  <c r="AJ479" i="12" s="1"/>
  <c r="AK479" i="12"/>
  <c r="AL479" i="12"/>
  <c r="AM479" i="12"/>
  <c r="AA480" i="12"/>
  <c r="AB480" i="12"/>
  <c r="AC480" i="12"/>
  <c r="AD480" i="12"/>
  <c r="AE480" i="12"/>
  <c r="AF480" i="12"/>
  <c r="AG480" i="12"/>
  <c r="AH480" i="12"/>
  <c r="AI480" i="12" s="1"/>
  <c r="AJ480" i="12" s="1"/>
  <c r="AK480" i="12"/>
  <c r="AL480" i="12"/>
  <c r="AM480" i="12" s="1"/>
  <c r="AA481" i="12"/>
  <c r="AB481" i="12"/>
  <c r="AC481" i="12"/>
  <c r="AD481" i="12"/>
  <c r="AE481" i="12"/>
  <c r="AK481" i="12"/>
  <c r="AL481" i="12"/>
  <c r="AM481" i="12"/>
  <c r="AA482" i="12"/>
  <c r="AB482" i="12"/>
  <c r="AC482" i="12"/>
  <c r="AD482" i="12"/>
  <c r="AE482" i="12"/>
  <c r="AG482" i="12" s="1"/>
  <c r="AJ482" i="12" s="1"/>
  <c r="AF482" i="12"/>
  <c r="AH482" i="12"/>
  <c r="AI482" i="12" s="1"/>
  <c r="AK482" i="12"/>
  <c r="AL482" i="12"/>
  <c r="AM482" i="12" s="1"/>
  <c r="AA483" i="12"/>
  <c r="AB483" i="12"/>
  <c r="AC483" i="12"/>
  <c r="AD483" i="12"/>
  <c r="AE483" i="12"/>
  <c r="AK483" i="12"/>
  <c r="AL483" i="12"/>
  <c r="AM483" i="12"/>
  <c r="AA484" i="12"/>
  <c r="AB484" i="12"/>
  <c r="AC484" i="12"/>
  <c r="AD484" i="12"/>
  <c r="AE484" i="12"/>
  <c r="AF484" i="12"/>
  <c r="AH484" i="12" s="1"/>
  <c r="AI484" i="12" s="1"/>
  <c r="AG484" i="12"/>
  <c r="AJ484" i="12"/>
  <c r="AK484" i="12"/>
  <c r="AL484" i="12"/>
  <c r="AM484" i="12" s="1"/>
  <c r="AA485" i="12"/>
  <c r="AB485" i="12"/>
  <c r="AC485" i="12"/>
  <c r="AD485" i="12"/>
  <c r="AE485" i="12"/>
  <c r="AF485" i="12" s="1"/>
  <c r="AH485" i="12" s="1"/>
  <c r="AG485" i="12"/>
  <c r="AJ485" i="12" s="1"/>
  <c r="AI485" i="12"/>
  <c r="AK485" i="12"/>
  <c r="AL485" i="12"/>
  <c r="AM485" i="12"/>
  <c r="AA486" i="12"/>
  <c r="AB486" i="12"/>
  <c r="AC486" i="12"/>
  <c r="AD486" i="12"/>
  <c r="AE486" i="12"/>
  <c r="AG486" i="12" s="1"/>
  <c r="AF486" i="12"/>
  <c r="AH486" i="12" s="1"/>
  <c r="AI486" i="12" s="1"/>
  <c r="AJ486" i="12" s="1"/>
  <c r="AK486" i="12"/>
  <c r="AL486" i="12"/>
  <c r="AM486" i="12" s="1"/>
  <c r="AA487" i="12"/>
  <c r="AB487" i="12"/>
  <c r="AC487" i="12"/>
  <c r="AD487" i="12"/>
  <c r="AE487" i="12"/>
  <c r="AF487" i="12" s="1"/>
  <c r="AH487" i="12" s="1"/>
  <c r="AG487" i="12"/>
  <c r="AJ487" i="12" s="1"/>
  <c r="AI487" i="12"/>
  <c r="AK487" i="12"/>
  <c r="AL487" i="12"/>
  <c r="AM487" i="12"/>
  <c r="AA488" i="12"/>
  <c r="AB488" i="12"/>
  <c r="AC488" i="12"/>
  <c r="AD488" i="12"/>
  <c r="AE488" i="12"/>
  <c r="AF488" i="12"/>
  <c r="AG488" i="12"/>
  <c r="AH488" i="12"/>
  <c r="AI488" i="12" s="1"/>
  <c r="AJ488" i="12" s="1"/>
  <c r="AK488" i="12"/>
  <c r="AL488" i="12"/>
  <c r="AM488" i="12" s="1"/>
  <c r="AA489" i="12"/>
  <c r="AB489" i="12"/>
  <c r="AC489" i="12"/>
  <c r="AD489" i="12"/>
  <c r="AE489" i="12"/>
  <c r="AK489" i="12"/>
  <c r="AL489" i="12"/>
  <c r="AM489" i="12"/>
  <c r="AA490" i="12"/>
  <c r="AB490" i="12"/>
  <c r="AC490" i="12"/>
  <c r="AD490" i="12"/>
  <c r="AE490" i="12"/>
  <c r="AG490" i="12" s="1"/>
  <c r="AJ490" i="12" s="1"/>
  <c r="AF490" i="12"/>
  <c r="AH490" i="12"/>
  <c r="AI490" i="12" s="1"/>
  <c r="AK490" i="12"/>
  <c r="AL490" i="12"/>
  <c r="AM490" i="12" s="1"/>
  <c r="AA491" i="12"/>
  <c r="AB491" i="12"/>
  <c r="AC491" i="12"/>
  <c r="AD491" i="12"/>
  <c r="AE491" i="12"/>
  <c r="AK491" i="12"/>
  <c r="AL491" i="12"/>
  <c r="AM491" i="12"/>
  <c r="AA492" i="12"/>
  <c r="AB492" i="12"/>
  <c r="AC492" i="12"/>
  <c r="AD492" i="12"/>
  <c r="AE492" i="12"/>
  <c r="AF492" i="12"/>
  <c r="AG492" i="12"/>
  <c r="AH492" i="12"/>
  <c r="AI492" i="12" s="1"/>
  <c r="AJ492" i="12"/>
  <c r="AK492" i="12"/>
  <c r="AL492" i="12"/>
  <c r="AM492" i="12" s="1"/>
  <c r="AA493" i="12"/>
  <c r="AB493" i="12"/>
  <c r="AC493" i="12"/>
  <c r="AD493" i="12"/>
  <c r="AE493" i="12"/>
  <c r="AF493" i="12" s="1"/>
  <c r="AH493" i="12" s="1"/>
  <c r="AI493" i="12" s="1"/>
  <c r="AG493" i="12"/>
  <c r="AK493" i="12"/>
  <c r="AL493" i="12"/>
  <c r="AM493" i="12"/>
  <c r="AA494" i="12"/>
  <c r="AB494" i="12"/>
  <c r="AC494" i="12"/>
  <c r="AD494" i="12"/>
  <c r="AE494" i="12"/>
  <c r="AG494" i="12" s="1"/>
  <c r="AF494" i="12"/>
  <c r="AH494" i="12" s="1"/>
  <c r="AI494" i="12" s="1"/>
  <c r="AJ494" i="12" s="1"/>
  <c r="AK494" i="12"/>
  <c r="AL494" i="12"/>
  <c r="AM494" i="12" s="1"/>
  <c r="AA495" i="12"/>
  <c r="AB495" i="12"/>
  <c r="AC495" i="12"/>
  <c r="AD495" i="12"/>
  <c r="AE495" i="12"/>
  <c r="AF495" i="12" s="1"/>
  <c r="AH495" i="12" s="1"/>
  <c r="AI495" i="12" s="1"/>
  <c r="AG495" i="12"/>
  <c r="AK495" i="12"/>
  <c r="AL495" i="12"/>
  <c r="AM495" i="12"/>
  <c r="AA496" i="12"/>
  <c r="AB496" i="12"/>
  <c r="AC496" i="12"/>
  <c r="AD496" i="12"/>
  <c r="AE496" i="12"/>
  <c r="AF496" i="12"/>
  <c r="AH496" i="12" s="1"/>
  <c r="AI496" i="12" s="1"/>
  <c r="AJ496" i="12" s="1"/>
  <c r="AG496" i="12"/>
  <c r="AK496" i="12"/>
  <c r="AL496" i="12"/>
  <c r="AM496" i="12" s="1"/>
  <c r="AA497" i="12"/>
  <c r="AB497" i="12"/>
  <c r="AC497" i="12"/>
  <c r="AD497" i="12"/>
  <c r="AE497" i="12"/>
  <c r="AK497" i="12"/>
  <c r="AL497" i="12"/>
  <c r="AM497" i="12"/>
  <c r="AA498" i="12"/>
  <c r="AB498" i="12"/>
  <c r="AC498" i="12"/>
  <c r="AD498" i="12"/>
  <c r="AE498" i="12"/>
  <c r="AG498" i="12" s="1"/>
  <c r="AF498" i="12"/>
  <c r="AH498" i="12"/>
  <c r="AI498" i="12" s="1"/>
  <c r="AK498" i="12"/>
  <c r="AL498" i="12"/>
  <c r="AM498" i="12" s="1"/>
  <c r="AA499" i="12"/>
  <c r="AB499" i="12"/>
  <c r="AC499" i="12"/>
  <c r="AD499" i="12"/>
  <c r="AE499" i="12"/>
  <c r="AK499" i="12"/>
  <c r="AL499" i="12"/>
  <c r="AM499" i="12"/>
  <c r="AA500" i="12"/>
  <c r="AB500" i="12"/>
  <c r="AC500" i="12"/>
  <c r="AD500" i="12"/>
  <c r="AE500" i="12"/>
  <c r="AF500" i="12"/>
  <c r="AH500" i="12" s="1"/>
  <c r="AI500" i="12" s="1"/>
  <c r="AG500" i="12"/>
  <c r="AJ500" i="12"/>
  <c r="AK500" i="12"/>
  <c r="AL500" i="12"/>
  <c r="AM500" i="12" s="1"/>
  <c r="AA501" i="12"/>
  <c r="AB501" i="12"/>
  <c r="AC501" i="12"/>
  <c r="AD501" i="12"/>
  <c r="AE501" i="12"/>
  <c r="AF501" i="12" s="1"/>
  <c r="AH501" i="12" s="1"/>
  <c r="AG501" i="12"/>
  <c r="AJ501" i="12" s="1"/>
  <c r="AI501" i="12"/>
  <c r="AK501" i="12"/>
  <c r="AL501" i="12"/>
  <c r="AM501" i="12"/>
  <c r="AA502" i="12"/>
  <c r="AB502" i="12"/>
  <c r="AC502" i="12"/>
  <c r="AD502" i="12"/>
  <c r="AE502" i="12"/>
  <c r="AG502" i="12" s="1"/>
  <c r="AF502" i="12"/>
  <c r="AH502" i="12" s="1"/>
  <c r="AI502" i="12" s="1"/>
  <c r="AJ502" i="12"/>
  <c r="AK502" i="12"/>
  <c r="AL502" i="12"/>
  <c r="AM502" i="12" s="1"/>
  <c r="AA503" i="12"/>
  <c r="AB503" i="12"/>
  <c r="AC503" i="12"/>
  <c r="AD503" i="12"/>
  <c r="AE503" i="12"/>
  <c r="AF503" i="12" s="1"/>
  <c r="AH503" i="12" s="1"/>
  <c r="AG503" i="12"/>
  <c r="AJ503" i="12" s="1"/>
  <c r="AI503" i="12"/>
  <c r="AK503" i="12"/>
  <c r="AL503" i="12"/>
  <c r="AM503" i="12"/>
  <c r="AA504" i="12"/>
  <c r="AB504" i="12"/>
  <c r="AC504" i="12"/>
  <c r="AD504" i="12"/>
  <c r="AE504" i="12"/>
  <c r="AF504" i="12"/>
  <c r="AH504" i="12" s="1"/>
  <c r="AI504" i="12" s="1"/>
  <c r="AJ504" i="12" s="1"/>
  <c r="AG504" i="12"/>
  <c r="AK504" i="12"/>
  <c r="AL504" i="12"/>
  <c r="AM504" i="12" s="1"/>
  <c r="AA505" i="12"/>
  <c r="AB505" i="12"/>
  <c r="AC505" i="12"/>
  <c r="AD505" i="12"/>
  <c r="AE505" i="12"/>
  <c r="AK505" i="12"/>
  <c r="AL505" i="12"/>
  <c r="AM505" i="12"/>
  <c r="AA506" i="12"/>
  <c r="AB506" i="12"/>
  <c r="AC506" i="12"/>
  <c r="AD506" i="12"/>
  <c r="AE506" i="12"/>
  <c r="AG506" i="12" s="1"/>
  <c r="AF506" i="12"/>
  <c r="AH506" i="12"/>
  <c r="AI506" i="12" s="1"/>
  <c r="AK506" i="12"/>
  <c r="AL506" i="12"/>
  <c r="AM506" i="12" s="1"/>
  <c r="AA507" i="12"/>
  <c r="AB507" i="12"/>
  <c r="AC507" i="12"/>
  <c r="AD507" i="12"/>
  <c r="AE507" i="12"/>
  <c r="AK507" i="12"/>
  <c r="AL507" i="12"/>
  <c r="AM507" i="12"/>
  <c r="AA508" i="12"/>
  <c r="AB508" i="12"/>
  <c r="AC508" i="12"/>
  <c r="AD508" i="12"/>
  <c r="AE508" i="12"/>
  <c r="AF508" i="12"/>
  <c r="AG508" i="12"/>
  <c r="AH508" i="12"/>
  <c r="AI508" i="12" s="1"/>
  <c r="AJ508" i="12"/>
  <c r="AK508" i="12"/>
  <c r="AL508" i="12"/>
  <c r="AM508" i="12" s="1"/>
  <c r="AA509" i="12"/>
  <c r="AB509" i="12"/>
  <c r="AC509" i="12"/>
  <c r="AD509" i="12"/>
  <c r="AE509" i="12"/>
  <c r="AF509" i="12" s="1"/>
  <c r="AH509" i="12" s="1"/>
  <c r="AI509" i="12" s="1"/>
  <c r="AG509" i="12"/>
  <c r="AJ509" i="12" s="1"/>
  <c r="AK509" i="12"/>
  <c r="AL509" i="12"/>
  <c r="AM509" i="12"/>
  <c r="AA510" i="12"/>
  <c r="AB510" i="12"/>
  <c r="AC510" i="12"/>
  <c r="AD510" i="12"/>
  <c r="AE510" i="12"/>
  <c r="AG510" i="12" s="1"/>
  <c r="AF510" i="12"/>
  <c r="AH510" i="12" s="1"/>
  <c r="AI510" i="12" s="1"/>
  <c r="AJ510" i="12"/>
  <c r="AK510" i="12"/>
  <c r="AL510" i="12"/>
  <c r="AM510" i="12" s="1"/>
  <c r="AA511" i="12"/>
  <c r="AB511" i="12"/>
  <c r="AC511" i="12"/>
  <c r="AD511" i="12"/>
  <c r="AE511" i="12"/>
  <c r="AF511" i="12" s="1"/>
  <c r="AH511" i="12" s="1"/>
  <c r="AI511" i="12" s="1"/>
  <c r="AG511" i="12"/>
  <c r="AJ511" i="12" s="1"/>
  <c r="AK511" i="12"/>
  <c r="AL511" i="12"/>
  <c r="AM511" i="12"/>
  <c r="AA512" i="12"/>
  <c r="AB512" i="12"/>
  <c r="AC512" i="12"/>
  <c r="AD512" i="12"/>
  <c r="AE512" i="12"/>
  <c r="AF512" i="12"/>
  <c r="AH512" i="12" s="1"/>
  <c r="AI512" i="12" s="1"/>
  <c r="AJ512" i="12" s="1"/>
  <c r="AG512" i="12"/>
  <c r="AK512" i="12"/>
  <c r="AL512" i="12"/>
  <c r="AM512" i="12" s="1"/>
  <c r="AA513" i="12"/>
  <c r="AB513" i="12"/>
  <c r="AC513" i="12"/>
  <c r="AD513" i="12"/>
  <c r="AE513" i="12"/>
  <c r="AK513" i="12"/>
  <c r="AL513" i="12"/>
  <c r="AM513" i="12"/>
  <c r="AA514" i="12"/>
  <c r="AB514" i="12"/>
  <c r="AC514" i="12"/>
  <c r="AD514" i="12"/>
  <c r="AE514" i="12"/>
  <c r="AG514" i="12" s="1"/>
  <c r="AF514" i="12"/>
  <c r="AH514" i="12"/>
  <c r="AI514" i="12" s="1"/>
  <c r="AK514" i="12"/>
  <c r="AL514" i="12"/>
  <c r="AM514" i="12" s="1"/>
  <c r="AA515" i="12"/>
  <c r="AB515" i="12"/>
  <c r="AC515" i="12"/>
  <c r="AD515" i="12"/>
  <c r="AE515" i="12"/>
  <c r="AK515" i="12"/>
  <c r="AL515" i="12"/>
  <c r="AM515" i="12"/>
  <c r="AA516" i="12"/>
  <c r="AB516" i="12"/>
  <c r="AC516" i="12"/>
  <c r="AD516" i="12"/>
  <c r="AE516" i="12"/>
  <c r="AF516" i="12"/>
  <c r="AH516" i="12" s="1"/>
  <c r="AI516" i="12" s="1"/>
  <c r="AJ516" i="12" s="1"/>
  <c r="AG516" i="12"/>
  <c r="AK516" i="12"/>
  <c r="AL516" i="12"/>
  <c r="AM516" i="12" s="1"/>
  <c r="AA517" i="12"/>
  <c r="AB517" i="12"/>
  <c r="AC517" i="12"/>
  <c r="AD517" i="12"/>
  <c r="AE517" i="12"/>
  <c r="AF517" i="12" s="1"/>
  <c r="AH517" i="12" s="1"/>
  <c r="AG517" i="12"/>
  <c r="AJ517" i="12" s="1"/>
  <c r="AI517" i="12"/>
  <c r="AK517" i="12"/>
  <c r="AL517" i="12"/>
  <c r="AM517" i="12"/>
  <c r="AA518" i="12"/>
  <c r="AB518" i="12"/>
  <c r="AC518" i="12"/>
  <c r="AD518" i="12"/>
  <c r="AE518" i="12"/>
  <c r="AG518" i="12" s="1"/>
  <c r="AF518" i="12"/>
  <c r="AH518" i="12" s="1"/>
  <c r="AI518" i="12" s="1"/>
  <c r="AJ518" i="12" s="1"/>
  <c r="AK518" i="12"/>
  <c r="AL518" i="12"/>
  <c r="AM518" i="12" s="1"/>
  <c r="AA519" i="12"/>
  <c r="AB519" i="12"/>
  <c r="AC519" i="12"/>
  <c r="AD519" i="12"/>
  <c r="AE519" i="12"/>
  <c r="AF519" i="12" s="1"/>
  <c r="AH519" i="12" s="1"/>
  <c r="AG519" i="12"/>
  <c r="AJ519" i="12" s="1"/>
  <c r="AI519" i="12"/>
  <c r="AK519" i="12"/>
  <c r="AL519" i="12"/>
  <c r="AM519" i="12"/>
  <c r="AA520" i="12"/>
  <c r="AB520" i="12"/>
  <c r="AC520" i="12"/>
  <c r="AD520" i="12"/>
  <c r="AE520" i="12"/>
  <c r="AF520" i="12"/>
  <c r="AH520" i="12" s="1"/>
  <c r="AI520" i="12" s="1"/>
  <c r="AJ520" i="12" s="1"/>
  <c r="AG520" i="12"/>
  <c r="AK520" i="12"/>
  <c r="AL520" i="12"/>
  <c r="AM520" i="12" s="1"/>
  <c r="AA521" i="12"/>
  <c r="AB521" i="12"/>
  <c r="AC521" i="12"/>
  <c r="AD521" i="12"/>
  <c r="AE521" i="12"/>
  <c r="AK521" i="12"/>
  <c r="AL521" i="12"/>
  <c r="AM521" i="12"/>
  <c r="AA522" i="12"/>
  <c r="AB522" i="12"/>
  <c r="AC522" i="12"/>
  <c r="AD522" i="12"/>
  <c r="AE522" i="12"/>
  <c r="AG522" i="12" s="1"/>
  <c r="AF522" i="12"/>
  <c r="AH522" i="12"/>
  <c r="AI522" i="12" s="1"/>
  <c r="AK522" i="12"/>
  <c r="AL522" i="12"/>
  <c r="AM522" i="12" s="1"/>
  <c r="AA523" i="12"/>
  <c r="AB523" i="12"/>
  <c r="AC523" i="12"/>
  <c r="AD523" i="12"/>
  <c r="AE523" i="12"/>
  <c r="AK523" i="12"/>
  <c r="AL523" i="12"/>
  <c r="AM523" i="12"/>
  <c r="AA524" i="12"/>
  <c r="AB524" i="12"/>
  <c r="AC524" i="12"/>
  <c r="AD524" i="12"/>
  <c r="AE524" i="12"/>
  <c r="AF524" i="12"/>
  <c r="AG524" i="12"/>
  <c r="AH524" i="12"/>
  <c r="AI524" i="12" s="1"/>
  <c r="AJ524" i="12"/>
  <c r="AK524" i="12"/>
  <c r="AL524" i="12"/>
  <c r="AM524" i="12" s="1"/>
  <c r="AA525" i="12"/>
  <c r="AB525" i="12"/>
  <c r="AC525" i="12"/>
  <c r="AD525" i="12"/>
  <c r="AE525" i="12"/>
  <c r="AF525" i="12" s="1"/>
  <c r="AH525" i="12" s="1"/>
  <c r="AI525" i="12" s="1"/>
  <c r="AG525" i="12"/>
  <c r="AK525" i="12"/>
  <c r="AL525" i="12"/>
  <c r="AM525" i="12"/>
  <c r="AA526" i="12"/>
  <c r="AB526" i="12"/>
  <c r="AC526" i="12"/>
  <c r="AD526" i="12"/>
  <c r="AE526" i="12"/>
  <c r="AG526" i="12" s="1"/>
  <c r="AF526" i="12"/>
  <c r="AH526" i="12" s="1"/>
  <c r="AI526" i="12" s="1"/>
  <c r="AJ526" i="12" s="1"/>
  <c r="AK526" i="12"/>
  <c r="AL526" i="12"/>
  <c r="AM526" i="12" s="1"/>
  <c r="AA527" i="12"/>
  <c r="AB527" i="12"/>
  <c r="AC527" i="12"/>
  <c r="AD527" i="12"/>
  <c r="AE527" i="12"/>
  <c r="AF527" i="12" s="1"/>
  <c r="AH527" i="12" s="1"/>
  <c r="AI527" i="12" s="1"/>
  <c r="AG527" i="12"/>
  <c r="AK527" i="12"/>
  <c r="AL527" i="12"/>
  <c r="AM527" i="12"/>
  <c r="AA528" i="12"/>
  <c r="AB528" i="12"/>
  <c r="AC528" i="12"/>
  <c r="AD528" i="12"/>
  <c r="AE528" i="12"/>
  <c r="AF528" i="12"/>
  <c r="AG528" i="12"/>
  <c r="AH528" i="12"/>
  <c r="AI528" i="12" s="1"/>
  <c r="AJ528" i="12" s="1"/>
  <c r="AK528" i="12"/>
  <c r="AL528" i="12"/>
  <c r="AM528" i="12" s="1"/>
  <c r="AA529" i="12"/>
  <c r="AB529" i="12"/>
  <c r="AC529" i="12"/>
  <c r="AD529" i="12"/>
  <c r="AE529" i="12"/>
  <c r="AK529" i="12"/>
  <c r="AL529" i="12"/>
  <c r="AM529" i="12"/>
  <c r="AA530" i="12"/>
  <c r="AB530" i="12"/>
  <c r="AC530" i="12"/>
  <c r="AD530" i="12"/>
  <c r="AE530" i="12"/>
  <c r="AG530" i="12" s="1"/>
  <c r="AJ530" i="12" s="1"/>
  <c r="AF530" i="12"/>
  <c r="AH530" i="12"/>
  <c r="AI530" i="12" s="1"/>
  <c r="AK530" i="12"/>
  <c r="AL530" i="12"/>
  <c r="AM530" i="12" s="1"/>
  <c r="AA531" i="12"/>
  <c r="AB531" i="12"/>
  <c r="AC531" i="12"/>
  <c r="AD531" i="12"/>
  <c r="AE531" i="12"/>
  <c r="AK531" i="12"/>
  <c r="AL531" i="12"/>
  <c r="AM531" i="12"/>
  <c r="AA532" i="12"/>
  <c r="AB532" i="12"/>
  <c r="AC532" i="12"/>
  <c r="AD532" i="12"/>
  <c r="AE532" i="12"/>
  <c r="AF532" i="12"/>
  <c r="AH532" i="12" s="1"/>
  <c r="AI532" i="12" s="1"/>
  <c r="AJ532" i="12" s="1"/>
  <c r="AG532" i="12"/>
  <c r="AK532" i="12"/>
  <c r="AL532" i="12"/>
  <c r="AM532" i="12" s="1"/>
  <c r="AA533" i="12"/>
  <c r="AB533" i="12"/>
  <c r="AC533" i="12"/>
  <c r="AD533" i="12"/>
  <c r="AE533" i="12"/>
  <c r="AF533" i="12" s="1"/>
  <c r="AH533" i="12" s="1"/>
  <c r="AG533" i="12"/>
  <c r="AJ533" i="12" s="1"/>
  <c r="AI533" i="12"/>
  <c r="AK533" i="12"/>
  <c r="AL533" i="12"/>
  <c r="AM533" i="12"/>
  <c r="AA534" i="12"/>
  <c r="AB534" i="12"/>
  <c r="AC534" i="12"/>
  <c r="AD534" i="12"/>
  <c r="AE534" i="12"/>
  <c r="AG534" i="12" s="1"/>
  <c r="AF534" i="12"/>
  <c r="AH534" i="12" s="1"/>
  <c r="AI534" i="12" s="1"/>
  <c r="AJ534" i="12"/>
  <c r="AK534" i="12"/>
  <c r="AL534" i="12"/>
  <c r="AM534" i="12" s="1"/>
  <c r="AA535" i="12"/>
  <c r="AB535" i="12"/>
  <c r="AC535" i="12"/>
  <c r="AD535" i="12"/>
  <c r="AE535" i="12"/>
  <c r="AF535" i="12" s="1"/>
  <c r="AH535" i="12" s="1"/>
  <c r="AG535" i="12"/>
  <c r="AJ535" i="12" s="1"/>
  <c r="AI535" i="12"/>
  <c r="AK535" i="12"/>
  <c r="AL535" i="12"/>
  <c r="AM535" i="12"/>
  <c r="AA536" i="12"/>
  <c r="AB536" i="12"/>
  <c r="AC536" i="12"/>
  <c r="AD536" i="12"/>
  <c r="AE536" i="12"/>
  <c r="AF536" i="12"/>
  <c r="AG536" i="12"/>
  <c r="AH536" i="12"/>
  <c r="AI536" i="12" s="1"/>
  <c r="AJ536" i="12" s="1"/>
  <c r="AK536" i="12"/>
  <c r="AL536" i="12"/>
  <c r="AM536" i="12" s="1"/>
  <c r="AA537" i="12"/>
  <c r="AB537" i="12"/>
  <c r="AC537" i="12"/>
  <c r="AD537" i="12"/>
  <c r="AE537" i="12"/>
  <c r="AF537" i="12" s="1"/>
  <c r="AH537" i="12" s="1"/>
  <c r="AI537" i="12" s="1"/>
  <c r="AG537" i="12"/>
  <c r="AJ537" i="12" s="1"/>
  <c r="AK537" i="12"/>
  <c r="AL537" i="12"/>
  <c r="AM537" i="12"/>
  <c r="AA538" i="12"/>
  <c r="AB538" i="12"/>
  <c r="AC538" i="12"/>
  <c r="AD538" i="12"/>
  <c r="AE538" i="12"/>
  <c r="AK538" i="12"/>
  <c r="AL538" i="12"/>
  <c r="AM538" i="12" s="1"/>
  <c r="AA539" i="12"/>
  <c r="AB539" i="12"/>
  <c r="AC539" i="12"/>
  <c r="AD539" i="12"/>
  <c r="AE539" i="12"/>
  <c r="AK539" i="12"/>
  <c r="AL539" i="12"/>
  <c r="AM539" i="12"/>
  <c r="AA540" i="12"/>
  <c r="AB540" i="12"/>
  <c r="AC540" i="12"/>
  <c r="AD540" i="12"/>
  <c r="AE540" i="12"/>
  <c r="AF540" i="12"/>
  <c r="AH540" i="12" s="1"/>
  <c r="AI540" i="12" s="1"/>
  <c r="AG540" i="12"/>
  <c r="AK540" i="12"/>
  <c r="AL540" i="12"/>
  <c r="AM540" i="12" s="1"/>
  <c r="AA541" i="12"/>
  <c r="AB541" i="12"/>
  <c r="AC541" i="12"/>
  <c r="AD541" i="12"/>
  <c r="AE541" i="12"/>
  <c r="AF541" i="12" s="1"/>
  <c r="AH541" i="12" s="1"/>
  <c r="AI541" i="12" s="1"/>
  <c r="AG541" i="12"/>
  <c r="AJ541" i="12" s="1"/>
  <c r="AK541" i="12"/>
  <c r="AL541" i="12"/>
  <c r="AM541" i="12"/>
  <c r="AA542" i="12"/>
  <c r="AB542" i="12"/>
  <c r="AC542" i="12"/>
  <c r="AD542" i="12"/>
  <c r="AE542" i="12"/>
  <c r="AK542" i="12"/>
  <c r="AL542" i="12"/>
  <c r="AM542" i="12" s="1"/>
  <c r="AA543" i="12"/>
  <c r="AB543" i="12"/>
  <c r="AC543" i="12"/>
  <c r="AD543" i="12"/>
  <c r="AE543" i="12"/>
  <c r="AK543" i="12"/>
  <c r="AL543" i="12"/>
  <c r="AM543" i="12"/>
  <c r="AA544" i="12"/>
  <c r="AB544" i="12"/>
  <c r="AC544" i="12"/>
  <c r="AD544" i="12"/>
  <c r="AE544" i="12"/>
  <c r="AF544" i="12"/>
  <c r="AG544" i="12"/>
  <c r="AH544" i="12"/>
  <c r="AI544" i="12" s="1"/>
  <c r="AJ544" i="12" s="1"/>
  <c r="AK544" i="12"/>
  <c r="AL544" i="12"/>
  <c r="AM544" i="12" s="1"/>
  <c r="AA545" i="12"/>
  <c r="AB545" i="12"/>
  <c r="AC545" i="12"/>
  <c r="AD545" i="12"/>
  <c r="AE545" i="12"/>
  <c r="AF545" i="12" s="1"/>
  <c r="AH545" i="12" s="1"/>
  <c r="AI545" i="12" s="1"/>
  <c r="AG545" i="12"/>
  <c r="AJ545" i="12" s="1"/>
  <c r="AK545" i="12"/>
  <c r="AL545" i="12"/>
  <c r="AM545" i="12"/>
  <c r="AA546" i="12"/>
  <c r="AB546" i="12"/>
  <c r="AC546" i="12"/>
  <c r="AD546" i="12"/>
  <c r="AE546" i="12"/>
  <c r="AK546" i="12"/>
  <c r="AL546" i="12"/>
  <c r="AM546" i="12" s="1"/>
  <c r="AA547" i="12"/>
  <c r="AB547" i="12"/>
  <c r="AC547" i="12"/>
  <c r="AD547" i="12"/>
  <c r="AE547" i="12"/>
  <c r="AK547" i="12"/>
  <c r="AL547" i="12"/>
  <c r="AM547" i="12"/>
  <c r="AA548" i="12"/>
  <c r="AB548" i="12"/>
  <c r="AC548" i="12"/>
  <c r="AD548" i="12"/>
  <c r="AE548" i="12"/>
  <c r="AF548" i="12"/>
  <c r="AH548" i="12" s="1"/>
  <c r="AI548" i="12" s="1"/>
  <c r="AG548" i="12"/>
  <c r="AK548" i="12"/>
  <c r="AL548" i="12"/>
  <c r="AM548" i="12" s="1"/>
  <c r="AA549" i="12"/>
  <c r="AB549" i="12"/>
  <c r="AC549" i="12"/>
  <c r="AD549" i="12"/>
  <c r="AE549" i="12"/>
  <c r="AF549" i="12" s="1"/>
  <c r="AH549" i="12" s="1"/>
  <c r="AI549" i="12" s="1"/>
  <c r="AG549" i="12"/>
  <c r="AJ549" i="12" s="1"/>
  <c r="AK549" i="12"/>
  <c r="AL549" i="12"/>
  <c r="AM549" i="12"/>
  <c r="AA550" i="12"/>
  <c r="AB550" i="12"/>
  <c r="AC550" i="12"/>
  <c r="AD550" i="12"/>
  <c r="AE550" i="12"/>
  <c r="AK550" i="12"/>
  <c r="AL550" i="12"/>
  <c r="AM550" i="12" s="1"/>
  <c r="AA551" i="12"/>
  <c r="AB551" i="12"/>
  <c r="AC551" i="12"/>
  <c r="AD551" i="12"/>
  <c r="AE551" i="12"/>
  <c r="AK551" i="12"/>
  <c r="AL551" i="12"/>
  <c r="AM551" i="12"/>
  <c r="AA552" i="12"/>
  <c r="AB552" i="12"/>
  <c r="AC552" i="12"/>
  <c r="AD552" i="12"/>
  <c r="AE552" i="12"/>
  <c r="AF552" i="12"/>
  <c r="AG552" i="12"/>
  <c r="AH552" i="12"/>
  <c r="AI552" i="12" s="1"/>
  <c r="AJ552" i="12" s="1"/>
  <c r="AK552" i="12"/>
  <c r="AL552" i="12"/>
  <c r="AM552" i="12" s="1"/>
  <c r="AA553" i="12"/>
  <c r="AB553" i="12"/>
  <c r="AC553" i="12"/>
  <c r="AD553" i="12"/>
  <c r="AE553" i="12"/>
  <c r="AF553" i="12" s="1"/>
  <c r="AH553" i="12" s="1"/>
  <c r="AI553" i="12" s="1"/>
  <c r="AG553" i="12"/>
  <c r="AJ553" i="12" s="1"/>
  <c r="AK553" i="12"/>
  <c r="AL553" i="12"/>
  <c r="AM553" i="12"/>
  <c r="AA554" i="12"/>
  <c r="AB554" i="12"/>
  <c r="AC554" i="12"/>
  <c r="AD554" i="12"/>
  <c r="AE554" i="12"/>
  <c r="AK554" i="12"/>
  <c r="AL554" i="12"/>
  <c r="AM554" i="12" s="1"/>
  <c r="AA555" i="12"/>
  <c r="AB555" i="12"/>
  <c r="AC555" i="12"/>
  <c r="AD555" i="12"/>
  <c r="AE555" i="12"/>
  <c r="AK555" i="12"/>
  <c r="AL555" i="12"/>
  <c r="AM555" i="12"/>
  <c r="AA556" i="12"/>
  <c r="AB556" i="12"/>
  <c r="AC556" i="12"/>
  <c r="AD556" i="12"/>
  <c r="AE556" i="12"/>
  <c r="AF556" i="12"/>
  <c r="AH556" i="12" s="1"/>
  <c r="AI556" i="12" s="1"/>
  <c r="AG556" i="12"/>
  <c r="AK556" i="12"/>
  <c r="AL556" i="12"/>
  <c r="AM556" i="12" s="1"/>
  <c r="AA557" i="12"/>
  <c r="AB557" i="12"/>
  <c r="AC557" i="12"/>
  <c r="AD557" i="12"/>
  <c r="AE557" i="12"/>
  <c r="AF557" i="12" s="1"/>
  <c r="AH557" i="12" s="1"/>
  <c r="AI557" i="12" s="1"/>
  <c r="AG557" i="12"/>
  <c r="AJ557" i="12" s="1"/>
  <c r="AK557" i="12"/>
  <c r="AL557" i="12"/>
  <c r="AM557" i="12"/>
  <c r="AA558" i="12"/>
  <c r="AB558" i="12"/>
  <c r="AC558" i="12"/>
  <c r="AD558" i="12"/>
  <c r="AE558" i="12"/>
  <c r="AK558" i="12"/>
  <c r="AL558" i="12"/>
  <c r="AM558" i="12" s="1"/>
  <c r="AA559" i="12"/>
  <c r="AB559" i="12"/>
  <c r="AC559" i="12"/>
  <c r="AD559" i="12"/>
  <c r="AE559" i="12"/>
  <c r="AK559" i="12"/>
  <c r="AL559" i="12"/>
  <c r="AM559" i="12"/>
  <c r="AA560" i="12"/>
  <c r="AB560" i="12"/>
  <c r="AC560" i="12"/>
  <c r="AD560" i="12"/>
  <c r="AE560" i="12"/>
  <c r="AF560" i="12"/>
  <c r="AG560" i="12"/>
  <c r="AH560" i="12"/>
  <c r="AI560" i="12" s="1"/>
  <c r="AJ560" i="12" s="1"/>
  <c r="AK560" i="12"/>
  <c r="AL560" i="12"/>
  <c r="AM560" i="12" s="1"/>
  <c r="AA561" i="12"/>
  <c r="AB561" i="12"/>
  <c r="AC561" i="12"/>
  <c r="AD561" i="12"/>
  <c r="AE561" i="12"/>
  <c r="AF561" i="12" s="1"/>
  <c r="AH561" i="12" s="1"/>
  <c r="AI561" i="12" s="1"/>
  <c r="AG561" i="12"/>
  <c r="AJ561" i="12" s="1"/>
  <c r="AK561" i="12"/>
  <c r="AL561" i="12"/>
  <c r="AM561" i="12"/>
  <c r="AA562" i="12"/>
  <c r="AB562" i="12"/>
  <c r="AC562" i="12"/>
  <c r="AD562" i="12"/>
  <c r="AE562" i="12"/>
  <c r="AK562" i="12"/>
  <c r="AL562" i="12"/>
  <c r="AM562" i="12" s="1"/>
  <c r="AA563" i="12"/>
  <c r="AB563" i="12"/>
  <c r="AC563" i="12"/>
  <c r="AD563" i="12"/>
  <c r="AE563" i="12"/>
  <c r="AK563" i="12"/>
  <c r="AL563" i="12"/>
  <c r="AM563" i="12"/>
  <c r="AA564" i="12"/>
  <c r="AB564" i="12"/>
  <c r="AC564" i="12"/>
  <c r="AD564" i="12"/>
  <c r="AE564" i="12"/>
  <c r="AF564" i="12"/>
  <c r="AH564" i="12" s="1"/>
  <c r="AI564" i="12" s="1"/>
  <c r="AG564" i="12"/>
  <c r="AK564" i="12"/>
  <c r="AL564" i="12"/>
  <c r="AM564" i="12" s="1"/>
  <c r="AA565" i="12"/>
  <c r="AB565" i="12"/>
  <c r="AC565" i="12"/>
  <c r="AD565" i="12"/>
  <c r="AE565" i="12"/>
  <c r="AF565" i="12" s="1"/>
  <c r="AH565" i="12" s="1"/>
  <c r="AI565" i="12" s="1"/>
  <c r="AG565" i="12"/>
  <c r="AJ565" i="12" s="1"/>
  <c r="AK565" i="12"/>
  <c r="AL565" i="12"/>
  <c r="AM565" i="12"/>
  <c r="AA566" i="12"/>
  <c r="AB566" i="12"/>
  <c r="AC566" i="12"/>
  <c r="AD566" i="12"/>
  <c r="AE566" i="12"/>
  <c r="AK566" i="12"/>
  <c r="AL566" i="12"/>
  <c r="AM566" i="12" s="1"/>
  <c r="AA567" i="12"/>
  <c r="AB567" i="12"/>
  <c r="AC567" i="12"/>
  <c r="AD567" i="12"/>
  <c r="AE567" i="12"/>
  <c r="AK567" i="12"/>
  <c r="AL567" i="12"/>
  <c r="AM567" i="12"/>
  <c r="AA568" i="12"/>
  <c r="AB568" i="12"/>
  <c r="AC568" i="12"/>
  <c r="AD568" i="12"/>
  <c r="AE568" i="12"/>
  <c r="AF568" i="12"/>
  <c r="AG568" i="12"/>
  <c r="AH568" i="12"/>
  <c r="AI568" i="12" s="1"/>
  <c r="AJ568" i="12" s="1"/>
  <c r="AK568" i="12"/>
  <c r="AL568" i="12"/>
  <c r="AM568" i="12" s="1"/>
  <c r="AA569" i="12"/>
  <c r="AB569" i="12"/>
  <c r="AC569" i="12"/>
  <c r="AD569" i="12"/>
  <c r="AE569" i="12"/>
  <c r="AF569" i="12" s="1"/>
  <c r="AH569" i="12" s="1"/>
  <c r="AI569" i="12" s="1"/>
  <c r="AG569" i="12"/>
  <c r="AJ569" i="12" s="1"/>
  <c r="AK569" i="12"/>
  <c r="AL569" i="12"/>
  <c r="AM569" i="12"/>
  <c r="AA570" i="12"/>
  <c r="AB570" i="12"/>
  <c r="AC570" i="12"/>
  <c r="AD570" i="12"/>
  <c r="AE570" i="12"/>
  <c r="AK570" i="12"/>
  <c r="AL570" i="12"/>
  <c r="AM570" i="12" s="1"/>
  <c r="AA571" i="12"/>
  <c r="AB571" i="12"/>
  <c r="AC571" i="12"/>
  <c r="AD571" i="12"/>
  <c r="AE571" i="12"/>
  <c r="AK571" i="12"/>
  <c r="AL571" i="12"/>
  <c r="AM571" i="12"/>
  <c r="AA572" i="12"/>
  <c r="AB572" i="12"/>
  <c r="AC572" i="12"/>
  <c r="AD572" i="12"/>
  <c r="AE572" i="12"/>
  <c r="AF572" i="12"/>
  <c r="AH572" i="12" s="1"/>
  <c r="AI572" i="12" s="1"/>
  <c r="AG572" i="12"/>
  <c r="AK572" i="12"/>
  <c r="AL572" i="12"/>
  <c r="AM572" i="12" s="1"/>
  <c r="AA573" i="12"/>
  <c r="AB573" i="12"/>
  <c r="AC573" i="12"/>
  <c r="AD573" i="12"/>
  <c r="AE573" i="12"/>
  <c r="AF573" i="12" s="1"/>
  <c r="AH573" i="12" s="1"/>
  <c r="AI573" i="12" s="1"/>
  <c r="AG573" i="12"/>
  <c r="AJ573" i="12" s="1"/>
  <c r="AK573" i="12"/>
  <c r="AL573" i="12"/>
  <c r="AM573" i="12"/>
  <c r="AA574" i="12"/>
  <c r="AB574" i="12"/>
  <c r="AC574" i="12"/>
  <c r="AD574" i="12"/>
  <c r="AE574" i="12"/>
  <c r="AK574" i="12"/>
  <c r="AL574" i="12"/>
  <c r="AM574" i="12" s="1"/>
  <c r="AA575" i="12"/>
  <c r="AB575" i="12"/>
  <c r="AC575" i="12"/>
  <c r="AD575" i="12"/>
  <c r="AE575" i="12"/>
  <c r="AK575" i="12"/>
  <c r="AL575" i="12"/>
  <c r="AM575" i="12"/>
  <c r="AA576" i="12"/>
  <c r="AB576" i="12"/>
  <c r="AC576" i="12"/>
  <c r="AD576" i="12"/>
  <c r="AE576" i="12"/>
  <c r="AF576" i="12"/>
  <c r="AG576" i="12"/>
  <c r="AH576" i="12"/>
  <c r="AI576" i="12" s="1"/>
  <c r="AJ576" i="12" s="1"/>
  <c r="AK576" i="12"/>
  <c r="AL576" i="12"/>
  <c r="AM576" i="12" s="1"/>
  <c r="AA577" i="12"/>
  <c r="AB577" i="12"/>
  <c r="AC577" i="12"/>
  <c r="AD577" i="12"/>
  <c r="AE577" i="12"/>
  <c r="AF577" i="12" s="1"/>
  <c r="AH577" i="12" s="1"/>
  <c r="AI577" i="12" s="1"/>
  <c r="AG577" i="12"/>
  <c r="AJ577" i="12" s="1"/>
  <c r="AK577" i="12"/>
  <c r="AL577" i="12"/>
  <c r="AM577" i="12"/>
  <c r="AA578" i="12"/>
  <c r="AB578" i="12"/>
  <c r="AC578" i="12"/>
  <c r="AD578" i="12"/>
  <c r="AE578" i="12"/>
  <c r="AK578" i="12"/>
  <c r="AL578" i="12"/>
  <c r="AM578" i="12" s="1"/>
  <c r="AA579" i="12"/>
  <c r="AB579" i="12"/>
  <c r="AC579" i="12"/>
  <c r="AD579" i="12"/>
  <c r="AE579" i="12"/>
  <c r="AK579" i="12"/>
  <c r="AL579" i="12"/>
  <c r="AM579" i="12"/>
  <c r="AA580" i="12"/>
  <c r="AB580" i="12"/>
  <c r="AC580" i="12"/>
  <c r="AD580" i="12"/>
  <c r="AE580" i="12"/>
  <c r="AF580" i="12"/>
  <c r="AH580" i="12" s="1"/>
  <c r="AI580" i="12" s="1"/>
  <c r="AG580" i="12"/>
  <c r="AK580" i="12"/>
  <c r="AL580" i="12"/>
  <c r="AM580" i="12" s="1"/>
  <c r="AA581" i="12"/>
  <c r="AB581" i="12"/>
  <c r="AC581" i="12"/>
  <c r="AD581" i="12"/>
  <c r="AE581" i="12"/>
  <c r="AF581" i="12" s="1"/>
  <c r="AH581" i="12" s="1"/>
  <c r="AI581" i="12" s="1"/>
  <c r="AG581" i="12"/>
  <c r="AJ581" i="12" s="1"/>
  <c r="AK581" i="12"/>
  <c r="AL581" i="12"/>
  <c r="AM581" i="12"/>
  <c r="AA582" i="12"/>
  <c r="AB582" i="12"/>
  <c r="AC582" i="12"/>
  <c r="AD582" i="12"/>
  <c r="AE582" i="12"/>
  <c r="AK582" i="12"/>
  <c r="AL582" i="12"/>
  <c r="AM582" i="12" s="1"/>
  <c r="AA583" i="12"/>
  <c r="AB583" i="12"/>
  <c r="AC583" i="12"/>
  <c r="AD583" i="12"/>
  <c r="AE583" i="12"/>
  <c r="AK583" i="12"/>
  <c r="AL583" i="12"/>
  <c r="AM583" i="12"/>
  <c r="AA584" i="12"/>
  <c r="AB584" i="12"/>
  <c r="AC584" i="12"/>
  <c r="AD584" i="12"/>
  <c r="AE584" i="12"/>
  <c r="AF584" i="12"/>
  <c r="AG584" i="12"/>
  <c r="AH584" i="12"/>
  <c r="AI584" i="12" s="1"/>
  <c r="AJ584" i="12" s="1"/>
  <c r="AK584" i="12"/>
  <c r="AL584" i="12"/>
  <c r="AM584" i="12" s="1"/>
  <c r="AA585" i="12"/>
  <c r="AB585" i="12"/>
  <c r="AC585" i="12"/>
  <c r="AD585" i="12"/>
  <c r="AE585" i="12"/>
  <c r="AF585" i="12" s="1"/>
  <c r="AH585" i="12" s="1"/>
  <c r="AI585" i="12" s="1"/>
  <c r="AG585" i="12"/>
  <c r="AJ585" i="12" s="1"/>
  <c r="AK585" i="12"/>
  <c r="AL585" i="12"/>
  <c r="AM585" i="12"/>
  <c r="AA586" i="12"/>
  <c r="AB586" i="12"/>
  <c r="AC586" i="12"/>
  <c r="AD586" i="12"/>
  <c r="AE586" i="12"/>
  <c r="AK586" i="12"/>
  <c r="AL586" i="12"/>
  <c r="AM586" i="12" s="1"/>
  <c r="AA587" i="12"/>
  <c r="AB587" i="12"/>
  <c r="AC587" i="12"/>
  <c r="AD587" i="12"/>
  <c r="AE587" i="12"/>
  <c r="AK587" i="12"/>
  <c r="AL587" i="12"/>
  <c r="AM587" i="12"/>
  <c r="AA588" i="12"/>
  <c r="AB588" i="12"/>
  <c r="AC588" i="12"/>
  <c r="AD588" i="12"/>
  <c r="AE588" i="12"/>
  <c r="AF588" i="12"/>
  <c r="AH588" i="12" s="1"/>
  <c r="AI588" i="12" s="1"/>
  <c r="AG588" i="12"/>
  <c r="AK588" i="12"/>
  <c r="AL588" i="12"/>
  <c r="AM588" i="12" s="1"/>
  <c r="AA589" i="12"/>
  <c r="AB589" i="12"/>
  <c r="AC589" i="12"/>
  <c r="AD589" i="12"/>
  <c r="AE589" i="12"/>
  <c r="AF589" i="12" s="1"/>
  <c r="AH589" i="12" s="1"/>
  <c r="AI589" i="12" s="1"/>
  <c r="AG589" i="12"/>
  <c r="AJ589" i="12" s="1"/>
  <c r="AK589" i="12"/>
  <c r="AL589" i="12"/>
  <c r="AM589" i="12"/>
  <c r="AA590" i="12"/>
  <c r="AB590" i="12"/>
  <c r="AC590" i="12"/>
  <c r="AD590" i="12"/>
  <c r="AE590" i="12"/>
  <c r="AK590" i="12"/>
  <c r="AL590" i="12"/>
  <c r="AM590" i="12" s="1"/>
  <c r="AA591" i="12"/>
  <c r="AB591" i="12"/>
  <c r="AC591" i="12"/>
  <c r="AD591" i="12"/>
  <c r="AE591" i="12"/>
  <c r="AK591" i="12"/>
  <c r="AL591" i="12"/>
  <c r="AM591" i="12"/>
  <c r="AA592" i="12"/>
  <c r="AB592" i="12"/>
  <c r="AC592" i="12"/>
  <c r="AD592" i="12"/>
  <c r="AE592" i="12"/>
  <c r="AF592" i="12"/>
  <c r="AG592" i="12"/>
  <c r="AH592" i="12"/>
  <c r="AI592" i="12" s="1"/>
  <c r="AJ592" i="12" s="1"/>
  <c r="AK592" i="12"/>
  <c r="AL592" i="12"/>
  <c r="AM592" i="12" s="1"/>
  <c r="AA593" i="12"/>
  <c r="AB593" i="12"/>
  <c r="AC593" i="12"/>
  <c r="AD593" i="12"/>
  <c r="AE593" i="12"/>
  <c r="AF593" i="12" s="1"/>
  <c r="AH593" i="12" s="1"/>
  <c r="AI593" i="12" s="1"/>
  <c r="AG593" i="12"/>
  <c r="AJ593" i="12" s="1"/>
  <c r="AK593" i="12"/>
  <c r="AL593" i="12"/>
  <c r="AM593" i="12"/>
  <c r="AA594" i="12"/>
  <c r="AB594" i="12"/>
  <c r="AC594" i="12"/>
  <c r="AD594" i="12"/>
  <c r="AE594" i="12"/>
  <c r="AK594" i="12"/>
  <c r="AL594" i="12"/>
  <c r="AM594" i="12" s="1"/>
  <c r="AA595" i="12"/>
  <c r="AB595" i="12"/>
  <c r="AC595" i="12"/>
  <c r="AD595" i="12"/>
  <c r="AE595" i="12"/>
  <c r="AK595" i="12"/>
  <c r="AL595" i="12"/>
  <c r="AM595" i="12"/>
  <c r="AA596" i="12"/>
  <c r="AB596" i="12"/>
  <c r="AC596" i="12"/>
  <c r="AD596" i="12"/>
  <c r="AE596" i="12"/>
  <c r="AF596" i="12"/>
  <c r="AH596" i="12" s="1"/>
  <c r="AI596" i="12" s="1"/>
  <c r="AG596" i="12"/>
  <c r="AK596" i="12"/>
  <c r="AL596" i="12"/>
  <c r="AM596" i="12" s="1"/>
  <c r="AA597" i="12"/>
  <c r="AB597" i="12"/>
  <c r="AC597" i="12"/>
  <c r="AD597" i="12"/>
  <c r="AE597" i="12"/>
  <c r="AF597" i="12" s="1"/>
  <c r="AH597" i="12" s="1"/>
  <c r="AI597" i="12" s="1"/>
  <c r="AG597" i="12"/>
  <c r="AJ597" i="12" s="1"/>
  <c r="AK597" i="12"/>
  <c r="AL597" i="12"/>
  <c r="AM597" i="12"/>
  <c r="AA598" i="12"/>
  <c r="AB598" i="12"/>
  <c r="AC598" i="12"/>
  <c r="AD598" i="12"/>
  <c r="AE598" i="12"/>
  <c r="AK598" i="12"/>
  <c r="AL598" i="12"/>
  <c r="AM598" i="12" s="1"/>
  <c r="AA599" i="12"/>
  <c r="AB599" i="12"/>
  <c r="AC599" i="12"/>
  <c r="AD599" i="12"/>
  <c r="AE599" i="12"/>
  <c r="AK599" i="12"/>
  <c r="AL599" i="12"/>
  <c r="AM599" i="12"/>
  <c r="AA600" i="12"/>
  <c r="AB600" i="12"/>
  <c r="AC600" i="12"/>
  <c r="AD600" i="12"/>
  <c r="AE600" i="12"/>
  <c r="AF600" i="12"/>
  <c r="AG600" i="12"/>
  <c r="AH600" i="12"/>
  <c r="AI600" i="12" s="1"/>
  <c r="AJ600" i="12" s="1"/>
  <c r="AK600" i="12"/>
  <c r="AL600" i="12"/>
  <c r="AM600" i="12" s="1"/>
  <c r="AA601" i="12"/>
  <c r="AB601" i="12"/>
  <c r="AC601" i="12"/>
  <c r="AD601" i="12"/>
  <c r="AE601" i="12"/>
  <c r="AF601" i="12" s="1"/>
  <c r="AH601" i="12" s="1"/>
  <c r="AI601" i="12" s="1"/>
  <c r="AG601" i="12"/>
  <c r="AJ601" i="12" s="1"/>
  <c r="AK601" i="12"/>
  <c r="AL601" i="12"/>
  <c r="AM601" i="12"/>
  <c r="AA602" i="12"/>
  <c r="AB602" i="12"/>
  <c r="AC602" i="12"/>
  <c r="AD602" i="12"/>
  <c r="AE602" i="12"/>
  <c r="AK602" i="12"/>
  <c r="AL602" i="12"/>
  <c r="AM602" i="12" s="1"/>
  <c r="AA603" i="12"/>
  <c r="AB603" i="12"/>
  <c r="AC603" i="12"/>
  <c r="AD603" i="12"/>
  <c r="AE603" i="12"/>
  <c r="AK603" i="12"/>
  <c r="AL603" i="12"/>
  <c r="AM603" i="12"/>
  <c r="AA604" i="12"/>
  <c r="AB604" i="12"/>
  <c r="AC604" i="12"/>
  <c r="AD604" i="12"/>
  <c r="AE604" i="12"/>
  <c r="AF604" i="12"/>
  <c r="AH604" i="12" s="1"/>
  <c r="AI604" i="12" s="1"/>
  <c r="AG604" i="12"/>
  <c r="AK604" i="12"/>
  <c r="AL604" i="12"/>
  <c r="AM604" i="12" s="1"/>
  <c r="AA605" i="12"/>
  <c r="AB605" i="12"/>
  <c r="AC605" i="12"/>
  <c r="AD605" i="12"/>
  <c r="AE605" i="12"/>
  <c r="AF605" i="12" s="1"/>
  <c r="AH605" i="12" s="1"/>
  <c r="AI605" i="12" s="1"/>
  <c r="AG605" i="12"/>
  <c r="AJ605" i="12" s="1"/>
  <c r="AK605" i="12"/>
  <c r="AL605" i="12"/>
  <c r="AM605" i="12"/>
  <c r="AA606" i="12"/>
  <c r="AB606" i="12"/>
  <c r="AC606" i="12"/>
  <c r="AD606" i="12"/>
  <c r="AE606" i="12"/>
  <c r="AK606" i="12"/>
  <c r="AL606" i="12"/>
  <c r="AM606" i="12" s="1"/>
  <c r="AA607" i="12"/>
  <c r="AB607" i="12"/>
  <c r="AC607" i="12"/>
  <c r="AD607" i="12"/>
  <c r="AE607" i="12"/>
  <c r="AK607" i="12"/>
  <c r="AL607" i="12"/>
  <c r="AM607" i="12"/>
  <c r="AA608" i="12"/>
  <c r="AB608" i="12"/>
  <c r="AC608" i="12"/>
  <c r="AD608" i="12"/>
  <c r="AE608" i="12"/>
  <c r="AF608" i="12"/>
  <c r="AG608" i="12"/>
  <c r="AH608" i="12"/>
  <c r="AI608" i="12" s="1"/>
  <c r="AJ608" i="12" s="1"/>
  <c r="AK608" i="12"/>
  <c r="AL608" i="12"/>
  <c r="AM608" i="12" s="1"/>
  <c r="AA609" i="12"/>
  <c r="AB609" i="12"/>
  <c r="AC609" i="12"/>
  <c r="AD609" i="12"/>
  <c r="AE609" i="12"/>
  <c r="AF609" i="12" s="1"/>
  <c r="AH609" i="12" s="1"/>
  <c r="AI609" i="12" s="1"/>
  <c r="AG609" i="12"/>
  <c r="AJ609" i="12" s="1"/>
  <c r="AK609" i="12"/>
  <c r="AL609" i="12"/>
  <c r="AM609" i="12"/>
  <c r="AA610" i="12"/>
  <c r="AB610" i="12"/>
  <c r="AC610" i="12"/>
  <c r="AD610" i="12"/>
  <c r="AE610" i="12"/>
  <c r="AK610" i="12"/>
  <c r="AL610" i="12"/>
  <c r="AM610" i="12" s="1"/>
  <c r="AA611" i="12"/>
  <c r="AB611" i="12"/>
  <c r="AC611" i="12"/>
  <c r="AD611" i="12"/>
  <c r="AE611" i="12"/>
  <c r="AK611" i="12"/>
  <c r="AL611" i="12"/>
  <c r="AM611" i="12"/>
  <c r="AA612" i="12"/>
  <c r="AB612" i="12"/>
  <c r="AC612" i="12"/>
  <c r="AD612" i="12"/>
  <c r="AE612" i="12"/>
  <c r="AF612" i="12"/>
  <c r="AH612" i="12" s="1"/>
  <c r="AI612" i="12" s="1"/>
  <c r="AG612" i="12"/>
  <c r="AK612" i="12"/>
  <c r="AL612" i="12"/>
  <c r="AM612" i="12" s="1"/>
  <c r="AA613" i="12"/>
  <c r="AB613" i="12"/>
  <c r="AC613" i="12"/>
  <c r="AD613" i="12"/>
  <c r="AE613" i="12"/>
  <c r="AF613" i="12" s="1"/>
  <c r="AH613" i="12" s="1"/>
  <c r="AI613" i="12" s="1"/>
  <c r="AG613" i="12"/>
  <c r="AJ613" i="12" s="1"/>
  <c r="AK613" i="12"/>
  <c r="AL613" i="12"/>
  <c r="AM613" i="12"/>
  <c r="AA614" i="12"/>
  <c r="AB614" i="12"/>
  <c r="AC614" i="12"/>
  <c r="AD614" i="12"/>
  <c r="AE614" i="12"/>
  <c r="AK614" i="12"/>
  <c r="AL614" i="12"/>
  <c r="AM614" i="12" s="1"/>
  <c r="AA615" i="12"/>
  <c r="AB615" i="12"/>
  <c r="AC615" i="12"/>
  <c r="AD615" i="12"/>
  <c r="AE615" i="12"/>
  <c r="AK615" i="12"/>
  <c r="AL615" i="12"/>
  <c r="AM615" i="12"/>
  <c r="AA616" i="12"/>
  <c r="AB616" i="12"/>
  <c r="AC616" i="12"/>
  <c r="AD616" i="12"/>
  <c r="AE616" i="12"/>
  <c r="AF616" i="12"/>
  <c r="AG616" i="12"/>
  <c r="AH616" i="12"/>
  <c r="AI616" i="12" s="1"/>
  <c r="AJ616" i="12" s="1"/>
  <c r="AK616" i="12"/>
  <c r="AL616" i="12"/>
  <c r="AM616" i="12" s="1"/>
  <c r="AA617" i="12"/>
  <c r="AB617" i="12"/>
  <c r="AC617" i="12"/>
  <c r="AD617" i="12"/>
  <c r="AE617" i="12"/>
  <c r="AF617" i="12" s="1"/>
  <c r="AH617" i="12" s="1"/>
  <c r="AI617" i="12" s="1"/>
  <c r="AG617" i="12"/>
  <c r="AJ617" i="12" s="1"/>
  <c r="AK617" i="12"/>
  <c r="AL617" i="12"/>
  <c r="AM617" i="12"/>
  <c r="AA618" i="12"/>
  <c r="AB618" i="12"/>
  <c r="AC618" i="12"/>
  <c r="AD618" i="12"/>
  <c r="AE618" i="12"/>
  <c r="AK618" i="12"/>
  <c r="AL618" i="12"/>
  <c r="AM618" i="12" s="1"/>
  <c r="AA619" i="12"/>
  <c r="AB619" i="12"/>
  <c r="AC619" i="12"/>
  <c r="AD619" i="12"/>
  <c r="AE619" i="12"/>
  <c r="AK619" i="12"/>
  <c r="AL619" i="12"/>
  <c r="AM619" i="12"/>
  <c r="AA620" i="12"/>
  <c r="AB620" i="12"/>
  <c r="AC620" i="12"/>
  <c r="AD620" i="12"/>
  <c r="AE620" i="12"/>
  <c r="AF620" i="12"/>
  <c r="AH620" i="12" s="1"/>
  <c r="AI620" i="12" s="1"/>
  <c r="AG620" i="12"/>
  <c r="AK620" i="12"/>
  <c r="AL620" i="12"/>
  <c r="AM620" i="12" s="1"/>
  <c r="AA621" i="12"/>
  <c r="AB621" i="12"/>
  <c r="AC621" i="12"/>
  <c r="AD621" i="12"/>
  <c r="AE621" i="12"/>
  <c r="AF621" i="12" s="1"/>
  <c r="AH621" i="12" s="1"/>
  <c r="AI621" i="12" s="1"/>
  <c r="AG621" i="12"/>
  <c r="AJ621" i="12" s="1"/>
  <c r="AK621" i="12"/>
  <c r="AL621" i="12"/>
  <c r="AM621" i="12"/>
  <c r="AA622" i="12"/>
  <c r="AB622" i="12"/>
  <c r="AC622" i="12"/>
  <c r="AD622" i="12"/>
  <c r="AE622" i="12"/>
  <c r="AK622" i="12"/>
  <c r="AL622" i="12"/>
  <c r="AM622" i="12" s="1"/>
  <c r="AA623" i="12"/>
  <c r="AB623" i="12"/>
  <c r="AC623" i="12"/>
  <c r="AD623" i="12"/>
  <c r="AE623" i="12"/>
  <c r="AK623" i="12"/>
  <c r="AL623" i="12"/>
  <c r="AM623" i="12"/>
  <c r="AA624" i="12"/>
  <c r="AB624" i="12"/>
  <c r="AC624" i="12"/>
  <c r="AD624" i="12"/>
  <c r="AE624" i="12"/>
  <c r="AF624" i="12"/>
  <c r="AG624" i="12"/>
  <c r="AH624" i="12"/>
  <c r="AI624" i="12" s="1"/>
  <c r="AJ624" i="12" s="1"/>
  <c r="AK624" i="12"/>
  <c r="AL624" i="12"/>
  <c r="AM624" i="12" s="1"/>
  <c r="AA625" i="12"/>
  <c r="AB625" i="12"/>
  <c r="AC625" i="12"/>
  <c r="AD625" i="12"/>
  <c r="AE625" i="12"/>
  <c r="AF625" i="12" s="1"/>
  <c r="AH625" i="12" s="1"/>
  <c r="AI625" i="12" s="1"/>
  <c r="AG625" i="12"/>
  <c r="AJ625" i="12" s="1"/>
  <c r="AK625" i="12"/>
  <c r="AL625" i="12"/>
  <c r="AM625" i="12"/>
  <c r="AA626" i="12"/>
  <c r="AB626" i="12"/>
  <c r="AC626" i="12"/>
  <c r="AD626" i="12"/>
  <c r="AE626" i="12"/>
  <c r="AK626" i="12"/>
  <c r="AL626" i="12"/>
  <c r="AM626" i="12" s="1"/>
  <c r="AA627" i="12"/>
  <c r="AB627" i="12"/>
  <c r="AC627" i="12"/>
  <c r="AD627" i="12"/>
  <c r="AE627" i="12"/>
  <c r="AK627" i="12"/>
  <c r="AL627" i="12"/>
  <c r="AM627" i="12"/>
  <c r="AA628" i="12"/>
  <c r="AB628" i="12"/>
  <c r="AC628" i="12"/>
  <c r="AD628" i="12"/>
  <c r="AE628" i="12"/>
  <c r="AF628" i="12"/>
  <c r="AH628" i="12" s="1"/>
  <c r="AI628" i="12" s="1"/>
  <c r="AG628" i="12"/>
  <c r="AK628" i="12"/>
  <c r="AL628" i="12"/>
  <c r="AM628" i="12" s="1"/>
  <c r="AA629" i="12"/>
  <c r="AB629" i="12"/>
  <c r="AC629" i="12"/>
  <c r="AD629" i="12"/>
  <c r="AE629" i="12"/>
  <c r="AF629" i="12" s="1"/>
  <c r="AH629" i="12" s="1"/>
  <c r="AI629" i="12" s="1"/>
  <c r="AG629" i="12"/>
  <c r="AJ629" i="12" s="1"/>
  <c r="AK629" i="12"/>
  <c r="AL629" i="12"/>
  <c r="AM629" i="12"/>
  <c r="AA630" i="12"/>
  <c r="AB630" i="12"/>
  <c r="AC630" i="12"/>
  <c r="AD630" i="12"/>
  <c r="AE630" i="12"/>
  <c r="AK630" i="12"/>
  <c r="AL630" i="12"/>
  <c r="AM630" i="12" s="1"/>
  <c r="AA631" i="12"/>
  <c r="AB631" i="12"/>
  <c r="AC631" i="12"/>
  <c r="AD631" i="12"/>
  <c r="AE631" i="12"/>
  <c r="AK631" i="12"/>
  <c r="AL631" i="12"/>
  <c r="AM631" i="12"/>
  <c r="AA632" i="12"/>
  <c r="AB632" i="12"/>
  <c r="AC632" i="12"/>
  <c r="AD632" i="12"/>
  <c r="AE632" i="12"/>
  <c r="AF632" i="12"/>
  <c r="AG632" i="12"/>
  <c r="AH632" i="12"/>
  <c r="AI632" i="12" s="1"/>
  <c r="AJ632" i="12" s="1"/>
  <c r="AK632" i="12"/>
  <c r="AL632" i="12"/>
  <c r="AM632" i="12" s="1"/>
  <c r="AA633" i="12"/>
  <c r="AB633" i="12"/>
  <c r="AC633" i="12"/>
  <c r="AD633" i="12"/>
  <c r="AE633" i="12"/>
  <c r="AF633" i="12" s="1"/>
  <c r="AH633" i="12" s="1"/>
  <c r="AI633" i="12" s="1"/>
  <c r="AG633" i="12"/>
  <c r="AJ633" i="12" s="1"/>
  <c r="AK633" i="12"/>
  <c r="AL633" i="12"/>
  <c r="AM633" i="12"/>
  <c r="AA634" i="12"/>
  <c r="AB634" i="12"/>
  <c r="AC634" i="12"/>
  <c r="AD634" i="12"/>
  <c r="AE634" i="12"/>
  <c r="AK634" i="12"/>
  <c r="AL634" i="12"/>
  <c r="AM634" i="12" s="1"/>
  <c r="AA635" i="12"/>
  <c r="AB635" i="12"/>
  <c r="AC635" i="12"/>
  <c r="AD635" i="12"/>
  <c r="AE635" i="12"/>
  <c r="AF635" i="12" s="1"/>
  <c r="AH635" i="12" s="1"/>
  <c r="AI635" i="12"/>
  <c r="AK635" i="12"/>
  <c r="AL635" i="12"/>
  <c r="AM635" i="12"/>
  <c r="AA636" i="12"/>
  <c r="AB636" i="12"/>
  <c r="AC636" i="12"/>
  <c r="AD636" i="12"/>
  <c r="AE636" i="12"/>
  <c r="AG636" i="12" s="1"/>
  <c r="AJ636" i="12" s="1"/>
  <c r="AF636" i="12"/>
  <c r="AH636" i="12"/>
  <c r="AI636" i="12" s="1"/>
  <c r="AK636" i="12"/>
  <c r="AL636" i="12"/>
  <c r="AM636" i="12" s="1"/>
  <c r="AA637" i="12"/>
  <c r="AB637" i="12"/>
  <c r="AC637" i="12"/>
  <c r="AD637" i="12"/>
  <c r="AE637" i="12"/>
  <c r="AF637" i="12" s="1"/>
  <c r="AH637" i="12" s="1"/>
  <c r="AI637" i="12"/>
  <c r="AK637" i="12"/>
  <c r="AL637" i="12"/>
  <c r="AM637" i="12"/>
  <c r="AA638" i="12"/>
  <c r="AB638" i="12"/>
  <c r="AC638" i="12"/>
  <c r="AD638" i="12"/>
  <c r="AE638" i="12"/>
  <c r="AF638" i="12"/>
  <c r="AG638" i="12"/>
  <c r="AH638" i="12"/>
  <c r="AI638" i="12" s="1"/>
  <c r="AJ638" i="12"/>
  <c r="AK638" i="12"/>
  <c r="AL638" i="12"/>
  <c r="AM638" i="12" s="1"/>
  <c r="AA639" i="12"/>
  <c r="AB639" i="12"/>
  <c r="AC639" i="12"/>
  <c r="AD639" i="12"/>
  <c r="AE639" i="12"/>
  <c r="AF639" i="12" s="1"/>
  <c r="AH639" i="12" s="1"/>
  <c r="AI639" i="12" s="1"/>
  <c r="AG639" i="12"/>
  <c r="AK639" i="12"/>
  <c r="AL639" i="12"/>
  <c r="AM639" i="12"/>
  <c r="AA640" i="12"/>
  <c r="AB640" i="12"/>
  <c r="AC640" i="12"/>
  <c r="AD640" i="12"/>
  <c r="AE640" i="12"/>
  <c r="AG640" i="12" s="1"/>
  <c r="AF640" i="12"/>
  <c r="AH640" i="12" s="1"/>
  <c r="AI640" i="12" s="1"/>
  <c r="AJ640" i="12" s="1"/>
  <c r="AK640" i="12"/>
  <c r="AL640" i="12"/>
  <c r="AM640" i="12" s="1"/>
  <c r="AA641" i="12"/>
  <c r="AB641" i="12"/>
  <c r="AC641" i="12"/>
  <c r="AD641" i="12"/>
  <c r="AE641" i="12"/>
  <c r="AF641" i="12" s="1"/>
  <c r="AH641" i="12" s="1"/>
  <c r="AI641" i="12" s="1"/>
  <c r="AG641" i="12"/>
  <c r="AK641" i="12"/>
  <c r="AL641" i="12"/>
  <c r="AM641" i="12"/>
  <c r="AA642" i="12"/>
  <c r="AB642" i="12"/>
  <c r="AC642" i="12"/>
  <c r="AD642" i="12"/>
  <c r="AE642" i="12"/>
  <c r="AF642" i="12"/>
  <c r="AG642" i="12"/>
  <c r="AH642" i="12"/>
  <c r="AI642" i="12" s="1"/>
  <c r="AJ642" i="12" s="1"/>
  <c r="AK642" i="12"/>
  <c r="AL642" i="12"/>
  <c r="AM642" i="12" s="1"/>
  <c r="AA643" i="12"/>
  <c r="AB643" i="12"/>
  <c r="AC643" i="12"/>
  <c r="AD643" i="12"/>
  <c r="AE643" i="12"/>
  <c r="AF643" i="12" s="1"/>
  <c r="AH643" i="12" s="1"/>
  <c r="AI643" i="12" s="1"/>
  <c r="AK643" i="12"/>
  <c r="AL643" i="12"/>
  <c r="AM643" i="12"/>
  <c r="AA644" i="12"/>
  <c r="AB644" i="12"/>
  <c r="AC644" i="12"/>
  <c r="AD644" i="12"/>
  <c r="AE644" i="12"/>
  <c r="AG644" i="12" s="1"/>
  <c r="AJ644" i="12" s="1"/>
  <c r="AF644" i="12"/>
  <c r="AH644" i="12"/>
  <c r="AI644" i="12" s="1"/>
  <c r="AK644" i="12"/>
  <c r="AL644" i="12"/>
  <c r="AM644" i="12" s="1"/>
  <c r="AA645" i="12"/>
  <c r="AB645" i="12"/>
  <c r="AC645" i="12"/>
  <c r="AD645" i="12"/>
  <c r="AE645" i="12"/>
  <c r="AF645" i="12" s="1"/>
  <c r="AH645" i="12" s="1"/>
  <c r="AI645" i="12" s="1"/>
  <c r="AK645" i="12"/>
  <c r="AL645" i="12"/>
  <c r="AM645" i="12"/>
  <c r="AA646" i="12"/>
  <c r="AB646" i="12"/>
  <c r="AC646" i="12"/>
  <c r="AD646" i="12"/>
  <c r="AE646" i="12"/>
  <c r="AF646" i="12"/>
  <c r="AH646" i="12" s="1"/>
  <c r="AI646" i="12" s="1"/>
  <c r="AJ646" i="12" s="1"/>
  <c r="AG646" i="12"/>
  <c r="AK646" i="12"/>
  <c r="AL646" i="12"/>
  <c r="AM646" i="12" s="1"/>
  <c r="AA647" i="12"/>
  <c r="AB647" i="12"/>
  <c r="AC647" i="12"/>
  <c r="AD647" i="12"/>
  <c r="AE647" i="12"/>
  <c r="AF647" i="12" s="1"/>
  <c r="AH647" i="12" s="1"/>
  <c r="AG647" i="12"/>
  <c r="AJ647" i="12" s="1"/>
  <c r="AI647" i="12"/>
  <c r="AK647" i="12"/>
  <c r="AL647" i="12"/>
  <c r="AM647" i="12"/>
  <c r="AA648" i="12"/>
  <c r="AB648" i="12"/>
  <c r="AC648" i="12"/>
  <c r="AD648" i="12"/>
  <c r="AE648" i="12"/>
  <c r="AG648" i="12" s="1"/>
  <c r="AF648" i="12"/>
  <c r="AH648" i="12" s="1"/>
  <c r="AI648" i="12" s="1"/>
  <c r="AJ648" i="12" s="1"/>
  <c r="AK648" i="12"/>
  <c r="AL648" i="12"/>
  <c r="AM648" i="12" s="1"/>
  <c r="AA649" i="12"/>
  <c r="AB649" i="12"/>
  <c r="AC649" i="12"/>
  <c r="AD649" i="12"/>
  <c r="AE649" i="12"/>
  <c r="AF649" i="12" s="1"/>
  <c r="AH649" i="12" s="1"/>
  <c r="AG649" i="12"/>
  <c r="AJ649" i="12" s="1"/>
  <c r="AI649" i="12"/>
  <c r="AK649" i="12"/>
  <c r="AL649" i="12"/>
  <c r="AM649" i="12"/>
  <c r="AA650" i="12"/>
  <c r="AB650" i="12"/>
  <c r="AC650" i="12"/>
  <c r="AD650" i="12"/>
  <c r="AE650" i="12"/>
  <c r="AF650" i="12"/>
  <c r="AH650" i="12" s="1"/>
  <c r="AI650" i="12" s="1"/>
  <c r="AJ650" i="12" s="1"/>
  <c r="AG650" i="12"/>
  <c r="AK650" i="12"/>
  <c r="AL650" i="12"/>
  <c r="AM650" i="12" s="1"/>
  <c r="AA651" i="12"/>
  <c r="AB651" i="12"/>
  <c r="AC651" i="12"/>
  <c r="AD651" i="12"/>
  <c r="AE651" i="12"/>
  <c r="AF651" i="12" s="1"/>
  <c r="AH651" i="12" s="1"/>
  <c r="AI651" i="12"/>
  <c r="AK651" i="12"/>
  <c r="AL651" i="12"/>
  <c r="AM651" i="12"/>
  <c r="AA652" i="12"/>
  <c r="AB652" i="12"/>
  <c r="AC652" i="12"/>
  <c r="AD652" i="12"/>
  <c r="AE652" i="12"/>
  <c r="AG652" i="12" s="1"/>
  <c r="AJ652" i="12" s="1"/>
  <c r="AF652" i="12"/>
  <c r="AH652" i="12"/>
  <c r="AI652" i="12" s="1"/>
  <c r="AK652" i="12"/>
  <c r="AL652" i="12"/>
  <c r="AM652" i="12" s="1"/>
  <c r="AA653" i="12"/>
  <c r="AB653" i="12"/>
  <c r="AC653" i="12"/>
  <c r="AD653" i="12"/>
  <c r="AE653" i="12"/>
  <c r="AF653" i="12" s="1"/>
  <c r="AH653" i="12" s="1"/>
  <c r="AI653" i="12"/>
  <c r="AK653" i="12"/>
  <c r="AL653" i="12"/>
  <c r="AM653" i="12"/>
  <c r="AA654" i="12"/>
  <c r="AB654" i="12"/>
  <c r="AC654" i="12"/>
  <c r="AD654" i="12"/>
  <c r="AE654" i="12"/>
  <c r="AF654" i="12"/>
  <c r="AG654" i="12"/>
  <c r="AH654" i="12"/>
  <c r="AI654" i="12" s="1"/>
  <c r="AJ654" i="12"/>
  <c r="AK654" i="12"/>
  <c r="AL654" i="12"/>
  <c r="AM654" i="12" s="1"/>
  <c r="AA655" i="12"/>
  <c r="AB655" i="12"/>
  <c r="AC655" i="12"/>
  <c r="AD655" i="12"/>
  <c r="AE655" i="12"/>
  <c r="AF655" i="12" s="1"/>
  <c r="AH655" i="12" s="1"/>
  <c r="AI655" i="12" s="1"/>
  <c r="AG655" i="12"/>
  <c r="AK655" i="12"/>
  <c r="AL655" i="12"/>
  <c r="AM655" i="12"/>
  <c r="AA656" i="12"/>
  <c r="AB656" i="12"/>
  <c r="AC656" i="12"/>
  <c r="AD656" i="12"/>
  <c r="AE656" i="12"/>
  <c r="AG656" i="12" s="1"/>
  <c r="AF656" i="12"/>
  <c r="AH656" i="12" s="1"/>
  <c r="AI656" i="12" s="1"/>
  <c r="AJ656" i="12" s="1"/>
  <c r="AK656" i="12"/>
  <c r="AL656" i="12"/>
  <c r="AM656" i="12" s="1"/>
  <c r="AA657" i="12"/>
  <c r="AB657" i="12"/>
  <c r="AC657" i="12"/>
  <c r="AD657" i="12"/>
  <c r="AE657" i="12"/>
  <c r="AF657" i="12" s="1"/>
  <c r="AH657" i="12" s="1"/>
  <c r="AI657" i="12" s="1"/>
  <c r="AG657" i="12"/>
  <c r="AK657" i="12"/>
  <c r="AL657" i="12"/>
  <c r="AM657" i="12"/>
  <c r="AA658" i="12"/>
  <c r="AB658" i="12"/>
  <c r="AC658" i="12"/>
  <c r="AD658" i="12"/>
  <c r="AE658" i="12"/>
  <c r="AF658" i="12"/>
  <c r="AG658" i="12"/>
  <c r="AH658" i="12"/>
  <c r="AI658" i="12" s="1"/>
  <c r="AJ658" i="12" s="1"/>
  <c r="AK658" i="12"/>
  <c r="AL658" i="12"/>
  <c r="AM658" i="12" s="1"/>
  <c r="AA659" i="12"/>
  <c r="AB659" i="12"/>
  <c r="AC659" i="12"/>
  <c r="AD659" i="12"/>
  <c r="AE659" i="12"/>
  <c r="AF659" i="12" s="1"/>
  <c r="AH659" i="12" s="1"/>
  <c r="AI659" i="12" s="1"/>
  <c r="AK659" i="12"/>
  <c r="AL659" i="12"/>
  <c r="AM659" i="12"/>
  <c r="AA660" i="12"/>
  <c r="AB660" i="12"/>
  <c r="AC660" i="12"/>
  <c r="AD660" i="12"/>
  <c r="AE660" i="12"/>
  <c r="AG660" i="12" s="1"/>
  <c r="AJ660" i="12" s="1"/>
  <c r="AF660" i="12"/>
  <c r="AH660" i="12"/>
  <c r="AI660" i="12" s="1"/>
  <c r="AK660" i="12"/>
  <c r="AL660" i="12"/>
  <c r="AM660" i="12" s="1"/>
  <c r="AA661" i="12"/>
  <c r="AB661" i="12"/>
  <c r="AC661" i="12"/>
  <c r="AD661" i="12"/>
  <c r="AE661" i="12"/>
  <c r="AF661" i="12" s="1"/>
  <c r="AH661" i="12" s="1"/>
  <c r="AI661" i="12" s="1"/>
  <c r="AK661" i="12"/>
  <c r="AL661" i="12"/>
  <c r="AM661" i="12"/>
  <c r="AA662" i="12"/>
  <c r="AB662" i="12"/>
  <c r="AC662" i="12"/>
  <c r="AD662" i="12"/>
  <c r="AE662" i="12"/>
  <c r="AF662" i="12"/>
  <c r="AH662" i="12" s="1"/>
  <c r="AI662" i="12" s="1"/>
  <c r="AJ662" i="12" s="1"/>
  <c r="AG662" i="12"/>
  <c r="AK662" i="12"/>
  <c r="AL662" i="12"/>
  <c r="AM662" i="12" s="1"/>
  <c r="AA663" i="12"/>
  <c r="AB663" i="12"/>
  <c r="AC663" i="12"/>
  <c r="AD663" i="12"/>
  <c r="AE663" i="12"/>
  <c r="AF663" i="12" s="1"/>
  <c r="AH663" i="12" s="1"/>
  <c r="AG663" i="12"/>
  <c r="AJ663" i="12" s="1"/>
  <c r="AI663" i="12"/>
  <c r="AK663" i="12"/>
  <c r="AL663" i="12"/>
  <c r="AM663" i="12"/>
  <c r="AA664" i="12"/>
  <c r="AB664" i="12"/>
  <c r="AC664" i="12"/>
  <c r="AD664" i="12"/>
  <c r="AE664" i="12"/>
  <c r="AG664" i="12" s="1"/>
  <c r="AF664" i="12"/>
  <c r="AH664" i="12" s="1"/>
  <c r="AI664" i="12" s="1"/>
  <c r="AJ664" i="12" s="1"/>
  <c r="AK664" i="12"/>
  <c r="AL664" i="12"/>
  <c r="AM664" i="12" s="1"/>
  <c r="AA665" i="12"/>
  <c r="AB665" i="12"/>
  <c r="AC665" i="12"/>
  <c r="AD665" i="12"/>
  <c r="AE665" i="12"/>
  <c r="AF665" i="12" s="1"/>
  <c r="AH665" i="12" s="1"/>
  <c r="AG665" i="12"/>
  <c r="AJ665" i="12" s="1"/>
  <c r="AI665" i="12"/>
  <c r="AK665" i="12"/>
  <c r="AL665" i="12"/>
  <c r="AM665" i="12"/>
  <c r="AA666" i="12"/>
  <c r="AB666" i="12"/>
  <c r="AC666" i="12"/>
  <c r="AD666" i="12"/>
  <c r="AE666" i="12"/>
  <c r="AF666" i="12"/>
  <c r="AH666" i="12" s="1"/>
  <c r="AI666" i="12" s="1"/>
  <c r="AJ666" i="12" s="1"/>
  <c r="AG666" i="12"/>
  <c r="AK666" i="12"/>
  <c r="AL666" i="12"/>
  <c r="AM666" i="12" s="1"/>
  <c r="AA667" i="12"/>
  <c r="AB667" i="12"/>
  <c r="AC667" i="12"/>
  <c r="AD667" i="12"/>
  <c r="AE667" i="12"/>
  <c r="AF667" i="12" s="1"/>
  <c r="AH667" i="12" s="1"/>
  <c r="AI667" i="12"/>
  <c r="AK667" i="12"/>
  <c r="AL667" i="12"/>
  <c r="AM667" i="12"/>
  <c r="AA668" i="12"/>
  <c r="AB668" i="12"/>
  <c r="AC668" i="12"/>
  <c r="AD668" i="12"/>
  <c r="AE668" i="12"/>
  <c r="AG668" i="12" s="1"/>
  <c r="AJ668" i="12" s="1"/>
  <c r="AF668" i="12"/>
  <c r="AH668" i="12"/>
  <c r="AI668" i="12" s="1"/>
  <c r="AK668" i="12"/>
  <c r="AL668" i="12"/>
  <c r="AM668" i="12" s="1"/>
  <c r="AA669" i="12"/>
  <c r="AB669" i="12"/>
  <c r="AC669" i="12"/>
  <c r="AD669" i="12"/>
  <c r="AE669" i="12"/>
  <c r="AF669" i="12" s="1"/>
  <c r="AH669" i="12" s="1"/>
  <c r="AI669" i="12"/>
  <c r="AK669" i="12"/>
  <c r="AL669" i="12"/>
  <c r="AM669" i="12"/>
  <c r="AA670" i="12"/>
  <c r="AB670" i="12"/>
  <c r="AC670" i="12"/>
  <c r="AD670" i="12"/>
  <c r="AE670" i="12"/>
  <c r="AF670" i="12"/>
  <c r="AG670" i="12"/>
  <c r="AH670" i="12"/>
  <c r="AI670" i="12" s="1"/>
  <c r="AJ670" i="12"/>
  <c r="AK670" i="12"/>
  <c r="AL670" i="12"/>
  <c r="AM670" i="12" s="1"/>
  <c r="AA671" i="12"/>
  <c r="AB671" i="12"/>
  <c r="AC671" i="12"/>
  <c r="AD671" i="12"/>
  <c r="AE671" i="12"/>
  <c r="AF671" i="12" s="1"/>
  <c r="AH671" i="12" s="1"/>
  <c r="AI671" i="12" s="1"/>
  <c r="AG671" i="12"/>
  <c r="AK671" i="12"/>
  <c r="AL671" i="12"/>
  <c r="AM671" i="12"/>
  <c r="AA672" i="12"/>
  <c r="AB672" i="12"/>
  <c r="AC672" i="12"/>
  <c r="AD672" i="12"/>
  <c r="AE672" i="12"/>
  <c r="AG672" i="12" s="1"/>
  <c r="AF672" i="12"/>
  <c r="AH672" i="12" s="1"/>
  <c r="AI672" i="12" s="1"/>
  <c r="AJ672" i="12" s="1"/>
  <c r="AK672" i="12"/>
  <c r="AL672" i="12"/>
  <c r="AM672" i="12" s="1"/>
  <c r="AA673" i="12"/>
  <c r="AB673" i="12"/>
  <c r="AC673" i="12"/>
  <c r="AD673" i="12"/>
  <c r="AE673" i="12"/>
  <c r="AF673" i="12" s="1"/>
  <c r="AH673" i="12" s="1"/>
  <c r="AI673" i="12" s="1"/>
  <c r="AG673" i="12"/>
  <c r="AK673" i="12"/>
  <c r="AL673" i="12"/>
  <c r="AM673" i="12"/>
  <c r="AA674" i="12"/>
  <c r="AB674" i="12"/>
  <c r="AC674" i="12"/>
  <c r="AD674" i="12"/>
  <c r="AE674" i="12"/>
  <c r="AF674" i="12"/>
  <c r="AG674" i="12"/>
  <c r="AH674" i="12"/>
  <c r="AI674" i="12" s="1"/>
  <c r="AJ674" i="12" s="1"/>
  <c r="AK674" i="12"/>
  <c r="AL674" i="12"/>
  <c r="AM674" i="12" s="1"/>
  <c r="AA675" i="12"/>
  <c r="AB675" i="12"/>
  <c r="AC675" i="12"/>
  <c r="AD675" i="12"/>
  <c r="AE675" i="12"/>
  <c r="AF675" i="12" s="1"/>
  <c r="AH675" i="12" s="1"/>
  <c r="AI675" i="12" s="1"/>
  <c r="AK675" i="12"/>
  <c r="AL675" i="12"/>
  <c r="AM675" i="12"/>
  <c r="AA676" i="12"/>
  <c r="AB676" i="12"/>
  <c r="AC676" i="12"/>
  <c r="AD676" i="12"/>
  <c r="AE676" i="12"/>
  <c r="AG676" i="12" s="1"/>
  <c r="AJ676" i="12" s="1"/>
  <c r="AF676" i="12"/>
  <c r="AH676" i="12"/>
  <c r="AI676" i="12" s="1"/>
  <c r="AK676" i="12"/>
  <c r="AL676" i="12"/>
  <c r="AM676" i="12" s="1"/>
  <c r="AA677" i="12"/>
  <c r="AB677" i="12"/>
  <c r="AC677" i="12"/>
  <c r="AD677" i="12"/>
  <c r="AE677" i="12"/>
  <c r="AF677" i="12" s="1"/>
  <c r="AH677" i="12" s="1"/>
  <c r="AI677" i="12" s="1"/>
  <c r="AK677" i="12"/>
  <c r="AL677" i="12"/>
  <c r="AM677" i="12"/>
  <c r="AA678" i="12"/>
  <c r="AB678" i="12"/>
  <c r="AC678" i="12"/>
  <c r="AD678" i="12"/>
  <c r="AE678" i="12"/>
  <c r="AF678" i="12"/>
  <c r="AH678" i="12" s="1"/>
  <c r="AI678" i="12" s="1"/>
  <c r="AJ678" i="12" s="1"/>
  <c r="AG678" i="12"/>
  <c r="AK678" i="12"/>
  <c r="AL678" i="12"/>
  <c r="AM678" i="12" s="1"/>
  <c r="AA679" i="12"/>
  <c r="AB679" i="12"/>
  <c r="AC679" i="12"/>
  <c r="AD679" i="12"/>
  <c r="AE679" i="12"/>
  <c r="AF679" i="12" s="1"/>
  <c r="AH679" i="12" s="1"/>
  <c r="AG679" i="12"/>
  <c r="AJ679" i="12" s="1"/>
  <c r="AI679" i="12"/>
  <c r="AK679" i="12"/>
  <c r="AL679" i="12"/>
  <c r="AM679" i="12"/>
  <c r="AA680" i="12"/>
  <c r="AB680" i="12"/>
  <c r="AC680" i="12"/>
  <c r="AD680" i="12"/>
  <c r="AE680" i="12"/>
  <c r="AG680" i="12" s="1"/>
  <c r="AF680" i="12"/>
  <c r="AH680" i="12" s="1"/>
  <c r="AI680" i="12" s="1"/>
  <c r="AJ680" i="12" s="1"/>
  <c r="AK680" i="12"/>
  <c r="AL680" i="12"/>
  <c r="AM680" i="12" s="1"/>
  <c r="AA681" i="12"/>
  <c r="AB681" i="12"/>
  <c r="AC681" i="12"/>
  <c r="AD681" i="12"/>
  <c r="AE681" i="12"/>
  <c r="AF681" i="12" s="1"/>
  <c r="AH681" i="12" s="1"/>
  <c r="AG681" i="12"/>
  <c r="AJ681" i="12" s="1"/>
  <c r="AI681" i="12"/>
  <c r="AK681" i="12"/>
  <c r="AL681" i="12"/>
  <c r="AM681" i="12"/>
  <c r="AA682" i="12"/>
  <c r="AB682" i="12"/>
  <c r="AC682" i="12"/>
  <c r="AD682" i="12"/>
  <c r="AE682" i="12"/>
  <c r="AF682" i="12"/>
  <c r="AH682" i="12" s="1"/>
  <c r="AI682" i="12" s="1"/>
  <c r="AJ682" i="12" s="1"/>
  <c r="AG682" i="12"/>
  <c r="AK682" i="12"/>
  <c r="AL682" i="12"/>
  <c r="AM682" i="12" s="1"/>
  <c r="AA683" i="12"/>
  <c r="AB683" i="12"/>
  <c r="AC683" i="12"/>
  <c r="AD683" i="12"/>
  <c r="AE683" i="12"/>
  <c r="AF683" i="12" s="1"/>
  <c r="AH683" i="12" s="1"/>
  <c r="AI683" i="12"/>
  <c r="AK683" i="12"/>
  <c r="AL683" i="12"/>
  <c r="AM683" i="12"/>
  <c r="AA684" i="12"/>
  <c r="AB684" i="12"/>
  <c r="AC684" i="12"/>
  <c r="AD684" i="12"/>
  <c r="AE684" i="12"/>
  <c r="AG684" i="12" s="1"/>
  <c r="AJ684" i="12" s="1"/>
  <c r="AF684" i="12"/>
  <c r="AH684" i="12"/>
  <c r="AI684" i="12" s="1"/>
  <c r="AK684" i="12"/>
  <c r="AL684" i="12"/>
  <c r="AM684" i="12" s="1"/>
  <c r="AA685" i="12"/>
  <c r="AB685" i="12"/>
  <c r="AC685" i="12"/>
  <c r="AD685" i="12"/>
  <c r="AE685" i="12"/>
  <c r="AF685" i="12" s="1"/>
  <c r="AH685" i="12" s="1"/>
  <c r="AI685" i="12"/>
  <c r="AK685" i="12"/>
  <c r="AL685" i="12"/>
  <c r="AM685" i="12"/>
  <c r="AA686" i="12"/>
  <c r="AB686" i="12"/>
  <c r="AC686" i="12"/>
  <c r="AD686" i="12"/>
  <c r="AE686" i="12"/>
  <c r="AF686" i="12"/>
  <c r="AG686" i="12"/>
  <c r="AH686" i="12"/>
  <c r="AI686" i="12" s="1"/>
  <c r="AJ686" i="12"/>
  <c r="AK686" i="12"/>
  <c r="AL686" i="12"/>
  <c r="AM686" i="12" s="1"/>
  <c r="AA687" i="12"/>
  <c r="AB687" i="12"/>
  <c r="AC687" i="12"/>
  <c r="AD687" i="12"/>
  <c r="AE687" i="12"/>
  <c r="AF687" i="12" s="1"/>
  <c r="AH687" i="12" s="1"/>
  <c r="AI687" i="12" s="1"/>
  <c r="AG687" i="12"/>
  <c r="AK687" i="12"/>
  <c r="AL687" i="12"/>
  <c r="AM687" i="12"/>
  <c r="AA688" i="12"/>
  <c r="AB688" i="12"/>
  <c r="AC688" i="12"/>
  <c r="AD688" i="12"/>
  <c r="AE688" i="12"/>
  <c r="AG688" i="12" s="1"/>
  <c r="AF688" i="12"/>
  <c r="AH688" i="12" s="1"/>
  <c r="AI688" i="12" s="1"/>
  <c r="AJ688" i="12" s="1"/>
  <c r="AK688" i="12"/>
  <c r="AL688" i="12"/>
  <c r="AM688" i="12" s="1"/>
  <c r="AA689" i="12"/>
  <c r="AB689" i="12"/>
  <c r="AC689" i="12"/>
  <c r="AD689" i="12"/>
  <c r="AE689" i="12"/>
  <c r="AF689" i="12" s="1"/>
  <c r="AH689" i="12" s="1"/>
  <c r="AI689" i="12" s="1"/>
  <c r="AG689" i="12"/>
  <c r="AK689" i="12"/>
  <c r="AL689" i="12"/>
  <c r="AM689" i="12"/>
  <c r="AA690" i="12"/>
  <c r="AB690" i="12"/>
  <c r="AC690" i="12"/>
  <c r="AD690" i="12"/>
  <c r="AE690" i="12"/>
  <c r="AF690" i="12"/>
  <c r="AG690" i="12"/>
  <c r="AH690" i="12"/>
  <c r="AI690" i="12" s="1"/>
  <c r="AJ690" i="12" s="1"/>
  <c r="AK690" i="12"/>
  <c r="AL690" i="12"/>
  <c r="AM690" i="12" s="1"/>
  <c r="AA691" i="12"/>
  <c r="AB691" i="12"/>
  <c r="AC691" i="12"/>
  <c r="AD691" i="12"/>
  <c r="AE691" i="12"/>
  <c r="AF691" i="12" s="1"/>
  <c r="AH691" i="12" s="1"/>
  <c r="AI691" i="12" s="1"/>
  <c r="AK691" i="12"/>
  <c r="AL691" i="12"/>
  <c r="AM691" i="12"/>
  <c r="AA692" i="12"/>
  <c r="AB692" i="12"/>
  <c r="AC692" i="12"/>
  <c r="AD692" i="12"/>
  <c r="AE692" i="12"/>
  <c r="AG692" i="12" s="1"/>
  <c r="AJ692" i="12" s="1"/>
  <c r="AF692" i="12"/>
  <c r="AH692" i="12"/>
  <c r="AI692" i="12" s="1"/>
  <c r="AK692" i="12"/>
  <c r="AL692" i="12"/>
  <c r="AM692" i="12" s="1"/>
  <c r="AA693" i="12"/>
  <c r="AB693" i="12"/>
  <c r="AC693" i="12"/>
  <c r="AD693" i="12"/>
  <c r="AE693" i="12"/>
  <c r="AF693" i="12" s="1"/>
  <c r="AH693" i="12" s="1"/>
  <c r="AI693" i="12" s="1"/>
  <c r="AK693" i="12"/>
  <c r="AL693" i="12"/>
  <c r="AM693" i="12"/>
  <c r="AA694" i="12"/>
  <c r="AB694" i="12"/>
  <c r="AC694" i="12"/>
  <c r="AD694" i="12"/>
  <c r="AE694" i="12"/>
  <c r="AF694" i="12"/>
  <c r="AH694" i="12" s="1"/>
  <c r="AI694" i="12" s="1"/>
  <c r="AJ694" i="12" s="1"/>
  <c r="AG694" i="12"/>
  <c r="AK694" i="12"/>
  <c r="AL694" i="12"/>
  <c r="AM694" i="12" s="1"/>
  <c r="AA695" i="12"/>
  <c r="AB695" i="12"/>
  <c r="AC695" i="12"/>
  <c r="AD695" i="12"/>
  <c r="AE695" i="12"/>
  <c r="AF695" i="12" s="1"/>
  <c r="AH695" i="12" s="1"/>
  <c r="AG695" i="12"/>
  <c r="AJ695" i="12" s="1"/>
  <c r="AI695" i="12"/>
  <c r="AK695" i="12"/>
  <c r="AL695" i="12"/>
  <c r="AM695" i="12"/>
  <c r="AA696" i="12"/>
  <c r="AB696" i="12"/>
  <c r="AC696" i="12"/>
  <c r="AD696" i="12"/>
  <c r="AE696" i="12"/>
  <c r="AG696" i="12" s="1"/>
  <c r="AF696" i="12"/>
  <c r="AH696" i="12" s="1"/>
  <c r="AI696" i="12" s="1"/>
  <c r="AJ696" i="12" s="1"/>
  <c r="AK696" i="12"/>
  <c r="AL696" i="12"/>
  <c r="AM696" i="12" s="1"/>
  <c r="AA697" i="12"/>
  <c r="AB697" i="12"/>
  <c r="AC697" i="12"/>
  <c r="AD697" i="12"/>
  <c r="AE697" i="12"/>
  <c r="AF697" i="12" s="1"/>
  <c r="AH697" i="12" s="1"/>
  <c r="AG697" i="12"/>
  <c r="AJ697" i="12" s="1"/>
  <c r="AI697" i="12"/>
  <c r="AK697" i="12"/>
  <c r="AL697" i="12"/>
  <c r="AM697" i="12"/>
  <c r="AA698" i="12"/>
  <c r="AB698" i="12"/>
  <c r="AC698" i="12"/>
  <c r="AD698" i="12"/>
  <c r="AE698" i="12"/>
  <c r="AF698" i="12"/>
  <c r="AH698" i="12" s="1"/>
  <c r="AI698" i="12" s="1"/>
  <c r="AJ698" i="12" s="1"/>
  <c r="AG698" i="12"/>
  <c r="AK698" i="12"/>
  <c r="AL698" i="12"/>
  <c r="AM698" i="12" s="1"/>
  <c r="AA699" i="12"/>
  <c r="AB699" i="12"/>
  <c r="AC699" i="12"/>
  <c r="AD699" i="12"/>
  <c r="AE699" i="12"/>
  <c r="AF699" i="12" s="1"/>
  <c r="AH699" i="12" s="1"/>
  <c r="AI699" i="12"/>
  <c r="AK699" i="12"/>
  <c r="AL699" i="12"/>
  <c r="AM699" i="12"/>
  <c r="AA700" i="12"/>
  <c r="AB700" i="12"/>
  <c r="AC700" i="12"/>
  <c r="AD700" i="12"/>
  <c r="AE700" i="12"/>
  <c r="AG700" i="12" s="1"/>
  <c r="AJ700" i="12" s="1"/>
  <c r="AF700" i="12"/>
  <c r="AH700" i="12"/>
  <c r="AI700" i="12" s="1"/>
  <c r="AK700" i="12"/>
  <c r="AL700" i="12"/>
  <c r="AM700" i="12" s="1"/>
  <c r="AA701" i="12"/>
  <c r="AB701" i="12"/>
  <c r="AC701" i="12"/>
  <c r="AD701" i="12"/>
  <c r="AE701" i="12"/>
  <c r="AF701" i="12" s="1"/>
  <c r="AH701" i="12" s="1"/>
  <c r="AI701" i="12"/>
  <c r="AK701" i="12"/>
  <c r="AL701" i="12"/>
  <c r="AM701" i="12"/>
  <c r="AA702" i="12"/>
  <c r="AB702" i="12"/>
  <c r="AC702" i="12"/>
  <c r="AD702" i="12"/>
  <c r="AE702" i="12"/>
  <c r="AF702" i="12"/>
  <c r="AG702" i="12"/>
  <c r="AH702" i="12"/>
  <c r="AI702" i="12" s="1"/>
  <c r="AJ702" i="12"/>
  <c r="AK702" i="12"/>
  <c r="AL702" i="12"/>
  <c r="AM702" i="12" s="1"/>
  <c r="AA703" i="12"/>
  <c r="AB703" i="12"/>
  <c r="AC703" i="12"/>
  <c r="AD703" i="12"/>
  <c r="AE703" i="12"/>
  <c r="AF703" i="12" s="1"/>
  <c r="AH703" i="12" s="1"/>
  <c r="AI703" i="12" s="1"/>
  <c r="AG703" i="12"/>
  <c r="AK703" i="12"/>
  <c r="AL703" i="12"/>
  <c r="AM703" i="12"/>
  <c r="AA704" i="12"/>
  <c r="AB704" i="12"/>
  <c r="AC704" i="12"/>
  <c r="AD704" i="12"/>
  <c r="AE704" i="12"/>
  <c r="AG704" i="12" s="1"/>
  <c r="AF704" i="12"/>
  <c r="AH704" i="12" s="1"/>
  <c r="AI704" i="12" s="1"/>
  <c r="AJ704" i="12" s="1"/>
  <c r="AK704" i="12"/>
  <c r="AL704" i="12"/>
  <c r="AM704" i="12" s="1"/>
  <c r="AA705" i="12"/>
  <c r="AB705" i="12"/>
  <c r="AC705" i="12"/>
  <c r="AD705" i="12"/>
  <c r="AE705" i="12"/>
  <c r="AF705" i="12" s="1"/>
  <c r="AH705" i="12" s="1"/>
  <c r="AI705" i="12" s="1"/>
  <c r="AG705" i="12"/>
  <c r="AK705" i="12"/>
  <c r="AL705" i="12"/>
  <c r="AM705" i="12"/>
  <c r="AA706" i="12"/>
  <c r="AB706" i="12"/>
  <c r="AC706" i="12"/>
  <c r="AD706" i="12"/>
  <c r="AE706" i="12"/>
  <c r="AF706" i="12"/>
  <c r="AG706" i="12"/>
  <c r="AH706" i="12"/>
  <c r="AI706" i="12" s="1"/>
  <c r="AJ706" i="12" s="1"/>
  <c r="AK706" i="12"/>
  <c r="AL706" i="12"/>
  <c r="AM706" i="12" s="1"/>
  <c r="AA707" i="12"/>
  <c r="AB707" i="12"/>
  <c r="AC707" i="12"/>
  <c r="AD707" i="12"/>
  <c r="AE707" i="12"/>
  <c r="AF707" i="12" s="1"/>
  <c r="AH707" i="12" s="1"/>
  <c r="AI707" i="12" s="1"/>
  <c r="AK707" i="12"/>
  <c r="AL707" i="12"/>
  <c r="AM707" i="12"/>
  <c r="AA708" i="12"/>
  <c r="AB708" i="12"/>
  <c r="AC708" i="12"/>
  <c r="AD708" i="12"/>
  <c r="AE708" i="12"/>
  <c r="AG708" i="12" s="1"/>
  <c r="AJ708" i="12" s="1"/>
  <c r="AF708" i="12"/>
  <c r="AH708" i="12"/>
  <c r="AI708" i="12" s="1"/>
  <c r="AK708" i="12"/>
  <c r="AL708" i="12"/>
  <c r="AM708" i="12" s="1"/>
  <c r="AA709" i="12"/>
  <c r="AB709" i="12"/>
  <c r="AC709" i="12"/>
  <c r="AD709" i="12"/>
  <c r="AE709" i="12"/>
  <c r="AF709" i="12" s="1"/>
  <c r="AH709" i="12" s="1"/>
  <c r="AI709" i="12" s="1"/>
  <c r="AK709" i="12"/>
  <c r="AL709" i="12"/>
  <c r="AM709" i="12"/>
  <c r="AA710" i="12"/>
  <c r="AB710" i="12"/>
  <c r="AC710" i="12"/>
  <c r="AD710" i="12"/>
  <c r="AE710" i="12"/>
  <c r="AF710" i="12"/>
  <c r="AH710" i="12" s="1"/>
  <c r="AI710" i="12" s="1"/>
  <c r="AJ710" i="12" s="1"/>
  <c r="AG710" i="12"/>
  <c r="AK710" i="12"/>
  <c r="AL710" i="12"/>
  <c r="AM710" i="12" s="1"/>
  <c r="AA711" i="12"/>
  <c r="AB711" i="12"/>
  <c r="AC711" i="12"/>
  <c r="AD711" i="12"/>
  <c r="AE711" i="12"/>
  <c r="AF711" i="12" s="1"/>
  <c r="AH711" i="12" s="1"/>
  <c r="AG711" i="12"/>
  <c r="AJ711" i="12" s="1"/>
  <c r="AI711" i="12"/>
  <c r="AK711" i="12"/>
  <c r="AL711" i="12"/>
  <c r="AM711" i="12"/>
  <c r="AA712" i="12"/>
  <c r="AB712" i="12"/>
  <c r="AC712" i="12"/>
  <c r="AD712" i="12"/>
  <c r="AE712" i="12"/>
  <c r="AG712" i="12" s="1"/>
  <c r="AF712" i="12"/>
  <c r="AH712" i="12" s="1"/>
  <c r="AI712" i="12" s="1"/>
  <c r="AJ712" i="12" s="1"/>
  <c r="AK712" i="12"/>
  <c r="AL712" i="12"/>
  <c r="AM712" i="12" s="1"/>
  <c r="AA713" i="12"/>
  <c r="AB713" i="12"/>
  <c r="AC713" i="12"/>
  <c r="AD713" i="12"/>
  <c r="AE713" i="12"/>
  <c r="AF713" i="12" s="1"/>
  <c r="AH713" i="12" s="1"/>
  <c r="AG713" i="12"/>
  <c r="AJ713" i="12" s="1"/>
  <c r="AI713" i="12"/>
  <c r="AK713" i="12"/>
  <c r="AL713" i="12"/>
  <c r="AM713" i="12"/>
  <c r="AA714" i="12"/>
  <c r="AB714" i="12"/>
  <c r="AC714" i="12"/>
  <c r="AD714" i="12"/>
  <c r="AE714" i="12"/>
  <c r="AF714" i="12"/>
  <c r="AH714" i="12" s="1"/>
  <c r="AI714" i="12" s="1"/>
  <c r="AJ714" i="12" s="1"/>
  <c r="AG714" i="12"/>
  <c r="AK714" i="12"/>
  <c r="AL714" i="12"/>
  <c r="AM714" i="12" s="1"/>
  <c r="AA715" i="12"/>
  <c r="AB715" i="12"/>
  <c r="AC715" i="12"/>
  <c r="AD715" i="12"/>
  <c r="AE715" i="12"/>
  <c r="AF715" i="12" s="1"/>
  <c r="AH715" i="12" s="1"/>
  <c r="AI715" i="12"/>
  <c r="AK715" i="12"/>
  <c r="AL715" i="12"/>
  <c r="AM715" i="12"/>
  <c r="AA716" i="12"/>
  <c r="AB716" i="12"/>
  <c r="AC716" i="12"/>
  <c r="AD716" i="12"/>
  <c r="AE716" i="12"/>
  <c r="AG716" i="12" s="1"/>
  <c r="AJ716" i="12" s="1"/>
  <c r="AF716" i="12"/>
  <c r="AH716" i="12"/>
  <c r="AI716" i="12" s="1"/>
  <c r="AK716" i="12"/>
  <c r="AL716" i="12"/>
  <c r="AM716" i="12" s="1"/>
  <c r="AA717" i="12"/>
  <c r="AB717" i="12"/>
  <c r="AC717" i="12"/>
  <c r="AD717" i="12"/>
  <c r="AE717" i="12"/>
  <c r="AF717" i="12" s="1"/>
  <c r="AH717" i="12" s="1"/>
  <c r="AI717" i="12"/>
  <c r="AK717" i="12"/>
  <c r="AL717" i="12"/>
  <c r="AM717" i="12"/>
  <c r="AA718" i="12"/>
  <c r="AB718" i="12"/>
  <c r="AC718" i="12"/>
  <c r="AD718" i="12"/>
  <c r="AE718" i="12"/>
  <c r="AF718" i="12"/>
  <c r="AG718" i="12"/>
  <c r="AH718" i="12"/>
  <c r="AI718" i="12" s="1"/>
  <c r="AJ718" i="12"/>
  <c r="AK718" i="12"/>
  <c r="AL718" i="12"/>
  <c r="AM718" i="12" s="1"/>
  <c r="AA719" i="12"/>
  <c r="AB719" i="12"/>
  <c r="AC719" i="12"/>
  <c r="AD719" i="12"/>
  <c r="AE719" i="12"/>
  <c r="AF719" i="12" s="1"/>
  <c r="AH719" i="12" s="1"/>
  <c r="AI719" i="12" s="1"/>
  <c r="AG719" i="12"/>
  <c r="AK719" i="12"/>
  <c r="AL719" i="12"/>
  <c r="AM719" i="12"/>
  <c r="AA720" i="12"/>
  <c r="AB720" i="12"/>
  <c r="AC720" i="12"/>
  <c r="AD720" i="12"/>
  <c r="AE720" i="12"/>
  <c r="AG720" i="12" s="1"/>
  <c r="AF720" i="12"/>
  <c r="AH720" i="12" s="1"/>
  <c r="AI720" i="12" s="1"/>
  <c r="AJ720" i="12" s="1"/>
  <c r="AK720" i="12"/>
  <c r="AL720" i="12"/>
  <c r="AM720" i="12" s="1"/>
  <c r="AA721" i="12"/>
  <c r="AB721" i="12"/>
  <c r="AC721" i="12"/>
  <c r="AD721" i="12"/>
  <c r="AE721" i="12"/>
  <c r="AF721" i="12" s="1"/>
  <c r="AH721" i="12" s="1"/>
  <c r="AI721" i="12" s="1"/>
  <c r="AG721" i="12"/>
  <c r="AK721" i="12"/>
  <c r="AL721" i="12"/>
  <c r="AM721" i="12"/>
  <c r="AA722" i="12"/>
  <c r="AB722" i="12"/>
  <c r="AC722" i="12"/>
  <c r="AD722" i="12"/>
  <c r="AE722" i="12"/>
  <c r="AF722" i="12"/>
  <c r="AG722" i="12"/>
  <c r="AH722" i="12"/>
  <c r="AI722" i="12" s="1"/>
  <c r="AJ722" i="12" s="1"/>
  <c r="AK722" i="12"/>
  <c r="AL722" i="12"/>
  <c r="AM722" i="12" s="1"/>
  <c r="AA723" i="12"/>
  <c r="AB723" i="12"/>
  <c r="AC723" i="12"/>
  <c r="AD723" i="12"/>
  <c r="AE723" i="12"/>
  <c r="AF723" i="12" s="1"/>
  <c r="AH723" i="12" s="1"/>
  <c r="AI723" i="12" s="1"/>
  <c r="AK723" i="12"/>
  <c r="AL723" i="12"/>
  <c r="AM723" i="12"/>
  <c r="AA724" i="12"/>
  <c r="AB724" i="12"/>
  <c r="AC724" i="12"/>
  <c r="AD724" i="12"/>
  <c r="AE724" i="12"/>
  <c r="AG724" i="12" s="1"/>
  <c r="AJ724" i="12" s="1"/>
  <c r="AF724" i="12"/>
  <c r="AH724" i="12"/>
  <c r="AI724" i="12" s="1"/>
  <c r="AK724" i="12"/>
  <c r="AL724" i="12"/>
  <c r="AM724" i="12" s="1"/>
  <c r="AA725" i="12"/>
  <c r="AB725" i="12"/>
  <c r="AC725" i="12"/>
  <c r="AD725" i="12"/>
  <c r="AE725" i="12"/>
  <c r="AF725" i="12" s="1"/>
  <c r="AH725" i="12" s="1"/>
  <c r="AI725" i="12" s="1"/>
  <c r="AK725" i="12"/>
  <c r="AL725" i="12"/>
  <c r="AM725" i="12"/>
  <c r="AA726" i="12"/>
  <c r="AB726" i="12"/>
  <c r="AC726" i="12"/>
  <c r="AD726" i="12"/>
  <c r="AE726" i="12"/>
  <c r="AF726" i="12"/>
  <c r="AH726" i="12" s="1"/>
  <c r="AI726" i="12" s="1"/>
  <c r="AJ726" i="12" s="1"/>
  <c r="AG726" i="12"/>
  <c r="AK726" i="12"/>
  <c r="AL726" i="12"/>
  <c r="AM726" i="12" s="1"/>
  <c r="AA727" i="12"/>
  <c r="AB727" i="12"/>
  <c r="AC727" i="12"/>
  <c r="AD727" i="12"/>
  <c r="AE727" i="12"/>
  <c r="AF727" i="12" s="1"/>
  <c r="AH727" i="12" s="1"/>
  <c r="AG727" i="12"/>
  <c r="AJ727" i="12" s="1"/>
  <c r="AI727" i="12"/>
  <c r="AK727" i="12"/>
  <c r="AL727" i="12"/>
  <c r="AM727" i="12"/>
  <c r="AA728" i="12"/>
  <c r="AB728" i="12"/>
  <c r="AC728" i="12"/>
  <c r="AD728" i="12"/>
  <c r="AE728" i="12"/>
  <c r="AG728" i="12" s="1"/>
  <c r="AF728" i="12"/>
  <c r="AH728" i="12" s="1"/>
  <c r="AI728" i="12" s="1"/>
  <c r="AJ728" i="12" s="1"/>
  <c r="AK728" i="12"/>
  <c r="AL728" i="12"/>
  <c r="AM728" i="12" s="1"/>
  <c r="AA729" i="12"/>
  <c r="AB729" i="12"/>
  <c r="AC729" i="12"/>
  <c r="AD729" i="12"/>
  <c r="AE729" i="12"/>
  <c r="AF729" i="12" s="1"/>
  <c r="AH729" i="12" s="1"/>
  <c r="AG729" i="12"/>
  <c r="AJ729" i="12" s="1"/>
  <c r="AI729" i="12"/>
  <c r="AK729" i="12"/>
  <c r="AL729" i="12"/>
  <c r="AM729" i="12"/>
  <c r="AA730" i="12"/>
  <c r="AB730" i="12"/>
  <c r="AC730" i="12"/>
  <c r="AD730" i="12"/>
  <c r="AE730" i="12"/>
  <c r="AF730" i="12"/>
  <c r="AH730" i="12" s="1"/>
  <c r="AI730" i="12" s="1"/>
  <c r="AJ730" i="12" s="1"/>
  <c r="AG730" i="12"/>
  <c r="AK730" i="12"/>
  <c r="AL730" i="12"/>
  <c r="AM730" i="12" s="1"/>
  <c r="AA731" i="12"/>
  <c r="AB731" i="12"/>
  <c r="AC731" i="12"/>
  <c r="AD731" i="12"/>
  <c r="AE731" i="12"/>
  <c r="AF731" i="12" s="1"/>
  <c r="AH731" i="12" s="1"/>
  <c r="AI731" i="12"/>
  <c r="AK731" i="12"/>
  <c r="AL731" i="12"/>
  <c r="AM731" i="12"/>
  <c r="AA732" i="12"/>
  <c r="AB732" i="12"/>
  <c r="AC732" i="12"/>
  <c r="AD732" i="12"/>
  <c r="AE732" i="12"/>
  <c r="AG732" i="12" s="1"/>
  <c r="AJ732" i="12" s="1"/>
  <c r="AF732" i="12"/>
  <c r="AH732" i="12"/>
  <c r="AI732" i="12" s="1"/>
  <c r="AK732" i="12"/>
  <c r="AL732" i="12"/>
  <c r="AM732" i="12" s="1"/>
  <c r="AA733" i="12"/>
  <c r="AB733" i="12"/>
  <c r="AC733" i="12"/>
  <c r="AD733" i="12"/>
  <c r="AE733" i="12"/>
  <c r="AF733" i="12" s="1"/>
  <c r="AH733" i="12" s="1"/>
  <c r="AI733" i="12"/>
  <c r="AK733" i="12"/>
  <c r="AL733" i="12"/>
  <c r="AM733" i="12"/>
  <c r="AA734" i="12"/>
  <c r="AB734" i="12"/>
  <c r="AC734" i="12"/>
  <c r="AD734" i="12"/>
  <c r="AE734" i="12"/>
  <c r="AF734" i="12"/>
  <c r="AG734" i="12"/>
  <c r="AH734" i="12"/>
  <c r="AI734" i="12" s="1"/>
  <c r="AJ734" i="12"/>
  <c r="AK734" i="12"/>
  <c r="AL734" i="12"/>
  <c r="AM734" i="12" s="1"/>
  <c r="AA735" i="12"/>
  <c r="AB735" i="12"/>
  <c r="AC735" i="12"/>
  <c r="AD735" i="12"/>
  <c r="AE735" i="12"/>
  <c r="AF735" i="12" s="1"/>
  <c r="AH735" i="12" s="1"/>
  <c r="AI735" i="12" s="1"/>
  <c r="AG735" i="12"/>
  <c r="AK735" i="12"/>
  <c r="AL735" i="12"/>
  <c r="AM735" i="12"/>
  <c r="AA736" i="12"/>
  <c r="AB736" i="12"/>
  <c r="AC736" i="12"/>
  <c r="AD736" i="12"/>
  <c r="AE736" i="12"/>
  <c r="AG736" i="12" s="1"/>
  <c r="AF736" i="12"/>
  <c r="AH736" i="12" s="1"/>
  <c r="AI736" i="12" s="1"/>
  <c r="AJ736" i="12" s="1"/>
  <c r="AK736" i="12"/>
  <c r="AL736" i="12"/>
  <c r="AM736" i="12" s="1"/>
  <c r="AA737" i="12"/>
  <c r="AB737" i="12"/>
  <c r="AC737" i="12"/>
  <c r="AD737" i="12"/>
  <c r="AE737" i="12"/>
  <c r="AF737" i="12" s="1"/>
  <c r="AH737" i="12" s="1"/>
  <c r="AI737" i="12" s="1"/>
  <c r="AG737" i="12"/>
  <c r="AK737" i="12"/>
  <c r="AL737" i="12"/>
  <c r="AM737" i="12"/>
  <c r="AA738" i="12"/>
  <c r="AB738" i="12"/>
  <c r="AC738" i="12"/>
  <c r="AD738" i="12"/>
  <c r="AE738" i="12"/>
  <c r="AF738" i="12"/>
  <c r="AG738" i="12"/>
  <c r="AH738" i="12"/>
  <c r="AI738" i="12" s="1"/>
  <c r="AJ738" i="12" s="1"/>
  <c r="AK738" i="12"/>
  <c r="AL738" i="12"/>
  <c r="AM738" i="12" s="1"/>
  <c r="AA739" i="12"/>
  <c r="AB739" i="12"/>
  <c r="AC739" i="12"/>
  <c r="AD739" i="12"/>
  <c r="AE739" i="12"/>
  <c r="AF739" i="12" s="1"/>
  <c r="AH739" i="12" s="1"/>
  <c r="AI739" i="12" s="1"/>
  <c r="AK739" i="12"/>
  <c r="AL739" i="12"/>
  <c r="AM739" i="12"/>
  <c r="AA740" i="12"/>
  <c r="AB740" i="12"/>
  <c r="AC740" i="12"/>
  <c r="AD740" i="12"/>
  <c r="AE740" i="12"/>
  <c r="AG740" i="12" s="1"/>
  <c r="AJ740" i="12" s="1"/>
  <c r="AF740" i="12"/>
  <c r="AH740" i="12"/>
  <c r="AI740" i="12" s="1"/>
  <c r="AK740" i="12"/>
  <c r="AL740" i="12"/>
  <c r="AM740" i="12" s="1"/>
  <c r="AA741" i="12"/>
  <c r="AB741" i="12"/>
  <c r="AC741" i="12"/>
  <c r="AD741" i="12"/>
  <c r="AE741" i="12"/>
  <c r="AF741" i="12" s="1"/>
  <c r="AH741" i="12" s="1"/>
  <c r="AI741" i="12" s="1"/>
  <c r="AK741" i="12"/>
  <c r="AL741" i="12"/>
  <c r="AM741" i="12"/>
  <c r="AA742" i="12"/>
  <c r="AB742" i="12"/>
  <c r="AC742" i="12"/>
  <c r="AD742" i="12"/>
  <c r="AE742" i="12"/>
  <c r="AF742" i="12"/>
  <c r="AH742" i="12" s="1"/>
  <c r="AI742" i="12" s="1"/>
  <c r="AJ742" i="12" s="1"/>
  <c r="AG742" i="12"/>
  <c r="AK742" i="12"/>
  <c r="AL742" i="12"/>
  <c r="AM742" i="12" s="1"/>
  <c r="AA743" i="12"/>
  <c r="AB743" i="12"/>
  <c r="AC743" i="12"/>
  <c r="AD743" i="12"/>
  <c r="AE743" i="12"/>
  <c r="AF743" i="12" s="1"/>
  <c r="AH743" i="12" s="1"/>
  <c r="AG743" i="12"/>
  <c r="AJ743" i="12" s="1"/>
  <c r="AI743" i="12"/>
  <c r="AK743" i="12"/>
  <c r="AL743" i="12"/>
  <c r="AM743" i="12"/>
  <c r="AA744" i="12"/>
  <c r="AB744" i="12"/>
  <c r="AC744" i="12"/>
  <c r="AD744" i="12"/>
  <c r="AE744" i="12"/>
  <c r="AG744" i="12" s="1"/>
  <c r="AF744" i="12"/>
  <c r="AH744" i="12" s="1"/>
  <c r="AI744" i="12" s="1"/>
  <c r="AJ744" i="12" s="1"/>
  <c r="AK744" i="12"/>
  <c r="AL744" i="12"/>
  <c r="AM744" i="12" s="1"/>
  <c r="AA745" i="12"/>
  <c r="AB745" i="12"/>
  <c r="AC745" i="12"/>
  <c r="AD745" i="12"/>
  <c r="AE745" i="12"/>
  <c r="AF745" i="12" s="1"/>
  <c r="AH745" i="12" s="1"/>
  <c r="AG745" i="12"/>
  <c r="AJ745" i="12" s="1"/>
  <c r="AI745" i="12"/>
  <c r="AK745" i="12"/>
  <c r="AL745" i="12"/>
  <c r="AM745" i="12"/>
  <c r="AA746" i="12"/>
  <c r="AB746" i="12"/>
  <c r="AC746" i="12"/>
  <c r="AD746" i="12"/>
  <c r="AE746" i="12"/>
  <c r="AF746" i="12"/>
  <c r="AH746" i="12" s="1"/>
  <c r="AI746" i="12" s="1"/>
  <c r="AJ746" i="12" s="1"/>
  <c r="AG746" i="12"/>
  <c r="AK746" i="12"/>
  <c r="AL746" i="12"/>
  <c r="AM746" i="12" s="1"/>
  <c r="AA747" i="12"/>
  <c r="AB747" i="12"/>
  <c r="AC747" i="12"/>
  <c r="AD747" i="12"/>
  <c r="AE747" i="12"/>
  <c r="AF747" i="12" s="1"/>
  <c r="AH747" i="12" s="1"/>
  <c r="AI747" i="12"/>
  <c r="AK747" i="12"/>
  <c r="AL747" i="12"/>
  <c r="AM747" i="12"/>
  <c r="AA748" i="12"/>
  <c r="AB748" i="12"/>
  <c r="AC748" i="12"/>
  <c r="AD748" i="12"/>
  <c r="AE748" i="12"/>
  <c r="AG748" i="12" s="1"/>
  <c r="AJ748" i="12" s="1"/>
  <c r="AF748" i="12"/>
  <c r="AH748" i="12"/>
  <c r="AI748" i="12" s="1"/>
  <c r="AK748" i="12"/>
  <c r="AL748" i="12"/>
  <c r="AM748" i="12" s="1"/>
  <c r="AA749" i="12"/>
  <c r="AB749" i="12"/>
  <c r="AC749" i="12"/>
  <c r="AD749" i="12"/>
  <c r="AE749" i="12"/>
  <c r="AF749" i="12" s="1"/>
  <c r="AH749" i="12" s="1"/>
  <c r="AI749" i="12"/>
  <c r="AK749" i="12"/>
  <c r="AL749" i="12"/>
  <c r="AM749" i="12"/>
  <c r="AA750" i="12"/>
  <c r="AB750" i="12"/>
  <c r="AC750" i="12"/>
  <c r="AD750" i="12"/>
  <c r="AE750" i="12"/>
  <c r="AF750" i="12"/>
  <c r="AG750" i="12"/>
  <c r="AH750" i="12"/>
  <c r="AI750" i="12" s="1"/>
  <c r="AJ750" i="12"/>
  <c r="AK750" i="12"/>
  <c r="AL750" i="12"/>
  <c r="AM750" i="12" s="1"/>
  <c r="AA751" i="12"/>
  <c r="AB751" i="12"/>
  <c r="AC751" i="12"/>
  <c r="AD751" i="12"/>
  <c r="AE751" i="12"/>
  <c r="AF751" i="12" s="1"/>
  <c r="AH751" i="12" s="1"/>
  <c r="AI751" i="12" s="1"/>
  <c r="AG751" i="12"/>
  <c r="AK751" i="12"/>
  <c r="AL751" i="12"/>
  <c r="AM751" i="12"/>
  <c r="AA752" i="12"/>
  <c r="AB752" i="12"/>
  <c r="AC752" i="12"/>
  <c r="AD752" i="12"/>
  <c r="AE752" i="12"/>
  <c r="AG752" i="12" s="1"/>
  <c r="AF752" i="12"/>
  <c r="AH752" i="12" s="1"/>
  <c r="AI752" i="12" s="1"/>
  <c r="AJ752" i="12" s="1"/>
  <c r="AK752" i="12"/>
  <c r="AL752" i="12"/>
  <c r="AM752" i="12" s="1"/>
  <c r="AA753" i="12"/>
  <c r="AB753" i="12"/>
  <c r="AC753" i="12"/>
  <c r="AD753" i="12"/>
  <c r="AE753" i="12"/>
  <c r="AF753" i="12" s="1"/>
  <c r="AH753" i="12" s="1"/>
  <c r="AI753" i="12" s="1"/>
  <c r="AG753" i="12"/>
  <c r="AK753" i="12"/>
  <c r="AL753" i="12"/>
  <c r="AM753" i="12"/>
  <c r="AA754" i="12"/>
  <c r="AB754" i="12"/>
  <c r="AC754" i="12"/>
  <c r="AD754" i="12"/>
  <c r="AE754" i="12"/>
  <c r="AF754" i="12"/>
  <c r="AG754" i="12"/>
  <c r="AH754" i="12"/>
  <c r="AI754" i="12" s="1"/>
  <c r="AJ754" i="12" s="1"/>
  <c r="AK754" i="12"/>
  <c r="AL754" i="12"/>
  <c r="AM754" i="12" s="1"/>
  <c r="AA755" i="12"/>
  <c r="AB755" i="12"/>
  <c r="AC755" i="12"/>
  <c r="AD755" i="12"/>
  <c r="AE755" i="12"/>
  <c r="AF755" i="12" s="1"/>
  <c r="AH755" i="12" s="1"/>
  <c r="AI755" i="12" s="1"/>
  <c r="AK755" i="12"/>
  <c r="AL755" i="12"/>
  <c r="AM755" i="12"/>
  <c r="AA756" i="12"/>
  <c r="AB756" i="12"/>
  <c r="AC756" i="12"/>
  <c r="AD756" i="12"/>
  <c r="AE756" i="12"/>
  <c r="AG756" i="12" s="1"/>
  <c r="AJ756" i="12" s="1"/>
  <c r="AF756" i="12"/>
  <c r="AH756" i="12"/>
  <c r="AI756" i="12" s="1"/>
  <c r="AK756" i="12"/>
  <c r="AL756" i="12"/>
  <c r="AM756" i="12" s="1"/>
  <c r="AA757" i="12"/>
  <c r="AB757" i="12"/>
  <c r="AC757" i="12"/>
  <c r="AD757" i="12"/>
  <c r="AE757" i="12"/>
  <c r="AF757" i="12" s="1"/>
  <c r="AH757" i="12" s="1"/>
  <c r="AI757" i="12" s="1"/>
  <c r="AK757" i="12"/>
  <c r="AL757" i="12"/>
  <c r="AM757" i="12"/>
  <c r="AA758" i="12"/>
  <c r="AB758" i="12"/>
  <c r="AC758" i="12"/>
  <c r="AD758" i="12"/>
  <c r="AE758" i="12"/>
  <c r="AF758" i="12"/>
  <c r="AH758" i="12" s="1"/>
  <c r="AI758" i="12" s="1"/>
  <c r="AJ758" i="12" s="1"/>
  <c r="AG758" i="12"/>
  <c r="AK758" i="12"/>
  <c r="AL758" i="12"/>
  <c r="AM758" i="12" s="1"/>
  <c r="AA759" i="12"/>
  <c r="AB759" i="12"/>
  <c r="AC759" i="12"/>
  <c r="AD759" i="12"/>
  <c r="AE759" i="12"/>
  <c r="AF759" i="12" s="1"/>
  <c r="AH759" i="12" s="1"/>
  <c r="AG759" i="12"/>
  <c r="AJ759" i="12" s="1"/>
  <c r="AI759" i="12"/>
  <c r="AK759" i="12"/>
  <c r="AL759" i="12"/>
  <c r="AM759" i="12"/>
  <c r="AA760" i="12"/>
  <c r="AB760" i="12"/>
  <c r="AC760" i="12"/>
  <c r="AD760" i="12"/>
  <c r="AE760" i="12"/>
  <c r="AG760" i="12" s="1"/>
  <c r="AF760" i="12"/>
  <c r="AH760" i="12" s="1"/>
  <c r="AI760" i="12" s="1"/>
  <c r="AJ760" i="12" s="1"/>
  <c r="AK760" i="12"/>
  <c r="AL760" i="12"/>
  <c r="AM760" i="12" s="1"/>
  <c r="AA761" i="12"/>
  <c r="AB761" i="12"/>
  <c r="AC761" i="12"/>
  <c r="AD761" i="12"/>
  <c r="AE761" i="12"/>
  <c r="AF761" i="12" s="1"/>
  <c r="AH761" i="12" s="1"/>
  <c r="AG761" i="12"/>
  <c r="AJ761" i="12" s="1"/>
  <c r="AI761" i="12"/>
  <c r="AK761" i="12"/>
  <c r="AL761" i="12"/>
  <c r="AM761" i="12"/>
  <c r="AA762" i="12"/>
  <c r="AB762" i="12"/>
  <c r="AC762" i="12"/>
  <c r="AD762" i="12"/>
  <c r="AE762" i="12"/>
  <c r="AF762" i="12"/>
  <c r="AH762" i="12" s="1"/>
  <c r="AI762" i="12" s="1"/>
  <c r="AJ762" i="12" s="1"/>
  <c r="AG762" i="12"/>
  <c r="AK762" i="12"/>
  <c r="AL762" i="12"/>
  <c r="AM762" i="12" s="1"/>
  <c r="AA763" i="12"/>
  <c r="AB763" i="12"/>
  <c r="AC763" i="12"/>
  <c r="AD763" i="12"/>
  <c r="AE763" i="12"/>
  <c r="AF763" i="12" s="1"/>
  <c r="AH763" i="12" s="1"/>
  <c r="AI763" i="12"/>
  <c r="AK763" i="12"/>
  <c r="AL763" i="12"/>
  <c r="AM763" i="12"/>
  <c r="AA764" i="12"/>
  <c r="AB764" i="12"/>
  <c r="AC764" i="12"/>
  <c r="AD764" i="12"/>
  <c r="AE764" i="12"/>
  <c r="AG764" i="12" s="1"/>
  <c r="AJ764" i="12" s="1"/>
  <c r="AF764" i="12"/>
  <c r="AH764" i="12"/>
  <c r="AI764" i="12" s="1"/>
  <c r="AK764" i="12"/>
  <c r="AL764" i="12"/>
  <c r="AM764" i="12" s="1"/>
  <c r="AA765" i="12"/>
  <c r="AB765" i="12"/>
  <c r="AC765" i="12"/>
  <c r="AD765" i="12"/>
  <c r="AE765" i="12"/>
  <c r="AF765" i="12" s="1"/>
  <c r="AH765" i="12" s="1"/>
  <c r="AI765" i="12"/>
  <c r="AK765" i="12"/>
  <c r="AL765" i="12"/>
  <c r="AM765" i="12"/>
  <c r="AA766" i="12"/>
  <c r="AB766" i="12"/>
  <c r="AC766" i="12"/>
  <c r="AD766" i="12"/>
  <c r="AE766" i="12"/>
  <c r="AF766" i="12"/>
  <c r="AG766" i="12"/>
  <c r="AH766" i="12"/>
  <c r="AI766" i="12" s="1"/>
  <c r="AJ766" i="12"/>
  <c r="AK766" i="12"/>
  <c r="AL766" i="12"/>
  <c r="AM766" i="12" s="1"/>
  <c r="AA767" i="12"/>
  <c r="AB767" i="12"/>
  <c r="AC767" i="12"/>
  <c r="AD767" i="12"/>
  <c r="AE767" i="12"/>
  <c r="AF767" i="12" s="1"/>
  <c r="AH767" i="12" s="1"/>
  <c r="AI767" i="12" s="1"/>
  <c r="AG767" i="12"/>
  <c r="AK767" i="12"/>
  <c r="AL767" i="12"/>
  <c r="AM767" i="12"/>
  <c r="AA768" i="12"/>
  <c r="AB768" i="12"/>
  <c r="AC768" i="12"/>
  <c r="AD768" i="12"/>
  <c r="AE768" i="12"/>
  <c r="AG768" i="12" s="1"/>
  <c r="AF768" i="12"/>
  <c r="AH768" i="12" s="1"/>
  <c r="AI768" i="12" s="1"/>
  <c r="AJ768" i="12" s="1"/>
  <c r="AK768" i="12"/>
  <c r="AL768" i="12"/>
  <c r="AM768" i="12" s="1"/>
  <c r="AA769" i="12"/>
  <c r="AB769" i="12"/>
  <c r="AC769" i="12"/>
  <c r="AD769" i="12"/>
  <c r="AE769" i="12"/>
  <c r="AF769" i="12" s="1"/>
  <c r="AH769" i="12" s="1"/>
  <c r="AI769" i="12" s="1"/>
  <c r="AG769" i="12"/>
  <c r="AK769" i="12"/>
  <c r="AL769" i="12"/>
  <c r="AM769" i="12"/>
  <c r="AA770" i="12"/>
  <c r="AB770" i="12"/>
  <c r="AC770" i="12"/>
  <c r="AD770" i="12"/>
  <c r="AE770" i="12"/>
  <c r="AF770" i="12"/>
  <c r="AG770" i="12"/>
  <c r="AH770" i="12"/>
  <c r="AI770" i="12" s="1"/>
  <c r="AJ770" i="12" s="1"/>
  <c r="AK770" i="12"/>
  <c r="AL770" i="12"/>
  <c r="AM770" i="12" s="1"/>
  <c r="AA771" i="12"/>
  <c r="AB771" i="12"/>
  <c r="AC771" i="12"/>
  <c r="AD771" i="12"/>
  <c r="AE771" i="12"/>
  <c r="AF771" i="12" s="1"/>
  <c r="AH771" i="12" s="1"/>
  <c r="AI771" i="12" s="1"/>
  <c r="AK771" i="12"/>
  <c r="AL771" i="12"/>
  <c r="AM771" i="12"/>
  <c r="AA772" i="12"/>
  <c r="AB772" i="12"/>
  <c r="AC772" i="12"/>
  <c r="AD772" i="12"/>
  <c r="AE772" i="12"/>
  <c r="AG772" i="12" s="1"/>
  <c r="AJ772" i="12" s="1"/>
  <c r="AF772" i="12"/>
  <c r="AH772" i="12"/>
  <c r="AI772" i="12" s="1"/>
  <c r="AK772" i="12"/>
  <c r="AL772" i="12"/>
  <c r="AM772" i="12" s="1"/>
  <c r="AA773" i="12"/>
  <c r="AB773" i="12"/>
  <c r="AC773" i="12"/>
  <c r="AD773" i="12"/>
  <c r="AE773" i="12"/>
  <c r="AF773" i="12" s="1"/>
  <c r="AH773" i="12" s="1"/>
  <c r="AI773" i="12" s="1"/>
  <c r="AK773" i="12"/>
  <c r="AL773" i="12"/>
  <c r="AM773" i="12"/>
  <c r="AA774" i="12"/>
  <c r="AB774" i="12"/>
  <c r="AC774" i="12"/>
  <c r="AD774" i="12"/>
  <c r="AE774" i="12"/>
  <c r="AF774" i="12"/>
  <c r="AH774" i="12" s="1"/>
  <c r="AI774" i="12" s="1"/>
  <c r="AJ774" i="12" s="1"/>
  <c r="AG774" i="12"/>
  <c r="AK774" i="12"/>
  <c r="AL774" i="12"/>
  <c r="AM774" i="12" s="1"/>
  <c r="AA775" i="12"/>
  <c r="AB775" i="12"/>
  <c r="AC775" i="12"/>
  <c r="AD775" i="12"/>
  <c r="AE775" i="12"/>
  <c r="AF775" i="12" s="1"/>
  <c r="AH775" i="12" s="1"/>
  <c r="AG775" i="12"/>
  <c r="AJ775" i="12" s="1"/>
  <c r="AI775" i="12"/>
  <c r="AK775" i="12"/>
  <c r="AL775" i="12"/>
  <c r="AM775" i="12"/>
  <c r="AA776" i="12"/>
  <c r="AB776" i="12"/>
  <c r="AC776" i="12"/>
  <c r="AD776" i="12"/>
  <c r="AE776" i="12"/>
  <c r="AG776" i="12" s="1"/>
  <c r="AF776" i="12"/>
  <c r="AH776" i="12" s="1"/>
  <c r="AI776" i="12" s="1"/>
  <c r="AJ776" i="12" s="1"/>
  <c r="AK776" i="12"/>
  <c r="AL776" i="12"/>
  <c r="AM776" i="12" s="1"/>
  <c r="AA777" i="12"/>
  <c r="AB777" i="12"/>
  <c r="AC777" i="12"/>
  <c r="AD777" i="12"/>
  <c r="AE777" i="12"/>
  <c r="AF777" i="12" s="1"/>
  <c r="AH777" i="12" s="1"/>
  <c r="AG777" i="12"/>
  <c r="AJ777" i="12" s="1"/>
  <c r="AI777" i="12"/>
  <c r="AK777" i="12"/>
  <c r="AL777" i="12"/>
  <c r="AM777" i="12"/>
  <c r="AA778" i="12"/>
  <c r="AB778" i="12"/>
  <c r="AC778" i="12"/>
  <c r="AD778" i="12"/>
  <c r="AE778" i="12"/>
  <c r="AF778" i="12"/>
  <c r="AH778" i="12" s="1"/>
  <c r="AI778" i="12" s="1"/>
  <c r="AJ778" i="12" s="1"/>
  <c r="AG778" i="12"/>
  <c r="AK778" i="12"/>
  <c r="AL778" i="12"/>
  <c r="AM778" i="12" s="1"/>
  <c r="AA779" i="12"/>
  <c r="AB779" i="12"/>
  <c r="AC779" i="12"/>
  <c r="AD779" i="12"/>
  <c r="AE779" i="12"/>
  <c r="AF779" i="12" s="1"/>
  <c r="AH779" i="12" s="1"/>
  <c r="AI779" i="12"/>
  <c r="AK779" i="12"/>
  <c r="AL779" i="12"/>
  <c r="AM779" i="12"/>
  <c r="AA780" i="12"/>
  <c r="AB780" i="12"/>
  <c r="AC780" i="12"/>
  <c r="AD780" i="12"/>
  <c r="AE780" i="12"/>
  <c r="AG780" i="12" s="1"/>
  <c r="AJ780" i="12" s="1"/>
  <c r="AF780" i="12"/>
  <c r="AH780" i="12"/>
  <c r="AI780" i="12" s="1"/>
  <c r="AK780" i="12"/>
  <c r="AL780" i="12"/>
  <c r="AM780" i="12" s="1"/>
  <c r="AA781" i="12"/>
  <c r="AB781" i="12"/>
  <c r="AC781" i="12"/>
  <c r="AD781" i="12"/>
  <c r="AE781" i="12"/>
  <c r="AF781" i="12" s="1"/>
  <c r="AH781" i="12" s="1"/>
  <c r="AI781" i="12"/>
  <c r="AK781" i="12"/>
  <c r="AL781" i="12"/>
  <c r="AM781" i="12"/>
  <c r="AA782" i="12"/>
  <c r="AB782" i="12"/>
  <c r="AC782" i="12"/>
  <c r="AD782" i="12"/>
  <c r="AE782" i="12"/>
  <c r="AF782" i="12"/>
  <c r="AG782" i="12"/>
  <c r="AH782" i="12"/>
  <c r="AI782" i="12" s="1"/>
  <c r="AJ782" i="12"/>
  <c r="AK782" i="12"/>
  <c r="AL782" i="12"/>
  <c r="AM782" i="12" s="1"/>
  <c r="AA783" i="12"/>
  <c r="AB783" i="12"/>
  <c r="AC783" i="12"/>
  <c r="AD783" i="12"/>
  <c r="AE783" i="12"/>
  <c r="AF783" i="12" s="1"/>
  <c r="AH783" i="12" s="1"/>
  <c r="AI783" i="12" s="1"/>
  <c r="AG783" i="12"/>
  <c r="AK783" i="12"/>
  <c r="AL783" i="12"/>
  <c r="AM783" i="12"/>
  <c r="AA784" i="12"/>
  <c r="AB784" i="12"/>
  <c r="AC784" i="12"/>
  <c r="AD784" i="12"/>
  <c r="AE784" i="12"/>
  <c r="AG784" i="12" s="1"/>
  <c r="AF784" i="12"/>
  <c r="AH784" i="12" s="1"/>
  <c r="AI784" i="12" s="1"/>
  <c r="AJ784" i="12" s="1"/>
  <c r="AK784" i="12"/>
  <c r="AL784" i="12"/>
  <c r="AM784" i="12" s="1"/>
  <c r="AA785" i="12"/>
  <c r="AB785" i="12"/>
  <c r="AC785" i="12"/>
  <c r="AD785" i="12"/>
  <c r="AE785" i="12"/>
  <c r="AF785" i="12" s="1"/>
  <c r="AH785" i="12" s="1"/>
  <c r="AI785" i="12" s="1"/>
  <c r="AG785" i="12"/>
  <c r="AK785" i="12"/>
  <c r="AL785" i="12"/>
  <c r="AM785" i="12"/>
  <c r="AA786" i="12"/>
  <c r="AB786" i="12"/>
  <c r="AC786" i="12"/>
  <c r="AD786" i="12"/>
  <c r="AE786" i="12"/>
  <c r="AF786" i="12"/>
  <c r="AG786" i="12"/>
  <c r="AH786" i="12"/>
  <c r="AI786" i="12" s="1"/>
  <c r="AJ786" i="12" s="1"/>
  <c r="AK786" i="12"/>
  <c r="AL786" i="12"/>
  <c r="AM786" i="12" s="1"/>
  <c r="AA787" i="12"/>
  <c r="AB787" i="12"/>
  <c r="AC787" i="12"/>
  <c r="AD787" i="12"/>
  <c r="AE787" i="12"/>
  <c r="AF787" i="12" s="1"/>
  <c r="AH787" i="12" s="1"/>
  <c r="AI787" i="12" s="1"/>
  <c r="AK787" i="12"/>
  <c r="AL787" i="12"/>
  <c r="AM787" i="12"/>
  <c r="AA788" i="12"/>
  <c r="AB788" i="12"/>
  <c r="AC788" i="12"/>
  <c r="AD788" i="12"/>
  <c r="AE788" i="12"/>
  <c r="AG788" i="12" s="1"/>
  <c r="AJ788" i="12" s="1"/>
  <c r="AF788" i="12"/>
  <c r="AH788" i="12"/>
  <c r="AI788" i="12" s="1"/>
  <c r="AK788" i="12"/>
  <c r="AL788" i="12"/>
  <c r="AM788" i="12"/>
  <c r="AA789" i="12"/>
  <c r="AB789" i="12"/>
  <c r="AC789" i="12"/>
  <c r="AD789" i="12"/>
  <c r="AE789" i="12"/>
  <c r="AF789" i="12" s="1"/>
  <c r="AG789" i="12"/>
  <c r="AH789" i="12"/>
  <c r="AI789" i="12"/>
  <c r="AK789" i="12"/>
  <c r="AL789" i="12"/>
  <c r="AM789" i="12" s="1"/>
  <c r="AA790" i="12"/>
  <c r="AB790" i="12"/>
  <c r="AC790" i="12"/>
  <c r="AD790" i="12"/>
  <c r="AE790" i="12"/>
  <c r="AF790" i="12"/>
  <c r="AG790" i="12"/>
  <c r="AH790" i="12"/>
  <c r="AI790" i="12" s="1"/>
  <c r="AJ790" i="12"/>
  <c r="AK790" i="12"/>
  <c r="AL790" i="12"/>
  <c r="AM790" i="12" s="1"/>
  <c r="AA791" i="12"/>
  <c r="AB791" i="12"/>
  <c r="AC791" i="12"/>
  <c r="AD791" i="12"/>
  <c r="AE791" i="12"/>
  <c r="AG791" i="12" s="1"/>
  <c r="AF791" i="12"/>
  <c r="AH791" i="12" s="1"/>
  <c r="AI791" i="12" s="1"/>
  <c r="AK791" i="12"/>
  <c r="AL791" i="12"/>
  <c r="AM791" i="12"/>
  <c r="AA792" i="12"/>
  <c r="AB792" i="12"/>
  <c r="AC792" i="12"/>
  <c r="AD792" i="12"/>
  <c r="AE792" i="12"/>
  <c r="AG792" i="12" s="1"/>
  <c r="AF792" i="12"/>
  <c r="AH792" i="12" s="1"/>
  <c r="AI792" i="12" s="1"/>
  <c r="AJ792" i="12" s="1"/>
  <c r="AK792" i="12"/>
  <c r="AL792" i="12"/>
  <c r="AM792" i="12"/>
  <c r="AA793" i="12"/>
  <c r="AB793" i="12"/>
  <c r="AC793" i="12"/>
  <c r="AD793" i="12"/>
  <c r="AE793" i="12"/>
  <c r="AF793" i="12" s="1"/>
  <c r="AH793" i="12" s="1"/>
  <c r="AI793" i="12" s="1"/>
  <c r="AG793" i="12"/>
  <c r="AK793" i="12"/>
  <c r="AL793" i="12"/>
  <c r="AM793" i="12" s="1"/>
  <c r="AA794" i="12"/>
  <c r="AB794" i="12"/>
  <c r="AC794" i="12"/>
  <c r="AD794" i="12"/>
  <c r="AE794" i="12"/>
  <c r="AF794" i="12"/>
  <c r="AH794" i="12" s="1"/>
  <c r="AI794" i="12" s="1"/>
  <c r="AG794" i="12"/>
  <c r="AJ794" i="12" s="1"/>
  <c r="AK794" i="12"/>
  <c r="AL794" i="12"/>
  <c r="AM794" i="12" s="1"/>
  <c r="AA795" i="12"/>
  <c r="AB795" i="12"/>
  <c r="AC795" i="12"/>
  <c r="AD795" i="12"/>
  <c r="AE795" i="12"/>
  <c r="AF795" i="12"/>
  <c r="AH795" i="12" s="1"/>
  <c r="AG795" i="12"/>
  <c r="AJ795" i="12" s="1"/>
  <c r="AI795" i="12"/>
  <c r="AK795" i="12"/>
  <c r="AL795" i="12"/>
  <c r="AM795" i="12"/>
  <c r="AA796" i="12"/>
  <c r="AB796" i="12"/>
  <c r="AC796" i="12"/>
  <c r="AD796" i="12"/>
  <c r="AE796" i="12"/>
  <c r="AG796" i="12" s="1"/>
  <c r="AF796" i="12"/>
  <c r="AH796" i="12" s="1"/>
  <c r="AI796" i="12" s="1"/>
  <c r="AJ796" i="12" s="1"/>
  <c r="AK796" i="12"/>
  <c r="AL796" i="12"/>
  <c r="AM796" i="12"/>
  <c r="AA797" i="12"/>
  <c r="AB797" i="12"/>
  <c r="AC797" i="12"/>
  <c r="AD797" i="12"/>
  <c r="AE797" i="12"/>
  <c r="AF797" i="12" s="1"/>
  <c r="AG797" i="12"/>
  <c r="AH797" i="12"/>
  <c r="AI797" i="12"/>
  <c r="AK797" i="12"/>
  <c r="AL797" i="12"/>
  <c r="AM797" i="12" s="1"/>
  <c r="AA798" i="12"/>
  <c r="AB798" i="12"/>
  <c r="AC798" i="12"/>
  <c r="AD798" i="12"/>
  <c r="AE798" i="12"/>
  <c r="AF798" i="12"/>
  <c r="AG798" i="12"/>
  <c r="AH798" i="12"/>
  <c r="AI798" i="12" s="1"/>
  <c r="AJ798" i="12"/>
  <c r="AK798" i="12"/>
  <c r="AL798" i="12"/>
  <c r="AM798" i="12" s="1"/>
  <c r="AA799" i="12"/>
  <c r="AB799" i="12"/>
  <c r="AC799" i="12"/>
  <c r="AD799" i="12"/>
  <c r="AE799" i="12"/>
  <c r="AG799" i="12" s="1"/>
  <c r="AF799" i="12"/>
  <c r="AH799" i="12" s="1"/>
  <c r="AI799" i="12" s="1"/>
  <c r="AK799" i="12"/>
  <c r="AL799" i="12"/>
  <c r="AM799" i="12"/>
  <c r="AA800" i="12"/>
  <c r="AB800" i="12"/>
  <c r="AC800" i="12"/>
  <c r="AD800" i="12"/>
  <c r="AE800" i="12"/>
  <c r="AG800" i="12" s="1"/>
  <c r="AF800" i="12"/>
  <c r="AH800" i="12" s="1"/>
  <c r="AI800" i="12" s="1"/>
  <c r="AJ800" i="12" s="1"/>
  <c r="AK800" i="12"/>
  <c r="AL800" i="12"/>
  <c r="AM800" i="12"/>
  <c r="AA801" i="12"/>
  <c r="AB801" i="12"/>
  <c r="AC801" i="12"/>
  <c r="AD801" i="12"/>
  <c r="AE801" i="12"/>
  <c r="AF801" i="12" s="1"/>
  <c r="AH801" i="12" s="1"/>
  <c r="AI801" i="12" s="1"/>
  <c r="AG801" i="12"/>
  <c r="AK801" i="12"/>
  <c r="AL801" i="12"/>
  <c r="AM801" i="12" s="1"/>
  <c r="AA802" i="12"/>
  <c r="AB802" i="12"/>
  <c r="AC802" i="12"/>
  <c r="AD802" i="12"/>
  <c r="AE802" i="12"/>
  <c r="AF802" i="12"/>
  <c r="AH802" i="12" s="1"/>
  <c r="AI802" i="12" s="1"/>
  <c r="AG802" i="12"/>
  <c r="AJ802" i="12" s="1"/>
  <c r="AK802" i="12"/>
  <c r="AL802" i="12"/>
  <c r="AM802" i="12" s="1"/>
  <c r="AA803" i="12"/>
  <c r="AB803" i="12"/>
  <c r="AC803" i="12"/>
  <c r="AD803" i="12"/>
  <c r="AE803" i="12"/>
  <c r="AF803" i="12"/>
  <c r="AH803" i="12" s="1"/>
  <c r="AG803" i="12"/>
  <c r="AJ803" i="12" s="1"/>
  <c r="AI803" i="12"/>
  <c r="AK803" i="12"/>
  <c r="AL803" i="12"/>
  <c r="AM803" i="12"/>
  <c r="AA804" i="12"/>
  <c r="AB804" i="12"/>
  <c r="AC804" i="12"/>
  <c r="AD804" i="12"/>
  <c r="AE804" i="12"/>
  <c r="AG804" i="12" s="1"/>
  <c r="AF804" i="12"/>
  <c r="AH804" i="12" s="1"/>
  <c r="AI804" i="12" s="1"/>
  <c r="AJ804" i="12" s="1"/>
  <c r="AK804" i="12"/>
  <c r="AL804" i="12"/>
  <c r="AM804" i="12"/>
  <c r="AA805" i="12"/>
  <c r="AB805" i="12"/>
  <c r="AC805" i="12"/>
  <c r="AD805" i="12"/>
  <c r="AE805" i="12"/>
  <c r="AF805" i="12" s="1"/>
  <c r="AG805" i="12"/>
  <c r="AH805" i="12"/>
  <c r="AI805" i="12"/>
  <c r="AK805" i="12"/>
  <c r="AL805" i="12"/>
  <c r="AM805" i="12" s="1"/>
  <c r="AA806" i="12"/>
  <c r="AB806" i="12"/>
  <c r="AC806" i="12"/>
  <c r="AD806" i="12"/>
  <c r="AE806" i="12"/>
  <c r="AF806" i="12"/>
  <c r="AG806" i="12"/>
  <c r="AH806" i="12"/>
  <c r="AI806" i="12" s="1"/>
  <c r="AJ806" i="12"/>
  <c r="AK806" i="12"/>
  <c r="AL806" i="12"/>
  <c r="AM806" i="12" s="1"/>
  <c r="AA807" i="12"/>
  <c r="AB807" i="12"/>
  <c r="AC807" i="12"/>
  <c r="AD807" i="12"/>
  <c r="AE807" i="12"/>
  <c r="AG807" i="12" s="1"/>
  <c r="AF807" i="12"/>
  <c r="AH807" i="12" s="1"/>
  <c r="AI807" i="12" s="1"/>
  <c r="AK807" i="12"/>
  <c r="AL807" i="12"/>
  <c r="AM807" i="12"/>
  <c r="AA808" i="12"/>
  <c r="AB808" i="12"/>
  <c r="AC808" i="12"/>
  <c r="AD808" i="12"/>
  <c r="AE808" i="12"/>
  <c r="AG808" i="12" s="1"/>
  <c r="AF808" i="12"/>
  <c r="AH808" i="12" s="1"/>
  <c r="AI808" i="12" s="1"/>
  <c r="AJ808" i="12" s="1"/>
  <c r="AK808" i="12"/>
  <c r="AL808" i="12"/>
  <c r="AM808" i="12"/>
  <c r="AA809" i="12"/>
  <c r="AB809" i="12"/>
  <c r="AC809" i="12"/>
  <c r="AD809" i="12"/>
  <c r="AE809" i="12"/>
  <c r="AF809" i="12" s="1"/>
  <c r="AH809" i="12" s="1"/>
  <c r="AI809" i="12" s="1"/>
  <c r="AG809" i="12"/>
  <c r="AK809" i="12"/>
  <c r="AL809" i="12"/>
  <c r="AM809" i="12" s="1"/>
  <c r="AA810" i="12"/>
  <c r="AB810" i="12"/>
  <c r="AC810" i="12"/>
  <c r="AD810" i="12"/>
  <c r="AE810" i="12"/>
  <c r="AF810" i="12"/>
  <c r="AH810" i="12" s="1"/>
  <c r="AI810" i="12" s="1"/>
  <c r="AG810" i="12"/>
  <c r="AJ810" i="12" s="1"/>
  <c r="AK810" i="12"/>
  <c r="AL810" i="12"/>
  <c r="AM810" i="12" s="1"/>
  <c r="AA811" i="12"/>
  <c r="AB811" i="12"/>
  <c r="AC811" i="12"/>
  <c r="AD811" i="12"/>
  <c r="AE811" i="12"/>
  <c r="AF811" i="12"/>
  <c r="AH811" i="12" s="1"/>
  <c r="AG811" i="12"/>
  <c r="AJ811" i="12" s="1"/>
  <c r="AI811" i="12"/>
  <c r="AK811" i="12"/>
  <c r="AL811" i="12"/>
  <c r="AM811" i="12"/>
  <c r="AA812" i="12"/>
  <c r="AB812" i="12"/>
  <c r="AC812" i="12"/>
  <c r="AD812" i="12"/>
  <c r="AE812" i="12"/>
  <c r="AG812" i="12" s="1"/>
  <c r="AF812" i="12"/>
  <c r="AH812" i="12" s="1"/>
  <c r="AI812" i="12" s="1"/>
  <c r="AJ812" i="12" s="1"/>
  <c r="AK812" i="12"/>
  <c r="AL812" i="12"/>
  <c r="AM812" i="12"/>
  <c r="AA813" i="12"/>
  <c r="AB813" i="12"/>
  <c r="AC813" i="12"/>
  <c r="AD813" i="12"/>
  <c r="AE813" i="12"/>
  <c r="AF813" i="12" s="1"/>
  <c r="AG813" i="12"/>
  <c r="AH813" i="12"/>
  <c r="AI813" i="12"/>
  <c r="AK813" i="12"/>
  <c r="AL813" i="12"/>
  <c r="AM813" i="12" s="1"/>
  <c r="AA814" i="12"/>
  <c r="AB814" i="12"/>
  <c r="AC814" i="12"/>
  <c r="AD814" i="12"/>
  <c r="AE814" i="12"/>
  <c r="AF814" i="12"/>
  <c r="AG814" i="12"/>
  <c r="AH814" i="12"/>
  <c r="AI814" i="12" s="1"/>
  <c r="AJ814" i="12"/>
  <c r="AK814" i="12"/>
  <c r="AL814" i="12"/>
  <c r="AM814" i="12" s="1"/>
  <c r="AA815" i="12"/>
  <c r="AB815" i="12"/>
  <c r="AC815" i="12"/>
  <c r="AD815" i="12"/>
  <c r="AE815" i="12"/>
  <c r="AG815" i="12" s="1"/>
  <c r="AF815" i="12"/>
  <c r="AH815" i="12" s="1"/>
  <c r="AI815" i="12" s="1"/>
  <c r="AK815" i="12"/>
  <c r="AL815" i="12"/>
  <c r="AM815" i="12"/>
  <c r="AA816" i="12"/>
  <c r="AB816" i="12"/>
  <c r="AC816" i="12"/>
  <c r="AD816" i="12"/>
  <c r="AE816" i="12"/>
  <c r="AG816" i="12" s="1"/>
  <c r="AF816" i="12"/>
  <c r="AH816" i="12" s="1"/>
  <c r="AI816" i="12" s="1"/>
  <c r="AJ816" i="12" s="1"/>
  <c r="AK816" i="12"/>
  <c r="AL816" i="12"/>
  <c r="AM816" i="12"/>
  <c r="AA817" i="12"/>
  <c r="AB817" i="12"/>
  <c r="AC817" i="12"/>
  <c r="AD817" i="12"/>
  <c r="AE817" i="12"/>
  <c r="AF817" i="12" s="1"/>
  <c r="AH817" i="12" s="1"/>
  <c r="AI817" i="12" s="1"/>
  <c r="AG817" i="12"/>
  <c r="AK817" i="12"/>
  <c r="AL817" i="12"/>
  <c r="AM817" i="12" s="1"/>
  <c r="AA818" i="12"/>
  <c r="AB818" i="12"/>
  <c r="AC818" i="12"/>
  <c r="AD818" i="12"/>
  <c r="AE818" i="12"/>
  <c r="AF818" i="12"/>
  <c r="AH818" i="12" s="1"/>
  <c r="AI818" i="12" s="1"/>
  <c r="AG818" i="12"/>
  <c r="AJ818" i="12" s="1"/>
  <c r="AK818" i="12"/>
  <c r="AL818" i="12"/>
  <c r="AM818" i="12" s="1"/>
  <c r="AA819" i="12"/>
  <c r="AB819" i="12"/>
  <c r="AC819" i="12"/>
  <c r="AD819" i="12"/>
  <c r="AE819" i="12"/>
  <c r="AF819" i="12"/>
  <c r="AH819" i="12" s="1"/>
  <c r="AG819" i="12"/>
  <c r="AJ819" i="12" s="1"/>
  <c r="AI819" i="12"/>
  <c r="AK819" i="12"/>
  <c r="AL819" i="12"/>
  <c r="AM819" i="12"/>
  <c r="AA820" i="12"/>
  <c r="AB820" i="12"/>
  <c r="AC820" i="12"/>
  <c r="AD820" i="12"/>
  <c r="AE820" i="12"/>
  <c r="AG820" i="12" s="1"/>
  <c r="AF820" i="12"/>
  <c r="AH820" i="12" s="1"/>
  <c r="AI820" i="12" s="1"/>
  <c r="AJ820" i="12" s="1"/>
  <c r="AK820" i="12"/>
  <c r="AL820" i="12"/>
  <c r="AM820" i="12"/>
  <c r="AA821" i="12"/>
  <c r="AB821" i="12"/>
  <c r="AC821" i="12"/>
  <c r="AD821" i="12"/>
  <c r="AE821" i="12"/>
  <c r="AF821" i="12" s="1"/>
  <c r="AG821" i="12"/>
  <c r="AH821" i="12"/>
  <c r="AI821" i="12"/>
  <c r="AK821" i="12"/>
  <c r="AL821" i="12"/>
  <c r="AM821" i="12" s="1"/>
  <c r="AA822" i="12"/>
  <c r="AB822" i="12"/>
  <c r="AC822" i="12"/>
  <c r="AD822" i="12"/>
  <c r="AE822" i="12"/>
  <c r="AF822" i="12"/>
  <c r="AG822" i="12"/>
  <c r="AH822" i="12"/>
  <c r="AI822" i="12" s="1"/>
  <c r="AJ822" i="12"/>
  <c r="AK822" i="12"/>
  <c r="AL822" i="12"/>
  <c r="AM822" i="12" s="1"/>
  <c r="AA823" i="12"/>
  <c r="AB823" i="12"/>
  <c r="AC823" i="12"/>
  <c r="AD823" i="12"/>
  <c r="AE823" i="12"/>
  <c r="AG823" i="12" s="1"/>
  <c r="AF823" i="12"/>
  <c r="AH823" i="12" s="1"/>
  <c r="AI823" i="12" s="1"/>
  <c r="AK823" i="12"/>
  <c r="AL823" i="12"/>
  <c r="AM823" i="12"/>
  <c r="AA824" i="12"/>
  <c r="AB824" i="12"/>
  <c r="AC824" i="12"/>
  <c r="AD824" i="12"/>
  <c r="AE824" i="12"/>
  <c r="AG824" i="12" s="1"/>
  <c r="AF824" i="12"/>
  <c r="AH824" i="12" s="1"/>
  <c r="AI824" i="12" s="1"/>
  <c r="AJ824" i="12" s="1"/>
  <c r="AK824" i="12"/>
  <c r="AL824" i="12"/>
  <c r="AM824" i="12"/>
  <c r="AA825" i="12"/>
  <c r="AB825" i="12"/>
  <c r="AC825" i="12"/>
  <c r="AD825" i="12"/>
  <c r="AE825" i="12"/>
  <c r="AF825" i="12" s="1"/>
  <c r="AH825" i="12" s="1"/>
  <c r="AI825" i="12" s="1"/>
  <c r="AG825" i="12"/>
  <c r="AK825" i="12"/>
  <c r="AL825" i="12"/>
  <c r="AM825" i="12" s="1"/>
  <c r="AA826" i="12"/>
  <c r="AB826" i="12"/>
  <c r="AC826" i="12"/>
  <c r="AD826" i="12"/>
  <c r="AE826" i="12"/>
  <c r="AF826" i="12"/>
  <c r="AH826" i="12" s="1"/>
  <c r="AI826" i="12" s="1"/>
  <c r="AG826" i="12"/>
  <c r="AJ826" i="12" s="1"/>
  <c r="AK826" i="12"/>
  <c r="AL826" i="12"/>
  <c r="AM826" i="12" s="1"/>
  <c r="AA827" i="12"/>
  <c r="AB827" i="12"/>
  <c r="AC827" i="12"/>
  <c r="AD827" i="12"/>
  <c r="AE827" i="12"/>
  <c r="AF827" i="12"/>
  <c r="AH827" i="12" s="1"/>
  <c r="AG827" i="12"/>
  <c r="AJ827" i="12" s="1"/>
  <c r="AI827" i="12"/>
  <c r="AK827" i="12"/>
  <c r="AL827" i="12"/>
  <c r="AM827" i="12"/>
  <c r="AA828" i="12"/>
  <c r="AB828" i="12"/>
  <c r="AC828" i="12"/>
  <c r="AD828" i="12"/>
  <c r="AE828" i="12"/>
  <c r="AG828" i="12" s="1"/>
  <c r="AF828" i="12"/>
  <c r="AH828" i="12" s="1"/>
  <c r="AI828" i="12" s="1"/>
  <c r="AJ828" i="12" s="1"/>
  <c r="AK828" i="12"/>
  <c r="AL828" i="12"/>
  <c r="AM828" i="12"/>
  <c r="AA829" i="12"/>
  <c r="AB829" i="12"/>
  <c r="AC829" i="12"/>
  <c r="AD829" i="12"/>
  <c r="AE829" i="12"/>
  <c r="AF829" i="12" s="1"/>
  <c r="AG829" i="12"/>
  <c r="AH829" i="12"/>
  <c r="AI829" i="12"/>
  <c r="AK829" i="12"/>
  <c r="AL829" i="12"/>
  <c r="AM829" i="12" s="1"/>
  <c r="AA830" i="12"/>
  <c r="AB830" i="12"/>
  <c r="AC830" i="12"/>
  <c r="AD830" i="12"/>
  <c r="AE830" i="12"/>
  <c r="AF830" i="12"/>
  <c r="AG830" i="12"/>
  <c r="AH830" i="12"/>
  <c r="AI830" i="12" s="1"/>
  <c r="AJ830" i="12"/>
  <c r="AK830" i="12"/>
  <c r="AL830" i="12"/>
  <c r="AM830" i="12" s="1"/>
  <c r="AA831" i="12"/>
  <c r="AB831" i="12"/>
  <c r="AC831" i="12"/>
  <c r="AD831" i="12"/>
  <c r="AE831" i="12"/>
  <c r="AG831" i="12" s="1"/>
  <c r="AF831" i="12"/>
  <c r="AH831" i="12" s="1"/>
  <c r="AI831" i="12" s="1"/>
  <c r="AK831" i="12"/>
  <c r="AL831" i="12"/>
  <c r="AM831" i="12"/>
  <c r="AA832" i="12"/>
  <c r="AB832" i="12"/>
  <c r="AC832" i="12"/>
  <c r="AD832" i="12"/>
  <c r="AE832" i="12"/>
  <c r="AG832" i="12" s="1"/>
  <c r="AF832" i="12"/>
  <c r="AH832" i="12" s="1"/>
  <c r="AI832" i="12" s="1"/>
  <c r="AJ832" i="12" s="1"/>
  <c r="AK832" i="12"/>
  <c r="AL832" i="12"/>
  <c r="AM832" i="12"/>
  <c r="AA833" i="12"/>
  <c r="AB833" i="12"/>
  <c r="AC833" i="12"/>
  <c r="AD833" i="12"/>
  <c r="AE833" i="12"/>
  <c r="AF833" i="12" s="1"/>
  <c r="AH833" i="12" s="1"/>
  <c r="AI833" i="12" s="1"/>
  <c r="AG833" i="12"/>
  <c r="AK833" i="12"/>
  <c r="AL833" i="12"/>
  <c r="AM833" i="12" s="1"/>
  <c r="AA834" i="12"/>
  <c r="AB834" i="12"/>
  <c r="AC834" i="12"/>
  <c r="AD834" i="12"/>
  <c r="AE834" i="12"/>
  <c r="AF834" i="12"/>
  <c r="AH834" i="12" s="1"/>
  <c r="AI834" i="12" s="1"/>
  <c r="AG834" i="12"/>
  <c r="AJ834" i="12" s="1"/>
  <c r="AK834" i="12"/>
  <c r="AL834" i="12"/>
  <c r="AM834" i="12" s="1"/>
  <c r="AA835" i="12"/>
  <c r="AB835" i="12"/>
  <c r="AC835" i="12"/>
  <c r="AD835" i="12"/>
  <c r="AE835" i="12"/>
  <c r="AF835" i="12"/>
  <c r="AH835" i="12" s="1"/>
  <c r="AG835" i="12"/>
  <c r="AJ835" i="12" s="1"/>
  <c r="AI835" i="12"/>
  <c r="AK835" i="12"/>
  <c r="AL835" i="12"/>
  <c r="AM835" i="12"/>
  <c r="AA836" i="12"/>
  <c r="AB836" i="12"/>
  <c r="AC836" i="12"/>
  <c r="AD836" i="12"/>
  <c r="AE836" i="12"/>
  <c r="AG836" i="12" s="1"/>
  <c r="AF836" i="12"/>
  <c r="AH836" i="12" s="1"/>
  <c r="AI836" i="12" s="1"/>
  <c r="AJ836" i="12" s="1"/>
  <c r="AK836" i="12"/>
  <c r="AL836" i="12"/>
  <c r="AM836" i="12"/>
  <c r="AA837" i="12"/>
  <c r="AB837" i="12"/>
  <c r="AC837" i="12"/>
  <c r="AD837" i="12"/>
  <c r="AE837" i="12"/>
  <c r="AF837" i="12" s="1"/>
  <c r="AG837" i="12"/>
  <c r="AH837" i="12"/>
  <c r="AI837" i="12"/>
  <c r="AK837" i="12"/>
  <c r="AL837" i="12"/>
  <c r="AM837" i="12" s="1"/>
  <c r="AA838" i="12"/>
  <c r="AB838" i="12"/>
  <c r="AC838" i="12"/>
  <c r="AD838" i="12"/>
  <c r="AE838" i="12"/>
  <c r="AF838" i="12"/>
  <c r="AG838" i="12"/>
  <c r="AH838" i="12"/>
  <c r="AI838" i="12" s="1"/>
  <c r="AJ838" i="12"/>
  <c r="AK838" i="12"/>
  <c r="AL838" i="12"/>
  <c r="AM838" i="12" s="1"/>
  <c r="AA839" i="12"/>
  <c r="AB839" i="12"/>
  <c r="AC839" i="12"/>
  <c r="AD839" i="12"/>
  <c r="AE839" i="12"/>
  <c r="AG839" i="12" s="1"/>
  <c r="AF839" i="12"/>
  <c r="AH839" i="12" s="1"/>
  <c r="AI839" i="12" s="1"/>
  <c r="AK839" i="12"/>
  <c r="AL839" i="12"/>
  <c r="AM839" i="12"/>
  <c r="AA840" i="12"/>
  <c r="AB840" i="12"/>
  <c r="AC840" i="12"/>
  <c r="AD840" i="12"/>
  <c r="AE840" i="12"/>
  <c r="AG840" i="12" s="1"/>
  <c r="AF840" i="12"/>
  <c r="AH840" i="12" s="1"/>
  <c r="AI840" i="12" s="1"/>
  <c r="AJ840" i="12" s="1"/>
  <c r="AK840" i="12"/>
  <c r="AL840" i="12"/>
  <c r="AM840" i="12"/>
  <c r="AA841" i="12"/>
  <c r="AB841" i="12"/>
  <c r="AC841" i="12"/>
  <c r="AD841" i="12"/>
  <c r="AE841" i="12"/>
  <c r="AF841" i="12" s="1"/>
  <c r="AH841" i="12" s="1"/>
  <c r="AI841" i="12" s="1"/>
  <c r="AG841" i="12"/>
  <c r="AK841" i="12"/>
  <c r="AL841" i="12"/>
  <c r="AM841" i="12" s="1"/>
  <c r="AA842" i="12"/>
  <c r="AB842" i="12"/>
  <c r="AC842" i="12"/>
  <c r="AD842" i="12"/>
  <c r="AE842" i="12"/>
  <c r="AF842" i="12"/>
  <c r="AH842" i="12" s="1"/>
  <c r="AI842" i="12" s="1"/>
  <c r="AG842" i="12"/>
  <c r="AJ842" i="12" s="1"/>
  <c r="AK842" i="12"/>
  <c r="AL842" i="12"/>
  <c r="AM842" i="12" s="1"/>
  <c r="AA843" i="12"/>
  <c r="AB843" i="12"/>
  <c r="AC843" i="12"/>
  <c r="AD843" i="12"/>
  <c r="AE843" i="12"/>
  <c r="AF843" i="12"/>
  <c r="AH843" i="12" s="1"/>
  <c r="AG843" i="12"/>
  <c r="AJ843" i="12" s="1"/>
  <c r="AI843" i="12"/>
  <c r="AK843" i="12"/>
  <c r="AL843" i="12"/>
  <c r="AM843" i="12"/>
  <c r="AA844" i="12"/>
  <c r="AB844" i="12"/>
  <c r="AC844" i="12"/>
  <c r="AD844" i="12"/>
  <c r="AE844" i="12"/>
  <c r="AG844" i="12" s="1"/>
  <c r="AF844" i="12"/>
  <c r="AH844" i="12" s="1"/>
  <c r="AI844" i="12" s="1"/>
  <c r="AJ844" i="12" s="1"/>
  <c r="AK844" i="12"/>
  <c r="AL844" i="12"/>
  <c r="AM844" i="12"/>
  <c r="AA845" i="12"/>
  <c r="AB845" i="12"/>
  <c r="AC845" i="12"/>
  <c r="AD845" i="12"/>
  <c r="AE845" i="12"/>
  <c r="AF845" i="12" s="1"/>
  <c r="AG845" i="12"/>
  <c r="AH845" i="12"/>
  <c r="AI845" i="12"/>
  <c r="AK845" i="12"/>
  <c r="AL845" i="12"/>
  <c r="AM845" i="12" s="1"/>
  <c r="AA846" i="12"/>
  <c r="AB846" i="12"/>
  <c r="AC846" i="12"/>
  <c r="AD846" i="12"/>
  <c r="AE846" i="12"/>
  <c r="AF846" i="12"/>
  <c r="AG846" i="12"/>
  <c r="AH846" i="12"/>
  <c r="AI846" i="12" s="1"/>
  <c r="AJ846" i="12"/>
  <c r="AK846" i="12"/>
  <c r="AL846" i="12"/>
  <c r="AM846" i="12" s="1"/>
  <c r="AA847" i="12"/>
  <c r="AB847" i="12"/>
  <c r="AC847" i="12"/>
  <c r="AD847" i="12"/>
  <c r="AE847" i="12"/>
  <c r="AG847" i="12" s="1"/>
  <c r="AF847" i="12"/>
  <c r="AH847" i="12" s="1"/>
  <c r="AI847" i="12" s="1"/>
  <c r="AK847" i="12"/>
  <c r="AL847" i="12"/>
  <c r="AM847" i="12"/>
  <c r="AA848" i="12"/>
  <c r="AB848" i="12"/>
  <c r="AC848" i="12"/>
  <c r="AD848" i="12"/>
  <c r="AE848" i="12"/>
  <c r="AG848" i="12" s="1"/>
  <c r="AF848" i="12"/>
  <c r="AH848" i="12" s="1"/>
  <c r="AI848" i="12" s="1"/>
  <c r="AJ848" i="12" s="1"/>
  <c r="AK848" i="12"/>
  <c r="AL848" i="12"/>
  <c r="AM848" i="12"/>
  <c r="AA849" i="12"/>
  <c r="AB849" i="12"/>
  <c r="AC849" i="12"/>
  <c r="AD849" i="12"/>
  <c r="AE849" i="12"/>
  <c r="AF849" i="12" s="1"/>
  <c r="AH849" i="12" s="1"/>
  <c r="AI849" i="12" s="1"/>
  <c r="AG849" i="12"/>
  <c r="AK849" i="12"/>
  <c r="AL849" i="12"/>
  <c r="AM849" i="12" s="1"/>
  <c r="AA850" i="12"/>
  <c r="AB850" i="12"/>
  <c r="AC850" i="12"/>
  <c r="AD850" i="12"/>
  <c r="AE850" i="12"/>
  <c r="AF850" i="12"/>
  <c r="AH850" i="12" s="1"/>
  <c r="AI850" i="12" s="1"/>
  <c r="AG850" i="12"/>
  <c r="AJ850" i="12" s="1"/>
  <c r="AK850" i="12"/>
  <c r="AL850" i="12"/>
  <c r="AM850" i="12" s="1"/>
  <c r="AA851" i="12"/>
  <c r="AB851" i="12"/>
  <c r="AC851" i="12"/>
  <c r="AD851" i="12"/>
  <c r="AE851" i="12"/>
  <c r="AF851" i="12"/>
  <c r="AH851" i="12" s="1"/>
  <c r="AG851" i="12"/>
  <c r="AJ851" i="12" s="1"/>
  <c r="AI851" i="12"/>
  <c r="AK851" i="12"/>
  <c r="AL851" i="12"/>
  <c r="AM851" i="12"/>
  <c r="AA852" i="12"/>
  <c r="AB852" i="12"/>
  <c r="AC852" i="12"/>
  <c r="AD852" i="12"/>
  <c r="AE852" i="12"/>
  <c r="AG852" i="12" s="1"/>
  <c r="AF852" i="12"/>
  <c r="AH852" i="12" s="1"/>
  <c r="AI852" i="12" s="1"/>
  <c r="AJ852" i="12" s="1"/>
  <c r="AK852" i="12"/>
  <c r="AL852" i="12"/>
  <c r="AM852" i="12"/>
  <c r="AA853" i="12"/>
  <c r="AB853" i="12"/>
  <c r="AC853" i="12"/>
  <c r="AD853" i="12"/>
  <c r="AE853" i="12"/>
  <c r="AF853" i="12" s="1"/>
  <c r="AG853" i="12"/>
  <c r="AH853" i="12"/>
  <c r="AI853" i="12"/>
  <c r="AK853" i="12"/>
  <c r="AL853" i="12"/>
  <c r="AM853" i="12" s="1"/>
  <c r="AA854" i="12"/>
  <c r="AB854" i="12"/>
  <c r="AC854" i="12"/>
  <c r="AD854" i="12"/>
  <c r="AE854" i="12"/>
  <c r="AF854" i="12"/>
  <c r="AG854" i="12"/>
  <c r="AH854" i="12"/>
  <c r="AI854" i="12" s="1"/>
  <c r="AJ854" i="12"/>
  <c r="AK854" i="12"/>
  <c r="AL854" i="12"/>
  <c r="AM854" i="12" s="1"/>
  <c r="AA855" i="12"/>
  <c r="AB855" i="12"/>
  <c r="AC855" i="12"/>
  <c r="AD855" i="12"/>
  <c r="AE855" i="12"/>
  <c r="AG855" i="12" s="1"/>
  <c r="AF855" i="12"/>
  <c r="AH855" i="12" s="1"/>
  <c r="AI855" i="12" s="1"/>
  <c r="AK855" i="12"/>
  <c r="AL855" i="12"/>
  <c r="AM855" i="12"/>
  <c r="AA856" i="12"/>
  <c r="AB856" i="12"/>
  <c r="AC856" i="12"/>
  <c r="AD856" i="12"/>
  <c r="AE856" i="12"/>
  <c r="AG856" i="12" s="1"/>
  <c r="AF856" i="12"/>
  <c r="AH856" i="12" s="1"/>
  <c r="AI856" i="12" s="1"/>
  <c r="AJ856" i="12" s="1"/>
  <c r="AK856" i="12"/>
  <c r="AL856" i="12"/>
  <c r="AM856" i="12"/>
  <c r="AA857" i="12"/>
  <c r="AB857" i="12"/>
  <c r="AC857" i="12"/>
  <c r="AD857" i="12"/>
  <c r="AE857" i="12"/>
  <c r="AF857" i="12" s="1"/>
  <c r="AH857" i="12" s="1"/>
  <c r="AI857" i="12" s="1"/>
  <c r="AG857" i="12"/>
  <c r="AK857" i="12"/>
  <c r="AL857" i="12"/>
  <c r="AM857" i="12" s="1"/>
  <c r="AA858" i="12"/>
  <c r="AB858" i="12"/>
  <c r="AC858" i="12"/>
  <c r="AD858" i="12"/>
  <c r="AE858" i="12"/>
  <c r="AF858" i="12"/>
  <c r="AH858" i="12" s="1"/>
  <c r="AI858" i="12" s="1"/>
  <c r="AG858" i="12"/>
  <c r="AJ858" i="12" s="1"/>
  <c r="AK858" i="12"/>
  <c r="AL858" i="12"/>
  <c r="AM858" i="12" s="1"/>
  <c r="AA859" i="12"/>
  <c r="AB859" i="12"/>
  <c r="AC859" i="12"/>
  <c r="AD859" i="12"/>
  <c r="AE859" i="12"/>
  <c r="AF859" i="12"/>
  <c r="AH859" i="12" s="1"/>
  <c r="AG859" i="12"/>
  <c r="AJ859" i="12" s="1"/>
  <c r="AI859" i="12"/>
  <c r="AK859" i="12"/>
  <c r="AL859" i="12"/>
  <c r="AM859" i="12"/>
  <c r="AA860" i="12"/>
  <c r="AB860" i="12"/>
  <c r="AC860" i="12"/>
  <c r="AD860" i="12"/>
  <c r="AE860" i="12"/>
  <c r="AG860" i="12" s="1"/>
  <c r="AF860" i="12"/>
  <c r="AH860" i="12" s="1"/>
  <c r="AI860" i="12" s="1"/>
  <c r="AJ860" i="12" s="1"/>
  <c r="AK860" i="12"/>
  <c r="AL860" i="12"/>
  <c r="AM860" i="12"/>
  <c r="AA861" i="12"/>
  <c r="AB861" i="12"/>
  <c r="AC861" i="12"/>
  <c r="AD861" i="12"/>
  <c r="AE861" i="12"/>
  <c r="AF861" i="12" s="1"/>
  <c r="AG861" i="12"/>
  <c r="AH861" i="12"/>
  <c r="AI861" i="12"/>
  <c r="AK861" i="12"/>
  <c r="AL861" i="12"/>
  <c r="AM861" i="12" s="1"/>
  <c r="AA862" i="12"/>
  <c r="AB862" i="12"/>
  <c r="AC862" i="12"/>
  <c r="AD862" i="12"/>
  <c r="AE862" i="12"/>
  <c r="AF862" i="12"/>
  <c r="AG862" i="12"/>
  <c r="AH862" i="12"/>
  <c r="AI862" i="12" s="1"/>
  <c r="AJ862" i="12"/>
  <c r="AK862" i="12"/>
  <c r="AL862" i="12"/>
  <c r="AM862" i="12" s="1"/>
  <c r="AA863" i="12"/>
  <c r="AB863" i="12"/>
  <c r="AC863" i="12"/>
  <c r="AD863" i="12"/>
  <c r="AE863" i="12"/>
  <c r="AG863" i="12" s="1"/>
  <c r="AF863" i="12"/>
  <c r="AH863" i="12" s="1"/>
  <c r="AI863" i="12" s="1"/>
  <c r="AK863" i="12"/>
  <c r="AL863" i="12"/>
  <c r="AM863" i="12"/>
  <c r="AA864" i="12"/>
  <c r="AB864" i="12"/>
  <c r="AC864" i="12"/>
  <c r="AD864" i="12"/>
  <c r="AE864" i="12"/>
  <c r="AG864" i="12" s="1"/>
  <c r="AF864" i="12"/>
  <c r="AH864" i="12" s="1"/>
  <c r="AI864" i="12" s="1"/>
  <c r="AJ864" i="12" s="1"/>
  <c r="AK864" i="12"/>
  <c r="AL864" i="12"/>
  <c r="AM864" i="12"/>
  <c r="AA865" i="12"/>
  <c r="AB865" i="12"/>
  <c r="AC865" i="12"/>
  <c r="AD865" i="12"/>
  <c r="AE865" i="12"/>
  <c r="AF865" i="12" s="1"/>
  <c r="AH865" i="12" s="1"/>
  <c r="AI865" i="12" s="1"/>
  <c r="AG865" i="12"/>
  <c r="AK865" i="12"/>
  <c r="AL865" i="12"/>
  <c r="AM865" i="12" s="1"/>
  <c r="AA866" i="12"/>
  <c r="AB866" i="12"/>
  <c r="AC866" i="12"/>
  <c r="AD866" i="12"/>
  <c r="AE866" i="12"/>
  <c r="AF866" i="12"/>
  <c r="AH866" i="12" s="1"/>
  <c r="AI866" i="12" s="1"/>
  <c r="AG866" i="12"/>
  <c r="AJ866" i="12" s="1"/>
  <c r="AK866" i="12"/>
  <c r="AL866" i="12"/>
  <c r="AM866" i="12" s="1"/>
  <c r="AA867" i="12"/>
  <c r="AB867" i="12"/>
  <c r="AC867" i="12"/>
  <c r="AD867" i="12"/>
  <c r="AE867" i="12"/>
  <c r="AF867" i="12"/>
  <c r="AH867" i="12" s="1"/>
  <c r="AG867" i="12"/>
  <c r="AJ867" i="12" s="1"/>
  <c r="AI867" i="12"/>
  <c r="AK867" i="12"/>
  <c r="AL867" i="12"/>
  <c r="AM867" i="12"/>
  <c r="AA868" i="12"/>
  <c r="AB868" i="12"/>
  <c r="AC868" i="12"/>
  <c r="AD868" i="12"/>
  <c r="AE868" i="12"/>
  <c r="AG868" i="12" s="1"/>
  <c r="AF868" i="12"/>
  <c r="AH868" i="12" s="1"/>
  <c r="AI868" i="12" s="1"/>
  <c r="AJ868" i="12" s="1"/>
  <c r="AK868" i="12"/>
  <c r="AL868" i="12"/>
  <c r="AM868" i="12"/>
  <c r="AA869" i="12"/>
  <c r="AB869" i="12"/>
  <c r="AC869" i="12"/>
  <c r="AD869" i="12"/>
  <c r="AE869" i="12"/>
  <c r="AF869" i="12" s="1"/>
  <c r="AG869" i="12"/>
  <c r="AH869" i="12"/>
  <c r="AI869" i="12"/>
  <c r="AK869" i="12"/>
  <c r="AL869" i="12"/>
  <c r="AM869" i="12" s="1"/>
  <c r="AA870" i="12"/>
  <c r="AB870" i="12"/>
  <c r="AC870" i="12"/>
  <c r="AD870" i="12"/>
  <c r="AE870" i="12"/>
  <c r="AF870" i="12"/>
  <c r="AG870" i="12"/>
  <c r="AH870" i="12"/>
  <c r="AI870" i="12" s="1"/>
  <c r="AJ870" i="12"/>
  <c r="AK870" i="12"/>
  <c r="AL870" i="12"/>
  <c r="AM870" i="12" s="1"/>
  <c r="AA871" i="12"/>
  <c r="AB871" i="12"/>
  <c r="AC871" i="12"/>
  <c r="AD871" i="12"/>
  <c r="AE871" i="12"/>
  <c r="AG871" i="12" s="1"/>
  <c r="AF871" i="12"/>
  <c r="AH871" i="12" s="1"/>
  <c r="AI871" i="12" s="1"/>
  <c r="AK871" i="12"/>
  <c r="AL871" i="12"/>
  <c r="AM871" i="12"/>
  <c r="AA872" i="12"/>
  <c r="AB872" i="12"/>
  <c r="AC872" i="12"/>
  <c r="AD872" i="12"/>
  <c r="AE872" i="12"/>
  <c r="AG872" i="12" s="1"/>
  <c r="AF872" i="12"/>
  <c r="AH872" i="12" s="1"/>
  <c r="AI872" i="12" s="1"/>
  <c r="AJ872" i="12" s="1"/>
  <c r="AK872" i="12"/>
  <c r="AL872" i="12"/>
  <c r="AM872" i="12"/>
  <c r="AA873" i="12"/>
  <c r="AB873" i="12"/>
  <c r="AC873" i="12"/>
  <c r="AD873" i="12"/>
  <c r="AE873" i="12"/>
  <c r="AF873" i="12" s="1"/>
  <c r="AH873" i="12" s="1"/>
  <c r="AI873" i="12" s="1"/>
  <c r="AG873" i="12"/>
  <c r="AK873" i="12"/>
  <c r="AL873" i="12"/>
  <c r="AM873" i="12" s="1"/>
  <c r="AA874" i="12"/>
  <c r="AB874" i="12"/>
  <c r="AC874" i="12"/>
  <c r="AD874" i="12"/>
  <c r="AE874" i="12"/>
  <c r="AF874" i="12"/>
  <c r="AH874" i="12" s="1"/>
  <c r="AI874" i="12" s="1"/>
  <c r="AG874" i="12"/>
  <c r="AJ874" i="12" s="1"/>
  <c r="AK874" i="12"/>
  <c r="AL874" i="12"/>
  <c r="AM874" i="12" s="1"/>
  <c r="AA875" i="12"/>
  <c r="AB875" i="12"/>
  <c r="AC875" i="12"/>
  <c r="AD875" i="12"/>
  <c r="AE875" i="12"/>
  <c r="AF875" i="12"/>
  <c r="AH875" i="12" s="1"/>
  <c r="AG875" i="12"/>
  <c r="AJ875" i="12" s="1"/>
  <c r="AI875" i="12"/>
  <c r="AK875" i="12"/>
  <c r="AL875" i="12"/>
  <c r="AM875" i="12"/>
  <c r="AA876" i="12"/>
  <c r="AB876" i="12"/>
  <c r="AC876" i="12"/>
  <c r="AD876" i="12"/>
  <c r="AE876" i="12"/>
  <c r="AG876" i="12" s="1"/>
  <c r="AF876" i="12"/>
  <c r="AH876" i="12" s="1"/>
  <c r="AI876" i="12" s="1"/>
  <c r="AJ876" i="12" s="1"/>
  <c r="AK876" i="12"/>
  <c r="AL876" i="12"/>
  <c r="AM876" i="12"/>
  <c r="AA877" i="12"/>
  <c r="AB877" i="12"/>
  <c r="AC877" i="12"/>
  <c r="AD877" i="12"/>
  <c r="AE877" i="12"/>
  <c r="AF877" i="12" s="1"/>
  <c r="AG877" i="12"/>
  <c r="AH877" i="12"/>
  <c r="AI877" i="12"/>
  <c r="AK877" i="12"/>
  <c r="AL877" i="12"/>
  <c r="AM877" i="12" s="1"/>
  <c r="AA878" i="12"/>
  <c r="AB878" i="12"/>
  <c r="AC878" i="12"/>
  <c r="AD878" i="12"/>
  <c r="AE878" i="12"/>
  <c r="AF878" i="12"/>
  <c r="AG878" i="12"/>
  <c r="AH878" i="12"/>
  <c r="AI878" i="12" s="1"/>
  <c r="AJ878" i="12"/>
  <c r="AK878" i="12"/>
  <c r="AL878" i="12"/>
  <c r="AM878" i="12" s="1"/>
  <c r="AA879" i="12"/>
  <c r="AB879" i="12"/>
  <c r="AC879" i="12"/>
  <c r="AD879" i="12"/>
  <c r="AE879" i="12"/>
  <c r="AG879" i="12" s="1"/>
  <c r="AF879" i="12"/>
  <c r="AH879" i="12" s="1"/>
  <c r="AI879" i="12" s="1"/>
  <c r="AK879" i="12"/>
  <c r="AL879" i="12"/>
  <c r="AM879" i="12"/>
  <c r="AA880" i="12"/>
  <c r="AB880" i="12"/>
  <c r="AC880" i="12"/>
  <c r="AD880" i="12"/>
  <c r="AE880" i="12"/>
  <c r="AG880" i="12" s="1"/>
  <c r="AF880" i="12"/>
  <c r="AH880" i="12" s="1"/>
  <c r="AI880" i="12" s="1"/>
  <c r="AJ880" i="12" s="1"/>
  <c r="AK880" i="12"/>
  <c r="AL880" i="12"/>
  <c r="AM880" i="12"/>
  <c r="AA881" i="12"/>
  <c r="AB881" i="12"/>
  <c r="AC881" i="12"/>
  <c r="AD881" i="12"/>
  <c r="AE881" i="12"/>
  <c r="AF881" i="12" s="1"/>
  <c r="AH881" i="12" s="1"/>
  <c r="AI881" i="12" s="1"/>
  <c r="AG881" i="12"/>
  <c r="AK881" i="12"/>
  <c r="AL881" i="12"/>
  <c r="AM881" i="12" s="1"/>
  <c r="AA882" i="12"/>
  <c r="AB882" i="12"/>
  <c r="AC882" i="12"/>
  <c r="AD882" i="12"/>
  <c r="AE882" i="12"/>
  <c r="AF882" i="12"/>
  <c r="AH882" i="12" s="1"/>
  <c r="AI882" i="12" s="1"/>
  <c r="AG882" i="12"/>
  <c r="AJ882" i="12" s="1"/>
  <c r="AK882" i="12"/>
  <c r="AL882" i="12"/>
  <c r="AM882" i="12" s="1"/>
  <c r="AA883" i="12"/>
  <c r="AB883" i="12"/>
  <c r="AC883" i="12"/>
  <c r="AD883" i="12"/>
  <c r="AE883" i="12"/>
  <c r="AF883" i="12"/>
  <c r="AH883" i="12" s="1"/>
  <c r="AG883" i="12"/>
  <c r="AJ883" i="12" s="1"/>
  <c r="AI883" i="12"/>
  <c r="AK883" i="12"/>
  <c r="AL883" i="12"/>
  <c r="AM883" i="12"/>
  <c r="AA884" i="12"/>
  <c r="AB884" i="12"/>
  <c r="AC884" i="12"/>
  <c r="AD884" i="12"/>
  <c r="AE884" i="12"/>
  <c r="AG884" i="12" s="1"/>
  <c r="AF884" i="12"/>
  <c r="AH884" i="12" s="1"/>
  <c r="AI884" i="12" s="1"/>
  <c r="AJ884" i="12" s="1"/>
  <c r="AK884" i="12"/>
  <c r="AL884" i="12"/>
  <c r="AM884" i="12"/>
  <c r="AA885" i="12"/>
  <c r="AB885" i="12"/>
  <c r="AC885" i="12"/>
  <c r="AD885" i="12"/>
  <c r="AE885" i="12"/>
  <c r="AF885" i="12" s="1"/>
  <c r="AG885" i="12"/>
  <c r="AH885" i="12"/>
  <c r="AI885" i="12"/>
  <c r="AK885" i="12"/>
  <c r="AL885" i="12"/>
  <c r="AM885" i="12" s="1"/>
  <c r="AA886" i="12"/>
  <c r="AB886" i="12"/>
  <c r="AC886" i="12"/>
  <c r="AD886" i="12"/>
  <c r="AE886" i="12"/>
  <c r="AF886" i="12"/>
  <c r="AG886" i="12"/>
  <c r="AH886" i="12"/>
  <c r="AI886" i="12" s="1"/>
  <c r="AJ886" i="12"/>
  <c r="AK886" i="12"/>
  <c r="AL886" i="12"/>
  <c r="AM886" i="12" s="1"/>
  <c r="AA887" i="12"/>
  <c r="AB887" i="12"/>
  <c r="AC887" i="12"/>
  <c r="AD887" i="12"/>
  <c r="AE887" i="12"/>
  <c r="AG887" i="12" s="1"/>
  <c r="AF887" i="12"/>
  <c r="AH887" i="12" s="1"/>
  <c r="AI887" i="12" s="1"/>
  <c r="AK887" i="12"/>
  <c r="AL887" i="12"/>
  <c r="AM887" i="12"/>
  <c r="AA888" i="12"/>
  <c r="AB888" i="12"/>
  <c r="AC888" i="12"/>
  <c r="AD888" i="12"/>
  <c r="AE888" i="12"/>
  <c r="AG888" i="12" s="1"/>
  <c r="AF888" i="12"/>
  <c r="AH888" i="12" s="1"/>
  <c r="AI888" i="12" s="1"/>
  <c r="AJ888" i="12" s="1"/>
  <c r="AK888" i="12"/>
  <c r="AL888" i="12"/>
  <c r="AM888" i="12"/>
  <c r="AA889" i="12"/>
  <c r="AB889" i="12"/>
  <c r="AC889" i="12"/>
  <c r="AD889" i="12"/>
  <c r="AE889" i="12"/>
  <c r="AF889" i="12" s="1"/>
  <c r="AH889" i="12" s="1"/>
  <c r="AI889" i="12" s="1"/>
  <c r="AG889" i="12"/>
  <c r="AK889" i="12"/>
  <c r="AL889" i="12"/>
  <c r="AM889" i="12" s="1"/>
  <c r="AA890" i="12"/>
  <c r="AB890" i="12"/>
  <c r="AC890" i="12"/>
  <c r="AD890" i="12"/>
  <c r="AE890" i="12"/>
  <c r="AF890" i="12"/>
  <c r="AH890" i="12" s="1"/>
  <c r="AI890" i="12" s="1"/>
  <c r="AG890" i="12"/>
  <c r="AJ890" i="12" s="1"/>
  <c r="AK890" i="12"/>
  <c r="AL890" i="12"/>
  <c r="AM890" i="12" s="1"/>
  <c r="AA891" i="12"/>
  <c r="AB891" i="12"/>
  <c r="AC891" i="12"/>
  <c r="AD891" i="12"/>
  <c r="AE891" i="12"/>
  <c r="AF891" i="12"/>
  <c r="AH891" i="12" s="1"/>
  <c r="AG891" i="12"/>
  <c r="AJ891" i="12" s="1"/>
  <c r="AI891" i="12"/>
  <c r="AK891" i="12"/>
  <c r="AL891" i="12"/>
  <c r="AM891" i="12"/>
  <c r="AA892" i="12"/>
  <c r="AB892" i="12"/>
  <c r="AC892" i="12"/>
  <c r="AD892" i="12"/>
  <c r="AE892" i="12"/>
  <c r="AG892" i="12" s="1"/>
  <c r="AF892" i="12"/>
  <c r="AH892" i="12" s="1"/>
  <c r="AI892" i="12" s="1"/>
  <c r="AJ892" i="12" s="1"/>
  <c r="AK892" i="12"/>
  <c r="AL892" i="12"/>
  <c r="AM892" i="12"/>
  <c r="AA893" i="12"/>
  <c r="AB893" i="12"/>
  <c r="AC893" i="12"/>
  <c r="AD893" i="12"/>
  <c r="AE893" i="12"/>
  <c r="AF893" i="12" s="1"/>
  <c r="AG893" i="12"/>
  <c r="AH893" i="12"/>
  <c r="AI893" i="12"/>
  <c r="AK893" i="12"/>
  <c r="AL893" i="12"/>
  <c r="AM893" i="12" s="1"/>
  <c r="AA894" i="12"/>
  <c r="AB894" i="12"/>
  <c r="AC894" i="12"/>
  <c r="AD894" i="12"/>
  <c r="AE894" i="12"/>
  <c r="AF894" i="12"/>
  <c r="AG894" i="12"/>
  <c r="AH894" i="12"/>
  <c r="AI894" i="12" s="1"/>
  <c r="AJ894" i="12"/>
  <c r="AK894" i="12"/>
  <c r="AL894" i="12"/>
  <c r="AM894" i="12" s="1"/>
  <c r="AA895" i="12"/>
  <c r="AB895" i="12"/>
  <c r="AC895" i="12"/>
  <c r="AD895" i="12"/>
  <c r="AE895" i="12"/>
  <c r="AG895" i="12" s="1"/>
  <c r="AF895" i="12"/>
  <c r="AH895" i="12" s="1"/>
  <c r="AI895" i="12" s="1"/>
  <c r="AK895" i="12"/>
  <c r="AL895" i="12"/>
  <c r="AM895" i="12"/>
  <c r="AA896" i="12"/>
  <c r="AB896" i="12"/>
  <c r="AC896" i="12"/>
  <c r="AD896" i="12"/>
  <c r="AE896" i="12"/>
  <c r="AG896" i="12" s="1"/>
  <c r="AF896" i="12"/>
  <c r="AH896" i="12" s="1"/>
  <c r="AI896" i="12" s="1"/>
  <c r="AJ896" i="12" s="1"/>
  <c r="AK896" i="12"/>
  <c r="AL896" i="12"/>
  <c r="AM896" i="12"/>
  <c r="AA897" i="12"/>
  <c r="AB897" i="12"/>
  <c r="AC897" i="12"/>
  <c r="AD897" i="12"/>
  <c r="AE897" i="12"/>
  <c r="AF897" i="12" s="1"/>
  <c r="AH897" i="12" s="1"/>
  <c r="AI897" i="12" s="1"/>
  <c r="AG897" i="12"/>
  <c r="AK897" i="12"/>
  <c r="AL897" i="12"/>
  <c r="AM897" i="12" s="1"/>
  <c r="AA898" i="12"/>
  <c r="AB898" i="12"/>
  <c r="AC898" i="12"/>
  <c r="AD898" i="12"/>
  <c r="AE898" i="12"/>
  <c r="AF898" i="12"/>
  <c r="AH898" i="12" s="1"/>
  <c r="AI898" i="12" s="1"/>
  <c r="AG898" i="12"/>
  <c r="AJ898" i="12" s="1"/>
  <c r="AK898" i="12"/>
  <c r="AL898" i="12"/>
  <c r="AM898" i="12" s="1"/>
  <c r="AA899" i="12"/>
  <c r="AB899" i="12"/>
  <c r="AC899" i="12"/>
  <c r="AD899" i="12"/>
  <c r="AE899" i="12"/>
  <c r="AF899" i="12"/>
  <c r="AH899" i="12" s="1"/>
  <c r="AG899" i="12"/>
  <c r="AJ899" i="12" s="1"/>
  <c r="AI899" i="12"/>
  <c r="AK899" i="12"/>
  <c r="AL899" i="12"/>
  <c r="AM899" i="12"/>
  <c r="AA900" i="12"/>
  <c r="AB900" i="12"/>
  <c r="AC900" i="12"/>
  <c r="AD900" i="12"/>
  <c r="AE900" i="12"/>
  <c r="AG900" i="12" s="1"/>
  <c r="AF900" i="12"/>
  <c r="AH900" i="12" s="1"/>
  <c r="AI900" i="12" s="1"/>
  <c r="AJ900" i="12" s="1"/>
  <c r="AK900" i="12"/>
  <c r="AL900" i="12"/>
  <c r="AM900" i="12"/>
  <c r="AA901" i="12"/>
  <c r="AB901" i="12"/>
  <c r="AC901" i="12"/>
  <c r="AD901" i="12"/>
  <c r="AE901" i="12"/>
  <c r="AF901" i="12" s="1"/>
  <c r="AG901" i="12"/>
  <c r="AH901" i="12"/>
  <c r="AI901" i="12"/>
  <c r="AK901" i="12"/>
  <c r="AL901" i="12"/>
  <c r="AM901" i="12" s="1"/>
  <c r="AA902" i="12"/>
  <c r="AB902" i="12"/>
  <c r="AC902" i="12"/>
  <c r="AD902" i="12"/>
  <c r="AE902" i="12"/>
  <c r="AF902" i="12"/>
  <c r="AG902" i="12"/>
  <c r="AH902" i="12"/>
  <c r="AI902" i="12" s="1"/>
  <c r="AJ902" i="12"/>
  <c r="AK902" i="12"/>
  <c r="AL902" i="12"/>
  <c r="AM902" i="12" s="1"/>
  <c r="AA903" i="12"/>
  <c r="AB903" i="12"/>
  <c r="AC903" i="12"/>
  <c r="AD903" i="12"/>
  <c r="AE903" i="12"/>
  <c r="AG903" i="12" s="1"/>
  <c r="AF903" i="12"/>
  <c r="AH903" i="12" s="1"/>
  <c r="AI903" i="12" s="1"/>
  <c r="AK903" i="12"/>
  <c r="AL903" i="12"/>
  <c r="AM903" i="12"/>
  <c r="AA904" i="12"/>
  <c r="AB904" i="12"/>
  <c r="AC904" i="12"/>
  <c r="AD904" i="12"/>
  <c r="AE904" i="12"/>
  <c r="AG904" i="12" s="1"/>
  <c r="AF904" i="12"/>
  <c r="AH904" i="12" s="1"/>
  <c r="AI904" i="12" s="1"/>
  <c r="AJ904" i="12" s="1"/>
  <c r="AK904" i="12"/>
  <c r="AL904" i="12"/>
  <c r="AM904" i="12"/>
  <c r="AA905" i="12"/>
  <c r="AB905" i="12"/>
  <c r="AC905" i="12"/>
  <c r="AD905" i="12"/>
  <c r="AE905" i="12"/>
  <c r="AF905" i="12" s="1"/>
  <c r="AH905" i="12" s="1"/>
  <c r="AI905" i="12" s="1"/>
  <c r="AG905" i="12"/>
  <c r="AK905" i="12"/>
  <c r="AL905" i="12"/>
  <c r="AM905" i="12" s="1"/>
  <c r="AA906" i="12"/>
  <c r="AB906" i="12"/>
  <c r="AC906" i="12"/>
  <c r="AD906" i="12"/>
  <c r="AE906" i="12"/>
  <c r="AF906" i="12"/>
  <c r="AH906" i="12" s="1"/>
  <c r="AI906" i="12" s="1"/>
  <c r="AG906" i="12"/>
  <c r="AJ906" i="12" s="1"/>
  <c r="AK906" i="12"/>
  <c r="AL906" i="12"/>
  <c r="AM906" i="12" s="1"/>
  <c r="AA907" i="12"/>
  <c r="AB907" i="12"/>
  <c r="AC907" i="12"/>
  <c r="AD907" i="12"/>
  <c r="AE907" i="12"/>
  <c r="AF907" i="12"/>
  <c r="AH907" i="12" s="1"/>
  <c r="AG907" i="12"/>
  <c r="AJ907" i="12" s="1"/>
  <c r="AI907" i="12"/>
  <c r="AK907" i="12"/>
  <c r="AL907" i="12"/>
  <c r="AM907" i="12"/>
  <c r="AA908" i="12"/>
  <c r="AB908" i="12"/>
  <c r="AC908" i="12"/>
  <c r="AD908" i="12"/>
  <c r="AE908" i="12"/>
  <c r="AG908" i="12" s="1"/>
  <c r="AF908" i="12"/>
  <c r="AH908" i="12" s="1"/>
  <c r="AI908" i="12" s="1"/>
  <c r="AJ908" i="12" s="1"/>
  <c r="AK908" i="12"/>
  <c r="AL908" i="12"/>
  <c r="AM908" i="12"/>
  <c r="AA909" i="12"/>
  <c r="AB909" i="12"/>
  <c r="AC909" i="12"/>
  <c r="AD909" i="12"/>
  <c r="AE909" i="12"/>
  <c r="AF909" i="12" s="1"/>
  <c r="AG909" i="12"/>
  <c r="AH909" i="12"/>
  <c r="AI909" i="12"/>
  <c r="AK909" i="12"/>
  <c r="AL909" i="12"/>
  <c r="AM909" i="12" s="1"/>
  <c r="AA910" i="12"/>
  <c r="AB910" i="12"/>
  <c r="AC910" i="12"/>
  <c r="AD910" i="12"/>
  <c r="AE910" i="12"/>
  <c r="AF910" i="12"/>
  <c r="AG910" i="12"/>
  <c r="AH910" i="12"/>
  <c r="AI910" i="12" s="1"/>
  <c r="AJ910" i="12"/>
  <c r="AK910" i="12"/>
  <c r="AL910" i="12"/>
  <c r="AM910" i="12" s="1"/>
  <c r="AA911" i="12"/>
  <c r="AB911" i="12"/>
  <c r="AC911" i="12"/>
  <c r="AD911" i="12"/>
  <c r="AE911" i="12"/>
  <c r="AG911" i="12" s="1"/>
  <c r="AF911" i="12"/>
  <c r="AH911" i="12" s="1"/>
  <c r="AI911" i="12" s="1"/>
  <c r="AK911" i="12"/>
  <c r="AL911" i="12"/>
  <c r="AM911" i="12"/>
  <c r="AA912" i="12"/>
  <c r="AB912" i="12"/>
  <c r="AC912" i="12"/>
  <c r="AD912" i="12"/>
  <c r="AE912" i="12"/>
  <c r="AG912" i="12" s="1"/>
  <c r="AF912" i="12"/>
  <c r="AH912" i="12" s="1"/>
  <c r="AI912" i="12" s="1"/>
  <c r="AJ912" i="12" s="1"/>
  <c r="AK912" i="12"/>
  <c r="AL912" i="12"/>
  <c r="AM912" i="12"/>
  <c r="AA913" i="12"/>
  <c r="AB913" i="12"/>
  <c r="AC913" i="12"/>
  <c r="AD913" i="12"/>
  <c r="AE913" i="12"/>
  <c r="AF913" i="12" s="1"/>
  <c r="AH913" i="12" s="1"/>
  <c r="AI913" i="12" s="1"/>
  <c r="AG913" i="12"/>
  <c r="AK913" i="12"/>
  <c r="AL913" i="12"/>
  <c r="AM913" i="12" s="1"/>
  <c r="AA914" i="12"/>
  <c r="AB914" i="12"/>
  <c r="AC914" i="12"/>
  <c r="AD914" i="12"/>
  <c r="AE914" i="12"/>
  <c r="AF914" i="12"/>
  <c r="AH914" i="12" s="1"/>
  <c r="AI914" i="12" s="1"/>
  <c r="AG914" i="12"/>
  <c r="AJ914" i="12" s="1"/>
  <c r="AK914" i="12"/>
  <c r="AL914" i="12"/>
  <c r="AM914" i="12" s="1"/>
  <c r="AA915" i="12"/>
  <c r="AB915" i="12"/>
  <c r="AC915" i="12"/>
  <c r="AD915" i="12"/>
  <c r="AE915" i="12"/>
  <c r="AF915" i="12"/>
  <c r="AH915" i="12" s="1"/>
  <c r="AG915" i="12"/>
  <c r="AJ915" i="12" s="1"/>
  <c r="AI915" i="12"/>
  <c r="AK915" i="12"/>
  <c r="AL915" i="12"/>
  <c r="AM915" i="12"/>
  <c r="AA916" i="12"/>
  <c r="AB916" i="12"/>
  <c r="AC916" i="12"/>
  <c r="AD916" i="12"/>
  <c r="AE916" i="12"/>
  <c r="AG916" i="12" s="1"/>
  <c r="AF916" i="12"/>
  <c r="AH916" i="12" s="1"/>
  <c r="AI916" i="12" s="1"/>
  <c r="AJ916" i="12" s="1"/>
  <c r="AK916" i="12"/>
  <c r="AL916" i="12"/>
  <c r="AM916" i="12"/>
  <c r="AA917" i="12"/>
  <c r="AB917" i="12"/>
  <c r="AC917" i="12"/>
  <c r="AD917" i="12"/>
  <c r="AE917" i="12"/>
  <c r="AF917" i="12" s="1"/>
  <c r="AG917" i="12"/>
  <c r="AH917" i="12"/>
  <c r="AI917" i="12"/>
  <c r="AK917" i="12"/>
  <c r="AL917" i="12"/>
  <c r="AM917" i="12" s="1"/>
  <c r="AA918" i="12"/>
  <c r="AB918" i="12"/>
  <c r="AC918" i="12"/>
  <c r="AD918" i="12"/>
  <c r="AE918" i="12"/>
  <c r="AF918" i="12"/>
  <c r="AG918" i="12"/>
  <c r="AH918" i="12"/>
  <c r="AI918" i="12" s="1"/>
  <c r="AJ918" i="12"/>
  <c r="AK918" i="12"/>
  <c r="AL918" i="12"/>
  <c r="AM918" i="12" s="1"/>
  <c r="AA919" i="12"/>
  <c r="AB919" i="12"/>
  <c r="AC919" i="12"/>
  <c r="AD919" i="12"/>
  <c r="AE919" i="12"/>
  <c r="AG919" i="12" s="1"/>
  <c r="AF919" i="12"/>
  <c r="AH919" i="12" s="1"/>
  <c r="AI919" i="12" s="1"/>
  <c r="AK919" i="12"/>
  <c r="AL919" i="12"/>
  <c r="AM919" i="12"/>
  <c r="AA920" i="12"/>
  <c r="AB920" i="12"/>
  <c r="AC920" i="12"/>
  <c r="AD920" i="12"/>
  <c r="AE920" i="12"/>
  <c r="AG920" i="12" s="1"/>
  <c r="AF920" i="12"/>
  <c r="AH920" i="12" s="1"/>
  <c r="AI920" i="12" s="1"/>
  <c r="AJ920" i="12" s="1"/>
  <c r="AK920" i="12"/>
  <c r="AL920" i="12"/>
  <c r="AM920" i="12"/>
  <c r="AA921" i="12"/>
  <c r="AB921" i="12"/>
  <c r="AC921" i="12"/>
  <c r="AD921" i="12"/>
  <c r="AE921" i="12"/>
  <c r="AF921" i="12" s="1"/>
  <c r="AH921" i="12" s="1"/>
  <c r="AI921" i="12" s="1"/>
  <c r="AG921" i="12"/>
  <c r="AK921" i="12"/>
  <c r="AL921" i="12"/>
  <c r="AM921" i="12" s="1"/>
  <c r="AA922" i="12"/>
  <c r="AB922" i="12"/>
  <c r="AC922" i="12"/>
  <c r="AD922" i="12"/>
  <c r="AE922" i="12"/>
  <c r="AF922" i="12"/>
  <c r="AH922" i="12" s="1"/>
  <c r="AI922" i="12" s="1"/>
  <c r="AG922" i="12"/>
  <c r="AJ922" i="12" s="1"/>
  <c r="AK922" i="12"/>
  <c r="AL922" i="12"/>
  <c r="AM922" i="12" s="1"/>
  <c r="AA923" i="12"/>
  <c r="AB923" i="12"/>
  <c r="AC923" i="12"/>
  <c r="AD923" i="12"/>
  <c r="AE923" i="12"/>
  <c r="AF923" i="12"/>
  <c r="AH923" i="12" s="1"/>
  <c r="AG923" i="12"/>
  <c r="AJ923" i="12" s="1"/>
  <c r="AI923" i="12"/>
  <c r="AK923" i="12"/>
  <c r="AL923" i="12"/>
  <c r="AM923" i="12"/>
  <c r="AA924" i="12"/>
  <c r="AB924" i="12"/>
  <c r="AC924" i="12"/>
  <c r="AD924" i="12"/>
  <c r="AE924" i="12"/>
  <c r="AG924" i="12" s="1"/>
  <c r="AF924" i="12"/>
  <c r="AH924" i="12" s="1"/>
  <c r="AI924" i="12" s="1"/>
  <c r="AJ924" i="12" s="1"/>
  <c r="AK924" i="12"/>
  <c r="AL924" i="12"/>
  <c r="AM924" i="12"/>
  <c r="AA925" i="12"/>
  <c r="AB925" i="12"/>
  <c r="AC925" i="12"/>
  <c r="AD925" i="12"/>
  <c r="AE925" i="12"/>
  <c r="AF925" i="12" s="1"/>
  <c r="AG925" i="12"/>
  <c r="AH925" i="12"/>
  <c r="AI925" i="12"/>
  <c r="AK925" i="12"/>
  <c r="AL925" i="12"/>
  <c r="AM925" i="12" s="1"/>
  <c r="AA926" i="12"/>
  <c r="AB926" i="12"/>
  <c r="AC926" i="12"/>
  <c r="AD926" i="12"/>
  <c r="AE926" i="12"/>
  <c r="AF926" i="12"/>
  <c r="AG926" i="12"/>
  <c r="AH926" i="12"/>
  <c r="AI926" i="12" s="1"/>
  <c r="AJ926" i="12"/>
  <c r="AK926" i="12"/>
  <c r="AL926" i="12"/>
  <c r="AM926" i="12" s="1"/>
  <c r="AA927" i="12"/>
  <c r="AB927" i="12"/>
  <c r="AC927" i="12"/>
  <c r="AD927" i="12"/>
  <c r="AE927" i="12"/>
  <c r="AG927" i="12" s="1"/>
  <c r="AF927" i="12"/>
  <c r="AH927" i="12" s="1"/>
  <c r="AI927" i="12" s="1"/>
  <c r="AK927" i="12"/>
  <c r="AL927" i="12"/>
  <c r="AM927" i="12"/>
  <c r="AA928" i="12"/>
  <c r="AB928" i="12"/>
  <c r="AC928" i="12"/>
  <c r="AD928" i="12"/>
  <c r="AE928" i="12"/>
  <c r="AG928" i="12" s="1"/>
  <c r="AF928" i="12"/>
  <c r="AH928" i="12" s="1"/>
  <c r="AI928" i="12" s="1"/>
  <c r="AJ928" i="12" s="1"/>
  <c r="AK928" i="12"/>
  <c r="AL928" i="12"/>
  <c r="AM928" i="12"/>
  <c r="AA929" i="12"/>
  <c r="AB929" i="12"/>
  <c r="AC929" i="12"/>
  <c r="AD929" i="12"/>
  <c r="AE929" i="12"/>
  <c r="AF929" i="12" s="1"/>
  <c r="AH929" i="12" s="1"/>
  <c r="AI929" i="12" s="1"/>
  <c r="AG929" i="12"/>
  <c r="AK929" i="12"/>
  <c r="AL929" i="12"/>
  <c r="AM929" i="12" s="1"/>
  <c r="AA930" i="12"/>
  <c r="AB930" i="12"/>
  <c r="AC930" i="12"/>
  <c r="AD930" i="12"/>
  <c r="AE930" i="12"/>
  <c r="AF930" i="12"/>
  <c r="AH930" i="12" s="1"/>
  <c r="AI930" i="12" s="1"/>
  <c r="AG930" i="12"/>
  <c r="AJ930" i="12" s="1"/>
  <c r="AK930" i="12"/>
  <c r="AL930" i="12"/>
  <c r="AM930" i="12" s="1"/>
  <c r="AA931" i="12"/>
  <c r="AB931" i="12"/>
  <c r="AC931" i="12"/>
  <c r="AD931" i="12"/>
  <c r="AE931" i="12"/>
  <c r="AF931" i="12"/>
  <c r="AH931" i="12" s="1"/>
  <c r="AG931" i="12"/>
  <c r="AJ931" i="12" s="1"/>
  <c r="AI931" i="12"/>
  <c r="AK931" i="12"/>
  <c r="AL931" i="12"/>
  <c r="AM931" i="12"/>
  <c r="AA932" i="12"/>
  <c r="AB932" i="12"/>
  <c r="AC932" i="12"/>
  <c r="AD932" i="12"/>
  <c r="AE932" i="12"/>
  <c r="AG932" i="12" s="1"/>
  <c r="AF932" i="12"/>
  <c r="AH932" i="12" s="1"/>
  <c r="AI932" i="12" s="1"/>
  <c r="AJ932" i="12" s="1"/>
  <c r="AK932" i="12"/>
  <c r="AL932" i="12"/>
  <c r="AM932" i="12"/>
  <c r="AA933" i="12"/>
  <c r="AB933" i="12"/>
  <c r="AC933" i="12"/>
  <c r="AD933" i="12"/>
  <c r="AE933" i="12"/>
  <c r="AF933" i="12" s="1"/>
  <c r="AG933" i="12"/>
  <c r="AH933" i="12"/>
  <c r="AI933" i="12"/>
  <c r="AK933" i="12"/>
  <c r="AL933" i="12"/>
  <c r="AM933" i="12" s="1"/>
  <c r="AA934" i="12"/>
  <c r="AB934" i="12"/>
  <c r="AC934" i="12"/>
  <c r="AD934" i="12"/>
  <c r="AE934" i="12"/>
  <c r="AF934" i="12"/>
  <c r="AG934" i="12"/>
  <c r="AH934" i="12"/>
  <c r="AI934" i="12" s="1"/>
  <c r="AJ934" i="12"/>
  <c r="AK934" i="12"/>
  <c r="AL934" i="12"/>
  <c r="AM934" i="12" s="1"/>
  <c r="AA935" i="12"/>
  <c r="AB935" i="12"/>
  <c r="AC935" i="12"/>
  <c r="AD935" i="12"/>
  <c r="AE935" i="12"/>
  <c r="AG935" i="12" s="1"/>
  <c r="AF935" i="12"/>
  <c r="AH935" i="12" s="1"/>
  <c r="AI935" i="12" s="1"/>
  <c r="AK935" i="12"/>
  <c r="AL935" i="12"/>
  <c r="AM935" i="12"/>
  <c r="AA936" i="12"/>
  <c r="AB936" i="12"/>
  <c r="AC936" i="12"/>
  <c r="AD936" i="12"/>
  <c r="AE936" i="12"/>
  <c r="AG936" i="12" s="1"/>
  <c r="AF936" i="12"/>
  <c r="AH936" i="12" s="1"/>
  <c r="AI936" i="12" s="1"/>
  <c r="AJ936" i="12" s="1"/>
  <c r="AK936" i="12"/>
  <c r="AL936" i="12"/>
  <c r="AM936" i="12"/>
  <c r="AA937" i="12"/>
  <c r="AB937" i="12"/>
  <c r="AC937" i="12"/>
  <c r="AD937" i="12"/>
  <c r="AE937" i="12"/>
  <c r="AF937" i="12" s="1"/>
  <c r="AH937" i="12" s="1"/>
  <c r="AI937" i="12" s="1"/>
  <c r="AG937" i="12"/>
  <c r="AK937" i="12"/>
  <c r="AL937" i="12"/>
  <c r="AM937" i="12" s="1"/>
  <c r="AA938" i="12"/>
  <c r="AB938" i="12"/>
  <c r="AC938" i="12"/>
  <c r="AD938" i="12"/>
  <c r="AE938" i="12"/>
  <c r="AF938" i="12"/>
  <c r="AH938" i="12" s="1"/>
  <c r="AI938" i="12" s="1"/>
  <c r="AG938" i="12"/>
  <c r="AJ938" i="12" s="1"/>
  <c r="AK938" i="12"/>
  <c r="AL938" i="12"/>
  <c r="AM938" i="12" s="1"/>
  <c r="AA939" i="12"/>
  <c r="AB939" i="12"/>
  <c r="AC939" i="12"/>
  <c r="AD939" i="12"/>
  <c r="AE939" i="12"/>
  <c r="AF939" i="12"/>
  <c r="AH939" i="12" s="1"/>
  <c r="AG939" i="12"/>
  <c r="AJ939" i="12" s="1"/>
  <c r="AI939" i="12"/>
  <c r="AK939" i="12"/>
  <c r="AL939" i="12"/>
  <c r="AM939" i="12"/>
  <c r="AA940" i="12"/>
  <c r="AB940" i="12"/>
  <c r="AC940" i="12"/>
  <c r="AD940" i="12"/>
  <c r="AE940" i="12"/>
  <c r="AG940" i="12" s="1"/>
  <c r="AF940" i="12"/>
  <c r="AH940" i="12" s="1"/>
  <c r="AI940" i="12" s="1"/>
  <c r="AJ940" i="12" s="1"/>
  <c r="AK940" i="12"/>
  <c r="AL940" i="12"/>
  <c r="AM940" i="12"/>
  <c r="AA941" i="12"/>
  <c r="AB941" i="12"/>
  <c r="AC941" i="12"/>
  <c r="AD941" i="12"/>
  <c r="AE941" i="12"/>
  <c r="AF941" i="12" s="1"/>
  <c r="AG941" i="12"/>
  <c r="AH941" i="12"/>
  <c r="AI941" i="12"/>
  <c r="AK941" i="12"/>
  <c r="AL941" i="12"/>
  <c r="AM941" i="12" s="1"/>
  <c r="AA942" i="12"/>
  <c r="AB942" i="12"/>
  <c r="AC942" i="12"/>
  <c r="AD942" i="12"/>
  <c r="AE942" i="12"/>
  <c r="AF942" i="12"/>
  <c r="AG942" i="12"/>
  <c r="AH942" i="12"/>
  <c r="AI942" i="12" s="1"/>
  <c r="AJ942" i="12"/>
  <c r="AK942" i="12"/>
  <c r="AL942" i="12"/>
  <c r="AM942" i="12" s="1"/>
  <c r="AA943" i="12"/>
  <c r="AB943" i="12"/>
  <c r="AC943" i="12"/>
  <c r="AD943" i="12"/>
  <c r="AE943" i="12"/>
  <c r="AG943" i="12" s="1"/>
  <c r="AF943" i="12"/>
  <c r="AH943" i="12" s="1"/>
  <c r="AI943" i="12" s="1"/>
  <c r="AK943" i="12"/>
  <c r="AL943" i="12"/>
  <c r="AM943" i="12"/>
  <c r="AA944" i="12"/>
  <c r="AB944" i="12"/>
  <c r="AC944" i="12"/>
  <c r="AD944" i="12"/>
  <c r="AE944" i="12"/>
  <c r="AG944" i="12" s="1"/>
  <c r="AF944" i="12"/>
  <c r="AH944" i="12" s="1"/>
  <c r="AI944" i="12" s="1"/>
  <c r="AJ944" i="12" s="1"/>
  <c r="AK944" i="12"/>
  <c r="AL944" i="12"/>
  <c r="AM944" i="12"/>
  <c r="AA945" i="12"/>
  <c r="AB945" i="12"/>
  <c r="AC945" i="12"/>
  <c r="AD945" i="12"/>
  <c r="AE945" i="12"/>
  <c r="AF945" i="12" s="1"/>
  <c r="AH945" i="12" s="1"/>
  <c r="AI945" i="12" s="1"/>
  <c r="AG945" i="12"/>
  <c r="AK945" i="12"/>
  <c r="AL945" i="12"/>
  <c r="AM945" i="12" s="1"/>
  <c r="AA946" i="12"/>
  <c r="AB946" i="12"/>
  <c r="AC946" i="12"/>
  <c r="AD946" i="12"/>
  <c r="AE946" i="12"/>
  <c r="AF946" i="12"/>
  <c r="AH946" i="12" s="1"/>
  <c r="AI946" i="12" s="1"/>
  <c r="AG946" i="12"/>
  <c r="AJ946" i="12" s="1"/>
  <c r="AK946" i="12"/>
  <c r="AL946" i="12"/>
  <c r="AM946" i="12" s="1"/>
  <c r="AA947" i="12"/>
  <c r="AB947" i="12"/>
  <c r="AC947" i="12"/>
  <c r="AD947" i="12"/>
  <c r="AE947" i="12"/>
  <c r="AF947" i="12"/>
  <c r="AH947" i="12" s="1"/>
  <c r="AG947" i="12"/>
  <c r="AJ947" i="12" s="1"/>
  <c r="AI947" i="12"/>
  <c r="AK947" i="12"/>
  <c r="AL947" i="12"/>
  <c r="AM947" i="12"/>
  <c r="AA948" i="12"/>
  <c r="AB948" i="12"/>
  <c r="AC948" i="12"/>
  <c r="AD948" i="12"/>
  <c r="AE948" i="12"/>
  <c r="AG948" i="12" s="1"/>
  <c r="AF948" i="12"/>
  <c r="AH948" i="12" s="1"/>
  <c r="AI948" i="12" s="1"/>
  <c r="AJ948" i="12" s="1"/>
  <c r="AK948" i="12"/>
  <c r="AL948" i="12"/>
  <c r="AM948" i="12"/>
  <c r="AA949" i="12"/>
  <c r="AB949" i="12"/>
  <c r="AC949" i="12"/>
  <c r="AD949" i="12"/>
  <c r="AE949" i="12"/>
  <c r="AF949" i="12" s="1"/>
  <c r="AG949" i="12"/>
  <c r="AH949" i="12"/>
  <c r="AI949" i="12"/>
  <c r="AK949" i="12"/>
  <c r="AL949" i="12"/>
  <c r="AM949" i="12" s="1"/>
  <c r="AA950" i="12"/>
  <c r="AB950" i="12"/>
  <c r="AC950" i="12"/>
  <c r="AD950" i="12"/>
  <c r="AE950" i="12"/>
  <c r="AF950" i="12"/>
  <c r="AG950" i="12"/>
  <c r="AH950" i="12"/>
  <c r="AI950" i="12" s="1"/>
  <c r="AJ950" i="12"/>
  <c r="AK950" i="12"/>
  <c r="AL950" i="12"/>
  <c r="AM950" i="12" s="1"/>
  <c r="AA951" i="12"/>
  <c r="AB951" i="12"/>
  <c r="AC951" i="12"/>
  <c r="AD951" i="12"/>
  <c r="AE951" i="12"/>
  <c r="AG951" i="12" s="1"/>
  <c r="AF951" i="12"/>
  <c r="AH951" i="12" s="1"/>
  <c r="AI951" i="12" s="1"/>
  <c r="AK951" i="12"/>
  <c r="AL951" i="12"/>
  <c r="AM951" i="12"/>
  <c r="AA952" i="12"/>
  <c r="AB952" i="12"/>
  <c r="AC952" i="12"/>
  <c r="AD952" i="12"/>
  <c r="AE952" i="12"/>
  <c r="AG952" i="12" s="1"/>
  <c r="AF952" i="12"/>
  <c r="AH952" i="12" s="1"/>
  <c r="AI952" i="12" s="1"/>
  <c r="AJ952" i="12" s="1"/>
  <c r="AK952" i="12"/>
  <c r="AL952" i="12"/>
  <c r="AM952" i="12"/>
  <c r="AA953" i="12"/>
  <c r="AB953" i="12"/>
  <c r="AC953" i="12"/>
  <c r="AD953" i="12"/>
  <c r="AE953" i="12"/>
  <c r="AF953" i="12" s="1"/>
  <c r="AH953" i="12" s="1"/>
  <c r="AI953" i="12" s="1"/>
  <c r="AG953" i="12"/>
  <c r="AK953" i="12"/>
  <c r="AL953" i="12"/>
  <c r="AM953" i="12" s="1"/>
  <c r="AA954" i="12"/>
  <c r="AB954" i="12"/>
  <c r="AC954" i="12"/>
  <c r="AD954" i="12"/>
  <c r="AE954" i="12"/>
  <c r="AF954" i="12"/>
  <c r="AH954" i="12" s="1"/>
  <c r="AI954" i="12" s="1"/>
  <c r="AG954" i="12"/>
  <c r="AJ954" i="12" s="1"/>
  <c r="AK954" i="12"/>
  <c r="AL954" i="12"/>
  <c r="AM954" i="12" s="1"/>
  <c r="AA955" i="12"/>
  <c r="AB955" i="12"/>
  <c r="AC955" i="12"/>
  <c r="AD955" i="12"/>
  <c r="AE955" i="12"/>
  <c r="AF955" i="12"/>
  <c r="AH955" i="12" s="1"/>
  <c r="AG955" i="12"/>
  <c r="AJ955" i="12" s="1"/>
  <c r="AI955" i="12"/>
  <c r="AK955" i="12"/>
  <c r="AL955" i="12"/>
  <c r="AM955" i="12"/>
  <c r="AA956" i="12"/>
  <c r="AB956" i="12"/>
  <c r="AC956" i="12"/>
  <c r="AD956" i="12"/>
  <c r="AE956" i="12"/>
  <c r="AG956" i="12" s="1"/>
  <c r="AF956" i="12"/>
  <c r="AH956" i="12" s="1"/>
  <c r="AI956" i="12" s="1"/>
  <c r="AJ956" i="12" s="1"/>
  <c r="AK956" i="12"/>
  <c r="AL956" i="12"/>
  <c r="AM956" i="12"/>
  <c r="AA957" i="12"/>
  <c r="AB957" i="12"/>
  <c r="AC957" i="12"/>
  <c r="AD957" i="12"/>
  <c r="AE957" i="12"/>
  <c r="AF957" i="12" s="1"/>
  <c r="AG957" i="12"/>
  <c r="AH957" i="12"/>
  <c r="AI957" i="12"/>
  <c r="AK957" i="12"/>
  <c r="AL957" i="12"/>
  <c r="AM957" i="12" s="1"/>
  <c r="AA958" i="12"/>
  <c r="AB958" i="12"/>
  <c r="AC958" i="12"/>
  <c r="AD958" i="12"/>
  <c r="AE958" i="12"/>
  <c r="AF958" i="12"/>
  <c r="AG958" i="12"/>
  <c r="AH958" i="12"/>
  <c r="AI958" i="12" s="1"/>
  <c r="AJ958" i="12"/>
  <c r="AK958" i="12"/>
  <c r="AL958" i="12"/>
  <c r="AM958" i="12" s="1"/>
  <c r="AA959" i="12"/>
  <c r="AB959" i="12"/>
  <c r="AC959" i="12"/>
  <c r="AD959" i="12"/>
  <c r="AE959" i="12"/>
  <c r="AG959" i="12" s="1"/>
  <c r="AF959" i="12"/>
  <c r="AH959" i="12" s="1"/>
  <c r="AI959" i="12" s="1"/>
  <c r="AK959" i="12"/>
  <c r="AL959" i="12"/>
  <c r="AM959" i="12"/>
  <c r="AA960" i="12"/>
  <c r="AB960" i="12"/>
  <c r="AC960" i="12"/>
  <c r="AD960" i="12"/>
  <c r="AE960" i="12"/>
  <c r="AG960" i="12" s="1"/>
  <c r="AF960" i="12"/>
  <c r="AH960" i="12" s="1"/>
  <c r="AI960" i="12" s="1"/>
  <c r="AJ960" i="12" s="1"/>
  <c r="AK960" i="12"/>
  <c r="AL960" i="12"/>
  <c r="AM960" i="12"/>
  <c r="AA961" i="12"/>
  <c r="AB961" i="12"/>
  <c r="AC961" i="12"/>
  <c r="AD961" i="12"/>
  <c r="AE961" i="12"/>
  <c r="AF961" i="12" s="1"/>
  <c r="AH961" i="12" s="1"/>
  <c r="AI961" i="12" s="1"/>
  <c r="AG961" i="12"/>
  <c r="AK961" i="12"/>
  <c r="AL961" i="12"/>
  <c r="AM961" i="12" s="1"/>
  <c r="AA962" i="12"/>
  <c r="AB962" i="12"/>
  <c r="AC962" i="12"/>
  <c r="AD962" i="12"/>
  <c r="AE962" i="12"/>
  <c r="AF962" i="12"/>
  <c r="AH962" i="12" s="1"/>
  <c r="AI962" i="12" s="1"/>
  <c r="AG962" i="12"/>
  <c r="AJ962" i="12" s="1"/>
  <c r="AK962" i="12"/>
  <c r="AL962" i="12"/>
  <c r="AM962" i="12" s="1"/>
  <c r="AA963" i="12"/>
  <c r="AB963" i="12"/>
  <c r="AC963" i="12"/>
  <c r="AD963" i="12"/>
  <c r="AE963" i="12"/>
  <c r="AF963" i="12"/>
  <c r="AH963" i="12" s="1"/>
  <c r="AG963" i="12"/>
  <c r="AJ963" i="12" s="1"/>
  <c r="AI963" i="12"/>
  <c r="AK963" i="12"/>
  <c r="AL963" i="12"/>
  <c r="AM963" i="12"/>
  <c r="AA964" i="12"/>
  <c r="AB964" i="12"/>
  <c r="AC964" i="12"/>
  <c r="AD964" i="12"/>
  <c r="AE964" i="12"/>
  <c r="AG964" i="12" s="1"/>
  <c r="AF964" i="12"/>
  <c r="AH964" i="12" s="1"/>
  <c r="AI964" i="12" s="1"/>
  <c r="AJ964" i="12" s="1"/>
  <c r="AK964" i="12"/>
  <c r="AL964" i="12"/>
  <c r="AM964" i="12"/>
  <c r="AA965" i="12"/>
  <c r="AB965" i="12"/>
  <c r="AC965" i="12"/>
  <c r="AD965" i="12"/>
  <c r="AE965" i="12"/>
  <c r="AF965" i="12" s="1"/>
  <c r="AG965" i="12"/>
  <c r="AH965" i="12"/>
  <c r="AI965" i="12"/>
  <c r="AK965" i="12"/>
  <c r="AL965" i="12"/>
  <c r="AM965" i="12" s="1"/>
  <c r="AA966" i="12"/>
  <c r="AB966" i="12"/>
  <c r="AC966" i="12"/>
  <c r="AD966" i="12"/>
  <c r="AE966" i="12"/>
  <c r="AF966" i="12"/>
  <c r="AG966" i="12"/>
  <c r="AH966" i="12"/>
  <c r="AI966" i="12" s="1"/>
  <c r="AJ966" i="12"/>
  <c r="AK966" i="12"/>
  <c r="AL966" i="12"/>
  <c r="AM966" i="12" s="1"/>
  <c r="AA967" i="12"/>
  <c r="AB967" i="12"/>
  <c r="AC967" i="12"/>
  <c r="AD967" i="12"/>
  <c r="AE967" i="12"/>
  <c r="AG967" i="12" s="1"/>
  <c r="AF967" i="12"/>
  <c r="AH967" i="12" s="1"/>
  <c r="AI967" i="12" s="1"/>
  <c r="AK967" i="12"/>
  <c r="AL967" i="12"/>
  <c r="AM967" i="12"/>
  <c r="AA968" i="12"/>
  <c r="AB968" i="12"/>
  <c r="AC968" i="12"/>
  <c r="AD968" i="12"/>
  <c r="AE968" i="12"/>
  <c r="AG968" i="12" s="1"/>
  <c r="AF968" i="12"/>
  <c r="AH968" i="12" s="1"/>
  <c r="AI968" i="12" s="1"/>
  <c r="AJ968" i="12" s="1"/>
  <c r="AK968" i="12"/>
  <c r="AL968" i="12"/>
  <c r="AM968" i="12"/>
  <c r="AA969" i="12"/>
  <c r="AB969" i="12"/>
  <c r="AC969" i="12"/>
  <c r="AD969" i="12"/>
  <c r="AE969" i="12"/>
  <c r="AF969" i="12" s="1"/>
  <c r="AH969" i="12" s="1"/>
  <c r="AI969" i="12" s="1"/>
  <c r="AG969" i="12"/>
  <c r="AK969" i="12"/>
  <c r="AL969" i="12"/>
  <c r="AM969" i="12" s="1"/>
  <c r="AA970" i="12"/>
  <c r="AB970" i="12"/>
  <c r="AC970" i="12"/>
  <c r="AD970" i="12"/>
  <c r="AE970" i="12"/>
  <c r="AF970" i="12"/>
  <c r="AH970" i="12" s="1"/>
  <c r="AI970" i="12" s="1"/>
  <c r="AG970" i="12"/>
  <c r="AJ970" i="12" s="1"/>
  <c r="AK970" i="12"/>
  <c r="AL970" i="12"/>
  <c r="AM970" i="12" s="1"/>
  <c r="AA971" i="12"/>
  <c r="AB971" i="12"/>
  <c r="AC971" i="12"/>
  <c r="AD971" i="12"/>
  <c r="AE971" i="12"/>
  <c r="AF971" i="12"/>
  <c r="AH971" i="12" s="1"/>
  <c r="AG971" i="12"/>
  <c r="AJ971" i="12" s="1"/>
  <c r="AI971" i="12"/>
  <c r="AK971" i="12"/>
  <c r="AL971" i="12"/>
  <c r="AM971" i="12"/>
  <c r="AA972" i="12"/>
  <c r="AB972" i="12"/>
  <c r="AC972" i="12"/>
  <c r="AD972" i="12"/>
  <c r="AE972" i="12"/>
  <c r="AG972" i="12" s="1"/>
  <c r="AF972" i="12"/>
  <c r="AH972" i="12" s="1"/>
  <c r="AI972" i="12" s="1"/>
  <c r="AJ972" i="12" s="1"/>
  <c r="AK972" i="12"/>
  <c r="AL972" i="12"/>
  <c r="AM972" i="12"/>
  <c r="AA973" i="12"/>
  <c r="AB973" i="12"/>
  <c r="AC973" i="12"/>
  <c r="AD973" i="12"/>
  <c r="AE973" i="12"/>
  <c r="AF973" i="12"/>
  <c r="AG973" i="12"/>
  <c r="AH973" i="12"/>
  <c r="AI973" i="12" s="1"/>
  <c r="AJ973" i="12" s="1"/>
  <c r="AK973" i="12"/>
  <c r="AL973" i="12"/>
  <c r="AM973" i="12" s="1"/>
  <c r="AA974" i="12"/>
  <c r="AB974" i="12"/>
  <c r="AC974" i="12"/>
  <c r="AD974" i="12"/>
  <c r="AE974" i="12"/>
  <c r="AF974" i="12" s="1"/>
  <c r="AH974" i="12" s="1"/>
  <c r="AI974" i="12" s="1"/>
  <c r="AG974" i="12"/>
  <c r="AK974" i="12"/>
  <c r="AL974" i="12"/>
  <c r="AM974" i="12"/>
  <c r="AA975" i="12"/>
  <c r="AB975" i="12"/>
  <c r="AC975" i="12"/>
  <c r="AD975" i="12"/>
  <c r="AE975" i="12"/>
  <c r="AG975" i="12" s="1"/>
  <c r="AJ975" i="12" s="1"/>
  <c r="AF975" i="12"/>
  <c r="AH975" i="12" s="1"/>
  <c r="AI975" i="12" s="1"/>
  <c r="AK975" i="12"/>
  <c r="AL975" i="12"/>
  <c r="AM975" i="12" s="1"/>
  <c r="AA976" i="12"/>
  <c r="AB976" i="12"/>
  <c r="AC976" i="12"/>
  <c r="AD976" i="12"/>
  <c r="AE976" i="12"/>
  <c r="AF976" i="12" s="1"/>
  <c r="AH976" i="12" s="1"/>
  <c r="AI976" i="12" s="1"/>
  <c r="AK976" i="12"/>
  <c r="AL976" i="12"/>
  <c r="AM976" i="12"/>
  <c r="AA977" i="12"/>
  <c r="AB977" i="12"/>
  <c r="AC977" i="12"/>
  <c r="AD977" i="12"/>
  <c r="AE977" i="12"/>
  <c r="AF977" i="12"/>
  <c r="AG977" i="12"/>
  <c r="AH977" i="12"/>
  <c r="AI977" i="12" s="1"/>
  <c r="AJ977" i="12" s="1"/>
  <c r="AK977" i="12"/>
  <c r="AL977" i="12"/>
  <c r="AM977" i="12" s="1"/>
  <c r="AA978" i="12"/>
  <c r="AB978" i="12"/>
  <c r="AC978" i="12"/>
  <c r="AD978" i="12"/>
  <c r="AE978" i="12"/>
  <c r="AF978" i="12" s="1"/>
  <c r="AH978" i="12" s="1"/>
  <c r="AI978" i="12" s="1"/>
  <c r="AG978" i="12"/>
  <c r="AJ978" i="12" s="1"/>
  <c r="AK978" i="12"/>
  <c r="AL978" i="12"/>
  <c r="AM978" i="12"/>
  <c r="AA979" i="12"/>
  <c r="AB979" i="12"/>
  <c r="AC979" i="12"/>
  <c r="AD979" i="12"/>
  <c r="AE979" i="12"/>
  <c r="AG979" i="12" s="1"/>
  <c r="AJ979" i="12" s="1"/>
  <c r="AF979" i="12"/>
  <c r="AH979" i="12" s="1"/>
  <c r="AI979" i="12" s="1"/>
  <c r="AK979" i="12"/>
  <c r="AL979" i="12"/>
  <c r="AM979" i="12" s="1"/>
  <c r="AA980" i="12"/>
  <c r="AB980" i="12"/>
  <c r="AC980" i="12"/>
  <c r="AD980" i="12"/>
  <c r="AE980" i="12"/>
  <c r="AF980" i="12" s="1"/>
  <c r="AH980" i="12" s="1"/>
  <c r="AI980" i="12" s="1"/>
  <c r="AK980" i="12"/>
  <c r="AL980" i="12"/>
  <c r="AM980" i="12"/>
  <c r="AA981" i="12"/>
  <c r="AB981" i="12"/>
  <c r="AC981" i="12"/>
  <c r="AD981" i="12"/>
  <c r="AE981" i="12"/>
  <c r="AF981" i="12"/>
  <c r="AG981" i="12"/>
  <c r="AH981" i="12"/>
  <c r="AI981" i="12" s="1"/>
  <c r="AJ981" i="12" s="1"/>
  <c r="AK981" i="12"/>
  <c r="AL981" i="12"/>
  <c r="AM981" i="12" s="1"/>
  <c r="AA982" i="12"/>
  <c r="AB982" i="12"/>
  <c r="AC982" i="12"/>
  <c r="AD982" i="12"/>
  <c r="AE982" i="12"/>
  <c r="AF982" i="12" s="1"/>
  <c r="AH982" i="12" s="1"/>
  <c r="AI982" i="12" s="1"/>
  <c r="AG982" i="12"/>
  <c r="AJ982" i="12" s="1"/>
  <c r="AK982" i="12"/>
  <c r="AL982" i="12"/>
  <c r="AM982" i="12"/>
  <c r="AA983" i="12"/>
  <c r="AB983" i="12"/>
  <c r="AC983" i="12"/>
  <c r="AD983" i="12"/>
  <c r="AE983" i="12"/>
  <c r="AG983" i="12" s="1"/>
  <c r="AF983" i="12"/>
  <c r="AH983" i="12" s="1"/>
  <c r="AI983" i="12" s="1"/>
  <c r="AK983" i="12"/>
  <c r="AL983" i="12"/>
  <c r="AM983" i="12" s="1"/>
  <c r="AA984" i="12"/>
  <c r="AB984" i="12"/>
  <c r="AC984" i="12"/>
  <c r="AD984" i="12"/>
  <c r="AE984" i="12"/>
  <c r="AF984" i="12" s="1"/>
  <c r="AH984" i="12" s="1"/>
  <c r="AI984" i="12" s="1"/>
  <c r="AK984" i="12"/>
  <c r="AL984" i="12"/>
  <c r="AM984" i="12"/>
  <c r="AA985" i="12"/>
  <c r="AB985" i="12"/>
  <c r="AC985" i="12"/>
  <c r="AD985" i="12"/>
  <c r="AE985" i="12"/>
  <c r="AF985" i="12"/>
  <c r="AG985" i="12"/>
  <c r="AH985" i="12"/>
  <c r="AI985" i="12" s="1"/>
  <c r="AJ985" i="12" s="1"/>
  <c r="AK985" i="12"/>
  <c r="AL985" i="12"/>
  <c r="AM985" i="12" s="1"/>
  <c r="AA986" i="12"/>
  <c r="AB986" i="12"/>
  <c r="AC986" i="12"/>
  <c r="AD986" i="12"/>
  <c r="AE986" i="12"/>
  <c r="AF986" i="12" s="1"/>
  <c r="AH986" i="12" s="1"/>
  <c r="AI986" i="12" s="1"/>
  <c r="AG986" i="12"/>
  <c r="AK986" i="12"/>
  <c r="AL986" i="12"/>
  <c r="AM986" i="12"/>
  <c r="AA987" i="12"/>
  <c r="AB987" i="12"/>
  <c r="AC987" i="12"/>
  <c r="AD987" i="12"/>
  <c r="AE987" i="12"/>
  <c r="AG987" i="12" s="1"/>
  <c r="AF987" i="12"/>
  <c r="AH987" i="12" s="1"/>
  <c r="AI987" i="12" s="1"/>
  <c r="AK987" i="12"/>
  <c r="AL987" i="12"/>
  <c r="AM987" i="12" s="1"/>
  <c r="AA988" i="12"/>
  <c r="AB988" i="12"/>
  <c r="AC988" i="12"/>
  <c r="AD988" i="12"/>
  <c r="AE988" i="12"/>
  <c r="AF988" i="12" s="1"/>
  <c r="AH988" i="12" s="1"/>
  <c r="AI988" i="12" s="1"/>
  <c r="AK988" i="12"/>
  <c r="AL988" i="12"/>
  <c r="AM988" i="12"/>
  <c r="AA989" i="12"/>
  <c r="AB989" i="12"/>
  <c r="AC989" i="12"/>
  <c r="AD989" i="12"/>
  <c r="AE989" i="12"/>
  <c r="AF989" i="12"/>
  <c r="AG989" i="12"/>
  <c r="AH989" i="12"/>
  <c r="AI989" i="12" s="1"/>
  <c r="AJ989" i="12" s="1"/>
  <c r="AK989" i="12"/>
  <c r="AL989" i="12"/>
  <c r="AM989" i="12" s="1"/>
  <c r="AA990" i="12"/>
  <c r="AB990" i="12"/>
  <c r="AC990" i="12"/>
  <c r="AD990" i="12"/>
  <c r="AE990" i="12"/>
  <c r="AF990" i="12" s="1"/>
  <c r="AH990" i="12" s="1"/>
  <c r="AI990" i="12" s="1"/>
  <c r="AG990" i="12"/>
  <c r="AK990" i="12"/>
  <c r="AL990" i="12"/>
  <c r="AM990" i="12"/>
  <c r="AA991" i="12"/>
  <c r="AB991" i="12"/>
  <c r="AC991" i="12"/>
  <c r="AD991" i="12"/>
  <c r="AE991" i="12"/>
  <c r="AG991" i="12" s="1"/>
  <c r="AJ991" i="12" s="1"/>
  <c r="AF991" i="12"/>
  <c r="AH991" i="12" s="1"/>
  <c r="AI991" i="12" s="1"/>
  <c r="AK991" i="12"/>
  <c r="AL991" i="12"/>
  <c r="AM991" i="12" s="1"/>
  <c r="AA992" i="12"/>
  <c r="AB992" i="12"/>
  <c r="AC992" i="12"/>
  <c r="AD992" i="12"/>
  <c r="AE992" i="12"/>
  <c r="AF992" i="12" s="1"/>
  <c r="AH992" i="12" s="1"/>
  <c r="AI992" i="12" s="1"/>
  <c r="AK992" i="12"/>
  <c r="AL992" i="12"/>
  <c r="AM992" i="12"/>
  <c r="AA993" i="12"/>
  <c r="AB993" i="12"/>
  <c r="AC993" i="12"/>
  <c r="AD993" i="12"/>
  <c r="AE993" i="12"/>
  <c r="AF993" i="12"/>
  <c r="AG993" i="12"/>
  <c r="AH993" i="12"/>
  <c r="AI993" i="12" s="1"/>
  <c r="AJ993" i="12" s="1"/>
  <c r="AK993" i="12"/>
  <c r="AL993" i="12"/>
  <c r="AM993" i="12" s="1"/>
  <c r="AA994" i="12"/>
  <c r="AB994" i="12"/>
  <c r="AC994" i="12"/>
  <c r="AD994" i="12"/>
  <c r="AE994" i="12"/>
  <c r="AF994" i="12" s="1"/>
  <c r="AH994" i="12" s="1"/>
  <c r="AI994" i="12" s="1"/>
  <c r="AG994" i="12"/>
  <c r="AJ994" i="12" s="1"/>
  <c r="AK994" i="12"/>
  <c r="AL994" i="12"/>
  <c r="AM994" i="12"/>
  <c r="AA995" i="12"/>
  <c r="AB995" i="12"/>
  <c r="AC995" i="12"/>
  <c r="AD995" i="12"/>
  <c r="AE995" i="12"/>
  <c r="AG995" i="12" s="1"/>
  <c r="AJ995" i="12" s="1"/>
  <c r="AF995" i="12"/>
  <c r="AH995" i="12" s="1"/>
  <c r="AI995" i="12" s="1"/>
  <c r="AK995" i="12"/>
  <c r="AL995" i="12"/>
  <c r="AM995" i="12" s="1"/>
  <c r="AA996" i="12"/>
  <c r="AB996" i="12"/>
  <c r="AC996" i="12"/>
  <c r="AD996" i="12"/>
  <c r="AE996" i="12"/>
  <c r="AF996" i="12" s="1"/>
  <c r="AH996" i="12" s="1"/>
  <c r="AI996" i="12" s="1"/>
  <c r="AK996" i="12"/>
  <c r="AL996" i="12"/>
  <c r="AM996" i="12"/>
  <c r="AA997" i="12"/>
  <c r="AB997" i="12"/>
  <c r="AC997" i="12"/>
  <c r="AD997" i="12"/>
  <c r="AE997" i="12"/>
  <c r="AF997" i="12"/>
  <c r="AG997" i="12"/>
  <c r="AH997" i="12"/>
  <c r="AI997" i="12" s="1"/>
  <c r="AJ997" i="12" s="1"/>
  <c r="AK997" i="12"/>
  <c r="AL997" i="12"/>
  <c r="AM997" i="12" s="1"/>
  <c r="AA998" i="12"/>
  <c r="AB998" i="12"/>
  <c r="AC998" i="12"/>
  <c r="AD998" i="12"/>
  <c r="AE998" i="12"/>
  <c r="AF998" i="12" s="1"/>
  <c r="AH998" i="12" s="1"/>
  <c r="AI998" i="12" s="1"/>
  <c r="AG998" i="12"/>
  <c r="AJ998" i="12" s="1"/>
  <c r="AK998" i="12"/>
  <c r="AL998" i="12"/>
  <c r="AM998" i="12"/>
  <c r="AA999" i="12"/>
  <c r="AB999" i="12"/>
  <c r="AC999" i="12"/>
  <c r="AD999" i="12"/>
  <c r="AE999" i="12"/>
  <c r="AG999" i="12" s="1"/>
  <c r="AF999" i="12"/>
  <c r="AH999" i="12" s="1"/>
  <c r="AI999" i="12" s="1"/>
  <c r="AK999" i="12"/>
  <c r="AL999" i="12"/>
  <c r="AM999" i="12" s="1"/>
  <c r="AA1000" i="12"/>
  <c r="AB1000" i="12"/>
  <c r="AC1000" i="12"/>
  <c r="AD1000" i="12"/>
  <c r="AE1000" i="12"/>
  <c r="AF1000" i="12" s="1"/>
  <c r="AH1000" i="12" s="1"/>
  <c r="AI1000" i="12" s="1"/>
  <c r="AK1000" i="12"/>
  <c r="AL1000" i="12"/>
  <c r="AM1000" i="12"/>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51" i="6"/>
  <c r="AM52" i="6"/>
  <c r="AM53" i="6"/>
  <c r="AM54" i="6"/>
  <c r="AM55" i="6"/>
  <c r="AM56" i="6"/>
  <c r="AM57" i="6"/>
  <c r="AM58" i="6"/>
  <c r="AM59" i="6"/>
  <c r="AM60" i="6"/>
  <c r="AM61" i="6"/>
  <c r="AM62" i="6"/>
  <c r="AM63" i="6"/>
  <c r="AM64" i="6"/>
  <c r="AM65" i="6"/>
  <c r="AM66" i="6"/>
  <c r="AM67" i="6"/>
  <c r="AM68" i="6"/>
  <c r="AM69" i="6"/>
  <c r="AM70" i="6"/>
  <c r="AM71" i="6"/>
  <c r="AM72" i="6"/>
  <c r="AM73" i="6"/>
  <c r="AM74" i="6"/>
  <c r="AM75" i="6"/>
  <c r="AM76" i="6"/>
  <c r="AM77" i="6"/>
  <c r="AM78" i="6"/>
  <c r="AM79" i="6"/>
  <c r="AM80" i="6"/>
  <c r="AM81" i="6"/>
  <c r="AM82" i="6"/>
  <c r="AM83" i="6"/>
  <c r="AM84" i="6"/>
  <c r="AM85" i="6"/>
  <c r="AM86" i="6"/>
  <c r="AM87" i="6"/>
  <c r="AM88" i="6"/>
  <c r="AM89" i="6"/>
  <c r="AM90" i="6"/>
  <c r="AM91" i="6"/>
  <c r="AM92" i="6"/>
  <c r="AM93" i="6"/>
  <c r="AM94" i="6"/>
  <c r="AM95" i="6"/>
  <c r="AM96" i="6"/>
  <c r="AM97" i="6"/>
  <c r="AM98" i="6"/>
  <c r="AM99" i="6"/>
  <c r="AM100" i="6"/>
  <c r="AM101" i="6"/>
  <c r="AM102" i="6"/>
  <c r="AM103" i="6"/>
  <c r="AM104" i="6"/>
  <c r="AM105" i="6"/>
  <c r="AM106" i="6"/>
  <c r="AM107" i="6"/>
  <c r="AM108" i="6"/>
  <c r="AM109" i="6"/>
  <c r="AM110" i="6"/>
  <c r="AM111" i="6"/>
  <c r="AM112" i="6"/>
  <c r="AM113" i="6"/>
  <c r="AM114" i="6"/>
  <c r="AM115" i="6"/>
  <c r="AM116" i="6"/>
  <c r="AM117" i="6"/>
  <c r="AM118" i="6"/>
  <c r="AM119" i="6"/>
  <c r="AM120" i="6"/>
  <c r="AM121" i="6"/>
  <c r="AM122" i="6"/>
  <c r="AM123" i="6"/>
  <c r="AM124" i="6"/>
  <c r="AM125" i="6"/>
  <c r="AM126" i="6"/>
  <c r="AM127" i="6"/>
  <c r="AM128" i="6"/>
  <c r="AM129" i="6"/>
  <c r="AM130" i="6"/>
  <c r="AM131" i="6"/>
  <c r="AM132" i="6"/>
  <c r="AM133" i="6"/>
  <c r="AM134" i="6"/>
  <c r="AM135" i="6"/>
  <c r="AM136" i="6"/>
  <c r="AM137" i="6"/>
  <c r="AM138" i="6"/>
  <c r="AM139" i="6"/>
  <c r="AM140" i="6"/>
  <c r="AM141" i="6"/>
  <c r="AM142" i="6"/>
  <c r="AM143" i="6"/>
  <c r="AM144" i="6"/>
  <c r="AM145" i="6"/>
  <c r="AM146" i="6"/>
  <c r="AM147" i="6"/>
  <c r="AM148" i="6"/>
  <c r="AM149" i="6"/>
  <c r="AM150" i="6"/>
  <c r="AM151" i="6"/>
  <c r="AM152" i="6"/>
  <c r="AM153" i="6"/>
  <c r="AM154" i="6"/>
  <c r="AM155" i="6"/>
  <c r="AM156" i="6"/>
  <c r="AM157" i="6"/>
  <c r="AM158" i="6"/>
  <c r="AM159" i="6"/>
  <c r="AM160" i="6"/>
  <c r="AM161" i="6"/>
  <c r="AM162" i="6"/>
  <c r="AM163" i="6"/>
  <c r="AM164" i="6"/>
  <c r="AM165" i="6"/>
  <c r="AM166" i="6"/>
  <c r="AM167" i="6"/>
  <c r="AM168" i="6"/>
  <c r="AM169" i="6"/>
  <c r="AM170" i="6"/>
  <c r="AM171" i="6"/>
  <c r="AM172" i="6"/>
  <c r="AM173" i="6"/>
  <c r="AM174" i="6"/>
  <c r="AM175" i="6"/>
  <c r="AM176" i="6"/>
  <c r="AM177" i="6"/>
  <c r="AM178" i="6"/>
  <c r="AM179" i="6"/>
  <c r="AM180" i="6"/>
  <c r="AM181" i="6"/>
  <c r="AM182" i="6"/>
  <c r="AM183" i="6"/>
  <c r="AM184" i="6"/>
  <c r="AM185" i="6"/>
  <c r="AM186" i="6"/>
  <c r="AM187" i="6"/>
  <c r="AM188" i="6"/>
  <c r="AM189" i="6"/>
  <c r="AM190" i="6"/>
  <c r="AM191" i="6"/>
  <c r="AM192" i="6"/>
  <c r="AM193" i="6"/>
  <c r="AM194" i="6"/>
  <c r="AM195" i="6"/>
  <c r="AM196" i="6"/>
  <c r="AM197" i="6"/>
  <c r="AM198" i="6"/>
  <c r="AM199" i="6"/>
  <c r="AM200" i="6"/>
  <c r="AM201" i="6"/>
  <c r="AM202" i="6"/>
  <c r="AM203" i="6"/>
  <c r="AM204" i="6"/>
  <c r="AM205" i="6"/>
  <c r="AM206" i="6"/>
  <c r="AM207" i="6"/>
  <c r="AM208" i="6"/>
  <c r="AM209" i="6"/>
  <c r="AM210" i="6"/>
  <c r="AM211" i="6"/>
  <c r="AM212" i="6"/>
  <c r="AM213" i="6"/>
  <c r="AM214" i="6"/>
  <c r="AM215" i="6"/>
  <c r="AM216" i="6"/>
  <c r="AM217" i="6"/>
  <c r="AM218" i="6"/>
  <c r="AM219" i="6"/>
  <c r="AM220" i="6"/>
  <c r="AM221" i="6"/>
  <c r="AM222" i="6"/>
  <c r="AM223" i="6"/>
  <c r="AM224" i="6"/>
  <c r="AM225" i="6"/>
  <c r="AM226" i="6"/>
  <c r="AM227" i="6"/>
  <c r="AM228" i="6"/>
  <c r="AM229" i="6"/>
  <c r="AM230" i="6"/>
  <c r="AM231" i="6"/>
  <c r="AM232" i="6"/>
  <c r="AM233" i="6"/>
  <c r="AM234" i="6"/>
  <c r="AM235" i="6"/>
  <c r="AM236" i="6"/>
  <c r="AM237" i="6"/>
  <c r="AM238" i="6"/>
  <c r="AM239" i="6"/>
  <c r="AM240" i="6"/>
  <c r="AM241" i="6"/>
  <c r="AM242" i="6"/>
  <c r="AM243" i="6"/>
  <c r="AM244" i="6"/>
  <c r="AM245" i="6"/>
  <c r="AM246" i="6"/>
  <c r="AM247" i="6"/>
  <c r="AM248" i="6"/>
  <c r="AM249" i="6"/>
  <c r="AM250" i="6"/>
  <c r="AM251" i="6"/>
  <c r="AM252" i="6"/>
  <c r="AM253" i="6"/>
  <c r="AM254" i="6"/>
  <c r="AM255" i="6"/>
  <c r="AM256" i="6"/>
  <c r="AM257" i="6"/>
  <c r="AM258" i="6"/>
  <c r="AM259" i="6"/>
  <c r="AM260" i="6"/>
  <c r="AM261" i="6"/>
  <c r="AM262" i="6"/>
  <c r="AM263" i="6"/>
  <c r="AM264" i="6"/>
  <c r="AM265" i="6"/>
  <c r="AM266" i="6"/>
  <c r="AM267" i="6"/>
  <c r="AM268" i="6"/>
  <c r="AM269" i="6"/>
  <c r="AM270" i="6"/>
  <c r="AM271" i="6"/>
  <c r="AM272" i="6"/>
  <c r="AM273" i="6"/>
  <c r="AM274" i="6"/>
  <c r="AM275" i="6"/>
  <c r="AM276" i="6"/>
  <c r="AM277" i="6"/>
  <c r="AM278" i="6"/>
  <c r="AM279" i="6"/>
  <c r="AM280" i="6"/>
  <c r="AM281" i="6"/>
  <c r="AM282" i="6"/>
  <c r="AM283" i="6"/>
  <c r="AM284" i="6"/>
  <c r="AM285" i="6"/>
  <c r="AM286" i="6"/>
  <c r="AM287" i="6"/>
  <c r="AM288" i="6"/>
  <c r="AM289" i="6"/>
  <c r="AM290" i="6"/>
  <c r="AM291" i="6"/>
  <c r="AM292" i="6"/>
  <c r="AM293" i="6"/>
  <c r="AM294" i="6"/>
  <c r="AM295" i="6"/>
  <c r="AM296" i="6"/>
  <c r="AM297" i="6"/>
  <c r="AM298" i="6"/>
  <c r="AM299" i="6"/>
  <c r="AM300" i="6"/>
  <c r="AM301" i="6"/>
  <c r="AM302" i="6"/>
  <c r="AM303" i="6"/>
  <c r="AM304" i="6"/>
  <c r="AM305" i="6"/>
  <c r="AM306" i="6"/>
  <c r="AM307" i="6"/>
  <c r="AM308" i="6"/>
  <c r="AM309" i="6"/>
  <c r="AM310" i="6"/>
  <c r="AM311" i="6"/>
  <c r="AM312" i="6"/>
  <c r="AM313" i="6"/>
  <c r="AM314" i="6"/>
  <c r="AM315" i="6"/>
  <c r="AM316" i="6"/>
  <c r="AM317" i="6"/>
  <c r="AM318" i="6"/>
  <c r="AM319" i="6"/>
  <c r="AM320" i="6"/>
  <c r="AM321" i="6"/>
  <c r="AM322" i="6"/>
  <c r="AM323" i="6"/>
  <c r="AM324" i="6"/>
  <c r="AM325" i="6"/>
  <c r="AM326" i="6"/>
  <c r="AM327" i="6"/>
  <c r="AM328" i="6"/>
  <c r="AM329" i="6"/>
  <c r="AM330" i="6"/>
  <c r="AM331" i="6"/>
  <c r="AM332" i="6"/>
  <c r="AM333" i="6"/>
  <c r="AM334" i="6"/>
  <c r="AM335" i="6"/>
  <c r="AM336" i="6"/>
  <c r="AM337" i="6"/>
  <c r="AM338" i="6"/>
  <c r="AM339" i="6"/>
  <c r="AM340" i="6"/>
  <c r="AM341" i="6"/>
  <c r="AM342" i="6"/>
  <c r="AM343" i="6"/>
  <c r="AM344" i="6"/>
  <c r="AM345" i="6"/>
  <c r="AM346" i="6"/>
  <c r="AM347" i="6"/>
  <c r="AM348" i="6"/>
  <c r="AM349" i="6"/>
  <c r="AM350" i="6"/>
  <c r="AM351" i="6"/>
  <c r="AM352" i="6"/>
  <c r="AM353" i="6"/>
  <c r="AM354" i="6"/>
  <c r="AM355" i="6"/>
  <c r="AM356" i="6"/>
  <c r="AM357" i="6"/>
  <c r="AM358" i="6"/>
  <c r="AM359" i="6"/>
  <c r="AM360" i="6"/>
  <c r="AM361" i="6"/>
  <c r="AM362" i="6"/>
  <c r="AM363" i="6"/>
  <c r="AM364" i="6"/>
  <c r="AM365" i="6"/>
  <c r="AM366" i="6"/>
  <c r="AM367" i="6"/>
  <c r="AM368" i="6"/>
  <c r="AM369" i="6"/>
  <c r="AM370" i="6"/>
  <c r="AM371" i="6"/>
  <c r="AM372" i="6"/>
  <c r="AM373" i="6"/>
  <c r="AM374" i="6"/>
  <c r="AM375" i="6"/>
  <c r="AM376" i="6"/>
  <c r="AM377" i="6"/>
  <c r="AM378" i="6"/>
  <c r="AM379" i="6"/>
  <c r="AM380" i="6"/>
  <c r="AM381" i="6"/>
  <c r="AM382" i="6"/>
  <c r="AM383" i="6"/>
  <c r="AM384" i="6"/>
  <c r="AM385" i="6"/>
  <c r="AM386" i="6"/>
  <c r="AM387" i="6"/>
  <c r="AM388" i="6"/>
  <c r="AM389" i="6"/>
  <c r="AM390" i="6"/>
  <c r="AM391" i="6"/>
  <c r="AM392" i="6"/>
  <c r="AM393" i="6"/>
  <c r="AM394" i="6"/>
  <c r="AM395" i="6"/>
  <c r="AM396" i="6"/>
  <c r="AM397" i="6"/>
  <c r="AM398" i="6"/>
  <c r="AM399" i="6"/>
  <c r="AM400" i="6"/>
  <c r="AM401" i="6"/>
  <c r="AM402" i="6"/>
  <c r="AM403" i="6"/>
  <c r="AM404" i="6"/>
  <c r="AM405" i="6"/>
  <c r="AM406" i="6"/>
  <c r="AM407" i="6"/>
  <c r="AM408" i="6"/>
  <c r="AM409" i="6"/>
  <c r="AM410" i="6"/>
  <c r="AM411" i="6"/>
  <c r="AM412" i="6"/>
  <c r="AM413" i="6"/>
  <c r="AM414" i="6"/>
  <c r="AM415" i="6"/>
  <c r="AM416" i="6"/>
  <c r="AM417" i="6"/>
  <c r="AM418" i="6"/>
  <c r="AM419" i="6"/>
  <c r="AM420" i="6"/>
  <c r="AM421" i="6"/>
  <c r="AM422" i="6"/>
  <c r="AM423" i="6"/>
  <c r="AM424" i="6"/>
  <c r="AM425" i="6"/>
  <c r="AM426" i="6"/>
  <c r="AM427" i="6"/>
  <c r="AM428" i="6"/>
  <c r="AM429" i="6"/>
  <c r="AM430" i="6"/>
  <c r="AM431" i="6"/>
  <c r="AM432" i="6"/>
  <c r="AM433" i="6"/>
  <c r="AM434" i="6"/>
  <c r="AM435" i="6"/>
  <c r="AM436" i="6"/>
  <c r="AM437" i="6"/>
  <c r="AM438" i="6"/>
  <c r="AM439" i="6"/>
  <c r="AM440" i="6"/>
  <c r="AM441" i="6"/>
  <c r="AM442" i="6"/>
  <c r="AM443" i="6"/>
  <c r="AM444" i="6"/>
  <c r="AM445" i="6"/>
  <c r="AM446" i="6"/>
  <c r="AM447" i="6"/>
  <c r="AM448" i="6"/>
  <c r="AM449" i="6"/>
  <c r="AM450" i="6"/>
  <c r="AM451" i="6"/>
  <c r="AM452" i="6"/>
  <c r="AM453" i="6"/>
  <c r="AM454" i="6"/>
  <c r="AM455" i="6"/>
  <c r="AM456" i="6"/>
  <c r="AM457" i="6"/>
  <c r="AM458" i="6"/>
  <c r="AM459" i="6"/>
  <c r="AM460" i="6"/>
  <c r="AM461" i="6"/>
  <c r="AM462" i="6"/>
  <c r="AM463" i="6"/>
  <c r="AM464" i="6"/>
  <c r="AM465" i="6"/>
  <c r="AM466" i="6"/>
  <c r="AM467" i="6"/>
  <c r="AM468" i="6"/>
  <c r="AM469" i="6"/>
  <c r="AM470" i="6"/>
  <c r="AM471" i="6"/>
  <c r="AM472" i="6"/>
  <c r="AM473" i="6"/>
  <c r="AM474" i="6"/>
  <c r="AM475" i="6"/>
  <c r="AM476" i="6"/>
  <c r="AM477" i="6"/>
  <c r="AM478" i="6"/>
  <c r="AM479" i="6"/>
  <c r="AM480" i="6"/>
  <c r="AM481" i="6"/>
  <c r="AM482" i="6"/>
  <c r="AM483" i="6"/>
  <c r="AM484" i="6"/>
  <c r="AM485" i="6"/>
  <c r="AM486" i="6"/>
  <c r="AM487" i="6"/>
  <c r="AM488" i="6"/>
  <c r="AM489" i="6"/>
  <c r="AM490" i="6"/>
  <c r="AM491" i="6"/>
  <c r="AM492" i="6"/>
  <c r="AM493" i="6"/>
  <c r="AM494" i="6"/>
  <c r="AM495" i="6"/>
  <c r="AM496" i="6"/>
  <c r="AM497" i="6"/>
  <c r="AM498" i="6"/>
  <c r="AM499" i="6"/>
  <c r="AM500" i="6"/>
  <c r="AM501" i="6"/>
  <c r="AM502" i="6"/>
  <c r="AM503" i="6"/>
  <c r="AM504" i="6"/>
  <c r="AM505" i="6"/>
  <c r="AM506" i="6"/>
  <c r="AM507" i="6"/>
  <c r="AM508" i="6"/>
  <c r="AM509" i="6"/>
  <c r="AM510" i="6"/>
  <c r="AM511" i="6"/>
  <c r="AM512" i="6"/>
  <c r="AM513" i="6"/>
  <c r="AM514" i="6"/>
  <c r="AM515" i="6"/>
  <c r="AM516" i="6"/>
  <c r="AM517" i="6"/>
  <c r="AM518" i="6"/>
  <c r="AM519" i="6"/>
  <c r="AM520" i="6"/>
  <c r="AM521" i="6"/>
  <c r="AM522" i="6"/>
  <c r="AM523" i="6"/>
  <c r="AM524" i="6"/>
  <c r="AM525" i="6"/>
  <c r="AM526" i="6"/>
  <c r="AM527" i="6"/>
  <c r="AM528" i="6"/>
  <c r="AM529" i="6"/>
  <c r="AM530" i="6"/>
  <c r="AM531" i="6"/>
  <c r="AM532" i="6"/>
  <c r="AM533" i="6"/>
  <c r="AM534" i="6"/>
  <c r="AM535" i="6"/>
  <c r="AM536" i="6"/>
  <c r="AM537" i="6"/>
  <c r="AM538" i="6"/>
  <c r="AM539" i="6"/>
  <c r="AM540" i="6"/>
  <c r="AM541" i="6"/>
  <c r="AM542" i="6"/>
  <c r="AM543" i="6"/>
  <c r="AM544" i="6"/>
  <c r="AM545" i="6"/>
  <c r="AM546" i="6"/>
  <c r="AM547" i="6"/>
  <c r="AM548" i="6"/>
  <c r="AM549" i="6"/>
  <c r="AM550" i="6"/>
  <c r="AM551" i="6"/>
  <c r="AM552" i="6"/>
  <c r="AM553" i="6"/>
  <c r="AM554" i="6"/>
  <c r="AM555" i="6"/>
  <c r="AM556" i="6"/>
  <c r="AM557" i="6"/>
  <c r="AM558" i="6"/>
  <c r="AM559" i="6"/>
  <c r="AM560" i="6"/>
  <c r="AM561" i="6"/>
  <c r="AM562" i="6"/>
  <c r="AM563" i="6"/>
  <c r="AM564" i="6"/>
  <c r="AM565" i="6"/>
  <c r="AM566" i="6"/>
  <c r="AM567" i="6"/>
  <c r="AM568" i="6"/>
  <c r="AM569" i="6"/>
  <c r="AM570" i="6"/>
  <c r="AM571" i="6"/>
  <c r="AM572" i="6"/>
  <c r="AM573" i="6"/>
  <c r="AM574" i="6"/>
  <c r="AM575" i="6"/>
  <c r="AM576" i="6"/>
  <c r="AM577" i="6"/>
  <c r="AM578" i="6"/>
  <c r="AM579" i="6"/>
  <c r="AM580" i="6"/>
  <c r="AM581" i="6"/>
  <c r="AM582" i="6"/>
  <c r="AM583" i="6"/>
  <c r="AM584" i="6"/>
  <c r="AM585" i="6"/>
  <c r="AM586" i="6"/>
  <c r="AM587" i="6"/>
  <c r="AM588" i="6"/>
  <c r="AM589" i="6"/>
  <c r="AM590" i="6"/>
  <c r="AM591" i="6"/>
  <c r="AM592" i="6"/>
  <c r="AM593" i="6"/>
  <c r="AM594" i="6"/>
  <c r="AM595" i="6"/>
  <c r="AM596" i="6"/>
  <c r="AM597" i="6"/>
  <c r="AM598" i="6"/>
  <c r="AM599" i="6"/>
  <c r="AM600" i="6"/>
  <c r="AM601" i="6"/>
  <c r="AM602" i="6"/>
  <c r="AM603" i="6"/>
  <c r="AM604" i="6"/>
  <c r="AM605" i="6"/>
  <c r="AM606" i="6"/>
  <c r="AM607" i="6"/>
  <c r="AM608" i="6"/>
  <c r="AM609" i="6"/>
  <c r="AM610" i="6"/>
  <c r="AM611" i="6"/>
  <c r="AM612" i="6"/>
  <c r="AM613" i="6"/>
  <c r="AM614" i="6"/>
  <c r="AM615" i="6"/>
  <c r="AM616" i="6"/>
  <c r="AM617" i="6"/>
  <c r="AM618" i="6"/>
  <c r="AM619" i="6"/>
  <c r="AM620" i="6"/>
  <c r="AM621" i="6"/>
  <c r="AM622" i="6"/>
  <c r="AM623" i="6"/>
  <c r="AM624" i="6"/>
  <c r="AM625" i="6"/>
  <c r="AM626" i="6"/>
  <c r="AM627" i="6"/>
  <c r="AM628" i="6"/>
  <c r="AM629" i="6"/>
  <c r="AM630" i="6"/>
  <c r="AM631" i="6"/>
  <c r="AM632" i="6"/>
  <c r="AM633" i="6"/>
  <c r="AM634" i="6"/>
  <c r="AM635" i="6"/>
  <c r="AM636" i="6"/>
  <c r="AM637" i="6"/>
  <c r="AM638" i="6"/>
  <c r="AM639" i="6"/>
  <c r="AM640" i="6"/>
  <c r="AM641" i="6"/>
  <c r="AM642" i="6"/>
  <c r="AM643" i="6"/>
  <c r="AM644" i="6"/>
  <c r="AM645" i="6"/>
  <c r="AM646" i="6"/>
  <c r="AM647" i="6"/>
  <c r="AM648" i="6"/>
  <c r="AM649" i="6"/>
  <c r="AM650" i="6"/>
  <c r="AM651" i="6"/>
  <c r="AM652" i="6"/>
  <c r="AM653" i="6"/>
  <c r="AM654" i="6"/>
  <c r="AM655" i="6"/>
  <c r="AM656" i="6"/>
  <c r="AM657" i="6"/>
  <c r="AM658" i="6"/>
  <c r="AM659" i="6"/>
  <c r="AM660" i="6"/>
  <c r="AM661" i="6"/>
  <c r="AM662" i="6"/>
  <c r="AM663" i="6"/>
  <c r="AM664" i="6"/>
  <c r="AM665" i="6"/>
  <c r="AM666" i="6"/>
  <c r="AM667" i="6"/>
  <c r="AM668" i="6"/>
  <c r="AM669" i="6"/>
  <c r="AM670" i="6"/>
  <c r="AM671" i="6"/>
  <c r="AM672" i="6"/>
  <c r="AM673" i="6"/>
  <c r="AM674" i="6"/>
  <c r="AM675" i="6"/>
  <c r="AM676" i="6"/>
  <c r="AM677" i="6"/>
  <c r="AM678" i="6"/>
  <c r="AM679" i="6"/>
  <c r="AM680" i="6"/>
  <c r="AM681" i="6"/>
  <c r="AM682" i="6"/>
  <c r="AM683" i="6"/>
  <c r="AM684" i="6"/>
  <c r="AM685" i="6"/>
  <c r="AM686" i="6"/>
  <c r="AM687" i="6"/>
  <c r="AM688" i="6"/>
  <c r="AM689" i="6"/>
  <c r="AM690" i="6"/>
  <c r="AM691" i="6"/>
  <c r="AM692" i="6"/>
  <c r="AM693" i="6"/>
  <c r="AM694" i="6"/>
  <c r="AM695" i="6"/>
  <c r="AM696" i="6"/>
  <c r="AM697" i="6"/>
  <c r="AM698" i="6"/>
  <c r="AM699" i="6"/>
  <c r="AM700" i="6"/>
  <c r="AM701" i="6"/>
  <c r="AM702" i="6"/>
  <c r="AM703" i="6"/>
  <c r="AM704" i="6"/>
  <c r="AM705" i="6"/>
  <c r="AM706" i="6"/>
  <c r="AM707" i="6"/>
  <c r="AM708" i="6"/>
  <c r="AM709" i="6"/>
  <c r="AM710" i="6"/>
  <c r="AM711" i="6"/>
  <c r="AM712" i="6"/>
  <c r="AM713" i="6"/>
  <c r="AM714" i="6"/>
  <c r="AM715" i="6"/>
  <c r="AM716" i="6"/>
  <c r="AM717" i="6"/>
  <c r="AM718" i="6"/>
  <c r="AM719" i="6"/>
  <c r="AM720" i="6"/>
  <c r="AM721" i="6"/>
  <c r="AM722" i="6"/>
  <c r="AM723" i="6"/>
  <c r="AM724" i="6"/>
  <c r="AM725" i="6"/>
  <c r="AM726" i="6"/>
  <c r="AM727" i="6"/>
  <c r="AM728" i="6"/>
  <c r="AM729" i="6"/>
  <c r="AM730" i="6"/>
  <c r="AM731" i="6"/>
  <c r="AM732" i="6"/>
  <c r="AM733" i="6"/>
  <c r="AM734" i="6"/>
  <c r="AM735" i="6"/>
  <c r="AM736" i="6"/>
  <c r="AM737" i="6"/>
  <c r="AM738" i="6"/>
  <c r="AM739" i="6"/>
  <c r="AM740" i="6"/>
  <c r="AM741" i="6"/>
  <c r="AM742" i="6"/>
  <c r="AM743" i="6"/>
  <c r="AM744" i="6"/>
  <c r="AM745" i="6"/>
  <c r="AM746" i="6"/>
  <c r="AM747" i="6"/>
  <c r="AM748" i="6"/>
  <c r="AM749" i="6"/>
  <c r="AM750" i="6"/>
  <c r="AM751" i="6"/>
  <c r="AM752" i="6"/>
  <c r="AM753" i="6"/>
  <c r="AM754" i="6"/>
  <c r="AM755" i="6"/>
  <c r="AM756" i="6"/>
  <c r="AM757" i="6"/>
  <c r="AM758" i="6"/>
  <c r="AM759" i="6"/>
  <c r="AM760" i="6"/>
  <c r="AM761" i="6"/>
  <c r="AM762" i="6"/>
  <c r="AM763" i="6"/>
  <c r="AM764" i="6"/>
  <c r="AM765" i="6"/>
  <c r="AM766" i="6"/>
  <c r="AM767" i="6"/>
  <c r="AM768" i="6"/>
  <c r="AM769" i="6"/>
  <c r="AM770" i="6"/>
  <c r="AM771" i="6"/>
  <c r="AM772" i="6"/>
  <c r="AM773" i="6"/>
  <c r="AM774" i="6"/>
  <c r="AM775" i="6"/>
  <c r="AM776" i="6"/>
  <c r="AM777" i="6"/>
  <c r="AM778" i="6"/>
  <c r="AM779" i="6"/>
  <c r="AM780" i="6"/>
  <c r="AM781" i="6"/>
  <c r="AM782" i="6"/>
  <c r="AM783" i="6"/>
  <c r="AM784" i="6"/>
  <c r="AM785" i="6"/>
  <c r="AM786" i="6"/>
  <c r="AM787" i="6"/>
  <c r="AM788" i="6"/>
  <c r="AM789" i="6"/>
  <c r="AM790" i="6"/>
  <c r="AM791" i="6"/>
  <c r="AM792" i="6"/>
  <c r="AM793" i="6"/>
  <c r="AM794" i="6"/>
  <c r="AM795" i="6"/>
  <c r="AM796" i="6"/>
  <c r="AM797" i="6"/>
  <c r="AM798" i="6"/>
  <c r="AM799" i="6"/>
  <c r="AM800" i="6"/>
  <c r="AM801" i="6"/>
  <c r="AM802" i="6"/>
  <c r="AM803" i="6"/>
  <c r="AM804" i="6"/>
  <c r="AM805" i="6"/>
  <c r="AM806" i="6"/>
  <c r="AM807" i="6"/>
  <c r="AM808" i="6"/>
  <c r="AM809" i="6"/>
  <c r="AM810" i="6"/>
  <c r="AM811" i="6"/>
  <c r="AM812" i="6"/>
  <c r="AM813" i="6"/>
  <c r="AM814" i="6"/>
  <c r="AM815" i="6"/>
  <c r="AM816" i="6"/>
  <c r="AM817" i="6"/>
  <c r="AM818" i="6"/>
  <c r="AM819" i="6"/>
  <c r="AM820" i="6"/>
  <c r="AM821" i="6"/>
  <c r="AM822" i="6"/>
  <c r="AM823" i="6"/>
  <c r="AM824" i="6"/>
  <c r="AM825" i="6"/>
  <c r="AM826" i="6"/>
  <c r="AM827" i="6"/>
  <c r="AM828" i="6"/>
  <c r="AM829" i="6"/>
  <c r="AM830" i="6"/>
  <c r="AM831" i="6"/>
  <c r="AM832" i="6"/>
  <c r="AM833" i="6"/>
  <c r="AM834" i="6"/>
  <c r="AM835" i="6"/>
  <c r="AM836" i="6"/>
  <c r="AM837" i="6"/>
  <c r="AM838" i="6"/>
  <c r="AM839" i="6"/>
  <c r="AM840" i="6"/>
  <c r="AM841" i="6"/>
  <c r="AM842" i="6"/>
  <c r="AM843" i="6"/>
  <c r="AM844" i="6"/>
  <c r="AM845" i="6"/>
  <c r="AM846" i="6"/>
  <c r="AM847" i="6"/>
  <c r="AM848" i="6"/>
  <c r="AM849" i="6"/>
  <c r="AM850" i="6"/>
  <c r="AM851" i="6"/>
  <c r="AM852" i="6"/>
  <c r="AM853" i="6"/>
  <c r="AM854" i="6"/>
  <c r="AM855" i="6"/>
  <c r="AM856" i="6"/>
  <c r="AM857" i="6"/>
  <c r="AM858" i="6"/>
  <c r="AM859" i="6"/>
  <c r="AM860" i="6"/>
  <c r="AM861" i="6"/>
  <c r="AM862" i="6"/>
  <c r="AM863" i="6"/>
  <c r="AM864" i="6"/>
  <c r="AM865" i="6"/>
  <c r="AM866" i="6"/>
  <c r="AM867" i="6"/>
  <c r="AM868" i="6"/>
  <c r="AM869" i="6"/>
  <c r="AM870" i="6"/>
  <c r="AM871" i="6"/>
  <c r="AM872" i="6"/>
  <c r="AM873" i="6"/>
  <c r="AM874" i="6"/>
  <c r="AM875" i="6"/>
  <c r="AM876" i="6"/>
  <c r="AM877" i="6"/>
  <c r="AM878" i="6"/>
  <c r="AM879" i="6"/>
  <c r="AM880" i="6"/>
  <c r="AM881" i="6"/>
  <c r="AM882" i="6"/>
  <c r="AM883" i="6"/>
  <c r="AM884" i="6"/>
  <c r="AM885" i="6"/>
  <c r="AM886" i="6"/>
  <c r="AM887" i="6"/>
  <c r="AM888" i="6"/>
  <c r="AM889" i="6"/>
  <c r="AM890" i="6"/>
  <c r="AM891" i="6"/>
  <c r="AM892" i="6"/>
  <c r="AM893" i="6"/>
  <c r="AM894" i="6"/>
  <c r="AM895" i="6"/>
  <c r="AM896" i="6"/>
  <c r="AM897" i="6"/>
  <c r="AM898" i="6"/>
  <c r="AM899" i="6"/>
  <c r="AM900" i="6"/>
  <c r="AM901" i="6"/>
  <c r="AM902" i="6"/>
  <c r="AM903" i="6"/>
  <c r="AM904" i="6"/>
  <c r="AM905" i="6"/>
  <c r="AM906" i="6"/>
  <c r="AM907" i="6"/>
  <c r="AM908" i="6"/>
  <c r="AM909" i="6"/>
  <c r="AM910" i="6"/>
  <c r="AM911" i="6"/>
  <c r="AM912" i="6"/>
  <c r="AM913" i="6"/>
  <c r="AM914" i="6"/>
  <c r="AM915" i="6"/>
  <c r="AM916" i="6"/>
  <c r="AM917" i="6"/>
  <c r="AM918" i="6"/>
  <c r="AM919" i="6"/>
  <c r="AM920" i="6"/>
  <c r="AM921" i="6"/>
  <c r="AM922" i="6"/>
  <c r="AM923" i="6"/>
  <c r="AM924" i="6"/>
  <c r="AM925" i="6"/>
  <c r="AM926" i="6"/>
  <c r="AM927" i="6"/>
  <c r="AM928" i="6"/>
  <c r="AM929" i="6"/>
  <c r="AM930" i="6"/>
  <c r="AM931" i="6"/>
  <c r="AM932" i="6"/>
  <c r="AM933" i="6"/>
  <c r="AM934" i="6"/>
  <c r="AM935" i="6"/>
  <c r="AM936" i="6"/>
  <c r="AM937" i="6"/>
  <c r="AM938" i="6"/>
  <c r="AM939" i="6"/>
  <c r="AM940" i="6"/>
  <c r="AM941" i="6"/>
  <c r="AM942" i="6"/>
  <c r="AM943" i="6"/>
  <c r="AM944" i="6"/>
  <c r="AM945" i="6"/>
  <c r="AM946" i="6"/>
  <c r="AM947" i="6"/>
  <c r="AM948" i="6"/>
  <c r="AM949" i="6"/>
  <c r="AM950" i="6"/>
  <c r="AM951" i="6"/>
  <c r="AM952" i="6"/>
  <c r="AM953" i="6"/>
  <c r="AM954" i="6"/>
  <c r="AM955" i="6"/>
  <c r="AM956" i="6"/>
  <c r="AM957" i="6"/>
  <c r="AM958" i="6"/>
  <c r="AM959" i="6"/>
  <c r="AM960" i="6"/>
  <c r="AM961" i="6"/>
  <c r="AM962" i="6"/>
  <c r="AM963" i="6"/>
  <c r="AM964" i="6"/>
  <c r="AM965" i="6"/>
  <c r="AM966" i="6"/>
  <c r="AM967" i="6"/>
  <c r="AM968" i="6"/>
  <c r="AM969" i="6"/>
  <c r="AM970" i="6"/>
  <c r="AM971" i="6"/>
  <c r="AM972" i="6"/>
  <c r="AM973" i="6"/>
  <c r="AM974" i="6"/>
  <c r="AM975" i="6"/>
  <c r="AM976" i="6"/>
  <c r="AM977" i="6"/>
  <c r="AM978" i="6"/>
  <c r="AM979" i="6"/>
  <c r="AM980" i="6"/>
  <c r="AM981" i="6"/>
  <c r="AM982" i="6"/>
  <c r="AM983" i="6"/>
  <c r="AM984" i="6"/>
  <c r="AM985" i="6"/>
  <c r="AM986" i="6"/>
  <c r="AM987" i="6"/>
  <c r="AM988" i="6"/>
  <c r="AM989" i="6"/>
  <c r="AM990" i="6"/>
  <c r="AM991" i="6"/>
  <c r="AM992" i="6"/>
  <c r="AM993" i="6"/>
  <c r="AM994" i="6"/>
  <c r="AM995" i="6"/>
  <c r="AM996" i="6"/>
  <c r="AM997" i="6"/>
  <c r="AM998" i="6"/>
  <c r="AM999" i="6"/>
  <c r="AM1000" i="6"/>
  <c r="AJ131" i="12" l="1"/>
  <c r="AJ97" i="12"/>
  <c r="AJ155" i="12"/>
  <c r="AJ87" i="12"/>
  <c r="AG178" i="12"/>
  <c r="AG173" i="12"/>
  <c r="AJ173" i="12" s="1"/>
  <c r="AG165" i="12"/>
  <c r="AJ165" i="12" s="1"/>
  <c r="AG143" i="12"/>
  <c r="AJ143" i="12" s="1"/>
  <c r="AG103" i="12"/>
  <c r="AJ103" i="12" s="1"/>
  <c r="AG95" i="12"/>
  <c r="AJ95" i="12" s="1"/>
  <c r="AG91" i="12"/>
  <c r="AJ91" i="12" s="1"/>
  <c r="AG62" i="12"/>
  <c r="AJ62" i="12" s="1"/>
  <c r="AG57" i="12"/>
  <c r="AJ57" i="12" s="1"/>
  <c r="AG154" i="12"/>
  <c r="AF140" i="12"/>
  <c r="AH140" i="12" s="1"/>
  <c r="AI140" i="12" s="1"/>
  <c r="AJ140" i="12" s="1"/>
  <c r="AF137" i="12"/>
  <c r="AH137" i="12" s="1"/>
  <c r="AI137" i="12" s="1"/>
  <c r="AJ137" i="12" s="1"/>
  <c r="AF121" i="12"/>
  <c r="AH121" i="12" s="1"/>
  <c r="AI121" i="12" s="1"/>
  <c r="AJ121" i="12" s="1"/>
  <c r="AG114" i="12"/>
  <c r="AJ114" i="12" s="1"/>
  <c r="AF81" i="12"/>
  <c r="AH81" i="12" s="1"/>
  <c r="AI81" i="12" s="1"/>
  <c r="AJ81" i="12" s="1"/>
  <c r="AG76" i="12"/>
  <c r="AJ76" i="12" s="1"/>
  <c r="AG72" i="12"/>
  <c r="AF66" i="12"/>
  <c r="AH66" i="12" s="1"/>
  <c r="AI66" i="12" s="1"/>
  <c r="AJ66" i="12" s="1"/>
  <c r="AG52" i="12"/>
  <c r="AJ128" i="12"/>
  <c r="AF157" i="12"/>
  <c r="AH157" i="12" s="1"/>
  <c r="AI157" i="12" s="1"/>
  <c r="AJ157" i="12" s="1"/>
  <c r="AG152" i="12"/>
  <c r="AJ152" i="12" s="1"/>
  <c r="AF145" i="12"/>
  <c r="AH145" i="12" s="1"/>
  <c r="AI145" i="12" s="1"/>
  <c r="AJ145" i="12" s="1"/>
  <c r="AG134" i="12"/>
  <c r="AJ134" i="12" s="1"/>
  <c r="AG130" i="12"/>
  <c r="AF117" i="12"/>
  <c r="AH117" i="12" s="1"/>
  <c r="AI117" i="12" s="1"/>
  <c r="AJ117" i="12" s="1"/>
  <c r="AG111" i="12"/>
  <c r="AJ111" i="12" s="1"/>
  <c r="AF105" i="12"/>
  <c r="AH105" i="12" s="1"/>
  <c r="AI105" i="12" s="1"/>
  <c r="AJ105" i="12" s="1"/>
  <c r="AG98" i="12"/>
  <c r="AJ98" i="12" s="1"/>
  <c r="AF93" i="12"/>
  <c r="AH93" i="12" s="1"/>
  <c r="AI93" i="12" s="1"/>
  <c r="AJ93" i="12" s="1"/>
  <c r="AG88" i="12"/>
  <c r="AG87" i="12"/>
  <c r="AG78" i="12"/>
  <c r="AJ78" i="12" s="1"/>
  <c r="AG74" i="12"/>
  <c r="AG69" i="12"/>
  <c r="AJ69" i="12" s="1"/>
  <c r="AG64" i="12"/>
  <c r="AJ64" i="12" s="1"/>
  <c r="AF59" i="12"/>
  <c r="AH59" i="12" s="1"/>
  <c r="AI59" i="12" s="1"/>
  <c r="AJ59" i="12" s="1"/>
  <c r="AJ65" i="12"/>
  <c r="AJ56" i="12"/>
  <c r="AG174" i="12"/>
  <c r="AJ174" i="12" s="1"/>
  <c r="AG166" i="12"/>
  <c r="AJ166" i="12" s="1"/>
  <c r="AG155" i="12"/>
  <c r="AG151" i="12"/>
  <c r="AJ151" i="12" s="1"/>
  <c r="AG115" i="12"/>
  <c r="AJ115" i="12" s="1"/>
  <c r="AG110" i="12"/>
  <c r="AJ110" i="12" s="1"/>
  <c r="AF85" i="12"/>
  <c r="AH85" i="12" s="1"/>
  <c r="AI85" i="12" s="1"/>
  <c r="AJ85" i="12" s="1"/>
  <c r="AG73" i="12"/>
  <c r="AJ73" i="12" s="1"/>
  <c r="AG68" i="12"/>
  <c r="AF58" i="12"/>
  <c r="AH58" i="12" s="1"/>
  <c r="AI58" i="12" s="1"/>
  <c r="AJ58" i="12" s="1"/>
  <c r="AG54" i="12"/>
  <c r="AJ47" i="12"/>
  <c r="AJ136" i="12"/>
  <c r="AJ120" i="12"/>
  <c r="AJ94" i="12"/>
  <c r="AG138" i="12"/>
  <c r="AF132" i="12"/>
  <c r="AH132" i="12" s="1"/>
  <c r="AI132" i="12" s="1"/>
  <c r="AJ132" i="12" s="1"/>
  <c r="AG122" i="12"/>
  <c r="AF97" i="12"/>
  <c r="AH97" i="12" s="1"/>
  <c r="AI97" i="12" s="1"/>
  <c r="AG92" i="12"/>
  <c r="AJ92" i="12" s="1"/>
  <c r="AF77" i="12"/>
  <c r="AH77" i="12" s="1"/>
  <c r="AI77" i="12" s="1"/>
  <c r="AJ77" i="12" s="1"/>
  <c r="AF67" i="12"/>
  <c r="AH67" i="12" s="1"/>
  <c r="AI67" i="12" s="1"/>
  <c r="AJ67" i="12" s="1"/>
  <c r="AF63" i="12"/>
  <c r="AH63" i="12" s="1"/>
  <c r="AI63" i="12" s="1"/>
  <c r="AJ63" i="12" s="1"/>
  <c r="AF49" i="12"/>
  <c r="AH49" i="12" s="1"/>
  <c r="AI49" i="12" s="1"/>
  <c r="AF50" i="12"/>
  <c r="AH50" i="12" s="1"/>
  <c r="AI50" i="12" s="1"/>
  <c r="AF46" i="12"/>
  <c r="AH46" i="12" s="1"/>
  <c r="AI46" i="12" s="1"/>
  <c r="AF23" i="12"/>
  <c r="AH23" i="12" s="1"/>
  <c r="AI23" i="12" s="1"/>
  <c r="AJ23" i="12" s="1"/>
  <c r="AP22" i="12" s="1"/>
  <c r="AF51" i="12"/>
  <c r="AH51" i="12" s="1"/>
  <c r="AI51" i="12" s="1"/>
  <c r="AJ51" i="12" s="1"/>
  <c r="AG48" i="12"/>
  <c r="AG24" i="12"/>
  <c r="AJ24" i="12" s="1"/>
  <c r="AF39" i="12"/>
  <c r="AH39" i="12" s="1"/>
  <c r="AI39" i="12" s="1"/>
  <c r="AJ39" i="12" s="1"/>
  <c r="AJ33" i="12"/>
  <c r="AJ49" i="12"/>
  <c r="AF45" i="12"/>
  <c r="AH45" i="12" s="1"/>
  <c r="AI45" i="12" s="1"/>
  <c r="AJ45" i="12" s="1"/>
  <c r="AG44" i="12"/>
  <c r="AJ44" i="12" s="1"/>
  <c r="AF43" i="12"/>
  <c r="AH43" i="12" s="1"/>
  <c r="AI43" i="12" s="1"/>
  <c r="AJ43" i="12" s="1"/>
  <c r="AF42" i="12"/>
  <c r="AH42" i="12" s="1"/>
  <c r="AI42" i="12" s="1"/>
  <c r="AJ42" i="12" s="1"/>
  <c r="AG41" i="12"/>
  <c r="AJ41" i="12" s="1"/>
  <c r="AG40" i="12"/>
  <c r="AJ40" i="12" s="1"/>
  <c r="AJ35" i="12"/>
  <c r="AG30" i="12"/>
  <c r="AJ30" i="12" s="1"/>
  <c r="AJ29" i="12"/>
  <c r="AJ27" i="12"/>
  <c r="AF25" i="12"/>
  <c r="AH25" i="12" s="1"/>
  <c r="AI25" i="12" s="1"/>
  <c r="AJ25" i="12" s="1"/>
  <c r="AJ22" i="12"/>
  <c r="AG21" i="12"/>
  <c r="AJ21" i="12" s="1"/>
  <c r="AF19" i="12"/>
  <c r="AH19" i="12" s="1"/>
  <c r="AI19" i="12" s="1"/>
  <c r="AJ19" i="12" s="1"/>
  <c r="AG17" i="12"/>
  <c r="AJ17" i="12" s="1"/>
  <c r="AR38" i="12"/>
  <c r="AS38" i="12" s="1"/>
  <c r="AR46" i="12"/>
  <c r="AS46" i="12" s="1"/>
  <c r="AP46" i="12" s="1"/>
  <c r="AR41" i="12"/>
  <c r="AS41" i="12"/>
  <c r="AR30" i="12"/>
  <c r="AS30" i="12"/>
  <c r="AP30" i="12" s="1"/>
  <c r="AR49" i="12"/>
  <c r="AS49" i="12" s="1"/>
  <c r="AR19" i="12"/>
  <c r="AS19" i="12" s="1"/>
  <c r="AR43" i="12"/>
  <c r="AS43" i="12" s="1"/>
  <c r="AS35" i="12"/>
  <c r="AQ21" i="12"/>
  <c r="AR21" i="12" s="1"/>
  <c r="AQ36" i="12"/>
  <c r="AQ28" i="12"/>
  <c r="AQ20" i="12"/>
  <c r="AQ34" i="12"/>
  <c r="AR34" i="12" s="1"/>
  <c r="AS34" i="12" s="1"/>
  <c r="AP34" i="12" s="1"/>
  <c r="AQ33" i="12"/>
  <c r="AR33" i="12" s="1"/>
  <c r="AS33" i="12" s="1"/>
  <c r="AQ26" i="12"/>
  <c r="AR26" i="12" s="1"/>
  <c r="AQ25" i="12"/>
  <c r="AR25" i="12" s="1"/>
  <c r="AS25" i="12" s="1"/>
  <c r="AQ18" i="12"/>
  <c r="AQ44" i="12"/>
  <c r="AR44" i="12" s="1"/>
  <c r="AS44" i="12" s="1"/>
  <c r="AQ39" i="12"/>
  <c r="AR27" i="12"/>
  <c r="AS27" i="12" s="1"/>
  <c r="AR42" i="12"/>
  <c r="AS42" i="12" s="1"/>
  <c r="AR23" i="12"/>
  <c r="AS23" i="12" s="1"/>
  <c r="AR37" i="12"/>
  <c r="AS37" i="12"/>
  <c r="AR31" i="12"/>
  <c r="AS31" i="12" s="1"/>
  <c r="AR36" i="12"/>
  <c r="AS36" i="12" s="1"/>
  <c r="AP36" i="12" s="1"/>
  <c r="AR28" i="12"/>
  <c r="AS28" i="12"/>
  <c r="AR20" i="12"/>
  <c r="AS20" i="12" s="1"/>
  <c r="AR45" i="12"/>
  <c r="AS45" i="12" s="1"/>
  <c r="AR18" i="12"/>
  <c r="AS18" i="12" s="1"/>
  <c r="AR47" i="12"/>
  <c r="AS47" i="12" s="1"/>
  <c r="AR29" i="12"/>
  <c r="AS29" i="12" s="1"/>
  <c r="AP29" i="12" s="1"/>
  <c r="AR50" i="12"/>
  <c r="AS50" i="12" s="1"/>
  <c r="AR39" i="12"/>
  <c r="AS39" i="12"/>
  <c r="AS48" i="12"/>
  <c r="AS40" i="12"/>
  <c r="AS32" i="12"/>
  <c r="AS24" i="12"/>
  <c r="AJ999" i="12"/>
  <c r="AJ967" i="12"/>
  <c r="AJ951" i="12"/>
  <c r="AJ935" i="12"/>
  <c r="AJ919" i="12"/>
  <c r="AJ903" i="12"/>
  <c r="AJ887" i="12"/>
  <c r="AJ871" i="12"/>
  <c r="AJ855" i="12"/>
  <c r="AJ839" i="12"/>
  <c r="AJ823" i="12"/>
  <c r="AJ807" i="12"/>
  <c r="AJ791" i="12"/>
  <c r="AJ987" i="12"/>
  <c r="AJ986" i="12"/>
  <c r="AJ983" i="12"/>
  <c r="AJ959" i="12"/>
  <c r="AJ943" i="12"/>
  <c r="AJ927" i="12"/>
  <c r="AJ911" i="12"/>
  <c r="AJ895" i="12"/>
  <c r="AJ879" i="12"/>
  <c r="AJ863" i="12"/>
  <c r="AJ847" i="12"/>
  <c r="AJ831" i="12"/>
  <c r="AJ815" i="12"/>
  <c r="AJ799" i="12"/>
  <c r="AJ990" i="12"/>
  <c r="AJ974" i="12"/>
  <c r="AJ969" i="12"/>
  <c r="AJ937" i="12"/>
  <c r="AJ913" i="12"/>
  <c r="AJ889" i="12"/>
  <c r="AJ865" i="12"/>
  <c r="AJ857" i="12"/>
  <c r="AJ833" i="12"/>
  <c r="AJ817" i="12"/>
  <c r="AJ809" i="12"/>
  <c r="AJ801" i="12"/>
  <c r="AJ793" i="12"/>
  <c r="AJ785" i="12"/>
  <c r="AJ783" i="12"/>
  <c r="AJ769" i="12"/>
  <c r="AJ767" i="12"/>
  <c r="AJ753" i="12"/>
  <c r="AJ751" i="12"/>
  <c r="AJ737" i="12"/>
  <c r="AJ735" i="12"/>
  <c r="AJ721" i="12"/>
  <c r="AJ719" i="12"/>
  <c r="AJ705" i="12"/>
  <c r="AJ703" i="12"/>
  <c r="AJ689" i="12"/>
  <c r="AJ687" i="12"/>
  <c r="AJ673" i="12"/>
  <c r="AJ671" i="12"/>
  <c r="AJ657" i="12"/>
  <c r="AJ655" i="12"/>
  <c r="AJ641" i="12"/>
  <c r="AJ639" i="12"/>
  <c r="AF631" i="12"/>
  <c r="AH631" i="12" s="1"/>
  <c r="AI631" i="12" s="1"/>
  <c r="AG631" i="12"/>
  <c r="AJ631" i="12" s="1"/>
  <c r="AF623" i="12"/>
  <c r="AH623" i="12" s="1"/>
  <c r="AI623" i="12" s="1"/>
  <c r="AG623" i="12"/>
  <c r="AJ623" i="12" s="1"/>
  <c r="AF615" i="12"/>
  <c r="AH615" i="12" s="1"/>
  <c r="AI615" i="12" s="1"/>
  <c r="AG615" i="12"/>
  <c r="AJ615" i="12" s="1"/>
  <c r="AF607" i="12"/>
  <c r="AH607" i="12" s="1"/>
  <c r="AI607" i="12" s="1"/>
  <c r="AG607" i="12"/>
  <c r="AJ607" i="12" s="1"/>
  <c r="AF599" i="12"/>
  <c r="AH599" i="12" s="1"/>
  <c r="AI599" i="12" s="1"/>
  <c r="AG599" i="12"/>
  <c r="AJ599" i="12" s="1"/>
  <c r="AF591" i="12"/>
  <c r="AH591" i="12" s="1"/>
  <c r="AI591" i="12" s="1"/>
  <c r="AG591" i="12"/>
  <c r="AJ591" i="12" s="1"/>
  <c r="AF583" i="12"/>
  <c r="AH583" i="12" s="1"/>
  <c r="AI583" i="12" s="1"/>
  <c r="AG583" i="12"/>
  <c r="AJ583" i="12" s="1"/>
  <c r="AF575" i="12"/>
  <c r="AH575" i="12" s="1"/>
  <c r="AI575" i="12" s="1"/>
  <c r="AG575" i="12"/>
  <c r="AJ575" i="12" s="1"/>
  <c r="AF567" i="12"/>
  <c r="AH567" i="12" s="1"/>
  <c r="AI567" i="12" s="1"/>
  <c r="AG567" i="12"/>
  <c r="AJ567" i="12" s="1"/>
  <c r="AF559" i="12"/>
  <c r="AH559" i="12" s="1"/>
  <c r="AI559" i="12" s="1"/>
  <c r="AG559" i="12"/>
  <c r="AJ559" i="12" s="1"/>
  <c r="AF551" i="12"/>
  <c r="AH551" i="12" s="1"/>
  <c r="AI551" i="12" s="1"/>
  <c r="AG551" i="12"/>
  <c r="AJ551" i="12" s="1"/>
  <c r="AF543" i="12"/>
  <c r="AH543" i="12" s="1"/>
  <c r="AI543" i="12" s="1"/>
  <c r="AG543" i="12"/>
  <c r="AJ543" i="12" s="1"/>
  <c r="AF521" i="12"/>
  <c r="AH521" i="12" s="1"/>
  <c r="AI521" i="12" s="1"/>
  <c r="AG521" i="12"/>
  <c r="AJ521" i="12" s="1"/>
  <c r="AF513" i="12"/>
  <c r="AH513" i="12" s="1"/>
  <c r="AI513" i="12" s="1"/>
  <c r="AG513" i="12"/>
  <c r="AJ513" i="12" s="1"/>
  <c r="AF491" i="12"/>
  <c r="AH491" i="12" s="1"/>
  <c r="AI491" i="12" s="1"/>
  <c r="AG491" i="12"/>
  <c r="AJ491" i="12" s="1"/>
  <c r="AF483" i="12"/>
  <c r="AH483" i="12" s="1"/>
  <c r="AI483" i="12" s="1"/>
  <c r="AG483" i="12"/>
  <c r="AJ483" i="12" s="1"/>
  <c r="AF456" i="12"/>
  <c r="AH456" i="12" s="1"/>
  <c r="AI456" i="12" s="1"/>
  <c r="AG456" i="12"/>
  <c r="AJ456" i="12" s="1"/>
  <c r="AF408" i="12"/>
  <c r="AH408" i="12" s="1"/>
  <c r="AI408" i="12" s="1"/>
  <c r="AG408" i="12"/>
  <c r="AJ408" i="12" s="1"/>
  <c r="AF392" i="12"/>
  <c r="AH392" i="12" s="1"/>
  <c r="AI392" i="12" s="1"/>
  <c r="AG392" i="12"/>
  <c r="AJ392" i="12" s="1"/>
  <c r="AF376" i="12"/>
  <c r="AH376" i="12" s="1"/>
  <c r="AI376" i="12" s="1"/>
  <c r="AG376" i="12"/>
  <c r="AJ376" i="12" s="1"/>
  <c r="AF360" i="12"/>
  <c r="AH360" i="12" s="1"/>
  <c r="AI360" i="12" s="1"/>
  <c r="AG360" i="12"/>
  <c r="AJ360" i="12" s="1"/>
  <c r="AF344" i="12"/>
  <c r="AH344" i="12" s="1"/>
  <c r="AI344" i="12" s="1"/>
  <c r="AG344" i="12"/>
  <c r="AJ344" i="12" s="1"/>
  <c r="AG219" i="12"/>
  <c r="AF219" i="12"/>
  <c r="AH219" i="12" s="1"/>
  <c r="AI219" i="12" s="1"/>
  <c r="AF188" i="12"/>
  <c r="AH188" i="12" s="1"/>
  <c r="AI188" i="12" s="1"/>
  <c r="AG188" i="12"/>
  <c r="AJ188" i="12" s="1"/>
  <c r="AF150" i="12"/>
  <c r="AH150" i="12" s="1"/>
  <c r="AI150" i="12" s="1"/>
  <c r="AG150" i="12"/>
  <c r="AJ150" i="12" s="1"/>
  <c r="AG781" i="12"/>
  <c r="AJ781" i="12" s="1"/>
  <c r="AG779" i="12"/>
  <c r="AJ779" i="12" s="1"/>
  <c r="AG765" i="12"/>
  <c r="AJ765" i="12" s="1"/>
  <c r="AG763" i="12"/>
  <c r="AJ763" i="12" s="1"/>
  <c r="AG749" i="12"/>
  <c r="AJ749" i="12" s="1"/>
  <c r="AG747" i="12"/>
  <c r="AJ747" i="12" s="1"/>
  <c r="AG733" i="12"/>
  <c r="AJ733" i="12" s="1"/>
  <c r="AG731" i="12"/>
  <c r="AJ731" i="12" s="1"/>
  <c r="AG717" i="12"/>
  <c r="AJ717" i="12" s="1"/>
  <c r="AG715" i="12"/>
  <c r="AJ715" i="12" s="1"/>
  <c r="AG701" i="12"/>
  <c r="AJ701" i="12" s="1"/>
  <c r="AG699" i="12"/>
  <c r="AJ699" i="12" s="1"/>
  <c r="AG685" i="12"/>
  <c r="AJ685" i="12" s="1"/>
  <c r="AG683" i="12"/>
  <c r="AJ683" i="12" s="1"/>
  <c r="AG669" i="12"/>
  <c r="AJ669" i="12" s="1"/>
  <c r="AG667" i="12"/>
  <c r="AJ667" i="12" s="1"/>
  <c r="AG653" i="12"/>
  <c r="AJ653" i="12" s="1"/>
  <c r="AG651" i="12"/>
  <c r="AJ651" i="12" s="1"/>
  <c r="AG637" i="12"/>
  <c r="AJ637" i="12" s="1"/>
  <c r="AG635" i="12"/>
  <c r="AJ635" i="12" s="1"/>
  <c r="AG630" i="12"/>
  <c r="AF630" i="12"/>
  <c r="AH630" i="12" s="1"/>
  <c r="AI630" i="12" s="1"/>
  <c r="AG622" i="12"/>
  <c r="AF622" i="12"/>
  <c r="AH622" i="12" s="1"/>
  <c r="AI622" i="12" s="1"/>
  <c r="AG614" i="12"/>
  <c r="AF614" i="12"/>
  <c r="AH614" i="12" s="1"/>
  <c r="AI614" i="12" s="1"/>
  <c r="AG606" i="12"/>
  <c r="AF606" i="12"/>
  <c r="AH606" i="12" s="1"/>
  <c r="AI606" i="12" s="1"/>
  <c r="AG598" i="12"/>
  <c r="AF598" i="12"/>
  <c r="AH598" i="12" s="1"/>
  <c r="AI598" i="12" s="1"/>
  <c r="AG590" i="12"/>
  <c r="AF590" i="12"/>
  <c r="AH590" i="12" s="1"/>
  <c r="AI590" i="12" s="1"/>
  <c r="AG582" i="12"/>
  <c r="AF582" i="12"/>
  <c r="AH582" i="12" s="1"/>
  <c r="AI582" i="12" s="1"/>
  <c r="AG574" i="12"/>
  <c r="AF574" i="12"/>
  <c r="AH574" i="12" s="1"/>
  <c r="AI574" i="12" s="1"/>
  <c r="AG566" i="12"/>
  <c r="AF566" i="12"/>
  <c r="AH566" i="12" s="1"/>
  <c r="AI566" i="12" s="1"/>
  <c r="AG558" i="12"/>
  <c r="AF558" i="12"/>
  <c r="AH558" i="12" s="1"/>
  <c r="AI558" i="12" s="1"/>
  <c r="AG550" i="12"/>
  <c r="AF550" i="12"/>
  <c r="AH550" i="12" s="1"/>
  <c r="AI550" i="12" s="1"/>
  <c r="AG542" i="12"/>
  <c r="AF542" i="12"/>
  <c r="AH542" i="12" s="1"/>
  <c r="AI542" i="12" s="1"/>
  <c r="AF529" i="12"/>
  <c r="AH529" i="12" s="1"/>
  <c r="AI529" i="12" s="1"/>
  <c r="AG529" i="12"/>
  <c r="AJ529" i="12" s="1"/>
  <c r="AJ525" i="12"/>
  <c r="AF507" i="12"/>
  <c r="AH507" i="12" s="1"/>
  <c r="AI507" i="12" s="1"/>
  <c r="AG507" i="12"/>
  <c r="AJ507" i="12" s="1"/>
  <c r="AF499" i="12"/>
  <c r="AH499" i="12" s="1"/>
  <c r="AI499" i="12" s="1"/>
  <c r="AG499" i="12"/>
  <c r="AJ495" i="12"/>
  <c r="AF473" i="12"/>
  <c r="AH473" i="12" s="1"/>
  <c r="AI473" i="12" s="1"/>
  <c r="AG473" i="12"/>
  <c r="AJ473" i="12" s="1"/>
  <c r="AF465" i="12"/>
  <c r="AH465" i="12" s="1"/>
  <c r="AI465" i="12" s="1"/>
  <c r="AG465" i="12"/>
  <c r="AJ465" i="12" s="1"/>
  <c r="AJ461" i="12"/>
  <c r="AF444" i="12"/>
  <c r="AH444" i="12" s="1"/>
  <c r="AI444" i="12" s="1"/>
  <c r="AG444" i="12"/>
  <c r="AG419" i="12"/>
  <c r="AF419" i="12"/>
  <c r="AH419" i="12" s="1"/>
  <c r="AI419" i="12" s="1"/>
  <c r="AF324" i="12"/>
  <c r="AH324" i="12" s="1"/>
  <c r="AI324" i="12" s="1"/>
  <c r="AG324" i="12"/>
  <c r="AF308" i="12"/>
  <c r="AH308" i="12" s="1"/>
  <c r="AI308" i="12" s="1"/>
  <c r="AG308" i="12"/>
  <c r="AJ308" i="12" s="1"/>
  <c r="AF292" i="12"/>
  <c r="AH292" i="12" s="1"/>
  <c r="AI292" i="12" s="1"/>
  <c r="AG292" i="12"/>
  <c r="AJ961" i="12"/>
  <c r="AJ953" i="12"/>
  <c r="AJ945" i="12"/>
  <c r="AJ929" i="12"/>
  <c r="AJ921" i="12"/>
  <c r="AJ905" i="12"/>
  <c r="AJ897" i="12"/>
  <c r="AJ881" i="12"/>
  <c r="AJ873" i="12"/>
  <c r="AJ849" i="12"/>
  <c r="AJ841" i="12"/>
  <c r="AJ825" i="12"/>
  <c r="AG1000" i="12"/>
  <c r="AJ1000" i="12" s="1"/>
  <c r="AG996" i="12"/>
  <c r="AJ996" i="12" s="1"/>
  <c r="AG992" i="12"/>
  <c r="AJ992" i="12" s="1"/>
  <c r="AG988" i="12"/>
  <c r="AJ988" i="12" s="1"/>
  <c r="AG984" i="12"/>
  <c r="AJ984" i="12" s="1"/>
  <c r="AG980" i="12"/>
  <c r="AJ980" i="12" s="1"/>
  <c r="AG976" i="12"/>
  <c r="AJ976" i="12" s="1"/>
  <c r="AJ965" i="12"/>
  <c r="AJ957" i="12"/>
  <c r="AJ949" i="12"/>
  <c r="AJ941" i="12"/>
  <c r="AJ933" i="12"/>
  <c r="AJ925" i="12"/>
  <c r="AJ917" i="12"/>
  <c r="AJ909" i="12"/>
  <c r="AJ901" i="12"/>
  <c r="AJ893" i="12"/>
  <c r="AJ885" i="12"/>
  <c r="AJ877" i="12"/>
  <c r="AJ869" i="12"/>
  <c r="AJ861" i="12"/>
  <c r="AJ853" i="12"/>
  <c r="AJ845" i="12"/>
  <c r="AJ837" i="12"/>
  <c r="AJ829" i="12"/>
  <c r="AJ821" i="12"/>
  <c r="AJ813" i="12"/>
  <c r="AJ805" i="12"/>
  <c r="AJ797" i="12"/>
  <c r="AJ789" i="12"/>
  <c r="AF627" i="12"/>
  <c r="AH627" i="12" s="1"/>
  <c r="AI627" i="12" s="1"/>
  <c r="AG627" i="12"/>
  <c r="AF619" i="12"/>
  <c r="AH619" i="12" s="1"/>
  <c r="AI619" i="12" s="1"/>
  <c r="AG619" i="12"/>
  <c r="AJ619" i="12" s="1"/>
  <c r="AF611" i="12"/>
  <c r="AH611" i="12" s="1"/>
  <c r="AI611" i="12" s="1"/>
  <c r="AG611" i="12"/>
  <c r="AF603" i="12"/>
  <c r="AH603" i="12" s="1"/>
  <c r="AI603" i="12" s="1"/>
  <c r="AG603" i="12"/>
  <c r="AJ603" i="12" s="1"/>
  <c r="AF595" i="12"/>
  <c r="AH595" i="12" s="1"/>
  <c r="AI595" i="12" s="1"/>
  <c r="AG595" i="12"/>
  <c r="AF587" i="12"/>
  <c r="AH587" i="12" s="1"/>
  <c r="AI587" i="12" s="1"/>
  <c r="AG587" i="12"/>
  <c r="AJ587" i="12" s="1"/>
  <c r="AF579" i="12"/>
  <c r="AH579" i="12" s="1"/>
  <c r="AI579" i="12" s="1"/>
  <c r="AG579" i="12"/>
  <c r="AF571" i="12"/>
  <c r="AH571" i="12" s="1"/>
  <c r="AI571" i="12" s="1"/>
  <c r="AG571" i="12"/>
  <c r="AJ571" i="12" s="1"/>
  <c r="AF563" i="12"/>
  <c r="AH563" i="12" s="1"/>
  <c r="AI563" i="12" s="1"/>
  <c r="AG563" i="12"/>
  <c r="AF555" i="12"/>
  <c r="AH555" i="12" s="1"/>
  <c r="AI555" i="12" s="1"/>
  <c r="AG555" i="12"/>
  <c r="AJ555" i="12" s="1"/>
  <c r="AF547" i="12"/>
  <c r="AH547" i="12" s="1"/>
  <c r="AI547" i="12" s="1"/>
  <c r="AG547" i="12"/>
  <c r="AF539" i="12"/>
  <c r="AH539" i="12" s="1"/>
  <c r="AI539" i="12" s="1"/>
  <c r="AG539" i="12"/>
  <c r="AJ539" i="12" s="1"/>
  <c r="AF523" i="12"/>
  <c r="AH523" i="12" s="1"/>
  <c r="AI523" i="12" s="1"/>
  <c r="AG523" i="12"/>
  <c r="AF515" i="12"/>
  <c r="AH515" i="12" s="1"/>
  <c r="AI515" i="12" s="1"/>
  <c r="AG515" i="12"/>
  <c r="AJ515" i="12" s="1"/>
  <c r="AJ506" i="12"/>
  <c r="AJ498" i="12"/>
  <c r="AF489" i="12"/>
  <c r="AH489" i="12" s="1"/>
  <c r="AI489" i="12" s="1"/>
  <c r="AG489" i="12"/>
  <c r="AJ489" i="12" s="1"/>
  <c r="AF481" i="12"/>
  <c r="AH481" i="12" s="1"/>
  <c r="AI481" i="12" s="1"/>
  <c r="AG481" i="12"/>
  <c r="AF459" i="12"/>
  <c r="AH459" i="12" s="1"/>
  <c r="AI459" i="12" s="1"/>
  <c r="AG459" i="12"/>
  <c r="AJ459" i="12" s="1"/>
  <c r="AF448" i="12"/>
  <c r="AH448" i="12" s="1"/>
  <c r="AI448" i="12" s="1"/>
  <c r="AG448" i="12"/>
  <c r="AG435" i="12"/>
  <c r="AF435" i="12"/>
  <c r="AH435" i="12" s="1"/>
  <c r="AI435" i="12" s="1"/>
  <c r="AG427" i="12"/>
  <c r="AJ427" i="12" s="1"/>
  <c r="AF427" i="12"/>
  <c r="AH427" i="12" s="1"/>
  <c r="AI427" i="12" s="1"/>
  <c r="AF400" i="12"/>
  <c r="AH400" i="12" s="1"/>
  <c r="AI400" i="12" s="1"/>
  <c r="AG400" i="12"/>
  <c r="AJ400" i="12" s="1"/>
  <c r="AF384" i="12"/>
  <c r="AH384" i="12" s="1"/>
  <c r="AI384" i="12" s="1"/>
  <c r="AG384" i="12"/>
  <c r="AF368" i="12"/>
  <c r="AH368" i="12" s="1"/>
  <c r="AI368" i="12" s="1"/>
  <c r="AG368" i="12"/>
  <c r="AJ368" i="12" s="1"/>
  <c r="AF352" i="12"/>
  <c r="AH352" i="12" s="1"/>
  <c r="AI352" i="12" s="1"/>
  <c r="AG352" i="12"/>
  <c r="AG280" i="12"/>
  <c r="AF280" i="12"/>
  <c r="AH280" i="12" s="1"/>
  <c r="AI280" i="12" s="1"/>
  <c r="AF212" i="12"/>
  <c r="AH212" i="12" s="1"/>
  <c r="AI212" i="12" s="1"/>
  <c r="AG212" i="12"/>
  <c r="AG787" i="12"/>
  <c r="AJ787" i="12" s="1"/>
  <c r="AG773" i="12"/>
  <c r="AJ773" i="12" s="1"/>
  <c r="AG771" i="12"/>
  <c r="AJ771" i="12" s="1"/>
  <c r="AG757" i="12"/>
  <c r="AJ757" i="12" s="1"/>
  <c r="AG755" i="12"/>
  <c r="AJ755" i="12" s="1"/>
  <c r="AG741" i="12"/>
  <c r="AJ741" i="12" s="1"/>
  <c r="AG739" i="12"/>
  <c r="AJ739" i="12" s="1"/>
  <c r="AG725" i="12"/>
  <c r="AJ725" i="12" s="1"/>
  <c r="AG723" i="12"/>
  <c r="AJ723" i="12" s="1"/>
  <c r="AG709" i="12"/>
  <c r="AJ709" i="12" s="1"/>
  <c r="AG707" i="12"/>
  <c r="AJ707" i="12" s="1"/>
  <c r="AG693" i="12"/>
  <c r="AJ693" i="12" s="1"/>
  <c r="AG691" i="12"/>
  <c r="AJ691" i="12" s="1"/>
  <c r="AG677" i="12"/>
  <c r="AJ677" i="12" s="1"/>
  <c r="AG675" i="12"/>
  <c r="AJ675" i="12" s="1"/>
  <c r="AG661" i="12"/>
  <c r="AJ661" i="12" s="1"/>
  <c r="AG659" i="12"/>
  <c r="AJ659" i="12" s="1"/>
  <c r="AG645" i="12"/>
  <c r="AJ645" i="12" s="1"/>
  <c r="AG643" i="12"/>
  <c r="AJ643" i="12" s="1"/>
  <c r="AG634" i="12"/>
  <c r="AJ634" i="12" s="1"/>
  <c r="AF634" i="12"/>
  <c r="AH634" i="12" s="1"/>
  <c r="AI634" i="12" s="1"/>
  <c r="AJ628" i="12"/>
  <c r="AG626" i="12"/>
  <c r="AJ626" i="12" s="1"/>
  <c r="AF626" i="12"/>
  <c r="AH626" i="12" s="1"/>
  <c r="AI626" i="12" s="1"/>
  <c r="AJ620" i="12"/>
  <c r="AG618" i="12"/>
  <c r="AF618" i="12"/>
  <c r="AH618" i="12" s="1"/>
  <c r="AI618" i="12" s="1"/>
  <c r="AJ612" i="12"/>
  <c r="AG610" i="12"/>
  <c r="AF610" i="12"/>
  <c r="AH610" i="12" s="1"/>
  <c r="AI610" i="12" s="1"/>
  <c r="AJ604" i="12"/>
  <c r="AG602" i="12"/>
  <c r="AJ602" i="12" s="1"/>
  <c r="AF602" i="12"/>
  <c r="AH602" i="12" s="1"/>
  <c r="AI602" i="12" s="1"/>
  <c r="AJ596" i="12"/>
  <c r="AG594" i="12"/>
  <c r="AJ594" i="12" s="1"/>
  <c r="AF594" i="12"/>
  <c r="AH594" i="12" s="1"/>
  <c r="AI594" i="12" s="1"/>
  <c r="AJ588" i="12"/>
  <c r="AG586" i="12"/>
  <c r="AF586" i="12"/>
  <c r="AH586" i="12" s="1"/>
  <c r="AI586" i="12" s="1"/>
  <c r="AJ580" i="12"/>
  <c r="AG578" i="12"/>
  <c r="AF578" i="12"/>
  <c r="AH578" i="12" s="1"/>
  <c r="AI578" i="12" s="1"/>
  <c r="AJ572" i="12"/>
  <c r="AG570" i="12"/>
  <c r="AJ570" i="12" s="1"/>
  <c r="AF570" i="12"/>
  <c r="AH570" i="12" s="1"/>
  <c r="AI570" i="12" s="1"/>
  <c r="AJ564" i="12"/>
  <c r="AG562" i="12"/>
  <c r="AJ562" i="12" s="1"/>
  <c r="AF562" i="12"/>
  <c r="AH562" i="12" s="1"/>
  <c r="AI562" i="12" s="1"/>
  <c r="AJ556" i="12"/>
  <c r="AG554" i="12"/>
  <c r="AF554" i="12"/>
  <c r="AH554" i="12" s="1"/>
  <c r="AI554" i="12" s="1"/>
  <c r="AJ548" i="12"/>
  <c r="AG546" i="12"/>
  <c r="AF546" i="12"/>
  <c r="AH546" i="12" s="1"/>
  <c r="AI546" i="12" s="1"/>
  <c r="AJ540" i="12"/>
  <c r="AG538" i="12"/>
  <c r="AJ538" i="12" s="1"/>
  <c r="AF538" i="12"/>
  <c r="AH538" i="12" s="1"/>
  <c r="AI538" i="12" s="1"/>
  <c r="AF531" i="12"/>
  <c r="AH531" i="12" s="1"/>
  <c r="AI531" i="12" s="1"/>
  <c r="AG531" i="12"/>
  <c r="AJ531" i="12" s="1"/>
  <c r="AJ527" i="12"/>
  <c r="AJ522" i="12"/>
  <c r="AJ514" i="12"/>
  <c r="AF505" i="12"/>
  <c r="AH505" i="12" s="1"/>
  <c r="AI505" i="12" s="1"/>
  <c r="AG505" i="12"/>
  <c r="AF497" i="12"/>
  <c r="AH497" i="12" s="1"/>
  <c r="AI497" i="12" s="1"/>
  <c r="AG497" i="12"/>
  <c r="AJ497" i="12" s="1"/>
  <c r="AJ493" i="12"/>
  <c r="AF475" i="12"/>
  <c r="AH475" i="12" s="1"/>
  <c r="AI475" i="12" s="1"/>
  <c r="AG475" i="12"/>
  <c r="AF467" i="12"/>
  <c r="AH467" i="12" s="1"/>
  <c r="AI467" i="12" s="1"/>
  <c r="AG467" i="12"/>
  <c r="AJ467" i="12" s="1"/>
  <c r="AJ463" i="12"/>
  <c r="AF452" i="12"/>
  <c r="AH452" i="12" s="1"/>
  <c r="AI452" i="12" s="1"/>
  <c r="AG452" i="12"/>
  <c r="AJ452" i="12" s="1"/>
  <c r="AF332" i="12"/>
  <c r="AH332" i="12" s="1"/>
  <c r="AI332" i="12" s="1"/>
  <c r="AG332" i="12"/>
  <c r="AF316" i="12"/>
  <c r="AH316" i="12" s="1"/>
  <c r="AI316" i="12" s="1"/>
  <c r="AG316" i="12"/>
  <c r="AJ316" i="12" s="1"/>
  <c r="AF300" i="12"/>
  <c r="AH300" i="12" s="1"/>
  <c r="AI300" i="12" s="1"/>
  <c r="AG300" i="12"/>
  <c r="AG451" i="12"/>
  <c r="AF451" i="12"/>
  <c r="AH451" i="12" s="1"/>
  <c r="AI451" i="12" s="1"/>
  <c r="AG443" i="12"/>
  <c r="AJ443" i="12" s="1"/>
  <c r="AF443" i="12"/>
  <c r="AH443" i="12" s="1"/>
  <c r="AI443" i="12" s="1"/>
  <c r="AG431" i="12"/>
  <c r="AF431" i="12"/>
  <c r="AH431" i="12" s="1"/>
  <c r="AI431" i="12" s="1"/>
  <c r="AG415" i="12"/>
  <c r="AJ415" i="12" s="1"/>
  <c r="AF415" i="12"/>
  <c r="AH415" i="12" s="1"/>
  <c r="AI415" i="12" s="1"/>
  <c r="AG407" i="12"/>
  <c r="AF407" i="12"/>
  <c r="AH407" i="12" s="1"/>
  <c r="AI407" i="12" s="1"/>
  <c r="AG399" i="12"/>
  <c r="AJ399" i="12" s="1"/>
  <c r="AF399" i="12"/>
  <c r="AH399" i="12" s="1"/>
  <c r="AI399" i="12" s="1"/>
  <c r="AG391" i="12"/>
  <c r="AF391" i="12"/>
  <c r="AH391" i="12" s="1"/>
  <c r="AI391" i="12" s="1"/>
  <c r="AG383" i="12"/>
  <c r="AJ383" i="12" s="1"/>
  <c r="AF383" i="12"/>
  <c r="AH383" i="12" s="1"/>
  <c r="AI383" i="12" s="1"/>
  <c r="AG375" i="12"/>
  <c r="AF375" i="12"/>
  <c r="AH375" i="12" s="1"/>
  <c r="AI375" i="12" s="1"/>
  <c r="AG367" i="12"/>
  <c r="AJ367" i="12" s="1"/>
  <c r="AF367" i="12"/>
  <c r="AH367" i="12" s="1"/>
  <c r="AI367" i="12" s="1"/>
  <c r="AG359" i="12"/>
  <c r="AF359" i="12"/>
  <c r="AH359" i="12" s="1"/>
  <c r="AI359" i="12" s="1"/>
  <c r="AG351" i="12"/>
  <c r="AJ351" i="12" s="1"/>
  <c r="AF351" i="12"/>
  <c r="AH351" i="12" s="1"/>
  <c r="AI351" i="12" s="1"/>
  <c r="AG343" i="12"/>
  <c r="AF343" i="12"/>
  <c r="AH343" i="12" s="1"/>
  <c r="AI343" i="12" s="1"/>
  <c r="AF328" i="12"/>
  <c r="AH328" i="12" s="1"/>
  <c r="AI328" i="12" s="1"/>
  <c r="AG328" i="12"/>
  <c r="AF312" i="12"/>
  <c r="AH312" i="12" s="1"/>
  <c r="AI312" i="12" s="1"/>
  <c r="AG312" i="12"/>
  <c r="AJ312" i="12" s="1"/>
  <c r="AF296" i="12"/>
  <c r="AH296" i="12" s="1"/>
  <c r="AI296" i="12" s="1"/>
  <c r="AG296" i="12"/>
  <c r="AJ457" i="12"/>
  <c r="AG455" i="12"/>
  <c r="AF455" i="12"/>
  <c r="AH455" i="12" s="1"/>
  <c r="AI455" i="12" s="1"/>
  <c r="AJ449" i="12"/>
  <c r="AG447" i="12"/>
  <c r="AF447" i="12"/>
  <c r="AH447" i="12" s="1"/>
  <c r="AI447" i="12" s="1"/>
  <c r="AJ441" i="12"/>
  <c r="AG439" i="12"/>
  <c r="AJ439" i="12" s="1"/>
  <c r="AF439" i="12"/>
  <c r="AH439" i="12" s="1"/>
  <c r="AI439" i="12" s="1"/>
  <c r="AG423" i="12"/>
  <c r="AF423" i="12"/>
  <c r="AH423" i="12" s="1"/>
  <c r="AI423" i="12" s="1"/>
  <c r="AF336" i="12"/>
  <c r="AH336" i="12" s="1"/>
  <c r="AI336" i="12" s="1"/>
  <c r="AG336" i="12"/>
  <c r="AF320" i="12"/>
  <c r="AH320" i="12" s="1"/>
  <c r="AI320" i="12" s="1"/>
  <c r="AG320" i="12"/>
  <c r="AJ320" i="12" s="1"/>
  <c r="AF304" i="12"/>
  <c r="AH304" i="12" s="1"/>
  <c r="AI304" i="12" s="1"/>
  <c r="AG304" i="12"/>
  <c r="AF288" i="12"/>
  <c r="AH288" i="12" s="1"/>
  <c r="AI288" i="12" s="1"/>
  <c r="AG288" i="12"/>
  <c r="AJ288" i="12" s="1"/>
  <c r="AF282" i="12"/>
  <c r="AH282" i="12" s="1"/>
  <c r="AI282" i="12" s="1"/>
  <c r="AG282" i="12"/>
  <c r="AG183" i="12"/>
  <c r="AF183" i="12"/>
  <c r="AH183" i="12" s="1"/>
  <c r="AI183" i="12" s="1"/>
  <c r="AF180" i="12"/>
  <c r="AH180" i="12" s="1"/>
  <c r="AI180" i="12" s="1"/>
  <c r="AG180" i="12"/>
  <c r="AF440" i="12"/>
  <c r="AH440" i="12" s="1"/>
  <c r="AI440" i="12" s="1"/>
  <c r="AG440" i="12"/>
  <c r="AJ440" i="12" s="1"/>
  <c r="AJ433" i="12"/>
  <c r="AF432" i="12"/>
  <c r="AH432" i="12" s="1"/>
  <c r="AI432" i="12" s="1"/>
  <c r="AG432" i="12"/>
  <c r="AJ432" i="12" s="1"/>
  <c r="AJ425" i="12"/>
  <c r="AF424" i="12"/>
  <c r="AH424" i="12" s="1"/>
  <c r="AI424" i="12" s="1"/>
  <c r="AG424" i="12"/>
  <c r="AJ424" i="12" s="1"/>
  <c r="AJ417" i="12"/>
  <c r="AF416" i="12"/>
  <c r="AH416" i="12" s="1"/>
  <c r="AI416" i="12" s="1"/>
  <c r="AG416" i="12"/>
  <c r="AF412" i="12"/>
  <c r="AH412" i="12" s="1"/>
  <c r="AI412" i="12" s="1"/>
  <c r="AG412" i="12"/>
  <c r="AJ412" i="12" s="1"/>
  <c r="AF404" i="12"/>
  <c r="AH404" i="12" s="1"/>
  <c r="AI404" i="12" s="1"/>
  <c r="AG404" i="12"/>
  <c r="AF396" i="12"/>
  <c r="AH396" i="12" s="1"/>
  <c r="AI396" i="12" s="1"/>
  <c r="AG396" i="12"/>
  <c r="AJ396" i="12" s="1"/>
  <c r="AF388" i="12"/>
  <c r="AH388" i="12" s="1"/>
  <c r="AI388" i="12" s="1"/>
  <c r="AG388" i="12"/>
  <c r="AF380" i="12"/>
  <c r="AH380" i="12" s="1"/>
  <c r="AI380" i="12" s="1"/>
  <c r="AG380" i="12"/>
  <c r="AJ380" i="12" s="1"/>
  <c r="AF372" i="12"/>
  <c r="AH372" i="12" s="1"/>
  <c r="AI372" i="12" s="1"/>
  <c r="AG372" i="12"/>
  <c r="AF364" i="12"/>
  <c r="AH364" i="12" s="1"/>
  <c r="AI364" i="12" s="1"/>
  <c r="AG364" i="12"/>
  <c r="AJ364" i="12" s="1"/>
  <c r="AF356" i="12"/>
  <c r="AH356" i="12" s="1"/>
  <c r="AI356" i="12" s="1"/>
  <c r="AG356" i="12"/>
  <c r="AF348" i="12"/>
  <c r="AH348" i="12" s="1"/>
  <c r="AI348" i="12" s="1"/>
  <c r="AG348" i="12"/>
  <c r="AJ348" i="12" s="1"/>
  <c r="AF340" i="12"/>
  <c r="AH340" i="12" s="1"/>
  <c r="AI340" i="12" s="1"/>
  <c r="AG340" i="12"/>
  <c r="AG281" i="12"/>
  <c r="AF281" i="12"/>
  <c r="AH281" i="12" s="1"/>
  <c r="AI281" i="12" s="1"/>
  <c r="AG272" i="12"/>
  <c r="AJ272" i="12" s="1"/>
  <c r="AF272" i="12"/>
  <c r="AH272" i="12" s="1"/>
  <c r="AI272" i="12" s="1"/>
  <c r="AG264" i="12"/>
  <c r="AF264" i="12"/>
  <c r="AH264" i="12" s="1"/>
  <c r="AI264" i="12" s="1"/>
  <c r="AG256" i="12"/>
  <c r="AJ256" i="12" s="1"/>
  <c r="AF256" i="12"/>
  <c r="AH256" i="12" s="1"/>
  <c r="AI256" i="12" s="1"/>
  <c r="AG248" i="12"/>
  <c r="AF248" i="12"/>
  <c r="AH248" i="12" s="1"/>
  <c r="AI248" i="12" s="1"/>
  <c r="AG240" i="12"/>
  <c r="AJ240" i="12" s="1"/>
  <c r="AF240" i="12"/>
  <c r="AH240" i="12" s="1"/>
  <c r="AI240" i="12" s="1"/>
  <c r="AG232" i="12"/>
  <c r="AF232" i="12"/>
  <c r="AH232" i="12" s="1"/>
  <c r="AI232" i="12" s="1"/>
  <c r="AF220" i="12"/>
  <c r="AH220" i="12" s="1"/>
  <c r="AI220" i="12" s="1"/>
  <c r="AG220" i="12"/>
  <c r="AJ437" i="12"/>
  <c r="AF436" i="12"/>
  <c r="AH436" i="12" s="1"/>
  <c r="AI436" i="12" s="1"/>
  <c r="AG436" i="12"/>
  <c r="AJ436" i="12" s="1"/>
  <c r="AJ429" i="12"/>
  <c r="AF428" i="12"/>
  <c r="AH428" i="12" s="1"/>
  <c r="AI428" i="12" s="1"/>
  <c r="AG428" i="12"/>
  <c r="AJ428" i="12" s="1"/>
  <c r="AJ421" i="12"/>
  <c r="AF420" i="12"/>
  <c r="AH420" i="12" s="1"/>
  <c r="AI420" i="12" s="1"/>
  <c r="AG420" i="12"/>
  <c r="AG268" i="12"/>
  <c r="AF268" i="12"/>
  <c r="AH268" i="12" s="1"/>
  <c r="AI268" i="12" s="1"/>
  <c r="AG260" i="12"/>
  <c r="AJ260" i="12" s="1"/>
  <c r="AF260" i="12"/>
  <c r="AH260" i="12" s="1"/>
  <c r="AI260" i="12" s="1"/>
  <c r="AG252" i="12"/>
  <c r="AF252" i="12"/>
  <c r="AH252" i="12" s="1"/>
  <c r="AI252" i="12" s="1"/>
  <c r="AG244" i="12"/>
  <c r="AJ244" i="12" s="1"/>
  <c r="AF244" i="12"/>
  <c r="AH244" i="12" s="1"/>
  <c r="AI244" i="12" s="1"/>
  <c r="AG236" i="12"/>
  <c r="AF236" i="12"/>
  <c r="AH236" i="12" s="1"/>
  <c r="AI236" i="12" s="1"/>
  <c r="AG228" i="12"/>
  <c r="AJ228" i="12" s="1"/>
  <c r="AF228" i="12"/>
  <c r="AH228" i="12" s="1"/>
  <c r="AI228" i="12" s="1"/>
  <c r="AG195" i="12"/>
  <c r="AF195" i="12"/>
  <c r="AH195" i="12" s="1"/>
  <c r="AI195" i="12" s="1"/>
  <c r="AG187" i="12"/>
  <c r="AJ187" i="12" s="1"/>
  <c r="AF187" i="12"/>
  <c r="AH187" i="12" s="1"/>
  <c r="AI187" i="12" s="1"/>
  <c r="AG116" i="12"/>
  <c r="AF116" i="12"/>
  <c r="AH116" i="12" s="1"/>
  <c r="AI116" i="12" s="1"/>
  <c r="AF80" i="12"/>
  <c r="AH80" i="12" s="1"/>
  <c r="AI80" i="12" s="1"/>
  <c r="AG80" i="12"/>
  <c r="AJ275" i="12"/>
  <c r="AF273" i="12"/>
  <c r="AH273" i="12" s="1"/>
  <c r="AI273" i="12" s="1"/>
  <c r="AG273" i="12"/>
  <c r="AJ271" i="12"/>
  <c r="AF269" i="12"/>
  <c r="AH269" i="12" s="1"/>
  <c r="AI269" i="12" s="1"/>
  <c r="AG269" i="12"/>
  <c r="AJ269" i="12" s="1"/>
  <c r="AJ267" i="12"/>
  <c r="AF265" i="12"/>
  <c r="AH265" i="12" s="1"/>
  <c r="AI265" i="12" s="1"/>
  <c r="AG265" i="12"/>
  <c r="AJ265" i="12" s="1"/>
  <c r="AJ263" i="12"/>
  <c r="AF261" i="12"/>
  <c r="AH261" i="12" s="1"/>
  <c r="AI261" i="12" s="1"/>
  <c r="AG261" i="12"/>
  <c r="AJ259" i="12"/>
  <c r="AF257" i="12"/>
  <c r="AH257" i="12" s="1"/>
  <c r="AI257" i="12" s="1"/>
  <c r="AG257" i="12"/>
  <c r="AJ255" i="12"/>
  <c r="AF253" i="12"/>
  <c r="AH253" i="12" s="1"/>
  <c r="AI253" i="12" s="1"/>
  <c r="AG253" i="12"/>
  <c r="AJ253" i="12" s="1"/>
  <c r="AJ251" i="12"/>
  <c r="AF249" i="12"/>
  <c r="AH249" i="12" s="1"/>
  <c r="AI249" i="12" s="1"/>
  <c r="AG249" i="12"/>
  <c r="AJ249" i="12" s="1"/>
  <c r="AJ247" i="12"/>
  <c r="AF245" i="12"/>
  <c r="AH245" i="12" s="1"/>
  <c r="AI245" i="12" s="1"/>
  <c r="AG245" i="12"/>
  <c r="AJ243" i="12"/>
  <c r="AF241" i="12"/>
  <c r="AH241" i="12" s="1"/>
  <c r="AI241" i="12" s="1"/>
  <c r="AG241" i="12"/>
  <c r="AJ239" i="12"/>
  <c r="AF237" i="12"/>
  <c r="AH237" i="12" s="1"/>
  <c r="AI237" i="12" s="1"/>
  <c r="AG237" i="12"/>
  <c r="AJ237" i="12" s="1"/>
  <c r="AJ235" i="12"/>
  <c r="AF233" i="12"/>
  <c r="AH233" i="12" s="1"/>
  <c r="AI233" i="12" s="1"/>
  <c r="AG233" i="12"/>
  <c r="AJ233" i="12" s="1"/>
  <c r="AJ231" i="12"/>
  <c r="AF229" i="12"/>
  <c r="AH229" i="12" s="1"/>
  <c r="AI229" i="12" s="1"/>
  <c r="AG229" i="12"/>
  <c r="AJ227" i="12"/>
  <c r="AF225" i="12"/>
  <c r="AH225" i="12" s="1"/>
  <c r="AI225" i="12" s="1"/>
  <c r="AG225" i="12"/>
  <c r="AJ202" i="12"/>
  <c r="AG133" i="12"/>
  <c r="AF133" i="12"/>
  <c r="AH133" i="12" s="1"/>
  <c r="AI133" i="12" s="1"/>
  <c r="AG108" i="12"/>
  <c r="AF108" i="12"/>
  <c r="AH108" i="12" s="1"/>
  <c r="AI108" i="12" s="1"/>
  <c r="AF18" i="12"/>
  <c r="AH18" i="12" s="1"/>
  <c r="AI18" i="12" s="1"/>
  <c r="AG18" i="12"/>
  <c r="AJ284" i="12"/>
  <c r="AG210" i="12"/>
  <c r="AF210" i="12"/>
  <c r="AH210" i="12" s="1"/>
  <c r="AI210" i="12" s="1"/>
  <c r="AJ170" i="12"/>
  <c r="AG159" i="12"/>
  <c r="AF159" i="12"/>
  <c r="AH159" i="12" s="1"/>
  <c r="AI159" i="12" s="1"/>
  <c r="AG125" i="12"/>
  <c r="AF125" i="12"/>
  <c r="AH125" i="12" s="1"/>
  <c r="AI125" i="12" s="1"/>
  <c r="AJ278" i="12"/>
  <c r="AJ274" i="12"/>
  <c r="AJ270" i="12"/>
  <c r="AJ266" i="12"/>
  <c r="AJ262" i="12"/>
  <c r="AJ258" i="12"/>
  <c r="AJ254" i="12"/>
  <c r="AJ250" i="12"/>
  <c r="AJ246" i="12"/>
  <c r="AJ242" i="12"/>
  <c r="AJ238" i="12"/>
  <c r="AJ234" i="12"/>
  <c r="AJ230" i="12"/>
  <c r="AJ226" i="12"/>
  <c r="AJ222" i="12"/>
  <c r="AJ221" i="12"/>
  <c r="AF218" i="12"/>
  <c r="AH218" i="12" s="1"/>
  <c r="AI218" i="12" s="1"/>
  <c r="AJ218" i="12" s="1"/>
  <c r="AF203" i="12"/>
  <c r="AH203" i="12" s="1"/>
  <c r="AI203" i="12" s="1"/>
  <c r="AJ203" i="12" s="1"/>
  <c r="AG196" i="12"/>
  <c r="AJ196" i="12" s="1"/>
  <c r="AJ190" i="12"/>
  <c r="AJ189" i="12"/>
  <c r="AF186" i="12"/>
  <c r="AH186" i="12" s="1"/>
  <c r="AI186" i="12" s="1"/>
  <c r="AJ186" i="12" s="1"/>
  <c r="AJ175" i="12"/>
  <c r="AF172" i="12"/>
  <c r="AH172" i="12" s="1"/>
  <c r="AI172" i="12" s="1"/>
  <c r="AG172" i="12"/>
  <c r="AF167" i="12"/>
  <c r="AH167" i="12" s="1"/>
  <c r="AI167" i="12" s="1"/>
  <c r="AG148" i="12"/>
  <c r="AF148" i="12"/>
  <c r="AH148" i="12" s="1"/>
  <c r="AI148" i="12" s="1"/>
  <c r="AG142" i="12"/>
  <c r="AJ142" i="12" s="1"/>
  <c r="AF118" i="12"/>
  <c r="AH118" i="12" s="1"/>
  <c r="AI118" i="12" s="1"/>
  <c r="AG118" i="12"/>
  <c r="AJ118" i="12" s="1"/>
  <c r="AG96" i="12"/>
  <c r="AJ96" i="12" s="1"/>
  <c r="AG82" i="12"/>
  <c r="AJ82" i="12" s="1"/>
  <c r="AJ214" i="12"/>
  <c r="AJ213" i="12"/>
  <c r="AJ178" i="12"/>
  <c r="AJ167" i="12"/>
  <c r="AF164" i="12"/>
  <c r="AH164" i="12" s="1"/>
  <c r="AI164" i="12" s="1"/>
  <c r="AG164" i="12"/>
  <c r="AJ164" i="12" s="1"/>
  <c r="AJ135" i="12"/>
  <c r="AF86" i="12"/>
  <c r="AH86" i="12" s="1"/>
  <c r="AI86" i="12" s="1"/>
  <c r="AG86" i="12"/>
  <c r="AJ60" i="12"/>
  <c r="AJ53" i="12"/>
  <c r="AG224" i="12"/>
  <c r="AJ224" i="12" s="1"/>
  <c r="AF223" i="12"/>
  <c r="AH223" i="12" s="1"/>
  <c r="AI223" i="12" s="1"/>
  <c r="AJ223" i="12" s="1"/>
  <c r="AG216" i="12"/>
  <c r="AJ216" i="12" s="1"/>
  <c r="AF215" i="12"/>
  <c r="AH215" i="12" s="1"/>
  <c r="AI215" i="12" s="1"/>
  <c r="AJ215" i="12" s="1"/>
  <c r="AG208" i="12"/>
  <c r="AJ208" i="12" s="1"/>
  <c r="AF207" i="12"/>
  <c r="AH207" i="12" s="1"/>
  <c r="AI207" i="12" s="1"/>
  <c r="AJ207" i="12" s="1"/>
  <c r="AG200" i="12"/>
  <c r="AJ200" i="12" s="1"/>
  <c r="AF199" i="12"/>
  <c r="AH199" i="12" s="1"/>
  <c r="AI199" i="12" s="1"/>
  <c r="AJ199" i="12" s="1"/>
  <c r="AG192" i="12"/>
  <c r="AJ192" i="12" s="1"/>
  <c r="AF191" i="12"/>
  <c r="AH191" i="12" s="1"/>
  <c r="AI191" i="12" s="1"/>
  <c r="AJ191" i="12" s="1"/>
  <c r="AF184" i="12"/>
  <c r="AH184" i="12" s="1"/>
  <c r="AI184" i="12" s="1"/>
  <c r="AG184" i="12"/>
  <c r="AJ184" i="12" s="1"/>
  <c r="AF179" i="12"/>
  <c r="AH179" i="12" s="1"/>
  <c r="AI179" i="12" s="1"/>
  <c r="AJ179" i="12" s="1"/>
  <c r="AJ177" i="12"/>
  <c r="AF176" i="12"/>
  <c r="AH176" i="12" s="1"/>
  <c r="AI176" i="12" s="1"/>
  <c r="AG176" i="12"/>
  <c r="AJ176" i="12" s="1"/>
  <c r="AF171" i="12"/>
  <c r="AH171" i="12" s="1"/>
  <c r="AI171" i="12" s="1"/>
  <c r="AJ171" i="12" s="1"/>
  <c r="AJ169" i="12"/>
  <c r="AF168" i="12"/>
  <c r="AH168" i="12" s="1"/>
  <c r="AI168" i="12" s="1"/>
  <c r="AG168" i="12"/>
  <c r="AF163" i="12"/>
  <c r="AH163" i="12" s="1"/>
  <c r="AI163" i="12" s="1"/>
  <c r="AJ163" i="12" s="1"/>
  <c r="AJ161" i="12"/>
  <c r="AF160" i="12"/>
  <c r="AH160" i="12" s="1"/>
  <c r="AI160" i="12" s="1"/>
  <c r="AG160" i="12"/>
  <c r="AJ160" i="12" s="1"/>
  <c r="AG158" i="12"/>
  <c r="AJ158" i="12" s="1"/>
  <c r="AF156" i="12"/>
  <c r="AH156" i="12" s="1"/>
  <c r="AI156" i="12" s="1"/>
  <c r="AJ156" i="12" s="1"/>
  <c r="AJ144" i="12"/>
  <c r="AF141" i="12"/>
  <c r="AH141" i="12" s="1"/>
  <c r="AI141" i="12" s="1"/>
  <c r="AJ141" i="12" s="1"/>
  <c r="AG126" i="12"/>
  <c r="AJ126" i="12" s="1"/>
  <c r="AF124" i="12"/>
  <c r="AH124" i="12" s="1"/>
  <c r="AI124" i="12" s="1"/>
  <c r="AJ124" i="12" s="1"/>
  <c r="AJ119" i="12"/>
  <c r="AJ112" i="12"/>
  <c r="AF102" i="12"/>
  <c r="AH102" i="12" s="1"/>
  <c r="AI102" i="12" s="1"/>
  <c r="AG102" i="12"/>
  <c r="AJ102" i="12" s="1"/>
  <c r="AJ89" i="12"/>
  <c r="AF84" i="12"/>
  <c r="AH84" i="12" s="1"/>
  <c r="AI84" i="12" s="1"/>
  <c r="AG84" i="12"/>
  <c r="AJ84" i="12" s="1"/>
  <c r="AJ52" i="12"/>
  <c r="AJ104" i="12"/>
  <c r="AJ101" i="12"/>
  <c r="AF100" i="12"/>
  <c r="AH100" i="12" s="1"/>
  <c r="AI100" i="12" s="1"/>
  <c r="AG100" i="12"/>
  <c r="AJ54" i="12"/>
  <c r="AF36" i="12"/>
  <c r="AH36" i="12" s="1"/>
  <c r="AI36" i="12" s="1"/>
  <c r="AG36" i="12"/>
  <c r="AJ32" i="12"/>
  <c r="AF26" i="12"/>
  <c r="AH26" i="12" s="1"/>
  <c r="AI26" i="12" s="1"/>
  <c r="AG26" i="12"/>
  <c r="AJ154" i="12"/>
  <c r="AJ146" i="12"/>
  <c r="AJ138" i="12"/>
  <c r="AJ130" i="12"/>
  <c r="AJ122" i="12"/>
  <c r="AJ106" i="12"/>
  <c r="AJ90" i="12"/>
  <c r="AJ88" i="12"/>
  <c r="AJ74" i="12"/>
  <c r="AJ50" i="12"/>
  <c r="AJ48" i="12"/>
  <c r="AJ46" i="12"/>
  <c r="AF34" i="12"/>
  <c r="AH34" i="12" s="1"/>
  <c r="AI34" i="12" s="1"/>
  <c r="AG34" i="12"/>
  <c r="AJ34" i="12" s="1"/>
  <c r="AJ72" i="12"/>
  <c r="AJ70" i="12"/>
  <c r="AJ68" i="12"/>
  <c r="AJ38" i="12"/>
  <c r="AF28" i="12"/>
  <c r="AH28" i="12" s="1"/>
  <c r="AI28" i="12" s="1"/>
  <c r="AG28" i="12"/>
  <c r="AF20" i="12"/>
  <c r="AH20" i="12" s="1"/>
  <c r="AI20" i="12" s="1"/>
  <c r="AG20" i="12"/>
  <c r="AJ20" i="12" s="1"/>
  <c r="AP15" i="6"/>
  <c r="AP16" i="6"/>
  <c r="AP17" i="6"/>
  <c r="AP18" i="6"/>
  <c r="AP19" i="6"/>
  <c r="AP20" i="6"/>
  <c r="AP21" i="6"/>
  <c r="AP22" i="6"/>
  <c r="AP23" i="6"/>
  <c r="AP24" i="6"/>
  <c r="AP25" i="6"/>
  <c r="AP26" i="6"/>
  <c r="AP27" i="6"/>
  <c r="AP28" i="6"/>
  <c r="AP29" i="6"/>
  <c r="AP30" i="6"/>
  <c r="AP31" i="6"/>
  <c r="AP32" i="6"/>
  <c r="AP33" i="6"/>
  <c r="AP34" i="6"/>
  <c r="AP35" i="6"/>
  <c r="AP36" i="6"/>
  <c r="AP37" i="6"/>
  <c r="AP38" i="6"/>
  <c r="AP39" i="6"/>
  <c r="AP40" i="6"/>
  <c r="AP41" i="6"/>
  <c r="AP42" i="6"/>
  <c r="AP43" i="6"/>
  <c r="AP44" i="6"/>
  <c r="AP45" i="6"/>
  <c r="AP46" i="6"/>
  <c r="AP47" i="6"/>
  <c r="AP48" i="6"/>
  <c r="AP49" i="6"/>
  <c r="AP50" i="6"/>
  <c r="AP51" i="6"/>
  <c r="AP52" i="6"/>
  <c r="AP53" i="6"/>
  <c r="AP54" i="6"/>
  <c r="AP55" i="6"/>
  <c r="AP56" i="6"/>
  <c r="AP57" i="6"/>
  <c r="AP58" i="6"/>
  <c r="AP59" i="6"/>
  <c r="AP60" i="6"/>
  <c r="AP61" i="6"/>
  <c r="AP62" i="6"/>
  <c r="AP63" i="6"/>
  <c r="AP64" i="6"/>
  <c r="AP65" i="6"/>
  <c r="AP66" i="6"/>
  <c r="AP67" i="6"/>
  <c r="AP68" i="6"/>
  <c r="AP69" i="6"/>
  <c r="AP70" i="6"/>
  <c r="AP71" i="6"/>
  <c r="AP72" i="6"/>
  <c r="AP73" i="6"/>
  <c r="AP74" i="6"/>
  <c r="AP75" i="6"/>
  <c r="AP76" i="6"/>
  <c r="AP77" i="6"/>
  <c r="AP78" i="6"/>
  <c r="AP79" i="6"/>
  <c r="AP80" i="6"/>
  <c r="AP81" i="6"/>
  <c r="AP82" i="6"/>
  <c r="AP83" i="6"/>
  <c r="AP84" i="6"/>
  <c r="AP85" i="6"/>
  <c r="AP86" i="6"/>
  <c r="AP87" i="6"/>
  <c r="AP88" i="6"/>
  <c r="AP89" i="6"/>
  <c r="AP90" i="6"/>
  <c r="AP91" i="6"/>
  <c r="AP92" i="6"/>
  <c r="AP93" i="6"/>
  <c r="AP94" i="6"/>
  <c r="AP95" i="6"/>
  <c r="AP96" i="6"/>
  <c r="AP97" i="6"/>
  <c r="AP98" i="6"/>
  <c r="AP99" i="6"/>
  <c r="AP100" i="6"/>
  <c r="AP101" i="6"/>
  <c r="AP102" i="6"/>
  <c r="AP103" i="6"/>
  <c r="AP104" i="6"/>
  <c r="AP105" i="6"/>
  <c r="AP106" i="6"/>
  <c r="AP107" i="6"/>
  <c r="AP108" i="6"/>
  <c r="AP109" i="6"/>
  <c r="AP110" i="6"/>
  <c r="AP111" i="6"/>
  <c r="AP112" i="6"/>
  <c r="AP113" i="6"/>
  <c r="AP114" i="6"/>
  <c r="AP115" i="6"/>
  <c r="AP116" i="6"/>
  <c r="AP117" i="6"/>
  <c r="AP118" i="6"/>
  <c r="AP119" i="6"/>
  <c r="AP120" i="6"/>
  <c r="AP121" i="6"/>
  <c r="AP122" i="6"/>
  <c r="AP123" i="6"/>
  <c r="AP124" i="6"/>
  <c r="AP125" i="6"/>
  <c r="AP126" i="6"/>
  <c r="AP127" i="6"/>
  <c r="AP128" i="6"/>
  <c r="AP129" i="6"/>
  <c r="AP130" i="6"/>
  <c r="AP131" i="6"/>
  <c r="AP132" i="6"/>
  <c r="AP133" i="6"/>
  <c r="AP134" i="6"/>
  <c r="AP135" i="6"/>
  <c r="AP136" i="6"/>
  <c r="AP137" i="6"/>
  <c r="AP138" i="6"/>
  <c r="AP139" i="6"/>
  <c r="AP140" i="6"/>
  <c r="AP141" i="6"/>
  <c r="AP142" i="6"/>
  <c r="AP143" i="6"/>
  <c r="AP144" i="6"/>
  <c r="AP145" i="6"/>
  <c r="AP146" i="6"/>
  <c r="AP147" i="6"/>
  <c r="AP148" i="6"/>
  <c r="AP149" i="6"/>
  <c r="AP150" i="6"/>
  <c r="AP151" i="6"/>
  <c r="AP152" i="6"/>
  <c r="AP153" i="6"/>
  <c r="AP154" i="6"/>
  <c r="AP155" i="6"/>
  <c r="AP156" i="6"/>
  <c r="AP157" i="6"/>
  <c r="AP158" i="6"/>
  <c r="AP159" i="6"/>
  <c r="AP160" i="6"/>
  <c r="AP161" i="6"/>
  <c r="AP162" i="6"/>
  <c r="AP163" i="6"/>
  <c r="AP164" i="6"/>
  <c r="AP165" i="6"/>
  <c r="AP166" i="6"/>
  <c r="AP167" i="6"/>
  <c r="AP168" i="6"/>
  <c r="AP169" i="6"/>
  <c r="AP170" i="6"/>
  <c r="AP171" i="6"/>
  <c r="AP172" i="6"/>
  <c r="AP173" i="6"/>
  <c r="AP174" i="6"/>
  <c r="AP175" i="6"/>
  <c r="AP176" i="6"/>
  <c r="AP177" i="6"/>
  <c r="AP178" i="6"/>
  <c r="AP179" i="6"/>
  <c r="AP180" i="6"/>
  <c r="AP181" i="6"/>
  <c r="AP182" i="6"/>
  <c r="AP183" i="6"/>
  <c r="AP184" i="6"/>
  <c r="AP185" i="6"/>
  <c r="AP186" i="6"/>
  <c r="AP187" i="6"/>
  <c r="AP188" i="6"/>
  <c r="AP189" i="6"/>
  <c r="AP190" i="6"/>
  <c r="AP191" i="6"/>
  <c r="AP192" i="6"/>
  <c r="AP193" i="6"/>
  <c r="AP194" i="6"/>
  <c r="AP195" i="6"/>
  <c r="AP196" i="6"/>
  <c r="AP197" i="6"/>
  <c r="AP198" i="6"/>
  <c r="AP199" i="6"/>
  <c r="AP200" i="6"/>
  <c r="AP201" i="6"/>
  <c r="AP202" i="6"/>
  <c r="AP203" i="6"/>
  <c r="AP204" i="6"/>
  <c r="AP205" i="6"/>
  <c r="AP206" i="6"/>
  <c r="AP207" i="6"/>
  <c r="AP208" i="6"/>
  <c r="AP209" i="6"/>
  <c r="AP210" i="6"/>
  <c r="AP211" i="6"/>
  <c r="AP212" i="6"/>
  <c r="AP213" i="6"/>
  <c r="AP214" i="6"/>
  <c r="AP215" i="6"/>
  <c r="AP216" i="6"/>
  <c r="AP217" i="6"/>
  <c r="AP218" i="6"/>
  <c r="AP219" i="6"/>
  <c r="AP220" i="6"/>
  <c r="AP221" i="6"/>
  <c r="AP222" i="6"/>
  <c r="AP223" i="6"/>
  <c r="AP224" i="6"/>
  <c r="AP225" i="6"/>
  <c r="AP226" i="6"/>
  <c r="AP227" i="6"/>
  <c r="AP228" i="6"/>
  <c r="AP229" i="6"/>
  <c r="AP230" i="6"/>
  <c r="AP231" i="6"/>
  <c r="AP232" i="6"/>
  <c r="AP233" i="6"/>
  <c r="AP234" i="6"/>
  <c r="AP235" i="6"/>
  <c r="AP236" i="6"/>
  <c r="AP237" i="6"/>
  <c r="AP238" i="6"/>
  <c r="AP239" i="6"/>
  <c r="AP240" i="6"/>
  <c r="AP241" i="6"/>
  <c r="AP242" i="6"/>
  <c r="AP243" i="6"/>
  <c r="AP244" i="6"/>
  <c r="AP245" i="6"/>
  <c r="AP246" i="6"/>
  <c r="AP247" i="6"/>
  <c r="AP248" i="6"/>
  <c r="AP249" i="6"/>
  <c r="AP250" i="6"/>
  <c r="AP251" i="6"/>
  <c r="AP252" i="6"/>
  <c r="AP253" i="6"/>
  <c r="AP254" i="6"/>
  <c r="AP255" i="6"/>
  <c r="AP256" i="6"/>
  <c r="AP257" i="6"/>
  <c r="AP258" i="6"/>
  <c r="AP259" i="6"/>
  <c r="AP260" i="6"/>
  <c r="AP261" i="6"/>
  <c r="AP262" i="6"/>
  <c r="AP263" i="6"/>
  <c r="AP264" i="6"/>
  <c r="AP265" i="6"/>
  <c r="AP266" i="6"/>
  <c r="AP267" i="6"/>
  <c r="AP268" i="6"/>
  <c r="AP269" i="6"/>
  <c r="AP270" i="6"/>
  <c r="AP271" i="6"/>
  <c r="AP272" i="6"/>
  <c r="AP273" i="6"/>
  <c r="AP274" i="6"/>
  <c r="AP275" i="6"/>
  <c r="AP276" i="6"/>
  <c r="AP277" i="6"/>
  <c r="AP278" i="6"/>
  <c r="AP279" i="6"/>
  <c r="AP280" i="6"/>
  <c r="AP281" i="6"/>
  <c r="AP282" i="6"/>
  <c r="AP283" i="6"/>
  <c r="AP284" i="6"/>
  <c r="AP285" i="6"/>
  <c r="AP286" i="6"/>
  <c r="AP287" i="6"/>
  <c r="AP288" i="6"/>
  <c r="AP289" i="6"/>
  <c r="AP290" i="6"/>
  <c r="AP291" i="6"/>
  <c r="AP292" i="6"/>
  <c r="AP293" i="6"/>
  <c r="AP294" i="6"/>
  <c r="AP295" i="6"/>
  <c r="AP296" i="6"/>
  <c r="AP297" i="6"/>
  <c r="AP298" i="6"/>
  <c r="AP299" i="6"/>
  <c r="AP300" i="6"/>
  <c r="AP301" i="6"/>
  <c r="AP302" i="6"/>
  <c r="AP303" i="6"/>
  <c r="AP304" i="6"/>
  <c r="AP305" i="6"/>
  <c r="AP306" i="6"/>
  <c r="AP307" i="6"/>
  <c r="AP308" i="6"/>
  <c r="AP309" i="6"/>
  <c r="AP310" i="6"/>
  <c r="AP311" i="6"/>
  <c r="AP312" i="6"/>
  <c r="AP313" i="6"/>
  <c r="AP314" i="6"/>
  <c r="AP315" i="6"/>
  <c r="AP316" i="6"/>
  <c r="AP317" i="6"/>
  <c r="AP318" i="6"/>
  <c r="AP319" i="6"/>
  <c r="AP320" i="6"/>
  <c r="AP321" i="6"/>
  <c r="AP322" i="6"/>
  <c r="AP323" i="6"/>
  <c r="AP324" i="6"/>
  <c r="AP325" i="6"/>
  <c r="AP326" i="6"/>
  <c r="AP327" i="6"/>
  <c r="AP328" i="6"/>
  <c r="AP329" i="6"/>
  <c r="AP330" i="6"/>
  <c r="AP331" i="6"/>
  <c r="AP332" i="6"/>
  <c r="AP333" i="6"/>
  <c r="AP334" i="6"/>
  <c r="AP335" i="6"/>
  <c r="AP336" i="6"/>
  <c r="AP337" i="6"/>
  <c r="AP338" i="6"/>
  <c r="AP339" i="6"/>
  <c r="AP340" i="6"/>
  <c r="AP341" i="6"/>
  <c r="AP342" i="6"/>
  <c r="AP343" i="6"/>
  <c r="AP344" i="6"/>
  <c r="AP345" i="6"/>
  <c r="AP346" i="6"/>
  <c r="AP347" i="6"/>
  <c r="AP348" i="6"/>
  <c r="AP349" i="6"/>
  <c r="AP350" i="6"/>
  <c r="AP351" i="6"/>
  <c r="AP352" i="6"/>
  <c r="AP353" i="6"/>
  <c r="AP354" i="6"/>
  <c r="AP355" i="6"/>
  <c r="AP356" i="6"/>
  <c r="AP357" i="6"/>
  <c r="AP358" i="6"/>
  <c r="AP359" i="6"/>
  <c r="AP360" i="6"/>
  <c r="AP361" i="6"/>
  <c r="AP362" i="6"/>
  <c r="AP363" i="6"/>
  <c r="AP364" i="6"/>
  <c r="AP365" i="6"/>
  <c r="AP366" i="6"/>
  <c r="AP367" i="6"/>
  <c r="AP368" i="6"/>
  <c r="AP369" i="6"/>
  <c r="AP370" i="6"/>
  <c r="AP371" i="6"/>
  <c r="AP372" i="6"/>
  <c r="AP373" i="6"/>
  <c r="AP374" i="6"/>
  <c r="AP375" i="6"/>
  <c r="AP376" i="6"/>
  <c r="AP377" i="6"/>
  <c r="AP378" i="6"/>
  <c r="AP379" i="6"/>
  <c r="AP380" i="6"/>
  <c r="AP381" i="6"/>
  <c r="AP382" i="6"/>
  <c r="AP383" i="6"/>
  <c r="AP384" i="6"/>
  <c r="AP385" i="6"/>
  <c r="AP386" i="6"/>
  <c r="AP387" i="6"/>
  <c r="AP388" i="6"/>
  <c r="AP389" i="6"/>
  <c r="AP390" i="6"/>
  <c r="AP391" i="6"/>
  <c r="AP392" i="6"/>
  <c r="AP393" i="6"/>
  <c r="AP394" i="6"/>
  <c r="AP395" i="6"/>
  <c r="AP396" i="6"/>
  <c r="AP397" i="6"/>
  <c r="AP398" i="6"/>
  <c r="AP399" i="6"/>
  <c r="AP400" i="6"/>
  <c r="AP401" i="6"/>
  <c r="AP402" i="6"/>
  <c r="AP403" i="6"/>
  <c r="AP404" i="6"/>
  <c r="AP405" i="6"/>
  <c r="AP406" i="6"/>
  <c r="AP407" i="6"/>
  <c r="AP408" i="6"/>
  <c r="AP409" i="6"/>
  <c r="AP410" i="6"/>
  <c r="AP411" i="6"/>
  <c r="AP412" i="6"/>
  <c r="AP413" i="6"/>
  <c r="AP414" i="6"/>
  <c r="AP415" i="6"/>
  <c r="AP416" i="6"/>
  <c r="AP417" i="6"/>
  <c r="AP418" i="6"/>
  <c r="AP419" i="6"/>
  <c r="AP420" i="6"/>
  <c r="AP421" i="6"/>
  <c r="AP422" i="6"/>
  <c r="AP423" i="6"/>
  <c r="AP424" i="6"/>
  <c r="AP425" i="6"/>
  <c r="AP426" i="6"/>
  <c r="AP427" i="6"/>
  <c r="AP428" i="6"/>
  <c r="AP429" i="6"/>
  <c r="AP430" i="6"/>
  <c r="AP431" i="6"/>
  <c r="AP432" i="6"/>
  <c r="AP433" i="6"/>
  <c r="AP434" i="6"/>
  <c r="AP435" i="6"/>
  <c r="AP436" i="6"/>
  <c r="AP437" i="6"/>
  <c r="AP438" i="6"/>
  <c r="AP439" i="6"/>
  <c r="AP440" i="6"/>
  <c r="AP441" i="6"/>
  <c r="AP442" i="6"/>
  <c r="AP443" i="6"/>
  <c r="AP444" i="6"/>
  <c r="AP445" i="6"/>
  <c r="AP446" i="6"/>
  <c r="AP447" i="6"/>
  <c r="AP448" i="6"/>
  <c r="AP449" i="6"/>
  <c r="AP450" i="6"/>
  <c r="AP451" i="6"/>
  <c r="AP452" i="6"/>
  <c r="AP453" i="6"/>
  <c r="AP454" i="6"/>
  <c r="AP455" i="6"/>
  <c r="AP456" i="6"/>
  <c r="AP457" i="6"/>
  <c r="AP458" i="6"/>
  <c r="AP459" i="6"/>
  <c r="AP460" i="6"/>
  <c r="AP461" i="6"/>
  <c r="AP462" i="6"/>
  <c r="AP463" i="6"/>
  <c r="AP464" i="6"/>
  <c r="AP465" i="6"/>
  <c r="AP466" i="6"/>
  <c r="AP467" i="6"/>
  <c r="AP468" i="6"/>
  <c r="AP469" i="6"/>
  <c r="AP470" i="6"/>
  <c r="AP471" i="6"/>
  <c r="AP472" i="6"/>
  <c r="AP473" i="6"/>
  <c r="AP474" i="6"/>
  <c r="AP475" i="6"/>
  <c r="AP476" i="6"/>
  <c r="AP477" i="6"/>
  <c r="AP478" i="6"/>
  <c r="AP479" i="6"/>
  <c r="AP480" i="6"/>
  <c r="AP481" i="6"/>
  <c r="AP482" i="6"/>
  <c r="AP483" i="6"/>
  <c r="AP484" i="6"/>
  <c r="AP485" i="6"/>
  <c r="AP486" i="6"/>
  <c r="AP487" i="6"/>
  <c r="AP488" i="6"/>
  <c r="AP489" i="6"/>
  <c r="AP490" i="6"/>
  <c r="AP491" i="6"/>
  <c r="AP492" i="6"/>
  <c r="AP493" i="6"/>
  <c r="AP494" i="6"/>
  <c r="AP495" i="6"/>
  <c r="AP496" i="6"/>
  <c r="AP497" i="6"/>
  <c r="AP498" i="6"/>
  <c r="AP499" i="6"/>
  <c r="AP500" i="6"/>
  <c r="AP501" i="6"/>
  <c r="AP502" i="6"/>
  <c r="AP503" i="6"/>
  <c r="AP504" i="6"/>
  <c r="AP505" i="6"/>
  <c r="AP506" i="6"/>
  <c r="AP507" i="6"/>
  <c r="AP508" i="6"/>
  <c r="AP509" i="6"/>
  <c r="AP510" i="6"/>
  <c r="AP511" i="6"/>
  <c r="AP512" i="6"/>
  <c r="AP513" i="6"/>
  <c r="AP514" i="6"/>
  <c r="AP515" i="6"/>
  <c r="AP516" i="6"/>
  <c r="AP517" i="6"/>
  <c r="AP518" i="6"/>
  <c r="AP519" i="6"/>
  <c r="AP520" i="6"/>
  <c r="AP521" i="6"/>
  <c r="AP522" i="6"/>
  <c r="AP523" i="6"/>
  <c r="AP524" i="6"/>
  <c r="AP525" i="6"/>
  <c r="AP526" i="6"/>
  <c r="AP527" i="6"/>
  <c r="AP528" i="6"/>
  <c r="AP529" i="6"/>
  <c r="AP530" i="6"/>
  <c r="AP531" i="6"/>
  <c r="AP532" i="6"/>
  <c r="AP533" i="6"/>
  <c r="AP534" i="6"/>
  <c r="AP535" i="6"/>
  <c r="AP536" i="6"/>
  <c r="AP537" i="6"/>
  <c r="AP538" i="6"/>
  <c r="AP539" i="6"/>
  <c r="AP540" i="6"/>
  <c r="AP541" i="6"/>
  <c r="AP542" i="6"/>
  <c r="AP543" i="6"/>
  <c r="AP544" i="6"/>
  <c r="AP545" i="6"/>
  <c r="AP546" i="6"/>
  <c r="AP547" i="6"/>
  <c r="AP548" i="6"/>
  <c r="AP549" i="6"/>
  <c r="AP550" i="6"/>
  <c r="AP551" i="6"/>
  <c r="AP552" i="6"/>
  <c r="AP553" i="6"/>
  <c r="AP554" i="6"/>
  <c r="AP555" i="6"/>
  <c r="AP556" i="6"/>
  <c r="AP557" i="6"/>
  <c r="AP558" i="6"/>
  <c r="AP559" i="6"/>
  <c r="AP560" i="6"/>
  <c r="AP561" i="6"/>
  <c r="AP562" i="6"/>
  <c r="AP563" i="6"/>
  <c r="AP564" i="6"/>
  <c r="AP565" i="6"/>
  <c r="AP566" i="6"/>
  <c r="AP567" i="6"/>
  <c r="AP568" i="6"/>
  <c r="AP569" i="6"/>
  <c r="AP570" i="6"/>
  <c r="AP571" i="6"/>
  <c r="AP572" i="6"/>
  <c r="AP573" i="6"/>
  <c r="AP574" i="6"/>
  <c r="AP575" i="6"/>
  <c r="AP576" i="6"/>
  <c r="AP577" i="6"/>
  <c r="AP578" i="6"/>
  <c r="AP579" i="6"/>
  <c r="AP580" i="6"/>
  <c r="AP581" i="6"/>
  <c r="AP582" i="6"/>
  <c r="AP583" i="6"/>
  <c r="AP584" i="6"/>
  <c r="AP585" i="6"/>
  <c r="AP586" i="6"/>
  <c r="AP587" i="6"/>
  <c r="AP588" i="6"/>
  <c r="AP589" i="6"/>
  <c r="AP590" i="6"/>
  <c r="AP591" i="6"/>
  <c r="AP592" i="6"/>
  <c r="AP593" i="6"/>
  <c r="AP594" i="6"/>
  <c r="AP595" i="6"/>
  <c r="AP596" i="6"/>
  <c r="AP597" i="6"/>
  <c r="AP598" i="6"/>
  <c r="AP599" i="6"/>
  <c r="AP600" i="6"/>
  <c r="AP601" i="6"/>
  <c r="AP602" i="6"/>
  <c r="AP603" i="6"/>
  <c r="AP604" i="6"/>
  <c r="AP605" i="6"/>
  <c r="AP606" i="6"/>
  <c r="AP607" i="6"/>
  <c r="AP608" i="6"/>
  <c r="AP609" i="6"/>
  <c r="AP610" i="6"/>
  <c r="AP611" i="6"/>
  <c r="AP612" i="6"/>
  <c r="AP613" i="6"/>
  <c r="AP614" i="6"/>
  <c r="AP615" i="6"/>
  <c r="AP616" i="6"/>
  <c r="AP617" i="6"/>
  <c r="AP618" i="6"/>
  <c r="AP619" i="6"/>
  <c r="AP620" i="6"/>
  <c r="AP621" i="6"/>
  <c r="AP622" i="6"/>
  <c r="AP623" i="6"/>
  <c r="AP624" i="6"/>
  <c r="AP625" i="6"/>
  <c r="AP626" i="6"/>
  <c r="AP627" i="6"/>
  <c r="AP628" i="6"/>
  <c r="AP629" i="6"/>
  <c r="AP630" i="6"/>
  <c r="AP631" i="6"/>
  <c r="AP632" i="6"/>
  <c r="AP633" i="6"/>
  <c r="AP634" i="6"/>
  <c r="AP635" i="6"/>
  <c r="AP636" i="6"/>
  <c r="AP637" i="6"/>
  <c r="AP638" i="6"/>
  <c r="AP639" i="6"/>
  <c r="AP640" i="6"/>
  <c r="AP641" i="6"/>
  <c r="AP642" i="6"/>
  <c r="AP643" i="6"/>
  <c r="AP644" i="6"/>
  <c r="AP645" i="6"/>
  <c r="AP646" i="6"/>
  <c r="AP647" i="6"/>
  <c r="AP648" i="6"/>
  <c r="AP649" i="6"/>
  <c r="AP650" i="6"/>
  <c r="AP651" i="6"/>
  <c r="AP652" i="6"/>
  <c r="AP653" i="6"/>
  <c r="AP654" i="6"/>
  <c r="AP655" i="6"/>
  <c r="AP656" i="6"/>
  <c r="AP657" i="6"/>
  <c r="AP658" i="6"/>
  <c r="AP659" i="6"/>
  <c r="AP660" i="6"/>
  <c r="AP661" i="6"/>
  <c r="AP662" i="6"/>
  <c r="AP663" i="6"/>
  <c r="AP664" i="6"/>
  <c r="AP665" i="6"/>
  <c r="AP666" i="6"/>
  <c r="AP667" i="6"/>
  <c r="AP668" i="6"/>
  <c r="AP669" i="6"/>
  <c r="AP670" i="6"/>
  <c r="AP671" i="6"/>
  <c r="AP672" i="6"/>
  <c r="AP673" i="6"/>
  <c r="AP674" i="6"/>
  <c r="AP675" i="6"/>
  <c r="AP676" i="6"/>
  <c r="AP677" i="6"/>
  <c r="AP678" i="6"/>
  <c r="AP679" i="6"/>
  <c r="AP680" i="6"/>
  <c r="AP681" i="6"/>
  <c r="AP682" i="6"/>
  <c r="AP683" i="6"/>
  <c r="AP684" i="6"/>
  <c r="AP685" i="6"/>
  <c r="AP686" i="6"/>
  <c r="AP687" i="6"/>
  <c r="AP688" i="6"/>
  <c r="AP689" i="6"/>
  <c r="AP690" i="6"/>
  <c r="AP691" i="6"/>
  <c r="AP692" i="6"/>
  <c r="AP693" i="6"/>
  <c r="AP694" i="6"/>
  <c r="AP695" i="6"/>
  <c r="AP696" i="6"/>
  <c r="AP697" i="6"/>
  <c r="AP698" i="6"/>
  <c r="AP699" i="6"/>
  <c r="AP700" i="6"/>
  <c r="AP701" i="6"/>
  <c r="AP702" i="6"/>
  <c r="AP703" i="6"/>
  <c r="AP704" i="6"/>
  <c r="AP705" i="6"/>
  <c r="AP706" i="6"/>
  <c r="AP707" i="6"/>
  <c r="AP708" i="6"/>
  <c r="AP709" i="6"/>
  <c r="AP710" i="6"/>
  <c r="AP711" i="6"/>
  <c r="AP712" i="6"/>
  <c r="AP713" i="6"/>
  <c r="AP714" i="6"/>
  <c r="AP715" i="6"/>
  <c r="AP716" i="6"/>
  <c r="AP717" i="6"/>
  <c r="AP718" i="6"/>
  <c r="AP719" i="6"/>
  <c r="AP720" i="6"/>
  <c r="AP721" i="6"/>
  <c r="AP722" i="6"/>
  <c r="AP723" i="6"/>
  <c r="AP724" i="6"/>
  <c r="AP725" i="6"/>
  <c r="AP726" i="6"/>
  <c r="AP727" i="6"/>
  <c r="AP728" i="6"/>
  <c r="AP729" i="6"/>
  <c r="AP730" i="6"/>
  <c r="AP731" i="6"/>
  <c r="AP732" i="6"/>
  <c r="AP733" i="6"/>
  <c r="AP734" i="6"/>
  <c r="AP735" i="6"/>
  <c r="AP736" i="6"/>
  <c r="AP737" i="6"/>
  <c r="AP738" i="6"/>
  <c r="AP739" i="6"/>
  <c r="AP740" i="6"/>
  <c r="AP741" i="6"/>
  <c r="AP742" i="6"/>
  <c r="AP743" i="6"/>
  <c r="AP744" i="6"/>
  <c r="AP745" i="6"/>
  <c r="AP746" i="6"/>
  <c r="AP747" i="6"/>
  <c r="AP748" i="6"/>
  <c r="AP749" i="6"/>
  <c r="AP750" i="6"/>
  <c r="AP751" i="6"/>
  <c r="AP752" i="6"/>
  <c r="AP753" i="6"/>
  <c r="AP754" i="6"/>
  <c r="AP755" i="6"/>
  <c r="AP756" i="6"/>
  <c r="AP757" i="6"/>
  <c r="AP758" i="6"/>
  <c r="AP759" i="6"/>
  <c r="AP760" i="6"/>
  <c r="AP761" i="6"/>
  <c r="AP762" i="6"/>
  <c r="AP763" i="6"/>
  <c r="AP764" i="6"/>
  <c r="AP765" i="6"/>
  <c r="AP766" i="6"/>
  <c r="AP767" i="6"/>
  <c r="AP768" i="6"/>
  <c r="AP769" i="6"/>
  <c r="AP770" i="6"/>
  <c r="AP771" i="6"/>
  <c r="AP772" i="6"/>
  <c r="AP773" i="6"/>
  <c r="AP774" i="6"/>
  <c r="AP775" i="6"/>
  <c r="AP776" i="6"/>
  <c r="AP777" i="6"/>
  <c r="AP778" i="6"/>
  <c r="AP779" i="6"/>
  <c r="AP780" i="6"/>
  <c r="AP781" i="6"/>
  <c r="AP782" i="6"/>
  <c r="AP783" i="6"/>
  <c r="AP784" i="6"/>
  <c r="AP785" i="6"/>
  <c r="AP786" i="6"/>
  <c r="AP787" i="6"/>
  <c r="AP788" i="6"/>
  <c r="AP789" i="6"/>
  <c r="AP790" i="6"/>
  <c r="AP791" i="6"/>
  <c r="AP792" i="6"/>
  <c r="AP793" i="6"/>
  <c r="AP794" i="6"/>
  <c r="AP795" i="6"/>
  <c r="AP796" i="6"/>
  <c r="AP797" i="6"/>
  <c r="AP798" i="6"/>
  <c r="AP799" i="6"/>
  <c r="AP800" i="6"/>
  <c r="AP801" i="6"/>
  <c r="AP802" i="6"/>
  <c r="AP803" i="6"/>
  <c r="AP804" i="6"/>
  <c r="AP805" i="6"/>
  <c r="AP806" i="6"/>
  <c r="AP807" i="6"/>
  <c r="AP808" i="6"/>
  <c r="AP809" i="6"/>
  <c r="AP810" i="6"/>
  <c r="AP811" i="6"/>
  <c r="AP812" i="6"/>
  <c r="AP813" i="6"/>
  <c r="AP814" i="6"/>
  <c r="AP815" i="6"/>
  <c r="AP816" i="6"/>
  <c r="AP817" i="6"/>
  <c r="AP818" i="6"/>
  <c r="AP819" i="6"/>
  <c r="AP820" i="6"/>
  <c r="AP821" i="6"/>
  <c r="AP822" i="6"/>
  <c r="AP823" i="6"/>
  <c r="AP824" i="6"/>
  <c r="AP825" i="6"/>
  <c r="AP826" i="6"/>
  <c r="AP827" i="6"/>
  <c r="AP828" i="6"/>
  <c r="AP829" i="6"/>
  <c r="AP830" i="6"/>
  <c r="AP831" i="6"/>
  <c r="AP832" i="6"/>
  <c r="AP833" i="6"/>
  <c r="AP834" i="6"/>
  <c r="AP835" i="6"/>
  <c r="AP836" i="6"/>
  <c r="AP837" i="6"/>
  <c r="AP838" i="6"/>
  <c r="AP839" i="6"/>
  <c r="AP840" i="6"/>
  <c r="AP841" i="6"/>
  <c r="AP842" i="6"/>
  <c r="AP843" i="6"/>
  <c r="AP844" i="6"/>
  <c r="AP845" i="6"/>
  <c r="AP846" i="6"/>
  <c r="AP847" i="6"/>
  <c r="AP848" i="6"/>
  <c r="AP849" i="6"/>
  <c r="AP850" i="6"/>
  <c r="AP851" i="6"/>
  <c r="AP852" i="6"/>
  <c r="AP853" i="6"/>
  <c r="AP854" i="6"/>
  <c r="AP855" i="6"/>
  <c r="AP856" i="6"/>
  <c r="AP857" i="6"/>
  <c r="AP858" i="6"/>
  <c r="AP859" i="6"/>
  <c r="AP860" i="6"/>
  <c r="AP861" i="6"/>
  <c r="AP862" i="6"/>
  <c r="AP863" i="6"/>
  <c r="AP864" i="6"/>
  <c r="AP865" i="6"/>
  <c r="AP866" i="6"/>
  <c r="AP867" i="6"/>
  <c r="AP868" i="6"/>
  <c r="AP869" i="6"/>
  <c r="AP870" i="6"/>
  <c r="AP871" i="6"/>
  <c r="AP872" i="6"/>
  <c r="AP873" i="6"/>
  <c r="AP874" i="6"/>
  <c r="AP875" i="6"/>
  <c r="AP876" i="6"/>
  <c r="AP877" i="6"/>
  <c r="AP878" i="6"/>
  <c r="AP879" i="6"/>
  <c r="AP880" i="6"/>
  <c r="AP881" i="6"/>
  <c r="AP882" i="6"/>
  <c r="AP883" i="6"/>
  <c r="AP884" i="6"/>
  <c r="AP885" i="6"/>
  <c r="AP886" i="6"/>
  <c r="AP887" i="6"/>
  <c r="AP888" i="6"/>
  <c r="AP889" i="6"/>
  <c r="AP890" i="6"/>
  <c r="AP891" i="6"/>
  <c r="AP892" i="6"/>
  <c r="AP893" i="6"/>
  <c r="AP894" i="6"/>
  <c r="AP895" i="6"/>
  <c r="AP896" i="6"/>
  <c r="AP897" i="6"/>
  <c r="AP898" i="6"/>
  <c r="AP899" i="6"/>
  <c r="AP900" i="6"/>
  <c r="AP901" i="6"/>
  <c r="AP902" i="6"/>
  <c r="AP903" i="6"/>
  <c r="AP904" i="6"/>
  <c r="AP905" i="6"/>
  <c r="AP906" i="6"/>
  <c r="AP907" i="6"/>
  <c r="AP908" i="6"/>
  <c r="AP909" i="6"/>
  <c r="AP910" i="6"/>
  <c r="AP911" i="6"/>
  <c r="AP912" i="6"/>
  <c r="AP913" i="6"/>
  <c r="AP914" i="6"/>
  <c r="AP915" i="6"/>
  <c r="AP916" i="6"/>
  <c r="AP917" i="6"/>
  <c r="AP918" i="6"/>
  <c r="AP919" i="6"/>
  <c r="AP920" i="6"/>
  <c r="AP921" i="6"/>
  <c r="AP922" i="6"/>
  <c r="AP923" i="6"/>
  <c r="AP924" i="6"/>
  <c r="AP925" i="6"/>
  <c r="AP926" i="6"/>
  <c r="AP927" i="6"/>
  <c r="AP928" i="6"/>
  <c r="AP929" i="6"/>
  <c r="AP930" i="6"/>
  <c r="AP931" i="6"/>
  <c r="AP932" i="6"/>
  <c r="AP933" i="6"/>
  <c r="AP934" i="6"/>
  <c r="AP935" i="6"/>
  <c r="AP936" i="6"/>
  <c r="AP937" i="6"/>
  <c r="AP938" i="6"/>
  <c r="AP939" i="6"/>
  <c r="AP940" i="6"/>
  <c r="AP941" i="6"/>
  <c r="AP942" i="6"/>
  <c r="AP943" i="6"/>
  <c r="AP944" i="6"/>
  <c r="AP945" i="6"/>
  <c r="AP946" i="6"/>
  <c r="AP947" i="6"/>
  <c r="AP948" i="6"/>
  <c r="AP949" i="6"/>
  <c r="AP950" i="6"/>
  <c r="AP951" i="6"/>
  <c r="AP952" i="6"/>
  <c r="AP953" i="6"/>
  <c r="AP954" i="6"/>
  <c r="AP955" i="6"/>
  <c r="AP956" i="6"/>
  <c r="AP957" i="6"/>
  <c r="AP958" i="6"/>
  <c r="AP959" i="6"/>
  <c r="AP960" i="6"/>
  <c r="AP961" i="6"/>
  <c r="AP962" i="6"/>
  <c r="AP963" i="6"/>
  <c r="AP964" i="6"/>
  <c r="AP965" i="6"/>
  <c r="AP966" i="6"/>
  <c r="AP967" i="6"/>
  <c r="AP968" i="6"/>
  <c r="AP969" i="6"/>
  <c r="AP970" i="6"/>
  <c r="AP971" i="6"/>
  <c r="AP972" i="6"/>
  <c r="AP973" i="6"/>
  <c r="AP974" i="6"/>
  <c r="AP975" i="6"/>
  <c r="AP976" i="6"/>
  <c r="AP977" i="6"/>
  <c r="AP978" i="6"/>
  <c r="AP979" i="6"/>
  <c r="AP980" i="6"/>
  <c r="AP981" i="6"/>
  <c r="AP982" i="6"/>
  <c r="AP983" i="6"/>
  <c r="AP984" i="6"/>
  <c r="AP985" i="6"/>
  <c r="AP986" i="6"/>
  <c r="AP987" i="6"/>
  <c r="AP988" i="6"/>
  <c r="AP989" i="6"/>
  <c r="AP990" i="6"/>
  <c r="AP991" i="6"/>
  <c r="AP992" i="6"/>
  <c r="AP993" i="6"/>
  <c r="AP994" i="6"/>
  <c r="AP995" i="6"/>
  <c r="AP996" i="6"/>
  <c r="AP997" i="6"/>
  <c r="AP998" i="6"/>
  <c r="AP999" i="6"/>
  <c r="AP1000" i="6"/>
  <c r="AF10" i="6"/>
  <c r="AG10" i="6"/>
  <c r="AH10" i="6" s="1"/>
  <c r="AJ10" i="6" s="1"/>
  <c r="AK10" i="6" s="1"/>
  <c r="AF11" i="6"/>
  <c r="AG11" i="6"/>
  <c r="AI11" i="6" s="1"/>
  <c r="AF12" i="6"/>
  <c r="AG12" i="6"/>
  <c r="AH12" i="6" s="1"/>
  <c r="AJ12" i="6" s="1"/>
  <c r="AK12" i="6" s="1"/>
  <c r="AF13" i="6"/>
  <c r="AG13" i="6"/>
  <c r="AI13" i="6" s="1"/>
  <c r="AF14" i="6"/>
  <c r="AG14" i="6"/>
  <c r="AH14" i="6" s="1"/>
  <c r="AJ14" i="6" s="1"/>
  <c r="AK14" i="6" s="1"/>
  <c r="AF15" i="6"/>
  <c r="AG15" i="6"/>
  <c r="AI15" i="6" s="1"/>
  <c r="AH15" i="6"/>
  <c r="AJ15" i="6" s="1"/>
  <c r="AK15" i="6" s="1"/>
  <c r="AL15" i="6"/>
  <c r="AF16" i="6"/>
  <c r="AG16" i="6"/>
  <c r="AF17" i="6"/>
  <c r="AG17" i="6"/>
  <c r="AH17" i="6"/>
  <c r="AI17" i="6"/>
  <c r="AJ17" i="6"/>
  <c r="AK17" i="6" s="1"/>
  <c r="AL17" i="6"/>
  <c r="AF18" i="6"/>
  <c r="AG18" i="6"/>
  <c r="AF19" i="6"/>
  <c r="AG19" i="6"/>
  <c r="AI19" i="6" s="1"/>
  <c r="AH19" i="6"/>
  <c r="AJ19" i="6" s="1"/>
  <c r="AK19" i="6"/>
  <c r="AL19" i="6" s="1"/>
  <c r="AF20" i="6"/>
  <c r="AG20" i="6"/>
  <c r="AH20" i="6"/>
  <c r="AJ20" i="6" s="1"/>
  <c r="AK20" i="6" s="1"/>
  <c r="AI20" i="6"/>
  <c r="AF21" i="6"/>
  <c r="AG21" i="6"/>
  <c r="AH21" i="6"/>
  <c r="AJ21" i="6" s="1"/>
  <c r="AK21" i="6" s="1"/>
  <c r="AL21" i="6" s="1"/>
  <c r="AI21" i="6"/>
  <c r="AF22" i="6"/>
  <c r="AG22" i="6"/>
  <c r="AH22" i="6" s="1"/>
  <c r="AI22" i="6"/>
  <c r="AL22" i="6" s="1"/>
  <c r="AJ22" i="6"/>
  <c r="AK22" i="6"/>
  <c r="AF23" i="6"/>
  <c r="AG23" i="6"/>
  <c r="AF24" i="6"/>
  <c r="AG24" i="6"/>
  <c r="AH24" i="6" s="1"/>
  <c r="AJ24" i="6" s="1"/>
  <c r="AK24" i="6" s="1"/>
  <c r="AI24" i="6"/>
  <c r="AL24" i="6" s="1"/>
  <c r="AF25" i="6"/>
  <c r="AG25" i="6"/>
  <c r="AH25" i="6"/>
  <c r="AJ25" i="6" s="1"/>
  <c r="AK25" i="6" s="1"/>
  <c r="AL25" i="6" s="1"/>
  <c r="AI25" i="6"/>
  <c r="AF26" i="6"/>
  <c r="AG26" i="6"/>
  <c r="AF27" i="6"/>
  <c r="AG27" i="6"/>
  <c r="AI27" i="6" s="1"/>
  <c r="AH27" i="6"/>
  <c r="AJ27" i="6" s="1"/>
  <c r="AK27" i="6" s="1"/>
  <c r="AL27" i="6" s="1"/>
  <c r="AF28" i="6"/>
  <c r="AG28" i="6"/>
  <c r="AI28" i="6" s="1"/>
  <c r="AH28" i="6"/>
  <c r="AJ28" i="6" s="1"/>
  <c r="AK28" i="6" s="1"/>
  <c r="AF29" i="6"/>
  <c r="AG29" i="6"/>
  <c r="AH29" i="6"/>
  <c r="AI29" i="6"/>
  <c r="AJ29" i="6"/>
  <c r="AK29" i="6" s="1"/>
  <c r="AF30" i="6"/>
  <c r="AG30" i="6"/>
  <c r="AH30" i="6" s="1"/>
  <c r="AJ30" i="6" s="1"/>
  <c r="AI30" i="6"/>
  <c r="AK30" i="6"/>
  <c r="AF31" i="6"/>
  <c r="AG31" i="6"/>
  <c r="AF32" i="6"/>
  <c r="AG32" i="6"/>
  <c r="AF33" i="6"/>
  <c r="AG33" i="6"/>
  <c r="AH33" i="6"/>
  <c r="AI33" i="6"/>
  <c r="AJ33" i="6"/>
  <c r="AK33" i="6" s="1"/>
  <c r="AL33" i="6"/>
  <c r="AF34" i="6"/>
  <c r="AG34" i="6"/>
  <c r="AF35" i="6"/>
  <c r="AG35" i="6"/>
  <c r="AI35" i="6" s="1"/>
  <c r="AH35" i="6"/>
  <c r="AJ35" i="6" s="1"/>
  <c r="AK35" i="6" s="1"/>
  <c r="AL35" i="6" s="1"/>
  <c r="AF36" i="6"/>
  <c r="AG36" i="6"/>
  <c r="AH36" i="6"/>
  <c r="AJ36" i="6" s="1"/>
  <c r="AK36" i="6" s="1"/>
  <c r="AI36" i="6"/>
  <c r="AF37" i="6"/>
  <c r="AG37" i="6"/>
  <c r="AH37" i="6"/>
  <c r="AJ37" i="6" s="1"/>
  <c r="AK37" i="6" s="1"/>
  <c r="AL37" i="6" s="1"/>
  <c r="AI37" i="6"/>
  <c r="AF38" i="6"/>
  <c r="AG38" i="6"/>
  <c r="AH38" i="6" s="1"/>
  <c r="AI38" i="6"/>
  <c r="AJ38" i="6"/>
  <c r="AK38" i="6"/>
  <c r="AF39" i="6"/>
  <c r="AG39" i="6"/>
  <c r="AF40" i="6"/>
  <c r="AG40" i="6"/>
  <c r="AF41" i="6"/>
  <c r="AG41" i="6"/>
  <c r="AH41" i="6"/>
  <c r="AJ41" i="6" s="1"/>
  <c r="AK41" i="6" s="1"/>
  <c r="AI41" i="6"/>
  <c r="AL41" i="6" s="1"/>
  <c r="AF42" i="6"/>
  <c r="AG42" i="6"/>
  <c r="AF43" i="6"/>
  <c r="AG43" i="6"/>
  <c r="AI43" i="6" s="1"/>
  <c r="AH43" i="6"/>
  <c r="AJ43" i="6" s="1"/>
  <c r="AK43" i="6"/>
  <c r="AL43" i="6" s="1"/>
  <c r="AF44" i="6"/>
  <c r="AG44" i="6"/>
  <c r="AI44" i="6" s="1"/>
  <c r="AH44" i="6"/>
  <c r="AJ44" i="6" s="1"/>
  <c r="AK44" i="6"/>
  <c r="AF45" i="6"/>
  <c r="AG45" i="6"/>
  <c r="AH45" i="6"/>
  <c r="AI45" i="6"/>
  <c r="AL45" i="6" s="1"/>
  <c r="AJ45" i="6"/>
  <c r="AK45" i="6" s="1"/>
  <c r="AF46" i="6"/>
  <c r="AG46" i="6"/>
  <c r="AH46" i="6" s="1"/>
  <c r="AJ46" i="6" s="1"/>
  <c r="AI46" i="6"/>
  <c r="AL46" i="6" s="1"/>
  <c r="AK46" i="6"/>
  <c r="AF47" i="6"/>
  <c r="AG47" i="6"/>
  <c r="AF48" i="6"/>
  <c r="AG48" i="6"/>
  <c r="AH48" i="6" s="1"/>
  <c r="AJ48" i="6" s="1"/>
  <c r="AK48" i="6" s="1"/>
  <c r="AI48" i="6"/>
  <c r="AL48" i="6" s="1"/>
  <c r="AF49" i="6"/>
  <c r="AG49" i="6"/>
  <c r="AH49" i="6"/>
  <c r="AI49" i="6"/>
  <c r="AL49" i="6" s="1"/>
  <c r="AJ49" i="6"/>
  <c r="AK49" i="6" s="1"/>
  <c r="AF50" i="6"/>
  <c r="AG50" i="6"/>
  <c r="AF51" i="6"/>
  <c r="AG51" i="6"/>
  <c r="AI51" i="6" s="1"/>
  <c r="AH51" i="6"/>
  <c r="AJ51" i="6" s="1"/>
  <c r="AK51" i="6"/>
  <c r="AL51" i="6" s="1"/>
  <c r="AF52" i="6"/>
  <c r="AG52" i="6"/>
  <c r="AH52" i="6"/>
  <c r="AJ52" i="6" s="1"/>
  <c r="AK52" i="6" s="1"/>
  <c r="AI52" i="6"/>
  <c r="AL52" i="6" s="1"/>
  <c r="AF53" i="6"/>
  <c r="AG53" i="6"/>
  <c r="AH53" i="6"/>
  <c r="AI53" i="6"/>
  <c r="AJ53" i="6"/>
  <c r="AK53" i="6" s="1"/>
  <c r="AL53" i="6" s="1"/>
  <c r="AF54" i="6"/>
  <c r="AG54" i="6"/>
  <c r="AH54" i="6" s="1"/>
  <c r="AI54" i="6"/>
  <c r="AJ54" i="6"/>
  <c r="AK54" i="6"/>
  <c r="AF55" i="6"/>
  <c r="AG55" i="6"/>
  <c r="AF56" i="6"/>
  <c r="AG56" i="6"/>
  <c r="AH56" i="6" s="1"/>
  <c r="AJ56" i="6" s="1"/>
  <c r="AK56" i="6" s="1"/>
  <c r="AI56" i="6"/>
  <c r="AL56" i="6" s="1"/>
  <c r="AF57" i="6"/>
  <c r="AG57" i="6"/>
  <c r="AH57" i="6"/>
  <c r="AJ57" i="6" s="1"/>
  <c r="AK57" i="6" s="1"/>
  <c r="AI57" i="6"/>
  <c r="AL57" i="6"/>
  <c r="AF58" i="6"/>
  <c r="AG58" i="6"/>
  <c r="AF59" i="6"/>
  <c r="AG59" i="6"/>
  <c r="AI59" i="6" s="1"/>
  <c r="AH59" i="6"/>
  <c r="AJ59" i="6" s="1"/>
  <c r="AK59" i="6" s="1"/>
  <c r="AL59" i="6" s="1"/>
  <c r="AF60" i="6"/>
  <c r="AG60" i="6"/>
  <c r="AI60" i="6" s="1"/>
  <c r="AH60" i="6"/>
  <c r="AJ60" i="6" s="1"/>
  <c r="AK60" i="6" s="1"/>
  <c r="AF61" i="6"/>
  <c r="AG61" i="6"/>
  <c r="AH61" i="6"/>
  <c r="AJ61" i="6" s="1"/>
  <c r="AK61" i="6" s="1"/>
  <c r="AI61" i="6"/>
  <c r="AF62" i="6"/>
  <c r="AG62" i="6"/>
  <c r="AH62" i="6" s="1"/>
  <c r="AJ62" i="6" s="1"/>
  <c r="AK62" i="6" s="1"/>
  <c r="AI62" i="6"/>
  <c r="AF63" i="6"/>
  <c r="AG63" i="6"/>
  <c r="AF64" i="6"/>
  <c r="AG64" i="6"/>
  <c r="AF65" i="6"/>
  <c r="AG65" i="6"/>
  <c r="AH65" i="6"/>
  <c r="AI65" i="6"/>
  <c r="AL65" i="6" s="1"/>
  <c r="AJ65" i="6"/>
  <c r="AK65" i="6" s="1"/>
  <c r="AF66" i="6"/>
  <c r="AG66" i="6"/>
  <c r="AF67" i="6"/>
  <c r="AG67" i="6"/>
  <c r="AI67" i="6" s="1"/>
  <c r="AH67" i="6"/>
  <c r="AJ67" i="6" s="1"/>
  <c r="AK67" i="6" s="1"/>
  <c r="AL67" i="6"/>
  <c r="AF68" i="6"/>
  <c r="AG68" i="6"/>
  <c r="AH68" i="6"/>
  <c r="AJ68" i="6" s="1"/>
  <c r="AI68" i="6"/>
  <c r="AL68" i="6" s="1"/>
  <c r="AK68" i="6"/>
  <c r="AF69" i="6"/>
  <c r="AG69" i="6"/>
  <c r="AH69" i="6"/>
  <c r="AJ69" i="6" s="1"/>
  <c r="AK69" i="6" s="1"/>
  <c r="AL69" i="6" s="1"/>
  <c r="AI69" i="6"/>
  <c r="AF70" i="6"/>
  <c r="AG70" i="6"/>
  <c r="AH70" i="6" s="1"/>
  <c r="AI70" i="6"/>
  <c r="AL70" i="6" s="1"/>
  <c r="AJ70" i="6"/>
  <c r="AK70" i="6"/>
  <c r="AF71" i="6"/>
  <c r="AG71" i="6"/>
  <c r="AF72" i="6"/>
  <c r="AG72" i="6"/>
  <c r="AH72" i="6" s="1"/>
  <c r="AJ72" i="6" s="1"/>
  <c r="AI72" i="6"/>
  <c r="AL72" i="6" s="1"/>
  <c r="AK72" i="6"/>
  <c r="AF73" i="6"/>
  <c r="AG73" i="6"/>
  <c r="AH73" i="6"/>
  <c r="AJ73" i="6" s="1"/>
  <c r="AK73" i="6" s="1"/>
  <c r="AI73" i="6"/>
  <c r="AL73" i="6" s="1"/>
  <c r="AF74" i="6"/>
  <c r="AG74" i="6"/>
  <c r="AF75" i="6"/>
  <c r="AG75" i="6"/>
  <c r="AI75" i="6" s="1"/>
  <c r="AH75" i="6"/>
  <c r="AJ75" i="6" s="1"/>
  <c r="AK75" i="6"/>
  <c r="AL75" i="6" s="1"/>
  <c r="AF76" i="6"/>
  <c r="AG76" i="6"/>
  <c r="AF77" i="6"/>
  <c r="AG77" i="6"/>
  <c r="AH77" i="6"/>
  <c r="AI77" i="6"/>
  <c r="AJ77" i="6"/>
  <c r="AK77" i="6" s="1"/>
  <c r="AF78" i="6"/>
  <c r="AG78" i="6"/>
  <c r="AF79" i="6"/>
  <c r="AG79" i="6"/>
  <c r="AF80" i="6"/>
  <c r="AG80" i="6"/>
  <c r="AH80" i="6"/>
  <c r="AJ80" i="6" s="1"/>
  <c r="AK80" i="6" s="1"/>
  <c r="AI80" i="6"/>
  <c r="AL80" i="6" s="1"/>
  <c r="AF81" i="6"/>
  <c r="AG81" i="6"/>
  <c r="AF82" i="6"/>
  <c r="AG82" i="6"/>
  <c r="AI82" i="6" s="1"/>
  <c r="AH82" i="6"/>
  <c r="AJ82" i="6" s="1"/>
  <c r="AK82" i="6"/>
  <c r="AL82" i="6" s="1"/>
  <c r="AF83" i="6"/>
  <c r="AG83" i="6"/>
  <c r="AI83" i="6" s="1"/>
  <c r="AH83" i="6"/>
  <c r="AJ83" i="6" s="1"/>
  <c r="AK83" i="6"/>
  <c r="AF84" i="6"/>
  <c r="AG84" i="6"/>
  <c r="AH84" i="6"/>
  <c r="AJ84" i="6" s="1"/>
  <c r="AK84" i="6" s="1"/>
  <c r="AI84" i="6"/>
  <c r="AF85" i="6"/>
  <c r="AG85" i="6"/>
  <c r="AH85" i="6" s="1"/>
  <c r="AJ85" i="6" s="1"/>
  <c r="AK85" i="6" s="1"/>
  <c r="AI85" i="6"/>
  <c r="AL85" i="6" s="1"/>
  <c r="AF86" i="6"/>
  <c r="AG86" i="6"/>
  <c r="AF87" i="6"/>
  <c r="AG87" i="6"/>
  <c r="AH87" i="6" s="1"/>
  <c r="AJ87" i="6" s="1"/>
  <c r="AK87" i="6" s="1"/>
  <c r="AI87" i="6"/>
  <c r="AL87" i="6" s="1"/>
  <c r="AF88" i="6"/>
  <c r="AG88" i="6"/>
  <c r="AH88" i="6"/>
  <c r="AI88" i="6"/>
  <c r="AJ88" i="6"/>
  <c r="AK88" i="6" s="1"/>
  <c r="AL88" i="6"/>
  <c r="AF89" i="6"/>
  <c r="AG89" i="6"/>
  <c r="AF90" i="6"/>
  <c r="AG90" i="6"/>
  <c r="AI90" i="6" s="1"/>
  <c r="AH90" i="6"/>
  <c r="AJ90" i="6" s="1"/>
  <c r="AK90" i="6"/>
  <c r="AL90" i="6" s="1"/>
  <c r="AF91" i="6"/>
  <c r="AG91" i="6"/>
  <c r="AH91" i="6"/>
  <c r="AJ91" i="6" s="1"/>
  <c r="AI91" i="6"/>
  <c r="AL91" i="6" s="1"/>
  <c r="AK91" i="6"/>
  <c r="AF92" i="6"/>
  <c r="AG92" i="6"/>
  <c r="AH92" i="6"/>
  <c r="AI92" i="6"/>
  <c r="AJ92" i="6"/>
  <c r="AK92" i="6" s="1"/>
  <c r="AL92" i="6" s="1"/>
  <c r="AF93" i="6"/>
  <c r="AG93" i="6"/>
  <c r="AH93" i="6" s="1"/>
  <c r="AI93" i="6"/>
  <c r="AL93" i="6" s="1"/>
  <c r="AJ93" i="6"/>
  <c r="AK93" i="6"/>
  <c r="AF94" i="6"/>
  <c r="AG94" i="6"/>
  <c r="AF95" i="6"/>
  <c r="AG95" i="6"/>
  <c r="AH95" i="6" s="1"/>
  <c r="AJ95" i="6" s="1"/>
  <c r="AK95" i="6" s="1"/>
  <c r="AI95" i="6"/>
  <c r="AL95" i="6" s="1"/>
  <c r="AF96" i="6"/>
  <c r="AG96" i="6"/>
  <c r="AH96" i="6"/>
  <c r="AJ96" i="6" s="1"/>
  <c r="AK96" i="6" s="1"/>
  <c r="AI96" i="6"/>
  <c r="AL96" i="6"/>
  <c r="AF97" i="6"/>
  <c r="AG97" i="6"/>
  <c r="AF98" i="6"/>
  <c r="AG98" i="6"/>
  <c r="AI98" i="6" s="1"/>
  <c r="AH98" i="6"/>
  <c r="AJ98" i="6" s="1"/>
  <c r="AK98" i="6" s="1"/>
  <c r="AL98" i="6" s="1"/>
  <c r="AF99" i="6"/>
  <c r="AG99" i="6"/>
  <c r="AI99" i="6" s="1"/>
  <c r="AH99" i="6"/>
  <c r="AJ99" i="6" s="1"/>
  <c r="AK99" i="6" s="1"/>
  <c r="AF100" i="6"/>
  <c r="AG100" i="6"/>
  <c r="AH100" i="6"/>
  <c r="AI100" i="6"/>
  <c r="AJ100" i="6"/>
  <c r="AK100" i="6" s="1"/>
  <c r="AF101" i="6"/>
  <c r="AG101" i="6"/>
  <c r="AH101" i="6" s="1"/>
  <c r="AJ101" i="6" s="1"/>
  <c r="AI101" i="6"/>
  <c r="AK101" i="6"/>
  <c r="AF102" i="6"/>
  <c r="AG102" i="6"/>
  <c r="AF103" i="6"/>
  <c r="AG103" i="6"/>
  <c r="AF104" i="6"/>
  <c r="AG104" i="6"/>
  <c r="AH104" i="6"/>
  <c r="AI104" i="6"/>
  <c r="AJ104" i="6"/>
  <c r="AK104" i="6" s="1"/>
  <c r="AL104" i="6"/>
  <c r="AF105" i="6"/>
  <c r="AG105" i="6"/>
  <c r="AF106" i="6"/>
  <c r="AG106" i="6"/>
  <c r="AI106" i="6" s="1"/>
  <c r="AH106" i="6"/>
  <c r="AJ106" i="6" s="1"/>
  <c r="AK106" i="6" s="1"/>
  <c r="AL106" i="6" s="1"/>
  <c r="AF107" i="6"/>
  <c r="AG107" i="6"/>
  <c r="AH107" i="6"/>
  <c r="AJ107" i="6" s="1"/>
  <c r="AK107" i="6" s="1"/>
  <c r="AI107" i="6"/>
  <c r="AF108" i="6"/>
  <c r="AG108" i="6"/>
  <c r="AH108" i="6"/>
  <c r="AJ108" i="6" s="1"/>
  <c r="AK108" i="6" s="1"/>
  <c r="AL108" i="6" s="1"/>
  <c r="AI108" i="6"/>
  <c r="AF109" i="6"/>
  <c r="AG109" i="6"/>
  <c r="AH109" i="6" s="1"/>
  <c r="AI109" i="6"/>
  <c r="AJ109" i="6"/>
  <c r="AK109" i="6"/>
  <c r="AF110" i="6"/>
  <c r="AG110" i="6"/>
  <c r="AF111" i="6"/>
  <c r="AG111" i="6"/>
  <c r="AF112" i="6"/>
  <c r="AG112" i="6"/>
  <c r="AH112" i="6"/>
  <c r="AJ112" i="6" s="1"/>
  <c r="AK112" i="6" s="1"/>
  <c r="AI112" i="6"/>
  <c r="AL112" i="6" s="1"/>
  <c r="AF113" i="6"/>
  <c r="AG113" i="6"/>
  <c r="AF114" i="6"/>
  <c r="AG114" i="6"/>
  <c r="AI114" i="6" s="1"/>
  <c r="AH114" i="6"/>
  <c r="AJ114" i="6" s="1"/>
  <c r="AK114" i="6"/>
  <c r="AL114" i="6" s="1"/>
  <c r="AF115" i="6"/>
  <c r="AG115" i="6"/>
  <c r="AI115" i="6" s="1"/>
  <c r="AH115" i="6"/>
  <c r="AJ115" i="6" s="1"/>
  <c r="AK115" i="6"/>
  <c r="AF116" i="6"/>
  <c r="AG116" i="6"/>
  <c r="AH116" i="6"/>
  <c r="AI116" i="6"/>
  <c r="AL116" i="6" s="1"/>
  <c r="AJ116" i="6"/>
  <c r="AK116" i="6" s="1"/>
  <c r="AF117" i="6"/>
  <c r="AG117" i="6"/>
  <c r="AH117" i="6" s="1"/>
  <c r="AJ117" i="6" s="1"/>
  <c r="AI117" i="6"/>
  <c r="AL117" i="6" s="1"/>
  <c r="AK117" i="6"/>
  <c r="AF118" i="6"/>
  <c r="AG118" i="6"/>
  <c r="AF119" i="6"/>
  <c r="AG119" i="6"/>
  <c r="AH119" i="6" s="1"/>
  <c r="AJ119" i="6" s="1"/>
  <c r="AK119" i="6" s="1"/>
  <c r="AI119" i="6"/>
  <c r="AL119" i="6" s="1"/>
  <c r="AF120" i="6"/>
  <c r="AG120" i="6"/>
  <c r="AH120" i="6"/>
  <c r="AI120" i="6"/>
  <c r="AL120" i="6" s="1"/>
  <c r="AJ120" i="6"/>
  <c r="AK120" i="6" s="1"/>
  <c r="AF121" i="6"/>
  <c r="AG121" i="6"/>
  <c r="AF122" i="6"/>
  <c r="AG122" i="6"/>
  <c r="AI122" i="6" s="1"/>
  <c r="AH122" i="6"/>
  <c r="AJ122" i="6" s="1"/>
  <c r="AK122" i="6"/>
  <c r="AL122" i="6" s="1"/>
  <c r="AF123" i="6"/>
  <c r="AG123" i="6"/>
  <c r="AH123" i="6"/>
  <c r="AJ123" i="6" s="1"/>
  <c r="AK123" i="6" s="1"/>
  <c r="AI123" i="6"/>
  <c r="AF124" i="6"/>
  <c r="AG124" i="6"/>
  <c r="AH124" i="6"/>
  <c r="AJ124" i="6" s="1"/>
  <c r="AK124" i="6" s="1"/>
  <c r="AL124" i="6" s="1"/>
  <c r="AI124" i="6"/>
  <c r="AF125" i="6"/>
  <c r="AG125" i="6"/>
  <c r="AH125" i="6" s="1"/>
  <c r="AI125" i="6"/>
  <c r="AJ125" i="6"/>
  <c r="AK125" i="6"/>
  <c r="AF126" i="6"/>
  <c r="AG126" i="6"/>
  <c r="AF127" i="6"/>
  <c r="AG127" i="6"/>
  <c r="AH127" i="6" s="1"/>
  <c r="AJ127" i="6" s="1"/>
  <c r="AK127" i="6" s="1"/>
  <c r="AI127" i="6"/>
  <c r="AL127" i="6" s="1"/>
  <c r="AF128" i="6"/>
  <c r="AG128" i="6"/>
  <c r="AH128" i="6"/>
  <c r="AJ128" i="6" s="1"/>
  <c r="AK128" i="6" s="1"/>
  <c r="AL128" i="6" s="1"/>
  <c r="AI128" i="6"/>
  <c r="AF129" i="6"/>
  <c r="AG129" i="6"/>
  <c r="AF130" i="6"/>
  <c r="AG130" i="6"/>
  <c r="AI130" i="6" s="1"/>
  <c r="AH130" i="6"/>
  <c r="AJ130" i="6" s="1"/>
  <c r="AK130" i="6" s="1"/>
  <c r="AL130" i="6" s="1"/>
  <c r="AF131" i="6"/>
  <c r="AG131" i="6"/>
  <c r="AI131" i="6" s="1"/>
  <c r="AH131" i="6"/>
  <c r="AJ131" i="6" s="1"/>
  <c r="AK131" i="6" s="1"/>
  <c r="AF132" i="6"/>
  <c r="AG132" i="6"/>
  <c r="AH132" i="6"/>
  <c r="AJ132" i="6" s="1"/>
  <c r="AK132" i="6" s="1"/>
  <c r="AI132" i="6"/>
  <c r="AF133" i="6"/>
  <c r="AG133" i="6"/>
  <c r="AH133" i="6" s="1"/>
  <c r="AJ133" i="6" s="1"/>
  <c r="AK133" i="6" s="1"/>
  <c r="AI133" i="6"/>
  <c r="AF134" i="6"/>
  <c r="AG134" i="6"/>
  <c r="AF135" i="6"/>
  <c r="AG135" i="6"/>
  <c r="AF136" i="6"/>
  <c r="AG136" i="6"/>
  <c r="AH136" i="6"/>
  <c r="AI136" i="6"/>
  <c r="AL136" i="6" s="1"/>
  <c r="AJ136" i="6"/>
  <c r="AK136" i="6" s="1"/>
  <c r="AF137" i="6"/>
  <c r="AG137" i="6"/>
  <c r="AF138" i="6"/>
  <c r="AG138" i="6"/>
  <c r="AI138" i="6" s="1"/>
  <c r="AH138" i="6"/>
  <c r="AJ138" i="6" s="1"/>
  <c r="AK138" i="6" s="1"/>
  <c r="AL138" i="6" s="1"/>
  <c r="AF139" i="6"/>
  <c r="AG139" i="6"/>
  <c r="AH139" i="6"/>
  <c r="AJ139" i="6" s="1"/>
  <c r="AI139" i="6"/>
  <c r="AK139" i="6"/>
  <c r="AF140" i="6"/>
  <c r="AG140" i="6"/>
  <c r="AH140" i="6"/>
  <c r="AI140" i="6"/>
  <c r="AJ140" i="6"/>
  <c r="AK140" i="6" s="1"/>
  <c r="AL140" i="6" s="1"/>
  <c r="AF141" i="6"/>
  <c r="AG141" i="6"/>
  <c r="AH141" i="6" s="1"/>
  <c r="AI141" i="6"/>
  <c r="AL141" i="6" s="1"/>
  <c r="AJ141" i="6"/>
  <c r="AK141" i="6"/>
  <c r="AF142" i="6"/>
  <c r="AG142" i="6"/>
  <c r="AF143" i="6"/>
  <c r="AG143" i="6"/>
  <c r="AF144" i="6"/>
  <c r="AG144" i="6"/>
  <c r="AH144" i="6"/>
  <c r="AJ144" i="6" s="1"/>
  <c r="AK144" i="6" s="1"/>
  <c r="AI144" i="6"/>
  <c r="AL144" i="6" s="1"/>
  <c r="AF145" i="6"/>
  <c r="AG145" i="6"/>
  <c r="AF146" i="6"/>
  <c r="AG146" i="6"/>
  <c r="AI146" i="6" s="1"/>
  <c r="AH146" i="6"/>
  <c r="AJ146" i="6" s="1"/>
  <c r="AK146" i="6"/>
  <c r="AL146" i="6" s="1"/>
  <c r="AF147" i="6"/>
  <c r="AG147" i="6"/>
  <c r="AI147" i="6" s="1"/>
  <c r="AL147" i="6" s="1"/>
  <c r="AH147" i="6"/>
  <c r="AJ147" i="6" s="1"/>
  <c r="AK147" i="6"/>
  <c r="AF148" i="6"/>
  <c r="AG148" i="6"/>
  <c r="AH148" i="6"/>
  <c r="AJ148" i="6" s="1"/>
  <c r="AK148" i="6" s="1"/>
  <c r="AI148" i="6"/>
  <c r="AL148" i="6" s="1"/>
  <c r="AF149" i="6"/>
  <c r="AG149" i="6"/>
  <c r="AH149" i="6" s="1"/>
  <c r="AJ149" i="6" s="1"/>
  <c r="AK149" i="6" s="1"/>
  <c r="AI149" i="6"/>
  <c r="AF150" i="6"/>
  <c r="AG150" i="6"/>
  <c r="AF151" i="6"/>
  <c r="AG151" i="6"/>
  <c r="AH151" i="6" s="1"/>
  <c r="AJ151" i="6" s="1"/>
  <c r="AK151" i="6" s="1"/>
  <c r="AI151" i="6"/>
  <c r="AL151" i="6" s="1"/>
  <c r="AF152" i="6"/>
  <c r="AG152" i="6"/>
  <c r="AH152" i="6"/>
  <c r="AI152" i="6"/>
  <c r="AJ152" i="6"/>
  <c r="AK152" i="6" s="1"/>
  <c r="AL152" i="6"/>
  <c r="AF153" i="6"/>
  <c r="AG153" i="6"/>
  <c r="AF154" i="6"/>
  <c r="AG154" i="6"/>
  <c r="AI154" i="6" s="1"/>
  <c r="AH154" i="6"/>
  <c r="AJ154" i="6" s="1"/>
  <c r="AK154" i="6"/>
  <c r="AL154" i="6" s="1"/>
  <c r="AF155" i="6"/>
  <c r="AG155" i="6"/>
  <c r="AH155" i="6"/>
  <c r="AJ155" i="6" s="1"/>
  <c r="AI155" i="6"/>
  <c r="AL155" i="6" s="1"/>
  <c r="AK155" i="6"/>
  <c r="AF156" i="6"/>
  <c r="AG156" i="6"/>
  <c r="AH156" i="6"/>
  <c r="AJ156" i="6" s="1"/>
  <c r="AK156" i="6" s="1"/>
  <c r="AL156" i="6" s="1"/>
  <c r="AI156" i="6"/>
  <c r="AF157" i="6"/>
  <c r="AG157" i="6"/>
  <c r="AH157" i="6" s="1"/>
  <c r="AI157" i="6"/>
  <c r="AL157" i="6" s="1"/>
  <c r="AJ157" i="6"/>
  <c r="AK157" i="6"/>
  <c r="AF158" i="6"/>
  <c r="AG158" i="6"/>
  <c r="AF159" i="6"/>
  <c r="AG159" i="6"/>
  <c r="AH159" i="6" s="1"/>
  <c r="AJ159" i="6" s="1"/>
  <c r="AK159" i="6" s="1"/>
  <c r="AI159" i="6"/>
  <c r="AL159" i="6" s="1"/>
  <c r="AF160" i="6"/>
  <c r="AG160" i="6"/>
  <c r="AH160" i="6"/>
  <c r="AJ160" i="6" s="1"/>
  <c r="AK160" i="6" s="1"/>
  <c r="AL160" i="6" s="1"/>
  <c r="AI160" i="6"/>
  <c r="AF161" i="6"/>
  <c r="AG161" i="6"/>
  <c r="AF162" i="6"/>
  <c r="AG162" i="6"/>
  <c r="AI162" i="6" s="1"/>
  <c r="AH162" i="6"/>
  <c r="AJ162" i="6" s="1"/>
  <c r="AK162" i="6" s="1"/>
  <c r="AL162" i="6" s="1"/>
  <c r="AF163" i="6"/>
  <c r="AG163" i="6"/>
  <c r="AI163" i="6" s="1"/>
  <c r="AH163" i="6"/>
  <c r="AJ163" i="6" s="1"/>
  <c r="AK163" i="6" s="1"/>
  <c r="AF164" i="6"/>
  <c r="AG164" i="6"/>
  <c r="AH164" i="6"/>
  <c r="AI164" i="6"/>
  <c r="AJ164" i="6"/>
  <c r="AK164" i="6" s="1"/>
  <c r="AF165" i="6"/>
  <c r="AG165" i="6"/>
  <c r="AH165" i="6" s="1"/>
  <c r="AJ165" i="6" s="1"/>
  <c r="AI165" i="6"/>
  <c r="AK165" i="6"/>
  <c r="AF166" i="6"/>
  <c r="AG166" i="6"/>
  <c r="AF167" i="6"/>
  <c r="AG167" i="6"/>
  <c r="AF168" i="6"/>
  <c r="AG168" i="6"/>
  <c r="AH168" i="6"/>
  <c r="AI168" i="6"/>
  <c r="AJ168" i="6"/>
  <c r="AK168" i="6" s="1"/>
  <c r="AL168" i="6"/>
  <c r="AF169" i="6"/>
  <c r="AG169" i="6"/>
  <c r="AF170" i="6"/>
  <c r="AG170" i="6"/>
  <c r="AI170" i="6" s="1"/>
  <c r="AH170" i="6"/>
  <c r="AJ170" i="6" s="1"/>
  <c r="AK170" i="6" s="1"/>
  <c r="AL170" i="6" s="1"/>
  <c r="AF171" i="6"/>
  <c r="AG171" i="6"/>
  <c r="AH171" i="6"/>
  <c r="AJ171" i="6" s="1"/>
  <c r="AK171" i="6" s="1"/>
  <c r="AI171" i="6"/>
  <c r="AF172" i="6"/>
  <c r="AG172" i="6"/>
  <c r="AI172" i="6" s="1"/>
  <c r="AH172" i="6"/>
  <c r="AJ172" i="6" s="1"/>
  <c r="AK172" i="6" s="1"/>
  <c r="AL172" i="6" s="1"/>
  <c r="AF173" i="6"/>
  <c r="AG173" i="6"/>
  <c r="AH173" i="6"/>
  <c r="AJ173" i="6" s="1"/>
  <c r="AI173" i="6"/>
  <c r="AK173" i="6"/>
  <c r="AF174" i="6"/>
  <c r="AG174" i="6"/>
  <c r="AH174" i="6"/>
  <c r="AI174" i="6"/>
  <c r="AJ174" i="6"/>
  <c r="AK174" i="6" s="1"/>
  <c r="AL174" i="6" s="1"/>
  <c r="AF175" i="6"/>
  <c r="AG175" i="6"/>
  <c r="AH175" i="6" s="1"/>
  <c r="AI175" i="6"/>
  <c r="AL175" i="6" s="1"/>
  <c r="AJ175" i="6"/>
  <c r="AK175" i="6"/>
  <c r="AF176" i="6"/>
  <c r="AG176" i="6"/>
  <c r="AF177" i="6"/>
  <c r="AG177" i="6"/>
  <c r="AF178" i="6"/>
  <c r="AG178" i="6"/>
  <c r="AH178" i="6"/>
  <c r="AJ178" i="6" s="1"/>
  <c r="AK178" i="6" s="1"/>
  <c r="AI178" i="6"/>
  <c r="AL178" i="6" s="1"/>
  <c r="AF179" i="6"/>
  <c r="AG179" i="6"/>
  <c r="AF180" i="6"/>
  <c r="AG180" i="6"/>
  <c r="AI180" i="6" s="1"/>
  <c r="AH180" i="6"/>
  <c r="AJ180" i="6" s="1"/>
  <c r="AK180" i="6"/>
  <c r="AL180" i="6" s="1"/>
  <c r="AF181" i="6"/>
  <c r="AG181" i="6"/>
  <c r="AI181" i="6" s="1"/>
  <c r="AL181" i="6" s="1"/>
  <c r="AH181" i="6"/>
  <c r="AJ181" i="6" s="1"/>
  <c r="AK181" i="6"/>
  <c r="AF182" i="6"/>
  <c r="AG182" i="6"/>
  <c r="AH182" i="6"/>
  <c r="AJ182" i="6" s="1"/>
  <c r="AK182" i="6" s="1"/>
  <c r="AI182" i="6"/>
  <c r="AL182" i="6" s="1"/>
  <c r="AF183" i="6"/>
  <c r="AG183" i="6"/>
  <c r="AH183" i="6" s="1"/>
  <c r="AJ183" i="6" s="1"/>
  <c r="AK183" i="6" s="1"/>
  <c r="AI183" i="6"/>
  <c r="AF184" i="6"/>
  <c r="AG184" i="6"/>
  <c r="AF185" i="6"/>
  <c r="AG185" i="6"/>
  <c r="AH185" i="6" s="1"/>
  <c r="AJ185" i="6" s="1"/>
  <c r="AK185" i="6" s="1"/>
  <c r="AI185" i="6"/>
  <c r="AL185" i="6" s="1"/>
  <c r="AF186" i="6"/>
  <c r="AG186" i="6"/>
  <c r="AH186" i="6"/>
  <c r="AI186" i="6"/>
  <c r="AJ186" i="6"/>
  <c r="AK186" i="6" s="1"/>
  <c r="AL186" i="6"/>
  <c r="AF187" i="6"/>
  <c r="AG187" i="6"/>
  <c r="AF188" i="6"/>
  <c r="AG188" i="6"/>
  <c r="AI188" i="6" s="1"/>
  <c r="AH188" i="6"/>
  <c r="AJ188" i="6" s="1"/>
  <c r="AK188" i="6"/>
  <c r="AL188" i="6" s="1"/>
  <c r="AF189" i="6"/>
  <c r="AG189" i="6"/>
  <c r="AH189" i="6"/>
  <c r="AJ189" i="6" s="1"/>
  <c r="AI189" i="6"/>
  <c r="AL189" i="6" s="1"/>
  <c r="AK189" i="6"/>
  <c r="AF190" i="6"/>
  <c r="AG190" i="6"/>
  <c r="AH190" i="6"/>
  <c r="AJ190" i="6" s="1"/>
  <c r="AK190" i="6" s="1"/>
  <c r="AL190" i="6" s="1"/>
  <c r="AI190" i="6"/>
  <c r="AF191" i="6"/>
  <c r="AG191" i="6"/>
  <c r="AH191" i="6" s="1"/>
  <c r="AI191" i="6"/>
  <c r="AL191" i="6" s="1"/>
  <c r="AJ191" i="6"/>
  <c r="AK191" i="6"/>
  <c r="AF192" i="6"/>
  <c r="AG192" i="6"/>
  <c r="AF193" i="6"/>
  <c r="AG193" i="6"/>
  <c r="AH193" i="6" s="1"/>
  <c r="AJ193" i="6" s="1"/>
  <c r="AK193" i="6" s="1"/>
  <c r="AI193" i="6"/>
  <c r="AL193" i="6" s="1"/>
  <c r="AF194" i="6"/>
  <c r="AG194" i="6"/>
  <c r="AH194" i="6"/>
  <c r="AJ194" i="6" s="1"/>
  <c r="AK194" i="6" s="1"/>
  <c r="AL194" i="6" s="1"/>
  <c r="AI194" i="6"/>
  <c r="AF195" i="6"/>
  <c r="AG195" i="6"/>
  <c r="AF196" i="6"/>
  <c r="AG196" i="6"/>
  <c r="AI196" i="6" s="1"/>
  <c r="AH196" i="6"/>
  <c r="AJ196" i="6" s="1"/>
  <c r="AK196" i="6" s="1"/>
  <c r="AL196" i="6" s="1"/>
  <c r="AF197" i="6"/>
  <c r="AG197" i="6"/>
  <c r="AI197" i="6" s="1"/>
  <c r="AH197" i="6"/>
  <c r="AJ197" i="6" s="1"/>
  <c r="AK197" i="6" s="1"/>
  <c r="AF198" i="6"/>
  <c r="AG198" i="6"/>
  <c r="AH198" i="6"/>
  <c r="AI198" i="6"/>
  <c r="AJ198" i="6"/>
  <c r="AK198" i="6" s="1"/>
  <c r="AF199" i="6"/>
  <c r="AG199" i="6"/>
  <c r="AH199" i="6" s="1"/>
  <c r="AJ199" i="6" s="1"/>
  <c r="AI199" i="6"/>
  <c r="AK199" i="6"/>
  <c r="AF200" i="6"/>
  <c r="AG200" i="6"/>
  <c r="AF201" i="6"/>
  <c r="AG201" i="6"/>
  <c r="AF202" i="6"/>
  <c r="AG202" i="6"/>
  <c r="AH202" i="6"/>
  <c r="AI202" i="6"/>
  <c r="AJ202" i="6"/>
  <c r="AK202" i="6" s="1"/>
  <c r="AL202" i="6"/>
  <c r="AF203" i="6"/>
  <c r="AG203" i="6"/>
  <c r="AF204" i="6"/>
  <c r="AG204" i="6"/>
  <c r="AI204" i="6" s="1"/>
  <c r="AH204" i="6"/>
  <c r="AJ204" i="6" s="1"/>
  <c r="AK204" i="6" s="1"/>
  <c r="AL204" i="6" s="1"/>
  <c r="AF205" i="6"/>
  <c r="AG205" i="6"/>
  <c r="AH205" i="6"/>
  <c r="AJ205" i="6" s="1"/>
  <c r="AK205" i="6" s="1"/>
  <c r="AI205" i="6"/>
  <c r="AF206" i="6"/>
  <c r="AG206" i="6"/>
  <c r="AH206" i="6"/>
  <c r="AJ206" i="6" s="1"/>
  <c r="AK206" i="6" s="1"/>
  <c r="AL206" i="6" s="1"/>
  <c r="AI206" i="6"/>
  <c r="AF207" i="6"/>
  <c r="AG207" i="6"/>
  <c r="AH207" i="6" s="1"/>
  <c r="AI207" i="6"/>
  <c r="AJ207" i="6"/>
  <c r="AK207" i="6"/>
  <c r="AF208" i="6"/>
  <c r="AG208" i="6"/>
  <c r="AF209" i="6"/>
  <c r="AG209" i="6"/>
  <c r="AF210" i="6"/>
  <c r="AG210" i="6"/>
  <c r="AH210" i="6"/>
  <c r="AJ210" i="6" s="1"/>
  <c r="AK210" i="6" s="1"/>
  <c r="AI210" i="6"/>
  <c r="AL210" i="6" s="1"/>
  <c r="AF211" i="6"/>
  <c r="AG211" i="6"/>
  <c r="AF212" i="6"/>
  <c r="AG212" i="6"/>
  <c r="AI212" i="6" s="1"/>
  <c r="AH212" i="6"/>
  <c r="AJ212" i="6" s="1"/>
  <c r="AK212" i="6"/>
  <c r="AL212" i="6" s="1"/>
  <c r="AF213" i="6"/>
  <c r="AG213" i="6"/>
  <c r="AI213" i="6" s="1"/>
  <c r="AH213" i="6"/>
  <c r="AJ213" i="6" s="1"/>
  <c r="AK213" i="6"/>
  <c r="AF214" i="6"/>
  <c r="AG214" i="6"/>
  <c r="AH214" i="6"/>
  <c r="AI214" i="6"/>
  <c r="AL214" i="6" s="1"/>
  <c r="AJ214" i="6"/>
  <c r="AK214" i="6" s="1"/>
  <c r="AF215" i="6"/>
  <c r="AG215" i="6"/>
  <c r="AH215" i="6" s="1"/>
  <c r="AJ215" i="6" s="1"/>
  <c r="AI215" i="6"/>
  <c r="AL215" i="6" s="1"/>
  <c r="AK215" i="6"/>
  <c r="AF216" i="6"/>
  <c r="AG216" i="6"/>
  <c r="AF217" i="6"/>
  <c r="AG217" i="6"/>
  <c r="AH217" i="6" s="1"/>
  <c r="AJ217" i="6" s="1"/>
  <c r="AK217" i="6" s="1"/>
  <c r="AI217" i="6"/>
  <c r="AL217" i="6" s="1"/>
  <c r="AF218" i="6"/>
  <c r="AG218" i="6"/>
  <c r="AH218" i="6"/>
  <c r="AI218" i="6"/>
  <c r="AL218" i="6" s="1"/>
  <c r="AJ218" i="6"/>
  <c r="AK218" i="6" s="1"/>
  <c r="AF219" i="6"/>
  <c r="AG219" i="6"/>
  <c r="AF220" i="6"/>
  <c r="AG220" i="6"/>
  <c r="AI220" i="6" s="1"/>
  <c r="AH220" i="6"/>
  <c r="AJ220" i="6" s="1"/>
  <c r="AK220" i="6"/>
  <c r="AL220" i="6" s="1"/>
  <c r="AF221" i="6"/>
  <c r="AG221" i="6"/>
  <c r="AH221" i="6"/>
  <c r="AJ221" i="6" s="1"/>
  <c r="AK221" i="6" s="1"/>
  <c r="AI221" i="6"/>
  <c r="AL221" i="6" s="1"/>
  <c r="AF222" i="6"/>
  <c r="AG222" i="6"/>
  <c r="AH222" i="6"/>
  <c r="AI222" i="6"/>
  <c r="AJ222" i="6"/>
  <c r="AK222" i="6" s="1"/>
  <c r="AL222" i="6" s="1"/>
  <c r="AF223" i="6"/>
  <c r="AG223" i="6"/>
  <c r="AH223" i="6" s="1"/>
  <c r="AI223" i="6"/>
  <c r="AJ223" i="6"/>
  <c r="AK223" i="6"/>
  <c r="AF224" i="6"/>
  <c r="AG224" i="6"/>
  <c r="AF225" i="6"/>
  <c r="AG225" i="6"/>
  <c r="AH225" i="6" s="1"/>
  <c r="AJ225" i="6" s="1"/>
  <c r="AK225" i="6" s="1"/>
  <c r="AI225" i="6"/>
  <c r="AL225" i="6" s="1"/>
  <c r="AF226" i="6"/>
  <c r="AG226" i="6"/>
  <c r="AH226" i="6"/>
  <c r="AJ226" i="6" s="1"/>
  <c r="AK226" i="6" s="1"/>
  <c r="AI226" i="6"/>
  <c r="AL226" i="6"/>
  <c r="AF227" i="6"/>
  <c r="AG227" i="6"/>
  <c r="AF228" i="6"/>
  <c r="AG228" i="6"/>
  <c r="AI228" i="6" s="1"/>
  <c r="AH228" i="6"/>
  <c r="AJ228" i="6" s="1"/>
  <c r="AK228" i="6" s="1"/>
  <c r="AL228" i="6" s="1"/>
  <c r="AF229" i="6"/>
  <c r="AG229" i="6"/>
  <c r="AI229" i="6" s="1"/>
  <c r="AH229" i="6"/>
  <c r="AJ229" i="6" s="1"/>
  <c r="AK229" i="6" s="1"/>
  <c r="AF230" i="6"/>
  <c r="AG230" i="6"/>
  <c r="AH230" i="6"/>
  <c r="AJ230" i="6" s="1"/>
  <c r="AK230" i="6" s="1"/>
  <c r="AI230" i="6"/>
  <c r="AF231" i="6"/>
  <c r="AG231" i="6"/>
  <c r="AH231" i="6" s="1"/>
  <c r="AJ231" i="6" s="1"/>
  <c r="AK231" i="6" s="1"/>
  <c r="AI231" i="6"/>
  <c r="AF232" i="6"/>
  <c r="AG232" i="6"/>
  <c r="AF233" i="6"/>
  <c r="AG233" i="6"/>
  <c r="AF234" i="6"/>
  <c r="AG234" i="6"/>
  <c r="AH234" i="6"/>
  <c r="AI234" i="6"/>
  <c r="AJ234" i="6"/>
  <c r="AK234" i="6" s="1"/>
  <c r="AL234" i="6"/>
  <c r="AF235" i="6"/>
  <c r="AG235" i="6"/>
  <c r="AF236" i="6"/>
  <c r="AG236" i="6"/>
  <c r="AI236" i="6" s="1"/>
  <c r="AH236" i="6"/>
  <c r="AJ236" i="6" s="1"/>
  <c r="AK236" i="6" s="1"/>
  <c r="AL236" i="6" s="1"/>
  <c r="AF237" i="6"/>
  <c r="AG237" i="6"/>
  <c r="AH237" i="6"/>
  <c r="AJ237" i="6" s="1"/>
  <c r="AK237" i="6" s="1"/>
  <c r="AI237" i="6"/>
  <c r="AF238" i="6"/>
  <c r="AG238" i="6"/>
  <c r="AH238" i="6"/>
  <c r="AI238" i="6"/>
  <c r="AJ238" i="6"/>
  <c r="AK238" i="6" s="1"/>
  <c r="AL238" i="6" s="1"/>
  <c r="AF239" i="6"/>
  <c r="AG239" i="6"/>
  <c r="AH239" i="6" s="1"/>
  <c r="AI239" i="6"/>
  <c r="AJ239" i="6"/>
  <c r="AK239" i="6"/>
  <c r="AF240" i="6"/>
  <c r="AG240" i="6"/>
  <c r="AF241" i="6"/>
  <c r="AG241" i="6"/>
  <c r="AF242" i="6"/>
  <c r="AG242" i="6"/>
  <c r="AH242" i="6"/>
  <c r="AJ242" i="6" s="1"/>
  <c r="AK242" i="6" s="1"/>
  <c r="AI242" i="6"/>
  <c r="AL242" i="6" s="1"/>
  <c r="AF243" i="6"/>
  <c r="AG243" i="6"/>
  <c r="AF244" i="6"/>
  <c r="AG244" i="6"/>
  <c r="AI244" i="6" s="1"/>
  <c r="AH244" i="6"/>
  <c r="AJ244" i="6" s="1"/>
  <c r="AK244" i="6"/>
  <c r="AL244" i="6" s="1"/>
  <c r="AF245" i="6"/>
  <c r="AG245" i="6"/>
  <c r="AI245" i="6" s="1"/>
  <c r="AL245" i="6" s="1"/>
  <c r="AH245" i="6"/>
  <c r="AJ245" i="6" s="1"/>
  <c r="AK245" i="6"/>
  <c r="AF246" i="6"/>
  <c r="AG246" i="6"/>
  <c r="AH246" i="6"/>
  <c r="AJ246" i="6" s="1"/>
  <c r="AK246" i="6" s="1"/>
  <c r="AI246" i="6"/>
  <c r="AF247" i="6"/>
  <c r="AG247" i="6"/>
  <c r="AH247" i="6" s="1"/>
  <c r="AJ247" i="6" s="1"/>
  <c r="AK247" i="6" s="1"/>
  <c r="AI247" i="6"/>
  <c r="AL247" i="6" s="1"/>
  <c r="AF248" i="6"/>
  <c r="AG248" i="6"/>
  <c r="AF249" i="6"/>
  <c r="AG249" i="6"/>
  <c r="AH249" i="6" s="1"/>
  <c r="AJ249" i="6" s="1"/>
  <c r="AK249" i="6" s="1"/>
  <c r="AI249" i="6"/>
  <c r="AL249" i="6" s="1"/>
  <c r="AF250" i="6"/>
  <c r="AG250" i="6"/>
  <c r="AH250" i="6"/>
  <c r="AI250" i="6"/>
  <c r="AJ250" i="6"/>
  <c r="AK250" i="6" s="1"/>
  <c r="AL250" i="6"/>
  <c r="AF251" i="6"/>
  <c r="AG251" i="6"/>
  <c r="AF252" i="6"/>
  <c r="AG252" i="6"/>
  <c r="AI252" i="6" s="1"/>
  <c r="AH252" i="6"/>
  <c r="AJ252" i="6" s="1"/>
  <c r="AK252" i="6"/>
  <c r="AL252" i="6" s="1"/>
  <c r="AF253" i="6"/>
  <c r="AG253" i="6"/>
  <c r="AH253" i="6"/>
  <c r="AJ253" i="6" s="1"/>
  <c r="AI253" i="6"/>
  <c r="AL253" i="6" s="1"/>
  <c r="AK253" i="6"/>
  <c r="AF254" i="6"/>
  <c r="AG254" i="6"/>
  <c r="AH254" i="6"/>
  <c r="AJ254" i="6" s="1"/>
  <c r="AK254" i="6" s="1"/>
  <c r="AL254" i="6" s="1"/>
  <c r="AI254" i="6"/>
  <c r="AF255" i="6"/>
  <c r="AG255" i="6"/>
  <c r="AH255" i="6" s="1"/>
  <c r="AI255" i="6"/>
  <c r="AL255" i="6" s="1"/>
  <c r="AJ255" i="6"/>
  <c r="AK255" i="6"/>
  <c r="AF256" i="6"/>
  <c r="AG256" i="6"/>
  <c r="AF257" i="6"/>
  <c r="AG257" i="6"/>
  <c r="AH257" i="6" s="1"/>
  <c r="AJ257" i="6" s="1"/>
  <c r="AK257" i="6" s="1"/>
  <c r="AI257" i="6"/>
  <c r="AL257" i="6" s="1"/>
  <c r="AF258" i="6"/>
  <c r="AG258" i="6"/>
  <c r="AH258" i="6"/>
  <c r="AJ258" i="6" s="1"/>
  <c r="AK258" i="6" s="1"/>
  <c r="AL258" i="6" s="1"/>
  <c r="AI258" i="6"/>
  <c r="AF259" i="6"/>
  <c r="AG259" i="6"/>
  <c r="AF260" i="6"/>
  <c r="AG260" i="6"/>
  <c r="AI260" i="6" s="1"/>
  <c r="AH260" i="6"/>
  <c r="AJ260" i="6"/>
  <c r="AK260" i="6" s="1"/>
  <c r="AL260" i="6" s="1"/>
  <c r="AF261" i="6"/>
  <c r="AG261" i="6"/>
  <c r="AI261" i="6" s="1"/>
  <c r="AH261" i="6"/>
  <c r="AJ261" i="6" s="1"/>
  <c r="AK261" i="6" s="1"/>
  <c r="AL261" i="6"/>
  <c r="AF262" i="6"/>
  <c r="AG262" i="6"/>
  <c r="AH262" i="6"/>
  <c r="AJ262" i="6" s="1"/>
  <c r="AK262" i="6" s="1"/>
  <c r="AI262" i="6"/>
  <c r="AL262" i="6" s="1"/>
  <c r="AF263" i="6"/>
  <c r="AG263" i="6"/>
  <c r="AH263" i="6" s="1"/>
  <c r="AJ263" i="6" s="1"/>
  <c r="AK263" i="6" s="1"/>
  <c r="AI263" i="6"/>
  <c r="AF264" i="6"/>
  <c r="AG264" i="6"/>
  <c r="AF265" i="6"/>
  <c r="AG265" i="6"/>
  <c r="AH265" i="6" s="1"/>
  <c r="AJ265" i="6" s="1"/>
  <c r="AK265" i="6" s="1"/>
  <c r="AI265" i="6"/>
  <c r="AL265" i="6" s="1"/>
  <c r="AF266" i="6"/>
  <c r="AG266" i="6"/>
  <c r="AH266" i="6"/>
  <c r="AI266" i="6"/>
  <c r="AL266" i="6" s="1"/>
  <c r="AJ266" i="6"/>
  <c r="AK266" i="6" s="1"/>
  <c r="AF267" i="6"/>
  <c r="AG267" i="6"/>
  <c r="AH267" i="6" s="1"/>
  <c r="AJ267" i="6" s="1"/>
  <c r="AK267" i="6" s="1"/>
  <c r="AI267" i="6"/>
  <c r="AL267" i="6" s="1"/>
  <c r="AF268" i="6"/>
  <c r="AG268" i="6"/>
  <c r="AI268" i="6" s="1"/>
  <c r="AH268" i="6"/>
  <c r="AJ268" i="6" s="1"/>
  <c r="AK268" i="6" s="1"/>
  <c r="AL268" i="6"/>
  <c r="AF269" i="6"/>
  <c r="AG269" i="6"/>
  <c r="AH269" i="6"/>
  <c r="AJ269" i="6" s="1"/>
  <c r="AI269" i="6"/>
  <c r="AL269" i="6" s="1"/>
  <c r="AK269" i="6"/>
  <c r="AF270" i="6"/>
  <c r="AG270" i="6"/>
  <c r="AH270" i="6"/>
  <c r="AI270" i="6"/>
  <c r="AJ270" i="6"/>
  <c r="AK270" i="6" s="1"/>
  <c r="AL270" i="6" s="1"/>
  <c r="AF271" i="6"/>
  <c r="AG271" i="6"/>
  <c r="AH271" i="6" s="1"/>
  <c r="AI271" i="6"/>
  <c r="AL271" i="6" s="1"/>
  <c r="AJ271" i="6"/>
  <c r="AK271" i="6"/>
  <c r="AF272" i="6"/>
  <c r="AG272" i="6"/>
  <c r="AF273" i="6"/>
  <c r="AG273" i="6"/>
  <c r="AH273" i="6" s="1"/>
  <c r="AJ273" i="6" s="1"/>
  <c r="AI273" i="6"/>
  <c r="AL273" i="6" s="1"/>
  <c r="AK273" i="6"/>
  <c r="AF274" i="6"/>
  <c r="AG274" i="6"/>
  <c r="AH274" i="6"/>
  <c r="AJ274" i="6" s="1"/>
  <c r="AK274" i="6" s="1"/>
  <c r="AI274" i="6"/>
  <c r="AL274" i="6" s="1"/>
  <c r="AF275" i="6"/>
  <c r="AG275" i="6"/>
  <c r="AF276" i="6"/>
  <c r="AG276" i="6"/>
  <c r="AI276" i="6" s="1"/>
  <c r="AH276" i="6"/>
  <c r="AJ276" i="6" s="1"/>
  <c r="AK276" i="6"/>
  <c r="AL276" i="6" s="1"/>
  <c r="AF277" i="6"/>
  <c r="AG277" i="6"/>
  <c r="AF278" i="6"/>
  <c r="AG278" i="6"/>
  <c r="AH278" i="6"/>
  <c r="AJ278" i="6" s="1"/>
  <c r="AK278" i="6" s="1"/>
  <c r="AI278" i="6"/>
  <c r="AF279" i="6"/>
  <c r="AG279" i="6"/>
  <c r="AF280" i="6"/>
  <c r="AG280" i="6"/>
  <c r="AF281" i="6"/>
  <c r="AG281" i="6"/>
  <c r="AI281" i="6" s="1"/>
  <c r="AH281" i="6"/>
  <c r="AJ281" i="6" s="1"/>
  <c r="AK281" i="6" s="1"/>
  <c r="AL281" i="6"/>
  <c r="AF282" i="6"/>
  <c r="AG282" i="6"/>
  <c r="AH282" i="6"/>
  <c r="AI282" i="6"/>
  <c r="AL282" i="6" s="1"/>
  <c r="AJ282" i="6"/>
  <c r="AK282" i="6" s="1"/>
  <c r="AF283" i="6"/>
  <c r="AG283" i="6"/>
  <c r="AF284" i="6"/>
  <c r="AG284" i="6"/>
  <c r="AF285" i="6"/>
  <c r="AG285" i="6"/>
  <c r="AH285" i="6"/>
  <c r="AJ285" i="6" s="1"/>
  <c r="AI285" i="6"/>
  <c r="AK285" i="6"/>
  <c r="AF286" i="6"/>
  <c r="AG286" i="6"/>
  <c r="AH286" i="6"/>
  <c r="AI286" i="6"/>
  <c r="AJ286" i="6"/>
  <c r="AK286" i="6" s="1"/>
  <c r="AL286" i="6"/>
  <c r="AF287" i="6"/>
  <c r="AG287" i="6"/>
  <c r="AH287" i="6" s="1"/>
  <c r="AI287" i="6"/>
  <c r="AJ287" i="6"/>
  <c r="AK287" i="6" s="1"/>
  <c r="AF288" i="6"/>
  <c r="AG288" i="6"/>
  <c r="AI288" i="6" s="1"/>
  <c r="AH288" i="6"/>
  <c r="AJ288" i="6" s="1"/>
  <c r="AK288" i="6" s="1"/>
  <c r="AL288" i="6" s="1"/>
  <c r="AF289" i="6"/>
  <c r="AG289" i="6"/>
  <c r="AF290" i="6"/>
  <c r="AG290" i="6"/>
  <c r="AH290" i="6"/>
  <c r="AJ290" i="6" s="1"/>
  <c r="AK290" i="6" s="1"/>
  <c r="AL290" i="6" s="1"/>
  <c r="AI290" i="6"/>
  <c r="AF291" i="6"/>
  <c r="AG291" i="6"/>
  <c r="AF292" i="6"/>
  <c r="AG292" i="6"/>
  <c r="AI292" i="6" s="1"/>
  <c r="AH292" i="6"/>
  <c r="AJ292" i="6"/>
  <c r="AK292" i="6" s="1"/>
  <c r="AL292" i="6" s="1"/>
  <c r="AF293" i="6"/>
  <c r="AG293" i="6"/>
  <c r="AI293" i="6" s="1"/>
  <c r="AH293" i="6"/>
  <c r="AJ293" i="6" s="1"/>
  <c r="AK293" i="6" s="1"/>
  <c r="AL293" i="6"/>
  <c r="AF294" i="6"/>
  <c r="AG294" i="6"/>
  <c r="AH294" i="6"/>
  <c r="AI294" i="6"/>
  <c r="AL294" i="6" s="1"/>
  <c r="AJ294" i="6"/>
  <c r="AK294" i="6" s="1"/>
  <c r="AF295" i="6"/>
  <c r="AG295" i="6"/>
  <c r="AH295" i="6" s="1"/>
  <c r="AJ295" i="6" s="1"/>
  <c r="AI295" i="6"/>
  <c r="AL295" i="6" s="1"/>
  <c r="AK295" i="6"/>
  <c r="AF296" i="6"/>
  <c r="AG296" i="6"/>
  <c r="AF297" i="6"/>
  <c r="AG297" i="6"/>
  <c r="AH297" i="6" s="1"/>
  <c r="AJ297" i="6" s="1"/>
  <c r="AK297" i="6" s="1"/>
  <c r="AI297" i="6"/>
  <c r="AL297" i="6" s="1"/>
  <c r="AF298" i="6"/>
  <c r="AG298" i="6"/>
  <c r="AH298" i="6"/>
  <c r="AI298" i="6"/>
  <c r="AJ298" i="6"/>
  <c r="AK298" i="6" s="1"/>
  <c r="AL298" i="6" s="1"/>
  <c r="AF299" i="6"/>
  <c r="AG299" i="6"/>
  <c r="AH299" i="6" s="1"/>
  <c r="AI299" i="6"/>
  <c r="AL299" i="6" s="1"/>
  <c r="AJ299" i="6"/>
  <c r="AK299" i="6" s="1"/>
  <c r="AF300" i="6"/>
  <c r="AG300" i="6"/>
  <c r="AI300" i="6" s="1"/>
  <c r="AH300" i="6"/>
  <c r="AJ300" i="6" s="1"/>
  <c r="AK300" i="6" s="1"/>
  <c r="AL300" i="6" s="1"/>
  <c r="AF301" i="6"/>
  <c r="AG301" i="6"/>
  <c r="AH301" i="6"/>
  <c r="AJ301" i="6" s="1"/>
  <c r="AK301" i="6" s="1"/>
  <c r="AI301" i="6"/>
  <c r="AF302" i="6"/>
  <c r="AG302" i="6"/>
  <c r="AH302" i="6"/>
  <c r="AJ302" i="6" s="1"/>
  <c r="AK302" i="6" s="1"/>
  <c r="AL302" i="6" s="1"/>
  <c r="AI302" i="6"/>
  <c r="AF303" i="6"/>
  <c r="AG303" i="6"/>
  <c r="AH303" i="6" s="1"/>
  <c r="AI303" i="6"/>
  <c r="AJ303" i="6"/>
  <c r="AK303" i="6"/>
  <c r="AF304" i="6"/>
  <c r="AG304" i="6"/>
  <c r="AF305" i="6"/>
  <c r="AG305" i="6"/>
  <c r="AH305" i="6" s="1"/>
  <c r="AJ305" i="6" s="1"/>
  <c r="AK305" i="6" s="1"/>
  <c r="AL305" i="6" s="1"/>
  <c r="AI305" i="6"/>
  <c r="AF306" i="6"/>
  <c r="AG306" i="6"/>
  <c r="AH306" i="6"/>
  <c r="AJ306" i="6" s="1"/>
  <c r="AK306" i="6" s="1"/>
  <c r="AI306" i="6"/>
  <c r="AL306" i="6" s="1"/>
  <c r="AF307" i="6"/>
  <c r="AG307" i="6"/>
  <c r="AF308" i="6"/>
  <c r="AG308" i="6"/>
  <c r="AI308" i="6" s="1"/>
  <c r="AH308" i="6"/>
  <c r="AJ308" i="6" s="1"/>
  <c r="AK308" i="6" s="1"/>
  <c r="AL308" i="6" s="1"/>
  <c r="AF309" i="6"/>
  <c r="AG309" i="6"/>
  <c r="AF310" i="6"/>
  <c r="AG310" i="6"/>
  <c r="AH310" i="6"/>
  <c r="AJ310" i="6" s="1"/>
  <c r="AK310" i="6" s="1"/>
  <c r="AI310" i="6"/>
  <c r="AF311" i="6"/>
  <c r="AG311" i="6"/>
  <c r="AF312" i="6"/>
  <c r="AG312" i="6"/>
  <c r="AF313" i="6"/>
  <c r="AG313" i="6"/>
  <c r="AH313" i="6"/>
  <c r="AJ313" i="6" s="1"/>
  <c r="AK313" i="6" s="1"/>
  <c r="AI313" i="6"/>
  <c r="AL313" i="6"/>
  <c r="AF314" i="6"/>
  <c r="AG314" i="6"/>
  <c r="AH314" i="6"/>
  <c r="AI314" i="6"/>
  <c r="AL314" i="6" s="1"/>
  <c r="AJ314" i="6"/>
  <c r="AK314" i="6" s="1"/>
  <c r="AF315" i="6"/>
  <c r="AG315" i="6"/>
  <c r="AF316" i="6"/>
  <c r="AG316" i="6"/>
  <c r="AF317" i="6"/>
  <c r="AG317" i="6"/>
  <c r="AH317" i="6"/>
  <c r="AJ317" i="6" s="1"/>
  <c r="AK317" i="6" s="1"/>
  <c r="AI317" i="6"/>
  <c r="AF318" i="6"/>
  <c r="AG318" i="6"/>
  <c r="AH318" i="6"/>
  <c r="AJ318" i="6" s="1"/>
  <c r="AK318" i="6" s="1"/>
  <c r="AI318" i="6"/>
  <c r="AL318" i="6"/>
  <c r="AF319" i="6"/>
  <c r="AG319" i="6"/>
  <c r="AH319" i="6" s="1"/>
  <c r="AI319" i="6"/>
  <c r="AJ319" i="6"/>
  <c r="AK319" i="6" s="1"/>
  <c r="AF320" i="6"/>
  <c r="AG320" i="6"/>
  <c r="AI320" i="6" s="1"/>
  <c r="AH320" i="6"/>
  <c r="AJ320" i="6" s="1"/>
  <c r="AK320" i="6" s="1"/>
  <c r="AL320" i="6"/>
  <c r="AF321" i="6"/>
  <c r="AG321" i="6"/>
  <c r="AF322" i="6"/>
  <c r="AG322" i="6"/>
  <c r="AH322" i="6"/>
  <c r="AJ322" i="6" s="1"/>
  <c r="AK322" i="6" s="1"/>
  <c r="AI322" i="6"/>
  <c r="AL322" i="6"/>
  <c r="AF323" i="6"/>
  <c r="AG323" i="6"/>
  <c r="AF324" i="6"/>
  <c r="AG324" i="6"/>
  <c r="AI324" i="6" s="1"/>
  <c r="AH324" i="6"/>
  <c r="AJ324" i="6"/>
  <c r="AK324" i="6" s="1"/>
  <c r="AL324" i="6" s="1"/>
  <c r="AF325" i="6"/>
  <c r="AG325" i="6"/>
  <c r="AI325" i="6" s="1"/>
  <c r="AH325" i="6"/>
  <c r="AJ325" i="6" s="1"/>
  <c r="AK325" i="6" s="1"/>
  <c r="AL325" i="6" s="1"/>
  <c r="AF326" i="6"/>
  <c r="AG326" i="6"/>
  <c r="AH326" i="6"/>
  <c r="AJ326" i="6" s="1"/>
  <c r="AK326" i="6" s="1"/>
  <c r="AI326" i="6"/>
  <c r="AF327" i="6"/>
  <c r="AG327" i="6"/>
  <c r="AH327" i="6" s="1"/>
  <c r="AJ327" i="6" s="1"/>
  <c r="AK327" i="6" s="1"/>
  <c r="AI327" i="6"/>
  <c r="AL327" i="6" s="1"/>
  <c r="AF328" i="6"/>
  <c r="AG328" i="6"/>
  <c r="AF329" i="6"/>
  <c r="AG329" i="6"/>
  <c r="AF330" i="6"/>
  <c r="AG330" i="6"/>
  <c r="AH330" i="6"/>
  <c r="AI330" i="6"/>
  <c r="AJ330" i="6"/>
  <c r="AK330" i="6" s="1"/>
  <c r="AF331" i="6"/>
  <c r="AG331" i="6"/>
  <c r="AH331" i="6" s="1"/>
  <c r="AJ331" i="6" s="1"/>
  <c r="AK331" i="6" s="1"/>
  <c r="AI331" i="6"/>
  <c r="AF332" i="6"/>
  <c r="AG332" i="6"/>
  <c r="AI332" i="6" s="1"/>
  <c r="AH332" i="6"/>
  <c r="AJ332" i="6" s="1"/>
  <c r="AK332" i="6" s="1"/>
  <c r="AL332" i="6" s="1"/>
  <c r="AF333" i="6"/>
  <c r="AG333" i="6"/>
  <c r="AH333" i="6"/>
  <c r="AJ333" i="6" s="1"/>
  <c r="AI333" i="6"/>
  <c r="AL333" i="6" s="1"/>
  <c r="AK333" i="6"/>
  <c r="AF334" i="6"/>
  <c r="AG334" i="6"/>
  <c r="AH334" i="6"/>
  <c r="AJ334" i="6" s="1"/>
  <c r="AK334" i="6" s="1"/>
  <c r="AL334" i="6" s="1"/>
  <c r="AI334" i="6"/>
  <c r="AF335" i="6"/>
  <c r="AG335" i="6"/>
  <c r="AH335" i="6" s="1"/>
  <c r="AI335" i="6"/>
  <c r="AL335" i="6" s="1"/>
  <c r="AJ335" i="6"/>
  <c r="AK335" i="6"/>
  <c r="AF336" i="6"/>
  <c r="AG336" i="6"/>
  <c r="AF337" i="6"/>
  <c r="AG337" i="6"/>
  <c r="AH337" i="6" s="1"/>
  <c r="AJ337" i="6" s="1"/>
  <c r="AI337" i="6"/>
  <c r="AK337" i="6"/>
  <c r="AL337" i="6"/>
  <c r="AF338" i="6"/>
  <c r="AG338" i="6"/>
  <c r="AH338" i="6"/>
  <c r="AJ338" i="6" s="1"/>
  <c r="AK338" i="6" s="1"/>
  <c r="AI338" i="6"/>
  <c r="AL338" i="6" s="1"/>
  <c r="AF339" i="6"/>
  <c r="AG339" i="6"/>
  <c r="AF340" i="6"/>
  <c r="AG340" i="6"/>
  <c r="AI340" i="6" s="1"/>
  <c r="AH340" i="6"/>
  <c r="AJ340" i="6" s="1"/>
  <c r="AK340" i="6" s="1"/>
  <c r="AL340" i="6" s="1"/>
  <c r="AF341" i="6"/>
  <c r="AG341" i="6"/>
  <c r="AF342" i="6"/>
  <c r="AG342" i="6"/>
  <c r="AH342" i="6"/>
  <c r="AJ342" i="6" s="1"/>
  <c r="AK342" i="6" s="1"/>
  <c r="AI342" i="6"/>
  <c r="AF343" i="6"/>
  <c r="AG343" i="6"/>
  <c r="AF344" i="6"/>
  <c r="AG344" i="6"/>
  <c r="AF345" i="6"/>
  <c r="AG345" i="6"/>
  <c r="AI345" i="6" s="1"/>
  <c r="AH345" i="6"/>
  <c r="AJ345" i="6" s="1"/>
  <c r="AK345" i="6" s="1"/>
  <c r="AL345" i="6" s="1"/>
  <c r="AF346" i="6"/>
  <c r="AG346" i="6"/>
  <c r="AH346" i="6"/>
  <c r="AI346" i="6"/>
  <c r="AL346" i="6" s="1"/>
  <c r="AJ346" i="6"/>
  <c r="AK346" i="6" s="1"/>
  <c r="AF347" i="6"/>
  <c r="AG347" i="6"/>
  <c r="AF348" i="6"/>
  <c r="AG348" i="6"/>
  <c r="AF349" i="6"/>
  <c r="AG349" i="6"/>
  <c r="AH349" i="6"/>
  <c r="AJ349" i="6" s="1"/>
  <c r="AI349" i="6"/>
  <c r="AK349" i="6"/>
  <c r="AF350" i="6"/>
  <c r="AG350" i="6"/>
  <c r="AH350" i="6"/>
  <c r="AI350" i="6"/>
  <c r="AJ350" i="6"/>
  <c r="AK350" i="6" s="1"/>
  <c r="AL350" i="6"/>
  <c r="AF351" i="6"/>
  <c r="AG351" i="6"/>
  <c r="AH351" i="6" s="1"/>
  <c r="AI351" i="6"/>
  <c r="AJ351" i="6"/>
  <c r="AK351" i="6" s="1"/>
  <c r="AF352" i="6"/>
  <c r="AG352" i="6"/>
  <c r="AI352" i="6" s="1"/>
  <c r="AH352" i="6"/>
  <c r="AJ352" i="6" s="1"/>
  <c r="AK352" i="6" s="1"/>
  <c r="AL352" i="6"/>
  <c r="AF353" i="6"/>
  <c r="AG353" i="6"/>
  <c r="AF354" i="6"/>
  <c r="AG354" i="6"/>
  <c r="AH354" i="6"/>
  <c r="AJ354" i="6" s="1"/>
  <c r="AK354" i="6" s="1"/>
  <c r="AI354" i="6"/>
  <c r="AL354" i="6"/>
  <c r="AF355" i="6"/>
  <c r="AG355" i="6"/>
  <c r="AF356" i="6"/>
  <c r="AG356" i="6"/>
  <c r="AI356" i="6" s="1"/>
  <c r="AH356" i="6"/>
  <c r="AJ356" i="6"/>
  <c r="AK356" i="6" s="1"/>
  <c r="AL356" i="6" s="1"/>
  <c r="AF357" i="6"/>
  <c r="AG357" i="6"/>
  <c r="AI357" i="6" s="1"/>
  <c r="AH357" i="6"/>
  <c r="AJ357" i="6" s="1"/>
  <c r="AK357" i="6" s="1"/>
  <c r="AL357" i="6" s="1"/>
  <c r="AF358" i="6"/>
  <c r="AG358" i="6"/>
  <c r="AH358" i="6"/>
  <c r="AI358" i="6"/>
  <c r="AL358" i="6" s="1"/>
  <c r="AJ358" i="6"/>
  <c r="AK358" i="6" s="1"/>
  <c r="AF359" i="6"/>
  <c r="AG359" i="6"/>
  <c r="AH359" i="6" s="1"/>
  <c r="AJ359" i="6" s="1"/>
  <c r="AI359" i="6"/>
  <c r="AL359" i="6" s="1"/>
  <c r="AK359" i="6"/>
  <c r="AF360" i="6"/>
  <c r="AG360" i="6"/>
  <c r="AF361" i="6"/>
  <c r="AG361" i="6"/>
  <c r="AF362" i="6"/>
  <c r="AG362" i="6"/>
  <c r="AH362" i="6"/>
  <c r="AI362" i="6"/>
  <c r="AJ362" i="6"/>
  <c r="AK362" i="6" s="1"/>
  <c r="AL362" i="6"/>
  <c r="AF363" i="6"/>
  <c r="AG363" i="6"/>
  <c r="AF364" i="6"/>
  <c r="AG364" i="6"/>
  <c r="AI364" i="6" s="1"/>
  <c r="AL364" i="6" s="1"/>
  <c r="AH364" i="6"/>
  <c r="AJ364" i="6"/>
  <c r="AK364" i="6" s="1"/>
  <c r="AF365" i="6"/>
  <c r="AG365" i="6"/>
  <c r="AH365" i="6" s="1"/>
  <c r="AJ365" i="6" s="1"/>
  <c r="AK365" i="6" s="1"/>
  <c r="AI365" i="6"/>
  <c r="AL365" i="6" s="1"/>
  <c r="AF366" i="6"/>
  <c r="AG366" i="6"/>
  <c r="AH366" i="6"/>
  <c r="AJ366" i="6" s="1"/>
  <c r="AK366" i="6" s="1"/>
  <c r="AL366" i="6" s="1"/>
  <c r="AI366" i="6"/>
  <c r="AF367" i="6"/>
  <c r="AG367" i="6"/>
  <c r="AH367" i="6" s="1"/>
  <c r="AJ367" i="6" s="1"/>
  <c r="AI367" i="6"/>
  <c r="AL367" i="6" s="1"/>
  <c r="AK367" i="6"/>
  <c r="AF368" i="6"/>
  <c r="AG368" i="6"/>
  <c r="AI368" i="6" s="1"/>
  <c r="AH368" i="6"/>
  <c r="AJ368" i="6" s="1"/>
  <c r="AK368" i="6" s="1"/>
  <c r="AL368" i="6" s="1"/>
  <c r="AF369" i="6"/>
  <c r="AG369" i="6"/>
  <c r="AF370" i="6"/>
  <c r="AG370" i="6"/>
  <c r="AH370" i="6"/>
  <c r="AJ370" i="6" s="1"/>
  <c r="AK370" i="6" s="1"/>
  <c r="AL370" i="6" s="1"/>
  <c r="AI370" i="6"/>
  <c r="AF371" i="6"/>
  <c r="AG371" i="6"/>
  <c r="AF372" i="6"/>
  <c r="AG372" i="6"/>
  <c r="AI372" i="6" s="1"/>
  <c r="AH372" i="6"/>
  <c r="AJ372" i="6"/>
  <c r="AK372" i="6" s="1"/>
  <c r="AF373" i="6"/>
  <c r="AG373" i="6"/>
  <c r="AH373" i="6" s="1"/>
  <c r="AJ373" i="6" s="1"/>
  <c r="AI373" i="6"/>
  <c r="AL373" i="6" s="1"/>
  <c r="AK373" i="6"/>
  <c r="AF374" i="6"/>
  <c r="AG374" i="6"/>
  <c r="AH374" i="6"/>
  <c r="AJ374" i="6" s="1"/>
  <c r="AK374" i="6" s="1"/>
  <c r="AL374" i="6" s="1"/>
  <c r="AI374" i="6"/>
  <c r="AF375" i="6"/>
  <c r="AG375" i="6"/>
  <c r="AH375" i="6" s="1"/>
  <c r="AJ375" i="6" s="1"/>
  <c r="AK375" i="6" s="1"/>
  <c r="AI375" i="6"/>
  <c r="AL375" i="6" s="1"/>
  <c r="AF376" i="6"/>
  <c r="AG376" i="6"/>
  <c r="AI376" i="6" s="1"/>
  <c r="AH376" i="6"/>
  <c r="AJ376" i="6" s="1"/>
  <c r="AK376" i="6" s="1"/>
  <c r="AL376" i="6"/>
  <c r="AF377" i="6"/>
  <c r="AG377" i="6"/>
  <c r="AF378" i="6"/>
  <c r="AG378" i="6"/>
  <c r="AH378" i="6"/>
  <c r="AI378" i="6"/>
  <c r="AJ378" i="6"/>
  <c r="AK378" i="6" s="1"/>
  <c r="AL378" i="6"/>
  <c r="AF379" i="6"/>
  <c r="AG379" i="6"/>
  <c r="AF380" i="6"/>
  <c r="AG380" i="6"/>
  <c r="AI380" i="6" s="1"/>
  <c r="AH380" i="6"/>
  <c r="AJ380" i="6"/>
  <c r="AK380" i="6" s="1"/>
  <c r="AF381" i="6"/>
  <c r="AG381" i="6"/>
  <c r="AH381" i="6" s="1"/>
  <c r="AJ381" i="6" s="1"/>
  <c r="AK381" i="6" s="1"/>
  <c r="AI381" i="6"/>
  <c r="AF382" i="6"/>
  <c r="AG382" i="6"/>
  <c r="AH382" i="6"/>
  <c r="AI382" i="6"/>
  <c r="AJ382" i="6"/>
  <c r="AK382" i="6" s="1"/>
  <c r="AL382" i="6" s="1"/>
  <c r="AF383" i="6"/>
  <c r="AG383" i="6"/>
  <c r="AH383" i="6" s="1"/>
  <c r="AJ383" i="6" s="1"/>
  <c r="AI383" i="6"/>
  <c r="AL383" i="6" s="1"/>
  <c r="AK383" i="6"/>
  <c r="AF384" i="6"/>
  <c r="AG384" i="6"/>
  <c r="AI384" i="6" s="1"/>
  <c r="AH384" i="6"/>
  <c r="AJ384" i="6" s="1"/>
  <c r="AK384" i="6" s="1"/>
  <c r="AL384" i="6"/>
  <c r="AF385" i="6"/>
  <c r="AG385" i="6"/>
  <c r="AF386" i="6"/>
  <c r="AG386" i="6"/>
  <c r="AH386" i="6"/>
  <c r="AJ386" i="6" s="1"/>
  <c r="AK386" i="6" s="1"/>
  <c r="AI386" i="6"/>
  <c r="AL386" i="6"/>
  <c r="AF387" i="6"/>
  <c r="AG387" i="6"/>
  <c r="AF388" i="6"/>
  <c r="AG388" i="6"/>
  <c r="AI388" i="6" s="1"/>
  <c r="AH388" i="6"/>
  <c r="AJ388" i="6"/>
  <c r="AK388" i="6" s="1"/>
  <c r="AF389" i="6"/>
  <c r="AG389" i="6"/>
  <c r="AH389" i="6" s="1"/>
  <c r="AJ389" i="6" s="1"/>
  <c r="AI389" i="6"/>
  <c r="AL389" i="6" s="1"/>
  <c r="AK389" i="6"/>
  <c r="AF390" i="6"/>
  <c r="AG390" i="6"/>
  <c r="AH390" i="6"/>
  <c r="AJ390" i="6" s="1"/>
  <c r="AK390" i="6" s="1"/>
  <c r="AL390" i="6" s="1"/>
  <c r="AI390" i="6"/>
  <c r="AF391" i="6"/>
  <c r="AG391" i="6"/>
  <c r="AH391" i="6" s="1"/>
  <c r="AJ391" i="6" s="1"/>
  <c r="AK391" i="6" s="1"/>
  <c r="AI391" i="6"/>
  <c r="AF392" i="6"/>
  <c r="AG392" i="6"/>
  <c r="AI392" i="6" s="1"/>
  <c r="AH392" i="6"/>
  <c r="AJ392" i="6" s="1"/>
  <c r="AK392" i="6" s="1"/>
  <c r="AL392" i="6" s="1"/>
  <c r="AF393" i="6"/>
  <c r="AG393" i="6"/>
  <c r="AF394" i="6"/>
  <c r="AG394" i="6"/>
  <c r="AH394" i="6"/>
  <c r="AI394" i="6"/>
  <c r="AJ394" i="6"/>
  <c r="AK394" i="6" s="1"/>
  <c r="AL394" i="6"/>
  <c r="AF395" i="6"/>
  <c r="AG395" i="6"/>
  <c r="AF396" i="6"/>
  <c r="AG396" i="6"/>
  <c r="AI396" i="6" s="1"/>
  <c r="AH396" i="6"/>
  <c r="AJ396" i="6"/>
  <c r="AK396" i="6" s="1"/>
  <c r="AF397" i="6"/>
  <c r="AG397" i="6"/>
  <c r="AH397" i="6" s="1"/>
  <c r="AJ397" i="6" s="1"/>
  <c r="AK397" i="6" s="1"/>
  <c r="AI397" i="6"/>
  <c r="AL397" i="6" s="1"/>
  <c r="AF398" i="6"/>
  <c r="AG398" i="6"/>
  <c r="AH398" i="6"/>
  <c r="AI398" i="6"/>
  <c r="AJ398" i="6"/>
  <c r="AK398" i="6" s="1"/>
  <c r="AL398" i="6" s="1"/>
  <c r="AF399" i="6"/>
  <c r="AG399" i="6"/>
  <c r="AH399" i="6" s="1"/>
  <c r="AJ399" i="6" s="1"/>
  <c r="AI399" i="6"/>
  <c r="AL399" i="6" s="1"/>
  <c r="AK399" i="6"/>
  <c r="AF400" i="6"/>
  <c r="AG400" i="6"/>
  <c r="AI400" i="6" s="1"/>
  <c r="AH400" i="6"/>
  <c r="AJ400" i="6" s="1"/>
  <c r="AK400" i="6" s="1"/>
  <c r="AL400" i="6" s="1"/>
  <c r="AF401" i="6"/>
  <c r="AG401" i="6"/>
  <c r="AF402" i="6"/>
  <c r="AG402" i="6"/>
  <c r="AH402" i="6"/>
  <c r="AJ402" i="6" s="1"/>
  <c r="AK402" i="6" s="1"/>
  <c r="AI402" i="6"/>
  <c r="AL402" i="6"/>
  <c r="AF403" i="6"/>
  <c r="AG403" i="6"/>
  <c r="AF404" i="6"/>
  <c r="AG404" i="6"/>
  <c r="AI404" i="6" s="1"/>
  <c r="AL404" i="6" s="1"/>
  <c r="AH404" i="6"/>
  <c r="AJ404" i="6"/>
  <c r="AK404" i="6" s="1"/>
  <c r="AF405" i="6"/>
  <c r="AG405" i="6"/>
  <c r="AH405" i="6" s="1"/>
  <c r="AJ405" i="6" s="1"/>
  <c r="AI405" i="6"/>
  <c r="AL405" i="6" s="1"/>
  <c r="AK405" i="6"/>
  <c r="AF406" i="6"/>
  <c r="AG406" i="6"/>
  <c r="AH406" i="6"/>
  <c r="AI406" i="6"/>
  <c r="AJ406" i="6"/>
  <c r="AK406" i="6" s="1"/>
  <c r="AL406" i="6" s="1"/>
  <c r="AF407" i="6"/>
  <c r="AG407" i="6"/>
  <c r="AH407" i="6" s="1"/>
  <c r="AJ407" i="6" s="1"/>
  <c r="AK407" i="6" s="1"/>
  <c r="AI407" i="6"/>
  <c r="AL407" i="6" s="1"/>
  <c r="AF408" i="6"/>
  <c r="AG408" i="6"/>
  <c r="AI408" i="6" s="1"/>
  <c r="AH408" i="6"/>
  <c r="AJ408" i="6" s="1"/>
  <c r="AK408" i="6" s="1"/>
  <c r="AL408" i="6"/>
  <c r="AF409" i="6"/>
  <c r="AG409" i="6"/>
  <c r="AF410" i="6"/>
  <c r="AG410" i="6"/>
  <c r="AH410" i="6"/>
  <c r="AI410" i="6"/>
  <c r="AJ410" i="6"/>
  <c r="AK410" i="6" s="1"/>
  <c r="AL410" i="6"/>
  <c r="AF411" i="6"/>
  <c r="AG411" i="6"/>
  <c r="AF412" i="6"/>
  <c r="AG412" i="6"/>
  <c r="AI412" i="6" s="1"/>
  <c r="AH412" i="6"/>
  <c r="AJ412" i="6"/>
  <c r="AK412" i="6" s="1"/>
  <c r="AF413" i="6"/>
  <c r="AG413" i="6"/>
  <c r="AH413" i="6" s="1"/>
  <c r="AJ413" i="6" s="1"/>
  <c r="AK413" i="6" s="1"/>
  <c r="AI413" i="6"/>
  <c r="AF414" i="6"/>
  <c r="AG414" i="6"/>
  <c r="AH414" i="6"/>
  <c r="AI414" i="6"/>
  <c r="AJ414" i="6"/>
  <c r="AK414" i="6" s="1"/>
  <c r="AL414" i="6" s="1"/>
  <c r="AF415" i="6"/>
  <c r="AG415" i="6"/>
  <c r="AH415" i="6" s="1"/>
  <c r="AJ415" i="6" s="1"/>
  <c r="AI415" i="6"/>
  <c r="AL415" i="6" s="1"/>
  <c r="AK415" i="6"/>
  <c r="AF416" i="6"/>
  <c r="AG416" i="6"/>
  <c r="AI416" i="6" s="1"/>
  <c r="AH416" i="6"/>
  <c r="AJ416" i="6" s="1"/>
  <c r="AK416" i="6" s="1"/>
  <c r="AL416" i="6"/>
  <c r="AF417" i="6"/>
  <c r="AG417" i="6"/>
  <c r="AF418" i="6"/>
  <c r="AG418" i="6"/>
  <c r="AH418" i="6"/>
  <c r="AJ418" i="6" s="1"/>
  <c r="AK418" i="6" s="1"/>
  <c r="AI418" i="6"/>
  <c r="AL418" i="6"/>
  <c r="AF419" i="6"/>
  <c r="AG419" i="6"/>
  <c r="AF420" i="6"/>
  <c r="AG420" i="6"/>
  <c r="AI420" i="6" s="1"/>
  <c r="AL420" i="6" s="1"/>
  <c r="AH420" i="6"/>
  <c r="AJ420" i="6"/>
  <c r="AK420" i="6" s="1"/>
  <c r="AF421" i="6"/>
  <c r="AG421" i="6"/>
  <c r="AH421" i="6" s="1"/>
  <c r="AJ421" i="6" s="1"/>
  <c r="AI421" i="6"/>
  <c r="AL421" i="6" s="1"/>
  <c r="AK421" i="6"/>
  <c r="AF422" i="6"/>
  <c r="AG422" i="6"/>
  <c r="AH422" i="6"/>
  <c r="AJ422" i="6" s="1"/>
  <c r="AK422" i="6" s="1"/>
  <c r="AL422" i="6" s="1"/>
  <c r="AI422" i="6"/>
  <c r="AF423" i="6"/>
  <c r="AG423" i="6"/>
  <c r="AH423" i="6" s="1"/>
  <c r="AJ423" i="6" s="1"/>
  <c r="AK423" i="6" s="1"/>
  <c r="AI423" i="6"/>
  <c r="AF424" i="6"/>
  <c r="AG424" i="6"/>
  <c r="AF425" i="6"/>
  <c r="AG425" i="6"/>
  <c r="AF426" i="6"/>
  <c r="AG426" i="6"/>
  <c r="AH426" i="6"/>
  <c r="AI426" i="6"/>
  <c r="AL426" i="6" s="1"/>
  <c r="AJ426" i="6"/>
  <c r="AK426" i="6" s="1"/>
  <c r="AF427" i="6"/>
  <c r="AG427" i="6"/>
  <c r="AF428" i="6"/>
  <c r="AG428" i="6"/>
  <c r="AI428" i="6" s="1"/>
  <c r="AH428" i="6"/>
  <c r="AJ428" i="6" s="1"/>
  <c r="AK428" i="6" s="1"/>
  <c r="AL428" i="6" s="1"/>
  <c r="AF429" i="6"/>
  <c r="AG429" i="6"/>
  <c r="AH429" i="6"/>
  <c r="AJ429" i="6" s="1"/>
  <c r="AI429" i="6"/>
  <c r="AK429" i="6"/>
  <c r="AF430" i="6"/>
  <c r="AG430" i="6"/>
  <c r="AH430" i="6"/>
  <c r="AJ430" i="6" s="1"/>
  <c r="AK430" i="6" s="1"/>
  <c r="AL430" i="6" s="1"/>
  <c r="AI430" i="6"/>
  <c r="AF431" i="6"/>
  <c r="AG431" i="6"/>
  <c r="AH431" i="6" s="1"/>
  <c r="AI431" i="6"/>
  <c r="AL431" i="6" s="1"/>
  <c r="AJ431" i="6"/>
  <c r="AK431" i="6"/>
  <c r="AF432" i="6"/>
  <c r="AG432" i="6"/>
  <c r="AF433" i="6"/>
  <c r="AG433" i="6"/>
  <c r="AF434" i="6"/>
  <c r="AG434" i="6"/>
  <c r="AH434" i="6"/>
  <c r="AJ434" i="6" s="1"/>
  <c r="AK434" i="6" s="1"/>
  <c r="AI434" i="6"/>
  <c r="AL434" i="6" s="1"/>
  <c r="AF435" i="6"/>
  <c r="AG435" i="6"/>
  <c r="AF436" i="6"/>
  <c r="AG436" i="6"/>
  <c r="AI436" i="6" s="1"/>
  <c r="AH436" i="6"/>
  <c r="AJ436" i="6" s="1"/>
  <c r="AK436" i="6"/>
  <c r="AL436" i="6" s="1"/>
  <c r="AF437" i="6"/>
  <c r="AG437" i="6"/>
  <c r="AI437" i="6" s="1"/>
  <c r="AL437" i="6" s="1"/>
  <c r="AH437" i="6"/>
  <c r="AJ437" i="6" s="1"/>
  <c r="AK437" i="6"/>
  <c r="AF438" i="6"/>
  <c r="AG438" i="6"/>
  <c r="AH438" i="6"/>
  <c r="AI438" i="6"/>
  <c r="AL438" i="6" s="1"/>
  <c r="AJ438" i="6"/>
  <c r="AK438" i="6" s="1"/>
  <c r="AF439" i="6"/>
  <c r="AG439" i="6"/>
  <c r="AH439" i="6" s="1"/>
  <c r="AJ439" i="6" s="1"/>
  <c r="AI439" i="6"/>
  <c r="AL439" i="6" s="1"/>
  <c r="AK439" i="6"/>
  <c r="AF440" i="6"/>
  <c r="AG440" i="6"/>
  <c r="AF441" i="6"/>
  <c r="AG441" i="6"/>
  <c r="AH441" i="6" s="1"/>
  <c r="AJ441" i="6" s="1"/>
  <c r="AK441" i="6" s="1"/>
  <c r="AI441" i="6"/>
  <c r="AL441" i="6" s="1"/>
  <c r="AF442" i="6"/>
  <c r="AG442" i="6"/>
  <c r="AH442" i="6"/>
  <c r="AI442" i="6"/>
  <c r="AL442" i="6" s="1"/>
  <c r="AJ442" i="6"/>
  <c r="AK442" i="6" s="1"/>
  <c r="AF443" i="6"/>
  <c r="AG443" i="6"/>
  <c r="AF444" i="6"/>
  <c r="AG444" i="6"/>
  <c r="AI444" i="6" s="1"/>
  <c r="AH444" i="6"/>
  <c r="AJ444" i="6" s="1"/>
  <c r="AK444" i="6"/>
  <c r="AL444" i="6" s="1"/>
  <c r="AF445" i="6"/>
  <c r="AG445" i="6"/>
  <c r="AH445" i="6"/>
  <c r="AJ445" i="6" s="1"/>
  <c r="AK445" i="6" s="1"/>
  <c r="AI445" i="6"/>
  <c r="AF446" i="6"/>
  <c r="AG446" i="6"/>
  <c r="AH446" i="6"/>
  <c r="AJ446" i="6" s="1"/>
  <c r="AK446" i="6" s="1"/>
  <c r="AL446" i="6" s="1"/>
  <c r="AI446" i="6"/>
  <c r="AF447" i="6"/>
  <c r="AG447" i="6"/>
  <c r="AH447" i="6" s="1"/>
  <c r="AI447" i="6"/>
  <c r="AJ447" i="6"/>
  <c r="AK447" i="6"/>
  <c r="AF448" i="6"/>
  <c r="AG448" i="6"/>
  <c r="AF449" i="6"/>
  <c r="AG449" i="6"/>
  <c r="AH449" i="6" s="1"/>
  <c r="AJ449" i="6" s="1"/>
  <c r="AK449" i="6" s="1"/>
  <c r="AI449" i="6"/>
  <c r="AL449" i="6" s="1"/>
  <c r="AF450" i="6"/>
  <c r="AG450" i="6"/>
  <c r="AH450" i="6"/>
  <c r="AJ450" i="6" s="1"/>
  <c r="AK450" i="6" s="1"/>
  <c r="AL450" i="6" s="1"/>
  <c r="AI450" i="6"/>
  <c r="AF451" i="6"/>
  <c r="AG451" i="6"/>
  <c r="AF452" i="6"/>
  <c r="AG452" i="6"/>
  <c r="AI452" i="6" s="1"/>
  <c r="AH452" i="6"/>
  <c r="AJ452" i="6" s="1"/>
  <c r="AK452" i="6" s="1"/>
  <c r="AL452" i="6" s="1"/>
  <c r="AF453" i="6"/>
  <c r="AG453" i="6"/>
  <c r="AI453" i="6" s="1"/>
  <c r="AH453" i="6"/>
  <c r="AJ453" i="6" s="1"/>
  <c r="AK453" i="6" s="1"/>
  <c r="AF454" i="6"/>
  <c r="AG454" i="6"/>
  <c r="AH454" i="6"/>
  <c r="AI454" i="6"/>
  <c r="AJ454" i="6"/>
  <c r="AK454" i="6" s="1"/>
  <c r="AF455" i="6"/>
  <c r="AG455" i="6"/>
  <c r="AH455" i="6" s="1"/>
  <c r="AJ455" i="6" s="1"/>
  <c r="AI455" i="6"/>
  <c r="AK455" i="6"/>
  <c r="AF456" i="6"/>
  <c r="AG456" i="6"/>
  <c r="AF457" i="6"/>
  <c r="AG457" i="6"/>
  <c r="AF458" i="6"/>
  <c r="AG458" i="6"/>
  <c r="AH458" i="6"/>
  <c r="AI458" i="6"/>
  <c r="AJ458" i="6"/>
  <c r="AK458" i="6" s="1"/>
  <c r="AL458" i="6"/>
  <c r="AF459" i="6"/>
  <c r="AG459" i="6"/>
  <c r="AF460" i="6"/>
  <c r="AG460" i="6"/>
  <c r="AI460" i="6" s="1"/>
  <c r="AH460" i="6"/>
  <c r="AJ460" i="6" s="1"/>
  <c r="AK460" i="6" s="1"/>
  <c r="AL460" i="6" s="1"/>
  <c r="AF461" i="6"/>
  <c r="AG461" i="6"/>
  <c r="AH461" i="6"/>
  <c r="AJ461" i="6" s="1"/>
  <c r="AK461" i="6" s="1"/>
  <c r="AI461" i="6"/>
  <c r="AF462" i="6"/>
  <c r="AG462" i="6"/>
  <c r="AH462" i="6"/>
  <c r="AI462" i="6"/>
  <c r="AJ462" i="6"/>
  <c r="AK462" i="6" s="1"/>
  <c r="AL462" i="6" s="1"/>
  <c r="AF463" i="6"/>
  <c r="AG463" i="6"/>
  <c r="AH463" i="6" s="1"/>
  <c r="AI463" i="6"/>
  <c r="AJ463" i="6"/>
  <c r="AK463" i="6"/>
  <c r="AF464" i="6"/>
  <c r="AG464" i="6"/>
  <c r="AF465" i="6"/>
  <c r="AG465" i="6"/>
  <c r="AF466" i="6"/>
  <c r="AG466" i="6"/>
  <c r="AH466" i="6"/>
  <c r="AJ466" i="6" s="1"/>
  <c r="AK466" i="6" s="1"/>
  <c r="AI466" i="6"/>
  <c r="AL466" i="6" s="1"/>
  <c r="AF467" i="6"/>
  <c r="AG467" i="6"/>
  <c r="AF468" i="6"/>
  <c r="AG468" i="6"/>
  <c r="AI468" i="6" s="1"/>
  <c r="AH468" i="6"/>
  <c r="AJ468" i="6" s="1"/>
  <c r="AK468" i="6"/>
  <c r="AL468" i="6" s="1"/>
  <c r="AF469" i="6"/>
  <c r="AG469" i="6"/>
  <c r="AI469" i="6" s="1"/>
  <c r="AH469" i="6"/>
  <c r="AJ469" i="6" s="1"/>
  <c r="AK469" i="6"/>
  <c r="AF470" i="6"/>
  <c r="AG470" i="6"/>
  <c r="AH470" i="6"/>
  <c r="AJ470" i="6" s="1"/>
  <c r="AK470" i="6" s="1"/>
  <c r="AI470" i="6"/>
  <c r="AL470" i="6" s="1"/>
  <c r="AF471" i="6"/>
  <c r="AG471" i="6"/>
  <c r="AH471" i="6" s="1"/>
  <c r="AJ471" i="6" s="1"/>
  <c r="AK471" i="6" s="1"/>
  <c r="AI471" i="6"/>
  <c r="AL471" i="6" s="1"/>
  <c r="AF472" i="6"/>
  <c r="AG472" i="6"/>
  <c r="AF473" i="6"/>
  <c r="AG473" i="6"/>
  <c r="AH473" i="6" s="1"/>
  <c r="AJ473" i="6" s="1"/>
  <c r="AK473" i="6" s="1"/>
  <c r="AI473" i="6"/>
  <c r="AL473" i="6" s="1"/>
  <c r="AF474" i="6"/>
  <c r="AG474" i="6"/>
  <c r="AH474" i="6"/>
  <c r="AI474" i="6"/>
  <c r="AJ474" i="6"/>
  <c r="AK474" i="6" s="1"/>
  <c r="AL474" i="6"/>
  <c r="AF475" i="6"/>
  <c r="AG475" i="6"/>
  <c r="AF476" i="6"/>
  <c r="AG476" i="6"/>
  <c r="AI476" i="6" s="1"/>
  <c r="AH476" i="6"/>
  <c r="AJ476" i="6" s="1"/>
  <c r="AK476" i="6"/>
  <c r="AL476" i="6" s="1"/>
  <c r="AF477" i="6"/>
  <c r="AG477" i="6"/>
  <c r="AH477" i="6"/>
  <c r="AJ477" i="6" s="1"/>
  <c r="AI477" i="6"/>
  <c r="AL477" i="6" s="1"/>
  <c r="AK477" i="6"/>
  <c r="AF478" i="6"/>
  <c r="AG478" i="6"/>
  <c r="AH478" i="6"/>
  <c r="AI478" i="6"/>
  <c r="AJ478" i="6"/>
  <c r="AK478" i="6" s="1"/>
  <c r="AL478" i="6" s="1"/>
  <c r="AF479" i="6"/>
  <c r="AG479" i="6"/>
  <c r="AH479" i="6" s="1"/>
  <c r="AI479" i="6"/>
  <c r="AL479" i="6" s="1"/>
  <c r="AJ479" i="6"/>
  <c r="AK479" i="6"/>
  <c r="AF480" i="6"/>
  <c r="AG480" i="6"/>
  <c r="AF481" i="6"/>
  <c r="AG481" i="6"/>
  <c r="AH481" i="6" s="1"/>
  <c r="AJ481" i="6" s="1"/>
  <c r="AK481" i="6" s="1"/>
  <c r="AI481" i="6"/>
  <c r="AL481" i="6" s="1"/>
  <c r="AF482" i="6"/>
  <c r="AG482" i="6"/>
  <c r="AH482" i="6"/>
  <c r="AJ482" i="6" s="1"/>
  <c r="AK482" i="6" s="1"/>
  <c r="AI482" i="6"/>
  <c r="AL482" i="6"/>
  <c r="AF483" i="6"/>
  <c r="AG483" i="6"/>
  <c r="AF484" i="6"/>
  <c r="AG484" i="6"/>
  <c r="AI484" i="6" s="1"/>
  <c r="AH484" i="6"/>
  <c r="AJ484" i="6" s="1"/>
  <c r="AK484" i="6" s="1"/>
  <c r="AL484" i="6" s="1"/>
  <c r="AF485" i="6"/>
  <c r="AG485" i="6"/>
  <c r="AI485" i="6" s="1"/>
  <c r="AH485" i="6"/>
  <c r="AJ485" i="6" s="1"/>
  <c r="AK485" i="6" s="1"/>
  <c r="AF486" i="6"/>
  <c r="AG486" i="6"/>
  <c r="AH486" i="6"/>
  <c r="AJ486" i="6" s="1"/>
  <c r="AK486" i="6" s="1"/>
  <c r="AI486" i="6"/>
  <c r="AF487" i="6"/>
  <c r="AG487" i="6"/>
  <c r="AH487" i="6" s="1"/>
  <c r="AJ487" i="6" s="1"/>
  <c r="AK487" i="6" s="1"/>
  <c r="AI487" i="6"/>
  <c r="AF488" i="6"/>
  <c r="AG488" i="6"/>
  <c r="AF489" i="6"/>
  <c r="AG489" i="6"/>
  <c r="AF490" i="6"/>
  <c r="AG490" i="6"/>
  <c r="AH490" i="6"/>
  <c r="AI490" i="6"/>
  <c r="AL490" i="6" s="1"/>
  <c r="AJ490" i="6"/>
  <c r="AK490" i="6" s="1"/>
  <c r="AF491" i="6"/>
  <c r="AG491" i="6"/>
  <c r="AF492" i="6"/>
  <c r="AG492" i="6"/>
  <c r="AI492" i="6" s="1"/>
  <c r="AH492" i="6"/>
  <c r="AJ492" i="6" s="1"/>
  <c r="AK492" i="6" s="1"/>
  <c r="AL492" i="6" s="1"/>
  <c r="AF493" i="6"/>
  <c r="AG493" i="6"/>
  <c r="AH493" i="6"/>
  <c r="AJ493" i="6" s="1"/>
  <c r="AI493" i="6"/>
  <c r="AK493" i="6"/>
  <c r="AF494" i="6"/>
  <c r="AG494" i="6"/>
  <c r="AH494" i="6"/>
  <c r="AJ494" i="6" s="1"/>
  <c r="AK494" i="6" s="1"/>
  <c r="AL494" i="6" s="1"/>
  <c r="AI494" i="6"/>
  <c r="AF495" i="6"/>
  <c r="AG495" i="6"/>
  <c r="AH495" i="6" s="1"/>
  <c r="AI495" i="6"/>
  <c r="AJ495" i="6"/>
  <c r="AK495" i="6"/>
  <c r="AF496" i="6"/>
  <c r="AG496" i="6"/>
  <c r="AF497" i="6"/>
  <c r="AG497" i="6"/>
  <c r="AF498" i="6"/>
  <c r="AG498" i="6"/>
  <c r="AH498" i="6"/>
  <c r="AJ498" i="6" s="1"/>
  <c r="AK498" i="6" s="1"/>
  <c r="AI498" i="6"/>
  <c r="AL498" i="6" s="1"/>
  <c r="AF499" i="6"/>
  <c r="AG499" i="6"/>
  <c r="AF500" i="6"/>
  <c r="AG500" i="6"/>
  <c r="AI500" i="6" s="1"/>
  <c r="AH500" i="6"/>
  <c r="AJ500" i="6" s="1"/>
  <c r="AK500" i="6"/>
  <c r="AL500" i="6" s="1"/>
  <c r="AF501" i="6"/>
  <c r="AG501" i="6"/>
  <c r="AI501" i="6" s="1"/>
  <c r="AL501" i="6" s="1"/>
  <c r="AH501" i="6"/>
  <c r="AJ501" i="6" s="1"/>
  <c r="AK501" i="6"/>
  <c r="AF502" i="6"/>
  <c r="AG502" i="6"/>
  <c r="AH502" i="6"/>
  <c r="AI502" i="6"/>
  <c r="AL502" i="6" s="1"/>
  <c r="AJ502" i="6"/>
  <c r="AK502" i="6" s="1"/>
  <c r="AF503" i="6"/>
  <c r="AG503" i="6"/>
  <c r="AH503" i="6" s="1"/>
  <c r="AJ503" i="6" s="1"/>
  <c r="AI503" i="6"/>
  <c r="AL503" i="6" s="1"/>
  <c r="AK503" i="6"/>
  <c r="AF504" i="6"/>
  <c r="AG504" i="6"/>
  <c r="AF505" i="6"/>
  <c r="AG505" i="6"/>
  <c r="AH505" i="6" s="1"/>
  <c r="AJ505" i="6" s="1"/>
  <c r="AK505" i="6" s="1"/>
  <c r="AI505" i="6"/>
  <c r="AL505" i="6" s="1"/>
  <c r="AF506" i="6"/>
  <c r="AG506" i="6"/>
  <c r="AH506" i="6"/>
  <c r="AI506" i="6"/>
  <c r="AL506" i="6" s="1"/>
  <c r="AJ506" i="6"/>
  <c r="AK506" i="6" s="1"/>
  <c r="AF507" i="6"/>
  <c r="AG507" i="6"/>
  <c r="AF508" i="6"/>
  <c r="AG508" i="6"/>
  <c r="AI508" i="6" s="1"/>
  <c r="AH508" i="6"/>
  <c r="AJ508" i="6" s="1"/>
  <c r="AK508" i="6"/>
  <c r="AL508" i="6" s="1"/>
  <c r="AF509" i="6"/>
  <c r="AG509" i="6"/>
  <c r="AH509" i="6"/>
  <c r="AJ509" i="6" s="1"/>
  <c r="AK509" i="6" s="1"/>
  <c r="AI509" i="6"/>
  <c r="AL509" i="6" s="1"/>
  <c r="AF510" i="6"/>
  <c r="AG510" i="6"/>
  <c r="AH510" i="6"/>
  <c r="AJ510" i="6" s="1"/>
  <c r="AK510" i="6" s="1"/>
  <c r="AL510" i="6" s="1"/>
  <c r="AI510" i="6"/>
  <c r="AF511" i="6"/>
  <c r="AG511" i="6"/>
  <c r="AH511" i="6" s="1"/>
  <c r="AI511" i="6"/>
  <c r="AJ511" i="6"/>
  <c r="AK511" i="6"/>
  <c r="AF512" i="6"/>
  <c r="AG512" i="6"/>
  <c r="AF513" i="6"/>
  <c r="AG513" i="6"/>
  <c r="AH513" i="6" s="1"/>
  <c r="AJ513" i="6" s="1"/>
  <c r="AK513" i="6" s="1"/>
  <c r="AI513" i="6"/>
  <c r="AL513" i="6" s="1"/>
  <c r="AF514" i="6"/>
  <c r="AG514" i="6"/>
  <c r="AH514" i="6"/>
  <c r="AJ514" i="6" s="1"/>
  <c r="AK514" i="6" s="1"/>
  <c r="AL514" i="6" s="1"/>
  <c r="AI514" i="6"/>
  <c r="AF515" i="6"/>
  <c r="AG515" i="6"/>
  <c r="AF516" i="6"/>
  <c r="AG516" i="6"/>
  <c r="AI516" i="6" s="1"/>
  <c r="AH516" i="6"/>
  <c r="AJ516" i="6" s="1"/>
  <c r="AK516" i="6" s="1"/>
  <c r="AL516" i="6" s="1"/>
  <c r="AF517" i="6"/>
  <c r="AG517" i="6"/>
  <c r="AI517" i="6" s="1"/>
  <c r="AH517" i="6"/>
  <c r="AJ517" i="6" s="1"/>
  <c r="AK517" i="6" s="1"/>
  <c r="AF518" i="6"/>
  <c r="AG518" i="6"/>
  <c r="AH518" i="6"/>
  <c r="AJ518" i="6" s="1"/>
  <c r="AK518" i="6" s="1"/>
  <c r="AI518" i="6"/>
  <c r="AF519" i="6"/>
  <c r="AG519" i="6"/>
  <c r="AH519" i="6" s="1"/>
  <c r="AJ519" i="6" s="1"/>
  <c r="AK519" i="6" s="1"/>
  <c r="AI519" i="6"/>
  <c r="AF520" i="6"/>
  <c r="AG520" i="6"/>
  <c r="AF521" i="6"/>
  <c r="AG521" i="6"/>
  <c r="AF522" i="6"/>
  <c r="AG522" i="6"/>
  <c r="AH522" i="6"/>
  <c r="AI522" i="6"/>
  <c r="AL522" i="6" s="1"/>
  <c r="AJ522" i="6"/>
  <c r="AK522" i="6" s="1"/>
  <c r="AF523" i="6"/>
  <c r="AG523" i="6"/>
  <c r="AF524" i="6"/>
  <c r="AG524" i="6"/>
  <c r="AI524" i="6" s="1"/>
  <c r="AH524" i="6"/>
  <c r="AJ524" i="6" s="1"/>
  <c r="AK524" i="6" s="1"/>
  <c r="AL524" i="6" s="1"/>
  <c r="AF525" i="6"/>
  <c r="AG525" i="6"/>
  <c r="AH525" i="6"/>
  <c r="AJ525" i="6" s="1"/>
  <c r="AI525" i="6"/>
  <c r="AK525" i="6"/>
  <c r="AF526" i="6"/>
  <c r="AG526" i="6"/>
  <c r="AH526" i="6"/>
  <c r="AI526" i="6"/>
  <c r="AJ526" i="6"/>
  <c r="AK526" i="6" s="1"/>
  <c r="AL526" i="6" s="1"/>
  <c r="AF527" i="6"/>
  <c r="AG527" i="6"/>
  <c r="AH527" i="6" s="1"/>
  <c r="AI527" i="6"/>
  <c r="AL527" i="6" s="1"/>
  <c r="AJ527" i="6"/>
  <c r="AK527" i="6"/>
  <c r="AF528" i="6"/>
  <c r="AG528" i="6"/>
  <c r="AF529" i="6"/>
  <c r="AG529" i="6"/>
  <c r="AF530" i="6"/>
  <c r="AG530" i="6"/>
  <c r="AH530" i="6"/>
  <c r="AJ530" i="6" s="1"/>
  <c r="AK530" i="6" s="1"/>
  <c r="AI530" i="6"/>
  <c r="AL530" i="6" s="1"/>
  <c r="AF531" i="6"/>
  <c r="AG531" i="6"/>
  <c r="AF532" i="6"/>
  <c r="AG532" i="6"/>
  <c r="AI532" i="6" s="1"/>
  <c r="AH532" i="6"/>
  <c r="AJ532" i="6" s="1"/>
  <c r="AK532" i="6"/>
  <c r="AL532" i="6" s="1"/>
  <c r="AF533" i="6"/>
  <c r="AG533" i="6"/>
  <c r="AI533" i="6" s="1"/>
  <c r="AH533" i="6"/>
  <c r="AJ533" i="6" s="1"/>
  <c r="AK533" i="6"/>
  <c r="AF534" i="6"/>
  <c r="AG534" i="6"/>
  <c r="AH534" i="6"/>
  <c r="AJ534" i="6" s="1"/>
  <c r="AK534" i="6" s="1"/>
  <c r="AI534" i="6"/>
  <c r="AL534" i="6" s="1"/>
  <c r="AF535" i="6"/>
  <c r="AG535" i="6"/>
  <c r="AH535" i="6" s="1"/>
  <c r="AJ535" i="6" s="1"/>
  <c r="AK535" i="6" s="1"/>
  <c r="AI535" i="6"/>
  <c r="AF536" i="6"/>
  <c r="AG536" i="6"/>
  <c r="AF537" i="6"/>
  <c r="AG537" i="6"/>
  <c r="AH537" i="6" s="1"/>
  <c r="AJ537" i="6" s="1"/>
  <c r="AK537" i="6" s="1"/>
  <c r="AI537" i="6"/>
  <c r="AL537" i="6" s="1"/>
  <c r="AF538" i="6"/>
  <c r="AG538" i="6"/>
  <c r="AH538" i="6"/>
  <c r="AI538" i="6"/>
  <c r="AJ538" i="6"/>
  <c r="AK538" i="6" s="1"/>
  <c r="AL538" i="6"/>
  <c r="AF539" i="6"/>
  <c r="AG539" i="6"/>
  <c r="AF540" i="6"/>
  <c r="AG540" i="6"/>
  <c r="AI540" i="6" s="1"/>
  <c r="AH540" i="6"/>
  <c r="AJ540" i="6" s="1"/>
  <c r="AK540" i="6"/>
  <c r="AL540" i="6" s="1"/>
  <c r="AF541" i="6"/>
  <c r="AG541" i="6"/>
  <c r="AH541" i="6"/>
  <c r="AJ541" i="6" s="1"/>
  <c r="AI541" i="6"/>
  <c r="AL541" i="6" s="1"/>
  <c r="AK541" i="6"/>
  <c r="AF542" i="6"/>
  <c r="AG542" i="6"/>
  <c r="AH542" i="6"/>
  <c r="AI542" i="6"/>
  <c r="AJ542" i="6"/>
  <c r="AK542" i="6" s="1"/>
  <c r="AL542" i="6" s="1"/>
  <c r="AF543" i="6"/>
  <c r="AG543" i="6"/>
  <c r="AH543" i="6" s="1"/>
  <c r="AI543" i="6"/>
  <c r="AL543" i="6" s="1"/>
  <c r="AJ543" i="6"/>
  <c r="AK543" i="6"/>
  <c r="AF544" i="6"/>
  <c r="AG544" i="6"/>
  <c r="AF545" i="6"/>
  <c r="AG545" i="6"/>
  <c r="AH545" i="6" s="1"/>
  <c r="AJ545" i="6" s="1"/>
  <c r="AK545" i="6" s="1"/>
  <c r="AI545" i="6"/>
  <c r="AL545" i="6" s="1"/>
  <c r="AF546" i="6"/>
  <c r="AG546" i="6"/>
  <c r="AH546" i="6"/>
  <c r="AJ546" i="6" s="1"/>
  <c r="AK546" i="6" s="1"/>
  <c r="AI546" i="6"/>
  <c r="AL546" i="6"/>
  <c r="AF547" i="6"/>
  <c r="AG547" i="6"/>
  <c r="AF548" i="6"/>
  <c r="AG548" i="6"/>
  <c r="AI548" i="6" s="1"/>
  <c r="AH548" i="6"/>
  <c r="AJ548" i="6" s="1"/>
  <c r="AK548" i="6" s="1"/>
  <c r="AL548" i="6" s="1"/>
  <c r="AF549" i="6"/>
  <c r="AG549" i="6"/>
  <c r="AI549" i="6" s="1"/>
  <c r="AH549" i="6"/>
  <c r="AJ549" i="6" s="1"/>
  <c r="AK549" i="6" s="1"/>
  <c r="AF550" i="6"/>
  <c r="AG550" i="6"/>
  <c r="AH550" i="6"/>
  <c r="AI550" i="6"/>
  <c r="AJ550" i="6"/>
  <c r="AK550" i="6" s="1"/>
  <c r="AF551" i="6"/>
  <c r="AG551" i="6"/>
  <c r="AH551" i="6" s="1"/>
  <c r="AJ551" i="6" s="1"/>
  <c r="AI551" i="6"/>
  <c r="AK551" i="6"/>
  <c r="AF552" i="6"/>
  <c r="AG552" i="6"/>
  <c r="AF553" i="6"/>
  <c r="AG553" i="6"/>
  <c r="AF554" i="6"/>
  <c r="AG554" i="6"/>
  <c r="AH554" i="6"/>
  <c r="AI554" i="6"/>
  <c r="AJ554" i="6"/>
  <c r="AK554" i="6" s="1"/>
  <c r="AL554" i="6"/>
  <c r="AF555" i="6"/>
  <c r="AG555" i="6"/>
  <c r="AF556" i="6"/>
  <c r="AG556" i="6"/>
  <c r="AI556" i="6" s="1"/>
  <c r="AH556" i="6"/>
  <c r="AJ556" i="6" s="1"/>
  <c r="AK556" i="6" s="1"/>
  <c r="AL556" i="6" s="1"/>
  <c r="AF557" i="6"/>
  <c r="AG557" i="6"/>
  <c r="AH557" i="6"/>
  <c r="AJ557" i="6" s="1"/>
  <c r="AK557" i="6" s="1"/>
  <c r="AI557" i="6"/>
  <c r="AF558" i="6"/>
  <c r="AG558" i="6"/>
  <c r="AH558" i="6"/>
  <c r="AJ558" i="6" s="1"/>
  <c r="AK558" i="6" s="1"/>
  <c r="AL558" i="6" s="1"/>
  <c r="AI558" i="6"/>
  <c r="AF559" i="6"/>
  <c r="AG559" i="6"/>
  <c r="AH559" i="6" s="1"/>
  <c r="AI559" i="6"/>
  <c r="AJ559" i="6"/>
  <c r="AK559" i="6"/>
  <c r="AF560" i="6"/>
  <c r="AG560" i="6"/>
  <c r="AF561" i="6"/>
  <c r="AG561" i="6"/>
  <c r="AF562" i="6"/>
  <c r="AG562" i="6"/>
  <c r="AH562" i="6"/>
  <c r="AJ562" i="6" s="1"/>
  <c r="AK562" i="6" s="1"/>
  <c r="AI562" i="6"/>
  <c r="AL562" i="6" s="1"/>
  <c r="AF563" i="6"/>
  <c r="AG563" i="6"/>
  <c r="AF564" i="6"/>
  <c r="AG564" i="6"/>
  <c r="AI564" i="6" s="1"/>
  <c r="AH564" i="6"/>
  <c r="AJ564" i="6" s="1"/>
  <c r="AK564" i="6"/>
  <c r="AL564" i="6" s="1"/>
  <c r="AF565" i="6"/>
  <c r="AG565" i="6"/>
  <c r="AI565" i="6" s="1"/>
  <c r="AH565" i="6"/>
  <c r="AJ565" i="6" s="1"/>
  <c r="AK565" i="6"/>
  <c r="AF566" i="6"/>
  <c r="AG566" i="6"/>
  <c r="AH566" i="6"/>
  <c r="AI566" i="6"/>
  <c r="AL566" i="6" s="1"/>
  <c r="AJ566" i="6"/>
  <c r="AK566" i="6" s="1"/>
  <c r="AF567" i="6"/>
  <c r="AG567" i="6"/>
  <c r="AH567" i="6" s="1"/>
  <c r="AJ567" i="6" s="1"/>
  <c r="AI567" i="6"/>
  <c r="AL567" i="6" s="1"/>
  <c r="AK567" i="6"/>
  <c r="AF568" i="6"/>
  <c r="AG568" i="6"/>
  <c r="AF569" i="6"/>
  <c r="AG569" i="6"/>
  <c r="AH569" i="6" s="1"/>
  <c r="AJ569" i="6" s="1"/>
  <c r="AK569" i="6" s="1"/>
  <c r="AI569" i="6"/>
  <c r="AL569" i="6" s="1"/>
  <c r="AF570" i="6"/>
  <c r="AG570" i="6"/>
  <c r="AH570" i="6"/>
  <c r="AI570" i="6"/>
  <c r="AL570" i="6" s="1"/>
  <c r="AJ570" i="6"/>
  <c r="AK570" i="6" s="1"/>
  <c r="AF571" i="6"/>
  <c r="AG571" i="6"/>
  <c r="AF572" i="6"/>
  <c r="AG572" i="6"/>
  <c r="AI572" i="6" s="1"/>
  <c r="AH572" i="6"/>
  <c r="AJ572" i="6" s="1"/>
  <c r="AK572" i="6"/>
  <c r="AL572" i="6" s="1"/>
  <c r="AF573" i="6"/>
  <c r="AG573" i="6"/>
  <c r="AH573" i="6"/>
  <c r="AJ573" i="6" s="1"/>
  <c r="AK573" i="6" s="1"/>
  <c r="AI573" i="6"/>
  <c r="AL573" i="6" s="1"/>
  <c r="AF574" i="6"/>
  <c r="AG574" i="6"/>
  <c r="AH574" i="6"/>
  <c r="AI574" i="6"/>
  <c r="AJ574" i="6"/>
  <c r="AK574" i="6" s="1"/>
  <c r="AL574" i="6" s="1"/>
  <c r="AF575" i="6"/>
  <c r="AG575" i="6"/>
  <c r="AH575" i="6" s="1"/>
  <c r="AI575" i="6"/>
  <c r="AJ575" i="6"/>
  <c r="AK575" i="6"/>
  <c r="AF576" i="6"/>
  <c r="AG576" i="6"/>
  <c r="AF577" i="6"/>
  <c r="AG577" i="6"/>
  <c r="AH577" i="6" s="1"/>
  <c r="AJ577" i="6" s="1"/>
  <c r="AK577" i="6" s="1"/>
  <c r="AI577" i="6"/>
  <c r="AL577" i="6" s="1"/>
  <c r="AF578" i="6"/>
  <c r="AG578" i="6"/>
  <c r="AH578" i="6"/>
  <c r="AJ578" i="6" s="1"/>
  <c r="AK578" i="6" s="1"/>
  <c r="AI578" i="6"/>
  <c r="AL578" i="6"/>
  <c r="AF579" i="6"/>
  <c r="AG579" i="6"/>
  <c r="AF580" i="6"/>
  <c r="AG580" i="6"/>
  <c r="AI580" i="6" s="1"/>
  <c r="AH580" i="6"/>
  <c r="AJ580" i="6" s="1"/>
  <c r="AK580" i="6" s="1"/>
  <c r="AL580" i="6" s="1"/>
  <c r="AF581" i="6"/>
  <c r="AG581" i="6"/>
  <c r="AI581" i="6" s="1"/>
  <c r="AH581" i="6"/>
  <c r="AJ581" i="6" s="1"/>
  <c r="AK581" i="6" s="1"/>
  <c r="AF582" i="6"/>
  <c r="AG582" i="6"/>
  <c r="AH582" i="6"/>
  <c r="AJ582" i="6" s="1"/>
  <c r="AK582" i="6" s="1"/>
  <c r="AI582" i="6"/>
  <c r="AF583" i="6"/>
  <c r="AG583" i="6"/>
  <c r="AH583" i="6" s="1"/>
  <c r="AJ583" i="6" s="1"/>
  <c r="AK583" i="6" s="1"/>
  <c r="AI583" i="6"/>
  <c r="AF584" i="6"/>
  <c r="AG584" i="6"/>
  <c r="AF585" i="6"/>
  <c r="AG585" i="6"/>
  <c r="AF586" i="6"/>
  <c r="AG586" i="6"/>
  <c r="AH586" i="6"/>
  <c r="AI586" i="6"/>
  <c r="AL586" i="6" s="1"/>
  <c r="AJ586" i="6"/>
  <c r="AK586" i="6" s="1"/>
  <c r="AF587" i="6"/>
  <c r="AG587" i="6"/>
  <c r="AF588" i="6"/>
  <c r="AG588" i="6"/>
  <c r="AI588" i="6" s="1"/>
  <c r="AH588" i="6"/>
  <c r="AJ588" i="6" s="1"/>
  <c r="AK588" i="6" s="1"/>
  <c r="AL588" i="6" s="1"/>
  <c r="AF589" i="6"/>
  <c r="AG589" i="6"/>
  <c r="AH589" i="6"/>
  <c r="AJ589" i="6" s="1"/>
  <c r="AI589" i="6"/>
  <c r="AK589" i="6"/>
  <c r="AF590" i="6"/>
  <c r="AG590" i="6"/>
  <c r="AH590" i="6"/>
  <c r="AI590" i="6"/>
  <c r="AJ590" i="6"/>
  <c r="AK590" i="6" s="1"/>
  <c r="AL590" i="6" s="1"/>
  <c r="AF591" i="6"/>
  <c r="AG591" i="6"/>
  <c r="AH591" i="6" s="1"/>
  <c r="AI591" i="6"/>
  <c r="AL591" i="6" s="1"/>
  <c r="AJ591" i="6"/>
  <c r="AK591" i="6"/>
  <c r="AF592" i="6"/>
  <c r="AG592" i="6"/>
  <c r="AF593" i="6"/>
  <c r="AG593" i="6"/>
  <c r="AF594" i="6"/>
  <c r="AG594" i="6"/>
  <c r="AH594" i="6"/>
  <c r="AJ594" i="6" s="1"/>
  <c r="AK594" i="6" s="1"/>
  <c r="AI594" i="6"/>
  <c r="AL594" i="6" s="1"/>
  <c r="AF595" i="6"/>
  <c r="AG595" i="6"/>
  <c r="AF596" i="6"/>
  <c r="AG596" i="6"/>
  <c r="AI596" i="6" s="1"/>
  <c r="AH596" i="6"/>
  <c r="AJ596" i="6" s="1"/>
  <c r="AK596" i="6"/>
  <c r="AL596" i="6" s="1"/>
  <c r="AF597" i="6"/>
  <c r="AG597" i="6"/>
  <c r="AI597" i="6" s="1"/>
  <c r="AL597" i="6" s="1"/>
  <c r="AH597" i="6"/>
  <c r="AJ597" i="6" s="1"/>
  <c r="AK597" i="6"/>
  <c r="AF598" i="6"/>
  <c r="AG598" i="6"/>
  <c r="AH598" i="6"/>
  <c r="AJ598" i="6" s="1"/>
  <c r="AK598" i="6" s="1"/>
  <c r="AI598" i="6"/>
  <c r="AF599" i="6"/>
  <c r="AG599" i="6"/>
  <c r="AH599" i="6" s="1"/>
  <c r="AJ599" i="6" s="1"/>
  <c r="AK599" i="6" s="1"/>
  <c r="AI599" i="6"/>
  <c r="AF600" i="6"/>
  <c r="AG600" i="6"/>
  <c r="AF601" i="6"/>
  <c r="AG601" i="6"/>
  <c r="AH601" i="6" s="1"/>
  <c r="AJ601" i="6" s="1"/>
  <c r="AK601" i="6" s="1"/>
  <c r="AI601" i="6"/>
  <c r="AL601" i="6" s="1"/>
  <c r="AF602" i="6"/>
  <c r="AG602" i="6"/>
  <c r="AH602" i="6"/>
  <c r="AI602" i="6"/>
  <c r="AJ602" i="6"/>
  <c r="AK602" i="6" s="1"/>
  <c r="AL602" i="6"/>
  <c r="AF603" i="6"/>
  <c r="AG603" i="6"/>
  <c r="AF604" i="6"/>
  <c r="AG604" i="6"/>
  <c r="AI604" i="6" s="1"/>
  <c r="AH604" i="6"/>
  <c r="AJ604" i="6" s="1"/>
  <c r="AK604" i="6"/>
  <c r="AL604" i="6" s="1"/>
  <c r="AF605" i="6"/>
  <c r="AG605" i="6"/>
  <c r="AH605" i="6"/>
  <c r="AJ605" i="6" s="1"/>
  <c r="AI605" i="6"/>
  <c r="AL605" i="6" s="1"/>
  <c r="AK605" i="6"/>
  <c r="AF606" i="6"/>
  <c r="AG606" i="6"/>
  <c r="AH606" i="6"/>
  <c r="AJ606" i="6" s="1"/>
  <c r="AK606" i="6" s="1"/>
  <c r="AL606" i="6" s="1"/>
  <c r="AI606" i="6"/>
  <c r="AF607" i="6"/>
  <c r="AG607" i="6"/>
  <c r="AH607" i="6" s="1"/>
  <c r="AI607" i="6"/>
  <c r="AL607" i="6" s="1"/>
  <c r="AJ607" i="6"/>
  <c r="AK607" i="6"/>
  <c r="AF608" i="6"/>
  <c r="AG608" i="6"/>
  <c r="AF609" i="6"/>
  <c r="AG609" i="6"/>
  <c r="AH609" i="6" s="1"/>
  <c r="AJ609" i="6" s="1"/>
  <c r="AK609" i="6" s="1"/>
  <c r="AI609" i="6"/>
  <c r="AL609" i="6" s="1"/>
  <c r="AF610" i="6"/>
  <c r="AG610" i="6"/>
  <c r="AH610" i="6"/>
  <c r="AJ610" i="6" s="1"/>
  <c r="AK610" i="6" s="1"/>
  <c r="AL610" i="6" s="1"/>
  <c r="AI610" i="6"/>
  <c r="AF611" i="6"/>
  <c r="AG611" i="6"/>
  <c r="AF612" i="6"/>
  <c r="AG612" i="6"/>
  <c r="AI612" i="6" s="1"/>
  <c r="AH612" i="6"/>
  <c r="AJ612" i="6" s="1"/>
  <c r="AK612" i="6" s="1"/>
  <c r="AL612" i="6" s="1"/>
  <c r="AF613" i="6"/>
  <c r="AG613" i="6"/>
  <c r="AI613" i="6" s="1"/>
  <c r="AH613" i="6"/>
  <c r="AJ613" i="6" s="1"/>
  <c r="AK613" i="6" s="1"/>
  <c r="AF614" i="6"/>
  <c r="AG614" i="6"/>
  <c r="AH614" i="6"/>
  <c r="AI614" i="6"/>
  <c r="AJ614" i="6"/>
  <c r="AK614" i="6" s="1"/>
  <c r="AF615" i="6"/>
  <c r="AG615" i="6"/>
  <c r="AH615" i="6" s="1"/>
  <c r="AJ615" i="6" s="1"/>
  <c r="AI615" i="6"/>
  <c r="AK615" i="6"/>
  <c r="AF616" i="6"/>
  <c r="AG616" i="6"/>
  <c r="AF617" i="6"/>
  <c r="AG617" i="6"/>
  <c r="AF618" i="6"/>
  <c r="AG618" i="6"/>
  <c r="AH618" i="6"/>
  <c r="AI618" i="6"/>
  <c r="AJ618" i="6"/>
  <c r="AK618" i="6" s="1"/>
  <c r="AL618" i="6"/>
  <c r="AF619" i="6"/>
  <c r="AG619" i="6"/>
  <c r="AF620" i="6"/>
  <c r="AG620" i="6"/>
  <c r="AF621" i="6"/>
  <c r="AG621" i="6"/>
  <c r="AH621" i="6"/>
  <c r="AJ621" i="6" s="1"/>
  <c r="AK621" i="6" s="1"/>
  <c r="AI621" i="6"/>
  <c r="AF622" i="6"/>
  <c r="AG622" i="6"/>
  <c r="AH622" i="6"/>
  <c r="AI622" i="6"/>
  <c r="AJ622" i="6"/>
  <c r="AK622" i="6" s="1"/>
  <c r="AL622" i="6"/>
  <c r="AF623" i="6"/>
  <c r="AG623" i="6"/>
  <c r="AH623" i="6" s="1"/>
  <c r="AI623" i="6"/>
  <c r="AJ623" i="6"/>
  <c r="AK623" i="6" s="1"/>
  <c r="AF624" i="6"/>
  <c r="AG624" i="6"/>
  <c r="AI624" i="6" s="1"/>
  <c r="AH624" i="6"/>
  <c r="AJ624" i="6" s="1"/>
  <c r="AK624" i="6" s="1"/>
  <c r="AL624" i="6"/>
  <c r="AF625" i="6"/>
  <c r="AG625" i="6"/>
  <c r="AF626" i="6"/>
  <c r="AG626" i="6"/>
  <c r="AH626" i="6"/>
  <c r="AJ626" i="6" s="1"/>
  <c r="AK626" i="6" s="1"/>
  <c r="AI626" i="6"/>
  <c r="AL626" i="6"/>
  <c r="AF627" i="6"/>
  <c r="AG627" i="6"/>
  <c r="AF628" i="6"/>
  <c r="AG628" i="6"/>
  <c r="AI628" i="6" s="1"/>
  <c r="AH628" i="6"/>
  <c r="AJ628" i="6"/>
  <c r="AK628" i="6" s="1"/>
  <c r="AL628" i="6" s="1"/>
  <c r="AF629" i="6"/>
  <c r="AG629" i="6"/>
  <c r="AI629" i="6" s="1"/>
  <c r="AH629" i="6"/>
  <c r="AJ629" i="6" s="1"/>
  <c r="AK629" i="6" s="1"/>
  <c r="AL629" i="6"/>
  <c r="AF630" i="6"/>
  <c r="AG630" i="6"/>
  <c r="AH630" i="6"/>
  <c r="AI630" i="6"/>
  <c r="AL630" i="6" s="1"/>
  <c r="AJ630" i="6"/>
  <c r="AK630" i="6" s="1"/>
  <c r="AF631" i="6"/>
  <c r="AG631" i="6"/>
  <c r="AH631" i="6" s="1"/>
  <c r="AJ631" i="6" s="1"/>
  <c r="AI631" i="6"/>
  <c r="AL631" i="6" s="1"/>
  <c r="AK631" i="6"/>
  <c r="AF632" i="6"/>
  <c r="AG632" i="6"/>
  <c r="AF633" i="6"/>
  <c r="AG633" i="6"/>
  <c r="AH633" i="6" s="1"/>
  <c r="AJ633" i="6" s="1"/>
  <c r="AK633" i="6" s="1"/>
  <c r="AI633" i="6"/>
  <c r="AL633" i="6" s="1"/>
  <c r="AF634" i="6"/>
  <c r="AG634" i="6"/>
  <c r="AH634" i="6"/>
  <c r="AI634" i="6"/>
  <c r="AJ634" i="6"/>
  <c r="AK634" i="6" s="1"/>
  <c r="AL634" i="6" s="1"/>
  <c r="AF635" i="6"/>
  <c r="AG635" i="6"/>
  <c r="AH635" i="6" s="1"/>
  <c r="AI635" i="6"/>
  <c r="AL635" i="6" s="1"/>
  <c r="AJ635" i="6"/>
  <c r="AK635" i="6" s="1"/>
  <c r="AF636" i="6"/>
  <c r="AG636" i="6"/>
  <c r="AI636" i="6" s="1"/>
  <c r="AH636" i="6"/>
  <c r="AJ636" i="6" s="1"/>
  <c r="AK636" i="6" s="1"/>
  <c r="AL636" i="6"/>
  <c r="AF637" i="6"/>
  <c r="AG637" i="6"/>
  <c r="AH637" i="6"/>
  <c r="AJ637" i="6" s="1"/>
  <c r="AK637" i="6" s="1"/>
  <c r="AI637" i="6"/>
  <c r="AL637" i="6" s="1"/>
  <c r="AF638" i="6"/>
  <c r="AG638" i="6"/>
  <c r="AH638" i="6"/>
  <c r="AJ638" i="6" s="1"/>
  <c r="AK638" i="6" s="1"/>
  <c r="AL638" i="6" s="1"/>
  <c r="AI638" i="6"/>
  <c r="AF639" i="6"/>
  <c r="AG639" i="6"/>
  <c r="AH639" i="6" s="1"/>
  <c r="AI639" i="6"/>
  <c r="AL639" i="6" s="1"/>
  <c r="AJ639" i="6"/>
  <c r="AK639" i="6"/>
  <c r="AF640" i="6"/>
  <c r="AG640" i="6"/>
  <c r="AF641" i="6"/>
  <c r="AG641" i="6"/>
  <c r="AH641" i="6" s="1"/>
  <c r="AJ641" i="6" s="1"/>
  <c r="AK641" i="6" s="1"/>
  <c r="AI641" i="6"/>
  <c r="AL641" i="6" s="1"/>
  <c r="AF642" i="6"/>
  <c r="AG642" i="6"/>
  <c r="AH642" i="6"/>
  <c r="AJ642" i="6" s="1"/>
  <c r="AK642" i="6" s="1"/>
  <c r="AI642" i="6"/>
  <c r="AL642" i="6" s="1"/>
  <c r="AF643" i="6"/>
  <c r="AG643" i="6"/>
  <c r="AF644" i="6"/>
  <c r="AG644" i="6"/>
  <c r="AI644" i="6" s="1"/>
  <c r="AH644" i="6"/>
  <c r="AJ644" i="6" s="1"/>
  <c r="AK644" i="6"/>
  <c r="AL644" i="6" s="1"/>
  <c r="AF645" i="6"/>
  <c r="AG645" i="6"/>
  <c r="AF646" i="6"/>
  <c r="AG646" i="6"/>
  <c r="AH646" i="6"/>
  <c r="AI646" i="6"/>
  <c r="AJ646" i="6"/>
  <c r="AK646" i="6" s="1"/>
  <c r="AF647" i="6"/>
  <c r="AG647" i="6"/>
  <c r="AF648" i="6"/>
  <c r="AG648" i="6"/>
  <c r="AF649" i="6"/>
  <c r="AG649" i="6"/>
  <c r="AH649" i="6"/>
  <c r="AJ649" i="6" s="1"/>
  <c r="AK649" i="6" s="1"/>
  <c r="AI649" i="6"/>
  <c r="AL649" i="6"/>
  <c r="AF650" i="6"/>
  <c r="AG650" i="6"/>
  <c r="AH650" i="6"/>
  <c r="AI650" i="6"/>
  <c r="AL650" i="6" s="1"/>
  <c r="AJ650" i="6"/>
  <c r="AK650" i="6" s="1"/>
  <c r="AF651" i="6"/>
  <c r="AG651" i="6"/>
  <c r="AF652" i="6"/>
  <c r="AG652" i="6"/>
  <c r="AF653" i="6"/>
  <c r="AG653" i="6"/>
  <c r="AH653" i="6"/>
  <c r="AJ653" i="6" s="1"/>
  <c r="AI653" i="6"/>
  <c r="AK653" i="6"/>
  <c r="AF654" i="6"/>
  <c r="AG654" i="6"/>
  <c r="AH654" i="6"/>
  <c r="AJ654" i="6" s="1"/>
  <c r="AK654" i="6" s="1"/>
  <c r="AL654" i="6" s="1"/>
  <c r="AI654" i="6"/>
  <c r="AF655" i="6"/>
  <c r="AG655" i="6"/>
  <c r="AH655" i="6" s="1"/>
  <c r="AI655" i="6"/>
  <c r="AJ655" i="6"/>
  <c r="AK655" i="6" s="1"/>
  <c r="AF656" i="6"/>
  <c r="AG656" i="6"/>
  <c r="AI656" i="6" s="1"/>
  <c r="AH656" i="6"/>
  <c r="AJ656" i="6" s="1"/>
  <c r="AK656" i="6" s="1"/>
  <c r="AL656" i="6" s="1"/>
  <c r="AF657" i="6"/>
  <c r="AG657" i="6"/>
  <c r="AF658" i="6"/>
  <c r="AG658" i="6"/>
  <c r="AH658" i="6"/>
  <c r="AJ658" i="6" s="1"/>
  <c r="AK658" i="6" s="1"/>
  <c r="AL658" i="6" s="1"/>
  <c r="AI658" i="6"/>
  <c r="AF659" i="6"/>
  <c r="AG659" i="6"/>
  <c r="AF660" i="6"/>
  <c r="AG660" i="6"/>
  <c r="AI660" i="6" s="1"/>
  <c r="AH660" i="6"/>
  <c r="AJ660" i="6"/>
  <c r="AK660" i="6" s="1"/>
  <c r="AL660" i="6" s="1"/>
  <c r="AF661" i="6"/>
  <c r="AG661" i="6"/>
  <c r="AI661" i="6" s="1"/>
  <c r="AH661" i="6"/>
  <c r="AJ661" i="6" s="1"/>
  <c r="AK661" i="6" s="1"/>
  <c r="AL661" i="6"/>
  <c r="AF662" i="6"/>
  <c r="AG662" i="6"/>
  <c r="AH662" i="6"/>
  <c r="AJ662" i="6" s="1"/>
  <c r="AK662" i="6" s="1"/>
  <c r="AI662" i="6"/>
  <c r="AL662" i="6" s="1"/>
  <c r="AF663" i="6"/>
  <c r="AG663" i="6"/>
  <c r="AH663" i="6" s="1"/>
  <c r="AJ663" i="6" s="1"/>
  <c r="AK663" i="6" s="1"/>
  <c r="AI663" i="6"/>
  <c r="AL663" i="6" s="1"/>
  <c r="AF664" i="6"/>
  <c r="AG664" i="6"/>
  <c r="AF665" i="6"/>
  <c r="AG665" i="6"/>
  <c r="AH665" i="6" s="1"/>
  <c r="AJ665" i="6" s="1"/>
  <c r="AK665" i="6" s="1"/>
  <c r="AF666" i="6"/>
  <c r="AG666" i="6"/>
  <c r="AH666" i="6"/>
  <c r="AI666" i="6"/>
  <c r="AJ666" i="6"/>
  <c r="AK666" i="6" s="1"/>
  <c r="AF667" i="6"/>
  <c r="AG667" i="6"/>
  <c r="AH667" i="6" s="1"/>
  <c r="AJ667" i="6" s="1"/>
  <c r="AK667" i="6" s="1"/>
  <c r="AI667" i="6"/>
  <c r="AF668" i="6"/>
  <c r="AG668" i="6"/>
  <c r="AI668" i="6" s="1"/>
  <c r="AH668" i="6"/>
  <c r="AJ668" i="6" s="1"/>
  <c r="AK668" i="6" s="1"/>
  <c r="AL668" i="6" s="1"/>
  <c r="AF669" i="6"/>
  <c r="AG669" i="6"/>
  <c r="AH669" i="6"/>
  <c r="AJ669" i="6" s="1"/>
  <c r="AI669" i="6"/>
  <c r="AL669" i="6" s="1"/>
  <c r="AK669" i="6"/>
  <c r="AF670" i="6"/>
  <c r="AG670" i="6"/>
  <c r="AH670" i="6"/>
  <c r="AI670" i="6"/>
  <c r="AJ670" i="6"/>
  <c r="AK670" i="6" s="1"/>
  <c r="AL670" i="6" s="1"/>
  <c r="AF671" i="6"/>
  <c r="AG671" i="6"/>
  <c r="AH671" i="6" s="1"/>
  <c r="AI671" i="6"/>
  <c r="AL671" i="6" s="1"/>
  <c r="AJ671" i="6"/>
  <c r="AK671" i="6"/>
  <c r="AF672" i="6"/>
  <c r="AG672" i="6"/>
  <c r="AF673" i="6"/>
  <c r="AG673" i="6"/>
  <c r="AH673" i="6" s="1"/>
  <c r="AJ673" i="6" s="1"/>
  <c r="AI673" i="6"/>
  <c r="AL673" i="6" s="1"/>
  <c r="AK673" i="6"/>
  <c r="AF674" i="6"/>
  <c r="AG674" i="6"/>
  <c r="AH674" i="6"/>
  <c r="AJ674" i="6" s="1"/>
  <c r="AK674" i="6" s="1"/>
  <c r="AI674" i="6"/>
  <c r="AL674" i="6" s="1"/>
  <c r="AF675" i="6"/>
  <c r="AG675" i="6"/>
  <c r="AF676" i="6"/>
  <c r="AG676" i="6"/>
  <c r="AI676" i="6" s="1"/>
  <c r="AH676" i="6"/>
  <c r="AJ676" i="6" s="1"/>
  <c r="AK676" i="6"/>
  <c r="AL676" i="6" s="1"/>
  <c r="AF677" i="6"/>
  <c r="AG677" i="6"/>
  <c r="AF678" i="6"/>
  <c r="AG678" i="6"/>
  <c r="AH678" i="6"/>
  <c r="AI678" i="6"/>
  <c r="AJ678" i="6"/>
  <c r="AK678" i="6" s="1"/>
  <c r="AF679" i="6"/>
  <c r="AG679" i="6"/>
  <c r="AF680" i="6"/>
  <c r="AG680" i="6"/>
  <c r="AF681" i="6"/>
  <c r="AG681" i="6"/>
  <c r="AI681" i="6" s="1"/>
  <c r="AL681" i="6" s="1"/>
  <c r="AH681" i="6"/>
  <c r="AJ681" i="6" s="1"/>
  <c r="AK681" i="6" s="1"/>
  <c r="AF682" i="6"/>
  <c r="AG682" i="6"/>
  <c r="AH682" i="6"/>
  <c r="AI682" i="6"/>
  <c r="AJ682" i="6"/>
  <c r="AK682" i="6" s="1"/>
  <c r="AL682" i="6"/>
  <c r="AF683" i="6"/>
  <c r="AG683" i="6"/>
  <c r="AF684" i="6"/>
  <c r="AG684" i="6"/>
  <c r="AF685" i="6"/>
  <c r="AG685" i="6"/>
  <c r="AH685" i="6"/>
  <c r="AJ685" i="6" s="1"/>
  <c r="AI685" i="6"/>
  <c r="AK685" i="6"/>
  <c r="AF686" i="6"/>
  <c r="AG686" i="6"/>
  <c r="AH686" i="6"/>
  <c r="AI686" i="6"/>
  <c r="AJ686" i="6"/>
  <c r="AK686" i="6" s="1"/>
  <c r="AL686" i="6"/>
  <c r="AF687" i="6"/>
  <c r="AG687" i="6"/>
  <c r="AH687" i="6" s="1"/>
  <c r="AI687" i="6"/>
  <c r="AJ687" i="6"/>
  <c r="AK687" i="6" s="1"/>
  <c r="AF688" i="6"/>
  <c r="AG688" i="6"/>
  <c r="AI688" i="6" s="1"/>
  <c r="AH688" i="6"/>
  <c r="AJ688" i="6" s="1"/>
  <c r="AK688" i="6" s="1"/>
  <c r="AL688" i="6" s="1"/>
  <c r="AF689" i="6"/>
  <c r="AG689" i="6"/>
  <c r="AF690" i="6"/>
  <c r="AG690" i="6"/>
  <c r="AH690" i="6"/>
  <c r="AJ690" i="6" s="1"/>
  <c r="AK690" i="6" s="1"/>
  <c r="AL690" i="6" s="1"/>
  <c r="AI690" i="6"/>
  <c r="AF691" i="6"/>
  <c r="AG691" i="6"/>
  <c r="AF692" i="6"/>
  <c r="AG692" i="6"/>
  <c r="AI692" i="6" s="1"/>
  <c r="AH692" i="6"/>
  <c r="AJ692" i="6"/>
  <c r="AK692" i="6" s="1"/>
  <c r="AL692" i="6" s="1"/>
  <c r="AF693" i="6"/>
  <c r="AG693" i="6"/>
  <c r="AI693" i="6" s="1"/>
  <c r="AH693" i="6"/>
  <c r="AJ693" i="6" s="1"/>
  <c r="AK693" i="6" s="1"/>
  <c r="AL693" i="6" s="1"/>
  <c r="AF694" i="6"/>
  <c r="AG694" i="6"/>
  <c r="AH694" i="6"/>
  <c r="AI694" i="6"/>
  <c r="AL694" i="6" s="1"/>
  <c r="AJ694" i="6"/>
  <c r="AK694" i="6" s="1"/>
  <c r="AF695" i="6"/>
  <c r="AG695" i="6"/>
  <c r="AH695" i="6" s="1"/>
  <c r="AJ695" i="6" s="1"/>
  <c r="AI695" i="6"/>
  <c r="AL695" i="6" s="1"/>
  <c r="AK695" i="6"/>
  <c r="AF696" i="6"/>
  <c r="AG696" i="6"/>
  <c r="AF697" i="6"/>
  <c r="AG697" i="6"/>
  <c r="AH697" i="6" s="1"/>
  <c r="AJ697" i="6" s="1"/>
  <c r="AK697" i="6" s="1"/>
  <c r="AI697" i="6"/>
  <c r="AL697" i="6" s="1"/>
  <c r="AF698" i="6"/>
  <c r="AG698" i="6"/>
  <c r="AH698" i="6"/>
  <c r="AI698" i="6"/>
  <c r="AJ698" i="6"/>
  <c r="AK698" i="6" s="1"/>
  <c r="AL698" i="6" s="1"/>
  <c r="AF699" i="6"/>
  <c r="AG699" i="6"/>
  <c r="AH699" i="6" s="1"/>
  <c r="AI699" i="6"/>
  <c r="AL699" i="6" s="1"/>
  <c r="AJ699" i="6"/>
  <c r="AK699" i="6" s="1"/>
  <c r="AF700" i="6"/>
  <c r="AG700" i="6"/>
  <c r="AI700" i="6" s="1"/>
  <c r="AH700" i="6"/>
  <c r="AJ700" i="6" s="1"/>
  <c r="AK700" i="6" s="1"/>
  <c r="AL700" i="6" s="1"/>
  <c r="AF701" i="6"/>
  <c r="AG701" i="6"/>
  <c r="AH701" i="6"/>
  <c r="AJ701" i="6" s="1"/>
  <c r="AK701" i="6" s="1"/>
  <c r="AI701" i="6"/>
  <c r="AF702" i="6"/>
  <c r="AG702" i="6"/>
  <c r="AH702" i="6"/>
  <c r="AJ702" i="6" s="1"/>
  <c r="AK702" i="6" s="1"/>
  <c r="AL702" i="6" s="1"/>
  <c r="AI702" i="6"/>
  <c r="AF703" i="6"/>
  <c r="AG703" i="6"/>
  <c r="AH703" i="6" s="1"/>
  <c r="AI703" i="6"/>
  <c r="AJ703" i="6"/>
  <c r="AK703" i="6"/>
  <c r="AF704" i="6"/>
  <c r="AG704" i="6"/>
  <c r="AF705" i="6"/>
  <c r="AG705" i="6"/>
  <c r="AH705" i="6" s="1"/>
  <c r="AJ705" i="6" s="1"/>
  <c r="AK705" i="6" s="1"/>
  <c r="AI705" i="6"/>
  <c r="AL705" i="6" s="1"/>
  <c r="AF706" i="6"/>
  <c r="AG706" i="6"/>
  <c r="AH706" i="6"/>
  <c r="AJ706" i="6" s="1"/>
  <c r="AK706" i="6" s="1"/>
  <c r="AI706" i="6"/>
  <c r="AL706" i="6" s="1"/>
  <c r="AF707" i="6"/>
  <c r="AG707" i="6"/>
  <c r="AF708" i="6"/>
  <c r="AG708" i="6"/>
  <c r="AI708" i="6" s="1"/>
  <c r="AH708" i="6"/>
  <c r="AJ708" i="6" s="1"/>
  <c r="AK708" i="6" s="1"/>
  <c r="AL708" i="6" s="1"/>
  <c r="AF709" i="6"/>
  <c r="AG709" i="6"/>
  <c r="AF710" i="6"/>
  <c r="AG710" i="6"/>
  <c r="AH710" i="6"/>
  <c r="AJ710" i="6" s="1"/>
  <c r="AK710" i="6" s="1"/>
  <c r="AI710" i="6"/>
  <c r="AF711" i="6"/>
  <c r="AG711" i="6"/>
  <c r="AF712" i="6"/>
  <c r="AG712" i="6"/>
  <c r="AF713" i="6"/>
  <c r="AG713" i="6"/>
  <c r="AH713" i="6"/>
  <c r="AJ713" i="6" s="1"/>
  <c r="AK713" i="6" s="1"/>
  <c r="AI713" i="6"/>
  <c r="AL713" i="6"/>
  <c r="AF714" i="6"/>
  <c r="AG714" i="6"/>
  <c r="AH714" i="6"/>
  <c r="AI714" i="6"/>
  <c r="AL714" i="6" s="1"/>
  <c r="AJ714" i="6"/>
  <c r="AK714" i="6" s="1"/>
  <c r="AF715" i="6"/>
  <c r="AG715" i="6"/>
  <c r="AF716" i="6"/>
  <c r="AG716" i="6"/>
  <c r="AF717" i="6"/>
  <c r="AG717" i="6"/>
  <c r="AH717" i="6"/>
  <c r="AJ717" i="6" s="1"/>
  <c r="AK717" i="6" s="1"/>
  <c r="AI717" i="6"/>
  <c r="AF718" i="6"/>
  <c r="AG718" i="6"/>
  <c r="AH718" i="6"/>
  <c r="AJ718" i="6" s="1"/>
  <c r="AK718" i="6" s="1"/>
  <c r="AL718" i="6" s="1"/>
  <c r="AI718" i="6"/>
  <c r="AF719" i="6"/>
  <c r="AG719" i="6"/>
  <c r="AH719" i="6" s="1"/>
  <c r="AI719" i="6"/>
  <c r="AJ719" i="6"/>
  <c r="AK719" i="6" s="1"/>
  <c r="AF720" i="6"/>
  <c r="AG720" i="6"/>
  <c r="AI720" i="6" s="1"/>
  <c r="AH720" i="6"/>
  <c r="AJ720" i="6" s="1"/>
  <c r="AK720" i="6" s="1"/>
  <c r="AL720" i="6" s="1"/>
  <c r="AF721" i="6"/>
  <c r="AG721" i="6"/>
  <c r="AF722" i="6"/>
  <c r="AG722" i="6"/>
  <c r="AH722" i="6"/>
  <c r="AJ722" i="6" s="1"/>
  <c r="AK722" i="6" s="1"/>
  <c r="AL722" i="6" s="1"/>
  <c r="AI722" i="6"/>
  <c r="AF723" i="6"/>
  <c r="AG723" i="6"/>
  <c r="AF724" i="6"/>
  <c r="AG724" i="6"/>
  <c r="AI724" i="6" s="1"/>
  <c r="AH724" i="6"/>
  <c r="AJ724" i="6"/>
  <c r="AK724" i="6" s="1"/>
  <c r="AL724" i="6" s="1"/>
  <c r="AF725" i="6"/>
  <c r="AG725" i="6"/>
  <c r="AI725" i="6" s="1"/>
  <c r="AH725" i="6"/>
  <c r="AJ725" i="6" s="1"/>
  <c r="AK725" i="6" s="1"/>
  <c r="AL725" i="6" s="1"/>
  <c r="AF726" i="6"/>
  <c r="AG726" i="6"/>
  <c r="AH726" i="6"/>
  <c r="AJ726" i="6" s="1"/>
  <c r="AK726" i="6" s="1"/>
  <c r="AI726" i="6"/>
  <c r="AF727" i="6"/>
  <c r="AG727" i="6"/>
  <c r="AH727" i="6" s="1"/>
  <c r="AJ727" i="6" s="1"/>
  <c r="AK727" i="6" s="1"/>
  <c r="AI727" i="6"/>
  <c r="AL727" i="6" s="1"/>
  <c r="AF728" i="6"/>
  <c r="AG728" i="6"/>
  <c r="AF729" i="6"/>
  <c r="AG729" i="6"/>
  <c r="AH729" i="6" s="1"/>
  <c r="AJ729" i="6" s="1"/>
  <c r="AK729" i="6" s="1"/>
  <c r="AI729" i="6"/>
  <c r="AL729" i="6" s="1"/>
  <c r="AF730" i="6"/>
  <c r="AG730" i="6"/>
  <c r="AH730" i="6"/>
  <c r="AI730" i="6"/>
  <c r="AJ730" i="6"/>
  <c r="AK730" i="6" s="1"/>
  <c r="AF731" i="6"/>
  <c r="AG731" i="6"/>
  <c r="AH731" i="6" s="1"/>
  <c r="AJ731" i="6" s="1"/>
  <c r="AK731" i="6" s="1"/>
  <c r="AI731" i="6"/>
  <c r="AL731" i="6" s="1"/>
  <c r="AF732" i="6"/>
  <c r="AG732" i="6"/>
  <c r="AI732" i="6" s="1"/>
  <c r="AH732" i="6"/>
  <c r="AJ732" i="6" s="1"/>
  <c r="AK732" i="6" s="1"/>
  <c r="AL732" i="6"/>
  <c r="AF733" i="6"/>
  <c r="AG733" i="6"/>
  <c r="AH733" i="6"/>
  <c r="AJ733" i="6" s="1"/>
  <c r="AI733" i="6"/>
  <c r="AL733" i="6" s="1"/>
  <c r="AK733" i="6"/>
  <c r="AF734" i="6"/>
  <c r="AG734" i="6"/>
  <c r="AH734" i="6"/>
  <c r="AJ734" i="6" s="1"/>
  <c r="AK734" i="6" s="1"/>
  <c r="AL734" i="6" s="1"/>
  <c r="AI734" i="6"/>
  <c r="AF735" i="6"/>
  <c r="AG735" i="6"/>
  <c r="AH735" i="6" s="1"/>
  <c r="AI735" i="6"/>
  <c r="AL735" i="6" s="1"/>
  <c r="AJ735" i="6"/>
  <c r="AK735" i="6"/>
  <c r="AF736" i="6"/>
  <c r="AG736" i="6"/>
  <c r="AF737" i="6"/>
  <c r="AG737" i="6"/>
  <c r="AH737" i="6" s="1"/>
  <c r="AJ737" i="6" s="1"/>
  <c r="AI737" i="6"/>
  <c r="AL737" i="6" s="1"/>
  <c r="AK737" i="6"/>
  <c r="AF738" i="6"/>
  <c r="AG738" i="6"/>
  <c r="AH738" i="6"/>
  <c r="AJ738" i="6" s="1"/>
  <c r="AK738" i="6" s="1"/>
  <c r="AI738" i="6"/>
  <c r="AL738" i="6" s="1"/>
  <c r="AF739" i="6"/>
  <c r="AG739" i="6"/>
  <c r="AF740" i="6"/>
  <c r="AG740" i="6"/>
  <c r="AI740" i="6" s="1"/>
  <c r="AH740" i="6"/>
  <c r="AJ740" i="6" s="1"/>
  <c r="AK740" i="6" s="1"/>
  <c r="AL740" i="6" s="1"/>
  <c r="AF741" i="6"/>
  <c r="AG741" i="6"/>
  <c r="AF742" i="6"/>
  <c r="AG742" i="6"/>
  <c r="AH742" i="6"/>
  <c r="AJ742" i="6" s="1"/>
  <c r="AK742" i="6" s="1"/>
  <c r="AI742" i="6"/>
  <c r="AF743" i="6"/>
  <c r="AG743" i="6"/>
  <c r="AF744" i="6"/>
  <c r="AG744" i="6"/>
  <c r="AF745" i="6"/>
  <c r="AG745" i="6"/>
  <c r="AI745" i="6" s="1"/>
  <c r="AH745" i="6"/>
  <c r="AJ745" i="6" s="1"/>
  <c r="AK745" i="6" s="1"/>
  <c r="AL745" i="6"/>
  <c r="AF746" i="6"/>
  <c r="AG746" i="6"/>
  <c r="AH746" i="6"/>
  <c r="AI746" i="6"/>
  <c r="AL746" i="6" s="1"/>
  <c r="AJ746" i="6"/>
  <c r="AK746" i="6" s="1"/>
  <c r="AF747" i="6"/>
  <c r="AG747" i="6"/>
  <c r="AF748" i="6"/>
  <c r="AG748" i="6"/>
  <c r="AF749" i="6"/>
  <c r="AG749" i="6"/>
  <c r="AH749" i="6"/>
  <c r="AJ749" i="6" s="1"/>
  <c r="AI749" i="6"/>
  <c r="AK749" i="6"/>
  <c r="AF750" i="6"/>
  <c r="AG750" i="6"/>
  <c r="AH750" i="6"/>
  <c r="AI750" i="6"/>
  <c r="AJ750" i="6"/>
  <c r="AK750" i="6" s="1"/>
  <c r="AL750" i="6"/>
  <c r="AF751" i="6"/>
  <c r="AG751" i="6"/>
  <c r="AH751" i="6" s="1"/>
  <c r="AI751" i="6"/>
  <c r="AJ751" i="6"/>
  <c r="AK751" i="6" s="1"/>
  <c r="AF752" i="6"/>
  <c r="AG752" i="6"/>
  <c r="AI752" i="6" s="1"/>
  <c r="AH752" i="6"/>
  <c r="AJ752" i="6" s="1"/>
  <c r="AK752" i="6" s="1"/>
  <c r="AL752" i="6" s="1"/>
  <c r="AF753" i="6"/>
  <c r="AG753" i="6"/>
  <c r="AF754" i="6"/>
  <c r="AG754" i="6"/>
  <c r="AH754" i="6"/>
  <c r="AJ754" i="6" s="1"/>
  <c r="AK754" i="6" s="1"/>
  <c r="AL754" i="6" s="1"/>
  <c r="AI754" i="6"/>
  <c r="AF755" i="6"/>
  <c r="AG755" i="6"/>
  <c r="AF756" i="6"/>
  <c r="AG756" i="6"/>
  <c r="AI756" i="6" s="1"/>
  <c r="AH756" i="6"/>
  <c r="AJ756" i="6"/>
  <c r="AK756" i="6" s="1"/>
  <c r="AL756" i="6" s="1"/>
  <c r="AF757" i="6"/>
  <c r="AG757" i="6"/>
  <c r="AI757" i="6" s="1"/>
  <c r="AH757" i="6"/>
  <c r="AJ757" i="6" s="1"/>
  <c r="AK757" i="6" s="1"/>
  <c r="AL757" i="6"/>
  <c r="AF758" i="6"/>
  <c r="AG758" i="6"/>
  <c r="AH758" i="6"/>
  <c r="AI758" i="6"/>
  <c r="AL758" i="6" s="1"/>
  <c r="AJ758" i="6"/>
  <c r="AK758" i="6" s="1"/>
  <c r="AF759" i="6"/>
  <c r="AG759" i="6"/>
  <c r="AH759" i="6" s="1"/>
  <c r="AJ759" i="6" s="1"/>
  <c r="AI759" i="6"/>
  <c r="AL759" i="6" s="1"/>
  <c r="AK759" i="6"/>
  <c r="AF760" i="6"/>
  <c r="AG760" i="6"/>
  <c r="AF761" i="6"/>
  <c r="AG761" i="6"/>
  <c r="AH761" i="6" s="1"/>
  <c r="AJ761" i="6" s="1"/>
  <c r="AK761" i="6" s="1"/>
  <c r="AI761" i="6"/>
  <c r="AL761" i="6" s="1"/>
  <c r="AF762" i="6"/>
  <c r="AG762" i="6"/>
  <c r="AH762" i="6"/>
  <c r="AI762" i="6"/>
  <c r="AJ762" i="6"/>
  <c r="AK762" i="6" s="1"/>
  <c r="AL762" i="6" s="1"/>
  <c r="AF763" i="6"/>
  <c r="AG763" i="6"/>
  <c r="AH763" i="6" s="1"/>
  <c r="AI763" i="6"/>
  <c r="AL763" i="6" s="1"/>
  <c r="AJ763" i="6"/>
  <c r="AK763" i="6" s="1"/>
  <c r="AF764" i="6"/>
  <c r="AG764" i="6"/>
  <c r="AI764" i="6" s="1"/>
  <c r="AH764" i="6"/>
  <c r="AJ764" i="6" s="1"/>
  <c r="AK764" i="6" s="1"/>
  <c r="AL764" i="6" s="1"/>
  <c r="AF765" i="6"/>
  <c r="AG765" i="6"/>
  <c r="AH765" i="6"/>
  <c r="AJ765" i="6" s="1"/>
  <c r="AK765" i="6" s="1"/>
  <c r="AI765" i="6"/>
  <c r="AF766" i="6"/>
  <c r="AG766" i="6"/>
  <c r="AH766" i="6"/>
  <c r="AI766" i="6"/>
  <c r="AJ766" i="6"/>
  <c r="AK766" i="6" s="1"/>
  <c r="AL766" i="6" s="1"/>
  <c r="AF767" i="6"/>
  <c r="AG767" i="6"/>
  <c r="AH767" i="6" s="1"/>
  <c r="AI767" i="6"/>
  <c r="AJ767" i="6"/>
  <c r="AK767" i="6"/>
  <c r="AF768" i="6"/>
  <c r="AG768" i="6"/>
  <c r="AF769" i="6"/>
  <c r="AG769" i="6"/>
  <c r="AH769" i="6" s="1"/>
  <c r="AJ769" i="6" s="1"/>
  <c r="AK769" i="6" s="1"/>
  <c r="AI769" i="6"/>
  <c r="AL769" i="6" s="1"/>
  <c r="AF770" i="6"/>
  <c r="AG770" i="6"/>
  <c r="AH770" i="6"/>
  <c r="AJ770" i="6" s="1"/>
  <c r="AK770" i="6" s="1"/>
  <c r="AL770" i="6" s="1"/>
  <c r="AI770" i="6"/>
  <c r="AF771" i="6"/>
  <c r="AG771" i="6"/>
  <c r="AF772" i="6"/>
  <c r="AG772" i="6"/>
  <c r="AI772" i="6" s="1"/>
  <c r="AH772" i="6"/>
  <c r="AJ772" i="6" s="1"/>
  <c r="AK772" i="6" s="1"/>
  <c r="AL772" i="6" s="1"/>
  <c r="AF773" i="6"/>
  <c r="AG773" i="6"/>
  <c r="AI773" i="6" s="1"/>
  <c r="AH773" i="6"/>
  <c r="AJ773" i="6" s="1"/>
  <c r="AK773" i="6" s="1"/>
  <c r="AF774" i="6"/>
  <c r="AG774" i="6"/>
  <c r="AH774" i="6"/>
  <c r="AJ774" i="6" s="1"/>
  <c r="AK774" i="6" s="1"/>
  <c r="AI774" i="6"/>
  <c r="AF775" i="6"/>
  <c r="AG775" i="6"/>
  <c r="AH775" i="6" s="1"/>
  <c r="AJ775" i="6" s="1"/>
  <c r="AK775" i="6" s="1"/>
  <c r="AI775" i="6"/>
  <c r="AF776" i="6"/>
  <c r="AG776" i="6"/>
  <c r="AF777" i="6"/>
  <c r="AG777" i="6"/>
  <c r="AH777" i="6" s="1"/>
  <c r="AJ777" i="6" s="1"/>
  <c r="AK777" i="6" s="1"/>
  <c r="AF778" i="6"/>
  <c r="AG778" i="6"/>
  <c r="AH778" i="6"/>
  <c r="AI778" i="6"/>
  <c r="AJ778" i="6"/>
  <c r="AK778" i="6" s="1"/>
  <c r="AL778" i="6"/>
  <c r="AF779" i="6"/>
  <c r="AG779" i="6"/>
  <c r="AF780" i="6"/>
  <c r="AG780" i="6"/>
  <c r="AI780" i="6" s="1"/>
  <c r="AH780" i="6"/>
  <c r="AJ780" i="6" s="1"/>
  <c r="AK780" i="6" s="1"/>
  <c r="AL780" i="6" s="1"/>
  <c r="AF781" i="6"/>
  <c r="AG781" i="6"/>
  <c r="AH781" i="6"/>
  <c r="AJ781" i="6" s="1"/>
  <c r="AK781" i="6" s="1"/>
  <c r="AI781" i="6"/>
  <c r="AF782" i="6"/>
  <c r="AG782" i="6"/>
  <c r="AH782" i="6"/>
  <c r="AI782" i="6"/>
  <c r="AJ782" i="6"/>
  <c r="AK782" i="6" s="1"/>
  <c r="AL782" i="6" s="1"/>
  <c r="AF783" i="6"/>
  <c r="AG783" i="6"/>
  <c r="AH783" i="6" s="1"/>
  <c r="AI783" i="6"/>
  <c r="AJ783" i="6"/>
  <c r="AK783" i="6"/>
  <c r="AF784" i="6"/>
  <c r="AG784" i="6"/>
  <c r="AF785" i="6"/>
  <c r="AG785" i="6"/>
  <c r="AH785" i="6" s="1"/>
  <c r="AJ785" i="6" s="1"/>
  <c r="AK785" i="6" s="1"/>
  <c r="AI785" i="6"/>
  <c r="AL785" i="6"/>
  <c r="AF786" i="6"/>
  <c r="AG786" i="6"/>
  <c r="AH786" i="6"/>
  <c r="AJ786" i="6" s="1"/>
  <c r="AK786" i="6" s="1"/>
  <c r="AI786" i="6"/>
  <c r="AL786" i="6" s="1"/>
  <c r="AF787" i="6"/>
  <c r="AG787" i="6"/>
  <c r="AF788" i="6"/>
  <c r="AG788" i="6"/>
  <c r="AI788" i="6" s="1"/>
  <c r="AH788" i="6"/>
  <c r="AJ788" i="6" s="1"/>
  <c r="AK788" i="6"/>
  <c r="AL788" i="6" s="1"/>
  <c r="AF789" i="6"/>
  <c r="AG789" i="6"/>
  <c r="AI789" i="6" s="1"/>
  <c r="AH789" i="6"/>
  <c r="AJ789" i="6" s="1"/>
  <c r="AK789" i="6"/>
  <c r="AF790" i="6"/>
  <c r="AG790" i="6"/>
  <c r="AH790" i="6"/>
  <c r="AJ790" i="6" s="1"/>
  <c r="AK790" i="6" s="1"/>
  <c r="AI790" i="6"/>
  <c r="AL790" i="6" s="1"/>
  <c r="AF791" i="6"/>
  <c r="AG791" i="6"/>
  <c r="AH791" i="6" s="1"/>
  <c r="AJ791" i="6" s="1"/>
  <c r="AK791" i="6" s="1"/>
  <c r="AI791" i="6"/>
  <c r="AL791" i="6" s="1"/>
  <c r="AF792" i="6"/>
  <c r="AG792" i="6"/>
  <c r="AF793" i="6"/>
  <c r="AG793" i="6"/>
  <c r="AH793" i="6" s="1"/>
  <c r="AJ793" i="6" s="1"/>
  <c r="AK793" i="6" s="1"/>
  <c r="AI793" i="6"/>
  <c r="AL793" i="6" s="1"/>
  <c r="AF794" i="6"/>
  <c r="AG794" i="6"/>
  <c r="AH794" i="6"/>
  <c r="AI794" i="6"/>
  <c r="AJ794" i="6"/>
  <c r="AK794" i="6" s="1"/>
  <c r="AL794" i="6"/>
  <c r="AF795" i="6"/>
  <c r="AG795" i="6"/>
  <c r="AF796" i="6"/>
  <c r="AG796" i="6"/>
  <c r="AI796" i="6" s="1"/>
  <c r="AH796" i="6"/>
  <c r="AJ796" i="6" s="1"/>
  <c r="AK796" i="6"/>
  <c r="AL796" i="6" s="1"/>
  <c r="AF797" i="6"/>
  <c r="AG797" i="6"/>
  <c r="AH797" i="6"/>
  <c r="AJ797" i="6" s="1"/>
  <c r="AI797" i="6"/>
  <c r="AK797" i="6"/>
  <c r="AF798" i="6"/>
  <c r="AG798" i="6"/>
  <c r="AH798" i="6"/>
  <c r="AI798" i="6"/>
  <c r="AJ798" i="6"/>
  <c r="AK798" i="6" s="1"/>
  <c r="AL798" i="6" s="1"/>
  <c r="AF799" i="6"/>
  <c r="AG799" i="6"/>
  <c r="AH799" i="6" s="1"/>
  <c r="AI799" i="6"/>
  <c r="AL799" i="6" s="1"/>
  <c r="AJ799" i="6"/>
  <c r="AK799" i="6"/>
  <c r="AF800" i="6"/>
  <c r="AG800" i="6"/>
  <c r="AF801" i="6"/>
  <c r="AG801" i="6"/>
  <c r="AH801" i="6" s="1"/>
  <c r="AJ801" i="6" s="1"/>
  <c r="AK801" i="6" s="1"/>
  <c r="AI801" i="6"/>
  <c r="AL801" i="6" s="1"/>
  <c r="AF802" i="6"/>
  <c r="AG802" i="6"/>
  <c r="AH802" i="6"/>
  <c r="AJ802" i="6" s="1"/>
  <c r="AK802" i="6" s="1"/>
  <c r="AI802" i="6"/>
  <c r="AL802" i="6"/>
  <c r="AF803" i="6"/>
  <c r="AG803" i="6"/>
  <c r="AF804" i="6"/>
  <c r="AG804" i="6"/>
  <c r="AI804" i="6" s="1"/>
  <c r="AH804" i="6"/>
  <c r="AJ804" i="6" s="1"/>
  <c r="AK804" i="6" s="1"/>
  <c r="AL804" i="6" s="1"/>
  <c r="AF805" i="6"/>
  <c r="AG805" i="6"/>
  <c r="AI805" i="6" s="1"/>
  <c r="AH805" i="6"/>
  <c r="AJ805" i="6" s="1"/>
  <c r="AK805" i="6" s="1"/>
  <c r="AF806" i="6"/>
  <c r="AG806" i="6"/>
  <c r="AH806" i="6"/>
  <c r="AI806" i="6"/>
  <c r="AJ806" i="6"/>
  <c r="AK806" i="6" s="1"/>
  <c r="AF807" i="6"/>
  <c r="AG807" i="6"/>
  <c r="AH807" i="6" s="1"/>
  <c r="AJ807" i="6" s="1"/>
  <c r="AI807" i="6"/>
  <c r="AK807" i="6"/>
  <c r="AF808" i="6"/>
  <c r="AG808" i="6"/>
  <c r="AF809" i="6"/>
  <c r="AG809" i="6"/>
  <c r="AH809" i="6" s="1"/>
  <c r="AJ809" i="6" s="1"/>
  <c r="AK809" i="6" s="1"/>
  <c r="AI809" i="6"/>
  <c r="AL809" i="6"/>
  <c r="AF810" i="6"/>
  <c r="AG810" i="6"/>
  <c r="AH810" i="6"/>
  <c r="AI810" i="6"/>
  <c r="AL810" i="6" s="1"/>
  <c r="AJ810" i="6"/>
  <c r="AK810" i="6" s="1"/>
  <c r="AF811" i="6"/>
  <c r="AG811" i="6"/>
  <c r="AF812" i="6"/>
  <c r="AG812" i="6"/>
  <c r="AI812" i="6" s="1"/>
  <c r="AH812" i="6"/>
  <c r="AJ812" i="6" s="1"/>
  <c r="AK812" i="6" s="1"/>
  <c r="AL812" i="6" s="1"/>
  <c r="AF813" i="6"/>
  <c r="AG813" i="6"/>
  <c r="AH813" i="6"/>
  <c r="AJ813" i="6" s="1"/>
  <c r="AK813" i="6" s="1"/>
  <c r="AL813" i="6" s="1"/>
  <c r="AI813" i="6"/>
  <c r="AF814" i="6"/>
  <c r="AG814" i="6"/>
  <c r="AH814" i="6" s="1"/>
  <c r="AJ814" i="6" s="1"/>
  <c r="AI814" i="6"/>
  <c r="AK814" i="6"/>
  <c r="AF815" i="6"/>
  <c r="AG815" i="6"/>
  <c r="AI815" i="6" s="1"/>
  <c r="AH815" i="6"/>
  <c r="AJ815" i="6"/>
  <c r="AK815" i="6" s="1"/>
  <c r="AL815" i="6"/>
  <c r="AF816" i="6"/>
  <c r="AG816" i="6"/>
  <c r="AH816" i="6" s="1"/>
  <c r="AJ816" i="6" s="1"/>
  <c r="AI816" i="6"/>
  <c r="AK816" i="6"/>
  <c r="AF817" i="6"/>
  <c r="AG817" i="6"/>
  <c r="AH817" i="6"/>
  <c r="AJ817" i="6" s="1"/>
  <c r="AK817" i="6" s="1"/>
  <c r="AL817" i="6" s="1"/>
  <c r="AI817" i="6"/>
  <c r="AF818" i="6"/>
  <c r="AG818" i="6"/>
  <c r="AH818" i="6" s="1"/>
  <c r="AJ818" i="6" s="1"/>
  <c r="AK818" i="6" s="1"/>
  <c r="AF819" i="6"/>
  <c r="AG819" i="6"/>
  <c r="AI819" i="6" s="1"/>
  <c r="AL819" i="6" s="1"/>
  <c r="AH819" i="6"/>
  <c r="AJ819" i="6"/>
  <c r="AK819" i="6" s="1"/>
  <c r="AF820" i="6"/>
  <c r="AG820" i="6"/>
  <c r="AH820" i="6" s="1"/>
  <c r="AJ820" i="6" s="1"/>
  <c r="AI820" i="6"/>
  <c r="AK820" i="6"/>
  <c r="AF821" i="6"/>
  <c r="AG821" i="6"/>
  <c r="AH821" i="6"/>
  <c r="AI821" i="6"/>
  <c r="AJ821" i="6"/>
  <c r="AK821" i="6" s="1"/>
  <c r="AL821" i="6" s="1"/>
  <c r="AF822" i="6"/>
  <c r="AG822" i="6"/>
  <c r="AH822" i="6" s="1"/>
  <c r="AJ822" i="6" s="1"/>
  <c r="AK822" i="6" s="1"/>
  <c r="AI822" i="6"/>
  <c r="AF823" i="6"/>
  <c r="AG823" i="6"/>
  <c r="AI823" i="6" s="1"/>
  <c r="AL823" i="6" s="1"/>
  <c r="AH823" i="6"/>
  <c r="AJ823" i="6" s="1"/>
  <c r="AK823" i="6" s="1"/>
  <c r="AF824" i="6"/>
  <c r="AG824" i="6"/>
  <c r="AH824" i="6" s="1"/>
  <c r="AJ824" i="6" s="1"/>
  <c r="AK824" i="6" s="1"/>
  <c r="AF825" i="6"/>
  <c r="AG825" i="6"/>
  <c r="AH825" i="6"/>
  <c r="AI825" i="6"/>
  <c r="AJ825" i="6"/>
  <c r="AK825" i="6" s="1"/>
  <c r="AL825" i="6"/>
  <c r="AF826" i="6"/>
  <c r="AG826" i="6"/>
  <c r="AH826" i="6" s="1"/>
  <c r="AJ826" i="6" s="1"/>
  <c r="AI826" i="6"/>
  <c r="AK826" i="6"/>
  <c r="AF827" i="6"/>
  <c r="AG827" i="6"/>
  <c r="AI827" i="6" s="1"/>
  <c r="AL827" i="6" s="1"/>
  <c r="AH827" i="6"/>
  <c r="AJ827" i="6"/>
  <c r="AK827" i="6" s="1"/>
  <c r="AF828" i="6"/>
  <c r="AG828" i="6"/>
  <c r="AH828" i="6" s="1"/>
  <c r="AJ828" i="6" s="1"/>
  <c r="AK828" i="6" s="1"/>
  <c r="AI828" i="6"/>
  <c r="AF829" i="6"/>
  <c r="AG829" i="6"/>
  <c r="AH829" i="6"/>
  <c r="AJ829" i="6" s="1"/>
  <c r="AK829" i="6" s="1"/>
  <c r="AL829" i="6" s="1"/>
  <c r="AI829" i="6"/>
  <c r="AF830" i="6"/>
  <c r="AG830" i="6"/>
  <c r="AH830" i="6" s="1"/>
  <c r="AJ830" i="6" s="1"/>
  <c r="AI830" i="6"/>
  <c r="AK830" i="6"/>
  <c r="AF831" i="6"/>
  <c r="AG831" i="6"/>
  <c r="AI831" i="6" s="1"/>
  <c r="AH831" i="6"/>
  <c r="AJ831" i="6"/>
  <c r="AK831" i="6" s="1"/>
  <c r="AL831" i="6"/>
  <c r="AF832" i="6"/>
  <c r="AG832" i="6"/>
  <c r="AH832" i="6" s="1"/>
  <c r="AJ832" i="6" s="1"/>
  <c r="AI832" i="6"/>
  <c r="AK832" i="6"/>
  <c r="AF833" i="6"/>
  <c r="AG833" i="6"/>
  <c r="AH833" i="6"/>
  <c r="AJ833" i="6" s="1"/>
  <c r="AK833" i="6" s="1"/>
  <c r="AL833" i="6" s="1"/>
  <c r="AI833" i="6"/>
  <c r="AF834" i="6"/>
  <c r="AG834" i="6"/>
  <c r="AH834" i="6" s="1"/>
  <c r="AJ834" i="6" s="1"/>
  <c r="AK834" i="6" s="1"/>
  <c r="AF835" i="6"/>
  <c r="AG835" i="6"/>
  <c r="AI835" i="6" s="1"/>
  <c r="AL835" i="6" s="1"/>
  <c r="AH835" i="6"/>
  <c r="AJ835" i="6"/>
  <c r="AK835" i="6" s="1"/>
  <c r="AF836" i="6"/>
  <c r="AG836" i="6"/>
  <c r="AH836" i="6" s="1"/>
  <c r="AJ836" i="6" s="1"/>
  <c r="AI836" i="6"/>
  <c r="AK836" i="6"/>
  <c r="AF837" i="6"/>
  <c r="AG837" i="6"/>
  <c r="AH837" i="6"/>
  <c r="AI837" i="6"/>
  <c r="AJ837" i="6"/>
  <c r="AK837" i="6" s="1"/>
  <c r="AL837" i="6" s="1"/>
  <c r="AF838" i="6"/>
  <c r="AG838" i="6"/>
  <c r="AH838" i="6" s="1"/>
  <c r="AJ838" i="6" s="1"/>
  <c r="AK838" i="6" s="1"/>
  <c r="AI838" i="6"/>
  <c r="AF839" i="6"/>
  <c r="AG839" i="6"/>
  <c r="AI839" i="6" s="1"/>
  <c r="AH839" i="6"/>
  <c r="AJ839" i="6" s="1"/>
  <c r="AK839" i="6" s="1"/>
  <c r="AF840" i="6"/>
  <c r="AG840" i="6"/>
  <c r="AH840" i="6" s="1"/>
  <c r="AJ840" i="6" s="1"/>
  <c r="AK840" i="6" s="1"/>
  <c r="AF841" i="6"/>
  <c r="AG841" i="6"/>
  <c r="AH841" i="6"/>
  <c r="AI841" i="6"/>
  <c r="AJ841" i="6"/>
  <c r="AK841" i="6" s="1"/>
  <c r="AL841" i="6"/>
  <c r="AF842" i="6"/>
  <c r="AG842" i="6"/>
  <c r="AH842" i="6" s="1"/>
  <c r="AJ842" i="6" s="1"/>
  <c r="AI842" i="6"/>
  <c r="AK842" i="6"/>
  <c r="AF843" i="6"/>
  <c r="AG843" i="6"/>
  <c r="AI843" i="6" s="1"/>
  <c r="AL843" i="6" s="1"/>
  <c r="AH843" i="6"/>
  <c r="AJ843" i="6"/>
  <c r="AK843" i="6" s="1"/>
  <c r="AF844" i="6"/>
  <c r="AG844" i="6"/>
  <c r="AH844" i="6" s="1"/>
  <c r="AJ844" i="6" s="1"/>
  <c r="AK844" i="6" s="1"/>
  <c r="AI844" i="6"/>
  <c r="AF845" i="6"/>
  <c r="AG845" i="6"/>
  <c r="AH845" i="6"/>
  <c r="AJ845" i="6" s="1"/>
  <c r="AK845" i="6" s="1"/>
  <c r="AL845" i="6" s="1"/>
  <c r="AI845" i="6"/>
  <c r="AF846" i="6"/>
  <c r="AG846" i="6"/>
  <c r="AH846" i="6" s="1"/>
  <c r="AJ846" i="6" s="1"/>
  <c r="AI846" i="6"/>
  <c r="AK846" i="6"/>
  <c r="AF847" i="6"/>
  <c r="AG847" i="6"/>
  <c r="AI847" i="6" s="1"/>
  <c r="AH847" i="6"/>
  <c r="AJ847" i="6"/>
  <c r="AK847" i="6" s="1"/>
  <c r="AL847" i="6"/>
  <c r="AF848" i="6"/>
  <c r="AG848" i="6"/>
  <c r="AH848" i="6" s="1"/>
  <c r="AJ848" i="6" s="1"/>
  <c r="AI848" i="6"/>
  <c r="AK848" i="6"/>
  <c r="AF849" i="6"/>
  <c r="AG849" i="6"/>
  <c r="AH849" i="6"/>
  <c r="AJ849" i="6" s="1"/>
  <c r="AK849" i="6" s="1"/>
  <c r="AL849" i="6" s="1"/>
  <c r="AI849" i="6"/>
  <c r="AF850" i="6"/>
  <c r="AG850" i="6"/>
  <c r="AH850" i="6" s="1"/>
  <c r="AJ850" i="6" s="1"/>
  <c r="AK850" i="6" s="1"/>
  <c r="AF851" i="6"/>
  <c r="AG851" i="6"/>
  <c r="AI851" i="6" s="1"/>
  <c r="AL851" i="6" s="1"/>
  <c r="AH851" i="6"/>
  <c r="AJ851" i="6"/>
  <c r="AK851" i="6" s="1"/>
  <c r="AF852" i="6"/>
  <c r="AG852" i="6"/>
  <c r="AH852" i="6" s="1"/>
  <c r="AJ852" i="6" s="1"/>
  <c r="AI852" i="6"/>
  <c r="AK852" i="6"/>
  <c r="AF853" i="6"/>
  <c r="AG853" i="6"/>
  <c r="AH853" i="6"/>
  <c r="AI853" i="6"/>
  <c r="AJ853" i="6"/>
  <c r="AK853" i="6" s="1"/>
  <c r="AL853" i="6" s="1"/>
  <c r="AF854" i="6"/>
  <c r="AG854" i="6"/>
  <c r="AH854" i="6" s="1"/>
  <c r="AJ854" i="6" s="1"/>
  <c r="AK854" i="6" s="1"/>
  <c r="AI854" i="6"/>
  <c r="AF855" i="6"/>
  <c r="AG855" i="6"/>
  <c r="AI855" i="6" s="1"/>
  <c r="AL855" i="6" s="1"/>
  <c r="AH855" i="6"/>
  <c r="AJ855" i="6" s="1"/>
  <c r="AK855" i="6" s="1"/>
  <c r="AF856" i="6"/>
  <c r="AG856" i="6"/>
  <c r="AH856" i="6" s="1"/>
  <c r="AJ856" i="6" s="1"/>
  <c r="AK856" i="6" s="1"/>
  <c r="AF857" i="6"/>
  <c r="AG857" i="6"/>
  <c r="AH857" i="6"/>
  <c r="AI857" i="6"/>
  <c r="AJ857" i="6"/>
  <c r="AK857" i="6" s="1"/>
  <c r="AL857" i="6"/>
  <c r="AF858" i="6"/>
  <c r="AG858" i="6"/>
  <c r="AH858" i="6" s="1"/>
  <c r="AJ858" i="6" s="1"/>
  <c r="AI858" i="6"/>
  <c r="AK858" i="6"/>
  <c r="AF859" i="6"/>
  <c r="AG859" i="6"/>
  <c r="AI859" i="6" s="1"/>
  <c r="AL859" i="6" s="1"/>
  <c r="AH859" i="6"/>
  <c r="AJ859" i="6"/>
  <c r="AK859" i="6" s="1"/>
  <c r="AF860" i="6"/>
  <c r="AG860" i="6"/>
  <c r="AH860" i="6" s="1"/>
  <c r="AJ860" i="6" s="1"/>
  <c r="AK860" i="6" s="1"/>
  <c r="AI860" i="6"/>
  <c r="AF861" i="6"/>
  <c r="AG861" i="6"/>
  <c r="AH861" i="6"/>
  <c r="AJ861" i="6" s="1"/>
  <c r="AK861" i="6" s="1"/>
  <c r="AL861" i="6" s="1"/>
  <c r="AI861" i="6"/>
  <c r="AF862" i="6"/>
  <c r="AG862" i="6"/>
  <c r="AH862" i="6" s="1"/>
  <c r="AJ862" i="6" s="1"/>
  <c r="AI862" i="6"/>
  <c r="AK862" i="6"/>
  <c r="AF863" i="6"/>
  <c r="AG863" i="6"/>
  <c r="AI863" i="6" s="1"/>
  <c r="AH863" i="6"/>
  <c r="AJ863" i="6"/>
  <c r="AK863" i="6" s="1"/>
  <c r="AL863" i="6"/>
  <c r="AF864" i="6"/>
  <c r="AG864" i="6"/>
  <c r="AH864" i="6" s="1"/>
  <c r="AJ864" i="6" s="1"/>
  <c r="AI864" i="6"/>
  <c r="AK864" i="6"/>
  <c r="AF865" i="6"/>
  <c r="AG865" i="6"/>
  <c r="AH865" i="6"/>
  <c r="AJ865" i="6" s="1"/>
  <c r="AK865" i="6" s="1"/>
  <c r="AL865" i="6" s="1"/>
  <c r="AI865" i="6"/>
  <c r="AF866" i="6"/>
  <c r="AG866" i="6"/>
  <c r="AH866" i="6" s="1"/>
  <c r="AJ866" i="6" s="1"/>
  <c r="AK866" i="6" s="1"/>
  <c r="AF867" i="6"/>
  <c r="AG867" i="6"/>
  <c r="AI867" i="6" s="1"/>
  <c r="AL867" i="6" s="1"/>
  <c r="AH867" i="6"/>
  <c r="AJ867" i="6"/>
  <c r="AK867" i="6" s="1"/>
  <c r="AF868" i="6"/>
  <c r="AG868" i="6"/>
  <c r="AH868" i="6" s="1"/>
  <c r="AJ868" i="6" s="1"/>
  <c r="AI868" i="6"/>
  <c r="AK868" i="6"/>
  <c r="AF869" i="6"/>
  <c r="AG869" i="6"/>
  <c r="AH869" i="6"/>
  <c r="AI869" i="6"/>
  <c r="AJ869" i="6"/>
  <c r="AK869" i="6" s="1"/>
  <c r="AL869" i="6" s="1"/>
  <c r="AF870" i="6"/>
  <c r="AG870" i="6"/>
  <c r="AH870" i="6" s="1"/>
  <c r="AJ870" i="6" s="1"/>
  <c r="AK870" i="6" s="1"/>
  <c r="AI870" i="6"/>
  <c r="AF871" i="6"/>
  <c r="AG871" i="6"/>
  <c r="AI871" i="6" s="1"/>
  <c r="AH871" i="6"/>
  <c r="AJ871" i="6" s="1"/>
  <c r="AK871" i="6" s="1"/>
  <c r="AF872" i="6"/>
  <c r="AG872" i="6"/>
  <c r="AH872" i="6" s="1"/>
  <c r="AJ872" i="6" s="1"/>
  <c r="AK872" i="6" s="1"/>
  <c r="AF873" i="6"/>
  <c r="AG873" i="6"/>
  <c r="AH873" i="6"/>
  <c r="AI873" i="6"/>
  <c r="AJ873" i="6"/>
  <c r="AK873" i="6" s="1"/>
  <c r="AL873" i="6"/>
  <c r="AF874" i="6"/>
  <c r="AG874" i="6"/>
  <c r="AH874" i="6" s="1"/>
  <c r="AJ874" i="6" s="1"/>
  <c r="AI874" i="6"/>
  <c r="AK874" i="6"/>
  <c r="AF875" i="6"/>
  <c r="AG875" i="6"/>
  <c r="AI875" i="6" s="1"/>
  <c r="AL875" i="6" s="1"/>
  <c r="AH875" i="6"/>
  <c r="AJ875" i="6"/>
  <c r="AK875" i="6" s="1"/>
  <c r="AF876" i="6"/>
  <c r="AG876" i="6"/>
  <c r="AH876" i="6" s="1"/>
  <c r="AJ876" i="6" s="1"/>
  <c r="AK876" i="6" s="1"/>
  <c r="AI876" i="6"/>
  <c r="AF877" i="6"/>
  <c r="AG877" i="6"/>
  <c r="AH877" i="6"/>
  <c r="AJ877" i="6" s="1"/>
  <c r="AK877" i="6" s="1"/>
  <c r="AL877" i="6" s="1"/>
  <c r="AI877" i="6"/>
  <c r="AF878" i="6"/>
  <c r="AG878" i="6"/>
  <c r="AH878" i="6" s="1"/>
  <c r="AJ878" i="6" s="1"/>
  <c r="AI878" i="6"/>
  <c r="AK878" i="6"/>
  <c r="AF879" i="6"/>
  <c r="AG879" i="6"/>
  <c r="AI879" i="6" s="1"/>
  <c r="AH879" i="6"/>
  <c r="AJ879" i="6"/>
  <c r="AK879" i="6" s="1"/>
  <c r="AL879" i="6"/>
  <c r="AF880" i="6"/>
  <c r="AG880" i="6"/>
  <c r="AH880" i="6" s="1"/>
  <c r="AJ880" i="6" s="1"/>
  <c r="AI880" i="6"/>
  <c r="AK880" i="6"/>
  <c r="AF881" i="6"/>
  <c r="AG881" i="6"/>
  <c r="AH881" i="6"/>
  <c r="AJ881" i="6" s="1"/>
  <c r="AK881" i="6" s="1"/>
  <c r="AL881" i="6" s="1"/>
  <c r="AI881" i="6"/>
  <c r="AF882" i="6"/>
  <c r="AG882" i="6"/>
  <c r="AH882" i="6" s="1"/>
  <c r="AJ882" i="6" s="1"/>
  <c r="AK882" i="6" s="1"/>
  <c r="AF883" i="6"/>
  <c r="AG883" i="6"/>
  <c r="AI883" i="6" s="1"/>
  <c r="AL883" i="6" s="1"/>
  <c r="AH883" i="6"/>
  <c r="AJ883" i="6"/>
  <c r="AK883" i="6" s="1"/>
  <c r="AF884" i="6"/>
  <c r="AG884" i="6"/>
  <c r="AH884" i="6" s="1"/>
  <c r="AJ884" i="6" s="1"/>
  <c r="AI884" i="6"/>
  <c r="AK884" i="6"/>
  <c r="AF885" i="6"/>
  <c r="AG885" i="6"/>
  <c r="AH885" i="6"/>
  <c r="AI885" i="6"/>
  <c r="AJ885" i="6"/>
  <c r="AK885" i="6" s="1"/>
  <c r="AL885" i="6" s="1"/>
  <c r="AF886" i="6"/>
  <c r="AG886" i="6"/>
  <c r="AH886" i="6" s="1"/>
  <c r="AJ886" i="6" s="1"/>
  <c r="AK886" i="6" s="1"/>
  <c r="AI886" i="6"/>
  <c r="AF887" i="6"/>
  <c r="AG887" i="6"/>
  <c r="AI887" i="6" s="1"/>
  <c r="AL887" i="6" s="1"/>
  <c r="AH887" i="6"/>
  <c r="AJ887" i="6" s="1"/>
  <c r="AK887" i="6" s="1"/>
  <c r="AF888" i="6"/>
  <c r="AG888" i="6"/>
  <c r="AH888" i="6" s="1"/>
  <c r="AJ888" i="6" s="1"/>
  <c r="AK888" i="6" s="1"/>
  <c r="AF889" i="6"/>
  <c r="AG889" i="6"/>
  <c r="AH889" i="6"/>
  <c r="AI889" i="6"/>
  <c r="AJ889" i="6"/>
  <c r="AK889" i="6" s="1"/>
  <c r="AL889" i="6"/>
  <c r="AF890" i="6"/>
  <c r="AG890" i="6"/>
  <c r="AH890" i="6" s="1"/>
  <c r="AJ890" i="6" s="1"/>
  <c r="AI890" i="6"/>
  <c r="AK890" i="6"/>
  <c r="AF891" i="6"/>
  <c r="AG891" i="6"/>
  <c r="AI891" i="6" s="1"/>
  <c r="AL891" i="6" s="1"/>
  <c r="AH891" i="6"/>
  <c r="AJ891" i="6"/>
  <c r="AK891" i="6" s="1"/>
  <c r="AF892" i="6"/>
  <c r="AG892" i="6"/>
  <c r="AH892" i="6" s="1"/>
  <c r="AJ892" i="6" s="1"/>
  <c r="AK892" i="6" s="1"/>
  <c r="AI892" i="6"/>
  <c r="AF893" i="6"/>
  <c r="AG893" i="6"/>
  <c r="AH893" i="6"/>
  <c r="AJ893" i="6" s="1"/>
  <c r="AK893" i="6" s="1"/>
  <c r="AL893" i="6" s="1"/>
  <c r="AI893" i="6"/>
  <c r="AF894" i="6"/>
  <c r="AG894" i="6"/>
  <c r="AH894" i="6" s="1"/>
  <c r="AJ894" i="6" s="1"/>
  <c r="AI894" i="6"/>
  <c r="AK894" i="6"/>
  <c r="AF895" i="6"/>
  <c r="AG895" i="6"/>
  <c r="AI895" i="6" s="1"/>
  <c r="AH895" i="6"/>
  <c r="AJ895" i="6"/>
  <c r="AK895" i="6" s="1"/>
  <c r="AL895" i="6"/>
  <c r="AF896" i="6"/>
  <c r="AG896" i="6"/>
  <c r="AH896" i="6" s="1"/>
  <c r="AJ896" i="6" s="1"/>
  <c r="AI896" i="6"/>
  <c r="AK896" i="6"/>
  <c r="AF897" i="6"/>
  <c r="AG897" i="6"/>
  <c r="AH897" i="6"/>
  <c r="AJ897" i="6" s="1"/>
  <c r="AK897" i="6" s="1"/>
  <c r="AL897" i="6" s="1"/>
  <c r="AI897" i="6"/>
  <c r="AF898" i="6"/>
  <c r="AG898" i="6"/>
  <c r="AH898" i="6" s="1"/>
  <c r="AJ898" i="6" s="1"/>
  <c r="AK898" i="6" s="1"/>
  <c r="AF899" i="6"/>
  <c r="AG899" i="6"/>
  <c r="AI899" i="6" s="1"/>
  <c r="AL899" i="6" s="1"/>
  <c r="AH899" i="6"/>
  <c r="AJ899" i="6"/>
  <c r="AK899" i="6" s="1"/>
  <c r="AF900" i="6"/>
  <c r="AG900" i="6"/>
  <c r="AH900" i="6" s="1"/>
  <c r="AJ900" i="6" s="1"/>
  <c r="AI900" i="6"/>
  <c r="AK900" i="6"/>
  <c r="AF901" i="6"/>
  <c r="AG901" i="6"/>
  <c r="AH901" i="6"/>
  <c r="AI901" i="6"/>
  <c r="AJ901" i="6"/>
  <c r="AK901" i="6" s="1"/>
  <c r="AL901" i="6" s="1"/>
  <c r="AF902" i="6"/>
  <c r="AG902" i="6"/>
  <c r="AH902" i="6" s="1"/>
  <c r="AJ902" i="6" s="1"/>
  <c r="AK902" i="6" s="1"/>
  <c r="AI902" i="6"/>
  <c r="AF903" i="6"/>
  <c r="AG903" i="6"/>
  <c r="AI903" i="6" s="1"/>
  <c r="AH903" i="6"/>
  <c r="AJ903" i="6" s="1"/>
  <c r="AK903" i="6" s="1"/>
  <c r="AF904" i="6"/>
  <c r="AG904" i="6"/>
  <c r="AH904" i="6" s="1"/>
  <c r="AJ904" i="6" s="1"/>
  <c r="AK904" i="6" s="1"/>
  <c r="AF905" i="6"/>
  <c r="AG905" i="6"/>
  <c r="AH905" i="6"/>
  <c r="AI905" i="6"/>
  <c r="AJ905" i="6"/>
  <c r="AK905" i="6" s="1"/>
  <c r="AL905" i="6"/>
  <c r="AF906" i="6"/>
  <c r="AG906" i="6"/>
  <c r="AH906" i="6" s="1"/>
  <c r="AJ906" i="6" s="1"/>
  <c r="AI906" i="6"/>
  <c r="AK906" i="6"/>
  <c r="AF907" i="6"/>
  <c r="AG907" i="6"/>
  <c r="AI907" i="6" s="1"/>
  <c r="AL907" i="6" s="1"/>
  <c r="AH907" i="6"/>
  <c r="AJ907" i="6"/>
  <c r="AK907" i="6" s="1"/>
  <c r="AF908" i="6"/>
  <c r="AG908" i="6"/>
  <c r="AH908" i="6" s="1"/>
  <c r="AJ908" i="6" s="1"/>
  <c r="AK908" i="6" s="1"/>
  <c r="AI908" i="6"/>
  <c r="AF909" i="6"/>
  <c r="AG909" i="6"/>
  <c r="AH909" i="6"/>
  <c r="AJ909" i="6" s="1"/>
  <c r="AK909" i="6" s="1"/>
  <c r="AL909" i="6" s="1"/>
  <c r="AI909" i="6"/>
  <c r="AF910" i="6"/>
  <c r="AG910" i="6"/>
  <c r="AH910" i="6" s="1"/>
  <c r="AJ910" i="6" s="1"/>
  <c r="AI910" i="6"/>
  <c r="AK910" i="6"/>
  <c r="AF911" i="6"/>
  <c r="AG911" i="6"/>
  <c r="AI911" i="6" s="1"/>
  <c r="AH911" i="6"/>
  <c r="AJ911" i="6"/>
  <c r="AK911" i="6" s="1"/>
  <c r="AL911" i="6"/>
  <c r="AF912" i="6"/>
  <c r="AG912" i="6"/>
  <c r="AH912" i="6" s="1"/>
  <c r="AJ912" i="6" s="1"/>
  <c r="AI912" i="6"/>
  <c r="AK912" i="6"/>
  <c r="AF913" i="6"/>
  <c r="AG913" i="6"/>
  <c r="AH913" i="6"/>
  <c r="AJ913" i="6" s="1"/>
  <c r="AK913" i="6" s="1"/>
  <c r="AL913" i="6" s="1"/>
  <c r="AI913" i="6"/>
  <c r="AF914" i="6"/>
  <c r="AG914" i="6"/>
  <c r="AH914" i="6" s="1"/>
  <c r="AJ914" i="6" s="1"/>
  <c r="AK914" i="6" s="1"/>
  <c r="AF915" i="6"/>
  <c r="AG915" i="6"/>
  <c r="AI915" i="6" s="1"/>
  <c r="AL915" i="6" s="1"/>
  <c r="AH915" i="6"/>
  <c r="AJ915" i="6"/>
  <c r="AK915" i="6" s="1"/>
  <c r="AF916" i="6"/>
  <c r="AG916" i="6"/>
  <c r="AH916" i="6" s="1"/>
  <c r="AJ916" i="6" s="1"/>
  <c r="AI916" i="6"/>
  <c r="AK916" i="6"/>
  <c r="AF917" i="6"/>
  <c r="AG917" i="6"/>
  <c r="AH917" i="6"/>
  <c r="AI917" i="6"/>
  <c r="AJ917" i="6"/>
  <c r="AK917" i="6" s="1"/>
  <c r="AL917" i="6" s="1"/>
  <c r="AF918" i="6"/>
  <c r="AG918" i="6"/>
  <c r="AH918" i="6" s="1"/>
  <c r="AJ918" i="6" s="1"/>
  <c r="AK918" i="6" s="1"/>
  <c r="AI918" i="6"/>
  <c r="AF919" i="6"/>
  <c r="AG919" i="6"/>
  <c r="AI919" i="6" s="1"/>
  <c r="AL919" i="6" s="1"/>
  <c r="AH919" i="6"/>
  <c r="AJ919" i="6" s="1"/>
  <c r="AK919" i="6" s="1"/>
  <c r="AF920" i="6"/>
  <c r="AG920" i="6"/>
  <c r="AH920" i="6" s="1"/>
  <c r="AJ920" i="6" s="1"/>
  <c r="AK920" i="6" s="1"/>
  <c r="AF921" i="6"/>
  <c r="AG921" i="6"/>
  <c r="AH921" i="6"/>
  <c r="AI921" i="6"/>
  <c r="AJ921" i="6"/>
  <c r="AK921" i="6" s="1"/>
  <c r="AL921" i="6"/>
  <c r="AF922" i="6"/>
  <c r="AG922" i="6"/>
  <c r="AH922" i="6" s="1"/>
  <c r="AJ922" i="6" s="1"/>
  <c r="AI922" i="6"/>
  <c r="AK922" i="6"/>
  <c r="AF923" i="6"/>
  <c r="AG923" i="6"/>
  <c r="AI923" i="6" s="1"/>
  <c r="AL923" i="6" s="1"/>
  <c r="AH923" i="6"/>
  <c r="AJ923" i="6"/>
  <c r="AK923" i="6" s="1"/>
  <c r="AF924" i="6"/>
  <c r="AG924" i="6"/>
  <c r="AH924" i="6" s="1"/>
  <c r="AJ924" i="6" s="1"/>
  <c r="AK924" i="6" s="1"/>
  <c r="AI924" i="6"/>
  <c r="AF925" i="6"/>
  <c r="AG925" i="6"/>
  <c r="AH925" i="6"/>
  <c r="AJ925" i="6" s="1"/>
  <c r="AK925" i="6" s="1"/>
  <c r="AL925" i="6" s="1"/>
  <c r="AI925" i="6"/>
  <c r="AF926" i="6"/>
  <c r="AG926" i="6"/>
  <c r="AH926" i="6" s="1"/>
  <c r="AJ926" i="6" s="1"/>
  <c r="AI926" i="6"/>
  <c r="AK926" i="6"/>
  <c r="AF927" i="6"/>
  <c r="AG927" i="6"/>
  <c r="AI927" i="6" s="1"/>
  <c r="AH927" i="6"/>
  <c r="AJ927" i="6"/>
  <c r="AK927" i="6" s="1"/>
  <c r="AL927" i="6"/>
  <c r="AF928" i="6"/>
  <c r="AG928" i="6"/>
  <c r="AH928" i="6" s="1"/>
  <c r="AJ928" i="6" s="1"/>
  <c r="AI928" i="6"/>
  <c r="AK928" i="6"/>
  <c r="AF929" i="6"/>
  <c r="AG929" i="6"/>
  <c r="AH929" i="6"/>
  <c r="AJ929" i="6" s="1"/>
  <c r="AK929" i="6" s="1"/>
  <c r="AL929" i="6" s="1"/>
  <c r="AI929" i="6"/>
  <c r="AF930" i="6"/>
  <c r="AG930" i="6"/>
  <c r="AH930" i="6" s="1"/>
  <c r="AJ930" i="6" s="1"/>
  <c r="AK930" i="6" s="1"/>
  <c r="AF931" i="6"/>
  <c r="AG931" i="6"/>
  <c r="AI931" i="6" s="1"/>
  <c r="AL931" i="6" s="1"/>
  <c r="AH931" i="6"/>
  <c r="AJ931" i="6"/>
  <c r="AK931" i="6" s="1"/>
  <c r="AF932" i="6"/>
  <c r="AG932" i="6"/>
  <c r="AH932" i="6" s="1"/>
  <c r="AJ932" i="6" s="1"/>
  <c r="AI932" i="6"/>
  <c r="AK932" i="6"/>
  <c r="AF933" i="6"/>
  <c r="AG933" i="6"/>
  <c r="AH933" i="6"/>
  <c r="AI933" i="6"/>
  <c r="AJ933" i="6"/>
  <c r="AK933" i="6" s="1"/>
  <c r="AL933" i="6" s="1"/>
  <c r="AF934" i="6"/>
  <c r="AG934" i="6"/>
  <c r="AH934" i="6" s="1"/>
  <c r="AJ934" i="6" s="1"/>
  <c r="AK934" i="6" s="1"/>
  <c r="AI934" i="6"/>
  <c r="AF935" i="6"/>
  <c r="AG935" i="6"/>
  <c r="AI935" i="6" s="1"/>
  <c r="AH935" i="6"/>
  <c r="AJ935" i="6" s="1"/>
  <c r="AK935" i="6" s="1"/>
  <c r="AF936" i="6"/>
  <c r="AG936" i="6"/>
  <c r="AH936" i="6" s="1"/>
  <c r="AJ936" i="6" s="1"/>
  <c r="AK936" i="6" s="1"/>
  <c r="AF937" i="6"/>
  <c r="AG937" i="6"/>
  <c r="AH937" i="6"/>
  <c r="AI937" i="6"/>
  <c r="AJ937" i="6"/>
  <c r="AK937" i="6" s="1"/>
  <c r="AL937" i="6"/>
  <c r="AF938" i="6"/>
  <c r="AG938" i="6"/>
  <c r="AH938" i="6" s="1"/>
  <c r="AJ938" i="6" s="1"/>
  <c r="AI938" i="6"/>
  <c r="AK938" i="6"/>
  <c r="AF939" i="6"/>
  <c r="AG939" i="6"/>
  <c r="AI939" i="6" s="1"/>
  <c r="AL939" i="6" s="1"/>
  <c r="AH939" i="6"/>
  <c r="AJ939" i="6"/>
  <c r="AK939" i="6" s="1"/>
  <c r="AF940" i="6"/>
  <c r="AG940" i="6"/>
  <c r="AH940" i="6" s="1"/>
  <c r="AJ940" i="6" s="1"/>
  <c r="AK940" i="6" s="1"/>
  <c r="AI940" i="6"/>
  <c r="AF941" i="6"/>
  <c r="AG941" i="6"/>
  <c r="AH941" i="6"/>
  <c r="AJ941" i="6" s="1"/>
  <c r="AK941" i="6" s="1"/>
  <c r="AL941" i="6" s="1"/>
  <c r="AI941" i="6"/>
  <c r="AF942" i="6"/>
  <c r="AG942" i="6"/>
  <c r="AH942" i="6" s="1"/>
  <c r="AJ942" i="6" s="1"/>
  <c r="AI942" i="6"/>
  <c r="AK942" i="6"/>
  <c r="AF943" i="6"/>
  <c r="AG943" i="6"/>
  <c r="AI943" i="6" s="1"/>
  <c r="AH943" i="6"/>
  <c r="AJ943" i="6"/>
  <c r="AK943" i="6" s="1"/>
  <c r="AL943" i="6"/>
  <c r="AF944" i="6"/>
  <c r="AG944" i="6"/>
  <c r="AH944" i="6" s="1"/>
  <c r="AJ944" i="6" s="1"/>
  <c r="AI944" i="6"/>
  <c r="AK944" i="6"/>
  <c r="AF945" i="6"/>
  <c r="AG945" i="6"/>
  <c r="AH945" i="6"/>
  <c r="AJ945" i="6" s="1"/>
  <c r="AK945" i="6" s="1"/>
  <c r="AL945" i="6" s="1"/>
  <c r="AI945" i="6"/>
  <c r="AF946" i="6"/>
  <c r="AG946" i="6"/>
  <c r="AH946" i="6" s="1"/>
  <c r="AJ946" i="6" s="1"/>
  <c r="AK946" i="6" s="1"/>
  <c r="AF947" i="6"/>
  <c r="AG947" i="6"/>
  <c r="AI947" i="6" s="1"/>
  <c r="AL947" i="6" s="1"/>
  <c r="AH947" i="6"/>
  <c r="AJ947" i="6"/>
  <c r="AK947" i="6" s="1"/>
  <c r="AF948" i="6"/>
  <c r="AG948" i="6"/>
  <c r="AH948" i="6" s="1"/>
  <c r="AJ948" i="6" s="1"/>
  <c r="AI948" i="6"/>
  <c r="AK948" i="6"/>
  <c r="AF949" i="6"/>
  <c r="AG949" i="6"/>
  <c r="AH949" i="6"/>
  <c r="AI949" i="6"/>
  <c r="AJ949" i="6"/>
  <c r="AK949" i="6" s="1"/>
  <c r="AL949" i="6" s="1"/>
  <c r="AF950" i="6"/>
  <c r="AG950" i="6"/>
  <c r="AH950" i="6" s="1"/>
  <c r="AJ950" i="6" s="1"/>
  <c r="AK950" i="6" s="1"/>
  <c r="AI950" i="6"/>
  <c r="AF951" i="6"/>
  <c r="AG951" i="6"/>
  <c r="AI951" i="6" s="1"/>
  <c r="AL951" i="6" s="1"/>
  <c r="AH951" i="6"/>
  <c r="AJ951" i="6" s="1"/>
  <c r="AK951" i="6" s="1"/>
  <c r="AF952" i="6"/>
  <c r="AG952" i="6"/>
  <c r="AH952" i="6" s="1"/>
  <c r="AJ952" i="6" s="1"/>
  <c r="AK952" i="6" s="1"/>
  <c r="AF953" i="6"/>
  <c r="AG953" i="6"/>
  <c r="AH953" i="6"/>
  <c r="AI953" i="6"/>
  <c r="AJ953" i="6"/>
  <c r="AK953" i="6" s="1"/>
  <c r="AL953" i="6"/>
  <c r="AF954" i="6"/>
  <c r="AG954" i="6"/>
  <c r="AH954" i="6" s="1"/>
  <c r="AJ954" i="6" s="1"/>
  <c r="AI954" i="6"/>
  <c r="AK954" i="6"/>
  <c r="AF955" i="6"/>
  <c r="AG955" i="6"/>
  <c r="AI955" i="6" s="1"/>
  <c r="AL955" i="6" s="1"/>
  <c r="AH955" i="6"/>
  <c r="AJ955" i="6"/>
  <c r="AK955" i="6" s="1"/>
  <c r="AF956" i="6"/>
  <c r="AG956" i="6"/>
  <c r="AH956" i="6" s="1"/>
  <c r="AJ956" i="6" s="1"/>
  <c r="AK956" i="6" s="1"/>
  <c r="AI956" i="6"/>
  <c r="AF957" i="6"/>
  <c r="AG957" i="6"/>
  <c r="AH957" i="6"/>
  <c r="AJ957" i="6" s="1"/>
  <c r="AK957" i="6" s="1"/>
  <c r="AL957" i="6" s="1"/>
  <c r="AI957" i="6"/>
  <c r="AF958" i="6"/>
  <c r="AG958" i="6"/>
  <c r="AH958" i="6" s="1"/>
  <c r="AJ958" i="6" s="1"/>
  <c r="AI958" i="6"/>
  <c r="AK958" i="6"/>
  <c r="AF959" i="6"/>
  <c r="AG959" i="6"/>
  <c r="AI959" i="6" s="1"/>
  <c r="AH959" i="6"/>
  <c r="AJ959" i="6"/>
  <c r="AK959" i="6" s="1"/>
  <c r="AL959" i="6"/>
  <c r="AF960" i="6"/>
  <c r="AG960" i="6"/>
  <c r="AH960" i="6" s="1"/>
  <c r="AJ960" i="6" s="1"/>
  <c r="AI960" i="6"/>
  <c r="AK960" i="6"/>
  <c r="AF961" i="6"/>
  <c r="AG961" i="6"/>
  <c r="AH961" i="6"/>
  <c r="AJ961" i="6" s="1"/>
  <c r="AK961" i="6" s="1"/>
  <c r="AL961" i="6" s="1"/>
  <c r="AI961" i="6"/>
  <c r="AF962" i="6"/>
  <c r="AG962" i="6"/>
  <c r="AH962" i="6" s="1"/>
  <c r="AJ962" i="6" s="1"/>
  <c r="AK962" i="6" s="1"/>
  <c r="AF963" i="6"/>
  <c r="AG963" i="6"/>
  <c r="AI963" i="6" s="1"/>
  <c r="AL963" i="6" s="1"/>
  <c r="AH963" i="6"/>
  <c r="AJ963" i="6"/>
  <c r="AK963" i="6" s="1"/>
  <c r="AF964" i="6"/>
  <c r="AG964" i="6"/>
  <c r="AH964" i="6" s="1"/>
  <c r="AJ964" i="6" s="1"/>
  <c r="AI964" i="6"/>
  <c r="AK964" i="6"/>
  <c r="AF965" i="6"/>
  <c r="AG965" i="6"/>
  <c r="AH965" i="6"/>
  <c r="AI965" i="6"/>
  <c r="AJ965" i="6"/>
  <c r="AK965" i="6" s="1"/>
  <c r="AL965" i="6" s="1"/>
  <c r="AF966" i="6"/>
  <c r="AG966" i="6"/>
  <c r="AH966" i="6" s="1"/>
  <c r="AJ966" i="6" s="1"/>
  <c r="AK966" i="6" s="1"/>
  <c r="AI966" i="6"/>
  <c r="AF967" i="6"/>
  <c r="AG967" i="6"/>
  <c r="AI967" i="6" s="1"/>
  <c r="AH967" i="6"/>
  <c r="AJ967" i="6" s="1"/>
  <c r="AK967" i="6" s="1"/>
  <c r="AF968" i="6"/>
  <c r="AG968" i="6"/>
  <c r="AH968" i="6" s="1"/>
  <c r="AJ968" i="6" s="1"/>
  <c r="AK968" i="6" s="1"/>
  <c r="AF969" i="6"/>
  <c r="AG969" i="6"/>
  <c r="AH969" i="6"/>
  <c r="AI969" i="6"/>
  <c r="AJ969" i="6"/>
  <c r="AK969" i="6" s="1"/>
  <c r="AL969" i="6"/>
  <c r="AF970" i="6"/>
  <c r="AG970" i="6"/>
  <c r="AH970" i="6" s="1"/>
  <c r="AJ970" i="6" s="1"/>
  <c r="AI970" i="6"/>
  <c r="AK970" i="6"/>
  <c r="AF971" i="6"/>
  <c r="AG971" i="6"/>
  <c r="AI971" i="6" s="1"/>
  <c r="AL971" i="6" s="1"/>
  <c r="AH971" i="6"/>
  <c r="AJ971" i="6"/>
  <c r="AK971" i="6" s="1"/>
  <c r="AF972" i="6"/>
  <c r="AG972" i="6"/>
  <c r="AH972" i="6" s="1"/>
  <c r="AJ972" i="6" s="1"/>
  <c r="AK972" i="6" s="1"/>
  <c r="AI972" i="6"/>
  <c r="AF973" i="6"/>
  <c r="AG973" i="6"/>
  <c r="AH973" i="6"/>
  <c r="AJ973" i="6" s="1"/>
  <c r="AK973" i="6" s="1"/>
  <c r="AL973" i="6" s="1"/>
  <c r="AI973" i="6"/>
  <c r="AF974" i="6"/>
  <c r="AG974" i="6"/>
  <c r="AH974" i="6" s="1"/>
  <c r="AJ974" i="6" s="1"/>
  <c r="AI974" i="6"/>
  <c r="AK974" i="6"/>
  <c r="AF975" i="6"/>
  <c r="AG975" i="6"/>
  <c r="AI975" i="6" s="1"/>
  <c r="AH975" i="6"/>
  <c r="AJ975" i="6"/>
  <c r="AK975" i="6" s="1"/>
  <c r="AL975" i="6"/>
  <c r="AF976" i="6"/>
  <c r="AG976" i="6"/>
  <c r="AH976" i="6" s="1"/>
  <c r="AJ976" i="6" s="1"/>
  <c r="AI976" i="6"/>
  <c r="AL976" i="6" s="1"/>
  <c r="AK976" i="6"/>
  <c r="AF977" i="6"/>
  <c r="AG977" i="6"/>
  <c r="AH977" i="6"/>
  <c r="AJ977" i="6" s="1"/>
  <c r="AK977" i="6" s="1"/>
  <c r="AL977" i="6" s="1"/>
  <c r="AI977" i="6"/>
  <c r="AF978" i="6"/>
  <c r="AG978" i="6"/>
  <c r="AH978" i="6" s="1"/>
  <c r="AI978" i="6"/>
  <c r="AJ978" i="6"/>
  <c r="AK978" i="6"/>
  <c r="AF979" i="6"/>
  <c r="AG979" i="6"/>
  <c r="AI979" i="6" s="1"/>
  <c r="AH979" i="6"/>
  <c r="AJ979" i="6"/>
  <c r="AK979" i="6" s="1"/>
  <c r="AF980" i="6"/>
  <c r="AG980" i="6"/>
  <c r="AH980" i="6" s="1"/>
  <c r="AJ980" i="6" s="1"/>
  <c r="AK980" i="6" s="1"/>
  <c r="AF981" i="6"/>
  <c r="AG981" i="6"/>
  <c r="AH981" i="6"/>
  <c r="AJ981" i="6" s="1"/>
  <c r="AK981" i="6" s="1"/>
  <c r="AI981" i="6"/>
  <c r="AF982" i="6"/>
  <c r="AG982" i="6"/>
  <c r="AH982" i="6" s="1"/>
  <c r="AJ982" i="6" s="1"/>
  <c r="AK982" i="6" s="1"/>
  <c r="AF983" i="6"/>
  <c r="AG983" i="6"/>
  <c r="AI983" i="6" s="1"/>
  <c r="AH983" i="6"/>
  <c r="AJ983" i="6"/>
  <c r="AK983" i="6"/>
  <c r="AL983" i="6" s="1"/>
  <c r="AF984" i="6"/>
  <c r="AG984" i="6"/>
  <c r="AI984" i="6" s="1"/>
  <c r="AL984" i="6" s="1"/>
  <c r="AH984" i="6"/>
  <c r="AJ984" i="6" s="1"/>
  <c r="AK984" i="6" s="1"/>
  <c r="AF985" i="6"/>
  <c r="AG985" i="6"/>
  <c r="AH985" i="6"/>
  <c r="AI985" i="6"/>
  <c r="AL985" i="6" s="1"/>
  <c r="AJ985" i="6"/>
  <c r="AK985" i="6" s="1"/>
  <c r="AF986" i="6"/>
  <c r="AG986" i="6"/>
  <c r="AH986" i="6" s="1"/>
  <c r="AJ986" i="6" s="1"/>
  <c r="AK986" i="6" s="1"/>
  <c r="AI986" i="6"/>
  <c r="AF987" i="6"/>
  <c r="AG987" i="6"/>
  <c r="AI987" i="6" s="1"/>
  <c r="AF988" i="6"/>
  <c r="AG988" i="6"/>
  <c r="AH988" i="6"/>
  <c r="AJ988" i="6" s="1"/>
  <c r="AK988" i="6" s="1"/>
  <c r="AI988" i="6"/>
  <c r="AF989" i="6"/>
  <c r="AG989" i="6"/>
  <c r="AH989" i="6"/>
  <c r="AI989" i="6"/>
  <c r="AJ989" i="6"/>
  <c r="AK989" i="6" s="1"/>
  <c r="AL989" i="6"/>
  <c r="AF990" i="6"/>
  <c r="AG990" i="6"/>
  <c r="AH990" i="6" s="1"/>
  <c r="AI990" i="6"/>
  <c r="AJ990" i="6"/>
  <c r="AK990" i="6" s="1"/>
  <c r="AF991" i="6"/>
  <c r="AG991" i="6"/>
  <c r="AI991" i="6" s="1"/>
  <c r="AH991" i="6"/>
  <c r="AJ991" i="6" s="1"/>
  <c r="AK991" i="6" s="1"/>
  <c r="AF992" i="6"/>
  <c r="AG992" i="6"/>
  <c r="AH992" i="6"/>
  <c r="AJ992" i="6" s="1"/>
  <c r="AI992" i="6"/>
  <c r="AL992" i="6" s="1"/>
  <c r="AK992" i="6"/>
  <c r="AF993" i="6"/>
  <c r="AG993" i="6"/>
  <c r="AH993" i="6"/>
  <c r="AJ993" i="6" s="1"/>
  <c r="AK993" i="6" s="1"/>
  <c r="AL993" i="6" s="1"/>
  <c r="AI993" i="6"/>
  <c r="AF994" i="6"/>
  <c r="AG994" i="6"/>
  <c r="AH994" i="6" s="1"/>
  <c r="AI994" i="6"/>
  <c r="AJ994" i="6"/>
  <c r="AK994" i="6"/>
  <c r="AF995" i="6"/>
  <c r="AG995" i="6"/>
  <c r="AI995" i="6" s="1"/>
  <c r="AH995" i="6"/>
  <c r="AJ995" i="6"/>
  <c r="AK995" i="6" s="1"/>
  <c r="AF996" i="6"/>
  <c r="AG996" i="6"/>
  <c r="AH996" i="6" s="1"/>
  <c r="AJ996" i="6" s="1"/>
  <c r="AK996" i="6" s="1"/>
  <c r="AF997" i="6"/>
  <c r="AG997" i="6"/>
  <c r="AH997" i="6"/>
  <c r="AJ997" i="6" s="1"/>
  <c r="AK997" i="6" s="1"/>
  <c r="AI997" i="6"/>
  <c r="AL997" i="6" s="1"/>
  <c r="AF998" i="6"/>
  <c r="AG998" i="6"/>
  <c r="AH998" i="6" s="1"/>
  <c r="AJ998" i="6" s="1"/>
  <c r="AK998" i="6" s="1"/>
  <c r="AF999" i="6"/>
  <c r="AG999" i="6"/>
  <c r="AI999" i="6" s="1"/>
  <c r="AH999" i="6"/>
  <c r="AJ999" i="6"/>
  <c r="AK999" i="6"/>
  <c r="AL999" i="6" s="1"/>
  <c r="AF1000" i="6"/>
  <c r="AG1000" i="6"/>
  <c r="AI1000" i="6" s="1"/>
  <c r="AH1000" i="6"/>
  <c r="AJ1000" i="6" s="1"/>
  <c r="AK1000" i="6" s="1"/>
  <c r="AJ168" i="12" l="1"/>
  <c r="AJ133" i="12"/>
  <c r="AJ125" i="12"/>
  <c r="AP50" i="12"/>
  <c r="AP48" i="12"/>
  <c r="AP28" i="12"/>
  <c r="AP24" i="12"/>
  <c r="AP37" i="12"/>
  <c r="AP42" i="12"/>
  <c r="AP40" i="12"/>
  <c r="AP38" i="12"/>
  <c r="AP32" i="12"/>
  <c r="AP31" i="12"/>
  <c r="AP23" i="12"/>
  <c r="AP49" i="12"/>
  <c r="AP47" i="12"/>
  <c r="AP45" i="12"/>
  <c r="AP44" i="12"/>
  <c r="AP43" i="12"/>
  <c r="AP41" i="12"/>
  <c r="AP39" i="12"/>
  <c r="AP33" i="12"/>
  <c r="AJ28" i="12"/>
  <c r="AP27" i="12" s="1"/>
  <c r="AJ26" i="12"/>
  <c r="AP25" i="12" s="1"/>
  <c r="AP20" i="12"/>
  <c r="AP19" i="12"/>
  <c r="AP18" i="12"/>
  <c r="AS26" i="12"/>
  <c r="AP26" i="12" s="1"/>
  <c r="AS21" i="12"/>
  <c r="AP21" i="12" s="1"/>
  <c r="AJ195" i="12"/>
  <c r="AJ252" i="12"/>
  <c r="AJ423" i="12"/>
  <c r="AJ455" i="12"/>
  <c r="AJ586" i="12"/>
  <c r="AJ566" i="12"/>
  <c r="AJ598" i="12"/>
  <c r="AJ630" i="12"/>
  <c r="AJ148" i="12"/>
  <c r="AJ172" i="12"/>
  <c r="AJ159" i="12"/>
  <c r="AJ108" i="12"/>
  <c r="AJ229" i="12"/>
  <c r="AJ245" i="12"/>
  <c r="AJ261" i="12"/>
  <c r="AJ80" i="12"/>
  <c r="AJ420" i="12"/>
  <c r="AJ232" i="12"/>
  <c r="AJ248" i="12"/>
  <c r="AJ264" i="12"/>
  <c r="AJ281" i="12"/>
  <c r="AJ180" i="12"/>
  <c r="AJ282" i="12"/>
  <c r="AJ304" i="12"/>
  <c r="AJ336" i="12"/>
  <c r="AJ447" i="12"/>
  <c r="AJ343" i="12"/>
  <c r="AJ359" i="12"/>
  <c r="AJ375" i="12"/>
  <c r="AJ391" i="12"/>
  <c r="AJ407" i="12"/>
  <c r="AJ431" i="12"/>
  <c r="AJ451" i="12"/>
  <c r="AJ475" i="12"/>
  <c r="AJ546" i="12"/>
  <c r="AJ578" i="12"/>
  <c r="AJ610" i="12"/>
  <c r="AJ280" i="12"/>
  <c r="AJ435" i="12"/>
  <c r="AJ419" i="12"/>
  <c r="AJ210" i="12"/>
  <c r="AJ116" i="12"/>
  <c r="AJ236" i="12"/>
  <c r="AJ268" i="12"/>
  <c r="AJ183" i="12"/>
  <c r="AJ554" i="12"/>
  <c r="AJ618" i="12"/>
  <c r="AJ550" i="12"/>
  <c r="AJ582" i="12"/>
  <c r="AJ614" i="12"/>
  <c r="AJ36" i="12"/>
  <c r="AP35" i="12" s="1"/>
  <c r="AJ100" i="12"/>
  <c r="AJ86" i="12"/>
  <c r="AJ18" i="12"/>
  <c r="AJ225" i="12"/>
  <c r="AJ241" i="12"/>
  <c r="AJ257" i="12"/>
  <c r="AJ273" i="12"/>
  <c r="AJ220" i="12"/>
  <c r="AJ340" i="12"/>
  <c r="AJ356" i="12"/>
  <c r="AJ372" i="12"/>
  <c r="AJ388" i="12"/>
  <c r="AJ404" i="12"/>
  <c r="AJ416" i="12"/>
  <c r="AJ296" i="12"/>
  <c r="AJ328" i="12"/>
  <c r="AJ300" i="12"/>
  <c r="AJ332" i="12"/>
  <c r="AJ505" i="12"/>
  <c r="AJ212" i="12"/>
  <c r="AJ352" i="12"/>
  <c r="AJ384" i="12"/>
  <c r="AJ448" i="12"/>
  <c r="AJ481" i="12"/>
  <c r="AJ523" i="12"/>
  <c r="AJ547" i="12"/>
  <c r="AJ563" i="12"/>
  <c r="AJ579" i="12"/>
  <c r="AJ595" i="12"/>
  <c r="AJ611" i="12"/>
  <c r="AJ627" i="12"/>
  <c r="AJ292" i="12"/>
  <c r="AJ324" i="12"/>
  <c r="AJ444" i="12"/>
  <c r="AJ499" i="12"/>
  <c r="AJ542" i="12"/>
  <c r="AJ558" i="12"/>
  <c r="AJ574" i="12"/>
  <c r="AJ590" i="12"/>
  <c r="AJ606" i="12"/>
  <c r="AJ622" i="12"/>
  <c r="AJ219" i="12"/>
  <c r="AI14" i="6"/>
  <c r="AL14" i="6" s="1"/>
  <c r="AI12" i="6"/>
  <c r="AL12" i="6" s="1"/>
  <c r="AH13" i="6"/>
  <c r="AJ13" i="6" s="1"/>
  <c r="AK13" i="6" s="1"/>
  <c r="AI10" i="6"/>
  <c r="AL13" i="6"/>
  <c r="AH11" i="6"/>
  <c r="AJ11" i="6" s="1"/>
  <c r="AK11" i="6" s="1"/>
  <c r="AL11" i="6" s="1"/>
  <c r="AL995" i="6"/>
  <c r="AL991" i="6"/>
  <c r="AL988" i="6"/>
  <c r="AL987" i="6"/>
  <c r="AL981" i="6"/>
  <c r="AL979" i="6"/>
  <c r="AL967" i="6"/>
  <c r="AL903" i="6"/>
  <c r="AL839" i="6"/>
  <c r="AL1000" i="6"/>
  <c r="AL935" i="6"/>
  <c r="AL871" i="6"/>
  <c r="AL972" i="6"/>
  <c r="AL966" i="6"/>
  <c r="AL940" i="6"/>
  <c r="AL934" i="6"/>
  <c r="AL918" i="6"/>
  <c r="AL902" i="6"/>
  <c r="AL876" i="6"/>
  <c r="AL870" i="6"/>
  <c r="AL844" i="6"/>
  <c r="AL838" i="6"/>
  <c r="AL828" i="6"/>
  <c r="AL822" i="6"/>
  <c r="AH811" i="6"/>
  <c r="AJ811" i="6" s="1"/>
  <c r="AK811" i="6" s="1"/>
  <c r="AI811" i="6"/>
  <c r="AL811" i="6" s="1"/>
  <c r="AI792" i="6"/>
  <c r="AH792" i="6"/>
  <c r="AJ792" i="6" s="1"/>
  <c r="AK792" i="6" s="1"/>
  <c r="AI776" i="6"/>
  <c r="AH776" i="6"/>
  <c r="AJ776" i="6" s="1"/>
  <c r="AK776" i="6" s="1"/>
  <c r="AH771" i="6"/>
  <c r="AJ771" i="6" s="1"/>
  <c r="AK771" i="6" s="1"/>
  <c r="AI771" i="6"/>
  <c r="AL771" i="6" s="1"/>
  <c r="AH753" i="6"/>
  <c r="AJ753" i="6" s="1"/>
  <c r="AK753" i="6" s="1"/>
  <c r="AI753" i="6"/>
  <c r="AL753" i="6" s="1"/>
  <c r="AH747" i="6"/>
  <c r="AJ747" i="6" s="1"/>
  <c r="AK747" i="6" s="1"/>
  <c r="AI747" i="6"/>
  <c r="AL747" i="6" s="1"/>
  <c r="AH651" i="6"/>
  <c r="AJ651" i="6" s="1"/>
  <c r="AK651" i="6" s="1"/>
  <c r="AI651" i="6"/>
  <c r="AL651" i="6" s="1"/>
  <c r="AH515" i="6"/>
  <c r="AJ515" i="6" s="1"/>
  <c r="AK515" i="6" s="1"/>
  <c r="AI515" i="6"/>
  <c r="AL515" i="6" s="1"/>
  <c r="AH395" i="6"/>
  <c r="AJ395" i="6" s="1"/>
  <c r="AK395" i="6" s="1"/>
  <c r="AI395" i="6"/>
  <c r="AL395" i="6" s="1"/>
  <c r="AL970" i="6"/>
  <c r="AL912" i="6"/>
  <c r="AL906" i="6"/>
  <c r="AL864" i="6"/>
  <c r="AL858" i="6"/>
  <c r="AL807" i="6"/>
  <c r="AH611" i="6"/>
  <c r="AJ611" i="6" s="1"/>
  <c r="AK611" i="6" s="1"/>
  <c r="AI611" i="6"/>
  <c r="AL611" i="6" s="1"/>
  <c r="AH529" i="6"/>
  <c r="AJ529" i="6" s="1"/>
  <c r="AK529" i="6" s="1"/>
  <c r="AI529" i="6"/>
  <c r="AL529" i="6" s="1"/>
  <c r="AI520" i="6"/>
  <c r="AH520" i="6"/>
  <c r="AJ520" i="6" s="1"/>
  <c r="AK520" i="6" s="1"/>
  <c r="AI488" i="6"/>
  <c r="AH488" i="6"/>
  <c r="AJ488" i="6" s="1"/>
  <c r="AK488" i="6" s="1"/>
  <c r="AH427" i="6"/>
  <c r="AJ427" i="6" s="1"/>
  <c r="AK427" i="6" s="1"/>
  <c r="AI427" i="6"/>
  <c r="AL427" i="6" s="1"/>
  <c r="AH425" i="6"/>
  <c r="AJ425" i="6" s="1"/>
  <c r="AK425" i="6" s="1"/>
  <c r="AI425" i="6"/>
  <c r="AL425" i="6" s="1"/>
  <c r="AL958" i="6"/>
  <c r="AL948" i="6"/>
  <c r="AL926" i="6"/>
  <c r="AL884" i="6"/>
  <c r="AL878" i="6"/>
  <c r="AL868" i="6"/>
  <c r="AL862" i="6"/>
  <c r="AL852" i="6"/>
  <c r="AL846" i="6"/>
  <c r="AL836" i="6"/>
  <c r="AL830" i="6"/>
  <c r="AL820" i="6"/>
  <c r="AL814" i="6"/>
  <c r="AI808" i="6"/>
  <c r="AL808" i="6" s="1"/>
  <c r="AH808" i="6"/>
  <c r="AJ808" i="6" s="1"/>
  <c r="AK808" i="6" s="1"/>
  <c r="AL805" i="6"/>
  <c r="AI800" i="6"/>
  <c r="AH800" i="6"/>
  <c r="AJ800" i="6" s="1"/>
  <c r="AK800" i="6" s="1"/>
  <c r="AH787" i="6"/>
  <c r="AJ787" i="6" s="1"/>
  <c r="AK787" i="6" s="1"/>
  <c r="AI787" i="6"/>
  <c r="AL787" i="6" s="1"/>
  <c r="AI784" i="6"/>
  <c r="AH784" i="6"/>
  <c r="AJ784" i="6" s="1"/>
  <c r="AK784" i="6" s="1"/>
  <c r="AL783" i="6"/>
  <c r="AH779" i="6"/>
  <c r="AJ779" i="6" s="1"/>
  <c r="AK779" i="6" s="1"/>
  <c r="AI779" i="6"/>
  <c r="AI741" i="6"/>
  <c r="AL741" i="6" s="1"/>
  <c r="AH741" i="6"/>
  <c r="AJ741" i="6" s="1"/>
  <c r="AK741" i="6" s="1"/>
  <c r="AH723" i="6"/>
  <c r="AJ723" i="6" s="1"/>
  <c r="AK723" i="6" s="1"/>
  <c r="AI723" i="6"/>
  <c r="AI716" i="6"/>
  <c r="AL716" i="6" s="1"/>
  <c r="AH716" i="6"/>
  <c r="AJ716" i="6" s="1"/>
  <c r="AK716" i="6" s="1"/>
  <c r="AI672" i="6"/>
  <c r="AL672" i="6" s="1"/>
  <c r="AH672" i="6"/>
  <c r="AJ672" i="6" s="1"/>
  <c r="AK672" i="6" s="1"/>
  <c r="AH657" i="6"/>
  <c r="AJ657" i="6" s="1"/>
  <c r="AK657" i="6" s="1"/>
  <c r="AI657" i="6"/>
  <c r="AH617" i="6"/>
  <c r="AJ617" i="6" s="1"/>
  <c r="AK617" i="6" s="1"/>
  <c r="AI617" i="6"/>
  <c r="AI592" i="6"/>
  <c r="AL592" i="6" s="1"/>
  <c r="AH592" i="6"/>
  <c r="AJ592" i="6" s="1"/>
  <c r="AK592" i="6" s="1"/>
  <c r="AH587" i="6"/>
  <c r="AJ587" i="6" s="1"/>
  <c r="AK587" i="6" s="1"/>
  <c r="AI587" i="6"/>
  <c r="AH491" i="6"/>
  <c r="AJ491" i="6" s="1"/>
  <c r="AK491" i="6" s="1"/>
  <c r="AI491" i="6"/>
  <c r="AI432" i="6"/>
  <c r="AL432" i="6" s="1"/>
  <c r="AH432" i="6"/>
  <c r="AJ432" i="6" s="1"/>
  <c r="AK432" i="6" s="1"/>
  <c r="AH409" i="6"/>
  <c r="AJ409" i="6" s="1"/>
  <c r="AK409" i="6" s="1"/>
  <c r="AI409" i="6"/>
  <c r="AL986" i="6"/>
  <c r="AL956" i="6"/>
  <c r="AL950" i="6"/>
  <c r="AL924" i="6"/>
  <c r="AL908" i="6"/>
  <c r="AL892" i="6"/>
  <c r="AL886" i="6"/>
  <c r="AL860" i="6"/>
  <c r="AL854" i="6"/>
  <c r="AH721" i="6"/>
  <c r="AJ721" i="6" s="1"/>
  <c r="AK721" i="6" s="1"/>
  <c r="AI721" i="6"/>
  <c r="AL721" i="6" s="1"/>
  <c r="AH715" i="6"/>
  <c r="AJ715" i="6" s="1"/>
  <c r="AK715" i="6" s="1"/>
  <c r="AI715" i="6"/>
  <c r="AL715" i="6" s="1"/>
  <c r="AH711" i="6"/>
  <c r="AJ711" i="6" s="1"/>
  <c r="AK711" i="6" s="1"/>
  <c r="AI711" i="6"/>
  <c r="AL711" i="6" s="1"/>
  <c r="AH691" i="6"/>
  <c r="AJ691" i="6" s="1"/>
  <c r="AK691" i="6" s="1"/>
  <c r="AI691" i="6"/>
  <c r="AL691" i="6" s="1"/>
  <c r="AI620" i="6"/>
  <c r="AH620" i="6"/>
  <c r="AJ620" i="6" s="1"/>
  <c r="AK620" i="6" s="1"/>
  <c r="AH457" i="6"/>
  <c r="AJ457" i="6" s="1"/>
  <c r="AK457" i="6" s="1"/>
  <c r="AI457" i="6"/>
  <c r="AL457" i="6" s="1"/>
  <c r="AH329" i="6"/>
  <c r="AJ329" i="6" s="1"/>
  <c r="AK329" i="6" s="1"/>
  <c r="AI329" i="6"/>
  <c r="AL329" i="6" s="1"/>
  <c r="AH161" i="6"/>
  <c r="AJ161" i="6" s="1"/>
  <c r="AK161" i="6" s="1"/>
  <c r="AI161" i="6"/>
  <c r="AL161" i="6" s="1"/>
  <c r="AH16" i="6"/>
  <c r="AJ16" i="6" s="1"/>
  <c r="AK16" i="6" s="1"/>
  <c r="AI16" i="6"/>
  <c r="AL16" i="6" s="1"/>
  <c r="AL990" i="6"/>
  <c r="AL960" i="6"/>
  <c r="AL954" i="6"/>
  <c r="AL944" i="6"/>
  <c r="AL938" i="6"/>
  <c r="AL928" i="6"/>
  <c r="AL922" i="6"/>
  <c r="AL896" i="6"/>
  <c r="AL890" i="6"/>
  <c r="AL880" i="6"/>
  <c r="AL874" i="6"/>
  <c r="AL848" i="6"/>
  <c r="AL842" i="6"/>
  <c r="AL832" i="6"/>
  <c r="AL826" i="6"/>
  <c r="AL816" i="6"/>
  <c r="AH755" i="6"/>
  <c r="AJ755" i="6" s="1"/>
  <c r="AK755" i="6" s="1"/>
  <c r="AI755" i="6"/>
  <c r="AL755" i="6" s="1"/>
  <c r="AI736" i="6"/>
  <c r="AH736" i="6"/>
  <c r="AJ736" i="6" s="1"/>
  <c r="AK736" i="6" s="1"/>
  <c r="AL730" i="6"/>
  <c r="AI584" i="6"/>
  <c r="AL584" i="6" s="1"/>
  <c r="AH584" i="6"/>
  <c r="AJ584" i="6" s="1"/>
  <c r="AK584" i="6" s="1"/>
  <c r="AH561" i="6"/>
  <c r="AJ561" i="6" s="1"/>
  <c r="AK561" i="6" s="1"/>
  <c r="AI561" i="6"/>
  <c r="AH66" i="6"/>
  <c r="AJ66" i="6" s="1"/>
  <c r="AK66" i="6" s="1"/>
  <c r="AI66" i="6"/>
  <c r="AI996" i="6"/>
  <c r="AL996" i="6" s="1"/>
  <c r="AL994" i="6"/>
  <c r="AI980" i="6"/>
  <c r="AL980" i="6" s="1"/>
  <c r="AL978" i="6"/>
  <c r="AL974" i="6"/>
  <c r="AL964" i="6"/>
  <c r="AL942" i="6"/>
  <c r="AL932" i="6"/>
  <c r="AL916" i="6"/>
  <c r="AL910" i="6"/>
  <c r="AL900" i="6"/>
  <c r="AL894" i="6"/>
  <c r="AI998" i="6"/>
  <c r="AL998" i="6" s="1"/>
  <c r="AH987" i="6"/>
  <c r="AJ987" i="6" s="1"/>
  <c r="AK987" i="6" s="1"/>
  <c r="AI982" i="6"/>
  <c r="AL982" i="6" s="1"/>
  <c r="AI968" i="6"/>
  <c r="AL968" i="6" s="1"/>
  <c r="AI962" i="6"/>
  <c r="AL962" i="6" s="1"/>
  <c r="AI952" i="6"/>
  <c r="AL952" i="6" s="1"/>
  <c r="AI946" i="6"/>
  <c r="AL946" i="6" s="1"/>
  <c r="AI936" i="6"/>
  <c r="AL936" i="6" s="1"/>
  <c r="AI930" i="6"/>
  <c r="AL930" i="6" s="1"/>
  <c r="AI920" i="6"/>
  <c r="AL920" i="6" s="1"/>
  <c r="AI914" i="6"/>
  <c r="AL914" i="6" s="1"/>
  <c r="AI904" i="6"/>
  <c r="AL904" i="6" s="1"/>
  <c r="AI898" i="6"/>
  <c r="AL898" i="6" s="1"/>
  <c r="AI888" i="6"/>
  <c r="AL888" i="6" s="1"/>
  <c r="AI882" i="6"/>
  <c r="AL882" i="6" s="1"/>
  <c r="AI872" i="6"/>
  <c r="AL872" i="6" s="1"/>
  <c r="AI866" i="6"/>
  <c r="AL866" i="6" s="1"/>
  <c r="AI856" i="6"/>
  <c r="AL856" i="6" s="1"/>
  <c r="AI850" i="6"/>
  <c r="AL850" i="6" s="1"/>
  <c r="AI840" i="6"/>
  <c r="AL840" i="6" s="1"/>
  <c r="AI834" i="6"/>
  <c r="AL834" i="6" s="1"/>
  <c r="AI824" i="6"/>
  <c r="AL824" i="6" s="1"/>
  <c r="AI818" i="6"/>
  <c r="AL818" i="6" s="1"/>
  <c r="AH803" i="6"/>
  <c r="AJ803" i="6" s="1"/>
  <c r="AK803" i="6" s="1"/>
  <c r="AI803" i="6"/>
  <c r="AL803" i="6" s="1"/>
  <c r="AL797" i="6"/>
  <c r="AL789" i="6"/>
  <c r="AI777" i="6"/>
  <c r="AL777" i="6" s="1"/>
  <c r="AL775" i="6"/>
  <c r="AL774" i="6"/>
  <c r="AH743" i="6"/>
  <c r="AJ743" i="6" s="1"/>
  <c r="AK743" i="6" s="1"/>
  <c r="AI743" i="6"/>
  <c r="AI709" i="6"/>
  <c r="AL709" i="6" s="1"/>
  <c r="AH709" i="6"/>
  <c r="AJ709" i="6" s="1"/>
  <c r="AK709" i="6" s="1"/>
  <c r="AH689" i="6"/>
  <c r="AJ689" i="6" s="1"/>
  <c r="AK689" i="6" s="1"/>
  <c r="AI689" i="6"/>
  <c r="AH659" i="6"/>
  <c r="AJ659" i="6" s="1"/>
  <c r="AK659" i="6" s="1"/>
  <c r="AI659" i="6"/>
  <c r="AI640" i="6"/>
  <c r="AL640" i="6" s="1"/>
  <c r="AH640" i="6"/>
  <c r="AJ640" i="6" s="1"/>
  <c r="AK640" i="6" s="1"/>
  <c r="AI528" i="6"/>
  <c r="AL528" i="6" s="1"/>
  <c r="AH528" i="6"/>
  <c r="AJ528" i="6" s="1"/>
  <c r="AK528" i="6" s="1"/>
  <c r="AH523" i="6"/>
  <c r="AJ523" i="6" s="1"/>
  <c r="AK523" i="6" s="1"/>
  <c r="AI523" i="6"/>
  <c r="AH521" i="6"/>
  <c r="AJ521" i="6" s="1"/>
  <c r="AK521" i="6" s="1"/>
  <c r="AI521" i="6"/>
  <c r="AH465" i="6"/>
  <c r="AJ465" i="6" s="1"/>
  <c r="AK465" i="6" s="1"/>
  <c r="AI465" i="6"/>
  <c r="AH451" i="6"/>
  <c r="AJ451" i="6" s="1"/>
  <c r="AK451" i="6" s="1"/>
  <c r="AI451" i="6"/>
  <c r="AI424" i="6"/>
  <c r="AL424" i="6" s="1"/>
  <c r="AH424" i="6"/>
  <c r="AJ424" i="6" s="1"/>
  <c r="AK424" i="6" s="1"/>
  <c r="AL806" i="6"/>
  <c r="AH795" i="6"/>
  <c r="AJ795" i="6" s="1"/>
  <c r="AK795" i="6" s="1"/>
  <c r="AI795" i="6"/>
  <c r="AL795" i="6" s="1"/>
  <c r="AL781" i="6"/>
  <c r="AL773" i="6"/>
  <c r="AI768" i="6"/>
  <c r="AH768" i="6"/>
  <c r="AJ768" i="6" s="1"/>
  <c r="AK768" i="6" s="1"/>
  <c r="AL767" i="6"/>
  <c r="AL765" i="6"/>
  <c r="AI748" i="6"/>
  <c r="AH748" i="6"/>
  <c r="AJ748" i="6" s="1"/>
  <c r="AK748" i="6" s="1"/>
  <c r="AI744" i="6"/>
  <c r="AH744" i="6"/>
  <c r="AJ744" i="6" s="1"/>
  <c r="AK744" i="6" s="1"/>
  <c r="AI712" i="6"/>
  <c r="AH712" i="6"/>
  <c r="AJ712" i="6" s="1"/>
  <c r="AK712" i="6" s="1"/>
  <c r="AH683" i="6"/>
  <c r="AJ683" i="6" s="1"/>
  <c r="AK683" i="6" s="1"/>
  <c r="AI683" i="6"/>
  <c r="AL683" i="6" s="1"/>
  <c r="AH679" i="6"/>
  <c r="AJ679" i="6" s="1"/>
  <c r="AK679" i="6" s="1"/>
  <c r="AI679" i="6"/>
  <c r="AL679" i="6" s="1"/>
  <c r="AI677" i="6"/>
  <c r="AH677" i="6"/>
  <c r="AJ677" i="6" s="1"/>
  <c r="AK677" i="6" s="1"/>
  <c r="AL667" i="6"/>
  <c r="AL666" i="6"/>
  <c r="AI665" i="6"/>
  <c r="AL665" i="6" s="1"/>
  <c r="AI652" i="6"/>
  <c r="AL652" i="6" s="1"/>
  <c r="AH652" i="6"/>
  <c r="AJ652" i="6" s="1"/>
  <c r="AK652" i="6" s="1"/>
  <c r="AH647" i="6"/>
  <c r="AJ647" i="6" s="1"/>
  <c r="AK647" i="6" s="1"/>
  <c r="AI647" i="6"/>
  <c r="AI645" i="6"/>
  <c r="AL645" i="6" s="1"/>
  <c r="AH645" i="6"/>
  <c r="AJ645" i="6" s="1"/>
  <c r="AK645" i="6" s="1"/>
  <c r="AH627" i="6"/>
  <c r="AJ627" i="6" s="1"/>
  <c r="AK627" i="6" s="1"/>
  <c r="AI627" i="6"/>
  <c r="AH625" i="6"/>
  <c r="AJ625" i="6" s="1"/>
  <c r="AK625" i="6" s="1"/>
  <c r="AI625" i="6"/>
  <c r="AL598" i="6"/>
  <c r="AH593" i="6"/>
  <c r="AJ593" i="6" s="1"/>
  <c r="AK593" i="6" s="1"/>
  <c r="AI593" i="6"/>
  <c r="AL593" i="6" s="1"/>
  <c r="AH585" i="6"/>
  <c r="AJ585" i="6" s="1"/>
  <c r="AK585" i="6" s="1"/>
  <c r="AI585" i="6"/>
  <c r="AL585" i="6" s="1"/>
  <c r="AH579" i="6"/>
  <c r="AJ579" i="6" s="1"/>
  <c r="AK579" i="6" s="1"/>
  <c r="AI579" i="6"/>
  <c r="AL579" i="6" s="1"/>
  <c r="AL565" i="6"/>
  <c r="AH555" i="6"/>
  <c r="AJ555" i="6" s="1"/>
  <c r="AK555" i="6" s="1"/>
  <c r="AI555" i="6"/>
  <c r="AI552" i="6"/>
  <c r="AL552" i="6" s="1"/>
  <c r="AH552" i="6"/>
  <c r="AJ552" i="6" s="1"/>
  <c r="AK552" i="6" s="1"/>
  <c r="AL535" i="6"/>
  <c r="AI496" i="6"/>
  <c r="AH496" i="6"/>
  <c r="AJ496" i="6" s="1"/>
  <c r="AK496" i="6" s="1"/>
  <c r="AL495" i="6"/>
  <c r="AH489" i="6"/>
  <c r="AJ489" i="6" s="1"/>
  <c r="AK489" i="6" s="1"/>
  <c r="AI489" i="6"/>
  <c r="AH483" i="6"/>
  <c r="AJ483" i="6" s="1"/>
  <c r="AK483" i="6" s="1"/>
  <c r="AI483" i="6"/>
  <c r="AL469" i="6"/>
  <c r="AH433" i="6"/>
  <c r="AJ433" i="6" s="1"/>
  <c r="AK433" i="6" s="1"/>
  <c r="AI433" i="6"/>
  <c r="AL433" i="6" s="1"/>
  <c r="AH417" i="6"/>
  <c r="AJ417" i="6" s="1"/>
  <c r="AK417" i="6" s="1"/>
  <c r="AI417" i="6"/>
  <c r="AL417" i="6" s="1"/>
  <c r="AL412" i="6"/>
  <c r="AH385" i="6"/>
  <c r="AJ385" i="6" s="1"/>
  <c r="AK385" i="6" s="1"/>
  <c r="AI385" i="6"/>
  <c r="AH363" i="6"/>
  <c r="AJ363" i="6" s="1"/>
  <c r="AK363" i="6" s="1"/>
  <c r="AI363" i="6"/>
  <c r="AH315" i="6"/>
  <c r="AJ315" i="6" s="1"/>
  <c r="AK315" i="6" s="1"/>
  <c r="AI315" i="6"/>
  <c r="AH279" i="6"/>
  <c r="AJ279" i="6" s="1"/>
  <c r="AK279" i="6" s="1"/>
  <c r="AI279" i="6"/>
  <c r="AH167" i="6"/>
  <c r="AJ167" i="6" s="1"/>
  <c r="AK167" i="6" s="1"/>
  <c r="AI167" i="6"/>
  <c r="AL726" i="6"/>
  <c r="AI704" i="6"/>
  <c r="AH704" i="6"/>
  <c r="AJ704" i="6" s="1"/>
  <c r="AK704" i="6" s="1"/>
  <c r="AL703" i="6"/>
  <c r="AL701" i="6"/>
  <c r="AI684" i="6"/>
  <c r="AH684" i="6"/>
  <c r="AJ684" i="6" s="1"/>
  <c r="AK684" i="6" s="1"/>
  <c r="AI680" i="6"/>
  <c r="AH680" i="6"/>
  <c r="AJ680" i="6" s="1"/>
  <c r="AK680" i="6" s="1"/>
  <c r="AI648" i="6"/>
  <c r="AH648" i="6"/>
  <c r="AJ648" i="6" s="1"/>
  <c r="AK648" i="6" s="1"/>
  <c r="AH619" i="6"/>
  <c r="AJ619" i="6" s="1"/>
  <c r="AK619" i="6" s="1"/>
  <c r="AI619" i="6"/>
  <c r="AL619" i="6" s="1"/>
  <c r="AI616" i="6"/>
  <c r="AH616" i="6"/>
  <c r="AJ616" i="6" s="1"/>
  <c r="AK616" i="6" s="1"/>
  <c r="AL599" i="6"/>
  <c r="AI560" i="6"/>
  <c r="AL560" i="6" s="1"/>
  <c r="AH560" i="6"/>
  <c r="AJ560" i="6" s="1"/>
  <c r="AK560" i="6" s="1"/>
  <c r="AL559" i="6"/>
  <c r="AH553" i="6"/>
  <c r="AJ553" i="6" s="1"/>
  <c r="AK553" i="6" s="1"/>
  <c r="AI553" i="6"/>
  <c r="AL553" i="6" s="1"/>
  <c r="AH547" i="6"/>
  <c r="AJ547" i="6" s="1"/>
  <c r="AK547" i="6" s="1"/>
  <c r="AI547" i="6"/>
  <c r="AL547" i="6" s="1"/>
  <c r="AL533" i="6"/>
  <c r="AH497" i="6"/>
  <c r="AJ497" i="6" s="1"/>
  <c r="AK497" i="6" s="1"/>
  <c r="AI497" i="6"/>
  <c r="AI464" i="6"/>
  <c r="AL464" i="6" s="1"/>
  <c r="AH464" i="6"/>
  <c r="AJ464" i="6" s="1"/>
  <c r="AK464" i="6" s="1"/>
  <c r="AL463" i="6"/>
  <c r="AH459" i="6"/>
  <c r="AJ459" i="6" s="1"/>
  <c r="AK459" i="6" s="1"/>
  <c r="AI459" i="6"/>
  <c r="AL459" i="6" s="1"/>
  <c r="AI456" i="6"/>
  <c r="AH456" i="6"/>
  <c r="AJ456" i="6" s="1"/>
  <c r="AK456" i="6" s="1"/>
  <c r="AL445" i="6"/>
  <c r="AH419" i="6"/>
  <c r="AJ419" i="6" s="1"/>
  <c r="AK419" i="6" s="1"/>
  <c r="AI419" i="6"/>
  <c r="AH387" i="6"/>
  <c r="AJ387" i="6" s="1"/>
  <c r="AK387" i="6" s="1"/>
  <c r="AI387" i="6"/>
  <c r="AL380" i="6"/>
  <c r="AH377" i="6"/>
  <c r="AJ377" i="6" s="1"/>
  <c r="AK377" i="6" s="1"/>
  <c r="AI377" i="6"/>
  <c r="AL377" i="6" s="1"/>
  <c r="AL372" i="6"/>
  <c r="AH355" i="6"/>
  <c r="AJ355" i="6" s="1"/>
  <c r="AK355" i="6" s="1"/>
  <c r="AI355" i="6"/>
  <c r="AI348" i="6"/>
  <c r="AL348" i="6" s="1"/>
  <c r="AH348" i="6"/>
  <c r="AJ348" i="6" s="1"/>
  <c r="AK348" i="6" s="1"/>
  <c r="AH321" i="6"/>
  <c r="AJ321" i="6" s="1"/>
  <c r="AK321" i="6" s="1"/>
  <c r="AI321" i="6"/>
  <c r="AI240" i="6"/>
  <c r="AL240" i="6" s="1"/>
  <c r="AH240" i="6"/>
  <c r="AJ240" i="6" s="1"/>
  <c r="AK240" i="6" s="1"/>
  <c r="AL239" i="6"/>
  <c r="AH235" i="6"/>
  <c r="AJ235" i="6" s="1"/>
  <c r="AK235" i="6" s="1"/>
  <c r="AI235" i="6"/>
  <c r="AL235" i="6" s="1"/>
  <c r="AH177" i="6"/>
  <c r="AJ177" i="6" s="1"/>
  <c r="AK177" i="6" s="1"/>
  <c r="AI177" i="6"/>
  <c r="AL177" i="6" s="1"/>
  <c r="AI102" i="6"/>
  <c r="AH102" i="6"/>
  <c r="AJ102" i="6" s="1"/>
  <c r="AK102" i="6" s="1"/>
  <c r="AI760" i="6"/>
  <c r="AH760" i="6"/>
  <c r="AJ760" i="6" s="1"/>
  <c r="AK760" i="6" s="1"/>
  <c r="AL749" i="6"/>
  <c r="AL719" i="6"/>
  <c r="AL710" i="6"/>
  <c r="AH707" i="6"/>
  <c r="AJ707" i="6" s="1"/>
  <c r="AK707" i="6" s="1"/>
  <c r="AI707" i="6"/>
  <c r="AI696" i="6"/>
  <c r="AL696" i="6" s="1"/>
  <c r="AH696" i="6"/>
  <c r="AJ696" i="6" s="1"/>
  <c r="AK696" i="6" s="1"/>
  <c r="AL685" i="6"/>
  <c r="AL655" i="6"/>
  <c r="AL646" i="6"/>
  <c r="AH643" i="6"/>
  <c r="AJ643" i="6" s="1"/>
  <c r="AK643" i="6" s="1"/>
  <c r="AI643" i="6"/>
  <c r="AL643" i="6" s="1"/>
  <c r="AI632" i="6"/>
  <c r="AH632" i="6"/>
  <c r="AJ632" i="6" s="1"/>
  <c r="AK632" i="6" s="1"/>
  <c r="AL621" i="6"/>
  <c r="AL615" i="6"/>
  <c r="AL614" i="6"/>
  <c r="AH603" i="6"/>
  <c r="AJ603" i="6" s="1"/>
  <c r="AK603" i="6" s="1"/>
  <c r="AI603" i="6"/>
  <c r="AL589" i="6"/>
  <c r="AL581" i="6"/>
  <c r="AI576" i="6"/>
  <c r="AL576" i="6" s="1"/>
  <c r="AH576" i="6"/>
  <c r="AJ576" i="6" s="1"/>
  <c r="AK576" i="6" s="1"/>
  <c r="AL575" i="6"/>
  <c r="AI568" i="6"/>
  <c r="AH568" i="6"/>
  <c r="AJ568" i="6" s="1"/>
  <c r="AK568" i="6" s="1"/>
  <c r="AH563" i="6"/>
  <c r="AJ563" i="6" s="1"/>
  <c r="AK563" i="6" s="1"/>
  <c r="AI563" i="6"/>
  <c r="AL563" i="6" s="1"/>
  <c r="AL551" i="6"/>
  <c r="AL550" i="6"/>
  <c r="AH539" i="6"/>
  <c r="AJ539" i="6" s="1"/>
  <c r="AK539" i="6" s="1"/>
  <c r="AI539" i="6"/>
  <c r="AL539" i="6" s="1"/>
  <c r="AL525" i="6"/>
  <c r="AL517" i="6"/>
  <c r="AI512" i="6"/>
  <c r="AH512" i="6"/>
  <c r="AJ512" i="6" s="1"/>
  <c r="AK512" i="6" s="1"/>
  <c r="AL511" i="6"/>
  <c r="AI504" i="6"/>
  <c r="AL504" i="6" s="1"/>
  <c r="AH504" i="6"/>
  <c r="AJ504" i="6" s="1"/>
  <c r="AK504" i="6" s="1"/>
  <c r="AH499" i="6"/>
  <c r="AJ499" i="6" s="1"/>
  <c r="AK499" i="6" s="1"/>
  <c r="AI499" i="6"/>
  <c r="AL487" i="6"/>
  <c r="AL486" i="6"/>
  <c r="AH475" i="6"/>
  <c r="AJ475" i="6" s="1"/>
  <c r="AK475" i="6" s="1"/>
  <c r="AI475" i="6"/>
  <c r="AL461" i="6"/>
  <c r="AL453" i="6"/>
  <c r="AI448" i="6"/>
  <c r="AL448" i="6" s="1"/>
  <c r="AH448" i="6"/>
  <c r="AJ448" i="6" s="1"/>
  <c r="AK448" i="6" s="1"/>
  <c r="AL447" i="6"/>
  <c r="AI440" i="6"/>
  <c r="AH440" i="6"/>
  <c r="AJ440" i="6" s="1"/>
  <c r="AK440" i="6" s="1"/>
  <c r="AH435" i="6"/>
  <c r="AJ435" i="6" s="1"/>
  <c r="AK435" i="6" s="1"/>
  <c r="AI435" i="6"/>
  <c r="AL435" i="6" s="1"/>
  <c r="AL423" i="6"/>
  <c r="AL413" i="6"/>
  <c r="AH411" i="6"/>
  <c r="AJ411" i="6" s="1"/>
  <c r="AK411" i="6" s="1"/>
  <c r="AI411" i="6"/>
  <c r="AL411" i="6" s="1"/>
  <c r="AH403" i="6"/>
  <c r="AJ403" i="6" s="1"/>
  <c r="AK403" i="6" s="1"/>
  <c r="AI403" i="6"/>
  <c r="AL403" i="6" s="1"/>
  <c r="AH401" i="6"/>
  <c r="AJ401" i="6" s="1"/>
  <c r="AK401" i="6" s="1"/>
  <c r="AI401" i="6"/>
  <c r="AL401" i="6" s="1"/>
  <c r="AL396" i="6"/>
  <c r="AH393" i="6"/>
  <c r="AJ393" i="6" s="1"/>
  <c r="AK393" i="6" s="1"/>
  <c r="AI393" i="6"/>
  <c r="AL388" i="6"/>
  <c r="AI344" i="6"/>
  <c r="AH344" i="6"/>
  <c r="AJ344" i="6" s="1"/>
  <c r="AK344" i="6" s="1"/>
  <c r="AH323" i="6"/>
  <c r="AJ323" i="6" s="1"/>
  <c r="AK323" i="6" s="1"/>
  <c r="AI323" i="6"/>
  <c r="AL323" i="6" s="1"/>
  <c r="AI277" i="6"/>
  <c r="AH277" i="6"/>
  <c r="AJ277" i="6" s="1"/>
  <c r="AK277" i="6" s="1"/>
  <c r="AI208" i="6"/>
  <c r="AH208" i="6"/>
  <c r="AJ208" i="6" s="1"/>
  <c r="AK208" i="6" s="1"/>
  <c r="AL207" i="6"/>
  <c r="AL115" i="6"/>
  <c r="AL751" i="6"/>
  <c r="AL742" i="6"/>
  <c r="AH739" i="6"/>
  <c r="AJ739" i="6" s="1"/>
  <c r="AK739" i="6" s="1"/>
  <c r="AI739" i="6"/>
  <c r="AL739" i="6" s="1"/>
  <c r="AI728" i="6"/>
  <c r="AH728" i="6"/>
  <c r="AJ728" i="6" s="1"/>
  <c r="AK728" i="6" s="1"/>
  <c r="AL717" i="6"/>
  <c r="AL687" i="6"/>
  <c r="AL678" i="6"/>
  <c r="AH675" i="6"/>
  <c r="AJ675" i="6" s="1"/>
  <c r="AK675" i="6" s="1"/>
  <c r="AI675" i="6"/>
  <c r="AI664" i="6"/>
  <c r="AL664" i="6" s="1"/>
  <c r="AH664" i="6"/>
  <c r="AJ664" i="6" s="1"/>
  <c r="AK664" i="6" s="1"/>
  <c r="AL653" i="6"/>
  <c r="AL623" i="6"/>
  <c r="AL613" i="6"/>
  <c r="AI608" i="6"/>
  <c r="AH608" i="6"/>
  <c r="AJ608" i="6" s="1"/>
  <c r="AK608" i="6" s="1"/>
  <c r="AI600" i="6"/>
  <c r="AH600" i="6"/>
  <c r="AJ600" i="6" s="1"/>
  <c r="AK600" i="6" s="1"/>
  <c r="AH595" i="6"/>
  <c r="AJ595" i="6" s="1"/>
  <c r="AK595" i="6" s="1"/>
  <c r="AI595" i="6"/>
  <c r="AL595" i="6" s="1"/>
  <c r="AL583" i="6"/>
  <c r="AL582" i="6"/>
  <c r="AH571" i="6"/>
  <c r="AJ571" i="6" s="1"/>
  <c r="AK571" i="6" s="1"/>
  <c r="AI571" i="6"/>
  <c r="AL571" i="6" s="1"/>
  <c r="AL557" i="6"/>
  <c r="AL549" i="6"/>
  <c r="AI544" i="6"/>
  <c r="AH544" i="6"/>
  <c r="AJ544" i="6" s="1"/>
  <c r="AK544" i="6" s="1"/>
  <c r="AI536" i="6"/>
  <c r="AH536" i="6"/>
  <c r="AJ536" i="6" s="1"/>
  <c r="AK536" i="6" s="1"/>
  <c r="AH531" i="6"/>
  <c r="AJ531" i="6" s="1"/>
  <c r="AK531" i="6" s="1"/>
  <c r="AI531" i="6"/>
  <c r="AL531" i="6" s="1"/>
  <c r="AL519" i="6"/>
  <c r="AL518" i="6"/>
  <c r="AH507" i="6"/>
  <c r="AJ507" i="6" s="1"/>
  <c r="AK507" i="6" s="1"/>
  <c r="AI507" i="6"/>
  <c r="AL507" i="6" s="1"/>
  <c r="AL493" i="6"/>
  <c r="AL485" i="6"/>
  <c r="AI480" i="6"/>
  <c r="AH480" i="6"/>
  <c r="AJ480" i="6" s="1"/>
  <c r="AK480" i="6" s="1"/>
  <c r="AI472" i="6"/>
  <c r="AH472" i="6"/>
  <c r="AJ472" i="6" s="1"/>
  <c r="AK472" i="6" s="1"/>
  <c r="AH467" i="6"/>
  <c r="AJ467" i="6" s="1"/>
  <c r="AK467" i="6" s="1"/>
  <c r="AI467" i="6"/>
  <c r="AL467" i="6" s="1"/>
  <c r="AL455" i="6"/>
  <c r="AL454" i="6"/>
  <c r="AH443" i="6"/>
  <c r="AJ443" i="6" s="1"/>
  <c r="AK443" i="6" s="1"/>
  <c r="AI443" i="6"/>
  <c r="AL443" i="6" s="1"/>
  <c r="AL429" i="6"/>
  <c r="AL391" i="6"/>
  <c r="AL381" i="6"/>
  <c r="AH379" i="6"/>
  <c r="AJ379" i="6" s="1"/>
  <c r="AK379" i="6" s="1"/>
  <c r="AI379" i="6"/>
  <c r="AH371" i="6"/>
  <c r="AJ371" i="6" s="1"/>
  <c r="AK371" i="6" s="1"/>
  <c r="AI371" i="6"/>
  <c r="AH369" i="6"/>
  <c r="AJ369" i="6" s="1"/>
  <c r="AK369" i="6" s="1"/>
  <c r="AI369" i="6"/>
  <c r="AH361" i="6"/>
  <c r="AJ361" i="6" s="1"/>
  <c r="AK361" i="6" s="1"/>
  <c r="AI361" i="6"/>
  <c r="AH353" i="6"/>
  <c r="AJ353" i="6" s="1"/>
  <c r="AK353" i="6" s="1"/>
  <c r="AI353" i="6"/>
  <c r="AI336" i="6"/>
  <c r="AL336" i="6" s="1"/>
  <c r="AH336" i="6"/>
  <c r="AJ336" i="6" s="1"/>
  <c r="AK336" i="6" s="1"/>
  <c r="AI312" i="6"/>
  <c r="AL312" i="6" s="1"/>
  <c r="AH312" i="6"/>
  <c r="AJ312" i="6" s="1"/>
  <c r="AK312" i="6" s="1"/>
  <c r="AH283" i="6"/>
  <c r="AJ283" i="6" s="1"/>
  <c r="AK283" i="6" s="1"/>
  <c r="AI283" i="6"/>
  <c r="AI232" i="6"/>
  <c r="AL232" i="6" s="1"/>
  <c r="AH232" i="6"/>
  <c r="AJ232" i="6" s="1"/>
  <c r="AK232" i="6" s="1"/>
  <c r="AH201" i="6"/>
  <c r="AJ201" i="6" s="1"/>
  <c r="AK201" i="6" s="1"/>
  <c r="AI201" i="6"/>
  <c r="AH195" i="6"/>
  <c r="AJ195" i="6" s="1"/>
  <c r="AK195" i="6" s="1"/>
  <c r="AI195" i="6"/>
  <c r="AL326" i="6"/>
  <c r="AI304" i="6"/>
  <c r="AH304" i="6"/>
  <c r="AJ304" i="6" s="1"/>
  <c r="AK304" i="6" s="1"/>
  <c r="AL303" i="6"/>
  <c r="AL301" i="6"/>
  <c r="AI284" i="6"/>
  <c r="AH284" i="6"/>
  <c r="AJ284" i="6" s="1"/>
  <c r="AK284" i="6" s="1"/>
  <c r="AI280" i="6"/>
  <c r="AH280" i="6"/>
  <c r="AJ280" i="6" s="1"/>
  <c r="AK280" i="6" s="1"/>
  <c r="AL246" i="6"/>
  <c r="AH241" i="6"/>
  <c r="AJ241" i="6" s="1"/>
  <c r="AK241" i="6" s="1"/>
  <c r="AI241" i="6"/>
  <c r="AH233" i="6"/>
  <c r="AJ233" i="6" s="1"/>
  <c r="AK233" i="6" s="1"/>
  <c r="AI233" i="6"/>
  <c r="AH227" i="6"/>
  <c r="AJ227" i="6" s="1"/>
  <c r="AK227" i="6" s="1"/>
  <c r="AI227" i="6"/>
  <c r="AL213" i="6"/>
  <c r="AH203" i="6"/>
  <c r="AJ203" i="6" s="1"/>
  <c r="AK203" i="6" s="1"/>
  <c r="AI203" i="6"/>
  <c r="AL203" i="6" s="1"/>
  <c r="AI200" i="6"/>
  <c r="AH200" i="6"/>
  <c r="AJ200" i="6" s="1"/>
  <c r="AK200" i="6" s="1"/>
  <c r="AL183" i="6"/>
  <c r="AH135" i="6"/>
  <c r="AJ135" i="6" s="1"/>
  <c r="AK135" i="6" s="1"/>
  <c r="AI135" i="6"/>
  <c r="AH105" i="6"/>
  <c r="AJ105" i="6" s="1"/>
  <c r="AK105" i="6" s="1"/>
  <c r="AI105" i="6"/>
  <c r="AI78" i="6"/>
  <c r="AL78" i="6" s="1"/>
  <c r="AH78" i="6"/>
  <c r="AJ78" i="6" s="1"/>
  <c r="AK78" i="6" s="1"/>
  <c r="AH347" i="6"/>
  <c r="AJ347" i="6" s="1"/>
  <c r="AK347" i="6" s="1"/>
  <c r="AI347" i="6"/>
  <c r="AH343" i="6"/>
  <c r="AJ343" i="6" s="1"/>
  <c r="AK343" i="6" s="1"/>
  <c r="AI343" i="6"/>
  <c r="AI341" i="6"/>
  <c r="AL341" i="6" s="1"/>
  <c r="AH341" i="6"/>
  <c r="AJ341" i="6" s="1"/>
  <c r="AK341" i="6" s="1"/>
  <c r="AL331" i="6"/>
  <c r="AL330" i="6"/>
  <c r="AI316" i="6"/>
  <c r="AL316" i="6" s="1"/>
  <c r="AH316" i="6"/>
  <c r="AJ316" i="6" s="1"/>
  <c r="AK316" i="6" s="1"/>
  <c r="AH311" i="6"/>
  <c r="AJ311" i="6" s="1"/>
  <c r="AK311" i="6" s="1"/>
  <c r="AI311" i="6"/>
  <c r="AI309" i="6"/>
  <c r="AL309" i="6" s="1"/>
  <c r="AH309" i="6"/>
  <c r="AJ309" i="6" s="1"/>
  <c r="AK309" i="6" s="1"/>
  <c r="AH291" i="6"/>
  <c r="AJ291" i="6" s="1"/>
  <c r="AK291" i="6" s="1"/>
  <c r="AI291" i="6"/>
  <c r="AH289" i="6"/>
  <c r="AJ289" i="6" s="1"/>
  <c r="AK289" i="6" s="1"/>
  <c r="AI289" i="6"/>
  <c r="AI272" i="6"/>
  <c r="AL272" i="6" s="1"/>
  <c r="AH272" i="6"/>
  <c r="AJ272" i="6" s="1"/>
  <c r="AK272" i="6" s="1"/>
  <c r="AL263" i="6"/>
  <c r="AH259" i="6"/>
  <c r="AJ259" i="6" s="1"/>
  <c r="AK259" i="6" s="1"/>
  <c r="AI259" i="6"/>
  <c r="AL259" i="6" s="1"/>
  <c r="AH209" i="6"/>
  <c r="AJ209" i="6" s="1"/>
  <c r="AK209" i="6" s="1"/>
  <c r="AI209" i="6"/>
  <c r="AL209" i="6" s="1"/>
  <c r="AI176" i="6"/>
  <c r="AH176" i="6"/>
  <c r="AJ176" i="6" s="1"/>
  <c r="AK176" i="6" s="1"/>
  <c r="AH143" i="6"/>
  <c r="AJ143" i="6" s="1"/>
  <c r="AK143" i="6" s="1"/>
  <c r="AI143" i="6"/>
  <c r="AL143" i="6" s="1"/>
  <c r="AH129" i="6"/>
  <c r="AJ129" i="6" s="1"/>
  <c r="AK129" i="6" s="1"/>
  <c r="AI129" i="6"/>
  <c r="AL129" i="6" s="1"/>
  <c r="AH111" i="6"/>
  <c r="AJ111" i="6" s="1"/>
  <c r="AK111" i="6" s="1"/>
  <c r="AI111" i="6"/>
  <c r="AL111" i="6" s="1"/>
  <c r="AI360" i="6"/>
  <c r="AH360" i="6"/>
  <c r="AJ360" i="6" s="1"/>
  <c r="AK360" i="6" s="1"/>
  <c r="AL349" i="6"/>
  <c r="AL319" i="6"/>
  <c r="AL310" i="6"/>
  <c r="AH307" i="6"/>
  <c r="AJ307" i="6" s="1"/>
  <c r="AK307" i="6" s="1"/>
  <c r="AI307" i="6"/>
  <c r="AI296" i="6"/>
  <c r="AL296" i="6" s="1"/>
  <c r="AH296" i="6"/>
  <c r="AJ296" i="6" s="1"/>
  <c r="AK296" i="6" s="1"/>
  <c r="AL285" i="6"/>
  <c r="AH251" i="6"/>
  <c r="AJ251" i="6" s="1"/>
  <c r="AK251" i="6" s="1"/>
  <c r="AI251" i="6"/>
  <c r="AL251" i="6" s="1"/>
  <c r="AL237" i="6"/>
  <c r="AL229" i="6"/>
  <c r="AI224" i="6"/>
  <c r="AH224" i="6"/>
  <c r="AJ224" i="6" s="1"/>
  <c r="AK224" i="6" s="1"/>
  <c r="AL223" i="6"/>
  <c r="AI216" i="6"/>
  <c r="AL216" i="6" s="1"/>
  <c r="AH216" i="6"/>
  <c r="AJ216" i="6" s="1"/>
  <c r="AK216" i="6" s="1"/>
  <c r="AH211" i="6"/>
  <c r="AJ211" i="6" s="1"/>
  <c r="AK211" i="6" s="1"/>
  <c r="AI211" i="6"/>
  <c r="AL199" i="6"/>
  <c r="AL198" i="6"/>
  <c r="AH187" i="6"/>
  <c r="AJ187" i="6" s="1"/>
  <c r="AK187" i="6" s="1"/>
  <c r="AI187" i="6"/>
  <c r="AL173" i="6"/>
  <c r="AL171" i="6"/>
  <c r="AH169" i="6"/>
  <c r="AJ169" i="6" s="1"/>
  <c r="AK169" i="6" s="1"/>
  <c r="AI169" i="6"/>
  <c r="AI166" i="6"/>
  <c r="AL166" i="6" s="1"/>
  <c r="AH166" i="6"/>
  <c r="AJ166" i="6" s="1"/>
  <c r="AK166" i="6" s="1"/>
  <c r="AL149" i="6"/>
  <c r="AI110" i="6"/>
  <c r="AH110" i="6"/>
  <c r="AJ110" i="6" s="1"/>
  <c r="AK110" i="6" s="1"/>
  <c r="AL109" i="6"/>
  <c r="AH103" i="6"/>
  <c r="AJ103" i="6" s="1"/>
  <c r="AK103" i="6" s="1"/>
  <c r="AI103" i="6"/>
  <c r="AH97" i="6"/>
  <c r="AJ97" i="6" s="1"/>
  <c r="AK97" i="6" s="1"/>
  <c r="AI97" i="6"/>
  <c r="AL83" i="6"/>
  <c r="AI76" i="6"/>
  <c r="AH76" i="6"/>
  <c r="AJ76" i="6" s="1"/>
  <c r="AK76" i="6" s="1"/>
  <c r="AI39" i="6"/>
  <c r="AH39" i="6"/>
  <c r="AJ39" i="6" s="1"/>
  <c r="AK39" i="6" s="1"/>
  <c r="AL38" i="6"/>
  <c r="AL351" i="6"/>
  <c r="AL342" i="6"/>
  <c r="AH339" i="6"/>
  <c r="AJ339" i="6" s="1"/>
  <c r="AK339" i="6" s="1"/>
  <c r="AI339" i="6"/>
  <c r="AI328" i="6"/>
  <c r="AL328" i="6" s="1"/>
  <c r="AH328" i="6"/>
  <c r="AJ328" i="6" s="1"/>
  <c r="AK328" i="6" s="1"/>
  <c r="AL317" i="6"/>
  <c r="AL287" i="6"/>
  <c r="AL278" i="6"/>
  <c r="AH275" i="6"/>
  <c r="AJ275" i="6" s="1"/>
  <c r="AK275" i="6" s="1"/>
  <c r="AI275" i="6"/>
  <c r="AL275" i="6" s="1"/>
  <c r="AI264" i="6"/>
  <c r="AH264" i="6"/>
  <c r="AJ264" i="6" s="1"/>
  <c r="AK264" i="6" s="1"/>
  <c r="AI256" i="6"/>
  <c r="AH256" i="6"/>
  <c r="AJ256" i="6" s="1"/>
  <c r="AK256" i="6" s="1"/>
  <c r="AI248" i="6"/>
  <c r="AH248" i="6"/>
  <c r="AJ248" i="6" s="1"/>
  <c r="AK248" i="6" s="1"/>
  <c r="AH243" i="6"/>
  <c r="AJ243" i="6" s="1"/>
  <c r="AK243" i="6" s="1"/>
  <c r="AI243" i="6"/>
  <c r="AL243" i="6" s="1"/>
  <c r="AL231" i="6"/>
  <c r="AL230" i="6"/>
  <c r="AH219" i="6"/>
  <c r="AJ219" i="6" s="1"/>
  <c r="AK219" i="6" s="1"/>
  <c r="AI219" i="6"/>
  <c r="AL219" i="6" s="1"/>
  <c r="AL205" i="6"/>
  <c r="AL197" i="6"/>
  <c r="AI192" i="6"/>
  <c r="AH192" i="6"/>
  <c r="AJ192" i="6" s="1"/>
  <c r="AK192" i="6" s="1"/>
  <c r="AI184" i="6"/>
  <c r="AH184" i="6"/>
  <c r="AJ184" i="6" s="1"/>
  <c r="AK184" i="6" s="1"/>
  <c r="AH179" i="6"/>
  <c r="AJ179" i="6" s="1"/>
  <c r="AK179" i="6" s="1"/>
  <c r="AI179" i="6"/>
  <c r="AL179" i="6" s="1"/>
  <c r="AI142" i="6"/>
  <c r="AH142" i="6"/>
  <c r="AJ142" i="6" s="1"/>
  <c r="AK142" i="6" s="1"/>
  <c r="AH137" i="6"/>
  <c r="AJ137" i="6" s="1"/>
  <c r="AK137" i="6" s="1"/>
  <c r="AI137" i="6"/>
  <c r="AL137" i="6" s="1"/>
  <c r="AI134" i="6"/>
  <c r="AH134" i="6"/>
  <c r="AJ134" i="6" s="1"/>
  <c r="AK134" i="6" s="1"/>
  <c r="AL123" i="6"/>
  <c r="AL84" i="6"/>
  <c r="AH79" i="6"/>
  <c r="AJ79" i="6" s="1"/>
  <c r="AK79" i="6" s="1"/>
  <c r="AI79" i="6"/>
  <c r="AL79" i="6" s="1"/>
  <c r="AI63" i="6"/>
  <c r="AH63" i="6"/>
  <c r="AJ63" i="6" s="1"/>
  <c r="AK63" i="6" s="1"/>
  <c r="AH32" i="6"/>
  <c r="AJ32" i="6" s="1"/>
  <c r="AK32" i="6" s="1"/>
  <c r="AI32" i="6"/>
  <c r="AL32" i="6" s="1"/>
  <c r="AH26" i="6"/>
  <c r="AJ26" i="6" s="1"/>
  <c r="AK26" i="6" s="1"/>
  <c r="AI26" i="6"/>
  <c r="AL26" i="6" s="1"/>
  <c r="AL165" i="6"/>
  <c r="AL164" i="6"/>
  <c r="AH153" i="6"/>
  <c r="AJ153" i="6" s="1"/>
  <c r="AK153" i="6" s="1"/>
  <c r="AI153" i="6"/>
  <c r="AL153" i="6" s="1"/>
  <c r="AL139" i="6"/>
  <c r="AL131" i="6"/>
  <c r="AI126" i="6"/>
  <c r="AH126" i="6"/>
  <c r="AJ126" i="6" s="1"/>
  <c r="AK126" i="6" s="1"/>
  <c r="AL125" i="6"/>
  <c r="AI118" i="6"/>
  <c r="AL118" i="6" s="1"/>
  <c r="AH118" i="6"/>
  <c r="AJ118" i="6" s="1"/>
  <c r="AK118" i="6" s="1"/>
  <c r="AH113" i="6"/>
  <c r="AJ113" i="6" s="1"/>
  <c r="AK113" i="6" s="1"/>
  <c r="AI113" i="6"/>
  <c r="AL101" i="6"/>
  <c r="AL100" i="6"/>
  <c r="AH89" i="6"/>
  <c r="AJ89" i="6" s="1"/>
  <c r="AK89" i="6" s="1"/>
  <c r="AI89" i="6"/>
  <c r="AH64" i="6"/>
  <c r="AJ64" i="6" s="1"/>
  <c r="AK64" i="6" s="1"/>
  <c r="AI64" i="6"/>
  <c r="AH58" i="6"/>
  <c r="AJ58" i="6" s="1"/>
  <c r="AK58" i="6" s="1"/>
  <c r="AI58" i="6"/>
  <c r="AL44" i="6"/>
  <c r="AH34" i="6"/>
  <c r="AJ34" i="6" s="1"/>
  <c r="AK34" i="6" s="1"/>
  <c r="AI34" i="6"/>
  <c r="AL34" i="6" s="1"/>
  <c r="AI31" i="6"/>
  <c r="AH31" i="6"/>
  <c r="AJ31" i="6" s="1"/>
  <c r="AK31" i="6" s="1"/>
  <c r="AL20" i="6"/>
  <c r="AL163" i="6"/>
  <c r="AI158" i="6"/>
  <c r="AH158" i="6"/>
  <c r="AJ158" i="6" s="1"/>
  <c r="AK158" i="6" s="1"/>
  <c r="AI150" i="6"/>
  <c r="AH150" i="6"/>
  <c r="AJ150" i="6" s="1"/>
  <c r="AK150" i="6" s="1"/>
  <c r="AH145" i="6"/>
  <c r="AJ145" i="6" s="1"/>
  <c r="AK145" i="6" s="1"/>
  <c r="AI145" i="6"/>
  <c r="AL145" i="6" s="1"/>
  <c r="AL133" i="6"/>
  <c r="AL132" i="6"/>
  <c r="AH121" i="6"/>
  <c r="AJ121" i="6" s="1"/>
  <c r="AK121" i="6" s="1"/>
  <c r="AI121" i="6"/>
  <c r="AL121" i="6" s="1"/>
  <c r="AL107" i="6"/>
  <c r="AL99" i="6"/>
  <c r="AI94" i="6"/>
  <c r="AH94" i="6"/>
  <c r="AJ94" i="6" s="1"/>
  <c r="AK94" i="6" s="1"/>
  <c r="AI86" i="6"/>
  <c r="AH86" i="6"/>
  <c r="AJ86" i="6" s="1"/>
  <c r="AK86" i="6" s="1"/>
  <c r="AH81" i="6"/>
  <c r="AJ81" i="6" s="1"/>
  <c r="AK81" i="6" s="1"/>
  <c r="AI81" i="6"/>
  <c r="AL81" i="6" s="1"/>
  <c r="AI71" i="6"/>
  <c r="AH71" i="6"/>
  <c r="AJ71" i="6" s="1"/>
  <c r="AK71" i="6" s="1"/>
  <c r="AH40" i="6"/>
  <c r="AJ40" i="6" s="1"/>
  <c r="AK40" i="6" s="1"/>
  <c r="AI40" i="6"/>
  <c r="AL40" i="6" s="1"/>
  <c r="AL60" i="6"/>
  <c r="AI55" i="6"/>
  <c r="AL55" i="6" s="1"/>
  <c r="AH55" i="6"/>
  <c r="AJ55" i="6" s="1"/>
  <c r="AK55" i="6" s="1"/>
  <c r="AL54" i="6"/>
  <c r="AI47" i="6"/>
  <c r="AH47" i="6"/>
  <c r="AJ47" i="6" s="1"/>
  <c r="AK47" i="6" s="1"/>
  <c r="AH42" i="6"/>
  <c r="AJ42" i="6" s="1"/>
  <c r="AK42" i="6" s="1"/>
  <c r="AI42" i="6"/>
  <c r="AL42" i="6" s="1"/>
  <c r="AL30" i="6"/>
  <c r="AL29" i="6"/>
  <c r="AH18" i="6"/>
  <c r="AJ18" i="6" s="1"/>
  <c r="AK18" i="6" s="1"/>
  <c r="AI18" i="6"/>
  <c r="AL18" i="6" s="1"/>
  <c r="AL77" i="6"/>
  <c r="AH74" i="6"/>
  <c r="AJ74" i="6" s="1"/>
  <c r="AK74" i="6" s="1"/>
  <c r="AI74" i="6"/>
  <c r="AL74" i="6" s="1"/>
  <c r="AL62" i="6"/>
  <c r="AL61" i="6"/>
  <c r="AH50" i="6"/>
  <c r="AJ50" i="6" s="1"/>
  <c r="AK50" i="6" s="1"/>
  <c r="AI50" i="6"/>
  <c r="AL50" i="6" s="1"/>
  <c r="AL36" i="6"/>
  <c r="AL28" i="6"/>
  <c r="AI23" i="6"/>
  <c r="AH23" i="6"/>
  <c r="AJ23" i="6" s="1"/>
  <c r="AK23" i="6" s="1"/>
  <c r="AL10" i="6"/>
  <c r="H3" i="12"/>
  <c r="G3" i="12"/>
  <c r="AT3" i="12" s="1"/>
  <c r="E3" i="12"/>
  <c r="AK3" i="12" s="1"/>
  <c r="D3" i="12"/>
  <c r="AC3" i="12" s="1"/>
  <c r="C3" i="12"/>
  <c r="AB3" i="12" s="1"/>
  <c r="B3" i="12"/>
  <c r="AC2" i="12"/>
  <c r="AB2" i="12"/>
  <c r="AB1" i="12"/>
  <c r="AA1" i="12"/>
  <c r="AA2" i="12" s="1"/>
  <c r="AT17" i="12"/>
  <c r="AQ17" i="12"/>
  <c r="AT16" i="12"/>
  <c r="AQ16" i="12"/>
  <c r="AR16" i="12" s="1"/>
  <c r="AS16" i="12" s="1"/>
  <c r="AP16" i="12" s="1"/>
  <c r="AL16" i="12"/>
  <c r="AM16" i="12" s="1"/>
  <c r="AK16" i="12"/>
  <c r="AE16" i="12"/>
  <c r="AG16" i="12" s="1"/>
  <c r="AD16" i="12"/>
  <c r="AC16" i="12"/>
  <c r="AB16" i="12"/>
  <c r="AA16" i="12"/>
  <c r="AT15" i="12"/>
  <c r="AL15" i="12"/>
  <c r="AM15" i="12" s="1"/>
  <c r="AK15" i="12"/>
  <c r="AE15" i="12"/>
  <c r="AF15" i="12" s="1"/>
  <c r="AH15" i="12" s="1"/>
  <c r="AI15" i="12" s="1"/>
  <c r="AD15" i="12"/>
  <c r="AC15" i="12"/>
  <c r="AB15" i="12"/>
  <c r="AA15" i="12"/>
  <c r="AT14" i="12"/>
  <c r="AQ14" i="12"/>
  <c r="AR14" i="12" s="1"/>
  <c r="AS14" i="12" s="1"/>
  <c r="AL14" i="12"/>
  <c r="AM14" i="12" s="1"/>
  <c r="AK14" i="12"/>
  <c r="AE14" i="12"/>
  <c r="AF14" i="12" s="1"/>
  <c r="AH14" i="12" s="1"/>
  <c r="AI14" i="12" s="1"/>
  <c r="AD14" i="12"/>
  <c r="AC14" i="12"/>
  <c r="AB14" i="12"/>
  <c r="AA14" i="12"/>
  <c r="AT13" i="12"/>
  <c r="AL13" i="12"/>
  <c r="AM13" i="12" s="1"/>
  <c r="AK13" i="12"/>
  <c r="AE13" i="12"/>
  <c r="AF13" i="12" s="1"/>
  <c r="AH13" i="12" s="1"/>
  <c r="AI13" i="12" s="1"/>
  <c r="AD13" i="12"/>
  <c r="AC13" i="12"/>
  <c r="AB13" i="12"/>
  <c r="AQ12" i="12" s="1"/>
  <c r="AR12" i="12" s="1"/>
  <c r="AS12" i="12" s="1"/>
  <c r="AA13" i="12"/>
  <c r="AT12" i="12"/>
  <c r="AL12" i="12"/>
  <c r="AM12" i="12" s="1"/>
  <c r="AK12" i="12"/>
  <c r="AE12" i="12"/>
  <c r="AG12" i="12" s="1"/>
  <c r="AD12" i="12"/>
  <c r="AC12" i="12"/>
  <c r="AB12" i="12"/>
  <c r="AA12" i="12"/>
  <c r="AT11" i="12"/>
  <c r="AL11" i="12"/>
  <c r="AM11" i="12" s="1"/>
  <c r="AK11" i="12"/>
  <c r="AE11" i="12"/>
  <c r="AF11" i="12" s="1"/>
  <c r="AH11" i="12" s="1"/>
  <c r="AI11" i="12" s="1"/>
  <c r="AD11" i="12"/>
  <c r="AC11" i="12"/>
  <c r="AB11" i="12"/>
  <c r="AQ10" i="12" s="1"/>
  <c r="AR10" i="12" s="1"/>
  <c r="AS10" i="12" s="1"/>
  <c r="AA11" i="12"/>
  <c r="AT10" i="12"/>
  <c r="AL10" i="12"/>
  <c r="AM10" i="12" s="1"/>
  <c r="AK10" i="12"/>
  <c r="AE10" i="12"/>
  <c r="AF10" i="12" s="1"/>
  <c r="AH10" i="12" s="1"/>
  <c r="AI10" i="12" s="1"/>
  <c r="AD10" i="12"/>
  <c r="AC10" i="12"/>
  <c r="AB10" i="12"/>
  <c r="AA10" i="12"/>
  <c r="AT9" i="12"/>
  <c r="AL9" i="12"/>
  <c r="AM9" i="12" s="1"/>
  <c r="AK9" i="12"/>
  <c r="AE9" i="12"/>
  <c r="AF9" i="12" s="1"/>
  <c r="AH9" i="12" s="1"/>
  <c r="AI9" i="12" s="1"/>
  <c r="AD9" i="12"/>
  <c r="AC9" i="12"/>
  <c r="AB9" i="12"/>
  <c r="AQ8" i="12" s="1"/>
  <c r="AR8" i="12" s="1"/>
  <c r="AS8" i="12" s="1"/>
  <c r="AA9" i="12"/>
  <c r="AT8" i="12"/>
  <c r="AL8" i="12"/>
  <c r="AM8" i="12" s="1"/>
  <c r="AK8" i="12"/>
  <c r="AE8" i="12"/>
  <c r="AF8" i="12" s="1"/>
  <c r="AH8" i="12" s="1"/>
  <c r="AI8" i="12" s="1"/>
  <c r="AD8" i="12"/>
  <c r="AC8" i="12"/>
  <c r="AQ7" i="12" s="1"/>
  <c r="AB8" i="12"/>
  <c r="AA8" i="12"/>
  <c r="AT7" i="12"/>
  <c r="AL7" i="12"/>
  <c r="AM7" i="12" s="1"/>
  <c r="AK7" i="12"/>
  <c r="AE7" i="12"/>
  <c r="AF7" i="12" s="1"/>
  <c r="AH7" i="12" s="1"/>
  <c r="AI7" i="12" s="1"/>
  <c r="AD7" i="12"/>
  <c r="AC7" i="12"/>
  <c r="AB7" i="12"/>
  <c r="AA7" i="12"/>
  <c r="AT6" i="12"/>
  <c r="AL6" i="12"/>
  <c r="AM6" i="12" s="1"/>
  <c r="AK6" i="12"/>
  <c r="AE6" i="12"/>
  <c r="AF6" i="12" s="1"/>
  <c r="AH6" i="12" s="1"/>
  <c r="AI6" i="12" s="1"/>
  <c r="AD6" i="12"/>
  <c r="AC6" i="12"/>
  <c r="AB6" i="12"/>
  <c r="AA6" i="12"/>
  <c r="AT5" i="12"/>
  <c r="AL5" i="12"/>
  <c r="AM5" i="12" s="1"/>
  <c r="AK5" i="12"/>
  <c r="AE5" i="12"/>
  <c r="AF5" i="12" s="1"/>
  <c r="AH5" i="12" s="1"/>
  <c r="AI5" i="12" s="1"/>
  <c r="AD5" i="12"/>
  <c r="AC5" i="12"/>
  <c r="AB5" i="12"/>
  <c r="AA5" i="12"/>
  <c r="AT4" i="12"/>
  <c r="AL4" i="12"/>
  <c r="AM4" i="12" s="1"/>
  <c r="AK4" i="12"/>
  <c r="AE4" i="12"/>
  <c r="AG4" i="12" s="1"/>
  <c r="AD4" i="12"/>
  <c r="AC4" i="12"/>
  <c r="AB4" i="12"/>
  <c r="AA4" i="12"/>
  <c r="AD3" i="12"/>
  <c r="AA3" i="12"/>
  <c r="AQ1" i="12"/>
  <c r="A4" i="12"/>
  <c r="A5" i="12" s="1"/>
  <c r="A6" i="12" s="1"/>
  <c r="A7" i="12" s="1"/>
  <c r="A1000" i="12"/>
  <c r="A999" i="12"/>
  <c r="A998" i="12"/>
  <c r="A997" i="12"/>
  <c r="A996" i="12"/>
  <c r="A995" i="12"/>
  <c r="A994" i="12"/>
  <c r="A993" i="12"/>
  <c r="A992" i="12"/>
  <c r="A991" i="12"/>
  <c r="A990" i="12"/>
  <c r="A989" i="12"/>
  <c r="A988" i="12"/>
  <c r="A987" i="12"/>
  <c r="A986" i="12"/>
  <c r="A985" i="12"/>
  <c r="A984" i="12"/>
  <c r="A983" i="12"/>
  <c r="A982" i="12"/>
  <c r="A981" i="12"/>
  <c r="A980" i="12"/>
  <c r="A979" i="12"/>
  <c r="A978" i="12"/>
  <c r="A977" i="12"/>
  <c r="A976" i="12"/>
  <c r="A975" i="12"/>
  <c r="A974" i="12"/>
  <c r="A973" i="12"/>
  <c r="A972" i="12"/>
  <c r="A971" i="12"/>
  <c r="A970" i="12"/>
  <c r="A969" i="12"/>
  <c r="A968" i="12"/>
  <c r="A967" i="12"/>
  <c r="A966" i="12"/>
  <c r="A965" i="12"/>
  <c r="A964" i="12"/>
  <c r="A963" i="12"/>
  <c r="A962" i="12"/>
  <c r="A961" i="12"/>
  <c r="A960" i="12"/>
  <c r="A959" i="12"/>
  <c r="A958" i="12"/>
  <c r="A957" i="12"/>
  <c r="A956" i="12"/>
  <c r="A955" i="12"/>
  <c r="A954" i="12"/>
  <c r="A953" i="12"/>
  <c r="A952" i="12"/>
  <c r="A951" i="12"/>
  <c r="A950" i="12"/>
  <c r="A949" i="12"/>
  <c r="A948" i="12"/>
  <c r="A947" i="12"/>
  <c r="A946" i="12"/>
  <c r="A945" i="12"/>
  <c r="A944" i="12"/>
  <c r="A943" i="12"/>
  <c r="A942" i="12"/>
  <c r="A941" i="12"/>
  <c r="A940" i="12"/>
  <c r="A939" i="12"/>
  <c r="A938" i="12"/>
  <c r="A937" i="12"/>
  <c r="A936" i="12"/>
  <c r="A935" i="12"/>
  <c r="A934" i="12"/>
  <c r="A933" i="12"/>
  <c r="A932" i="12"/>
  <c r="A931" i="12"/>
  <c r="A930" i="12"/>
  <c r="A929" i="12"/>
  <c r="A928" i="12"/>
  <c r="A927" i="12"/>
  <c r="A926" i="12"/>
  <c r="A925" i="12"/>
  <c r="A924" i="12"/>
  <c r="A923" i="12"/>
  <c r="A922" i="12"/>
  <c r="A921" i="12"/>
  <c r="A920" i="12"/>
  <c r="A919" i="12"/>
  <c r="A918" i="12"/>
  <c r="A917" i="12"/>
  <c r="A916" i="12"/>
  <c r="A915" i="12"/>
  <c r="A914" i="12"/>
  <c r="A913" i="12"/>
  <c r="A912" i="12"/>
  <c r="A911" i="12"/>
  <c r="A910" i="12"/>
  <c r="A909" i="12"/>
  <c r="A908" i="12"/>
  <c r="A907" i="12"/>
  <c r="A906" i="12"/>
  <c r="A905" i="12"/>
  <c r="A904" i="12"/>
  <c r="A903" i="12"/>
  <c r="A902" i="12"/>
  <c r="A901" i="12"/>
  <c r="A900" i="12"/>
  <c r="A899" i="12"/>
  <c r="A898" i="12"/>
  <c r="A897" i="12"/>
  <c r="A896" i="12"/>
  <c r="A895" i="12"/>
  <c r="A894" i="12"/>
  <c r="A893" i="12"/>
  <c r="A892" i="12"/>
  <c r="A891" i="12"/>
  <c r="A890" i="12"/>
  <c r="A889" i="12"/>
  <c r="A888" i="12"/>
  <c r="A887" i="12"/>
  <c r="A886" i="12"/>
  <c r="A885" i="12"/>
  <c r="A884" i="12"/>
  <c r="A883" i="12"/>
  <c r="A882" i="12"/>
  <c r="A881" i="12"/>
  <c r="A880" i="12"/>
  <c r="A879" i="12"/>
  <c r="A878" i="12"/>
  <c r="A877" i="12"/>
  <c r="A876" i="12"/>
  <c r="A875" i="12"/>
  <c r="A874" i="12"/>
  <c r="A873" i="12"/>
  <c r="A872" i="12"/>
  <c r="A871" i="12"/>
  <c r="A870" i="12"/>
  <c r="A869" i="12"/>
  <c r="A868" i="12"/>
  <c r="A867" i="12"/>
  <c r="A866" i="12"/>
  <c r="A865" i="12"/>
  <c r="A864" i="12"/>
  <c r="A863" i="12"/>
  <c r="A862" i="12"/>
  <c r="A861" i="12"/>
  <c r="A860" i="12"/>
  <c r="A859" i="12"/>
  <c r="A858" i="12"/>
  <c r="A857" i="12"/>
  <c r="A856" i="12"/>
  <c r="A855" i="12"/>
  <c r="A854" i="12"/>
  <c r="A853" i="12"/>
  <c r="A852" i="12"/>
  <c r="A851" i="12"/>
  <c r="A850" i="12"/>
  <c r="A849" i="12"/>
  <c r="A848" i="12"/>
  <c r="A847" i="12"/>
  <c r="A846" i="12"/>
  <c r="A845" i="12"/>
  <c r="A844" i="12"/>
  <c r="A843" i="12"/>
  <c r="A842" i="12"/>
  <c r="A841" i="12"/>
  <c r="A840" i="12"/>
  <c r="A839" i="12"/>
  <c r="A838" i="12"/>
  <c r="A837" i="12"/>
  <c r="A836" i="12"/>
  <c r="A835" i="12"/>
  <c r="A834" i="12"/>
  <c r="A833" i="12"/>
  <c r="A832" i="12"/>
  <c r="A831" i="12"/>
  <c r="A830" i="12"/>
  <c r="A829" i="12"/>
  <c r="A828" i="12"/>
  <c r="A827" i="12"/>
  <c r="A826" i="12"/>
  <c r="A825" i="12"/>
  <c r="A824" i="12"/>
  <c r="A823" i="12"/>
  <c r="A822" i="12"/>
  <c r="A821" i="12"/>
  <c r="A820" i="12"/>
  <c r="A819" i="12"/>
  <c r="A818" i="12"/>
  <c r="A817" i="12"/>
  <c r="A816" i="12"/>
  <c r="A815" i="12"/>
  <c r="A814" i="12"/>
  <c r="A813" i="12"/>
  <c r="A812" i="12"/>
  <c r="A811" i="12"/>
  <c r="A810" i="12"/>
  <c r="A809" i="12"/>
  <c r="A808" i="12"/>
  <c r="A807" i="12"/>
  <c r="A806" i="12"/>
  <c r="A805" i="12"/>
  <c r="A804" i="12"/>
  <c r="A803" i="12"/>
  <c r="A802" i="12"/>
  <c r="A801" i="12"/>
  <c r="A800" i="12"/>
  <c r="A799" i="12"/>
  <c r="A798" i="12"/>
  <c r="A797" i="12"/>
  <c r="A796" i="12"/>
  <c r="A795" i="12"/>
  <c r="A794" i="12"/>
  <c r="A793" i="12"/>
  <c r="A792" i="12"/>
  <c r="A791" i="12"/>
  <c r="A790" i="12"/>
  <c r="A789" i="12"/>
  <c r="A788" i="12"/>
  <c r="A787" i="12"/>
  <c r="A786" i="12"/>
  <c r="A785" i="12"/>
  <c r="A784" i="12"/>
  <c r="A783" i="12"/>
  <c r="A782" i="12"/>
  <c r="A781" i="12"/>
  <c r="A780" i="12"/>
  <c r="A779" i="12"/>
  <c r="A778" i="12"/>
  <c r="A777" i="12"/>
  <c r="A776" i="12"/>
  <c r="A775" i="12"/>
  <c r="A774" i="12"/>
  <c r="A773" i="12"/>
  <c r="A772" i="12"/>
  <c r="A771" i="12"/>
  <c r="A770" i="12"/>
  <c r="A769" i="12"/>
  <c r="A768" i="12"/>
  <c r="A767" i="12"/>
  <c r="A766" i="12"/>
  <c r="A765" i="12"/>
  <c r="A764" i="12"/>
  <c r="A763" i="12"/>
  <c r="A762" i="12"/>
  <c r="A761" i="12"/>
  <c r="A760" i="12"/>
  <c r="A759" i="12"/>
  <c r="A758" i="12"/>
  <c r="A757" i="12"/>
  <c r="A756" i="12"/>
  <c r="A755" i="12"/>
  <c r="A754" i="12"/>
  <c r="A753" i="12"/>
  <c r="A752" i="12"/>
  <c r="A751" i="12"/>
  <c r="A750" i="12"/>
  <c r="A749" i="12"/>
  <c r="A748" i="12"/>
  <c r="A747" i="12"/>
  <c r="A746" i="12"/>
  <c r="A745" i="12"/>
  <c r="A744" i="12"/>
  <c r="A743" i="12"/>
  <c r="A742" i="12"/>
  <c r="A741" i="12"/>
  <c r="A740" i="12"/>
  <c r="A739" i="12"/>
  <c r="A738" i="12"/>
  <c r="A737" i="12"/>
  <c r="A736" i="12"/>
  <c r="A735" i="12"/>
  <c r="A734" i="12"/>
  <c r="A733" i="12"/>
  <c r="A732" i="12"/>
  <c r="A731" i="12"/>
  <c r="A730" i="12"/>
  <c r="A729" i="12"/>
  <c r="A728" i="12"/>
  <c r="A727" i="12"/>
  <c r="A726" i="12"/>
  <c r="A725" i="12"/>
  <c r="A724" i="12"/>
  <c r="A723" i="12"/>
  <c r="A722" i="12"/>
  <c r="A721" i="12"/>
  <c r="A720" i="12"/>
  <c r="A719" i="12"/>
  <c r="A718" i="12"/>
  <c r="A717" i="12"/>
  <c r="A716" i="12"/>
  <c r="A715" i="12"/>
  <c r="A714" i="12"/>
  <c r="A713" i="12"/>
  <c r="A712" i="12"/>
  <c r="A711" i="12"/>
  <c r="A710" i="12"/>
  <c r="A709" i="12"/>
  <c r="A708" i="12"/>
  <c r="A707" i="12"/>
  <c r="A706" i="12"/>
  <c r="A705" i="12"/>
  <c r="A704" i="12"/>
  <c r="A703" i="12"/>
  <c r="A702" i="12"/>
  <c r="A701" i="12"/>
  <c r="A700" i="12"/>
  <c r="A699" i="12"/>
  <c r="A698" i="12"/>
  <c r="A697" i="12"/>
  <c r="A696" i="12"/>
  <c r="A695" i="12"/>
  <c r="A694" i="12"/>
  <c r="A693" i="12"/>
  <c r="A692" i="12"/>
  <c r="A691" i="12"/>
  <c r="A690" i="12"/>
  <c r="A689" i="12"/>
  <c r="A688" i="12"/>
  <c r="A687" i="12"/>
  <c r="A686" i="12"/>
  <c r="A685" i="12"/>
  <c r="A684" i="12"/>
  <c r="A683" i="12"/>
  <c r="A682" i="12"/>
  <c r="A681" i="12"/>
  <c r="A680" i="12"/>
  <c r="A679" i="12"/>
  <c r="A678" i="12"/>
  <c r="A677" i="12"/>
  <c r="A676" i="12"/>
  <c r="A675" i="12"/>
  <c r="A674" i="12"/>
  <c r="A673" i="12"/>
  <c r="A672" i="12"/>
  <c r="A671" i="12"/>
  <c r="A670" i="12"/>
  <c r="A669" i="12"/>
  <c r="A668" i="12"/>
  <c r="A667" i="12"/>
  <c r="A666" i="12"/>
  <c r="A665" i="12"/>
  <c r="A664" i="12"/>
  <c r="A663" i="12"/>
  <c r="A662" i="12"/>
  <c r="A661" i="12"/>
  <c r="A660" i="12"/>
  <c r="A659" i="12"/>
  <c r="A658" i="12"/>
  <c r="A657" i="12"/>
  <c r="A656" i="12"/>
  <c r="A655" i="12"/>
  <c r="A654" i="12"/>
  <c r="A653" i="12"/>
  <c r="A652" i="12"/>
  <c r="A651" i="12"/>
  <c r="A650" i="12"/>
  <c r="A649" i="12"/>
  <c r="A648" i="12"/>
  <c r="A647" i="12"/>
  <c r="A646" i="12"/>
  <c r="A645" i="12"/>
  <c r="A644" i="12"/>
  <c r="A643" i="12"/>
  <c r="A642" i="12"/>
  <c r="A641" i="12"/>
  <c r="A640" i="12"/>
  <c r="A639" i="12"/>
  <c r="A638" i="12"/>
  <c r="A637" i="12"/>
  <c r="A636" i="12"/>
  <c r="A635" i="12"/>
  <c r="A634" i="12"/>
  <c r="A633" i="12"/>
  <c r="A632" i="12"/>
  <c r="A631" i="12"/>
  <c r="A630" i="12"/>
  <c r="A629" i="12"/>
  <c r="A628" i="12"/>
  <c r="A627" i="12"/>
  <c r="A626" i="12"/>
  <c r="A625" i="12"/>
  <c r="A624" i="12"/>
  <c r="A623" i="12"/>
  <c r="A622" i="12"/>
  <c r="A621" i="12"/>
  <c r="A620" i="12"/>
  <c r="A619" i="12"/>
  <c r="A618" i="12"/>
  <c r="A617" i="12"/>
  <c r="A616" i="12"/>
  <c r="A615" i="12"/>
  <c r="A614" i="12"/>
  <c r="A613" i="12"/>
  <c r="A612" i="12"/>
  <c r="A611" i="12"/>
  <c r="A610" i="12"/>
  <c r="A609" i="12"/>
  <c r="A608" i="12"/>
  <c r="A607" i="12"/>
  <c r="A606" i="12"/>
  <c r="A605" i="12"/>
  <c r="A604" i="12"/>
  <c r="A603" i="12"/>
  <c r="A602" i="12"/>
  <c r="A601" i="12"/>
  <c r="A600" i="12"/>
  <c r="A599" i="12"/>
  <c r="A598" i="12"/>
  <c r="A597" i="12"/>
  <c r="A596" i="12"/>
  <c r="A595" i="12"/>
  <c r="A594" i="12"/>
  <c r="A593" i="12"/>
  <c r="A592" i="12"/>
  <c r="A591" i="12"/>
  <c r="A590" i="12"/>
  <c r="A589" i="12"/>
  <c r="A588" i="12"/>
  <c r="A587" i="12"/>
  <c r="A586" i="12"/>
  <c r="A585" i="12"/>
  <c r="A584" i="12"/>
  <c r="A583" i="12"/>
  <c r="A582" i="12"/>
  <c r="A581" i="12"/>
  <c r="A580" i="12"/>
  <c r="A579" i="12"/>
  <c r="A578" i="12"/>
  <c r="A577" i="12"/>
  <c r="A576" i="12"/>
  <c r="A575" i="12"/>
  <c r="A574" i="12"/>
  <c r="A573" i="12"/>
  <c r="A572" i="12"/>
  <c r="A571" i="12"/>
  <c r="A570" i="12"/>
  <c r="A569" i="12"/>
  <c r="A568" i="12"/>
  <c r="A567" i="12"/>
  <c r="A566" i="12"/>
  <c r="A565" i="12"/>
  <c r="A564" i="12"/>
  <c r="A563" i="12"/>
  <c r="A562" i="12"/>
  <c r="A561" i="12"/>
  <c r="A560" i="12"/>
  <c r="A559" i="12"/>
  <c r="A558" i="12"/>
  <c r="A557" i="12"/>
  <c r="A556" i="12"/>
  <c r="A555" i="12"/>
  <c r="A554" i="12"/>
  <c r="A553" i="12"/>
  <c r="A552" i="12"/>
  <c r="A551" i="12"/>
  <c r="A550" i="12"/>
  <c r="A549" i="12"/>
  <c r="A548" i="12"/>
  <c r="A547" i="12"/>
  <c r="A546" i="12"/>
  <c r="A545" i="12"/>
  <c r="A544" i="12"/>
  <c r="A543" i="12"/>
  <c r="A542" i="12"/>
  <c r="A541" i="12"/>
  <c r="A540" i="12"/>
  <c r="A539" i="12"/>
  <c r="A538" i="12"/>
  <c r="A537" i="12"/>
  <c r="A536" i="12"/>
  <c r="A535" i="12"/>
  <c r="A534" i="12"/>
  <c r="A533" i="12"/>
  <c r="A532" i="12"/>
  <c r="A531" i="12"/>
  <c r="A530" i="12"/>
  <c r="A529" i="12"/>
  <c r="A528" i="12"/>
  <c r="A527" i="12"/>
  <c r="A526" i="12"/>
  <c r="A525" i="12"/>
  <c r="A524" i="12"/>
  <c r="A523" i="12"/>
  <c r="A522" i="12"/>
  <c r="A521" i="12"/>
  <c r="A520" i="12"/>
  <c r="A519" i="12"/>
  <c r="A518" i="12"/>
  <c r="A517" i="12"/>
  <c r="A516" i="12"/>
  <c r="A515" i="12"/>
  <c r="A514" i="12"/>
  <c r="A513" i="12"/>
  <c r="A512" i="12"/>
  <c r="A511" i="12"/>
  <c r="A510" i="12"/>
  <c r="A509" i="12"/>
  <c r="A508" i="12"/>
  <c r="A507" i="12"/>
  <c r="A506" i="12"/>
  <c r="A505" i="12"/>
  <c r="A504" i="12"/>
  <c r="A503" i="12"/>
  <c r="A502" i="12"/>
  <c r="A501" i="12"/>
  <c r="A500" i="12"/>
  <c r="A499" i="12"/>
  <c r="A498" i="12"/>
  <c r="A497" i="12"/>
  <c r="A496" i="12"/>
  <c r="A495" i="12"/>
  <c r="A494" i="12"/>
  <c r="A493" i="12"/>
  <c r="A492" i="12"/>
  <c r="A491" i="12"/>
  <c r="A490" i="12"/>
  <c r="A489" i="12"/>
  <c r="A488" i="12"/>
  <c r="A487" i="12"/>
  <c r="A486" i="12"/>
  <c r="A485" i="12"/>
  <c r="A484" i="12"/>
  <c r="A483" i="12"/>
  <c r="A482" i="12"/>
  <c r="A481" i="12"/>
  <c r="A480" i="12"/>
  <c r="A479" i="12"/>
  <c r="A478" i="12"/>
  <c r="A477" i="12"/>
  <c r="A476" i="12"/>
  <c r="A475" i="12"/>
  <c r="A474" i="12"/>
  <c r="A473" i="12"/>
  <c r="A472" i="12"/>
  <c r="A471" i="12"/>
  <c r="A470" i="12"/>
  <c r="A469" i="12"/>
  <c r="A468" i="12"/>
  <c r="A467" i="12"/>
  <c r="A466" i="12"/>
  <c r="A465" i="12"/>
  <c r="A464" i="12"/>
  <c r="A463" i="12"/>
  <c r="A462" i="12"/>
  <c r="A461" i="12"/>
  <c r="A460" i="12"/>
  <c r="A459" i="12"/>
  <c r="A458" i="12"/>
  <c r="A457" i="12"/>
  <c r="A456" i="12"/>
  <c r="A455" i="12"/>
  <c r="A454" i="12"/>
  <c r="A453" i="12"/>
  <c r="A452" i="12"/>
  <c r="A451" i="12"/>
  <c r="A450" i="12"/>
  <c r="A449" i="12"/>
  <c r="A448" i="12"/>
  <c r="A447" i="12"/>
  <c r="A446" i="12"/>
  <c r="A445" i="12"/>
  <c r="A444" i="12"/>
  <c r="A443" i="12"/>
  <c r="A442" i="12"/>
  <c r="A441" i="12"/>
  <c r="A440" i="12"/>
  <c r="A439" i="12"/>
  <c r="A438" i="12"/>
  <c r="A437" i="12"/>
  <c r="A436" i="12"/>
  <c r="A435" i="12"/>
  <c r="A434" i="12"/>
  <c r="A433" i="12"/>
  <c r="A432" i="12"/>
  <c r="A431" i="12"/>
  <c r="A430" i="12"/>
  <c r="A429" i="12"/>
  <c r="A428" i="12"/>
  <c r="A427" i="12"/>
  <c r="A426" i="12"/>
  <c r="A425" i="12"/>
  <c r="A424" i="12"/>
  <c r="A423" i="12"/>
  <c r="A422" i="12"/>
  <c r="A421" i="12"/>
  <c r="A420" i="12"/>
  <c r="A419" i="12"/>
  <c r="A418" i="12"/>
  <c r="A417" i="12"/>
  <c r="A416" i="12"/>
  <c r="A415" i="12"/>
  <c r="A414" i="12"/>
  <c r="A413" i="12"/>
  <c r="A412" i="12"/>
  <c r="A411" i="12"/>
  <c r="A410" i="12"/>
  <c r="A409" i="12"/>
  <c r="A408" i="12"/>
  <c r="A407" i="12"/>
  <c r="A406" i="12"/>
  <c r="A405" i="12"/>
  <c r="A404" i="12"/>
  <c r="A403" i="12"/>
  <c r="A402" i="12"/>
  <c r="A401" i="12"/>
  <c r="A400" i="12"/>
  <c r="A399" i="12"/>
  <c r="A398" i="12"/>
  <c r="A397" i="12"/>
  <c r="A396" i="12"/>
  <c r="A395" i="12"/>
  <c r="A394" i="12"/>
  <c r="A393" i="12"/>
  <c r="A392" i="12"/>
  <c r="A391" i="12"/>
  <c r="A390" i="12"/>
  <c r="A389" i="12"/>
  <c r="A388" i="12"/>
  <c r="A387" i="12"/>
  <c r="A386" i="12"/>
  <c r="A385" i="12"/>
  <c r="A384" i="12"/>
  <c r="A383" i="12"/>
  <c r="A382" i="12"/>
  <c r="A381" i="12"/>
  <c r="A380" i="12"/>
  <c r="A379" i="12"/>
  <c r="A378" i="12"/>
  <c r="A377" i="12"/>
  <c r="A376" i="12"/>
  <c r="A375" i="12"/>
  <c r="A374" i="12"/>
  <c r="A373" i="12"/>
  <c r="A372" i="12"/>
  <c r="A371" i="12"/>
  <c r="A370" i="12"/>
  <c r="A369" i="12"/>
  <c r="A368" i="12"/>
  <c r="A367" i="12"/>
  <c r="A366" i="12"/>
  <c r="A365" i="12"/>
  <c r="A364" i="12"/>
  <c r="A363" i="12"/>
  <c r="A362" i="12"/>
  <c r="A361" i="12"/>
  <c r="A360" i="12"/>
  <c r="A359" i="12"/>
  <c r="A358" i="12"/>
  <c r="A357" i="12"/>
  <c r="A356" i="12"/>
  <c r="A355" i="12"/>
  <c r="A354" i="12"/>
  <c r="A353" i="12"/>
  <c r="A352" i="12"/>
  <c r="A351" i="12"/>
  <c r="A350" i="12"/>
  <c r="A349" i="12"/>
  <c r="A348" i="12"/>
  <c r="A347" i="12"/>
  <c r="A346" i="12"/>
  <c r="A345" i="12"/>
  <c r="A344" i="12"/>
  <c r="A343" i="12"/>
  <c r="A342" i="12"/>
  <c r="A341" i="12"/>
  <c r="A340" i="12"/>
  <c r="A339" i="12"/>
  <c r="A338" i="12"/>
  <c r="A337" i="12"/>
  <c r="A336" i="12"/>
  <c r="A335" i="12"/>
  <c r="A334" i="12"/>
  <c r="A333" i="12"/>
  <c r="A332" i="12"/>
  <c r="A331" i="12"/>
  <c r="A330" i="12"/>
  <c r="A329" i="12"/>
  <c r="A328" i="12"/>
  <c r="A327" i="12"/>
  <c r="A326" i="12"/>
  <c r="A325" i="12"/>
  <c r="A324" i="12"/>
  <c r="A323" i="12"/>
  <c r="A322" i="12"/>
  <c r="A321" i="12"/>
  <c r="A320" i="12"/>
  <c r="A319" i="12"/>
  <c r="A318" i="12"/>
  <c r="A317" i="12"/>
  <c r="A316" i="12"/>
  <c r="A315" i="12"/>
  <c r="A314" i="12"/>
  <c r="A313" i="12"/>
  <c r="A312" i="12"/>
  <c r="A311" i="12"/>
  <c r="A310" i="12"/>
  <c r="A309" i="12"/>
  <c r="A308" i="12"/>
  <c r="A307" i="12"/>
  <c r="A306" i="12"/>
  <c r="A305" i="12"/>
  <c r="A304" i="12"/>
  <c r="A303" i="12"/>
  <c r="A302" i="12"/>
  <c r="A301" i="12"/>
  <c r="A300" i="12"/>
  <c r="A299" i="12"/>
  <c r="A298" i="12"/>
  <c r="A297" i="12"/>
  <c r="A296" i="12"/>
  <c r="A295" i="12"/>
  <c r="A294" i="12"/>
  <c r="A293" i="12"/>
  <c r="A292" i="12"/>
  <c r="A291" i="12"/>
  <c r="A290" i="12"/>
  <c r="A289" i="12"/>
  <c r="A288" i="12"/>
  <c r="A287" i="12"/>
  <c r="A286" i="12"/>
  <c r="A285" i="12"/>
  <c r="A284" i="12"/>
  <c r="A283" i="12"/>
  <c r="A282" i="12"/>
  <c r="A281" i="12"/>
  <c r="A280" i="12"/>
  <c r="A279" i="12"/>
  <c r="A278" i="12"/>
  <c r="A277" i="12"/>
  <c r="A276" i="12"/>
  <c r="A275" i="12"/>
  <c r="A274" i="12"/>
  <c r="A273" i="12"/>
  <c r="A272" i="12"/>
  <c r="A271" i="12"/>
  <c r="A270" i="12"/>
  <c r="A269" i="12"/>
  <c r="A268" i="12"/>
  <c r="A267" i="12"/>
  <c r="A266" i="12"/>
  <c r="A265" i="12"/>
  <c r="A264" i="12"/>
  <c r="A263" i="12"/>
  <c r="A262" i="12"/>
  <c r="A261" i="12"/>
  <c r="A260" i="12"/>
  <c r="A259" i="12"/>
  <c r="A258" i="12"/>
  <c r="A257" i="12"/>
  <c r="A256" i="12"/>
  <c r="A255" i="12"/>
  <c r="A254" i="12"/>
  <c r="A253" i="12"/>
  <c r="A252" i="12"/>
  <c r="A251" i="12"/>
  <c r="A250" i="12"/>
  <c r="A249" i="12"/>
  <c r="A248" i="12"/>
  <c r="A247" i="12"/>
  <c r="A246" i="12"/>
  <c r="A245" i="12"/>
  <c r="A244" i="12"/>
  <c r="A243" i="12"/>
  <c r="A242" i="12"/>
  <c r="A241" i="12"/>
  <c r="A240" i="12"/>
  <c r="A239" i="12"/>
  <c r="A238" i="12"/>
  <c r="A237" i="12"/>
  <c r="A236" i="12"/>
  <c r="A235" i="12"/>
  <c r="A234" i="12"/>
  <c r="A233" i="12"/>
  <c r="A232" i="12"/>
  <c r="A231" i="12"/>
  <c r="A230" i="12"/>
  <c r="A229" i="12"/>
  <c r="A228" i="12"/>
  <c r="A227" i="12"/>
  <c r="A226" i="12"/>
  <c r="A225" i="12"/>
  <c r="A224" i="12"/>
  <c r="A223" i="12"/>
  <c r="A222" i="12"/>
  <c r="A221" i="12"/>
  <c r="A220" i="12"/>
  <c r="A219" i="12"/>
  <c r="A218" i="12"/>
  <c r="A217" i="12"/>
  <c r="A216" i="12"/>
  <c r="A215" i="12"/>
  <c r="A214" i="12"/>
  <c r="A213" i="12"/>
  <c r="A212" i="12"/>
  <c r="A211" i="12"/>
  <c r="A210" i="12"/>
  <c r="A209" i="12"/>
  <c r="A208" i="12"/>
  <c r="A207" i="12"/>
  <c r="A206" i="12"/>
  <c r="A205" i="12"/>
  <c r="A204" i="12"/>
  <c r="A203" i="12"/>
  <c r="A202" i="12"/>
  <c r="A201" i="12"/>
  <c r="A200" i="12"/>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A124" i="12"/>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19" i="12"/>
  <c r="A20" i="12" s="1"/>
  <c r="A18" i="12"/>
  <c r="A17" i="12"/>
  <c r="A16" i="12"/>
  <c r="A15" i="12"/>
  <c r="A14" i="12"/>
  <c r="A13" i="12"/>
  <c r="A12" i="12"/>
  <c r="A11" i="12"/>
  <c r="A10" i="12"/>
  <c r="A9" i="12"/>
  <c r="A8" i="12"/>
  <c r="AG6" i="12" l="1"/>
  <c r="AJ6" i="12" s="1"/>
  <c r="AF4" i="12"/>
  <c r="AH4" i="12" s="1"/>
  <c r="AI4" i="12" s="1"/>
  <c r="AJ4" i="12" s="1"/>
  <c r="AQ4" i="12"/>
  <c r="AR4" i="12" s="1"/>
  <c r="AS4" i="12" s="1"/>
  <c r="AQ15" i="12"/>
  <c r="AR15" i="12" s="1"/>
  <c r="AS15" i="12" s="1"/>
  <c r="AQ9" i="12"/>
  <c r="AS9" i="12" s="1"/>
  <c r="AQ11" i="12"/>
  <c r="AQ13" i="12"/>
  <c r="AR11" i="12"/>
  <c r="AS11" i="12" s="1"/>
  <c r="AR13" i="12"/>
  <c r="AS13" i="12" s="1"/>
  <c r="AS17" i="12"/>
  <c r="AP17" i="12" s="1"/>
  <c r="AR7" i="12"/>
  <c r="AS7" i="12" s="1"/>
  <c r="AR9" i="12"/>
  <c r="AR17" i="12"/>
  <c r="AL3" i="12"/>
  <c r="K16" i="12" s="1"/>
  <c r="AG8" i="12"/>
  <c r="AJ8" i="12" s="1"/>
  <c r="AF12" i="12"/>
  <c r="AH12" i="12" s="1"/>
  <c r="AI12" i="12" s="1"/>
  <c r="AJ12" i="12" s="1"/>
  <c r="AG10" i="12"/>
  <c r="AJ10" i="12" s="1"/>
  <c r="AL23" i="6"/>
  <c r="AL94" i="6"/>
  <c r="AL158" i="6"/>
  <c r="AL31" i="6"/>
  <c r="AL58" i="6"/>
  <c r="AL89" i="6"/>
  <c r="AL113" i="6"/>
  <c r="AL134" i="6"/>
  <c r="AL142" i="6"/>
  <c r="AL184" i="6"/>
  <c r="AL248" i="6"/>
  <c r="AL264" i="6"/>
  <c r="AL339" i="6"/>
  <c r="AL76" i="6"/>
  <c r="AL103" i="6"/>
  <c r="AL110" i="6"/>
  <c r="AL169" i="6"/>
  <c r="AL187" i="6"/>
  <c r="AL211" i="6"/>
  <c r="AL360" i="6"/>
  <c r="AL176" i="6"/>
  <c r="AL289" i="6"/>
  <c r="AL347" i="6"/>
  <c r="AL105" i="6"/>
  <c r="AL233" i="6"/>
  <c r="AL284" i="6"/>
  <c r="AL304" i="6"/>
  <c r="AL201" i="6"/>
  <c r="AL283" i="6"/>
  <c r="AL361" i="6"/>
  <c r="AL371" i="6"/>
  <c r="AL480" i="6"/>
  <c r="AL544" i="6"/>
  <c r="AL608" i="6"/>
  <c r="AL728" i="6"/>
  <c r="AL208" i="6"/>
  <c r="AL393" i="6"/>
  <c r="AL475" i="6"/>
  <c r="AL499" i="6"/>
  <c r="AL568" i="6"/>
  <c r="AL632" i="6"/>
  <c r="AL707" i="6"/>
  <c r="AL102" i="6"/>
  <c r="AL321" i="6"/>
  <c r="AL355" i="6"/>
  <c r="AL419" i="6"/>
  <c r="AL456" i="6"/>
  <c r="AL680" i="6"/>
  <c r="AL167" i="6"/>
  <c r="AL315" i="6"/>
  <c r="AL385" i="6"/>
  <c r="AL483" i="6"/>
  <c r="AL625" i="6"/>
  <c r="AL712" i="6"/>
  <c r="AL748" i="6"/>
  <c r="AL768" i="6"/>
  <c r="AL451" i="6"/>
  <c r="AL521" i="6"/>
  <c r="AL659" i="6"/>
  <c r="AL561" i="6"/>
  <c r="AL409" i="6"/>
  <c r="AL491" i="6"/>
  <c r="AL657" i="6"/>
  <c r="AL488" i="6"/>
  <c r="AL792" i="6"/>
  <c r="AL47" i="6"/>
  <c r="AL71" i="6"/>
  <c r="AL86" i="6"/>
  <c r="AL150" i="6"/>
  <c r="AL64" i="6"/>
  <c r="AL126" i="6"/>
  <c r="AL63" i="6"/>
  <c r="AL192" i="6"/>
  <c r="AL256" i="6"/>
  <c r="AL39" i="6"/>
  <c r="AL97" i="6"/>
  <c r="AL224" i="6"/>
  <c r="AL307" i="6"/>
  <c r="AL291" i="6"/>
  <c r="AL311" i="6"/>
  <c r="AL343" i="6"/>
  <c r="AL135" i="6"/>
  <c r="AL200" i="6"/>
  <c r="AL227" i="6"/>
  <c r="AL241" i="6"/>
  <c r="AL280" i="6"/>
  <c r="AL195" i="6"/>
  <c r="AL353" i="6"/>
  <c r="AL369" i="6"/>
  <c r="AL379" i="6"/>
  <c r="AL472" i="6"/>
  <c r="AL536" i="6"/>
  <c r="AL600" i="6"/>
  <c r="AL675" i="6"/>
  <c r="AL277" i="6"/>
  <c r="AL344" i="6"/>
  <c r="AL440" i="6"/>
  <c r="AL512" i="6"/>
  <c r="AL603" i="6"/>
  <c r="AL760" i="6"/>
  <c r="AL387" i="6"/>
  <c r="AL497" i="6"/>
  <c r="AL616" i="6"/>
  <c r="AL648" i="6"/>
  <c r="AL684" i="6"/>
  <c r="AL704" i="6"/>
  <c r="AL279" i="6"/>
  <c r="AL363" i="6"/>
  <c r="AL489" i="6"/>
  <c r="AL496" i="6"/>
  <c r="AL555" i="6"/>
  <c r="AL627" i="6"/>
  <c r="AL647" i="6"/>
  <c r="AL677" i="6"/>
  <c r="AL744" i="6"/>
  <c r="AL465" i="6"/>
  <c r="AL523" i="6"/>
  <c r="AL689" i="6"/>
  <c r="AL743" i="6"/>
  <c r="AL66" i="6"/>
  <c r="AL736" i="6"/>
  <c r="AL620" i="6"/>
  <c r="AL587" i="6"/>
  <c r="AL617" i="6"/>
  <c r="AL723" i="6"/>
  <c r="AL779" i="6"/>
  <c r="AL784" i="6"/>
  <c r="AL800" i="6"/>
  <c r="AL520" i="6"/>
  <c r="AL776" i="6"/>
  <c r="AG14" i="12"/>
  <c r="AJ14" i="12" s="1"/>
  <c r="AQ6" i="12"/>
  <c r="AR6" i="12" s="1"/>
  <c r="AS6" i="12" s="1"/>
  <c r="AF16" i="12"/>
  <c r="AH16" i="12" s="1"/>
  <c r="AI16" i="12" s="1"/>
  <c r="AJ16" i="12" s="1"/>
  <c r="AQ3" i="12"/>
  <c r="AR3" i="12" s="1"/>
  <c r="AS3" i="12" s="1"/>
  <c r="AQ5" i="12"/>
  <c r="AR5" i="12" s="1"/>
  <c r="AS5" i="12" s="1"/>
  <c r="AQ2" i="12"/>
  <c r="AR2" i="12" s="1"/>
  <c r="AS2" i="12" s="1"/>
  <c r="AM3" i="12"/>
  <c r="I3" i="12" s="1"/>
  <c r="AE3" i="12" s="1"/>
  <c r="AF3" i="12" s="1"/>
  <c r="AH3" i="12" s="1"/>
  <c r="AI3" i="12" s="1"/>
  <c r="AG5" i="12"/>
  <c r="AJ5" i="12" s="1"/>
  <c r="AG7" i="12"/>
  <c r="AJ7" i="12" s="1"/>
  <c r="AG9" i="12"/>
  <c r="AJ9" i="12" s="1"/>
  <c r="AP8" i="12" s="1"/>
  <c r="AG11" i="12"/>
  <c r="AJ11" i="12" s="1"/>
  <c r="AP10" i="12" s="1"/>
  <c r="AG13" i="12"/>
  <c r="AJ13" i="12" s="1"/>
  <c r="AP12" i="12" s="1"/>
  <c r="AG15" i="12"/>
  <c r="AJ15" i="12" s="1"/>
  <c r="AP14" i="12" s="1"/>
  <c r="AP15" i="12" l="1"/>
  <c r="AP13" i="12"/>
  <c r="AP11" i="12"/>
  <c r="AP9" i="12"/>
  <c r="AP7" i="12"/>
  <c r="AP5" i="12"/>
  <c r="AP3" i="12"/>
  <c r="K10" i="12"/>
  <c r="AG3" i="12"/>
  <c r="AJ3" i="12" s="1"/>
  <c r="AP2" i="12" s="1"/>
  <c r="AP4" i="12"/>
  <c r="AP6" i="12"/>
  <c r="AQ4" i="5" l="1"/>
  <c r="AQ5" i="5"/>
  <c r="AQ6" i="5"/>
  <c r="AQ7" i="5"/>
  <c r="AQ8" i="5"/>
  <c r="AQ9" i="5"/>
  <c r="AQ10" i="5"/>
  <c r="AQ11" i="5"/>
  <c r="AQ12" i="5"/>
  <c r="AQ13" i="5"/>
  <c r="AQ14" i="5"/>
  <c r="AQ15" i="5"/>
  <c r="AQ16" i="5"/>
  <c r="AQ17" i="5"/>
  <c r="AQ18" i="5"/>
  <c r="AQ19" i="5"/>
  <c r="AQ20" i="5"/>
  <c r="AQ21" i="5"/>
  <c r="AQ22" i="5"/>
  <c r="AQ23" i="5"/>
  <c r="AQ24" i="5"/>
  <c r="AQ25" i="5"/>
  <c r="AQ26" i="5"/>
  <c r="AQ27" i="5"/>
  <c r="AQ28" i="5"/>
  <c r="AQ29" i="5"/>
  <c r="AQ30" i="5"/>
  <c r="AQ31" i="5"/>
  <c r="AQ32" i="5"/>
  <c r="AQ33" i="5"/>
  <c r="AQ34" i="5"/>
  <c r="AQ35" i="5"/>
  <c r="AQ36" i="5"/>
  <c r="AQ37" i="5"/>
  <c r="AQ38" i="5"/>
  <c r="AQ39" i="5"/>
  <c r="AQ40" i="5"/>
  <c r="AQ41" i="5"/>
  <c r="AQ42" i="5"/>
  <c r="AQ43" i="5"/>
  <c r="AQ44" i="5"/>
  <c r="AQ45" i="5"/>
  <c r="AQ46" i="5"/>
  <c r="AQ47" i="5"/>
  <c r="AQ48" i="5"/>
  <c r="AQ49" i="5"/>
  <c r="AQ50" i="5"/>
  <c r="AQ51" i="5"/>
  <c r="AQ52" i="5"/>
  <c r="AQ53" i="5"/>
  <c r="AQ54" i="5"/>
  <c r="AQ55" i="5"/>
  <c r="AQ56" i="5"/>
  <c r="AQ57" i="5"/>
  <c r="AQ58" i="5"/>
  <c r="AQ59" i="5"/>
  <c r="AQ60" i="5"/>
  <c r="AQ61" i="5"/>
  <c r="AQ62" i="5"/>
  <c r="AQ63" i="5"/>
  <c r="AQ64" i="5"/>
  <c r="AQ65" i="5"/>
  <c r="AQ66" i="5"/>
  <c r="AQ67" i="5"/>
  <c r="AQ68" i="5"/>
  <c r="AQ69" i="5"/>
  <c r="AQ70" i="5"/>
  <c r="AQ71" i="5"/>
  <c r="AQ72" i="5"/>
  <c r="AQ73" i="5"/>
  <c r="AQ74" i="5"/>
  <c r="AQ75" i="5"/>
  <c r="AQ76" i="5"/>
  <c r="AQ77" i="5"/>
  <c r="AQ78" i="5"/>
  <c r="AQ79" i="5"/>
  <c r="AQ80" i="5"/>
  <c r="AQ81" i="5"/>
  <c r="AQ82" i="5"/>
  <c r="AQ83" i="5"/>
  <c r="AQ84" i="5"/>
  <c r="AQ85" i="5"/>
  <c r="AQ86" i="5"/>
  <c r="AQ87" i="5"/>
  <c r="AQ88" i="5"/>
  <c r="AQ89" i="5"/>
  <c r="AQ90" i="5"/>
  <c r="AQ91" i="5"/>
  <c r="AQ92" i="5"/>
  <c r="AQ93" i="5"/>
  <c r="AQ94" i="5"/>
  <c r="AQ95" i="5"/>
  <c r="AQ96" i="5"/>
  <c r="AQ97" i="5"/>
  <c r="AQ98" i="5"/>
  <c r="AQ99" i="5"/>
  <c r="AQ100" i="5"/>
  <c r="AQ101" i="5"/>
  <c r="AQ102" i="5"/>
  <c r="AQ103" i="5"/>
  <c r="AQ104" i="5"/>
  <c r="AQ105" i="5"/>
  <c r="AQ106" i="5"/>
  <c r="AQ107" i="5"/>
  <c r="AQ108" i="5"/>
  <c r="AQ109" i="5"/>
  <c r="AQ110" i="5"/>
  <c r="AQ111" i="5"/>
  <c r="AQ112" i="5"/>
  <c r="AQ113" i="5"/>
  <c r="AQ114" i="5"/>
  <c r="AQ115" i="5"/>
  <c r="AQ116" i="5"/>
  <c r="AQ117" i="5"/>
  <c r="AQ118" i="5"/>
  <c r="AQ119" i="5"/>
  <c r="AQ120" i="5"/>
  <c r="AQ121" i="5"/>
  <c r="AQ122" i="5"/>
  <c r="AQ123" i="5"/>
  <c r="AQ124" i="5"/>
  <c r="AQ125" i="5"/>
  <c r="AQ126" i="5"/>
  <c r="AQ127" i="5"/>
  <c r="AQ128" i="5"/>
  <c r="AQ129" i="5"/>
  <c r="AQ130" i="5"/>
  <c r="AQ131" i="5"/>
  <c r="AQ132" i="5"/>
  <c r="AQ133" i="5"/>
  <c r="AQ134" i="5"/>
  <c r="AQ135" i="5"/>
  <c r="AQ136" i="5"/>
  <c r="AQ137" i="5"/>
  <c r="AQ138" i="5"/>
  <c r="AQ139" i="5"/>
  <c r="AQ140" i="5"/>
  <c r="AQ141" i="5"/>
  <c r="AQ142" i="5"/>
  <c r="AQ143" i="5"/>
  <c r="AQ144" i="5"/>
  <c r="AQ145" i="5"/>
  <c r="AQ146" i="5"/>
  <c r="AQ147" i="5"/>
  <c r="AQ148" i="5"/>
  <c r="AQ149" i="5"/>
  <c r="AQ150" i="5"/>
  <c r="AQ151" i="5"/>
  <c r="AQ152" i="5"/>
  <c r="AQ153" i="5"/>
  <c r="AQ154" i="5"/>
  <c r="AQ155" i="5"/>
  <c r="AQ156" i="5"/>
  <c r="AQ157" i="5"/>
  <c r="AQ158" i="5"/>
  <c r="AQ159" i="5"/>
  <c r="AQ160" i="5"/>
  <c r="AQ161" i="5"/>
  <c r="AQ162" i="5"/>
  <c r="AQ163" i="5"/>
  <c r="AQ164" i="5"/>
  <c r="AQ165" i="5"/>
  <c r="AQ166" i="5"/>
  <c r="AQ167" i="5"/>
  <c r="AQ168" i="5"/>
  <c r="AQ169" i="5"/>
  <c r="AQ170" i="5"/>
  <c r="AQ171" i="5"/>
  <c r="AQ172" i="5"/>
  <c r="AQ173" i="5"/>
  <c r="AQ174" i="5"/>
  <c r="AQ175" i="5"/>
  <c r="AQ176" i="5"/>
  <c r="AQ177" i="5"/>
  <c r="AQ178" i="5"/>
  <c r="AQ179" i="5"/>
  <c r="AQ180" i="5"/>
  <c r="AQ181" i="5"/>
  <c r="AQ182" i="5"/>
  <c r="AQ183" i="5"/>
  <c r="AQ184" i="5"/>
  <c r="AQ185" i="5"/>
  <c r="AQ186" i="5"/>
  <c r="AQ187" i="5"/>
  <c r="AQ188" i="5"/>
  <c r="AQ189" i="5"/>
  <c r="AQ190" i="5"/>
  <c r="AQ191" i="5"/>
  <c r="AQ192" i="5"/>
  <c r="AQ193" i="5"/>
  <c r="AQ194" i="5"/>
  <c r="AQ195" i="5"/>
  <c r="AQ196" i="5"/>
  <c r="AQ197" i="5"/>
  <c r="AQ198" i="5"/>
  <c r="AQ199" i="5"/>
  <c r="AQ200" i="5"/>
  <c r="AQ201" i="5"/>
  <c r="AQ202" i="5"/>
  <c r="AQ203" i="5"/>
  <c r="AQ204" i="5"/>
  <c r="AQ205" i="5"/>
  <c r="AQ206" i="5"/>
  <c r="AQ207" i="5"/>
  <c r="AQ208" i="5"/>
  <c r="AQ209" i="5"/>
  <c r="AQ210" i="5"/>
  <c r="AQ211" i="5"/>
  <c r="AQ212" i="5"/>
  <c r="AQ213" i="5"/>
  <c r="AQ214" i="5"/>
  <c r="AQ215" i="5"/>
  <c r="AQ216" i="5"/>
  <c r="AQ217" i="5"/>
  <c r="AQ218" i="5"/>
  <c r="AQ219" i="5"/>
  <c r="AQ220" i="5"/>
  <c r="AQ221" i="5"/>
  <c r="AQ222" i="5"/>
  <c r="AQ223" i="5"/>
  <c r="AQ224" i="5"/>
  <c r="AQ225" i="5"/>
  <c r="AQ226" i="5"/>
  <c r="AQ227" i="5"/>
  <c r="AQ228" i="5"/>
  <c r="AQ229" i="5"/>
  <c r="AQ230" i="5"/>
  <c r="AQ231" i="5"/>
  <c r="AQ232" i="5"/>
  <c r="AQ233" i="5"/>
  <c r="AQ234" i="5"/>
  <c r="AQ235" i="5"/>
  <c r="AQ236" i="5"/>
  <c r="AQ237" i="5"/>
  <c r="AQ238" i="5"/>
  <c r="AQ239" i="5"/>
  <c r="AQ240" i="5"/>
  <c r="AQ241" i="5"/>
  <c r="AQ242" i="5"/>
  <c r="AQ243" i="5"/>
  <c r="AQ244" i="5"/>
  <c r="AQ245" i="5"/>
  <c r="AQ246" i="5"/>
  <c r="AQ247" i="5"/>
  <c r="AQ248" i="5"/>
  <c r="AQ249" i="5"/>
  <c r="AQ250" i="5"/>
  <c r="AQ251" i="5"/>
  <c r="AQ252" i="5"/>
  <c r="AQ253" i="5"/>
  <c r="AQ254" i="5"/>
  <c r="AQ255" i="5"/>
  <c r="AQ256" i="5"/>
  <c r="AQ257" i="5"/>
  <c r="AQ258" i="5"/>
  <c r="AQ259" i="5"/>
  <c r="AQ260" i="5"/>
  <c r="AQ261" i="5"/>
  <c r="AQ262" i="5"/>
  <c r="AQ263" i="5"/>
  <c r="AQ264" i="5"/>
  <c r="AQ265" i="5"/>
  <c r="AQ266" i="5"/>
  <c r="AQ267" i="5"/>
  <c r="AQ268" i="5"/>
  <c r="AQ269" i="5"/>
  <c r="AQ270" i="5"/>
  <c r="AQ271" i="5"/>
  <c r="AQ272" i="5"/>
  <c r="AQ273" i="5"/>
  <c r="AQ274" i="5"/>
  <c r="AQ275" i="5"/>
  <c r="AQ276" i="5"/>
  <c r="AQ277" i="5"/>
  <c r="AQ278" i="5"/>
  <c r="AQ279" i="5"/>
  <c r="AQ280" i="5"/>
  <c r="AQ281" i="5"/>
  <c r="AQ282" i="5"/>
  <c r="AQ283" i="5"/>
  <c r="AQ284" i="5"/>
  <c r="AQ285" i="5"/>
  <c r="AQ286" i="5"/>
  <c r="AQ287" i="5"/>
  <c r="AQ288" i="5"/>
  <c r="AQ289" i="5"/>
  <c r="AQ290" i="5"/>
  <c r="AQ291" i="5"/>
  <c r="AQ292" i="5"/>
  <c r="AQ293" i="5"/>
  <c r="AQ294" i="5"/>
  <c r="AQ295" i="5"/>
  <c r="AQ296" i="5"/>
  <c r="AQ297" i="5"/>
  <c r="AQ298" i="5"/>
  <c r="AQ299" i="5"/>
  <c r="AQ300" i="5"/>
  <c r="AQ301" i="5"/>
  <c r="AQ302" i="5"/>
  <c r="AQ303" i="5"/>
  <c r="AQ304" i="5"/>
  <c r="AQ305" i="5"/>
  <c r="AQ306" i="5"/>
  <c r="AQ307" i="5"/>
  <c r="AQ308" i="5"/>
  <c r="AQ309" i="5"/>
  <c r="AQ310" i="5"/>
  <c r="AQ311" i="5"/>
  <c r="AQ312" i="5"/>
  <c r="AQ313" i="5"/>
  <c r="AQ314" i="5"/>
  <c r="AQ315" i="5"/>
  <c r="AQ316" i="5"/>
  <c r="AQ317" i="5"/>
  <c r="AQ318" i="5"/>
  <c r="AQ319" i="5"/>
  <c r="AQ320" i="5"/>
  <c r="AQ321" i="5"/>
  <c r="AQ322" i="5"/>
  <c r="AQ323" i="5"/>
  <c r="AQ324" i="5"/>
  <c r="AQ325" i="5"/>
  <c r="AQ326" i="5"/>
  <c r="AQ327" i="5"/>
  <c r="AQ328" i="5"/>
  <c r="AQ329" i="5"/>
  <c r="AQ330" i="5"/>
  <c r="AQ331" i="5"/>
  <c r="AQ332" i="5"/>
  <c r="AQ333" i="5"/>
  <c r="AQ334" i="5"/>
  <c r="AQ335" i="5"/>
  <c r="AQ336" i="5"/>
  <c r="AQ337" i="5"/>
  <c r="AQ338" i="5"/>
  <c r="AQ339" i="5"/>
  <c r="AQ340" i="5"/>
  <c r="AQ341" i="5"/>
  <c r="AQ342" i="5"/>
  <c r="AQ343" i="5"/>
  <c r="AQ344" i="5"/>
  <c r="AQ345" i="5"/>
  <c r="AQ346" i="5"/>
  <c r="AQ347" i="5"/>
  <c r="AQ348" i="5"/>
  <c r="AQ349" i="5"/>
  <c r="AQ350" i="5"/>
  <c r="AQ351" i="5"/>
  <c r="AQ352" i="5"/>
  <c r="AQ353" i="5"/>
  <c r="AQ354" i="5"/>
  <c r="AQ355" i="5"/>
  <c r="AQ356" i="5"/>
  <c r="AQ357" i="5"/>
  <c r="AQ358" i="5"/>
  <c r="AQ359" i="5"/>
  <c r="AQ360" i="5"/>
  <c r="AQ361" i="5"/>
  <c r="AQ362" i="5"/>
  <c r="AQ363" i="5"/>
  <c r="AQ364" i="5"/>
  <c r="AQ365" i="5"/>
  <c r="AQ366" i="5"/>
  <c r="AQ367" i="5"/>
  <c r="AQ368" i="5"/>
  <c r="AQ369" i="5"/>
  <c r="AQ370" i="5"/>
  <c r="AQ371" i="5"/>
  <c r="AQ372" i="5"/>
  <c r="AQ373" i="5"/>
  <c r="AQ374" i="5"/>
  <c r="AQ375" i="5"/>
  <c r="AQ376" i="5"/>
  <c r="AQ377" i="5"/>
  <c r="AQ378" i="5"/>
  <c r="AQ379" i="5"/>
  <c r="AQ380" i="5"/>
  <c r="AQ381" i="5"/>
  <c r="AQ382" i="5"/>
  <c r="AQ383" i="5"/>
  <c r="AQ384" i="5"/>
  <c r="AQ385" i="5"/>
  <c r="AQ386" i="5"/>
  <c r="AQ387" i="5"/>
  <c r="AQ388" i="5"/>
  <c r="AQ389" i="5"/>
  <c r="AQ390" i="5"/>
  <c r="AQ391" i="5"/>
  <c r="AQ392" i="5"/>
  <c r="AQ393" i="5"/>
  <c r="AQ394" i="5"/>
  <c r="AQ395" i="5"/>
  <c r="AQ396" i="5"/>
  <c r="AQ397" i="5"/>
  <c r="AQ398" i="5"/>
  <c r="AQ399" i="5"/>
  <c r="AQ400" i="5"/>
  <c r="AQ401" i="5"/>
  <c r="AQ402" i="5"/>
  <c r="AQ403" i="5"/>
  <c r="AQ404" i="5"/>
  <c r="AQ405" i="5"/>
  <c r="AQ406" i="5"/>
  <c r="AQ407" i="5"/>
  <c r="AQ408" i="5"/>
  <c r="AQ409" i="5"/>
  <c r="AQ410" i="5"/>
  <c r="AQ411" i="5"/>
  <c r="AQ412" i="5"/>
  <c r="AQ413" i="5"/>
  <c r="AQ414" i="5"/>
  <c r="AQ415" i="5"/>
  <c r="AQ416" i="5"/>
  <c r="AQ417" i="5"/>
  <c r="AQ418" i="5"/>
  <c r="AQ419" i="5"/>
  <c r="AQ420" i="5"/>
  <c r="AQ421" i="5"/>
  <c r="AQ422" i="5"/>
  <c r="AQ423" i="5"/>
  <c r="AQ424" i="5"/>
  <c r="AQ425" i="5"/>
  <c r="AQ426" i="5"/>
  <c r="AQ427" i="5"/>
  <c r="AQ428" i="5"/>
  <c r="AQ429" i="5"/>
  <c r="AQ430" i="5"/>
  <c r="AQ431" i="5"/>
  <c r="AQ432" i="5"/>
  <c r="AQ433" i="5"/>
  <c r="AQ434" i="5"/>
  <c r="AQ435" i="5"/>
  <c r="AQ436" i="5"/>
  <c r="AQ437" i="5"/>
  <c r="AQ438" i="5"/>
  <c r="AQ439" i="5"/>
  <c r="AQ440" i="5"/>
  <c r="AQ441" i="5"/>
  <c r="AQ442" i="5"/>
  <c r="AQ443" i="5"/>
  <c r="AQ444" i="5"/>
  <c r="AQ445" i="5"/>
  <c r="AQ446" i="5"/>
  <c r="AQ447" i="5"/>
  <c r="AQ448" i="5"/>
  <c r="AQ449" i="5"/>
  <c r="AQ450" i="5"/>
  <c r="AQ451" i="5"/>
  <c r="AQ452" i="5"/>
  <c r="AQ453" i="5"/>
  <c r="AQ454" i="5"/>
  <c r="AQ455" i="5"/>
  <c r="AQ456" i="5"/>
  <c r="AQ457" i="5"/>
  <c r="AQ458" i="5"/>
  <c r="AQ459" i="5"/>
  <c r="AQ460" i="5"/>
  <c r="AQ461" i="5"/>
  <c r="AQ462" i="5"/>
  <c r="AQ463" i="5"/>
  <c r="AQ464" i="5"/>
  <c r="AQ465" i="5"/>
  <c r="AQ466" i="5"/>
  <c r="AQ467" i="5"/>
  <c r="AQ468" i="5"/>
  <c r="AQ469" i="5"/>
  <c r="AQ470" i="5"/>
  <c r="AQ471" i="5"/>
  <c r="AQ472" i="5"/>
  <c r="AQ473" i="5"/>
  <c r="AQ474" i="5"/>
  <c r="AQ475" i="5"/>
  <c r="AQ476" i="5"/>
  <c r="AQ477" i="5"/>
  <c r="AQ478" i="5"/>
  <c r="AQ479" i="5"/>
  <c r="AQ480" i="5"/>
  <c r="AQ481" i="5"/>
  <c r="AQ482" i="5"/>
  <c r="AQ483" i="5"/>
  <c r="AQ484" i="5"/>
  <c r="AQ485" i="5"/>
  <c r="AQ486" i="5"/>
  <c r="AQ487" i="5"/>
  <c r="AQ488" i="5"/>
  <c r="AQ489" i="5"/>
  <c r="AQ490" i="5"/>
  <c r="AQ491" i="5"/>
  <c r="AQ492" i="5"/>
  <c r="AQ493" i="5"/>
  <c r="AQ494" i="5"/>
  <c r="AQ495" i="5"/>
  <c r="AQ496" i="5"/>
  <c r="AQ497" i="5"/>
  <c r="AQ498" i="5"/>
  <c r="AQ499" i="5"/>
  <c r="AQ500" i="5"/>
  <c r="AQ501" i="5"/>
  <c r="AQ502" i="5"/>
  <c r="AQ503" i="5"/>
  <c r="AQ504" i="5"/>
  <c r="AQ505" i="5"/>
  <c r="AQ506" i="5"/>
  <c r="AQ507" i="5"/>
  <c r="AQ508" i="5"/>
  <c r="AQ509" i="5"/>
  <c r="AQ510" i="5"/>
  <c r="AQ511" i="5"/>
  <c r="AQ512" i="5"/>
  <c r="AQ513" i="5"/>
  <c r="AQ514" i="5"/>
  <c r="AQ515" i="5"/>
  <c r="AQ516" i="5"/>
  <c r="AQ517" i="5"/>
  <c r="AQ518" i="5"/>
  <c r="AQ519" i="5"/>
  <c r="AQ520" i="5"/>
  <c r="AQ521" i="5"/>
  <c r="AQ522" i="5"/>
  <c r="AQ523" i="5"/>
  <c r="AQ524" i="5"/>
  <c r="AQ525" i="5"/>
  <c r="AQ526" i="5"/>
  <c r="AQ527" i="5"/>
  <c r="AQ528" i="5"/>
  <c r="AQ529" i="5"/>
  <c r="AQ530" i="5"/>
  <c r="AQ531" i="5"/>
  <c r="AQ532" i="5"/>
  <c r="AQ533" i="5"/>
  <c r="AQ534" i="5"/>
  <c r="AQ535" i="5"/>
  <c r="AQ536" i="5"/>
  <c r="AQ537" i="5"/>
  <c r="AQ538" i="5"/>
  <c r="AQ539" i="5"/>
  <c r="AQ540" i="5"/>
  <c r="AQ541" i="5"/>
  <c r="AQ542" i="5"/>
  <c r="AQ543" i="5"/>
  <c r="AQ544" i="5"/>
  <c r="AQ545" i="5"/>
  <c r="AQ546" i="5"/>
  <c r="AQ547" i="5"/>
  <c r="AQ548" i="5"/>
  <c r="AQ549" i="5"/>
  <c r="AQ550" i="5"/>
  <c r="AQ551" i="5"/>
  <c r="AQ552" i="5"/>
  <c r="AQ553" i="5"/>
  <c r="AQ554" i="5"/>
  <c r="AQ555" i="5"/>
  <c r="AQ556" i="5"/>
  <c r="AQ557" i="5"/>
  <c r="AQ558" i="5"/>
  <c r="AQ559" i="5"/>
  <c r="AQ560" i="5"/>
  <c r="AQ561" i="5"/>
  <c r="AQ562" i="5"/>
  <c r="AQ563" i="5"/>
  <c r="AQ564" i="5"/>
  <c r="AQ565" i="5"/>
  <c r="AQ566" i="5"/>
  <c r="AQ567" i="5"/>
  <c r="AQ568" i="5"/>
  <c r="AQ569" i="5"/>
  <c r="AQ570" i="5"/>
  <c r="AQ571" i="5"/>
  <c r="AQ572" i="5"/>
  <c r="AQ573" i="5"/>
  <c r="AQ574" i="5"/>
  <c r="AQ575" i="5"/>
  <c r="AQ576" i="5"/>
  <c r="AQ577" i="5"/>
  <c r="AQ578" i="5"/>
  <c r="AQ579" i="5"/>
  <c r="AQ580" i="5"/>
  <c r="AQ581" i="5"/>
  <c r="AQ582" i="5"/>
  <c r="AQ583" i="5"/>
  <c r="AQ584" i="5"/>
  <c r="AQ585" i="5"/>
  <c r="AQ586" i="5"/>
  <c r="AQ587" i="5"/>
  <c r="AQ588" i="5"/>
  <c r="AQ589" i="5"/>
  <c r="AQ590" i="5"/>
  <c r="AQ591" i="5"/>
  <c r="AQ592" i="5"/>
  <c r="AQ593" i="5"/>
  <c r="AQ594" i="5"/>
  <c r="AQ595" i="5"/>
  <c r="AQ596" i="5"/>
  <c r="AQ597" i="5"/>
  <c r="AQ598" i="5"/>
  <c r="AQ599" i="5"/>
  <c r="AQ600" i="5"/>
  <c r="AQ601" i="5"/>
  <c r="AQ602" i="5"/>
  <c r="AQ603" i="5"/>
  <c r="AQ604" i="5"/>
  <c r="AQ605" i="5"/>
  <c r="AQ606" i="5"/>
  <c r="AQ607" i="5"/>
  <c r="AQ608" i="5"/>
  <c r="AQ609" i="5"/>
  <c r="AQ610" i="5"/>
  <c r="AQ611" i="5"/>
  <c r="AQ612" i="5"/>
  <c r="AQ613" i="5"/>
  <c r="AQ614" i="5"/>
  <c r="AQ615" i="5"/>
  <c r="AQ616" i="5"/>
  <c r="AQ617" i="5"/>
  <c r="AQ618" i="5"/>
  <c r="AQ619" i="5"/>
  <c r="AQ620" i="5"/>
  <c r="AQ621" i="5"/>
  <c r="AQ622" i="5"/>
  <c r="AQ623" i="5"/>
  <c r="AQ624" i="5"/>
  <c r="AQ625" i="5"/>
  <c r="AQ626" i="5"/>
  <c r="AQ627" i="5"/>
  <c r="AQ628" i="5"/>
  <c r="AQ629" i="5"/>
  <c r="AQ630" i="5"/>
  <c r="AQ631" i="5"/>
  <c r="AQ632" i="5"/>
  <c r="AQ633" i="5"/>
  <c r="AQ634" i="5"/>
  <c r="AQ635" i="5"/>
  <c r="AQ636" i="5"/>
  <c r="AQ637" i="5"/>
  <c r="AQ638" i="5"/>
  <c r="AQ639" i="5"/>
  <c r="AQ640" i="5"/>
  <c r="AQ641" i="5"/>
  <c r="AQ642" i="5"/>
  <c r="AQ643" i="5"/>
  <c r="AQ644" i="5"/>
  <c r="AQ645" i="5"/>
  <c r="AQ646" i="5"/>
  <c r="AQ647" i="5"/>
  <c r="AQ648" i="5"/>
  <c r="AQ649" i="5"/>
  <c r="AQ650" i="5"/>
  <c r="AQ651" i="5"/>
  <c r="AQ652" i="5"/>
  <c r="AQ653" i="5"/>
  <c r="AQ654" i="5"/>
  <c r="AQ655" i="5"/>
  <c r="AQ656" i="5"/>
  <c r="AQ657" i="5"/>
  <c r="AQ658" i="5"/>
  <c r="AQ659" i="5"/>
  <c r="AQ660" i="5"/>
  <c r="AQ661" i="5"/>
  <c r="AQ662" i="5"/>
  <c r="AQ663" i="5"/>
  <c r="AQ664" i="5"/>
  <c r="AQ665" i="5"/>
  <c r="AQ666" i="5"/>
  <c r="AQ667" i="5"/>
  <c r="AQ668" i="5"/>
  <c r="AQ669" i="5"/>
  <c r="AQ670" i="5"/>
  <c r="AQ671" i="5"/>
  <c r="AQ672" i="5"/>
  <c r="AQ673" i="5"/>
  <c r="AQ674" i="5"/>
  <c r="AQ675" i="5"/>
  <c r="AQ676" i="5"/>
  <c r="AQ677" i="5"/>
  <c r="AQ678" i="5"/>
  <c r="AQ679" i="5"/>
  <c r="AQ680" i="5"/>
  <c r="AQ681" i="5"/>
  <c r="AQ682" i="5"/>
  <c r="AQ683" i="5"/>
  <c r="AQ684" i="5"/>
  <c r="AQ685" i="5"/>
  <c r="AQ686" i="5"/>
  <c r="AQ687" i="5"/>
  <c r="AQ688" i="5"/>
  <c r="AQ689" i="5"/>
  <c r="AQ690" i="5"/>
  <c r="AQ691" i="5"/>
  <c r="AQ692" i="5"/>
  <c r="AQ693" i="5"/>
  <c r="AQ694" i="5"/>
  <c r="AQ695" i="5"/>
  <c r="AQ696" i="5"/>
  <c r="AQ697" i="5"/>
  <c r="AQ698" i="5"/>
  <c r="AQ699" i="5"/>
  <c r="AQ700" i="5"/>
  <c r="AQ701" i="5"/>
  <c r="AQ702" i="5"/>
  <c r="AQ703" i="5"/>
  <c r="AQ704" i="5"/>
  <c r="AQ705" i="5"/>
  <c r="AQ706" i="5"/>
  <c r="AQ707" i="5"/>
  <c r="AQ708" i="5"/>
  <c r="AQ709" i="5"/>
  <c r="AQ710" i="5"/>
  <c r="AQ711" i="5"/>
  <c r="AQ712" i="5"/>
  <c r="AQ713" i="5"/>
  <c r="AQ714" i="5"/>
  <c r="AQ715" i="5"/>
  <c r="AQ716" i="5"/>
  <c r="AQ717" i="5"/>
  <c r="AQ718" i="5"/>
  <c r="AQ719" i="5"/>
  <c r="AQ720" i="5"/>
  <c r="AQ721" i="5"/>
  <c r="AQ722" i="5"/>
  <c r="AQ723" i="5"/>
  <c r="AQ724" i="5"/>
  <c r="AQ725" i="5"/>
  <c r="AQ726" i="5"/>
  <c r="AQ727" i="5"/>
  <c r="AQ728" i="5"/>
  <c r="AQ729" i="5"/>
  <c r="AQ730" i="5"/>
  <c r="AQ731" i="5"/>
  <c r="AQ732" i="5"/>
  <c r="AQ733" i="5"/>
  <c r="AQ734" i="5"/>
  <c r="AQ735" i="5"/>
  <c r="AQ736" i="5"/>
  <c r="AQ737" i="5"/>
  <c r="AQ738" i="5"/>
  <c r="AQ739" i="5"/>
  <c r="AQ740" i="5"/>
  <c r="AQ741" i="5"/>
  <c r="AQ742" i="5"/>
  <c r="AQ743" i="5"/>
  <c r="AQ744" i="5"/>
  <c r="AQ745" i="5"/>
  <c r="AQ746" i="5"/>
  <c r="AQ747" i="5"/>
  <c r="AQ748" i="5"/>
  <c r="AQ749" i="5"/>
  <c r="AQ750" i="5"/>
  <c r="AQ751" i="5"/>
  <c r="AQ752" i="5"/>
  <c r="AQ753" i="5"/>
  <c r="AQ754" i="5"/>
  <c r="AQ755" i="5"/>
  <c r="AQ756" i="5"/>
  <c r="AQ757" i="5"/>
  <c r="AQ758" i="5"/>
  <c r="AQ759" i="5"/>
  <c r="AQ760" i="5"/>
  <c r="AQ761" i="5"/>
  <c r="AQ762" i="5"/>
  <c r="AQ763" i="5"/>
  <c r="AQ764" i="5"/>
  <c r="AQ765" i="5"/>
  <c r="AQ766" i="5"/>
  <c r="AQ767" i="5"/>
  <c r="AQ768" i="5"/>
  <c r="AQ769" i="5"/>
  <c r="AQ770" i="5"/>
  <c r="AQ771" i="5"/>
  <c r="AQ772" i="5"/>
  <c r="AQ773" i="5"/>
  <c r="AQ774" i="5"/>
  <c r="AQ775" i="5"/>
  <c r="AQ776" i="5"/>
  <c r="AQ777" i="5"/>
  <c r="AQ778" i="5"/>
  <c r="AQ779" i="5"/>
  <c r="AQ780" i="5"/>
  <c r="AQ781" i="5"/>
  <c r="AQ782" i="5"/>
  <c r="AQ783" i="5"/>
  <c r="AQ784" i="5"/>
  <c r="AQ785" i="5"/>
  <c r="AQ786" i="5"/>
  <c r="AQ787" i="5"/>
  <c r="AQ788" i="5"/>
  <c r="AQ789" i="5"/>
  <c r="AQ790" i="5"/>
  <c r="AQ791" i="5"/>
  <c r="AQ792" i="5"/>
  <c r="AQ793" i="5"/>
  <c r="AQ794" i="5"/>
  <c r="AQ795" i="5"/>
  <c r="AQ796" i="5"/>
  <c r="AQ797" i="5"/>
  <c r="AQ798" i="5"/>
  <c r="AQ799" i="5"/>
  <c r="AQ800" i="5"/>
  <c r="AQ801" i="5"/>
  <c r="AQ802" i="5"/>
  <c r="AQ803" i="5"/>
  <c r="AQ804" i="5"/>
  <c r="AQ805" i="5"/>
  <c r="AQ806" i="5"/>
  <c r="AQ807" i="5"/>
  <c r="AQ808" i="5"/>
  <c r="AQ809" i="5"/>
  <c r="AQ810" i="5"/>
  <c r="AQ811" i="5"/>
  <c r="AQ812" i="5"/>
  <c r="AQ813" i="5"/>
  <c r="AQ814" i="5"/>
  <c r="AQ815" i="5"/>
  <c r="AQ816" i="5"/>
  <c r="AQ817" i="5"/>
  <c r="AQ818" i="5"/>
  <c r="AQ819" i="5"/>
  <c r="AQ820" i="5"/>
  <c r="AQ821" i="5"/>
  <c r="AQ822" i="5"/>
  <c r="AQ823" i="5"/>
  <c r="AQ824" i="5"/>
  <c r="AQ825" i="5"/>
  <c r="AQ826" i="5"/>
  <c r="AQ827" i="5"/>
  <c r="AQ828" i="5"/>
  <c r="AQ829" i="5"/>
  <c r="AQ830" i="5"/>
  <c r="AQ831" i="5"/>
  <c r="AQ832" i="5"/>
  <c r="AQ833" i="5"/>
  <c r="AQ834" i="5"/>
  <c r="AQ835" i="5"/>
  <c r="AQ836" i="5"/>
  <c r="AQ837" i="5"/>
  <c r="AQ838" i="5"/>
  <c r="AQ839" i="5"/>
  <c r="AQ840" i="5"/>
  <c r="AQ841" i="5"/>
  <c r="AQ842" i="5"/>
  <c r="AQ843" i="5"/>
  <c r="AQ844" i="5"/>
  <c r="AQ845" i="5"/>
  <c r="AQ846" i="5"/>
  <c r="AQ847" i="5"/>
  <c r="AQ848" i="5"/>
  <c r="AQ849" i="5"/>
  <c r="AQ850" i="5"/>
  <c r="AQ851" i="5"/>
  <c r="AQ852" i="5"/>
  <c r="AQ853" i="5"/>
  <c r="AQ854" i="5"/>
  <c r="AQ855" i="5"/>
  <c r="AQ856" i="5"/>
  <c r="AQ857" i="5"/>
  <c r="AQ858" i="5"/>
  <c r="AQ859" i="5"/>
  <c r="AQ860" i="5"/>
  <c r="AQ861" i="5"/>
  <c r="AQ862" i="5"/>
  <c r="AQ863" i="5"/>
  <c r="AQ864" i="5"/>
  <c r="AQ865" i="5"/>
  <c r="AQ866" i="5"/>
  <c r="AQ867" i="5"/>
  <c r="AQ868" i="5"/>
  <c r="AQ869" i="5"/>
  <c r="AQ870" i="5"/>
  <c r="AQ871" i="5"/>
  <c r="AQ872" i="5"/>
  <c r="AQ873" i="5"/>
  <c r="AQ874" i="5"/>
  <c r="AQ875" i="5"/>
  <c r="AQ876" i="5"/>
  <c r="AQ877" i="5"/>
  <c r="AQ878" i="5"/>
  <c r="AQ879" i="5"/>
  <c r="AQ880" i="5"/>
  <c r="AQ881" i="5"/>
  <c r="AQ882" i="5"/>
  <c r="AQ883" i="5"/>
  <c r="AQ884" i="5"/>
  <c r="AQ885" i="5"/>
  <c r="AQ886" i="5"/>
  <c r="AQ887" i="5"/>
  <c r="AQ888" i="5"/>
  <c r="AQ889" i="5"/>
  <c r="AQ890" i="5"/>
  <c r="AQ891" i="5"/>
  <c r="AQ892" i="5"/>
  <c r="AQ893" i="5"/>
  <c r="AQ894" i="5"/>
  <c r="AQ895" i="5"/>
  <c r="AQ896" i="5"/>
  <c r="AQ897" i="5"/>
  <c r="AQ898" i="5"/>
  <c r="AQ899" i="5"/>
  <c r="AQ900" i="5"/>
  <c r="AQ901" i="5"/>
  <c r="AQ902" i="5"/>
  <c r="AQ903" i="5"/>
  <c r="AQ904" i="5"/>
  <c r="AQ905" i="5"/>
  <c r="AQ906" i="5"/>
  <c r="AQ907" i="5"/>
  <c r="AQ908" i="5"/>
  <c r="AQ909" i="5"/>
  <c r="AQ910" i="5"/>
  <c r="AQ911" i="5"/>
  <c r="AQ912" i="5"/>
  <c r="AQ913" i="5"/>
  <c r="AQ914" i="5"/>
  <c r="AQ915" i="5"/>
  <c r="AQ916" i="5"/>
  <c r="AQ917" i="5"/>
  <c r="AQ918" i="5"/>
  <c r="AQ919" i="5"/>
  <c r="AQ920" i="5"/>
  <c r="AQ921" i="5"/>
  <c r="AQ922" i="5"/>
  <c r="AQ923" i="5"/>
  <c r="AQ924" i="5"/>
  <c r="AQ925" i="5"/>
  <c r="AQ926" i="5"/>
  <c r="AQ927" i="5"/>
  <c r="AQ928" i="5"/>
  <c r="AQ929" i="5"/>
  <c r="AQ930" i="5"/>
  <c r="AQ931" i="5"/>
  <c r="AQ932" i="5"/>
  <c r="AQ933" i="5"/>
  <c r="AQ934" i="5"/>
  <c r="AQ935" i="5"/>
  <c r="AQ936" i="5"/>
  <c r="AQ937" i="5"/>
  <c r="AQ938" i="5"/>
  <c r="AQ939" i="5"/>
  <c r="AQ940" i="5"/>
  <c r="AQ941" i="5"/>
  <c r="AQ942" i="5"/>
  <c r="AQ943" i="5"/>
  <c r="AQ944" i="5"/>
  <c r="AQ945" i="5"/>
  <c r="AQ946" i="5"/>
  <c r="AQ947" i="5"/>
  <c r="AQ948" i="5"/>
  <c r="AQ949" i="5"/>
  <c r="AQ950" i="5"/>
  <c r="AQ951" i="5"/>
  <c r="AQ952" i="5"/>
  <c r="AQ953" i="5"/>
  <c r="AQ954" i="5"/>
  <c r="AQ955" i="5"/>
  <c r="AQ956" i="5"/>
  <c r="AQ957" i="5"/>
  <c r="AQ958" i="5"/>
  <c r="AQ959" i="5"/>
  <c r="AQ960" i="5"/>
  <c r="AQ961" i="5"/>
  <c r="AQ962" i="5"/>
  <c r="AQ963" i="5"/>
  <c r="AQ964" i="5"/>
  <c r="AQ965" i="5"/>
  <c r="AQ966" i="5"/>
  <c r="AQ967" i="5"/>
  <c r="AQ968" i="5"/>
  <c r="AQ969" i="5"/>
  <c r="AQ970" i="5"/>
  <c r="AQ971" i="5"/>
  <c r="AQ972" i="5"/>
  <c r="AQ973" i="5"/>
  <c r="AQ974" i="5"/>
  <c r="AQ975" i="5"/>
  <c r="AQ976" i="5"/>
  <c r="AQ977" i="5"/>
  <c r="AQ978" i="5"/>
  <c r="AQ979" i="5"/>
  <c r="AQ980" i="5"/>
  <c r="AQ981" i="5"/>
  <c r="AQ982" i="5"/>
  <c r="AQ983" i="5"/>
  <c r="AQ984" i="5"/>
  <c r="AQ985" i="5"/>
  <c r="AQ986" i="5"/>
  <c r="AQ987" i="5"/>
  <c r="AQ988" i="5"/>
  <c r="AQ989" i="5"/>
  <c r="AQ990" i="5"/>
  <c r="AQ991" i="5"/>
  <c r="AQ992" i="5"/>
  <c r="AQ993" i="5"/>
  <c r="AQ994" i="5"/>
  <c r="AQ995" i="5"/>
  <c r="AQ996" i="5"/>
  <c r="AQ997" i="5"/>
  <c r="AQ998" i="5"/>
  <c r="AQ999" i="5"/>
  <c r="AQ1000" i="5"/>
  <c r="D3" i="5"/>
  <c r="AQ3" i="5" s="1"/>
  <c r="AD1" i="10" l="1"/>
  <c r="C3" i="5"/>
  <c r="AH3" i="5" s="1"/>
  <c r="AP1000" i="10" l="1"/>
  <c r="AE1000" i="10"/>
  <c r="AB1000" i="10"/>
  <c r="AA1000" i="10"/>
  <c r="A1000" i="10"/>
  <c r="AP999" i="10"/>
  <c r="AE999" i="10"/>
  <c r="AB999" i="10"/>
  <c r="AA999" i="10"/>
  <c r="A999" i="10"/>
  <c r="AP998" i="10"/>
  <c r="AE998" i="10"/>
  <c r="AB998" i="10"/>
  <c r="AA998" i="10"/>
  <c r="A998" i="10"/>
  <c r="AP997" i="10"/>
  <c r="AF997" i="10"/>
  <c r="AH997" i="10" s="1"/>
  <c r="AI997" i="10" s="1"/>
  <c r="AE997" i="10"/>
  <c r="AG997" i="10" s="1"/>
  <c r="AJ997" i="10" s="1"/>
  <c r="AB997" i="10"/>
  <c r="AA997" i="10"/>
  <c r="A997" i="10"/>
  <c r="AP996" i="10"/>
  <c r="AE996" i="10"/>
  <c r="AB996" i="10"/>
  <c r="AA996" i="10"/>
  <c r="A996" i="10"/>
  <c r="AP995" i="10"/>
  <c r="AG995" i="10"/>
  <c r="AF995" i="10"/>
  <c r="AH995" i="10" s="1"/>
  <c r="AI995" i="10" s="1"/>
  <c r="AE995" i="10"/>
  <c r="AB995" i="10"/>
  <c r="AA995" i="10"/>
  <c r="A995" i="10"/>
  <c r="AP994" i="10"/>
  <c r="AF994" i="10"/>
  <c r="AH994" i="10" s="1"/>
  <c r="AI994" i="10" s="1"/>
  <c r="AE994" i="10"/>
  <c r="AG994" i="10" s="1"/>
  <c r="AB994" i="10"/>
  <c r="AA994" i="10"/>
  <c r="A994" i="10"/>
  <c r="AP993" i="10"/>
  <c r="AE993" i="10"/>
  <c r="AB993" i="10"/>
  <c r="AA993" i="10"/>
  <c r="A993" i="10"/>
  <c r="AP992" i="10"/>
  <c r="AE992" i="10"/>
  <c r="AB992" i="10"/>
  <c r="AA992" i="10"/>
  <c r="A992" i="10"/>
  <c r="AP991" i="10"/>
  <c r="AF991" i="10"/>
  <c r="AH991" i="10" s="1"/>
  <c r="AI991" i="10" s="1"/>
  <c r="AE991" i="10"/>
  <c r="AG991" i="10" s="1"/>
  <c r="AJ991" i="10" s="1"/>
  <c r="AB991" i="10"/>
  <c r="AA991" i="10"/>
  <c r="A991" i="10"/>
  <c r="AP990" i="10"/>
  <c r="AE990" i="10"/>
  <c r="AB990" i="10"/>
  <c r="AA990" i="10"/>
  <c r="A990" i="10"/>
  <c r="AP989" i="10"/>
  <c r="AG989" i="10"/>
  <c r="AJ989" i="10" s="1"/>
  <c r="AF989" i="10"/>
  <c r="AH989" i="10" s="1"/>
  <c r="AI989" i="10" s="1"/>
  <c r="AE989" i="10"/>
  <c r="AB989" i="10"/>
  <c r="AA989" i="10"/>
  <c r="A989" i="10"/>
  <c r="AP988" i="10"/>
  <c r="AH988" i="10"/>
  <c r="AI988" i="10" s="1"/>
  <c r="AF988" i="10"/>
  <c r="AE988" i="10"/>
  <c r="AG988" i="10" s="1"/>
  <c r="AB988" i="10"/>
  <c r="AA988" i="10"/>
  <c r="A988" i="10"/>
  <c r="AP987" i="10"/>
  <c r="AG987" i="10"/>
  <c r="AF987" i="10"/>
  <c r="AH987" i="10" s="1"/>
  <c r="AI987" i="10" s="1"/>
  <c r="AJ987" i="10" s="1"/>
  <c r="AE987" i="10"/>
  <c r="AB987" i="10"/>
  <c r="AA987" i="10"/>
  <c r="A987" i="10"/>
  <c r="AP986" i="10"/>
  <c r="AE986" i="10"/>
  <c r="AB986" i="10"/>
  <c r="AA986" i="10"/>
  <c r="A986" i="10"/>
  <c r="AP985" i="10"/>
  <c r="AG985" i="10"/>
  <c r="AF985" i="10"/>
  <c r="AH985" i="10" s="1"/>
  <c r="AI985" i="10" s="1"/>
  <c r="AE985" i="10"/>
  <c r="AB985" i="10"/>
  <c r="AA985" i="10"/>
  <c r="A985" i="10"/>
  <c r="AP984" i="10"/>
  <c r="AI984" i="10"/>
  <c r="AH984" i="10"/>
  <c r="AF984" i="10"/>
  <c r="AE984" i="10"/>
  <c r="AG984" i="10" s="1"/>
  <c r="AB984" i="10"/>
  <c r="AA984" i="10"/>
  <c r="A984" i="10"/>
  <c r="AP983" i="10"/>
  <c r="AE983" i="10"/>
  <c r="AB983" i="10"/>
  <c r="AA983" i="10"/>
  <c r="A983" i="10"/>
  <c r="AP982" i="10"/>
  <c r="AF982" i="10"/>
  <c r="AH982" i="10" s="1"/>
  <c r="AI982" i="10" s="1"/>
  <c r="AE982" i="10"/>
  <c r="AG982" i="10" s="1"/>
  <c r="AB982" i="10"/>
  <c r="AA982" i="10"/>
  <c r="A982" i="10"/>
  <c r="AP981" i="10"/>
  <c r="AE981" i="10"/>
  <c r="AB981" i="10"/>
  <c r="AA981" i="10"/>
  <c r="A981" i="10"/>
  <c r="AP980" i="10"/>
  <c r="AE980" i="10"/>
  <c r="AB980" i="10"/>
  <c r="AA980" i="10"/>
  <c r="A980" i="10"/>
  <c r="AP979" i="10"/>
  <c r="AG979" i="10"/>
  <c r="AF979" i="10"/>
  <c r="AH979" i="10" s="1"/>
  <c r="AI979" i="10" s="1"/>
  <c r="AE979" i="10"/>
  <c r="AB979" i="10"/>
  <c r="AA979" i="10"/>
  <c r="A979" i="10"/>
  <c r="AP978" i="10"/>
  <c r="AE978" i="10"/>
  <c r="AB978" i="10"/>
  <c r="AA978" i="10"/>
  <c r="A978" i="10"/>
  <c r="AP977" i="10"/>
  <c r="AG977" i="10"/>
  <c r="AF977" i="10"/>
  <c r="AH977" i="10" s="1"/>
  <c r="AI977" i="10" s="1"/>
  <c r="AE977" i="10"/>
  <c r="AB977" i="10"/>
  <c r="AA977" i="10"/>
  <c r="A977" i="10"/>
  <c r="AP976" i="10"/>
  <c r="AF976" i="10"/>
  <c r="AH976" i="10" s="1"/>
  <c r="AI976" i="10" s="1"/>
  <c r="AE976" i="10"/>
  <c r="AG976" i="10" s="1"/>
  <c r="AB976" i="10"/>
  <c r="AA976" i="10"/>
  <c r="A976" i="10"/>
  <c r="AP975" i="10"/>
  <c r="AF975" i="10"/>
  <c r="AH975" i="10" s="1"/>
  <c r="AI975" i="10" s="1"/>
  <c r="AJ975" i="10" s="1"/>
  <c r="AE975" i="10"/>
  <c r="AG975" i="10" s="1"/>
  <c r="AB975" i="10"/>
  <c r="AA975" i="10"/>
  <c r="A975" i="10"/>
  <c r="AP974" i="10"/>
  <c r="AE974" i="10"/>
  <c r="AB974" i="10"/>
  <c r="AA974" i="10"/>
  <c r="A974" i="10"/>
  <c r="AP973" i="10"/>
  <c r="AG973" i="10"/>
  <c r="AF973" i="10"/>
  <c r="AH973" i="10" s="1"/>
  <c r="AI973" i="10" s="1"/>
  <c r="AE973" i="10"/>
  <c r="AB973" i="10"/>
  <c r="AA973" i="10"/>
  <c r="A973" i="10"/>
  <c r="AP972" i="10"/>
  <c r="AH972" i="10"/>
  <c r="AI972" i="10" s="1"/>
  <c r="AF972" i="10"/>
  <c r="AE972" i="10"/>
  <c r="AG972" i="10" s="1"/>
  <c r="AB972" i="10"/>
  <c r="AA972" i="10"/>
  <c r="A972" i="10"/>
  <c r="AP971" i="10"/>
  <c r="AG971" i="10"/>
  <c r="AF971" i="10"/>
  <c r="AH971" i="10" s="1"/>
  <c r="AI971" i="10" s="1"/>
  <c r="AJ971" i="10" s="1"/>
  <c r="AE971" i="10"/>
  <c r="AB971" i="10"/>
  <c r="AA971" i="10"/>
  <c r="A971" i="10"/>
  <c r="AP970" i="10"/>
  <c r="AE970" i="10"/>
  <c r="AB970" i="10"/>
  <c r="AA970" i="10"/>
  <c r="A970" i="10"/>
  <c r="AP969" i="10"/>
  <c r="AG969" i="10"/>
  <c r="AF969" i="10"/>
  <c r="AH969" i="10" s="1"/>
  <c r="AI969" i="10" s="1"/>
  <c r="AE969" i="10"/>
  <c r="AB969" i="10"/>
  <c r="AA969" i="10"/>
  <c r="A969" i="10"/>
  <c r="AP968" i="10"/>
  <c r="AI968" i="10"/>
  <c r="AH968" i="10"/>
  <c r="AF968" i="10"/>
  <c r="AE968" i="10"/>
  <c r="AG968" i="10" s="1"/>
  <c r="AB968" i="10"/>
  <c r="AA968" i="10"/>
  <c r="A968" i="10"/>
  <c r="AP967" i="10"/>
  <c r="AE967" i="10"/>
  <c r="AB967" i="10"/>
  <c r="AA967" i="10"/>
  <c r="A967" i="10"/>
  <c r="AP966" i="10"/>
  <c r="AF966" i="10"/>
  <c r="AH966" i="10" s="1"/>
  <c r="AI966" i="10" s="1"/>
  <c r="AE966" i="10"/>
  <c r="AG966" i="10" s="1"/>
  <c r="AB966" i="10"/>
  <c r="AA966" i="10"/>
  <c r="A966" i="10"/>
  <c r="AP965" i="10"/>
  <c r="AE965" i="10"/>
  <c r="AB965" i="10"/>
  <c r="AA965" i="10"/>
  <c r="A965" i="10"/>
  <c r="AP964" i="10"/>
  <c r="AE964" i="10"/>
  <c r="AB964" i="10"/>
  <c r="AA964" i="10"/>
  <c r="A964" i="10"/>
  <c r="AP963" i="10"/>
  <c r="AG963" i="10"/>
  <c r="AF963" i="10"/>
  <c r="AH963" i="10" s="1"/>
  <c r="AI963" i="10" s="1"/>
  <c r="AE963" i="10"/>
  <c r="AB963" i="10"/>
  <c r="AA963" i="10"/>
  <c r="A963" i="10"/>
  <c r="AP962" i="10"/>
  <c r="AE962" i="10"/>
  <c r="AB962" i="10"/>
  <c r="AA962" i="10"/>
  <c r="A962" i="10"/>
  <c r="AP961" i="10"/>
  <c r="AG961" i="10"/>
  <c r="AF961" i="10"/>
  <c r="AH961" i="10" s="1"/>
  <c r="AI961" i="10" s="1"/>
  <c r="AE961" i="10"/>
  <c r="AB961" i="10"/>
  <c r="AA961" i="10"/>
  <c r="A961" i="10"/>
  <c r="AP960" i="10"/>
  <c r="AF960" i="10"/>
  <c r="AH960" i="10" s="1"/>
  <c r="AI960" i="10" s="1"/>
  <c r="AE960" i="10"/>
  <c r="AG960" i="10" s="1"/>
  <c r="AB960" i="10"/>
  <c r="AA960" i="10"/>
  <c r="A960" i="10"/>
  <c r="AP959" i="10"/>
  <c r="AF959" i="10"/>
  <c r="AH959" i="10" s="1"/>
  <c r="AI959" i="10" s="1"/>
  <c r="AJ959" i="10" s="1"/>
  <c r="AE959" i="10"/>
  <c r="AG959" i="10" s="1"/>
  <c r="AB959" i="10"/>
  <c r="AA959" i="10"/>
  <c r="A959" i="10"/>
  <c r="AP958" i="10"/>
  <c r="AE958" i="10"/>
  <c r="AB958" i="10"/>
  <c r="AA958" i="10"/>
  <c r="A958" i="10"/>
  <c r="AP957" i="10"/>
  <c r="AG957" i="10"/>
  <c r="AF957" i="10"/>
  <c r="AH957" i="10" s="1"/>
  <c r="AI957" i="10" s="1"/>
  <c r="AE957" i="10"/>
  <c r="AB957" i="10"/>
  <c r="AA957" i="10"/>
  <c r="A957" i="10"/>
  <c r="AP956" i="10"/>
  <c r="AH956" i="10"/>
  <c r="AI956" i="10" s="1"/>
  <c r="AF956" i="10"/>
  <c r="AE956" i="10"/>
  <c r="AG956" i="10" s="1"/>
  <c r="AB956" i="10"/>
  <c r="AA956" i="10"/>
  <c r="A956" i="10"/>
  <c r="AP955" i="10"/>
  <c r="AG955" i="10"/>
  <c r="AF955" i="10"/>
  <c r="AH955" i="10" s="1"/>
  <c r="AI955" i="10" s="1"/>
  <c r="AJ955" i="10" s="1"/>
  <c r="AE955" i="10"/>
  <c r="AB955" i="10"/>
  <c r="AA955" i="10"/>
  <c r="A955" i="10"/>
  <c r="AP954" i="10"/>
  <c r="AF954" i="10"/>
  <c r="AH954" i="10" s="1"/>
  <c r="AI954" i="10" s="1"/>
  <c r="AE954" i="10"/>
  <c r="AG954" i="10" s="1"/>
  <c r="AB954" i="10"/>
  <c r="AA954" i="10"/>
  <c r="A954" i="10"/>
  <c r="AP953" i="10"/>
  <c r="AE953" i="10"/>
  <c r="AB953" i="10"/>
  <c r="AA953" i="10"/>
  <c r="A953" i="10"/>
  <c r="AP952" i="10"/>
  <c r="AE952" i="10"/>
  <c r="AB952" i="10"/>
  <c r="AA952" i="10"/>
  <c r="A952" i="10"/>
  <c r="AP951" i="10"/>
  <c r="AF951" i="10"/>
  <c r="AH951" i="10" s="1"/>
  <c r="AI951" i="10" s="1"/>
  <c r="AJ951" i="10" s="1"/>
  <c r="AE951" i="10"/>
  <c r="AG951" i="10" s="1"/>
  <c r="AB951" i="10"/>
  <c r="AA951" i="10"/>
  <c r="A951" i="10"/>
  <c r="AP950" i="10"/>
  <c r="AE950" i="10"/>
  <c r="AB950" i="10"/>
  <c r="AA950" i="10"/>
  <c r="A950" i="10"/>
  <c r="AP949" i="10"/>
  <c r="AE949" i="10"/>
  <c r="AB949" i="10"/>
  <c r="AA949" i="10"/>
  <c r="A949" i="10"/>
  <c r="AP948" i="10"/>
  <c r="AE948" i="10"/>
  <c r="AB948" i="10"/>
  <c r="AA948" i="10"/>
  <c r="A948" i="10"/>
  <c r="AP947" i="10"/>
  <c r="AG947" i="10"/>
  <c r="AF947" i="10"/>
  <c r="AH947" i="10" s="1"/>
  <c r="AI947" i="10" s="1"/>
  <c r="AE947" i="10"/>
  <c r="AB947" i="10"/>
  <c r="AA947" i="10"/>
  <c r="A947" i="10"/>
  <c r="AP946" i="10"/>
  <c r="AE946" i="10"/>
  <c r="AB946" i="10"/>
  <c r="AA946" i="10"/>
  <c r="A946" i="10"/>
  <c r="AP945" i="10"/>
  <c r="AG945" i="10"/>
  <c r="AF945" i="10"/>
  <c r="AH945" i="10" s="1"/>
  <c r="AI945" i="10" s="1"/>
  <c r="AE945" i="10"/>
  <c r="AB945" i="10"/>
  <c r="AA945" i="10"/>
  <c r="A945" i="10"/>
  <c r="AP944" i="10"/>
  <c r="AH944" i="10"/>
  <c r="AI944" i="10" s="1"/>
  <c r="AF944" i="10"/>
  <c r="AE944" i="10"/>
  <c r="AG944" i="10" s="1"/>
  <c r="AB944" i="10"/>
  <c r="AA944" i="10"/>
  <c r="A944" i="10"/>
  <c r="AP943" i="10"/>
  <c r="AH943" i="10"/>
  <c r="AI943" i="10" s="1"/>
  <c r="AG943" i="10"/>
  <c r="AJ943" i="10" s="1"/>
  <c r="AF943" i="10"/>
  <c r="AE943" i="10"/>
  <c r="AB943" i="10"/>
  <c r="AA943" i="10"/>
  <c r="A943" i="10"/>
  <c r="AP942" i="10"/>
  <c r="AF942" i="10"/>
  <c r="AH942" i="10" s="1"/>
  <c r="AI942" i="10" s="1"/>
  <c r="AJ942" i="10" s="1"/>
  <c r="AE942" i="10"/>
  <c r="AG942" i="10" s="1"/>
  <c r="AB942" i="10"/>
  <c r="AA942" i="10"/>
  <c r="A942" i="10"/>
  <c r="AP941" i="10"/>
  <c r="AF941" i="10"/>
  <c r="AH941" i="10" s="1"/>
  <c r="AI941" i="10" s="1"/>
  <c r="AE941" i="10"/>
  <c r="AG941" i="10" s="1"/>
  <c r="AB941" i="10"/>
  <c r="AA941" i="10"/>
  <c r="A941" i="10"/>
  <c r="AP940" i="10"/>
  <c r="AE940" i="10"/>
  <c r="AB940" i="10"/>
  <c r="AA940" i="10"/>
  <c r="A940" i="10"/>
  <c r="AP939" i="10"/>
  <c r="AE939" i="10"/>
  <c r="AB939" i="10"/>
  <c r="AA939" i="10"/>
  <c r="A939" i="10"/>
  <c r="AP938" i="10"/>
  <c r="AF938" i="10"/>
  <c r="AH938" i="10" s="1"/>
  <c r="AI938" i="10" s="1"/>
  <c r="AJ938" i="10" s="1"/>
  <c r="AE938" i="10"/>
  <c r="AG938" i="10" s="1"/>
  <c r="AB938" i="10"/>
  <c r="AA938" i="10"/>
  <c r="A938" i="10"/>
  <c r="AP937" i="10"/>
  <c r="AE937" i="10"/>
  <c r="AB937" i="10"/>
  <c r="AA937" i="10"/>
  <c r="A937" i="10"/>
  <c r="AP936" i="10"/>
  <c r="AE936" i="10"/>
  <c r="AB936" i="10"/>
  <c r="AA936" i="10"/>
  <c r="A936" i="10"/>
  <c r="AP935" i="10"/>
  <c r="AG935" i="10"/>
  <c r="AF935" i="10"/>
  <c r="AH935" i="10" s="1"/>
  <c r="AI935" i="10" s="1"/>
  <c r="AE935" i="10"/>
  <c r="AB935" i="10"/>
  <c r="AA935" i="10"/>
  <c r="A935" i="10"/>
  <c r="AP934" i="10"/>
  <c r="AE934" i="10"/>
  <c r="AB934" i="10"/>
  <c r="AA934" i="10"/>
  <c r="A934" i="10"/>
  <c r="AP933" i="10"/>
  <c r="AG933" i="10"/>
  <c r="AF933" i="10"/>
  <c r="AH933" i="10" s="1"/>
  <c r="AI933" i="10" s="1"/>
  <c r="AE933" i="10"/>
  <c r="AB933" i="10"/>
  <c r="AA933" i="10"/>
  <c r="A933" i="10"/>
  <c r="AP932" i="10"/>
  <c r="AH932" i="10"/>
  <c r="AI932" i="10" s="1"/>
  <c r="AF932" i="10"/>
  <c r="AE932" i="10"/>
  <c r="AG932" i="10" s="1"/>
  <c r="AB932" i="10"/>
  <c r="AA932" i="10"/>
  <c r="A932" i="10"/>
  <c r="AP931" i="10"/>
  <c r="AH931" i="10"/>
  <c r="AI931" i="10" s="1"/>
  <c r="AG931" i="10"/>
  <c r="AJ931" i="10" s="1"/>
  <c r="AF931" i="10"/>
  <c r="AE931" i="10"/>
  <c r="AB931" i="10"/>
  <c r="AA931" i="10"/>
  <c r="A931" i="10"/>
  <c r="AP930" i="10"/>
  <c r="AE930" i="10"/>
  <c r="AB930" i="10"/>
  <c r="AA930" i="10"/>
  <c r="A930" i="10"/>
  <c r="AP929" i="10"/>
  <c r="AG929" i="10"/>
  <c r="AJ929" i="10" s="1"/>
  <c r="AF929" i="10"/>
  <c r="AH929" i="10" s="1"/>
  <c r="AI929" i="10" s="1"/>
  <c r="AE929" i="10"/>
  <c r="AB929" i="10"/>
  <c r="AA929" i="10"/>
  <c r="A929" i="10"/>
  <c r="AP928" i="10"/>
  <c r="AH928" i="10"/>
  <c r="AI928" i="10" s="1"/>
  <c r="AF928" i="10"/>
  <c r="AE928" i="10"/>
  <c r="AG928" i="10" s="1"/>
  <c r="AB928" i="10"/>
  <c r="AA928" i="10"/>
  <c r="A928" i="10"/>
  <c r="AP927" i="10"/>
  <c r="AE927" i="10"/>
  <c r="AB927" i="10"/>
  <c r="AA927" i="10"/>
  <c r="A927" i="10"/>
  <c r="AP926" i="10"/>
  <c r="AJ926" i="10"/>
  <c r="AF926" i="10"/>
  <c r="AH926" i="10" s="1"/>
  <c r="AI926" i="10" s="1"/>
  <c r="AE926" i="10"/>
  <c r="AG926" i="10" s="1"/>
  <c r="AB926" i="10"/>
  <c r="AA926" i="10"/>
  <c r="A926" i="10"/>
  <c r="AP925" i="10"/>
  <c r="AG925" i="10"/>
  <c r="AF925" i="10"/>
  <c r="AH925" i="10" s="1"/>
  <c r="AI925" i="10" s="1"/>
  <c r="AE925" i="10"/>
  <c r="AB925" i="10"/>
  <c r="AA925" i="10"/>
  <c r="A925" i="10"/>
  <c r="AP924" i="10"/>
  <c r="AF924" i="10"/>
  <c r="AH924" i="10" s="1"/>
  <c r="AI924" i="10" s="1"/>
  <c r="AE924" i="10"/>
  <c r="AG924" i="10" s="1"/>
  <c r="AB924" i="10"/>
  <c r="AA924" i="10"/>
  <c r="A924" i="10"/>
  <c r="AP923" i="10"/>
  <c r="AF923" i="10"/>
  <c r="AH923" i="10" s="1"/>
  <c r="AI923" i="10" s="1"/>
  <c r="AJ923" i="10" s="1"/>
  <c r="AE923" i="10"/>
  <c r="AG923" i="10" s="1"/>
  <c r="AB923" i="10"/>
  <c r="AA923" i="10"/>
  <c r="A923" i="10"/>
  <c r="AP922" i="10"/>
  <c r="AF922" i="10"/>
  <c r="AH922" i="10" s="1"/>
  <c r="AI922" i="10" s="1"/>
  <c r="AJ922" i="10" s="1"/>
  <c r="AE922" i="10"/>
  <c r="AG922" i="10" s="1"/>
  <c r="AB922" i="10"/>
  <c r="AA922" i="10"/>
  <c r="A922" i="10"/>
  <c r="AP921" i="10"/>
  <c r="AG921" i="10"/>
  <c r="AF921" i="10"/>
  <c r="AH921" i="10" s="1"/>
  <c r="AI921" i="10" s="1"/>
  <c r="AE921" i="10"/>
  <c r="AB921" i="10"/>
  <c r="AA921" i="10"/>
  <c r="A921" i="10"/>
  <c r="AP920" i="10"/>
  <c r="AF920" i="10"/>
  <c r="AH920" i="10" s="1"/>
  <c r="AI920" i="10" s="1"/>
  <c r="AE920" i="10"/>
  <c r="AG920" i="10" s="1"/>
  <c r="AB920" i="10"/>
  <c r="AA920" i="10"/>
  <c r="A920" i="10"/>
  <c r="AP919" i="10"/>
  <c r="AH919" i="10"/>
  <c r="AI919" i="10" s="1"/>
  <c r="AG919" i="10"/>
  <c r="AF919" i="10"/>
  <c r="AE919" i="10"/>
  <c r="AB919" i="10"/>
  <c r="AA919" i="10"/>
  <c r="A919" i="10"/>
  <c r="AP918" i="10"/>
  <c r="AF918" i="10"/>
  <c r="AH918" i="10" s="1"/>
  <c r="AI918" i="10" s="1"/>
  <c r="AE918" i="10"/>
  <c r="AG918" i="10" s="1"/>
  <c r="AB918" i="10"/>
  <c r="AA918" i="10"/>
  <c r="A918" i="10"/>
  <c r="AP917" i="10"/>
  <c r="AE917" i="10"/>
  <c r="AB917" i="10"/>
  <c r="AA917" i="10"/>
  <c r="A917" i="10"/>
  <c r="AP916" i="10"/>
  <c r="AE916" i="10"/>
  <c r="AB916" i="10"/>
  <c r="AA916" i="10"/>
  <c r="A916" i="10"/>
  <c r="AP915" i="10"/>
  <c r="AE915" i="10"/>
  <c r="AB915" i="10"/>
  <c r="AA915" i="10"/>
  <c r="A915" i="10"/>
  <c r="AP914" i="10"/>
  <c r="AE914" i="10"/>
  <c r="AB914" i="10"/>
  <c r="AA914" i="10"/>
  <c r="A914" i="10"/>
  <c r="AP913" i="10"/>
  <c r="AE913" i="10"/>
  <c r="AB913" i="10"/>
  <c r="AA913" i="10"/>
  <c r="A913" i="10"/>
  <c r="AP912" i="10"/>
  <c r="AH912" i="10"/>
  <c r="AI912" i="10" s="1"/>
  <c r="AG912" i="10"/>
  <c r="AE912" i="10"/>
  <c r="AF912" i="10" s="1"/>
  <c r="AB912" i="10"/>
  <c r="AA912" i="10"/>
  <c r="A912" i="10"/>
  <c r="AP911" i="10"/>
  <c r="AF911" i="10"/>
  <c r="AH911" i="10" s="1"/>
  <c r="AI911" i="10" s="1"/>
  <c r="AE911" i="10"/>
  <c r="AG911" i="10" s="1"/>
  <c r="AB911" i="10"/>
  <c r="AA911" i="10"/>
  <c r="A911" i="10"/>
  <c r="AP910" i="10"/>
  <c r="AG910" i="10"/>
  <c r="AJ910" i="10" s="1"/>
  <c r="AE910" i="10"/>
  <c r="AF910" i="10" s="1"/>
  <c r="AH910" i="10" s="1"/>
  <c r="AI910" i="10" s="1"/>
  <c r="AB910" i="10"/>
  <c r="AA910" i="10"/>
  <c r="A910" i="10"/>
  <c r="AP909" i="10"/>
  <c r="AE909" i="10"/>
  <c r="AB909" i="10"/>
  <c r="AA909" i="10"/>
  <c r="A909" i="10"/>
  <c r="AP908" i="10"/>
  <c r="AG908" i="10"/>
  <c r="AE908" i="10"/>
  <c r="AF908" i="10" s="1"/>
  <c r="AH908" i="10" s="1"/>
  <c r="AI908" i="10" s="1"/>
  <c r="AB908" i="10"/>
  <c r="AA908" i="10"/>
  <c r="A908" i="10"/>
  <c r="AP907" i="10"/>
  <c r="AE907" i="10"/>
  <c r="AB907" i="10"/>
  <c r="AA907" i="10"/>
  <c r="A907" i="10"/>
  <c r="AP906" i="10"/>
  <c r="AH906" i="10"/>
  <c r="AI906" i="10" s="1"/>
  <c r="AG906" i="10"/>
  <c r="AE906" i="10"/>
  <c r="AF906" i="10" s="1"/>
  <c r="AB906" i="10"/>
  <c r="AA906" i="10"/>
  <c r="A906" i="10"/>
  <c r="AP905" i="10"/>
  <c r="AF905" i="10"/>
  <c r="AH905" i="10" s="1"/>
  <c r="AI905" i="10" s="1"/>
  <c r="AE905" i="10"/>
  <c r="AG905" i="10" s="1"/>
  <c r="AB905" i="10"/>
  <c r="AA905" i="10"/>
  <c r="A905" i="10"/>
  <c r="AP904" i="10"/>
  <c r="AG904" i="10"/>
  <c r="AE904" i="10"/>
  <c r="AF904" i="10" s="1"/>
  <c r="AH904" i="10" s="1"/>
  <c r="AI904" i="10" s="1"/>
  <c r="AB904" i="10"/>
  <c r="AA904" i="10"/>
  <c r="A904" i="10"/>
  <c r="AP903" i="10"/>
  <c r="AF903" i="10"/>
  <c r="AH903" i="10" s="1"/>
  <c r="AI903" i="10" s="1"/>
  <c r="AE903" i="10"/>
  <c r="AG903" i="10" s="1"/>
  <c r="AB903" i="10"/>
  <c r="AA903" i="10"/>
  <c r="A903" i="10"/>
  <c r="AP902" i="10"/>
  <c r="AG902" i="10"/>
  <c r="AE902" i="10"/>
  <c r="AF902" i="10" s="1"/>
  <c r="AH902" i="10" s="1"/>
  <c r="AI902" i="10" s="1"/>
  <c r="AB902" i="10"/>
  <c r="AA902" i="10"/>
  <c r="A902" i="10"/>
  <c r="AP901" i="10"/>
  <c r="AF901" i="10"/>
  <c r="AH901" i="10" s="1"/>
  <c r="AI901" i="10" s="1"/>
  <c r="AE901" i="10"/>
  <c r="AG901" i="10" s="1"/>
  <c r="AB901" i="10"/>
  <c r="AA901" i="10"/>
  <c r="A901" i="10"/>
  <c r="AP900" i="10"/>
  <c r="AG900" i="10"/>
  <c r="AE900" i="10"/>
  <c r="AF900" i="10" s="1"/>
  <c r="AH900" i="10" s="1"/>
  <c r="AI900" i="10" s="1"/>
  <c r="AB900" i="10"/>
  <c r="AA900" i="10"/>
  <c r="A900" i="10"/>
  <c r="AP899" i="10"/>
  <c r="AE899" i="10"/>
  <c r="AB899" i="10"/>
  <c r="AA899" i="10"/>
  <c r="A899" i="10"/>
  <c r="AP898" i="10"/>
  <c r="AE898" i="10"/>
  <c r="AB898" i="10"/>
  <c r="AA898" i="10"/>
  <c r="A898" i="10"/>
  <c r="AP897" i="10"/>
  <c r="AE897" i="10"/>
  <c r="AB897" i="10"/>
  <c r="AA897" i="10"/>
  <c r="A897" i="10"/>
  <c r="AP896" i="10"/>
  <c r="AE896" i="10"/>
  <c r="AB896" i="10"/>
  <c r="AA896" i="10"/>
  <c r="A896" i="10"/>
  <c r="AP895" i="10"/>
  <c r="AI895" i="10"/>
  <c r="AF895" i="10"/>
  <c r="AH895" i="10" s="1"/>
  <c r="AE895" i="10"/>
  <c r="AG895" i="10" s="1"/>
  <c r="AB895" i="10"/>
  <c r="AA895" i="10"/>
  <c r="A895" i="10"/>
  <c r="AP894" i="10"/>
  <c r="AE894" i="10"/>
  <c r="AB894" i="10"/>
  <c r="AA894" i="10"/>
  <c r="A894" i="10"/>
  <c r="AP893" i="10"/>
  <c r="AE893" i="10"/>
  <c r="AB893" i="10"/>
  <c r="AA893" i="10"/>
  <c r="A893" i="10"/>
  <c r="AP892" i="10"/>
  <c r="AG892" i="10"/>
  <c r="AE892" i="10"/>
  <c r="AF892" i="10" s="1"/>
  <c r="AH892" i="10" s="1"/>
  <c r="AI892" i="10" s="1"/>
  <c r="AB892" i="10"/>
  <c r="AA892" i="10"/>
  <c r="A892" i="10"/>
  <c r="AP891" i="10"/>
  <c r="AE891" i="10"/>
  <c r="AB891" i="10"/>
  <c r="AA891" i="10"/>
  <c r="A891" i="10"/>
  <c r="AP890" i="10"/>
  <c r="AE890" i="10"/>
  <c r="AB890" i="10"/>
  <c r="AA890" i="10"/>
  <c r="A890" i="10"/>
  <c r="AP889" i="10"/>
  <c r="AG889" i="10"/>
  <c r="AF889" i="10"/>
  <c r="AH889" i="10" s="1"/>
  <c r="AI889" i="10" s="1"/>
  <c r="AE889" i="10"/>
  <c r="AB889" i="10"/>
  <c r="AA889" i="10"/>
  <c r="A889" i="10"/>
  <c r="AP888" i="10"/>
  <c r="AE888" i="10"/>
  <c r="AB888" i="10"/>
  <c r="AA888" i="10"/>
  <c r="A888" i="10"/>
  <c r="AP887" i="10"/>
  <c r="AE887" i="10"/>
  <c r="AB887" i="10"/>
  <c r="AA887" i="10"/>
  <c r="A887" i="10"/>
  <c r="AP886" i="10"/>
  <c r="AE886" i="10"/>
  <c r="AB886" i="10"/>
  <c r="AA886" i="10"/>
  <c r="A886" i="10"/>
  <c r="AP885" i="10"/>
  <c r="AE885" i="10"/>
  <c r="AB885" i="10"/>
  <c r="AA885" i="10"/>
  <c r="A885" i="10"/>
  <c r="AP884" i="10"/>
  <c r="AE884" i="10"/>
  <c r="AB884" i="10"/>
  <c r="AA884" i="10"/>
  <c r="A884" i="10"/>
  <c r="AP883" i="10"/>
  <c r="AE883" i="10"/>
  <c r="AB883" i="10"/>
  <c r="AA883" i="10"/>
  <c r="A883" i="10"/>
  <c r="AP882" i="10"/>
  <c r="AE882" i="10"/>
  <c r="AB882" i="10"/>
  <c r="AA882" i="10"/>
  <c r="A882" i="10"/>
  <c r="AP881" i="10"/>
  <c r="AF881" i="10"/>
  <c r="AH881" i="10" s="1"/>
  <c r="AI881" i="10" s="1"/>
  <c r="AE881" i="10"/>
  <c r="AG881" i="10" s="1"/>
  <c r="AB881" i="10"/>
  <c r="AA881" i="10"/>
  <c r="A881" i="10"/>
  <c r="AP880" i="10"/>
  <c r="AE880" i="10"/>
  <c r="AB880" i="10"/>
  <c r="AA880" i="10"/>
  <c r="A880" i="10"/>
  <c r="AP879" i="10"/>
  <c r="AI879" i="10"/>
  <c r="AJ879" i="10" s="1"/>
  <c r="AG879" i="10"/>
  <c r="AE879" i="10"/>
  <c r="AF879" i="10" s="1"/>
  <c r="AH879" i="10" s="1"/>
  <c r="AB879" i="10"/>
  <c r="AA879" i="10"/>
  <c r="A879" i="10"/>
  <c r="AP878" i="10"/>
  <c r="AE878" i="10"/>
  <c r="AB878" i="10"/>
  <c r="AA878" i="10"/>
  <c r="A878" i="10"/>
  <c r="AP877" i="10"/>
  <c r="AF877" i="10"/>
  <c r="AH877" i="10" s="1"/>
  <c r="AI877" i="10" s="1"/>
  <c r="AE877" i="10"/>
  <c r="AG877" i="10" s="1"/>
  <c r="AB877" i="10"/>
  <c r="AA877" i="10"/>
  <c r="A877" i="10"/>
  <c r="AP876" i="10"/>
  <c r="AE876" i="10"/>
  <c r="AB876" i="10"/>
  <c r="AA876" i="10"/>
  <c r="A876" i="10"/>
  <c r="AP875" i="10"/>
  <c r="AE875" i="10"/>
  <c r="AB875" i="10"/>
  <c r="AA875" i="10"/>
  <c r="A875" i="10"/>
  <c r="AP874" i="10"/>
  <c r="AE874" i="10"/>
  <c r="AB874" i="10"/>
  <c r="AA874" i="10"/>
  <c r="A874" i="10"/>
  <c r="AP873" i="10"/>
  <c r="AI873" i="10"/>
  <c r="AG873" i="10"/>
  <c r="AF873" i="10"/>
  <c r="AH873" i="10" s="1"/>
  <c r="AE873" i="10"/>
  <c r="AB873" i="10"/>
  <c r="AA873" i="10"/>
  <c r="A873" i="10"/>
  <c r="AP872" i="10"/>
  <c r="AI872" i="10"/>
  <c r="AH872" i="10"/>
  <c r="AG872" i="10"/>
  <c r="AE872" i="10"/>
  <c r="AF872" i="10" s="1"/>
  <c r="AB872" i="10"/>
  <c r="AA872" i="10"/>
  <c r="A872" i="10"/>
  <c r="AP871" i="10"/>
  <c r="AE871" i="10"/>
  <c r="AB871" i="10"/>
  <c r="AA871" i="10"/>
  <c r="A871" i="10"/>
  <c r="AP870" i="10"/>
  <c r="AE870" i="10"/>
  <c r="AB870" i="10"/>
  <c r="AA870" i="10"/>
  <c r="A870" i="10"/>
  <c r="AP869" i="10"/>
  <c r="AE869" i="10"/>
  <c r="AB869" i="10"/>
  <c r="AA869" i="10"/>
  <c r="A869" i="10"/>
  <c r="AP868" i="10"/>
  <c r="AI868" i="10"/>
  <c r="AG868" i="10"/>
  <c r="AE868" i="10"/>
  <c r="AF868" i="10" s="1"/>
  <c r="AH868" i="10" s="1"/>
  <c r="AB868" i="10"/>
  <c r="AA868" i="10"/>
  <c r="A868" i="10"/>
  <c r="AP867" i="10"/>
  <c r="AF867" i="10"/>
  <c r="AH867" i="10" s="1"/>
  <c r="AI867" i="10" s="1"/>
  <c r="AE867" i="10"/>
  <c r="AG867" i="10" s="1"/>
  <c r="AB867" i="10"/>
  <c r="AA867" i="10"/>
  <c r="A867" i="10"/>
  <c r="AP866" i="10"/>
  <c r="AE866" i="10"/>
  <c r="AB866" i="10"/>
  <c r="AA866" i="10"/>
  <c r="A866" i="10"/>
  <c r="AP865" i="10"/>
  <c r="AG865" i="10"/>
  <c r="AF865" i="10"/>
  <c r="AH865" i="10" s="1"/>
  <c r="AI865" i="10" s="1"/>
  <c r="AE865" i="10"/>
  <c r="AB865" i="10"/>
  <c r="AA865" i="10"/>
  <c r="A865" i="10"/>
  <c r="AP864" i="10"/>
  <c r="AE864" i="10"/>
  <c r="AB864" i="10"/>
  <c r="AA864" i="10"/>
  <c r="A864" i="10"/>
  <c r="AP863" i="10"/>
  <c r="AG863" i="10"/>
  <c r="AF863" i="10"/>
  <c r="AH863" i="10" s="1"/>
  <c r="AI863" i="10" s="1"/>
  <c r="AE863" i="10"/>
  <c r="AB863" i="10"/>
  <c r="AA863" i="10"/>
  <c r="A863" i="10"/>
  <c r="AP862" i="10"/>
  <c r="AE862" i="10"/>
  <c r="AB862" i="10"/>
  <c r="AA862" i="10"/>
  <c r="A862" i="10"/>
  <c r="AP861" i="10"/>
  <c r="AG861" i="10"/>
  <c r="AJ861" i="10" s="1"/>
  <c r="AF861" i="10"/>
  <c r="AH861" i="10" s="1"/>
  <c r="AI861" i="10" s="1"/>
  <c r="AE861" i="10"/>
  <c r="AB861" i="10"/>
  <c r="AA861" i="10"/>
  <c r="A861" i="10"/>
  <c r="AP860" i="10"/>
  <c r="AE860" i="10"/>
  <c r="AB860" i="10"/>
  <c r="AA860" i="10"/>
  <c r="A860" i="10"/>
  <c r="AP859" i="10"/>
  <c r="AF859" i="10"/>
  <c r="AH859" i="10" s="1"/>
  <c r="AI859" i="10" s="1"/>
  <c r="AE859" i="10"/>
  <c r="AG859" i="10" s="1"/>
  <c r="AB859" i="10"/>
  <c r="AA859" i="10"/>
  <c r="A859" i="10"/>
  <c r="AP858" i="10"/>
  <c r="AE858" i="10"/>
  <c r="AB858" i="10"/>
  <c r="AA858" i="10"/>
  <c r="A858" i="10"/>
  <c r="AP857" i="10"/>
  <c r="AE857" i="10"/>
  <c r="AB857" i="10"/>
  <c r="AA857" i="10"/>
  <c r="A857" i="10"/>
  <c r="AP856" i="10"/>
  <c r="AE856" i="10"/>
  <c r="AB856" i="10"/>
  <c r="AA856" i="10"/>
  <c r="A856" i="10"/>
  <c r="AP855" i="10"/>
  <c r="AG855" i="10"/>
  <c r="AE855" i="10"/>
  <c r="AF855" i="10" s="1"/>
  <c r="AH855" i="10" s="1"/>
  <c r="AI855" i="10" s="1"/>
  <c r="AB855" i="10"/>
  <c r="AA855" i="10"/>
  <c r="A855" i="10"/>
  <c r="AP854" i="10"/>
  <c r="AE854" i="10"/>
  <c r="AB854" i="10"/>
  <c r="AA854" i="10"/>
  <c r="A854" i="10"/>
  <c r="AP853" i="10"/>
  <c r="AF853" i="10"/>
  <c r="AH853" i="10" s="1"/>
  <c r="AI853" i="10" s="1"/>
  <c r="AE853" i="10"/>
  <c r="AG853" i="10" s="1"/>
  <c r="AB853" i="10"/>
  <c r="AA853" i="10"/>
  <c r="A853" i="10"/>
  <c r="AP852" i="10"/>
  <c r="AE852" i="10"/>
  <c r="AB852" i="10"/>
  <c r="AA852" i="10"/>
  <c r="A852" i="10"/>
  <c r="AP851" i="10"/>
  <c r="AE851" i="10"/>
  <c r="AB851" i="10"/>
  <c r="AA851" i="10"/>
  <c r="A851" i="10"/>
  <c r="AP850" i="10"/>
  <c r="AE850" i="10"/>
  <c r="AB850" i="10"/>
  <c r="AA850" i="10"/>
  <c r="A850" i="10"/>
  <c r="AP849" i="10"/>
  <c r="AG849" i="10"/>
  <c r="AE849" i="10"/>
  <c r="AF849" i="10" s="1"/>
  <c r="AH849" i="10" s="1"/>
  <c r="AI849" i="10" s="1"/>
  <c r="AB849" i="10"/>
  <c r="AA849" i="10"/>
  <c r="A849" i="10"/>
  <c r="AP848" i="10"/>
  <c r="AH848" i="10"/>
  <c r="AI848" i="10" s="1"/>
  <c r="AF848" i="10"/>
  <c r="AE848" i="10"/>
  <c r="AG848" i="10" s="1"/>
  <c r="AB848" i="10"/>
  <c r="AA848" i="10"/>
  <c r="A848" i="10"/>
  <c r="AP847" i="10"/>
  <c r="AH847" i="10"/>
  <c r="AI847" i="10" s="1"/>
  <c r="AG847" i="10"/>
  <c r="AF847" i="10"/>
  <c r="AE847" i="10"/>
  <c r="AB847" i="10"/>
  <c r="AA847" i="10"/>
  <c r="A847" i="10"/>
  <c r="AP846" i="10"/>
  <c r="AE846" i="10"/>
  <c r="AB846" i="10"/>
  <c r="AA846" i="10"/>
  <c r="A846" i="10"/>
  <c r="AP845" i="10"/>
  <c r="AE845" i="10"/>
  <c r="AB845" i="10"/>
  <c r="AA845" i="10"/>
  <c r="A845" i="10"/>
  <c r="AP844" i="10"/>
  <c r="AE844" i="10"/>
  <c r="AB844" i="10"/>
  <c r="AA844" i="10"/>
  <c r="A844" i="10"/>
  <c r="AP843" i="10"/>
  <c r="AF843" i="10"/>
  <c r="AH843" i="10" s="1"/>
  <c r="AI843" i="10" s="1"/>
  <c r="AE843" i="10"/>
  <c r="AG843" i="10" s="1"/>
  <c r="AB843" i="10"/>
  <c r="AA843" i="10"/>
  <c r="A843" i="10"/>
  <c r="AP842" i="10"/>
  <c r="AE842" i="10"/>
  <c r="AB842" i="10"/>
  <c r="AA842" i="10"/>
  <c r="A842" i="10"/>
  <c r="AP841" i="10"/>
  <c r="AF841" i="10"/>
  <c r="AH841" i="10" s="1"/>
  <c r="AI841" i="10" s="1"/>
  <c r="AE841" i="10"/>
  <c r="AG841" i="10" s="1"/>
  <c r="AB841" i="10"/>
  <c r="AA841" i="10"/>
  <c r="A841" i="10"/>
  <c r="AP840" i="10"/>
  <c r="AF840" i="10"/>
  <c r="AH840" i="10" s="1"/>
  <c r="AI840" i="10" s="1"/>
  <c r="AE840" i="10"/>
  <c r="AG840" i="10" s="1"/>
  <c r="AB840" i="10"/>
  <c r="AA840" i="10"/>
  <c r="A840" i="10"/>
  <c r="AP839" i="10"/>
  <c r="AG839" i="10"/>
  <c r="AF839" i="10"/>
  <c r="AH839" i="10" s="1"/>
  <c r="AI839" i="10" s="1"/>
  <c r="AE839" i="10"/>
  <c r="AB839" i="10"/>
  <c r="AA839" i="10"/>
  <c r="A839" i="10"/>
  <c r="AP838" i="10"/>
  <c r="AE838" i="10"/>
  <c r="AB838" i="10"/>
  <c r="AA838" i="10"/>
  <c r="A838" i="10"/>
  <c r="AP837" i="10"/>
  <c r="AG837" i="10"/>
  <c r="AJ837" i="10" s="1"/>
  <c r="AE837" i="10"/>
  <c r="AF837" i="10" s="1"/>
  <c r="AH837" i="10" s="1"/>
  <c r="AI837" i="10" s="1"/>
  <c r="AB837" i="10"/>
  <c r="AA837" i="10"/>
  <c r="A837" i="10"/>
  <c r="AP836" i="10"/>
  <c r="AF836" i="10"/>
  <c r="AH836" i="10" s="1"/>
  <c r="AI836" i="10" s="1"/>
  <c r="AE836" i="10"/>
  <c r="AG836" i="10" s="1"/>
  <c r="AB836" i="10"/>
  <c r="AA836" i="10"/>
  <c r="A836" i="10"/>
  <c r="AP835" i="10"/>
  <c r="AH835" i="10"/>
  <c r="AI835" i="10" s="1"/>
  <c r="AG835" i="10"/>
  <c r="AF835" i="10"/>
  <c r="AE835" i="10"/>
  <c r="AB835" i="10"/>
  <c r="AA835" i="10"/>
  <c r="A835" i="10"/>
  <c r="AP834" i="10"/>
  <c r="AE834" i="10"/>
  <c r="AB834" i="10"/>
  <c r="AA834" i="10"/>
  <c r="A834" i="10"/>
  <c r="AP833" i="10"/>
  <c r="AG833" i="10"/>
  <c r="AF833" i="10"/>
  <c r="AH833" i="10" s="1"/>
  <c r="AI833" i="10" s="1"/>
  <c r="AJ833" i="10" s="1"/>
  <c r="AE833" i="10"/>
  <c r="AB833" i="10"/>
  <c r="AA833" i="10"/>
  <c r="A833" i="10"/>
  <c r="AP832" i="10"/>
  <c r="AE832" i="10"/>
  <c r="AB832" i="10"/>
  <c r="AA832" i="10"/>
  <c r="A832" i="10"/>
  <c r="AP831" i="10"/>
  <c r="AG831" i="10"/>
  <c r="AE831" i="10"/>
  <c r="AF831" i="10" s="1"/>
  <c r="AH831" i="10" s="1"/>
  <c r="AI831" i="10" s="1"/>
  <c r="AB831" i="10"/>
  <c r="AA831" i="10"/>
  <c r="A831" i="10"/>
  <c r="AP830" i="10"/>
  <c r="AE830" i="10"/>
  <c r="AB830" i="10"/>
  <c r="AA830" i="10"/>
  <c r="A830" i="10"/>
  <c r="AP829" i="10"/>
  <c r="AJ829" i="10"/>
  <c r="AG829" i="10"/>
  <c r="AF829" i="10"/>
  <c r="AH829" i="10" s="1"/>
  <c r="AI829" i="10" s="1"/>
  <c r="AE829" i="10"/>
  <c r="AB829" i="10"/>
  <c r="AA829" i="10"/>
  <c r="A829" i="10"/>
  <c r="AP828" i="10"/>
  <c r="AF828" i="10"/>
  <c r="AH828" i="10" s="1"/>
  <c r="AI828" i="10" s="1"/>
  <c r="AE828" i="10"/>
  <c r="AG828" i="10" s="1"/>
  <c r="AB828" i="10"/>
  <c r="AA828" i="10"/>
  <c r="A828" i="10"/>
  <c r="AP827" i="10"/>
  <c r="AF827" i="10"/>
  <c r="AH827" i="10" s="1"/>
  <c r="AI827" i="10" s="1"/>
  <c r="AE827" i="10"/>
  <c r="AG827" i="10" s="1"/>
  <c r="AB827" i="10"/>
  <c r="AA827" i="10"/>
  <c r="A827" i="10"/>
  <c r="AP826" i="10"/>
  <c r="AE826" i="10"/>
  <c r="AB826" i="10"/>
  <c r="AA826" i="10"/>
  <c r="A826" i="10"/>
  <c r="AP825" i="10"/>
  <c r="AF825" i="10"/>
  <c r="AH825" i="10" s="1"/>
  <c r="AI825" i="10" s="1"/>
  <c r="AE825" i="10"/>
  <c r="AG825" i="10" s="1"/>
  <c r="AB825" i="10"/>
  <c r="AA825" i="10"/>
  <c r="A825" i="10"/>
  <c r="AP824" i="10"/>
  <c r="AE824" i="10"/>
  <c r="AB824" i="10"/>
  <c r="AA824" i="10"/>
  <c r="A824" i="10"/>
  <c r="AP823" i="10"/>
  <c r="AE823" i="10"/>
  <c r="AB823" i="10"/>
  <c r="AA823" i="10"/>
  <c r="A823" i="10"/>
  <c r="AP822" i="10"/>
  <c r="AE822" i="10"/>
  <c r="AB822" i="10"/>
  <c r="AA822" i="10"/>
  <c r="A822" i="10"/>
  <c r="AP821" i="10"/>
  <c r="AF821" i="10"/>
  <c r="AH821" i="10" s="1"/>
  <c r="AI821" i="10" s="1"/>
  <c r="AE821" i="10"/>
  <c r="AG821" i="10" s="1"/>
  <c r="AJ821" i="10" s="1"/>
  <c r="AB821" i="10"/>
  <c r="AA821" i="10"/>
  <c r="A821" i="10"/>
  <c r="AP820" i="10"/>
  <c r="AE820" i="10"/>
  <c r="AB820" i="10"/>
  <c r="AA820" i="10"/>
  <c r="A820" i="10"/>
  <c r="AP819" i="10"/>
  <c r="AE819" i="10"/>
  <c r="AB819" i="10"/>
  <c r="AA819" i="10"/>
  <c r="A819" i="10"/>
  <c r="AP818" i="10"/>
  <c r="AE818" i="10"/>
  <c r="AB818" i="10"/>
  <c r="AA818" i="10"/>
  <c r="A818" i="10"/>
  <c r="AP817" i="10"/>
  <c r="AG817" i="10"/>
  <c r="AE817" i="10"/>
  <c r="AF817" i="10" s="1"/>
  <c r="AH817" i="10" s="1"/>
  <c r="AI817" i="10" s="1"/>
  <c r="AB817" i="10"/>
  <c r="AA817" i="10"/>
  <c r="A817" i="10"/>
  <c r="AP816" i="10"/>
  <c r="AF816" i="10"/>
  <c r="AH816" i="10" s="1"/>
  <c r="AI816" i="10" s="1"/>
  <c r="AE816" i="10"/>
  <c r="AG816" i="10" s="1"/>
  <c r="AB816" i="10"/>
  <c r="AA816" i="10"/>
  <c r="A816" i="10"/>
  <c r="AP815" i="10"/>
  <c r="AH815" i="10"/>
  <c r="AI815" i="10" s="1"/>
  <c r="AG815" i="10"/>
  <c r="AF815" i="10"/>
  <c r="AE815" i="10"/>
  <c r="AB815" i="10"/>
  <c r="AA815" i="10"/>
  <c r="A815" i="10"/>
  <c r="AP814" i="10"/>
  <c r="AE814" i="10"/>
  <c r="AB814" i="10"/>
  <c r="AA814" i="10"/>
  <c r="A814" i="10"/>
  <c r="AP813" i="10"/>
  <c r="AE813" i="10"/>
  <c r="AB813" i="10"/>
  <c r="AA813" i="10"/>
  <c r="A813" i="10"/>
  <c r="AP812" i="10"/>
  <c r="AE812" i="10"/>
  <c r="AB812" i="10"/>
  <c r="AA812" i="10"/>
  <c r="A812" i="10"/>
  <c r="AP811" i="10"/>
  <c r="AG811" i="10"/>
  <c r="AJ811" i="10" s="1"/>
  <c r="AE811" i="10"/>
  <c r="AF811" i="10" s="1"/>
  <c r="AH811" i="10" s="1"/>
  <c r="AI811" i="10" s="1"/>
  <c r="AB811" i="10"/>
  <c r="AA811" i="10"/>
  <c r="A811" i="10"/>
  <c r="AP810" i="10"/>
  <c r="AE810" i="10"/>
  <c r="AB810" i="10"/>
  <c r="AA810" i="10"/>
  <c r="A810" i="10"/>
  <c r="AP809" i="10"/>
  <c r="AE809" i="10"/>
  <c r="AB809" i="10"/>
  <c r="AA809" i="10"/>
  <c r="A809" i="10"/>
  <c r="AP808" i="10"/>
  <c r="AF808" i="10"/>
  <c r="AH808" i="10" s="1"/>
  <c r="AI808" i="10" s="1"/>
  <c r="AE808" i="10"/>
  <c r="AG808" i="10" s="1"/>
  <c r="AJ808" i="10" s="1"/>
  <c r="AB808" i="10"/>
  <c r="AA808" i="10"/>
  <c r="A808" i="10"/>
  <c r="AP807" i="10"/>
  <c r="AF807" i="10"/>
  <c r="AH807" i="10" s="1"/>
  <c r="AI807" i="10" s="1"/>
  <c r="AE807" i="10"/>
  <c r="AG807" i="10" s="1"/>
  <c r="AB807" i="10"/>
  <c r="AA807" i="10"/>
  <c r="A807" i="10"/>
  <c r="AP806" i="10"/>
  <c r="AE806" i="10"/>
  <c r="AB806" i="10"/>
  <c r="AA806" i="10"/>
  <c r="A806" i="10"/>
  <c r="AP805" i="10"/>
  <c r="AG805" i="10"/>
  <c r="AF805" i="10"/>
  <c r="AH805" i="10" s="1"/>
  <c r="AI805" i="10" s="1"/>
  <c r="AE805" i="10"/>
  <c r="AB805" i="10"/>
  <c r="AA805" i="10"/>
  <c r="A805" i="10"/>
  <c r="AP804" i="10"/>
  <c r="AF804" i="10"/>
  <c r="AH804" i="10" s="1"/>
  <c r="AI804" i="10" s="1"/>
  <c r="AE804" i="10"/>
  <c r="AG804" i="10" s="1"/>
  <c r="AB804" i="10"/>
  <c r="AA804" i="10"/>
  <c r="A804" i="10"/>
  <c r="AP803" i="10"/>
  <c r="AE803" i="10"/>
  <c r="AB803" i="10"/>
  <c r="AA803" i="10"/>
  <c r="A803" i="10"/>
  <c r="AP802" i="10"/>
  <c r="AE802" i="10"/>
  <c r="AB802" i="10"/>
  <c r="AA802" i="10"/>
  <c r="A802" i="10"/>
  <c r="AP801" i="10"/>
  <c r="AF801" i="10"/>
  <c r="AH801" i="10" s="1"/>
  <c r="AI801" i="10" s="1"/>
  <c r="AJ801" i="10" s="1"/>
  <c r="AE801" i="10"/>
  <c r="AG801" i="10" s="1"/>
  <c r="AB801" i="10"/>
  <c r="AA801" i="10"/>
  <c r="A801" i="10"/>
  <c r="AP800" i="10"/>
  <c r="AE800" i="10"/>
  <c r="AB800" i="10"/>
  <c r="AA800" i="10"/>
  <c r="A800" i="10"/>
  <c r="AP799" i="10"/>
  <c r="AE799" i="10"/>
  <c r="AB799" i="10"/>
  <c r="AA799" i="10"/>
  <c r="A799" i="10"/>
  <c r="AP798" i="10"/>
  <c r="AE798" i="10"/>
  <c r="AB798" i="10"/>
  <c r="AA798" i="10"/>
  <c r="A798" i="10"/>
  <c r="AP797" i="10"/>
  <c r="AE797" i="10"/>
  <c r="AB797" i="10"/>
  <c r="AA797" i="10"/>
  <c r="A797" i="10"/>
  <c r="AP796" i="10"/>
  <c r="AF796" i="10"/>
  <c r="AH796" i="10" s="1"/>
  <c r="AI796" i="10" s="1"/>
  <c r="AE796" i="10"/>
  <c r="AG796" i="10" s="1"/>
  <c r="AB796" i="10"/>
  <c r="AA796" i="10"/>
  <c r="A796" i="10"/>
  <c r="AP795" i="10"/>
  <c r="AG795" i="10"/>
  <c r="AJ795" i="10" s="1"/>
  <c r="AF795" i="10"/>
  <c r="AH795" i="10" s="1"/>
  <c r="AI795" i="10" s="1"/>
  <c r="AE795" i="10"/>
  <c r="AB795" i="10"/>
  <c r="AA795" i="10"/>
  <c r="A795" i="10"/>
  <c r="AP794" i="10"/>
  <c r="AE794" i="10"/>
  <c r="AB794" i="10"/>
  <c r="AA794" i="10"/>
  <c r="A794" i="10"/>
  <c r="AP793" i="10"/>
  <c r="AG793" i="10"/>
  <c r="AF793" i="10"/>
  <c r="AH793" i="10" s="1"/>
  <c r="AI793" i="10" s="1"/>
  <c r="AE793" i="10"/>
  <c r="AB793" i="10"/>
  <c r="AA793" i="10"/>
  <c r="A793" i="10"/>
  <c r="AP792" i="10"/>
  <c r="AF792" i="10"/>
  <c r="AH792" i="10" s="1"/>
  <c r="AI792" i="10" s="1"/>
  <c r="AE792" i="10"/>
  <c r="AG792" i="10" s="1"/>
  <c r="AB792" i="10"/>
  <c r="AA792" i="10"/>
  <c r="A792" i="10"/>
  <c r="AP791" i="10"/>
  <c r="AG791" i="10"/>
  <c r="AE791" i="10"/>
  <c r="AF791" i="10" s="1"/>
  <c r="AH791" i="10" s="1"/>
  <c r="AI791" i="10" s="1"/>
  <c r="AB791" i="10"/>
  <c r="AA791" i="10"/>
  <c r="A791" i="10"/>
  <c r="AP790" i="10"/>
  <c r="AE790" i="10"/>
  <c r="AB790" i="10"/>
  <c r="AA790" i="10"/>
  <c r="A790" i="10"/>
  <c r="AP789" i="10"/>
  <c r="AJ789" i="10"/>
  <c r="AG789" i="10"/>
  <c r="AF789" i="10"/>
  <c r="AH789" i="10" s="1"/>
  <c r="AI789" i="10" s="1"/>
  <c r="AE789" i="10"/>
  <c r="AB789" i="10"/>
  <c r="AA789" i="10"/>
  <c r="A789" i="10"/>
  <c r="AP788" i="10"/>
  <c r="AE788" i="10"/>
  <c r="AB788" i="10"/>
  <c r="AA788" i="10"/>
  <c r="A788" i="10"/>
  <c r="AP787" i="10"/>
  <c r="AE787" i="10"/>
  <c r="AB787" i="10"/>
  <c r="AA787" i="10"/>
  <c r="A787" i="10"/>
  <c r="AP786" i="10"/>
  <c r="AE786" i="10"/>
  <c r="AB786" i="10"/>
  <c r="AA786" i="10"/>
  <c r="A786" i="10"/>
  <c r="AP785" i="10"/>
  <c r="AG785" i="10"/>
  <c r="AE785" i="10"/>
  <c r="AF785" i="10" s="1"/>
  <c r="AH785" i="10" s="1"/>
  <c r="AI785" i="10" s="1"/>
  <c r="AB785" i="10"/>
  <c r="AA785" i="10"/>
  <c r="A785" i="10"/>
  <c r="AP784" i="10"/>
  <c r="AE784" i="10"/>
  <c r="AB784" i="10"/>
  <c r="AA784" i="10"/>
  <c r="A784" i="10"/>
  <c r="AP783" i="10"/>
  <c r="AF783" i="10"/>
  <c r="AH783" i="10" s="1"/>
  <c r="AI783" i="10" s="1"/>
  <c r="AE783" i="10"/>
  <c r="AG783" i="10" s="1"/>
  <c r="AB783" i="10"/>
  <c r="AA783" i="10"/>
  <c r="A783" i="10"/>
  <c r="AP782" i="10"/>
  <c r="AE782" i="10"/>
  <c r="AB782" i="10"/>
  <c r="AA782" i="10"/>
  <c r="A782" i="10"/>
  <c r="AP781" i="10"/>
  <c r="AH781" i="10"/>
  <c r="AI781" i="10" s="1"/>
  <c r="AG781" i="10"/>
  <c r="AJ781" i="10" s="1"/>
  <c r="AF781" i="10"/>
  <c r="AE781" i="10"/>
  <c r="AB781" i="10"/>
  <c r="AA781" i="10"/>
  <c r="A781" i="10"/>
  <c r="AP780" i="10"/>
  <c r="AE780" i="10"/>
  <c r="AB780" i="10"/>
  <c r="AA780" i="10"/>
  <c r="A780" i="10"/>
  <c r="AP779" i="10"/>
  <c r="AE779" i="10"/>
  <c r="AB779" i="10"/>
  <c r="AA779" i="10"/>
  <c r="A779" i="10"/>
  <c r="AP778" i="10"/>
  <c r="AE778" i="10"/>
  <c r="AB778" i="10"/>
  <c r="AA778" i="10"/>
  <c r="A778" i="10"/>
  <c r="AP777" i="10"/>
  <c r="AE777" i="10"/>
  <c r="AB777" i="10"/>
  <c r="AA777" i="10"/>
  <c r="A777" i="10"/>
  <c r="AP776" i="10"/>
  <c r="AF776" i="10"/>
  <c r="AH776" i="10" s="1"/>
  <c r="AI776" i="10" s="1"/>
  <c r="AE776" i="10"/>
  <c r="AG776" i="10" s="1"/>
  <c r="AB776" i="10"/>
  <c r="AA776" i="10"/>
  <c r="A776" i="10"/>
  <c r="AP775" i="10"/>
  <c r="AF775" i="10"/>
  <c r="AH775" i="10" s="1"/>
  <c r="AI775" i="10" s="1"/>
  <c r="AE775" i="10"/>
  <c r="AG775" i="10" s="1"/>
  <c r="AB775" i="10"/>
  <c r="AA775" i="10"/>
  <c r="A775" i="10"/>
  <c r="AP774" i="10"/>
  <c r="AE774" i="10"/>
  <c r="AB774" i="10"/>
  <c r="AA774" i="10"/>
  <c r="A774" i="10"/>
  <c r="AP773" i="10"/>
  <c r="AF773" i="10"/>
  <c r="AH773" i="10" s="1"/>
  <c r="AI773" i="10" s="1"/>
  <c r="AJ773" i="10" s="1"/>
  <c r="AE773" i="10"/>
  <c r="AG773" i="10" s="1"/>
  <c r="AB773" i="10"/>
  <c r="AA773" i="10"/>
  <c r="A773" i="10"/>
  <c r="AP772" i="10"/>
  <c r="AE772" i="10"/>
  <c r="AB772" i="10"/>
  <c r="AA772" i="10"/>
  <c r="A772" i="10"/>
  <c r="AP771" i="10"/>
  <c r="AG771" i="10"/>
  <c r="AF771" i="10"/>
  <c r="AH771" i="10" s="1"/>
  <c r="AI771" i="10" s="1"/>
  <c r="AE771" i="10"/>
  <c r="AB771" i="10"/>
  <c r="AA771" i="10"/>
  <c r="A771" i="10"/>
  <c r="AP770" i="10"/>
  <c r="AE770" i="10"/>
  <c r="AB770" i="10"/>
  <c r="AA770" i="10"/>
  <c r="A770" i="10"/>
  <c r="AP769" i="10"/>
  <c r="AG769" i="10"/>
  <c r="AE769" i="10"/>
  <c r="AF769" i="10" s="1"/>
  <c r="AH769" i="10" s="1"/>
  <c r="AI769" i="10" s="1"/>
  <c r="AB769" i="10"/>
  <c r="AA769" i="10"/>
  <c r="A769" i="10"/>
  <c r="AP768" i="10"/>
  <c r="AE768" i="10"/>
  <c r="AB768" i="10"/>
  <c r="AA768" i="10"/>
  <c r="A768" i="10"/>
  <c r="AP767" i="10"/>
  <c r="AH767" i="10"/>
  <c r="AI767" i="10" s="1"/>
  <c r="AG767" i="10"/>
  <c r="AE767" i="10"/>
  <c r="AF767" i="10" s="1"/>
  <c r="AB767" i="10"/>
  <c r="AA767" i="10"/>
  <c r="A767" i="10"/>
  <c r="AP766" i="10"/>
  <c r="AE766" i="10"/>
  <c r="AB766" i="10"/>
  <c r="AA766" i="10"/>
  <c r="A766" i="10"/>
  <c r="AP765" i="10"/>
  <c r="AE765" i="10"/>
  <c r="AB765" i="10"/>
  <c r="AA765" i="10"/>
  <c r="A765" i="10"/>
  <c r="AP764" i="10"/>
  <c r="AE764" i="10"/>
  <c r="AB764" i="10"/>
  <c r="AA764" i="10"/>
  <c r="A764" i="10"/>
  <c r="AP763" i="10"/>
  <c r="AE763" i="10"/>
  <c r="AB763" i="10"/>
  <c r="AA763" i="10"/>
  <c r="A763" i="10"/>
  <c r="AP762" i="10"/>
  <c r="AE762" i="10"/>
  <c r="AB762" i="10"/>
  <c r="AA762" i="10"/>
  <c r="A762" i="10"/>
  <c r="AP761" i="10"/>
  <c r="AF761" i="10"/>
  <c r="AH761" i="10" s="1"/>
  <c r="AI761" i="10" s="1"/>
  <c r="AE761" i="10"/>
  <c r="AG761" i="10" s="1"/>
  <c r="AB761" i="10"/>
  <c r="AA761" i="10"/>
  <c r="A761" i="10"/>
  <c r="AP760" i="10"/>
  <c r="AE760" i="10"/>
  <c r="AB760" i="10"/>
  <c r="AA760" i="10"/>
  <c r="A760" i="10"/>
  <c r="AP759" i="10"/>
  <c r="AE759" i="10"/>
  <c r="AB759" i="10"/>
  <c r="AA759" i="10"/>
  <c r="A759" i="10"/>
  <c r="AP758" i="10"/>
  <c r="AH758" i="10"/>
  <c r="AI758" i="10" s="1"/>
  <c r="AG758" i="10"/>
  <c r="AE758" i="10"/>
  <c r="AF758" i="10" s="1"/>
  <c r="AB758" i="10"/>
  <c r="AA758" i="10"/>
  <c r="A758" i="10"/>
  <c r="AP757" i="10"/>
  <c r="AE757" i="10"/>
  <c r="AB757" i="10"/>
  <c r="AA757" i="10"/>
  <c r="A757" i="10"/>
  <c r="AP756" i="10"/>
  <c r="AE756" i="10"/>
  <c r="AB756" i="10"/>
  <c r="AA756" i="10"/>
  <c r="A756" i="10"/>
  <c r="AP755" i="10"/>
  <c r="AF755" i="10"/>
  <c r="AH755" i="10" s="1"/>
  <c r="AI755" i="10" s="1"/>
  <c r="AJ755" i="10" s="1"/>
  <c r="AE755" i="10"/>
  <c r="AG755" i="10" s="1"/>
  <c r="AB755" i="10"/>
  <c r="AA755" i="10"/>
  <c r="A755" i="10"/>
  <c r="AP754" i="10"/>
  <c r="AE754" i="10"/>
  <c r="AB754" i="10"/>
  <c r="AA754" i="10"/>
  <c r="A754" i="10"/>
  <c r="AP753" i="10"/>
  <c r="AG753" i="10"/>
  <c r="AF753" i="10"/>
  <c r="AH753" i="10" s="1"/>
  <c r="AI753" i="10" s="1"/>
  <c r="AE753" i="10"/>
  <c r="AB753" i="10"/>
  <c r="AA753" i="10"/>
  <c r="A753" i="10"/>
  <c r="AP752" i="10"/>
  <c r="AE752" i="10"/>
  <c r="AB752" i="10"/>
  <c r="AA752" i="10"/>
  <c r="A752" i="10"/>
  <c r="AP751" i="10"/>
  <c r="AF751" i="10"/>
  <c r="AH751" i="10" s="1"/>
  <c r="AI751" i="10" s="1"/>
  <c r="AE751" i="10"/>
  <c r="AG751" i="10" s="1"/>
  <c r="AJ751" i="10" s="1"/>
  <c r="AB751" i="10"/>
  <c r="AA751" i="10"/>
  <c r="A751" i="10"/>
  <c r="AP750" i="10"/>
  <c r="AG750" i="10"/>
  <c r="AE750" i="10"/>
  <c r="AF750" i="10" s="1"/>
  <c r="AH750" i="10" s="1"/>
  <c r="AI750" i="10" s="1"/>
  <c r="AB750" i="10"/>
  <c r="AA750" i="10"/>
  <c r="A750" i="10"/>
  <c r="AP749" i="10"/>
  <c r="AE749" i="10"/>
  <c r="AB749" i="10"/>
  <c r="AA749" i="10"/>
  <c r="A749" i="10"/>
  <c r="AP748" i="10"/>
  <c r="AE748" i="10"/>
  <c r="AB748" i="10"/>
  <c r="AA748" i="10"/>
  <c r="A748" i="10"/>
  <c r="AP747" i="10"/>
  <c r="AE747" i="10"/>
  <c r="AB747" i="10"/>
  <c r="AA747" i="10"/>
  <c r="A747" i="10"/>
  <c r="AP746" i="10"/>
  <c r="AE746" i="10"/>
  <c r="AB746" i="10"/>
  <c r="AA746" i="10"/>
  <c r="A746" i="10"/>
  <c r="AP745" i="10"/>
  <c r="AG745" i="10"/>
  <c r="AJ745" i="10" s="1"/>
  <c r="AE745" i="10"/>
  <c r="AF745" i="10" s="1"/>
  <c r="AH745" i="10" s="1"/>
  <c r="AI745" i="10" s="1"/>
  <c r="AB745" i="10"/>
  <c r="AA745" i="10"/>
  <c r="A745" i="10"/>
  <c r="AP744" i="10"/>
  <c r="AE744" i="10"/>
  <c r="AB744" i="10"/>
  <c r="AA744" i="10"/>
  <c r="A744" i="10"/>
  <c r="AP743" i="10"/>
  <c r="AF743" i="10"/>
  <c r="AH743" i="10" s="1"/>
  <c r="AI743" i="10" s="1"/>
  <c r="AE743" i="10"/>
  <c r="AG743" i="10" s="1"/>
  <c r="AB743" i="10"/>
  <c r="AA743" i="10"/>
  <c r="A743" i="10"/>
  <c r="AP742" i="10"/>
  <c r="AE742" i="10"/>
  <c r="AB742" i="10"/>
  <c r="AA742" i="10"/>
  <c r="A742" i="10"/>
  <c r="AP741" i="10"/>
  <c r="AE741" i="10"/>
  <c r="AB741" i="10"/>
  <c r="AA741" i="10"/>
  <c r="A741" i="10"/>
  <c r="AP740" i="10"/>
  <c r="AE740" i="10"/>
  <c r="AB740" i="10"/>
  <c r="AA740" i="10"/>
  <c r="A740" i="10"/>
  <c r="AP739" i="10"/>
  <c r="AE739" i="10"/>
  <c r="AB739" i="10"/>
  <c r="AA739" i="10"/>
  <c r="A739" i="10"/>
  <c r="AP738" i="10"/>
  <c r="AE738" i="10"/>
  <c r="AB738" i="10"/>
  <c r="AA738" i="10"/>
  <c r="A738" i="10"/>
  <c r="AP737" i="10"/>
  <c r="AG737" i="10"/>
  <c r="AJ737" i="10" s="1"/>
  <c r="AF737" i="10"/>
  <c r="AH737" i="10" s="1"/>
  <c r="AI737" i="10" s="1"/>
  <c r="AE737" i="10"/>
  <c r="AB737" i="10"/>
  <c r="AA737" i="10"/>
  <c r="A737" i="10"/>
  <c r="AP736" i="10"/>
  <c r="AG736" i="10"/>
  <c r="AE736" i="10"/>
  <c r="AF736" i="10" s="1"/>
  <c r="AH736" i="10" s="1"/>
  <c r="AI736" i="10" s="1"/>
  <c r="AB736" i="10"/>
  <c r="AA736" i="10"/>
  <c r="A736" i="10"/>
  <c r="AP735" i="10"/>
  <c r="AG735" i="10"/>
  <c r="AJ735" i="10" s="1"/>
  <c r="AE735" i="10"/>
  <c r="AF735" i="10" s="1"/>
  <c r="AH735" i="10" s="1"/>
  <c r="AI735" i="10" s="1"/>
  <c r="AB735" i="10"/>
  <c r="AA735" i="10"/>
  <c r="A735" i="10"/>
  <c r="AP734" i="10"/>
  <c r="AE734" i="10"/>
  <c r="AB734" i="10"/>
  <c r="AA734" i="10"/>
  <c r="A734" i="10"/>
  <c r="AP733" i="10"/>
  <c r="AE733" i="10"/>
  <c r="AB733" i="10"/>
  <c r="AA733" i="10"/>
  <c r="A733" i="10"/>
  <c r="AP732" i="10"/>
  <c r="AE732" i="10"/>
  <c r="AB732" i="10"/>
  <c r="AA732" i="10"/>
  <c r="A732" i="10"/>
  <c r="AP731" i="10"/>
  <c r="AE731" i="10"/>
  <c r="AB731" i="10"/>
  <c r="AA731" i="10"/>
  <c r="A731" i="10"/>
  <c r="AP730" i="10"/>
  <c r="AE730" i="10"/>
  <c r="AB730" i="10"/>
  <c r="AA730" i="10"/>
  <c r="A730" i="10"/>
  <c r="AP729" i="10"/>
  <c r="AE729" i="10"/>
  <c r="AB729" i="10"/>
  <c r="AA729" i="10"/>
  <c r="A729" i="10"/>
  <c r="AP728" i="10"/>
  <c r="AH728" i="10"/>
  <c r="AI728" i="10" s="1"/>
  <c r="AG728" i="10"/>
  <c r="AE728" i="10"/>
  <c r="AF728" i="10" s="1"/>
  <c r="AB728" i="10"/>
  <c r="AA728" i="10"/>
  <c r="A728" i="10"/>
  <c r="AP727" i="10"/>
  <c r="AG727" i="10"/>
  <c r="AF727" i="10"/>
  <c r="AH727" i="10" s="1"/>
  <c r="AI727" i="10" s="1"/>
  <c r="AE727" i="10"/>
  <c r="AB727" i="10"/>
  <c r="AA727" i="10"/>
  <c r="A727" i="10"/>
  <c r="AP726" i="10"/>
  <c r="AE726" i="10"/>
  <c r="AB726" i="10"/>
  <c r="AA726" i="10"/>
  <c r="A726" i="10"/>
  <c r="AP725" i="10"/>
  <c r="AE725" i="10"/>
  <c r="AB725" i="10"/>
  <c r="AA725" i="10"/>
  <c r="A725" i="10"/>
  <c r="AP724" i="10"/>
  <c r="AE724" i="10"/>
  <c r="AB724" i="10"/>
  <c r="AA724" i="10"/>
  <c r="A724" i="10"/>
  <c r="AP723" i="10"/>
  <c r="AF723" i="10"/>
  <c r="AH723" i="10" s="1"/>
  <c r="AI723" i="10" s="1"/>
  <c r="AJ723" i="10" s="1"/>
  <c r="AE723" i="10"/>
  <c r="AG723" i="10" s="1"/>
  <c r="AB723" i="10"/>
  <c r="AA723" i="10"/>
  <c r="A723" i="10"/>
  <c r="AP722" i="10"/>
  <c r="AE722" i="10"/>
  <c r="AB722" i="10"/>
  <c r="AA722" i="10"/>
  <c r="A722" i="10"/>
  <c r="AP721" i="10"/>
  <c r="AG721" i="10"/>
  <c r="AF721" i="10"/>
  <c r="AH721" i="10" s="1"/>
  <c r="AI721" i="10" s="1"/>
  <c r="AE721" i="10"/>
  <c r="AB721" i="10"/>
  <c r="AA721" i="10"/>
  <c r="A721" i="10"/>
  <c r="AP720" i="10"/>
  <c r="AE720" i="10"/>
  <c r="AB720" i="10"/>
  <c r="AA720" i="10"/>
  <c r="A720" i="10"/>
  <c r="AP719" i="10"/>
  <c r="AF719" i="10"/>
  <c r="AH719" i="10" s="1"/>
  <c r="AI719" i="10" s="1"/>
  <c r="AE719" i="10"/>
  <c r="AG719" i="10" s="1"/>
  <c r="AJ719" i="10" s="1"/>
  <c r="AB719" i="10"/>
  <c r="AA719" i="10"/>
  <c r="A719" i="10"/>
  <c r="AP718" i="10"/>
  <c r="AG718" i="10"/>
  <c r="AE718" i="10"/>
  <c r="AF718" i="10" s="1"/>
  <c r="AH718" i="10" s="1"/>
  <c r="AI718" i="10" s="1"/>
  <c r="AB718" i="10"/>
  <c r="AA718" i="10"/>
  <c r="A718" i="10"/>
  <c r="AP717" i="10"/>
  <c r="AE717" i="10"/>
  <c r="AB717" i="10"/>
  <c r="AA717" i="10"/>
  <c r="A717" i="10"/>
  <c r="AP716" i="10"/>
  <c r="AE716" i="10"/>
  <c r="AB716" i="10"/>
  <c r="AA716" i="10"/>
  <c r="A716" i="10"/>
  <c r="AP715" i="10"/>
  <c r="AE715" i="10"/>
  <c r="AB715" i="10"/>
  <c r="AA715" i="10"/>
  <c r="A715" i="10"/>
  <c r="AP714" i="10"/>
  <c r="AE714" i="10"/>
  <c r="AB714" i="10"/>
  <c r="AA714" i="10"/>
  <c r="A714" i="10"/>
  <c r="AP713" i="10"/>
  <c r="AG713" i="10"/>
  <c r="AJ713" i="10" s="1"/>
  <c r="AE713" i="10"/>
  <c r="AF713" i="10" s="1"/>
  <c r="AH713" i="10" s="1"/>
  <c r="AI713" i="10" s="1"/>
  <c r="AB713" i="10"/>
  <c r="AA713" i="10"/>
  <c r="A713" i="10"/>
  <c r="AP712" i="10"/>
  <c r="AE712" i="10"/>
  <c r="AB712" i="10"/>
  <c r="AA712" i="10"/>
  <c r="A712" i="10"/>
  <c r="AP711" i="10"/>
  <c r="AF711" i="10"/>
  <c r="AH711" i="10" s="1"/>
  <c r="AI711" i="10" s="1"/>
  <c r="AE711" i="10"/>
  <c r="AG711" i="10" s="1"/>
  <c r="AB711" i="10"/>
  <c r="AA711" i="10"/>
  <c r="A711" i="10"/>
  <c r="AP710" i="10"/>
  <c r="AE710" i="10"/>
  <c r="AB710" i="10"/>
  <c r="AA710" i="10"/>
  <c r="A710" i="10"/>
  <c r="AP709" i="10"/>
  <c r="AE709" i="10"/>
  <c r="AB709" i="10"/>
  <c r="AA709" i="10"/>
  <c r="A709" i="10"/>
  <c r="AP708" i="10"/>
  <c r="AE708" i="10"/>
  <c r="AB708" i="10"/>
  <c r="AA708" i="10"/>
  <c r="A708" i="10"/>
  <c r="AP707" i="10"/>
  <c r="AE707" i="10"/>
  <c r="AB707" i="10"/>
  <c r="AA707" i="10"/>
  <c r="A707" i="10"/>
  <c r="AP706" i="10"/>
  <c r="AE706" i="10"/>
  <c r="AB706" i="10"/>
  <c r="AA706" i="10"/>
  <c r="A706" i="10"/>
  <c r="AP705" i="10"/>
  <c r="AG705" i="10"/>
  <c r="AF705" i="10"/>
  <c r="AH705" i="10" s="1"/>
  <c r="AI705" i="10" s="1"/>
  <c r="AE705" i="10"/>
  <c r="AB705" i="10"/>
  <c r="AA705" i="10"/>
  <c r="A705" i="10"/>
  <c r="AP704" i="10"/>
  <c r="AE704" i="10"/>
  <c r="AB704" i="10"/>
  <c r="AA704" i="10"/>
  <c r="A704" i="10"/>
  <c r="AP703" i="10"/>
  <c r="AE703" i="10"/>
  <c r="AF703" i="10" s="1"/>
  <c r="AH703" i="10" s="1"/>
  <c r="AI703" i="10" s="1"/>
  <c r="AB703" i="10"/>
  <c r="AA703" i="10"/>
  <c r="A703" i="10"/>
  <c r="AP702" i="10"/>
  <c r="AG702" i="10"/>
  <c r="AE702" i="10"/>
  <c r="AF702" i="10" s="1"/>
  <c r="AH702" i="10" s="1"/>
  <c r="AI702" i="10" s="1"/>
  <c r="AB702" i="10"/>
  <c r="AA702" i="10"/>
  <c r="A702" i="10"/>
  <c r="AP701" i="10"/>
  <c r="AE701" i="10"/>
  <c r="AB701" i="10"/>
  <c r="AA701" i="10"/>
  <c r="A701" i="10"/>
  <c r="AP700" i="10"/>
  <c r="AE700" i="10"/>
  <c r="AB700" i="10"/>
  <c r="AA700" i="10"/>
  <c r="A700" i="10"/>
  <c r="AP699" i="10"/>
  <c r="AF699" i="10"/>
  <c r="AH699" i="10" s="1"/>
  <c r="AI699" i="10" s="1"/>
  <c r="AE699" i="10"/>
  <c r="AG699" i="10" s="1"/>
  <c r="AB699" i="10"/>
  <c r="AA699" i="10"/>
  <c r="A699" i="10"/>
  <c r="AP698" i="10"/>
  <c r="AE698" i="10"/>
  <c r="AB698" i="10"/>
  <c r="AA698" i="10"/>
  <c r="A698" i="10"/>
  <c r="AP697" i="10"/>
  <c r="AF697" i="10"/>
  <c r="AH697" i="10" s="1"/>
  <c r="AI697" i="10" s="1"/>
  <c r="AE697" i="10"/>
  <c r="AG697" i="10" s="1"/>
  <c r="AB697" i="10"/>
  <c r="AA697" i="10"/>
  <c r="A697" i="10"/>
  <c r="AP696" i="10"/>
  <c r="AE696" i="10"/>
  <c r="AB696" i="10"/>
  <c r="AA696" i="10"/>
  <c r="A696" i="10"/>
  <c r="AP695" i="10"/>
  <c r="AG695" i="10"/>
  <c r="AJ695" i="10" s="1"/>
  <c r="AE695" i="10"/>
  <c r="AF695" i="10" s="1"/>
  <c r="AH695" i="10" s="1"/>
  <c r="AI695" i="10" s="1"/>
  <c r="AB695" i="10"/>
  <c r="AA695" i="10"/>
  <c r="A695" i="10"/>
  <c r="AP694" i="10"/>
  <c r="AH694" i="10"/>
  <c r="AI694" i="10" s="1"/>
  <c r="AG694" i="10"/>
  <c r="AE694" i="10"/>
  <c r="AF694" i="10" s="1"/>
  <c r="AB694" i="10"/>
  <c r="AA694" i="10"/>
  <c r="A694" i="10"/>
  <c r="AP693" i="10"/>
  <c r="AE693" i="10"/>
  <c r="AB693" i="10"/>
  <c r="AA693" i="10"/>
  <c r="A693" i="10"/>
  <c r="AP692" i="10"/>
  <c r="AE692" i="10"/>
  <c r="AB692" i="10"/>
  <c r="AA692" i="10"/>
  <c r="A692" i="10"/>
  <c r="AP691" i="10"/>
  <c r="AF691" i="10"/>
  <c r="AH691" i="10" s="1"/>
  <c r="AI691" i="10" s="1"/>
  <c r="AJ691" i="10" s="1"/>
  <c r="AE691" i="10"/>
  <c r="AG691" i="10" s="1"/>
  <c r="AB691" i="10"/>
  <c r="AA691" i="10"/>
  <c r="A691" i="10"/>
  <c r="AP690" i="10"/>
  <c r="AE690" i="10"/>
  <c r="AB690" i="10"/>
  <c r="AA690" i="10"/>
  <c r="A690" i="10"/>
  <c r="AP689" i="10"/>
  <c r="AG689" i="10"/>
  <c r="AF689" i="10"/>
  <c r="AH689" i="10" s="1"/>
  <c r="AI689" i="10" s="1"/>
  <c r="AE689" i="10"/>
  <c r="AB689" i="10"/>
  <c r="AA689" i="10"/>
  <c r="A689" i="10"/>
  <c r="AP688" i="10"/>
  <c r="AE688" i="10"/>
  <c r="AB688" i="10"/>
  <c r="AA688" i="10"/>
  <c r="A688" i="10"/>
  <c r="AP687" i="10"/>
  <c r="AG687" i="10"/>
  <c r="AJ687" i="10" s="1"/>
  <c r="AE687" i="10"/>
  <c r="AF687" i="10" s="1"/>
  <c r="AH687" i="10" s="1"/>
  <c r="AI687" i="10" s="1"/>
  <c r="AB687" i="10"/>
  <c r="AA687" i="10"/>
  <c r="A687" i="10"/>
  <c r="AP686" i="10"/>
  <c r="AG686" i="10"/>
  <c r="AE686" i="10"/>
  <c r="AF686" i="10" s="1"/>
  <c r="AH686" i="10" s="1"/>
  <c r="AI686" i="10" s="1"/>
  <c r="AB686" i="10"/>
  <c r="AA686" i="10"/>
  <c r="A686" i="10"/>
  <c r="AP685" i="10"/>
  <c r="AE685" i="10"/>
  <c r="AB685" i="10"/>
  <c r="AA685" i="10"/>
  <c r="A685" i="10"/>
  <c r="AP684" i="10"/>
  <c r="AE684" i="10"/>
  <c r="AB684" i="10"/>
  <c r="AA684" i="10"/>
  <c r="A684" i="10"/>
  <c r="AP683" i="10"/>
  <c r="AE683" i="10"/>
  <c r="AB683" i="10"/>
  <c r="AA683" i="10"/>
  <c r="A683" i="10"/>
  <c r="AP682" i="10"/>
  <c r="AE682" i="10"/>
  <c r="AB682" i="10"/>
  <c r="AA682" i="10"/>
  <c r="A682" i="10"/>
  <c r="AP681" i="10"/>
  <c r="AG681" i="10"/>
  <c r="AJ681" i="10" s="1"/>
  <c r="AE681" i="10"/>
  <c r="AF681" i="10" s="1"/>
  <c r="AH681" i="10" s="1"/>
  <c r="AI681" i="10" s="1"/>
  <c r="AB681" i="10"/>
  <c r="AA681" i="10"/>
  <c r="A681" i="10"/>
  <c r="AP680" i="10"/>
  <c r="AG680" i="10"/>
  <c r="AE680" i="10"/>
  <c r="AF680" i="10" s="1"/>
  <c r="AH680" i="10" s="1"/>
  <c r="AI680" i="10" s="1"/>
  <c r="AB680" i="10"/>
  <c r="AA680" i="10"/>
  <c r="A680" i="10"/>
  <c r="AP679" i="10"/>
  <c r="AI679" i="10"/>
  <c r="AF679" i="10"/>
  <c r="AH679" i="10" s="1"/>
  <c r="AE679" i="10"/>
  <c r="AG679" i="10" s="1"/>
  <c r="AB679" i="10"/>
  <c r="AA679" i="10"/>
  <c r="A679" i="10"/>
  <c r="AP678" i="10"/>
  <c r="AE678" i="10"/>
  <c r="AB678" i="10"/>
  <c r="AA678" i="10"/>
  <c r="A678" i="10"/>
  <c r="AP677" i="10"/>
  <c r="AE677" i="10"/>
  <c r="AB677" i="10"/>
  <c r="AA677" i="10"/>
  <c r="A677" i="10"/>
  <c r="AP676" i="10"/>
  <c r="AE676" i="10"/>
  <c r="AB676" i="10"/>
  <c r="AA676" i="10"/>
  <c r="A676" i="10"/>
  <c r="AP675" i="10"/>
  <c r="AE675" i="10"/>
  <c r="AB675" i="10"/>
  <c r="AA675" i="10"/>
  <c r="A675" i="10"/>
  <c r="AP674" i="10"/>
  <c r="AE674" i="10"/>
  <c r="AB674" i="10"/>
  <c r="AA674" i="10"/>
  <c r="A674" i="10"/>
  <c r="AP673" i="10"/>
  <c r="AG673" i="10"/>
  <c r="AF673" i="10"/>
  <c r="AH673" i="10" s="1"/>
  <c r="AI673" i="10" s="1"/>
  <c r="AE673" i="10"/>
  <c r="AB673" i="10"/>
  <c r="AA673" i="10"/>
  <c r="A673" i="10"/>
  <c r="AP672" i="10"/>
  <c r="AE672" i="10"/>
  <c r="AB672" i="10"/>
  <c r="AA672" i="10"/>
  <c r="A672" i="10"/>
  <c r="AP671" i="10"/>
  <c r="AE671" i="10"/>
  <c r="AB671" i="10"/>
  <c r="AA671" i="10"/>
  <c r="A671" i="10"/>
  <c r="AP670" i="10"/>
  <c r="AG670" i="10"/>
  <c r="AJ670" i="10" s="1"/>
  <c r="AE670" i="10"/>
  <c r="AF670" i="10" s="1"/>
  <c r="AH670" i="10" s="1"/>
  <c r="AI670" i="10" s="1"/>
  <c r="AB670" i="10"/>
  <c r="AA670" i="10"/>
  <c r="A670" i="10"/>
  <c r="AP669" i="10"/>
  <c r="AG669" i="10"/>
  <c r="AJ669" i="10" s="1"/>
  <c r="AE669" i="10"/>
  <c r="AF669" i="10" s="1"/>
  <c r="AH669" i="10" s="1"/>
  <c r="AI669" i="10" s="1"/>
  <c r="AB669" i="10"/>
  <c r="AA669" i="10"/>
  <c r="A669" i="10"/>
  <c r="AP668" i="10"/>
  <c r="AE668" i="10"/>
  <c r="AB668" i="10"/>
  <c r="AA668" i="10"/>
  <c r="A668" i="10"/>
  <c r="AP667" i="10"/>
  <c r="AE667" i="10"/>
  <c r="AB667" i="10"/>
  <c r="AA667" i="10"/>
  <c r="A667" i="10"/>
  <c r="AP666" i="10"/>
  <c r="AE666" i="10"/>
  <c r="AB666" i="10"/>
  <c r="AA666" i="10"/>
  <c r="A666" i="10"/>
  <c r="AP665" i="10"/>
  <c r="AE665" i="10"/>
  <c r="AB665" i="10"/>
  <c r="AA665" i="10"/>
  <c r="A665" i="10"/>
  <c r="AP664" i="10"/>
  <c r="AG664" i="10"/>
  <c r="AE664" i="10"/>
  <c r="AF664" i="10" s="1"/>
  <c r="AH664" i="10" s="1"/>
  <c r="AI664" i="10" s="1"/>
  <c r="AB664" i="10"/>
  <c r="AA664" i="10"/>
  <c r="A664" i="10"/>
  <c r="AP663" i="10"/>
  <c r="AE663" i="10"/>
  <c r="AF663" i="10" s="1"/>
  <c r="AH663" i="10" s="1"/>
  <c r="AI663" i="10" s="1"/>
  <c r="AB663" i="10"/>
  <c r="AA663" i="10"/>
  <c r="A663" i="10"/>
  <c r="AP662" i="10"/>
  <c r="AH662" i="10"/>
  <c r="AI662" i="10" s="1"/>
  <c r="AG662" i="10"/>
  <c r="AE662" i="10"/>
  <c r="AF662" i="10" s="1"/>
  <c r="AB662" i="10"/>
  <c r="AA662" i="10"/>
  <c r="A662" i="10"/>
  <c r="AP661" i="10"/>
  <c r="AE661" i="10"/>
  <c r="AB661" i="10"/>
  <c r="AA661" i="10"/>
  <c r="A661" i="10"/>
  <c r="AP660" i="10"/>
  <c r="AE660" i="10"/>
  <c r="AB660" i="10"/>
  <c r="AA660" i="10"/>
  <c r="A660" i="10"/>
  <c r="AP659" i="10"/>
  <c r="AE659" i="10"/>
  <c r="AB659" i="10"/>
  <c r="AA659" i="10"/>
  <c r="A659" i="10"/>
  <c r="AP658" i="10"/>
  <c r="AE658" i="10"/>
  <c r="AB658" i="10"/>
  <c r="AA658" i="10"/>
  <c r="A658" i="10"/>
  <c r="AP657" i="10"/>
  <c r="AE657" i="10"/>
  <c r="AB657" i="10"/>
  <c r="AA657" i="10"/>
  <c r="A657" i="10"/>
  <c r="AP656" i="10"/>
  <c r="AE656" i="10"/>
  <c r="AB656" i="10"/>
  <c r="AA656" i="10"/>
  <c r="A656" i="10"/>
  <c r="AP655" i="10"/>
  <c r="AE655" i="10"/>
  <c r="AF655" i="10" s="1"/>
  <c r="AH655" i="10" s="1"/>
  <c r="AI655" i="10" s="1"/>
  <c r="AB655" i="10"/>
  <c r="AA655" i="10"/>
  <c r="A655" i="10"/>
  <c r="AP654" i="10"/>
  <c r="AE654" i="10"/>
  <c r="AB654" i="10"/>
  <c r="AA654" i="10"/>
  <c r="A654" i="10"/>
  <c r="AP653" i="10"/>
  <c r="AE653" i="10"/>
  <c r="AB653" i="10"/>
  <c r="AA653" i="10"/>
  <c r="A653" i="10"/>
  <c r="AP652" i="10"/>
  <c r="AE652" i="10"/>
  <c r="AB652" i="10"/>
  <c r="AA652" i="10"/>
  <c r="A652" i="10"/>
  <c r="AP651" i="10"/>
  <c r="AE651" i="10"/>
  <c r="AB651" i="10"/>
  <c r="AA651" i="10"/>
  <c r="A651" i="10"/>
  <c r="AP650" i="10"/>
  <c r="AE650" i="10"/>
  <c r="AB650" i="10"/>
  <c r="AA650" i="10"/>
  <c r="A650" i="10"/>
  <c r="AP649" i="10"/>
  <c r="AG649" i="10"/>
  <c r="AJ649" i="10" s="1"/>
  <c r="AE649" i="10"/>
  <c r="AF649" i="10" s="1"/>
  <c r="AH649" i="10" s="1"/>
  <c r="AI649" i="10" s="1"/>
  <c r="AB649" i="10"/>
  <c r="AA649" i="10"/>
  <c r="A649" i="10"/>
  <c r="AP648" i="10"/>
  <c r="AE648" i="10"/>
  <c r="AB648" i="10"/>
  <c r="AA648" i="10"/>
  <c r="A648" i="10"/>
  <c r="AP647" i="10"/>
  <c r="AE647" i="10"/>
  <c r="AB647" i="10"/>
  <c r="AA647" i="10"/>
  <c r="A647" i="10"/>
  <c r="AP646" i="10"/>
  <c r="AE646" i="10"/>
  <c r="AB646" i="10"/>
  <c r="AA646" i="10"/>
  <c r="A646" i="10"/>
  <c r="AP645" i="10"/>
  <c r="AE645" i="10"/>
  <c r="AB645" i="10"/>
  <c r="AA645" i="10"/>
  <c r="A645" i="10"/>
  <c r="AP644" i="10"/>
  <c r="AE644" i="10"/>
  <c r="AB644" i="10"/>
  <c r="AA644" i="10"/>
  <c r="A644" i="10"/>
  <c r="AP643" i="10"/>
  <c r="AE643" i="10"/>
  <c r="AB643" i="10"/>
  <c r="AA643" i="10"/>
  <c r="A643" i="10"/>
  <c r="AP642" i="10"/>
  <c r="AE642" i="10"/>
  <c r="AB642" i="10"/>
  <c r="AA642" i="10"/>
  <c r="A642" i="10"/>
  <c r="AP641" i="10"/>
  <c r="AG641" i="10"/>
  <c r="AJ641" i="10" s="1"/>
  <c r="AE641" i="10"/>
  <c r="AF641" i="10" s="1"/>
  <c r="AH641" i="10" s="1"/>
  <c r="AI641" i="10" s="1"/>
  <c r="AB641" i="10"/>
  <c r="AA641" i="10"/>
  <c r="A641" i="10"/>
  <c r="AP640" i="10"/>
  <c r="AG640" i="10"/>
  <c r="AE640" i="10"/>
  <c r="AF640" i="10" s="1"/>
  <c r="AH640" i="10" s="1"/>
  <c r="AI640" i="10" s="1"/>
  <c r="AB640" i="10"/>
  <c r="AA640" i="10"/>
  <c r="A640" i="10"/>
  <c r="AP639" i="10"/>
  <c r="AG639" i="10"/>
  <c r="AE639" i="10"/>
  <c r="AF639" i="10" s="1"/>
  <c r="AH639" i="10" s="1"/>
  <c r="AI639" i="10" s="1"/>
  <c r="AB639" i="10"/>
  <c r="AA639" i="10"/>
  <c r="A639" i="10"/>
  <c r="AP638" i="10"/>
  <c r="AH638" i="10"/>
  <c r="AI638" i="10" s="1"/>
  <c r="AG638" i="10"/>
  <c r="AJ638" i="10" s="1"/>
  <c r="AE638" i="10"/>
  <c r="AF638" i="10" s="1"/>
  <c r="AB638" i="10"/>
  <c r="AA638" i="10"/>
  <c r="A638" i="10"/>
  <c r="AP637" i="10"/>
  <c r="AE637" i="10"/>
  <c r="AB637" i="10"/>
  <c r="AA637" i="10"/>
  <c r="A637" i="10"/>
  <c r="AP636" i="10"/>
  <c r="AE636" i="10"/>
  <c r="AB636" i="10"/>
  <c r="AA636" i="10"/>
  <c r="A636" i="10"/>
  <c r="AP635" i="10"/>
  <c r="AF635" i="10"/>
  <c r="AH635" i="10" s="1"/>
  <c r="AI635" i="10" s="1"/>
  <c r="AE635" i="10"/>
  <c r="AG635" i="10" s="1"/>
  <c r="AB635" i="10"/>
  <c r="AA635" i="10"/>
  <c r="A635" i="10"/>
  <c r="AP634" i="10"/>
  <c r="AE634" i="10"/>
  <c r="AB634" i="10"/>
  <c r="AA634" i="10"/>
  <c r="A634" i="10"/>
  <c r="AP633" i="10"/>
  <c r="AE633" i="10"/>
  <c r="AB633" i="10"/>
  <c r="AA633" i="10"/>
  <c r="A633" i="10"/>
  <c r="AP632" i="10"/>
  <c r="AG632" i="10"/>
  <c r="AE632" i="10"/>
  <c r="AF632" i="10" s="1"/>
  <c r="AH632" i="10" s="1"/>
  <c r="AI632" i="10" s="1"/>
  <c r="AB632" i="10"/>
  <c r="AA632" i="10"/>
  <c r="A632" i="10"/>
  <c r="AP631" i="10"/>
  <c r="AG631" i="10"/>
  <c r="AE631" i="10"/>
  <c r="AF631" i="10" s="1"/>
  <c r="AH631" i="10" s="1"/>
  <c r="AI631" i="10" s="1"/>
  <c r="AB631" i="10"/>
  <c r="AA631" i="10"/>
  <c r="A631" i="10"/>
  <c r="AP630" i="10"/>
  <c r="AE630" i="10"/>
  <c r="AB630" i="10"/>
  <c r="AA630" i="10"/>
  <c r="A630" i="10"/>
  <c r="AP629" i="10"/>
  <c r="AI629" i="10"/>
  <c r="AG629" i="10"/>
  <c r="AJ629" i="10" s="1"/>
  <c r="AE629" i="10"/>
  <c r="AF629" i="10" s="1"/>
  <c r="AH629" i="10" s="1"/>
  <c r="AB629" i="10"/>
  <c r="AA629" i="10"/>
  <c r="A629" i="10"/>
  <c r="AP628" i="10"/>
  <c r="AE628" i="10"/>
  <c r="AB628" i="10"/>
  <c r="AA628" i="10"/>
  <c r="A628" i="10"/>
  <c r="AP627" i="10"/>
  <c r="AF627" i="10"/>
  <c r="AH627" i="10" s="1"/>
  <c r="AI627" i="10" s="1"/>
  <c r="AE627" i="10"/>
  <c r="AG627" i="10" s="1"/>
  <c r="AB627" i="10"/>
  <c r="AA627" i="10"/>
  <c r="A627" i="10"/>
  <c r="AP626" i="10"/>
  <c r="AE626" i="10"/>
  <c r="AB626" i="10"/>
  <c r="AA626" i="10"/>
  <c r="A626" i="10"/>
  <c r="AP625" i="10"/>
  <c r="AE625" i="10"/>
  <c r="AB625" i="10"/>
  <c r="AA625" i="10"/>
  <c r="A625" i="10"/>
  <c r="AP624" i="10"/>
  <c r="AE624" i="10"/>
  <c r="AB624" i="10"/>
  <c r="AA624" i="10"/>
  <c r="A624" i="10"/>
  <c r="AP623" i="10"/>
  <c r="AE623" i="10"/>
  <c r="AB623" i="10"/>
  <c r="AA623" i="10"/>
  <c r="A623" i="10"/>
  <c r="AP622" i="10"/>
  <c r="AH622" i="10"/>
  <c r="AI622" i="10" s="1"/>
  <c r="AG622" i="10"/>
  <c r="AE622" i="10"/>
  <c r="AF622" i="10" s="1"/>
  <c r="AB622" i="10"/>
  <c r="AA622" i="10"/>
  <c r="A622" i="10"/>
  <c r="AP621" i="10"/>
  <c r="AE621" i="10"/>
  <c r="AB621" i="10"/>
  <c r="AA621" i="10"/>
  <c r="A621" i="10"/>
  <c r="AP620" i="10"/>
  <c r="AE620" i="10"/>
  <c r="AB620" i="10"/>
  <c r="AA620" i="10"/>
  <c r="A620" i="10"/>
  <c r="AP619" i="10"/>
  <c r="AE619" i="10"/>
  <c r="AB619" i="10"/>
  <c r="AA619" i="10"/>
  <c r="A619" i="10"/>
  <c r="AP618" i="10"/>
  <c r="AE618" i="10"/>
  <c r="AB618" i="10"/>
  <c r="AA618" i="10"/>
  <c r="A618" i="10"/>
  <c r="AP617" i="10"/>
  <c r="AE617" i="10"/>
  <c r="AB617" i="10"/>
  <c r="AA617" i="10"/>
  <c r="A617" i="10"/>
  <c r="AP616" i="10"/>
  <c r="AE616" i="10"/>
  <c r="AB616" i="10"/>
  <c r="AA616" i="10"/>
  <c r="A616" i="10"/>
  <c r="AP615" i="10"/>
  <c r="AI615" i="10"/>
  <c r="AF615" i="10"/>
  <c r="AH615" i="10" s="1"/>
  <c r="AE615" i="10"/>
  <c r="AG615" i="10" s="1"/>
  <c r="AB615" i="10"/>
  <c r="AA615" i="10"/>
  <c r="A615" i="10"/>
  <c r="AP614" i="10"/>
  <c r="AG614" i="10"/>
  <c r="AE614" i="10"/>
  <c r="AF614" i="10" s="1"/>
  <c r="AH614" i="10" s="1"/>
  <c r="AI614" i="10" s="1"/>
  <c r="AB614" i="10"/>
  <c r="AA614" i="10"/>
  <c r="A614" i="10"/>
  <c r="AP613" i="10"/>
  <c r="AE613" i="10"/>
  <c r="AB613" i="10"/>
  <c r="AA613" i="10"/>
  <c r="A613" i="10"/>
  <c r="AP612" i="10"/>
  <c r="AE612" i="10"/>
  <c r="AB612" i="10"/>
  <c r="AA612" i="10"/>
  <c r="A612" i="10"/>
  <c r="AP611" i="10"/>
  <c r="AJ611" i="10"/>
  <c r="AF611" i="10"/>
  <c r="AH611" i="10" s="1"/>
  <c r="AI611" i="10" s="1"/>
  <c r="AE611" i="10"/>
  <c r="AG611" i="10" s="1"/>
  <c r="AB611" i="10"/>
  <c r="AA611" i="10"/>
  <c r="A611" i="10"/>
  <c r="AP610" i="10"/>
  <c r="AE610" i="10"/>
  <c r="AB610" i="10"/>
  <c r="AA610" i="10"/>
  <c r="A610" i="10"/>
  <c r="AP609" i="10"/>
  <c r="AG609" i="10"/>
  <c r="AJ609" i="10" s="1"/>
  <c r="AE609" i="10"/>
  <c r="AF609" i="10" s="1"/>
  <c r="AH609" i="10" s="1"/>
  <c r="AI609" i="10" s="1"/>
  <c r="AB609" i="10"/>
  <c r="AA609" i="10"/>
  <c r="A609" i="10"/>
  <c r="AP608" i="10"/>
  <c r="AE608" i="10"/>
  <c r="AB608" i="10"/>
  <c r="AA608" i="10"/>
  <c r="A608" i="10"/>
  <c r="AP607" i="10"/>
  <c r="AE607" i="10"/>
  <c r="AF607" i="10" s="1"/>
  <c r="AH607" i="10" s="1"/>
  <c r="AI607" i="10" s="1"/>
  <c r="AB607" i="10"/>
  <c r="AA607" i="10"/>
  <c r="A607" i="10"/>
  <c r="AP606" i="10"/>
  <c r="AF606" i="10"/>
  <c r="AH606" i="10" s="1"/>
  <c r="AI606" i="10" s="1"/>
  <c r="AE606" i="10"/>
  <c r="AG606" i="10" s="1"/>
  <c r="AB606" i="10"/>
  <c r="AA606" i="10"/>
  <c r="A606" i="10"/>
  <c r="AP605" i="10"/>
  <c r="AF605" i="10"/>
  <c r="AH605" i="10" s="1"/>
  <c r="AI605" i="10" s="1"/>
  <c r="AE605" i="10"/>
  <c r="AG605" i="10" s="1"/>
  <c r="AB605" i="10"/>
  <c r="AA605" i="10"/>
  <c r="A605" i="10"/>
  <c r="AP604" i="10"/>
  <c r="AE604" i="10"/>
  <c r="AB604" i="10"/>
  <c r="AA604" i="10"/>
  <c r="A604" i="10"/>
  <c r="AP603" i="10"/>
  <c r="AE603" i="10"/>
  <c r="AF603" i="10" s="1"/>
  <c r="AH603" i="10" s="1"/>
  <c r="AI603" i="10" s="1"/>
  <c r="AB603" i="10"/>
  <c r="AA603" i="10"/>
  <c r="A603" i="10"/>
  <c r="AP602" i="10"/>
  <c r="AF602" i="10"/>
  <c r="AH602" i="10" s="1"/>
  <c r="AI602" i="10" s="1"/>
  <c r="AE602" i="10"/>
  <c r="AG602" i="10" s="1"/>
  <c r="AB602" i="10"/>
  <c r="AA602" i="10"/>
  <c r="A602" i="10"/>
  <c r="AP601" i="10"/>
  <c r="AF601" i="10"/>
  <c r="AH601" i="10" s="1"/>
  <c r="AI601" i="10" s="1"/>
  <c r="AE601" i="10"/>
  <c r="AG601" i="10" s="1"/>
  <c r="AB601" i="10"/>
  <c r="AA601" i="10"/>
  <c r="A601" i="10"/>
  <c r="AP600" i="10"/>
  <c r="AE600" i="10"/>
  <c r="AB600" i="10"/>
  <c r="AA600" i="10"/>
  <c r="A600" i="10"/>
  <c r="AP599" i="10"/>
  <c r="AE599" i="10"/>
  <c r="AF599" i="10" s="1"/>
  <c r="AH599" i="10" s="1"/>
  <c r="AI599" i="10" s="1"/>
  <c r="AB599" i="10"/>
  <c r="AA599" i="10"/>
  <c r="A599" i="10"/>
  <c r="AP598" i="10"/>
  <c r="AF598" i="10"/>
  <c r="AH598" i="10" s="1"/>
  <c r="AI598" i="10" s="1"/>
  <c r="AE598" i="10"/>
  <c r="AG598" i="10" s="1"/>
  <c r="AB598" i="10"/>
  <c r="AA598" i="10"/>
  <c r="A598" i="10"/>
  <c r="AP597" i="10"/>
  <c r="AF597" i="10"/>
  <c r="AH597" i="10" s="1"/>
  <c r="AI597" i="10" s="1"/>
  <c r="AE597" i="10"/>
  <c r="AG597" i="10" s="1"/>
  <c r="AB597" i="10"/>
  <c r="AA597" i="10"/>
  <c r="A597" i="10"/>
  <c r="AP596" i="10"/>
  <c r="AE596" i="10"/>
  <c r="AB596" i="10"/>
  <c r="AA596" i="10"/>
  <c r="A596" i="10"/>
  <c r="AP595" i="10"/>
  <c r="AF595" i="10"/>
  <c r="AH595" i="10" s="1"/>
  <c r="AI595" i="10" s="1"/>
  <c r="AE595" i="10"/>
  <c r="AG595" i="10" s="1"/>
  <c r="AB595" i="10"/>
  <c r="AA595" i="10"/>
  <c r="A595" i="10"/>
  <c r="AP594" i="10"/>
  <c r="AE594" i="10"/>
  <c r="AB594" i="10"/>
  <c r="AA594" i="10"/>
  <c r="A594" i="10"/>
  <c r="AP593" i="10"/>
  <c r="AG593" i="10"/>
  <c r="AJ593" i="10" s="1"/>
  <c r="AE593" i="10"/>
  <c r="AF593" i="10" s="1"/>
  <c r="AH593" i="10" s="1"/>
  <c r="AI593" i="10" s="1"/>
  <c r="AB593" i="10"/>
  <c r="AA593" i="10"/>
  <c r="A593" i="10"/>
  <c r="AP592" i="10"/>
  <c r="AE592" i="10"/>
  <c r="AB592" i="10"/>
  <c r="AA592" i="10"/>
  <c r="A592" i="10"/>
  <c r="AP591" i="10"/>
  <c r="AE591" i="10"/>
  <c r="AB591" i="10"/>
  <c r="AA591" i="10"/>
  <c r="A591" i="10"/>
  <c r="AP590" i="10"/>
  <c r="AF590" i="10"/>
  <c r="AH590" i="10" s="1"/>
  <c r="AI590" i="10" s="1"/>
  <c r="AE590" i="10"/>
  <c r="AG590" i="10" s="1"/>
  <c r="AB590" i="10"/>
  <c r="AA590" i="10"/>
  <c r="A590" i="10"/>
  <c r="AP589" i="10"/>
  <c r="AG589" i="10"/>
  <c r="AF589" i="10"/>
  <c r="AH589" i="10" s="1"/>
  <c r="AI589" i="10" s="1"/>
  <c r="AE589" i="10"/>
  <c r="AB589" i="10"/>
  <c r="AA589" i="10"/>
  <c r="A589" i="10"/>
  <c r="AP588" i="10"/>
  <c r="AE588" i="10"/>
  <c r="AB588" i="10"/>
  <c r="AA588" i="10"/>
  <c r="A588" i="10"/>
  <c r="AP587" i="10"/>
  <c r="AG587" i="10"/>
  <c r="AJ587" i="10" s="1"/>
  <c r="AE587" i="10"/>
  <c r="AF587" i="10" s="1"/>
  <c r="AH587" i="10" s="1"/>
  <c r="AI587" i="10" s="1"/>
  <c r="AB587" i="10"/>
  <c r="AA587" i="10"/>
  <c r="A587" i="10"/>
  <c r="AP586" i="10"/>
  <c r="AF586" i="10"/>
  <c r="AH586" i="10" s="1"/>
  <c r="AI586" i="10" s="1"/>
  <c r="AE586" i="10"/>
  <c r="AG586" i="10" s="1"/>
  <c r="AB586" i="10"/>
  <c r="AA586" i="10"/>
  <c r="A586" i="10"/>
  <c r="AP585" i="10"/>
  <c r="AH585" i="10"/>
  <c r="AI585" i="10" s="1"/>
  <c r="AG585" i="10"/>
  <c r="AF585" i="10"/>
  <c r="AE585" i="10"/>
  <c r="AB585" i="10"/>
  <c r="AA585" i="10"/>
  <c r="A585" i="10"/>
  <c r="AP584" i="10"/>
  <c r="AE584" i="10"/>
  <c r="AB584" i="10"/>
  <c r="AA584" i="10"/>
  <c r="A584" i="10"/>
  <c r="AP583" i="10"/>
  <c r="AG583" i="10"/>
  <c r="AJ583" i="10" s="1"/>
  <c r="AE583" i="10"/>
  <c r="AF583" i="10" s="1"/>
  <c r="AH583" i="10" s="1"/>
  <c r="AI583" i="10" s="1"/>
  <c r="AB583" i="10"/>
  <c r="AA583" i="10"/>
  <c r="A583" i="10"/>
  <c r="AP582" i="10"/>
  <c r="AF582" i="10"/>
  <c r="AH582" i="10" s="1"/>
  <c r="AI582" i="10" s="1"/>
  <c r="AE582" i="10"/>
  <c r="AG582" i="10" s="1"/>
  <c r="AB582" i="10"/>
  <c r="AA582" i="10"/>
  <c r="A582" i="10"/>
  <c r="AP581" i="10"/>
  <c r="AH581" i="10"/>
  <c r="AI581" i="10" s="1"/>
  <c r="AG581" i="10"/>
  <c r="AF581" i="10"/>
  <c r="AE581" i="10"/>
  <c r="AB581" i="10"/>
  <c r="AA581" i="10"/>
  <c r="A581" i="10"/>
  <c r="AP580" i="10"/>
  <c r="AE580" i="10"/>
  <c r="AB580" i="10"/>
  <c r="AA580" i="10"/>
  <c r="A580" i="10"/>
  <c r="AP579" i="10"/>
  <c r="AG579" i="10"/>
  <c r="AF579" i="10"/>
  <c r="AH579" i="10" s="1"/>
  <c r="AI579" i="10" s="1"/>
  <c r="AJ579" i="10" s="1"/>
  <c r="AE579" i="10"/>
  <c r="AB579" i="10"/>
  <c r="AA579" i="10"/>
  <c r="A579" i="10"/>
  <c r="AP578" i="10"/>
  <c r="AE578" i="10"/>
  <c r="AB578" i="10"/>
  <c r="AA578" i="10"/>
  <c r="A578" i="10"/>
  <c r="AP577" i="10"/>
  <c r="AE577" i="10"/>
  <c r="AB577" i="10"/>
  <c r="AA577" i="10"/>
  <c r="A577" i="10"/>
  <c r="AP576" i="10"/>
  <c r="AE576" i="10"/>
  <c r="AB576" i="10"/>
  <c r="AA576" i="10"/>
  <c r="A576" i="10"/>
  <c r="AP575" i="10"/>
  <c r="AG575" i="10"/>
  <c r="AE575" i="10"/>
  <c r="AF575" i="10" s="1"/>
  <c r="AH575" i="10" s="1"/>
  <c r="AI575" i="10" s="1"/>
  <c r="AB575" i="10"/>
  <c r="AA575" i="10"/>
  <c r="A575" i="10"/>
  <c r="AP574" i="10"/>
  <c r="AF574" i="10"/>
  <c r="AH574" i="10" s="1"/>
  <c r="AI574" i="10" s="1"/>
  <c r="AE574" i="10"/>
  <c r="AG574" i="10" s="1"/>
  <c r="AB574" i="10"/>
  <c r="AA574" i="10"/>
  <c r="A574" i="10"/>
  <c r="AP573" i="10"/>
  <c r="AH573" i="10"/>
  <c r="AI573" i="10" s="1"/>
  <c r="AF573" i="10"/>
  <c r="AE573" i="10"/>
  <c r="AG573" i="10" s="1"/>
  <c r="AJ573" i="10" s="1"/>
  <c r="AB573" i="10"/>
  <c r="AA573" i="10"/>
  <c r="A573" i="10"/>
  <c r="AP572" i="10"/>
  <c r="AE572" i="10"/>
  <c r="AB572" i="10"/>
  <c r="AA572" i="10"/>
  <c r="A572" i="10"/>
  <c r="AP571" i="10"/>
  <c r="AG571" i="10"/>
  <c r="AJ571" i="10" s="1"/>
  <c r="AE571" i="10"/>
  <c r="AF571" i="10" s="1"/>
  <c r="AH571" i="10" s="1"/>
  <c r="AI571" i="10" s="1"/>
  <c r="AB571" i="10"/>
  <c r="AA571" i="10"/>
  <c r="A571" i="10"/>
  <c r="AP570" i="10"/>
  <c r="AF570" i="10"/>
  <c r="AH570" i="10" s="1"/>
  <c r="AI570" i="10" s="1"/>
  <c r="AE570" i="10"/>
  <c r="AG570" i="10" s="1"/>
  <c r="AB570" i="10"/>
  <c r="AA570" i="10"/>
  <c r="A570" i="10"/>
  <c r="AP569" i="10"/>
  <c r="AH569" i="10"/>
  <c r="AI569" i="10" s="1"/>
  <c r="AF569" i="10"/>
  <c r="AE569" i="10"/>
  <c r="AG569" i="10" s="1"/>
  <c r="AJ569" i="10" s="1"/>
  <c r="AB569" i="10"/>
  <c r="AA569" i="10"/>
  <c r="A569" i="10"/>
  <c r="AP568" i="10"/>
  <c r="AE568" i="10"/>
  <c r="AB568" i="10"/>
  <c r="AA568" i="10"/>
  <c r="A568" i="10"/>
  <c r="AP567" i="10"/>
  <c r="AG567" i="10"/>
  <c r="AJ567" i="10" s="1"/>
  <c r="AE567" i="10"/>
  <c r="AF567" i="10" s="1"/>
  <c r="AH567" i="10" s="1"/>
  <c r="AI567" i="10" s="1"/>
  <c r="AB567" i="10"/>
  <c r="AA567" i="10"/>
  <c r="A567" i="10"/>
  <c r="AP566" i="10"/>
  <c r="AF566" i="10"/>
  <c r="AH566" i="10" s="1"/>
  <c r="AI566" i="10" s="1"/>
  <c r="AE566" i="10"/>
  <c r="AG566" i="10" s="1"/>
  <c r="AB566" i="10"/>
  <c r="AA566" i="10"/>
  <c r="A566" i="10"/>
  <c r="AP565" i="10"/>
  <c r="AH565" i="10"/>
  <c r="AI565" i="10" s="1"/>
  <c r="AF565" i="10"/>
  <c r="AE565" i="10"/>
  <c r="AG565" i="10" s="1"/>
  <c r="AJ565" i="10" s="1"/>
  <c r="AB565" i="10"/>
  <c r="AA565" i="10"/>
  <c r="A565" i="10"/>
  <c r="AP564" i="10"/>
  <c r="AE564" i="10"/>
  <c r="AB564" i="10"/>
  <c r="AA564" i="10"/>
  <c r="A564" i="10"/>
  <c r="AP563" i="10"/>
  <c r="AF563" i="10"/>
  <c r="AH563" i="10" s="1"/>
  <c r="AI563" i="10" s="1"/>
  <c r="AJ563" i="10" s="1"/>
  <c r="AE563" i="10"/>
  <c r="AG563" i="10" s="1"/>
  <c r="AB563" i="10"/>
  <c r="AA563" i="10"/>
  <c r="A563" i="10"/>
  <c r="AP562" i="10"/>
  <c r="AE562" i="10"/>
  <c r="AB562" i="10"/>
  <c r="AA562" i="10"/>
  <c r="A562" i="10"/>
  <c r="AP561" i="10"/>
  <c r="AG561" i="10"/>
  <c r="AJ561" i="10" s="1"/>
  <c r="AE561" i="10"/>
  <c r="AF561" i="10" s="1"/>
  <c r="AH561" i="10" s="1"/>
  <c r="AI561" i="10" s="1"/>
  <c r="AB561" i="10"/>
  <c r="AA561" i="10"/>
  <c r="A561" i="10"/>
  <c r="AP560" i="10"/>
  <c r="AE560" i="10"/>
  <c r="AB560" i="10"/>
  <c r="AA560" i="10"/>
  <c r="A560" i="10"/>
  <c r="AP559" i="10"/>
  <c r="AG559" i="10"/>
  <c r="AE559" i="10"/>
  <c r="AF559" i="10" s="1"/>
  <c r="AH559" i="10" s="1"/>
  <c r="AI559" i="10" s="1"/>
  <c r="AB559" i="10"/>
  <c r="AA559" i="10"/>
  <c r="A559" i="10"/>
  <c r="AP558" i="10"/>
  <c r="AF558" i="10"/>
  <c r="AH558" i="10" s="1"/>
  <c r="AI558" i="10" s="1"/>
  <c r="AE558" i="10"/>
  <c r="AG558" i="10" s="1"/>
  <c r="AB558" i="10"/>
  <c r="AA558" i="10"/>
  <c r="A558" i="10"/>
  <c r="AP557" i="10"/>
  <c r="AH557" i="10"/>
  <c r="AI557" i="10" s="1"/>
  <c r="AG557" i="10"/>
  <c r="AF557" i="10"/>
  <c r="AE557" i="10"/>
  <c r="AB557" i="10"/>
  <c r="AA557" i="10"/>
  <c r="A557" i="10"/>
  <c r="AP556" i="10"/>
  <c r="AE556" i="10"/>
  <c r="AB556" i="10"/>
  <c r="AA556" i="10"/>
  <c r="A556" i="10"/>
  <c r="AP555" i="10"/>
  <c r="AG555" i="10"/>
  <c r="AJ555" i="10" s="1"/>
  <c r="AE555" i="10"/>
  <c r="AF555" i="10" s="1"/>
  <c r="AH555" i="10" s="1"/>
  <c r="AI555" i="10" s="1"/>
  <c r="AB555" i="10"/>
  <c r="AA555" i="10"/>
  <c r="A555" i="10"/>
  <c r="AP554" i="10"/>
  <c r="AF554" i="10"/>
  <c r="AH554" i="10" s="1"/>
  <c r="AI554" i="10" s="1"/>
  <c r="AE554" i="10"/>
  <c r="AG554" i="10" s="1"/>
  <c r="AB554" i="10"/>
  <c r="AA554" i="10"/>
  <c r="A554" i="10"/>
  <c r="AP553" i="10"/>
  <c r="AG553" i="10"/>
  <c r="AF553" i="10"/>
  <c r="AH553" i="10" s="1"/>
  <c r="AI553" i="10" s="1"/>
  <c r="AE553" i="10"/>
  <c r="AB553" i="10"/>
  <c r="AA553" i="10"/>
  <c r="A553" i="10"/>
  <c r="AP552" i="10"/>
  <c r="AE552" i="10"/>
  <c r="AB552" i="10"/>
  <c r="AA552" i="10"/>
  <c r="A552" i="10"/>
  <c r="AP551" i="10"/>
  <c r="AE551" i="10"/>
  <c r="AB551" i="10"/>
  <c r="AA551" i="10"/>
  <c r="A551" i="10"/>
  <c r="AP550" i="10"/>
  <c r="AH550" i="10"/>
  <c r="AI550" i="10" s="1"/>
  <c r="AF550" i="10"/>
  <c r="AE550" i="10"/>
  <c r="AG550" i="10" s="1"/>
  <c r="AB550" i="10"/>
  <c r="AA550" i="10"/>
  <c r="A550" i="10"/>
  <c r="AP549" i="10"/>
  <c r="AH549" i="10"/>
  <c r="AI549" i="10" s="1"/>
  <c r="AG549" i="10"/>
  <c r="AF549" i="10"/>
  <c r="AE549" i="10"/>
  <c r="AB549" i="10"/>
  <c r="AA549" i="10"/>
  <c r="A549" i="10"/>
  <c r="AP548" i="10"/>
  <c r="AE548" i="10"/>
  <c r="AB548" i="10"/>
  <c r="AA548" i="10"/>
  <c r="A548" i="10"/>
  <c r="AP547" i="10"/>
  <c r="AG547" i="10"/>
  <c r="AF547" i="10"/>
  <c r="AH547" i="10" s="1"/>
  <c r="AI547" i="10" s="1"/>
  <c r="AE547" i="10"/>
  <c r="AB547" i="10"/>
  <c r="AA547" i="10"/>
  <c r="A547" i="10"/>
  <c r="AP546" i="10"/>
  <c r="AH546" i="10"/>
  <c r="AI546" i="10" s="1"/>
  <c r="AF546" i="10"/>
  <c r="AE546" i="10"/>
  <c r="AG546" i="10" s="1"/>
  <c r="AB546" i="10"/>
  <c r="AA546" i="10"/>
  <c r="A546" i="10"/>
  <c r="AP545" i="10"/>
  <c r="AF545" i="10"/>
  <c r="AH545" i="10" s="1"/>
  <c r="AI545" i="10" s="1"/>
  <c r="AE545" i="10"/>
  <c r="AG545" i="10" s="1"/>
  <c r="AB545" i="10"/>
  <c r="AA545" i="10"/>
  <c r="A545" i="10"/>
  <c r="AP544" i="10"/>
  <c r="AE544" i="10"/>
  <c r="AB544" i="10"/>
  <c r="AA544" i="10"/>
  <c r="A544" i="10"/>
  <c r="AP543" i="10"/>
  <c r="AE543" i="10"/>
  <c r="AG543" i="10" s="1"/>
  <c r="AB543" i="10"/>
  <c r="AA543" i="10"/>
  <c r="A543" i="10"/>
  <c r="AP542" i="10"/>
  <c r="AF542" i="10"/>
  <c r="AH542" i="10" s="1"/>
  <c r="AI542" i="10" s="1"/>
  <c r="AE542" i="10"/>
  <c r="AG542" i="10" s="1"/>
  <c r="AB542" i="10"/>
  <c r="AA542" i="10"/>
  <c r="A542" i="10"/>
  <c r="AP541" i="10"/>
  <c r="AF541" i="10"/>
  <c r="AH541" i="10" s="1"/>
  <c r="AI541" i="10" s="1"/>
  <c r="AE541" i="10"/>
  <c r="AG541" i="10" s="1"/>
  <c r="AB541" i="10"/>
  <c r="AA541" i="10"/>
  <c r="A541" i="10"/>
  <c r="AP540" i="10"/>
  <c r="AE540" i="10"/>
  <c r="AB540" i="10"/>
  <c r="AA540" i="10"/>
  <c r="A540" i="10"/>
  <c r="AP539" i="10"/>
  <c r="AG539" i="10"/>
  <c r="AF539" i="10"/>
  <c r="AH539" i="10" s="1"/>
  <c r="AI539" i="10" s="1"/>
  <c r="AE539" i="10"/>
  <c r="AB539" i="10"/>
  <c r="AA539" i="10"/>
  <c r="A539" i="10"/>
  <c r="AP538" i="10"/>
  <c r="AE538" i="10"/>
  <c r="AB538" i="10"/>
  <c r="AA538" i="10"/>
  <c r="A538" i="10"/>
  <c r="AP537" i="10"/>
  <c r="AH537" i="10"/>
  <c r="AI537" i="10" s="1"/>
  <c r="AF537" i="10"/>
  <c r="AE537" i="10"/>
  <c r="AG537" i="10" s="1"/>
  <c r="AB537" i="10"/>
  <c r="AA537" i="10"/>
  <c r="A537" i="10"/>
  <c r="AP536" i="10"/>
  <c r="AE536" i="10"/>
  <c r="AB536" i="10"/>
  <c r="AA536" i="10"/>
  <c r="A536" i="10"/>
  <c r="AP535" i="10"/>
  <c r="AG535" i="10"/>
  <c r="AJ535" i="10" s="1"/>
  <c r="AF535" i="10"/>
  <c r="AH535" i="10" s="1"/>
  <c r="AI535" i="10" s="1"/>
  <c r="AE535" i="10"/>
  <c r="AB535" i="10"/>
  <c r="AA535" i="10"/>
  <c r="A535" i="10"/>
  <c r="AP534" i="10"/>
  <c r="AF534" i="10"/>
  <c r="AH534" i="10" s="1"/>
  <c r="AI534" i="10" s="1"/>
  <c r="AE534" i="10"/>
  <c r="AG534" i="10" s="1"/>
  <c r="AB534" i="10"/>
  <c r="AA534" i="10"/>
  <c r="A534" i="10"/>
  <c r="AP533" i="10"/>
  <c r="AE533" i="10"/>
  <c r="AB533" i="10"/>
  <c r="AA533" i="10"/>
  <c r="A533" i="10"/>
  <c r="AP532" i="10"/>
  <c r="AE532" i="10"/>
  <c r="AB532" i="10"/>
  <c r="AA532" i="10"/>
  <c r="A532" i="10"/>
  <c r="AP531" i="10"/>
  <c r="AF531" i="10"/>
  <c r="AH531" i="10" s="1"/>
  <c r="AI531" i="10" s="1"/>
  <c r="AJ531" i="10" s="1"/>
  <c r="AE531" i="10"/>
  <c r="AG531" i="10" s="1"/>
  <c r="AB531" i="10"/>
  <c r="AA531" i="10"/>
  <c r="A531" i="10"/>
  <c r="AP530" i="10"/>
  <c r="AE530" i="10"/>
  <c r="AB530" i="10"/>
  <c r="AA530" i="10"/>
  <c r="A530" i="10"/>
  <c r="AP529" i="10"/>
  <c r="AE529" i="10"/>
  <c r="AB529" i="10"/>
  <c r="AA529" i="10"/>
  <c r="A529" i="10"/>
  <c r="AP528" i="10"/>
  <c r="AE528" i="10"/>
  <c r="AB528" i="10"/>
  <c r="AA528" i="10"/>
  <c r="A528" i="10"/>
  <c r="AP527" i="10"/>
  <c r="AG527" i="10"/>
  <c r="AE527" i="10"/>
  <c r="AF527" i="10" s="1"/>
  <c r="AH527" i="10" s="1"/>
  <c r="AI527" i="10" s="1"/>
  <c r="AB527" i="10"/>
  <c r="AA527" i="10"/>
  <c r="A527" i="10"/>
  <c r="AP526" i="10"/>
  <c r="AH526" i="10"/>
  <c r="AI526" i="10" s="1"/>
  <c r="AF526" i="10"/>
  <c r="AE526" i="10"/>
  <c r="AG526" i="10" s="1"/>
  <c r="AB526" i="10"/>
  <c r="AA526" i="10"/>
  <c r="A526" i="10"/>
  <c r="AP525" i="10"/>
  <c r="AG525" i="10"/>
  <c r="AJ525" i="10" s="1"/>
  <c r="AF525" i="10"/>
  <c r="AH525" i="10" s="1"/>
  <c r="AI525" i="10" s="1"/>
  <c r="AE525" i="10"/>
  <c r="AB525" i="10"/>
  <c r="AA525" i="10"/>
  <c r="A525" i="10"/>
  <c r="AP524" i="10"/>
  <c r="AE524" i="10"/>
  <c r="AB524" i="10"/>
  <c r="AA524" i="10"/>
  <c r="A524" i="10"/>
  <c r="AP523" i="10"/>
  <c r="AJ523" i="10"/>
  <c r="AG523" i="10"/>
  <c r="AE523" i="10"/>
  <c r="AF523" i="10" s="1"/>
  <c r="AH523" i="10" s="1"/>
  <c r="AI523" i="10" s="1"/>
  <c r="AB523" i="10"/>
  <c r="AA523" i="10"/>
  <c r="A523" i="10"/>
  <c r="AP522" i="10"/>
  <c r="AF522" i="10"/>
  <c r="AH522" i="10" s="1"/>
  <c r="AI522" i="10" s="1"/>
  <c r="AE522" i="10"/>
  <c r="AG522" i="10" s="1"/>
  <c r="AB522" i="10"/>
  <c r="AA522" i="10"/>
  <c r="A522" i="10"/>
  <c r="AP521" i="10"/>
  <c r="AG521" i="10"/>
  <c r="AF521" i="10"/>
  <c r="AH521" i="10" s="1"/>
  <c r="AI521" i="10" s="1"/>
  <c r="AE521" i="10"/>
  <c r="AB521" i="10"/>
  <c r="AA521" i="10"/>
  <c r="A521" i="10"/>
  <c r="AP520" i="10"/>
  <c r="AE520" i="10"/>
  <c r="AB520" i="10"/>
  <c r="AA520" i="10"/>
  <c r="A520" i="10"/>
  <c r="AP519" i="10"/>
  <c r="AG519" i="10"/>
  <c r="AJ519" i="10" s="1"/>
  <c r="AE519" i="10"/>
  <c r="AF519" i="10" s="1"/>
  <c r="AH519" i="10" s="1"/>
  <c r="AI519" i="10" s="1"/>
  <c r="AB519" i="10"/>
  <c r="AA519" i="10"/>
  <c r="A519" i="10"/>
  <c r="AP518" i="10"/>
  <c r="AH518" i="10"/>
  <c r="AI518" i="10" s="1"/>
  <c r="AF518" i="10"/>
  <c r="AE518" i="10"/>
  <c r="AG518" i="10" s="1"/>
  <c r="AB518" i="10"/>
  <c r="AA518" i="10"/>
  <c r="A518" i="10"/>
  <c r="AP517" i="10"/>
  <c r="AH517" i="10"/>
  <c r="AI517" i="10" s="1"/>
  <c r="AG517" i="10"/>
  <c r="AF517" i="10"/>
  <c r="AE517" i="10"/>
  <c r="AB517" i="10"/>
  <c r="AA517" i="10"/>
  <c r="A517" i="10"/>
  <c r="AP516" i="10"/>
  <c r="AE516" i="10"/>
  <c r="AB516" i="10"/>
  <c r="AA516" i="10"/>
  <c r="A516" i="10"/>
  <c r="AP515" i="10"/>
  <c r="AG515" i="10"/>
  <c r="AF515" i="10"/>
  <c r="AH515" i="10" s="1"/>
  <c r="AI515" i="10" s="1"/>
  <c r="AE515" i="10"/>
  <c r="AB515" i="10"/>
  <c r="AA515" i="10"/>
  <c r="A515" i="10"/>
  <c r="AP514" i="10"/>
  <c r="AH514" i="10"/>
  <c r="AI514" i="10" s="1"/>
  <c r="AF514" i="10"/>
  <c r="AE514" i="10"/>
  <c r="AG514" i="10" s="1"/>
  <c r="AB514" i="10"/>
  <c r="AA514" i="10"/>
  <c r="A514" i="10"/>
  <c r="AP513" i="10"/>
  <c r="AG513" i="10"/>
  <c r="AJ513" i="10" s="1"/>
  <c r="AF513" i="10"/>
  <c r="AH513" i="10" s="1"/>
  <c r="AI513" i="10" s="1"/>
  <c r="AE513" i="10"/>
  <c r="AB513" i="10"/>
  <c r="AA513" i="10"/>
  <c r="A513" i="10"/>
  <c r="AP512" i="10"/>
  <c r="AE512" i="10"/>
  <c r="AB512" i="10"/>
  <c r="AA512" i="10"/>
  <c r="A512" i="10"/>
  <c r="AP511" i="10"/>
  <c r="AG511" i="10"/>
  <c r="AF511" i="10"/>
  <c r="AH511" i="10" s="1"/>
  <c r="AI511" i="10" s="1"/>
  <c r="AE511" i="10"/>
  <c r="AB511" i="10"/>
  <c r="AA511" i="10"/>
  <c r="A511" i="10"/>
  <c r="AP510" i="10"/>
  <c r="AE510" i="10"/>
  <c r="AB510" i="10"/>
  <c r="AA510" i="10"/>
  <c r="A510" i="10"/>
  <c r="AP509" i="10"/>
  <c r="AH509" i="10"/>
  <c r="AI509" i="10" s="1"/>
  <c r="AF509" i="10"/>
  <c r="AE509" i="10"/>
  <c r="AG509" i="10" s="1"/>
  <c r="AB509" i="10"/>
  <c r="AA509" i="10"/>
  <c r="A509" i="10"/>
  <c r="AP508" i="10"/>
  <c r="AE508" i="10"/>
  <c r="AB508" i="10"/>
  <c r="AA508" i="10"/>
  <c r="A508" i="10"/>
  <c r="AP507" i="10"/>
  <c r="AG507" i="10"/>
  <c r="AJ507" i="10" s="1"/>
  <c r="AF507" i="10"/>
  <c r="AH507" i="10" s="1"/>
  <c r="AI507" i="10" s="1"/>
  <c r="AE507" i="10"/>
  <c r="AB507" i="10"/>
  <c r="AA507" i="10"/>
  <c r="A507" i="10"/>
  <c r="AP506" i="10"/>
  <c r="AF506" i="10"/>
  <c r="AH506" i="10" s="1"/>
  <c r="AI506" i="10" s="1"/>
  <c r="AE506" i="10"/>
  <c r="AG506" i="10" s="1"/>
  <c r="AB506" i="10"/>
  <c r="AA506" i="10"/>
  <c r="A506" i="10"/>
  <c r="AP505" i="10"/>
  <c r="AE505" i="10"/>
  <c r="AB505" i="10"/>
  <c r="AA505" i="10"/>
  <c r="A505" i="10"/>
  <c r="AP504" i="10"/>
  <c r="AE504" i="10"/>
  <c r="AB504" i="10"/>
  <c r="AA504" i="10"/>
  <c r="A504" i="10"/>
  <c r="AP503" i="10"/>
  <c r="AE503" i="10"/>
  <c r="AB503" i="10"/>
  <c r="AA503" i="10"/>
  <c r="A503" i="10"/>
  <c r="AP502" i="10"/>
  <c r="AF502" i="10"/>
  <c r="AH502" i="10" s="1"/>
  <c r="AI502" i="10" s="1"/>
  <c r="AE502" i="10"/>
  <c r="AG502" i="10" s="1"/>
  <c r="AB502" i="10"/>
  <c r="AA502" i="10"/>
  <c r="A502" i="10"/>
  <c r="AP501" i="10"/>
  <c r="AF501" i="10"/>
  <c r="AH501" i="10" s="1"/>
  <c r="AI501" i="10" s="1"/>
  <c r="AE501" i="10"/>
  <c r="AG501" i="10" s="1"/>
  <c r="AB501" i="10"/>
  <c r="AA501" i="10"/>
  <c r="A501" i="10"/>
  <c r="AP500" i="10"/>
  <c r="AE500" i="10"/>
  <c r="AB500" i="10"/>
  <c r="AA500" i="10"/>
  <c r="A500" i="10"/>
  <c r="AP499" i="10"/>
  <c r="AE499" i="10"/>
  <c r="AB499" i="10"/>
  <c r="AA499" i="10"/>
  <c r="A499" i="10"/>
  <c r="AP498" i="10"/>
  <c r="AE498" i="10"/>
  <c r="AB498" i="10"/>
  <c r="AA498" i="10"/>
  <c r="A498" i="10"/>
  <c r="AP497" i="10"/>
  <c r="AG497" i="10"/>
  <c r="AJ497" i="10" s="1"/>
  <c r="AE497" i="10"/>
  <c r="AF497" i="10" s="1"/>
  <c r="AH497" i="10" s="1"/>
  <c r="AI497" i="10" s="1"/>
  <c r="AB497" i="10"/>
  <c r="AA497" i="10"/>
  <c r="A497" i="10"/>
  <c r="AP496" i="10"/>
  <c r="AE496" i="10"/>
  <c r="AB496" i="10"/>
  <c r="AA496" i="10"/>
  <c r="A496" i="10"/>
  <c r="AP495" i="10"/>
  <c r="AE495" i="10"/>
  <c r="AB495" i="10"/>
  <c r="AA495" i="10"/>
  <c r="A495" i="10"/>
  <c r="AP494" i="10"/>
  <c r="AH494" i="10"/>
  <c r="AI494" i="10" s="1"/>
  <c r="AF494" i="10"/>
  <c r="AE494" i="10"/>
  <c r="AG494" i="10" s="1"/>
  <c r="AB494" i="10"/>
  <c r="AA494" i="10"/>
  <c r="A494" i="10"/>
  <c r="AP493" i="10"/>
  <c r="AH493" i="10"/>
  <c r="AI493" i="10" s="1"/>
  <c r="AG493" i="10"/>
  <c r="AF493" i="10"/>
  <c r="AE493" i="10"/>
  <c r="AB493" i="10"/>
  <c r="AA493" i="10"/>
  <c r="A493" i="10"/>
  <c r="AP492" i="10"/>
  <c r="AE492" i="10"/>
  <c r="AB492" i="10"/>
  <c r="AA492" i="10"/>
  <c r="A492" i="10"/>
  <c r="AP491" i="10"/>
  <c r="AJ491" i="10"/>
  <c r="AG491" i="10"/>
  <c r="AE491" i="10"/>
  <c r="AF491" i="10" s="1"/>
  <c r="AH491" i="10" s="1"/>
  <c r="AI491" i="10" s="1"/>
  <c r="AB491" i="10"/>
  <c r="AA491" i="10"/>
  <c r="A491" i="10"/>
  <c r="AP490" i="10"/>
  <c r="AH490" i="10"/>
  <c r="AI490" i="10" s="1"/>
  <c r="AF490" i="10"/>
  <c r="AE490" i="10"/>
  <c r="AG490" i="10" s="1"/>
  <c r="AB490" i="10"/>
  <c r="AA490" i="10"/>
  <c r="A490" i="10"/>
  <c r="AP489" i="10"/>
  <c r="AG489" i="10"/>
  <c r="AJ489" i="10" s="1"/>
  <c r="AF489" i="10"/>
  <c r="AH489" i="10" s="1"/>
  <c r="AI489" i="10" s="1"/>
  <c r="AE489" i="10"/>
  <c r="AB489" i="10"/>
  <c r="AA489" i="10"/>
  <c r="A489" i="10"/>
  <c r="AP488" i="10"/>
  <c r="AE488" i="10"/>
  <c r="AB488" i="10"/>
  <c r="AA488" i="10"/>
  <c r="A488" i="10"/>
  <c r="AP487" i="10"/>
  <c r="AJ487" i="10"/>
  <c r="AG487" i="10"/>
  <c r="AE487" i="10"/>
  <c r="AF487" i="10" s="1"/>
  <c r="AH487" i="10" s="1"/>
  <c r="AI487" i="10" s="1"/>
  <c r="AB487" i="10"/>
  <c r="AA487" i="10"/>
  <c r="A487" i="10"/>
  <c r="AP486" i="10"/>
  <c r="AF486" i="10"/>
  <c r="AH486" i="10" s="1"/>
  <c r="AI486" i="10" s="1"/>
  <c r="AE486" i="10"/>
  <c r="AG486" i="10" s="1"/>
  <c r="AB486" i="10"/>
  <c r="AA486" i="10"/>
  <c r="A486" i="10"/>
  <c r="AP485" i="10"/>
  <c r="AG485" i="10"/>
  <c r="AF485" i="10"/>
  <c r="AH485" i="10" s="1"/>
  <c r="AI485" i="10" s="1"/>
  <c r="AE485" i="10"/>
  <c r="AB485" i="10"/>
  <c r="AA485" i="10"/>
  <c r="A485" i="10"/>
  <c r="AP484" i="10"/>
  <c r="AE484" i="10"/>
  <c r="AB484" i="10"/>
  <c r="AA484" i="10"/>
  <c r="A484" i="10"/>
  <c r="AP483" i="10"/>
  <c r="AG483" i="10"/>
  <c r="AF483" i="10"/>
  <c r="AH483" i="10" s="1"/>
  <c r="AI483" i="10" s="1"/>
  <c r="AJ483" i="10" s="1"/>
  <c r="AE483" i="10"/>
  <c r="AB483" i="10"/>
  <c r="AA483" i="10"/>
  <c r="A483" i="10"/>
  <c r="AP482" i="10"/>
  <c r="AE482" i="10"/>
  <c r="AB482" i="10"/>
  <c r="AA482" i="10"/>
  <c r="A482" i="10"/>
  <c r="AP481" i="10"/>
  <c r="AG481" i="10"/>
  <c r="AJ481" i="10" s="1"/>
  <c r="AF481" i="10"/>
  <c r="AH481" i="10" s="1"/>
  <c r="AI481" i="10" s="1"/>
  <c r="AE481" i="10"/>
  <c r="AB481" i="10"/>
  <c r="AA481" i="10"/>
  <c r="A481" i="10"/>
  <c r="AP480" i="10"/>
  <c r="AE480" i="10"/>
  <c r="AB480" i="10"/>
  <c r="AA480" i="10"/>
  <c r="A480" i="10"/>
  <c r="AP479" i="10"/>
  <c r="AG479" i="10"/>
  <c r="AF479" i="10"/>
  <c r="AH479" i="10" s="1"/>
  <c r="AI479" i="10" s="1"/>
  <c r="AE479" i="10"/>
  <c r="AB479" i="10"/>
  <c r="AA479" i="10"/>
  <c r="A479" i="10"/>
  <c r="AP478" i="10"/>
  <c r="AF478" i="10"/>
  <c r="AH478" i="10" s="1"/>
  <c r="AI478" i="10" s="1"/>
  <c r="AE478" i="10"/>
  <c r="AG478" i="10" s="1"/>
  <c r="AB478" i="10"/>
  <c r="AA478" i="10"/>
  <c r="A478" i="10"/>
  <c r="AP477" i="10"/>
  <c r="AE477" i="10"/>
  <c r="AB477" i="10"/>
  <c r="AA477" i="10"/>
  <c r="A477" i="10"/>
  <c r="AP476" i="10"/>
  <c r="AE476" i="10"/>
  <c r="AB476" i="10"/>
  <c r="AA476" i="10"/>
  <c r="A476" i="10"/>
  <c r="AP475" i="10"/>
  <c r="AE475" i="10"/>
  <c r="AB475" i="10"/>
  <c r="AA475" i="10"/>
  <c r="A475" i="10"/>
  <c r="AP474" i="10"/>
  <c r="AF474" i="10"/>
  <c r="AH474" i="10" s="1"/>
  <c r="AI474" i="10" s="1"/>
  <c r="AE474" i="10"/>
  <c r="AG474" i="10" s="1"/>
  <c r="AB474" i="10"/>
  <c r="AA474" i="10"/>
  <c r="A474" i="10"/>
  <c r="AP473" i="10"/>
  <c r="AE473" i="10"/>
  <c r="AG473" i="10" s="1"/>
  <c r="AB473" i="10"/>
  <c r="AA473" i="10"/>
  <c r="A473" i="10"/>
  <c r="AP472" i="10"/>
  <c r="AE472" i="10"/>
  <c r="AB472" i="10"/>
  <c r="AA472" i="10"/>
  <c r="A472" i="10"/>
  <c r="AP471" i="10"/>
  <c r="AF471" i="10"/>
  <c r="AH471" i="10" s="1"/>
  <c r="AI471" i="10" s="1"/>
  <c r="AE471" i="10"/>
  <c r="AG471" i="10" s="1"/>
  <c r="AB471" i="10"/>
  <c r="AA471" i="10"/>
  <c r="A471" i="10"/>
  <c r="AP470" i="10"/>
  <c r="AF470" i="10"/>
  <c r="AH470" i="10" s="1"/>
  <c r="AI470" i="10" s="1"/>
  <c r="AE470" i="10"/>
  <c r="AG470" i="10" s="1"/>
  <c r="AB470" i="10"/>
  <c r="AA470" i="10"/>
  <c r="A470" i="10"/>
  <c r="AP469" i="10"/>
  <c r="AH469" i="10"/>
  <c r="AI469" i="10" s="1"/>
  <c r="AF469" i="10"/>
  <c r="AE469" i="10"/>
  <c r="AG469" i="10" s="1"/>
  <c r="AB469" i="10"/>
  <c r="AA469" i="10"/>
  <c r="A469" i="10"/>
  <c r="AP468" i="10"/>
  <c r="AE468" i="10"/>
  <c r="AB468" i="10"/>
  <c r="AA468" i="10"/>
  <c r="A468" i="10"/>
  <c r="AP467" i="10"/>
  <c r="AF467" i="10"/>
  <c r="AH467" i="10" s="1"/>
  <c r="AI467" i="10" s="1"/>
  <c r="AJ467" i="10" s="1"/>
  <c r="AE467" i="10"/>
  <c r="AG467" i="10" s="1"/>
  <c r="AB467" i="10"/>
  <c r="AA467" i="10"/>
  <c r="A467" i="10"/>
  <c r="AP466" i="10"/>
  <c r="AE466" i="10"/>
  <c r="AB466" i="10"/>
  <c r="AA466" i="10"/>
  <c r="A466" i="10"/>
  <c r="AP465" i="10"/>
  <c r="AH465" i="10"/>
  <c r="AI465" i="10" s="1"/>
  <c r="AG465" i="10"/>
  <c r="AE465" i="10"/>
  <c r="AF465" i="10" s="1"/>
  <c r="AB465" i="10"/>
  <c r="AA465" i="10"/>
  <c r="A465" i="10"/>
  <c r="AP464" i="10"/>
  <c r="AE464" i="10"/>
  <c r="AB464" i="10"/>
  <c r="AA464" i="10"/>
  <c r="A464" i="10"/>
  <c r="AP463" i="10"/>
  <c r="AG463" i="10"/>
  <c r="AE463" i="10"/>
  <c r="AF463" i="10" s="1"/>
  <c r="AH463" i="10" s="1"/>
  <c r="AI463" i="10" s="1"/>
  <c r="AB463" i="10"/>
  <c r="AA463" i="10"/>
  <c r="A463" i="10"/>
  <c r="AP462" i="10"/>
  <c r="AH462" i="10"/>
  <c r="AI462" i="10" s="1"/>
  <c r="AF462" i="10"/>
  <c r="AE462" i="10"/>
  <c r="AG462" i="10" s="1"/>
  <c r="AB462" i="10"/>
  <c r="AA462" i="10"/>
  <c r="A462" i="10"/>
  <c r="AP461" i="10"/>
  <c r="AH461" i="10"/>
  <c r="AI461" i="10" s="1"/>
  <c r="AG461" i="10"/>
  <c r="AF461" i="10"/>
  <c r="AE461" i="10"/>
  <c r="AB461" i="10"/>
  <c r="AA461" i="10"/>
  <c r="A461" i="10"/>
  <c r="AP460" i="10"/>
  <c r="AE460" i="10"/>
  <c r="AB460" i="10"/>
  <c r="AA460" i="10"/>
  <c r="A460" i="10"/>
  <c r="AP459" i="10"/>
  <c r="AE459" i="10"/>
  <c r="AB459" i="10"/>
  <c r="AA459" i="10"/>
  <c r="A459" i="10"/>
  <c r="AP458" i="10"/>
  <c r="AH458" i="10"/>
  <c r="AI458" i="10" s="1"/>
  <c r="AF458" i="10"/>
  <c r="AE458" i="10"/>
  <c r="AG458" i="10" s="1"/>
  <c r="AB458" i="10"/>
  <c r="AA458" i="10"/>
  <c r="A458" i="10"/>
  <c r="AP457" i="10"/>
  <c r="AH457" i="10"/>
  <c r="AI457" i="10" s="1"/>
  <c r="AG457" i="10"/>
  <c r="AJ457" i="10" s="1"/>
  <c r="AF457" i="10"/>
  <c r="AE457" i="10"/>
  <c r="AB457" i="10"/>
  <c r="AA457" i="10"/>
  <c r="A457" i="10"/>
  <c r="AP456" i="10"/>
  <c r="AE456" i="10"/>
  <c r="AB456" i="10"/>
  <c r="AA456" i="10"/>
  <c r="A456" i="10"/>
  <c r="AP455" i="10"/>
  <c r="AE455" i="10"/>
  <c r="AB455" i="10"/>
  <c r="AA455" i="10"/>
  <c r="A455" i="10"/>
  <c r="AP454" i="10"/>
  <c r="AH454" i="10"/>
  <c r="AI454" i="10" s="1"/>
  <c r="AF454" i="10"/>
  <c r="AE454" i="10"/>
  <c r="AG454" i="10" s="1"/>
  <c r="AB454" i="10"/>
  <c r="AA454" i="10"/>
  <c r="A454" i="10"/>
  <c r="AP453" i="10"/>
  <c r="AH453" i="10"/>
  <c r="AI453" i="10" s="1"/>
  <c r="AG453" i="10"/>
  <c r="AF453" i="10"/>
  <c r="AE453" i="10"/>
  <c r="AB453" i="10"/>
  <c r="AA453" i="10"/>
  <c r="A453" i="10"/>
  <c r="AP452" i="10"/>
  <c r="AE452" i="10"/>
  <c r="AB452" i="10"/>
  <c r="AA452" i="10"/>
  <c r="A452" i="10"/>
  <c r="AP451" i="10"/>
  <c r="AG451" i="10"/>
  <c r="AF451" i="10"/>
  <c r="AH451" i="10" s="1"/>
  <c r="AI451" i="10" s="1"/>
  <c r="AE451" i="10"/>
  <c r="AB451" i="10"/>
  <c r="AA451" i="10"/>
  <c r="A451" i="10"/>
  <c r="AP450" i="10"/>
  <c r="AH450" i="10"/>
  <c r="AI450" i="10" s="1"/>
  <c r="AF450" i="10"/>
  <c r="AE450" i="10"/>
  <c r="AG450" i="10" s="1"/>
  <c r="AB450" i="10"/>
  <c r="AA450" i="10"/>
  <c r="A450" i="10"/>
  <c r="AP449" i="10"/>
  <c r="AG449" i="10"/>
  <c r="AJ449" i="10" s="1"/>
  <c r="AF449" i="10"/>
  <c r="AH449" i="10" s="1"/>
  <c r="AI449" i="10" s="1"/>
  <c r="AE449" i="10"/>
  <c r="AB449" i="10"/>
  <c r="AA449" i="10"/>
  <c r="A449" i="10"/>
  <c r="AP448" i="10"/>
  <c r="AE448" i="10"/>
  <c r="AB448" i="10"/>
  <c r="AA448" i="10"/>
  <c r="A448" i="10"/>
  <c r="AP447" i="10"/>
  <c r="AG447" i="10"/>
  <c r="AF447" i="10"/>
  <c r="AH447" i="10" s="1"/>
  <c r="AI447" i="10" s="1"/>
  <c r="AE447" i="10"/>
  <c r="AB447" i="10"/>
  <c r="AA447" i="10"/>
  <c r="A447" i="10"/>
  <c r="AP446" i="10"/>
  <c r="AE446" i="10"/>
  <c r="AG446" i="10" s="1"/>
  <c r="AB446" i="10"/>
  <c r="AA446" i="10"/>
  <c r="A446" i="10"/>
  <c r="AP445" i="10"/>
  <c r="AF445" i="10"/>
  <c r="AH445" i="10" s="1"/>
  <c r="AI445" i="10" s="1"/>
  <c r="AE445" i="10"/>
  <c r="AG445" i="10" s="1"/>
  <c r="AB445" i="10"/>
  <c r="AA445" i="10"/>
  <c r="A445" i="10"/>
  <c r="AP444" i="10"/>
  <c r="AE444" i="10"/>
  <c r="AB444" i="10"/>
  <c r="AA444" i="10"/>
  <c r="A444" i="10"/>
  <c r="AP443" i="10"/>
  <c r="AG443" i="10"/>
  <c r="AJ443" i="10" s="1"/>
  <c r="AF443" i="10"/>
  <c r="AH443" i="10" s="1"/>
  <c r="AI443" i="10" s="1"/>
  <c r="AE443" i="10"/>
  <c r="AB443" i="10"/>
  <c r="AA443" i="10"/>
  <c r="A443" i="10"/>
  <c r="AP442" i="10"/>
  <c r="AE442" i="10"/>
  <c r="AG442" i="10" s="1"/>
  <c r="AB442" i="10"/>
  <c r="AA442" i="10"/>
  <c r="A442" i="10"/>
  <c r="AP441" i="10"/>
  <c r="AF441" i="10"/>
  <c r="AH441" i="10" s="1"/>
  <c r="AI441" i="10" s="1"/>
  <c r="AE441" i="10"/>
  <c r="AG441" i="10" s="1"/>
  <c r="AB441" i="10"/>
  <c r="AA441" i="10"/>
  <c r="A441" i="10"/>
  <c r="AP440" i="10"/>
  <c r="AE440" i="10"/>
  <c r="AB440" i="10"/>
  <c r="AA440" i="10"/>
  <c r="A440" i="10"/>
  <c r="AP439" i="10"/>
  <c r="AG439" i="10"/>
  <c r="AJ439" i="10" s="1"/>
  <c r="AF439" i="10"/>
  <c r="AH439" i="10" s="1"/>
  <c r="AI439" i="10" s="1"/>
  <c r="AE439" i="10"/>
  <c r="AB439" i="10"/>
  <c r="AA439" i="10"/>
  <c r="A439" i="10"/>
  <c r="AP438" i="10"/>
  <c r="AE438" i="10"/>
  <c r="AB438" i="10"/>
  <c r="AA438" i="10"/>
  <c r="A438" i="10"/>
  <c r="AP437" i="10"/>
  <c r="AH437" i="10"/>
  <c r="AI437" i="10" s="1"/>
  <c r="AG437" i="10"/>
  <c r="AF437" i="10"/>
  <c r="AE437" i="10"/>
  <c r="AB437" i="10"/>
  <c r="AA437" i="10"/>
  <c r="A437" i="10"/>
  <c r="AP436" i="10"/>
  <c r="AE436" i="10"/>
  <c r="AB436" i="10"/>
  <c r="AA436" i="10"/>
  <c r="A436" i="10"/>
  <c r="AP435" i="10"/>
  <c r="AE435" i="10"/>
  <c r="AB435" i="10"/>
  <c r="AA435" i="10"/>
  <c r="A435" i="10"/>
  <c r="AP434" i="10"/>
  <c r="AJ434" i="10"/>
  <c r="AF434" i="10"/>
  <c r="AH434" i="10" s="1"/>
  <c r="AI434" i="10" s="1"/>
  <c r="AE434" i="10"/>
  <c r="AG434" i="10" s="1"/>
  <c r="AB434" i="10"/>
  <c r="AA434" i="10"/>
  <c r="A434" i="10"/>
  <c r="AP433" i="10"/>
  <c r="AH433" i="10"/>
  <c r="AI433" i="10" s="1"/>
  <c r="AG433" i="10"/>
  <c r="AF433" i="10"/>
  <c r="AE433" i="10"/>
  <c r="AB433" i="10"/>
  <c r="AA433" i="10"/>
  <c r="A433" i="10"/>
  <c r="AP432" i="10"/>
  <c r="AE432" i="10"/>
  <c r="AB432" i="10"/>
  <c r="AA432" i="10"/>
  <c r="A432" i="10"/>
  <c r="AP431" i="10"/>
  <c r="AG431" i="10"/>
  <c r="AF431" i="10"/>
  <c r="AH431" i="10" s="1"/>
  <c r="AI431" i="10" s="1"/>
  <c r="AE431" i="10"/>
  <c r="AB431" i="10"/>
  <c r="AA431" i="10"/>
  <c r="A431" i="10"/>
  <c r="AP430" i="10"/>
  <c r="AE430" i="10"/>
  <c r="AB430" i="10"/>
  <c r="AA430" i="10"/>
  <c r="A430" i="10"/>
  <c r="AP429" i="10"/>
  <c r="AG429" i="10"/>
  <c r="AJ429" i="10" s="1"/>
  <c r="AF429" i="10"/>
  <c r="AH429" i="10" s="1"/>
  <c r="AI429" i="10" s="1"/>
  <c r="AE429" i="10"/>
  <c r="AB429" i="10"/>
  <c r="AA429" i="10"/>
  <c r="A429" i="10"/>
  <c r="AP428" i="10"/>
  <c r="AE428" i="10"/>
  <c r="AB428" i="10"/>
  <c r="AA428" i="10"/>
  <c r="A428" i="10"/>
  <c r="AP427" i="10"/>
  <c r="AG427" i="10"/>
  <c r="AF427" i="10"/>
  <c r="AH427" i="10" s="1"/>
  <c r="AI427" i="10" s="1"/>
  <c r="AE427" i="10"/>
  <c r="AB427" i="10"/>
  <c r="AA427" i="10"/>
  <c r="A427" i="10"/>
  <c r="AP426" i="10"/>
  <c r="AJ426" i="10"/>
  <c r="AF426" i="10"/>
  <c r="AH426" i="10" s="1"/>
  <c r="AI426" i="10" s="1"/>
  <c r="AE426" i="10"/>
  <c r="AG426" i="10" s="1"/>
  <c r="AB426" i="10"/>
  <c r="AA426" i="10"/>
  <c r="A426" i="10"/>
  <c r="AP425" i="10"/>
  <c r="AG425" i="10"/>
  <c r="AF425" i="10"/>
  <c r="AH425" i="10" s="1"/>
  <c r="AI425" i="10" s="1"/>
  <c r="AE425" i="10"/>
  <c r="AB425" i="10"/>
  <c r="AA425" i="10"/>
  <c r="A425" i="10"/>
  <c r="AP424" i="10"/>
  <c r="AE424" i="10"/>
  <c r="AB424" i="10"/>
  <c r="AA424" i="10"/>
  <c r="A424" i="10"/>
  <c r="AP423" i="10"/>
  <c r="AE423" i="10"/>
  <c r="AB423" i="10"/>
  <c r="AA423" i="10"/>
  <c r="A423" i="10"/>
  <c r="AP422" i="10"/>
  <c r="AE422" i="10"/>
  <c r="AB422" i="10"/>
  <c r="AA422" i="10"/>
  <c r="A422" i="10"/>
  <c r="AP421" i="10"/>
  <c r="AF421" i="10"/>
  <c r="AH421" i="10" s="1"/>
  <c r="AI421" i="10" s="1"/>
  <c r="AE421" i="10"/>
  <c r="AG421" i="10" s="1"/>
  <c r="AB421" i="10"/>
  <c r="AA421" i="10"/>
  <c r="A421" i="10"/>
  <c r="AP420" i="10"/>
  <c r="AE420" i="10"/>
  <c r="AB420" i="10"/>
  <c r="AA420" i="10"/>
  <c r="A420" i="10"/>
  <c r="AP419" i="10"/>
  <c r="AG419" i="10"/>
  <c r="AF419" i="10"/>
  <c r="AH419" i="10" s="1"/>
  <c r="AI419" i="10" s="1"/>
  <c r="AE419" i="10"/>
  <c r="AB419" i="10"/>
  <c r="AA419" i="10"/>
  <c r="A419" i="10"/>
  <c r="AP418" i="10"/>
  <c r="AE418" i="10"/>
  <c r="AG418" i="10" s="1"/>
  <c r="AB418" i="10"/>
  <c r="AA418" i="10"/>
  <c r="A418" i="10"/>
  <c r="AP417" i="10"/>
  <c r="AF417" i="10"/>
  <c r="AH417" i="10" s="1"/>
  <c r="AI417" i="10" s="1"/>
  <c r="AE417" i="10"/>
  <c r="AG417" i="10" s="1"/>
  <c r="AB417" i="10"/>
  <c r="AA417" i="10"/>
  <c r="A417" i="10"/>
  <c r="AP416" i="10"/>
  <c r="AE416" i="10"/>
  <c r="AB416" i="10"/>
  <c r="AA416" i="10"/>
  <c r="A416" i="10"/>
  <c r="AP415" i="10"/>
  <c r="AF415" i="10"/>
  <c r="AH415" i="10" s="1"/>
  <c r="AI415" i="10" s="1"/>
  <c r="AJ415" i="10" s="1"/>
  <c r="AE415" i="10"/>
  <c r="AG415" i="10" s="1"/>
  <c r="AB415" i="10"/>
  <c r="AA415" i="10"/>
  <c r="A415" i="10"/>
  <c r="AP414" i="10"/>
  <c r="AE414" i="10"/>
  <c r="AB414" i="10"/>
  <c r="AA414" i="10"/>
  <c r="A414" i="10"/>
  <c r="AP413" i="10"/>
  <c r="AE413" i="10"/>
  <c r="AG413" i="10" s="1"/>
  <c r="AB413" i="10"/>
  <c r="AA413" i="10"/>
  <c r="A413" i="10"/>
  <c r="AP412" i="10"/>
  <c r="AE412" i="10"/>
  <c r="AB412" i="10"/>
  <c r="AA412" i="10"/>
  <c r="A412" i="10"/>
  <c r="AP411" i="10"/>
  <c r="AF411" i="10"/>
  <c r="AH411" i="10" s="1"/>
  <c r="AI411" i="10" s="1"/>
  <c r="AJ411" i="10" s="1"/>
  <c r="AE411" i="10"/>
  <c r="AG411" i="10" s="1"/>
  <c r="AB411" i="10"/>
  <c r="AA411" i="10"/>
  <c r="A411" i="10"/>
  <c r="AP410" i="10"/>
  <c r="AE410" i="10"/>
  <c r="AB410" i="10"/>
  <c r="AA410" i="10"/>
  <c r="A410" i="10"/>
  <c r="AP409" i="10"/>
  <c r="AE409" i="10"/>
  <c r="AB409" i="10"/>
  <c r="AA409" i="10"/>
  <c r="A409" i="10"/>
  <c r="AP408" i="10"/>
  <c r="AE408" i="10"/>
  <c r="AB408" i="10"/>
  <c r="AA408" i="10"/>
  <c r="A408" i="10"/>
  <c r="AP407" i="10"/>
  <c r="AG407" i="10"/>
  <c r="AJ407" i="10" s="1"/>
  <c r="AF407" i="10"/>
  <c r="AH407" i="10" s="1"/>
  <c r="AI407" i="10" s="1"/>
  <c r="AE407" i="10"/>
  <c r="AB407" i="10"/>
  <c r="AA407" i="10"/>
  <c r="A407" i="10"/>
  <c r="AP406" i="10"/>
  <c r="AE406" i="10"/>
  <c r="AB406" i="10"/>
  <c r="AA406" i="10"/>
  <c r="A406" i="10"/>
  <c r="AP405" i="10"/>
  <c r="AH405" i="10"/>
  <c r="AI405" i="10" s="1"/>
  <c r="AG405" i="10"/>
  <c r="AF405" i="10"/>
  <c r="AE405" i="10"/>
  <c r="AB405" i="10"/>
  <c r="AA405" i="10"/>
  <c r="A405" i="10"/>
  <c r="AP404" i="10"/>
  <c r="AE404" i="10"/>
  <c r="AB404" i="10"/>
  <c r="AA404" i="10"/>
  <c r="A404" i="10"/>
  <c r="AP403" i="10"/>
  <c r="AE403" i="10"/>
  <c r="AB403" i="10"/>
  <c r="AA403" i="10"/>
  <c r="A403" i="10"/>
  <c r="AP402" i="10"/>
  <c r="AJ402" i="10"/>
  <c r="AF402" i="10"/>
  <c r="AH402" i="10" s="1"/>
  <c r="AI402" i="10" s="1"/>
  <c r="AE402" i="10"/>
  <c r="AG402" i="10" s="1"/>
  <c r="AB402" i="10"/>
  <c r="AA402" i="10"/>
  <c r="A402" i="10"/>
  <c r="AP401" i="10"/>
  <c r="AH401" i="10"/>
  <c r="AI401" i="10" s="1"/>
  <c r="AG401" i="10"/>
  <c r="AF401" i="10"/>
  <c r="AE401" i="10"/>
  <c r="AB401" i="10"/>
  <c r="AA401" i="10"/>
  <c r="A401" i="10"/>
  <c r="AP400" i="10"/>
  <c r="AE400" i="10"/>
  <c r="AB400" i="10"/>
  <c r="AA400" i="10"/>
  <c r="A400" i="10"/>
  <c r="AP399" i="10"/>
  <c r="AG399" i="10"/>
  <c r="AF399" i="10"/>
  <c r="AH399" i="10" s="1"/>
  <c r="AI399" i="10" s="1"/>
  <c r="AE399" i="10"/>
  <c r="AB399" i="10"/>
  <c r="AA399" i="10"/>
  <c r="A399" i="10"/>
  <c r="AP398" i="10"/>
  <c r="AE398" i="10"/>
  <c r="AB398" i="10"/>
  <c r="AA398" i="10"/>
  <c r="A398" i="10"/>
  <c r="AP397" i="10"/>
  <c r="AG397" i="10"/>
  <c r="AJ397" i="10" s="1"/>
  <c r="AF397" i="10"/>
  <c r="AH397" i="10" s="1"/>
  <c r="AI397" i="10" s="1"/>
  <c r="AE397" i="10"/>
  <c r="AB397" i="10"/>
  <c r="AA397" i="10"/>
  <c r="A397" i="10"/>
  <c r="AP396" i="10"/>
  <c r="AE396" i="10"/>
  <c r="AB396" i="10"/>
  <c r="AA396" i="10"/>
  <c r="A396" i="10"/>
  <c r="AP395" i="10"/>
  <c r="AG395" i="10"/>
  <c r="AF395" i="10"/>
  <c r="AH395" i="10" s="1"/>
  <c r="AI395" i="10" s="1"/>
  <c r="AE395" i="10"/>
  <c r="AB395" i="10"/>
  <c r="AA395" i="10"/>
  <c r="A395" i="10"/>
  <c r="AP394" i="10"/>
  <c r="AJ394" i="10"/>
  <c r="AF394" i="10"/>
  <c r="AH394" i="10" s="1"/>
  <c r="AI394" i="10" s="1"/>
  <c r="AE394" i="10"/>
  <c r="AG394" i="10" s="1"/>
  <c r="AB394" i="10"/>
  <c r="AA394" i="10"/>
  <c r="A394" i="10"/>
  <c r="AP393" i="10"/>
  <c r="AG393" i="10"/>
  <c r="AF393" i="10"/>
  <c r="AH393" i="10" s="1"/>
  <c r="AI393" i="10" s="1"/>
  <c r="AE393" i="10"/>
  <c r="AB393" i="10"/>
  <c r="AA393" i="10"/>
  <c r="A393" i="10"/>
  <c r="AP392" i="10"/>
  <c r="AE392" i="10"/>
  <c r="AB392" i="10"/>
  <c r="AA392" i="10"/>
  <c r="A392" i="10"/>
  <c r="AP391" i="10"/>
  <c r="AE391" i="10"/>
  <c r="AB391" i="10"/>
  <c r="AA391" i="10"/>
  <c r="A391" i="10"/>
  <c r="AP390" i="10"/>
  <c r="AE390" i="10"/>
  <c r="AB390" i="10"/>
  <c r="AA390" i="10"/>
  <c r="A390" i="10"/>
  <c r="AP389" i="10"/>
  <c r="AF389" i="10"/>
  <c r="AH389" i="10" s="1"/>
  <c r="AI389" i="10" s="1"/>
  <c r="AE389" i="10"/>
  <c r="AG389" i="10" s="1"/>
  <c r="AB389" i="10"/>
  <c r="AA389" i="10"/>
  <c r="A389" i="10"/>
  <c r="AP388" i="10"/>
  <c r="AE388" i="10"/>
  <c r="AB388" i="10"/>
  <c r="AA388" i="10"/>
  <c r="A388" i="10"/>
  <c r="AP387" i="10"/>
  <c r="AG387" i="10"/>
  <c r="AF387" i="10"/>
  <c r="AH387" i="10" s="1"/>
  <c r="AI387" i="10" s="1"/>
  <c r="AE387" i="10"/>
  <c r="AB387" i="10"/>
  <c r="AA387" i="10"/>
  <c r="A387" i="10"/>
  <c r="AP386" i="10"/>
  <c r="AE386" i="10"/>
  <c r="AG386" i="10" s="1"/>
  <c r="AB386" i="10"/>
  <c r="AA386" i="10"/>
  <c r="A386" i="10"/>
  <c r="AP385" i="10"/>
  <c r="AF385" i="10"/>
  <c r="AH385" i="10" s="1"/>
  <c r="AI385" i="10" s="1"/>
  <c r="AE385" i="10"/>
  <c r="AG385" i="10" s="1"/>
  <c r="AB385" i="10"/>
  <c r="AA385" i="10"/>
  <c r="A385" i="10"/>
  <c r="AP384" i="10"/>
  <c r="AE384" i="10"/>
  <c r="AB384" i="10"/>
  <c r="AA384" i="10"/>
  <c r="A384" i="10"/>
  <c r="AP383" i="10"/>
  <c r="AF383" i="10"/>
  <c r="AH383" i="10" s="1"/>
  <c r="AI383" i="10" s="1"/>
  <c r="AJ383" i="10" s="1"/>
  <c r="AE383" i="10"/>
  <c r="AG383" i="10" s="1"/>
  <c r="AB383" i="10"/>
  <c r="AA383" i="10"/>
  <c r="A383" i="10"/>
  <c r="AP382" i="10"/>
  <c r="AF382" i="10"/>
  <c r="AH382" i="10" s="1"/>
  <c r="AI382" i="10" s="1"/>
  <c r="AE382" i="10"/>
  <c r="AG382" i="10" s="1"/>
  <c r="AB382" i="10"/>
  <c r="AA382" i="10"/>
  <c r="A382" i="10"/>
  <c r="AP381" i="10"/>
  <c r="AH381" i="10"/>
  <c r="AI381" i="10" s="1"/>
  <c r="AG381" i="10"/>
  <c r="AF381" i="10"/>
  <c r="AE381" i="10"/>
  <c r="AB381" i="10"/>
  <c r="AA381" i="10"/>
  <c r="A381" i="10"/>
  <c r="AP380" i="10"/>
  <c r="AF380" i="10"/>
  <c r="AH380" i="10" s="1"/>
  <c r="AI380" i="10" s="1"/>
  <c r="AE380" i="10"/>
  <c r="AG380" i="10" s="1"/>
  <c r="AB380" i="10"/>
  <c r="AA380" i="10"/>
  <c r="A380" i="10"/>
  <c r="AP379" i="10"/>
  <c r="AE379" i="10"/>
  <c r="AB379" i="10"/>
  <c r="AA379" i="10"/>
  <c r="A379" i="10"/>
  <c r="AP378" i="10"/>
  <c r="AI378" i="10"/>
  <c r="AF378" i="10"/>
  <c r="AH378" i="10" s="1"/>
  <c r="AE378" i="10"/>
  <c r="AG378" i="10" s="1"/>
  <c r="AB378" i="10"/>
  <c r="AA378" i="10"/>
  <c r="A378" i="10"/>
  <c r="AP377" i="10"/>
  <c r="AE377" i="10"/>
  <c r="AB377" i="10"/>
  <c r="AA377" i="10"/>
  <c r="A377" i="10"/>
  <c r="AP376" i="10"/>
  <c r="AI376" i="10"/>
  <c r="AF376" i="10"/>
  <c r="AH376" i="10" s="1"/>
  <c r="AE376" i="10"/>
  <c r="AG376" i="10" s="1"/>
  <c r="AB376" i="10"/>
  <c r="AA376" i="10"/>
  <c r="A376" i="10"/>
  <c r="AP375" i="10"/>
  <c r="AJ375" i="10"/>
  <c r="AG375" i="10"/>
  <c r="AF375" i="10"/>
  <c r="AH375" i="10" s="1"/>
  <c r="AI375" i="10" s="1"/>
  <c r="AE375" i="10"/>
  <c r="AB375" i="10"/>
  <c r="AA375" i="10"/>
  <c r="A375" i="10"/>
  <c r="AP374" i="10"/>
  <c r="AI374" i="10"/>
  <c r="AF374" i="10"/>
  <c r="AH374" i="10" s="1"/>
  <c r="AE374" i="10"/>
  <c r="AG374" i="10" s="1"/>
  <c r="AB374" i="10"/>
  <c r="AA374" i="10"/>
  <c r="A374" i="10"/>
  <c r="AP373" i="10"/>
  <c r="AH373" i="10"/>
  <c r="AI373" i="10" s="1"/>
  <c r="AG373" i="10"/>
  <c r="AJ373" i="10" s="1"/>
  <c r="AF373" i="10"/>
  <c r="AE373" i="10"/>
  <c r="AB373" i="10"/>
  <c r="AA373" i="10"/>
  <c r="A373" i="10"/>
  <c r="AP372" i="10"/>
  <c r="AF372" i="10"/>
  <c r="AH372" i="10" s="1"/>
  <c r="AI372" i="10" s="1"/>
  <c r="AE372" i="10"/>
  <c r="AG372" i="10" s="1"/>
  <c r="AB372" i="10"/>
  <c r="AA372" i="10"/>
  <c r="A372" i="10"/>
  <c r="AP371" i="10"/>
  <c r="AF371" i="10"/>
  <c r="AH371" i="10" s="1"/>
  <c r="AI371" i="10" s="1"/>
  <c r="AE371" i="10"/>
  <c r="AG371" i="10" s="1"/>
  <c r="AB371" i="10"/>
  <c r="AA371" i="10"/>
  <c r="A371" i="10"/>
  <c r="AP370" i="10"/>
  <c r="AF370" i="10"/>
  <c r="AH370" i="10" s="1"/>
  <c r="AI370" i="10" s="1"/>
  <c r="AE370" i="10"/>
  <c r="AG370" i="10" s="1"/>
  <c r="AB370" i="10"/>
  <c r="AA370" i="10"/>
  <c r="A370" i="10"/>
  <c r="AP369" i="10"/>
  <c r="AH369" i="10"/>
  <c r="AI369" i="10" s="1"/>
  <c r="AG369" i="10"/>
  <c r="AF369" i="10"/>
  <c r="AE369" i="10"/>
  <c r="AB369" i="10"/>
  <c r="AA369" i="10"/>
  <c r="A369" i="10"/>
  <c r="AP368" i="10"/>
  <c r="AF368" i="10"/>
  <c r="AH368" i="10" s="1"/>
  <c r="AI368" i="10" s="1"/>
  <c r="AE368" i="10"/>
  <c r="AG368" i="10" s="1"/>
  <c r="AB368" i="10"/>
  <c r="AA368" i="10"/>
  <c r="A368" i="10"/>
  <c r="AP367" i="10"/>
  <c r="AE367" i="10"/>
  <c r="AB367" i="10"/>
  <c r="AA367" i="10"/>
  <c r="A367" i="10"/>
  <c r="AP366" i="10"/>
  <c r="AF366" i="10"/>
  <c r="AH366" i="10" s="1"/>
  <c r="AI366" i="10" s="1"/>
  <c r="AE366" i="10"/>
  <c r="AG366" i="10" s="1"/>
  <c r="AB366" i="10"/>
  <c r="AA366" i="10"/>
  <c r="A366" i="10"/>
  <c r="AP365" i="10"/>
  <c r="AG365" i="10"/>
  <c r="AF365" i="10"/>
  <c r="AH365" i="10" s="1"/>
  <c r="AI365" i="10" s="1"/>
  <c r="AE365" i="10"/>
  <c r="AB365" i="10"/>
  <c r="AA365" i="10"/>
  <c r="A365" i="10"/>
  <c r="AP364" i="10"/>
  <c r="AE364" i="10"/>
  <c r="AB364" i="10"/>
  <c r="AA364" i="10"/>
  <c r="A364" i="10"/>
  <c r="AP363" i="10"/>
  <c r="AG363" i="10"/>
  <c r="AF363" i="10"/>
  <c r="AH363" i="10" s="1"/>
  <c r="AI363" i="10" s="1"/>
  <c r="AE363" i="10"/>
  <c r="AB363" i="10"/>
  <c r="AA363" i="10"/>
  <c r="A363" i="10"/>
  <c r="AP362" i="10"/>
  <c r="AI362" i="10"/>
  <c r="AF362" i="10"/>
  <c r="AH362" i="10" s="1"/>
  <c r="AE362" i="10"/>
  <c r="AG362" i="10" s="1"/>
  <c r="AB362" i="10"/>
  <c r="AA362" i="10"/>
  <c r="A362" i="10"/>
  <c r="AP361" i="10"/>
  <c r="AH361" i="10"/>
  <c r="AI361" i="10" s="1"/>
  <c r="AG361" i="10"/>
  <c r="AF361" i="10"/>
  <c r="AE361" i="10"/>
  <c r="AB361" i="10"/>
  <c r="AA361" i="10"/>
  <c r="A361" i="10"/>
  <c r="AP360" i="10"/>
  <c r="AI360" i="10"/>
  <c r="AF360" i="10"/>
  <c r="AH360" i="10" s="1"/>
  <c r="AE360" i="10"/>
  <c r="AG360" i="10" s="1"/>
  <c r="AB360" i="10"/>
  <c r="AA360" i="10"/>
  <c r="A360" i="10"/>
  <c r="AP359" i="10"/>
  <c r="AG359" i="10"/>
  <c r="AJ359" i="10" s="1"/>
  <c r="AF359" i="10"/>
  <c r="AH359" i="10" s="1"/>
  <c r="AI359" i="10" s="1"/>
  <c r="AE359" i="10"/>
  <c r="AB359" i="10"/>
  <c r="AA359" i="10"/>
  <c r="A359" i="10"/>
  <c r="AP358" i="10"/>
  <c r="AE358" i="10"/>
  <c r="AG358" i="10" s="1"/>
  <c r="AB358" i="10"/>
  <c r="AA358" i="10"/>
  <c r="A358" i="10"/>
  <c r="AP357" i="10"/>
  <c r="AG357" i="10"/>
  <c r="AJ357" i="10" s="1"/>
  <c r="AF357" i="10"/>
  <c r="AH357" i="10" s="1"/>
  <c r="AI357" i="10" s="1"/>
  <c r="AE357" i="10"/>
  <c r="AB357" i="10"/>
  <c r="AA357" i="10"/>
  <c r="A357" i="10"/>
  <c r="AP356" i="10"/>
  <c r="AF356" i="10"/>
  <c r="AH356" i="10" s="1"/>
  <c r="AI356" i="10" s="1"/>
  <c r="AE356" i="10"/>
  <c r="AG356" i="10" s="1"/>
  <c r="AB356" i="10"/>
  <c r="AA356" i="10"/>
  <c r="A356" i="10"/>
  <c r="AP355" i="10"/>
  <c r="AE355" i="10"/>
  <c r="AB355" i="10"/>
  <c r="AA355" i="10"/>
  <c r="A355" i="10"/>
  <c r="AP354" i="10"/>
  <c r="AF354" i="10"/>
  <c r="AH354" i="10" s="1"/>
  <c r="AI354" i="10" s="1"/>
  <c r="AE354" i="10"/>
  <c r="AG354" i="10" s="1"/>
  <c r="AB354" i="10"/>
  <c r="AA354" i="10"/>
  <c r="A354" i="10"/>
  <c r="AP353" i="10"/>
  <c r="AG353" i="10"/>
  <c r="AJ353" i="10" s="1"/>
  <c r="AF353" i="10"/>
  <c r="AH353" i="10" s="1"/>
  <c r="AI353" i="10" s="1"/>
  <c r="AE353" i="10"/>
  <c r="AB353" i="10"/>
  <c r="AA353" i="10"/>
  <c r="A353" i="10"/>
  <c r="AP352" i="10"/>
  <c r="AE352" i="10"/>
  <c r="AB352" i="10"/>
  <c r="AA352" i="10"/>
  <c r="A352" i="10"/>
  <c r="AP351" i="10"/>
  <c r="AG351" i="10"/>
  <c r="AJ351" i="10" s="1"/>
  <c r="AF351" i="10"/>
  <c r="AH351" i="10" s="1"/>
  <c r="AI351" i="10" s="1"/>
  <c r="AE351" i="10"/>
  <c r="AB351" i="10"/>
  <c r="AA351" i="10"/>
  <c r="A351" i="10"/>
  <c r="AP350" i="10"/>
  <c r="AF350" i="10"/>
  <c r="AH350" i="10" s="1"/>
  <c r="AI350" i="10" s="1"/>
  <c r="AE350" i="10"/>
  <c r="AG350" i="10" s="1"/>
  <c r="AB350" i="10"/>
  <c r="AA350" i="10"/>
  <c r="A350" i="10"/>
  <c r="AP349" i="10"/>
  <c r="AF349" i="10"/>
  <c r="AH349" i="10" s="1"/>
  <c r="AI349" i="10" s="1"/>
  <c r="AE349" i="10"/>
  <c r="AG349" i="10" s="1"/>
  <c r="AB349" i="10"/>
  <c r="AA349" i="10"/>
  <c r="A349" i="10"/>
  <c r="AP348" i="10"/>
  <c r="AF348" i="10"/>
  <c r="AH348" i="10" s="1"/>
  <c r="AI348" i="10" s="1"/>
  <c r="AE348" i="10"/>
  <c r="AG348" i="10" s="1"/>
  <c r="AB348" i="10"/>
  <c r="AA348" i="10"/>
  <c r="A348" i="10"/>
  <c r="AP347" i="10"/>
  <c r="AG347" i="10"/>
  <c r="AF347" i="10"/>
  <c r="AH347" i="10" s="1"/>
  <c r="AI347" i="10" s="1"/>
  <c r="AE347" i="10"/>
  <c r="AB347" i="10"/>
  <c r="AA347" i="10"/>
  <c r="A347" i="10"/>
  <c r="AP346" i="10"/>
  <c r="AF346" i="10"/>
  <c r="AH346" i="10" s="1"/>
  <c r="AI346" i="10" s="1"/>
  <c r="AE346" i="10"/>
  <c r="AG346" i="10" s="1"/>
  <c r="AB346" i="10"/>
  <c r="AA346" i="10"/>
  <c r="A346" i="10"/>
  <c r="AP345" i="10"/>
  <c r="AG345" i="10"/>
  <c r="AF345" i="10"/>
  <c r="AH345" i="10" s="1"/>
  <c r="AI345" i="10" s="1"/>
  <c r="AE345" i="10"/>
  <c r="AB345" i="10"/>
  <c r="AA345" i="10"/>
  <c r="A345" i="10"/>
  <c r="AP344" i="10"/>
  <c r="AF344" i="10"/>
  <c r="AH344" i="10" s="1"/>
  <c r="AI344" i="10" s="1"/>
  <c r="AE344" i="10"/>
  <c r="AG344" i="10" s="1"/>
  <c r="AB344" i="10"/>
  <c r="AA344" i="10"/>
  <c r="A344" i="10"/>
  <c r="AP343" i="10"/>
  <c r="AF343" i="10"/>
  <c r="AH343" i="10" s="1"/>
  <c r="AI343" i="10" s="1"/>
  <c r="AE343" i="10"/>
  <c r="AG343" i="10" s="1"/>
  <c r="AB343" i="10"/>
  <c r="AA343" i="10"/>
  <c r="A343" i="10"/>
  <c r="AP342" i="10"/>
  <c r="AE342" i="10"/>
  <c r="AB342" i="10"/>
  <c r="AA342" i="10"/>
  <c r="A342" i="10"/>
  <c r="AP341" i="10"/>
  <c r="AF341" i="10"/>
  <c r="AH341" i="10" s="1"/>
  <c r="AI341" i="10" s="1"/>
  <c r="AE341" i="10"/>
  <c r="AG341" i="10" s="1"/>
  <c r="AJ341" i="10" s="1"/>
  <c r="AB341" i="10"/>
  <c r="AA341" i="10"/>
  <c r="A341" i="10"/>
  <c r="AP340" i="10"/>
  <c r="AE340" i="10"/>
  <c r="AB340" i="10"/>
  <c r="AA340" i="10"/>
  <c r="A340" i="10"/>
  <c r="AP339" i="10"/>
  <c r="AG339" i="10"/>
  <c r="AJ339" i="10" s="1"/>
  <c r="AF339" i="10"/>
  <c r="AH339" i="10" s="1"/>
  <c r="AI339" i="10" s="1"/>
  <c r="AE339" i="10"/>
  <c r="AB339" i="10"/>
  <c r="AA339" i="10"/>
  <c r="A339" i="10"/>
  <c r="AP338" i="10"/>
  <c r="AF338" i="10"/>
  <c r="AH338" i="10" s="1"/>
  <c r="AI338" i="10" s="1"/>
  <c r="AE338" i="10"/>
  <c r="AG338" i="10" s="1"/>
  <c r="AB338" i="10"/>
  <c r="AA338" i="10"/>
  <c r="A338" i="10"/>
  <c r="AP337" i="10"/>
  <c r="AF337" i="10"/>
  <c r="AH337" i="10" s="1"/>
  <c r="AI337" i="10" s="1"/>
  <c r="AE337" i="10"/>
  <c r="AG337" i="10" s="1"/>
  <c r="AB337" i="10"/>
  <c r="AA337" i="10"/>
  <c r="A337" i="10"/>
  <c r="AP336" i="10"/>
  <c r="AF336" i="10"/>
  <c r="AH336" i="10" s="1"/>
  <c r="AI336" i="10" s="1"/>
  <c r="AE336" i="10"/>
  <c r="AG336" i="10" s="1"/>
  <c r="AB336" i="10"/>
  <c r="AA336" i="10"/>
  <c r="A336" i="10"/>
  <c r="AP335" i="10"/>
  <c r="AG335" i="10"/>
  <c r="AJ335" i="10" s="1"/>
  <c r="AF335" i="10"/>
  <c r="AH335" i="10" s="1"/>
  <c r="AI335" i="10" s="1"/>
  <c r="AE335" i="10"/>
  <c r="AB335" i="10"/>
  <c r="AA335" i="10"/>
  <c r="A335" i="10"/>
  <c r="AP334" i="10"/>
  <c r="AE334" i="10"/>
  <c r="AB334" i="10"/>
  <c r="AA334" i="10"/>
  <c r="A334" i="10"/>
  <c r="AP333" i="10"/>
  <c r="AE333" i="10"/>
  <c r="AB333" i="10"/>
  <c r="AA333" i="10"/>
  <c r="A333" i="10"/>
  <c r="AP332" i="10"/>
  <c r="AF332" i="10"/>
  <c r="AH332" i="10" s="1"/>
  <c r="AI332" i="10" s="1"/>
  <c r="AE332" i="10"/>
  <c r="AG332" i="10" s="1"/>
  <c r="AB332" i="10"/>
  <c r="AA332" i="10"/>
  <c r="A332" i="10"/>
  <c r="AP331" i="10"/>
  <c r="AF331" i="10"/>
  <c r="AH331" i="10" s="1"/>
  <c r="AI331" i="10" s="1"/>
  <c r="AJ331" i="10" s="1"/>
  <c r="AE331" i="10"/>
  <c r="AG331" i="10" s="1"/>
  <c r="AB331" i="10"/>
  <c r="AA331" i="10"/>
  <c r="A331" i="10"/>
  <c r="AP330" i="10"/>
  <c r="AE330" i="10"/>
  <c r="AB330" i="10"/>
  <c r="AA330" i="10"/>
  <c r="A330" i="10"/>
  <c r="AP329" i="10"/>
  <c r="AF329" i="10"/>
  <c r="AH329" i="10" s="1"/>
  <c r="AI329" i="10" s="1"/>
  <c r="AE329" i="10"/>
  <c r="AG329" i="10" s="1"/>
  <c r="AJ329" i="10" s="1"/>
  <c r="AB329" i="10"/>
  <c r="AA329" i="10"/>
  <c r="A329" i="10"/>
  <c r="AP328" i="10"/>
  <c r="AE328" i="10"/>
  <c r="AB328" i="10"/>
  <c r="AA328" i="10"/>
  <c r="A328" i="10"/>
  <c r="AP327" i="10"/>
  <c r="AE327" i="10"/>
  <c r="AB327" i="10"/>
  <c r="AA327" i="10"/>
  <c r="A327" i="10"/>
  <c r="AP326" i="10"/>
  <c r="AI326" i="10"/>
  <c r="AF326" i="10"/>
  <c r="AH326" i="10" s="1"/>
  <c r="AE326" i="10"/>
  <c r="AG326" i="10" s="1"/>
  <c r="AB326" i="10"/>
  <c r="AA326" i="10"/>
  <c r="A326" i="10"/>
  <c r="AP325" i="10"/>
  <c r="AE325" i="10"/>
  <c r="AB325" i="10"/>
  <c r="AA325" i="10"/>
  <c r="A325" i="10"/>
  <c r="AP324" i="10"/>
  <c r="AI324" i="10"/>
  <c r="AF324" i="10"/>
  <c r="AH324" i="10" s="1"/>
  <c r="AE324" i="10"/>
  <c r="AG324" i="10" s="1"/>
  <c r="AB324" i="10"/>
  <c r="AA324" i="10"/>
  <c r="A324" i="10"/>
  <c r="AP323" i="10"/>
  <c r="AG323" i="10"/>
  <c r="AJ323" i="10" s="1"/>
  <c r="AF323" i="10"/>
  <c r="AH323" i="10" s="1"/>
  <c r="AI323" i="10" s="1"/>
  <c r="AE323" i="10"/>
  <c r="AB323" i="10"/>
  <c r="AA323" i="10"/>
  <c r="A323" i="10"/>
  <c r="AP322" i="10"/>
  <c r="AE322" i="10"/>
  <c r="AB322" i="10"/>
  <c r="AA322" i="10"/>
  <c r="A322" i="10"/>
  <c r="AP321" i="10"/>
  <c r="AE321" i="10"/>
  <c r="AB321" i="10"/>
  <c r="AA321" i="10"/>
  <c r="A321" i="10"/>
  <c r="AP320" i="10"/>
  <c r="AF320" i="10"/>
  <c r="AH320" i="10" s="1"/>
  <c r="AI320" i="10" s="1"/>
  <c r="AE320" i="10"/>
  <c r="AG320" i="10" s="1"/>
  <c r="AB320" i="10"/>
  <c r="AA320" i="10"/>
  <c r="A320" i="10"/>
  <c r="AP319" i="10"/>
  <c r="AF319" i="10"/>
  <c r="AH319" i="10" s="1"/>
  <c r="AI319" i="10" s="1"/>
  <c r="AE319" i="10"/>
  <c r="AG319" i="10" s="1"/>
  <c r="AB319" i="10"/>
  <c r="AA319" i="10"/>
  <c r="A319" i="10"/>
  <c r="AP318" i="10"/>
  <c r="AF318" i="10"/>
  <c r="AH318" i="10" s="1"/>
  <c r="AI318" i="10" s="1"/>
  <c r="AE318" i="10"/>
  <c r="AG318" i="10" s="1"/>
  <c r="AB318" i="10"/>
  <c r="AA318" i="10"/>
  <c r="A318" i="10"/>
  <c r="AP317" i="10"/>
  <c r="AG317" i="10"/>
  <c r="AF317" i="10"/>
  <c r="AH317" i="10" s="1"/>
  <c r="AI317" i="10" s="1"/>
  <c r="AE317" i="10"/>
  <c r="AB317" i="10"/>
  <c r="AA317" i="10"/>
  <c r="A317" i="10"/>
  <c r="AP316" i="10"/>
  <c r="AE316" i="10"/>
  <c r="AG316" i="10" s="1"/>
  <c r="AB316" i="10"/>
  <c r="AA316" i="10"/>
  <c r="A316" i="10"/>
  <c r="AP315" i="10"/>
  <c r="AF315" i="10"/>
  <c r="AH315" i="10" s="1"/>
  <c r="AI315" i="10" s="1"/>
  <c r="AE315" i="10"/>
  <c r="AG315" i="10" s="1"/>
  <c r="AB315" i="10"/>
  <c r="AA315" i="10"/>
  <c r="A315" i="10"/>
  <c r="AP314" i="10"/>
  <c r="AE314" i="10"/>
  <c r="AB314" i="10"/>
  <c r="AA314" i="10"/>
  <c r="A314" i="10"/>
  <c r="AP313" i="10"/>
  <c r="AH313" i="10"/>
  <c r="AI313" i="10" s="1"/>
  <c r="AJ313" i="10" s="1"/>
  <c r="AG313" i="10"/>
  <c r="AE313" i="10"/>
  <c r="AF313" i="10" s="1"/>
  <c r="AB313" i="10"/>
  <c r="AA313" i="10"/>
  <c r="A313" i="10"/>
  <c r="AP312" i="10"/>
  <c r="AE312" i="10"/>
  <c r="AG312" i="10" s="1"/>
  <c r="AB312" i="10"/>
  <c r="AA312" i="10"/>
  <c r="A312" i="10"/>
  <c r="AP311" i="10"/>
  <c r="AJ311" i="10"/>
  <c r="AF311" i="10"/>
  <c r="AH311" i="10" s="1"/>
  <c r="AI311" i="10" s="1"/>
  <c r="AE311" i="10"/>
  <c r="AG311" i="10" s="1"/>
  <c r="AB311" i="10"/>
  <c r="AA311" i="10"/>
  <c r="A311" i="10"/>
  <c r="AP310" i="10"/>
  <c r="AI310" i="10"/>
  <c r="AF310" i="10"/>
  <c r="AH310" i="10" s="1"/>
  <c r="AE310" i="10"/>
  <c r="AG310" i="10" s="1"/>
  <c r="AB310" i="10"/>
  <c r="AA310" i="10"/>
  <c r="A310" i="10"/>
  <c r="AP309" i="10"/>
  <c r="AG309" i="10"/>
  <c r="AJ309" i="10" s="1"/>
  <c r="AF309" i="10"/>
  <c r="AH309" i="10" s="1"/>
  <c r="AI309" i="10" s="1"/>
  <c r="AE309" i="10"/>
  <c r="AB309" i="10"/>
  <c r="AA309" i="10"/>
  <c r="A309" i="10"/>
  <c r="AP308" i="10"/>
  <c r="AE308" i="10"/>
  <c r="AG308" i="10" s="1"/>
  <c r="AB308" i="10"/>
  <c r="AA308" i="10"/>
  <c r="A308" i="10"/>
  <c r="AP307" i="10"/>
  <c r="AG307" i="10"/>
  <c r="AF307" i="10"/>
  <c r="AH307" i="10" s="1"/>
  <c r="AI307" i="10" s="1"/>
  <c r="AE307" i="10"/>
  <c r="AB307" i="10"/>
  <c r="AA307" i="10"/>
  <c r="A307" i="10"/>
  <c r="AP306" i="10"/>
  <c r="AE306" i="10"/>
  <c r="AB306" i="10"/>
  <c r="AA306" i="10"/>
  <c r="A306" i="10"/>
  <c r="AP305" i="10"/>
  <c r="AH305" i="10"/>
  <c r="AI305" i="10" s="1"/>
  <c r="AG305" i="10"/>
  <c r="AE305" i="10"/>
  <c r="AF305" i="10" s="1"/>
  <c r="AB305" i="10"/>
  <c r="AA305" i="10"/>
  <c r="A305" i="10"/>
  <c r="AP304" i="10"/>
  <c r="AE304" i="10"/>
  <c r="AG304" i="10" s="1"/>
  <c r="AB304" i="10"/>
  <c r="AA304" i="10"/>
  <c r="A304" i="10"/>
  <c r="AP303" i="10"/>
  <c r="AF303" i="10"/>
  <c r="AH303" i="10" s="1"/>
  <c r="AI303" i="10" s="1"/>
  <c r="AE303" i="10"/>
  <c r="AG303" i="10" s="1"/>
  <c r="AB303" i="10"/>
  <c r="AA303" i="10"/>
  <c r="A303" i="10"/>
  <c r="AP302" i="10"/>
  <c r="AF302" i="10"/>
  <c r="AH302" i="10" s="1"/>
  <c r="AI302" i="10" s="1"/>
  <c r="AE302" i="10"/>
  <c r="AG302" i="10" s="1"/>
  <c r="AB302" i="10"/>
  <c r="AA302" i="10"/>
  <c r="A302" i="10"/>
  <c r="AP301" i="10"/>
  <c r="AH301" i="10"/>
  <c r="AI301" i="10" s="1"/>
  <c r="AG301" i="10"/>
  <c r="AF301" i="10"/>
  <c r="AE301" i="10"/>
  <c r="AB301" i="10"/>
  <c r="AA301" i="10"/>
  <c r="A301" i="10"/>
  <c r="AP300" i="10"/>
  <c r="AI300" i="10"/>
  <c r="AJ300" i="10" s="1"/>
  <c r="AF300" i="10"/>
  <c r="AH300" i="10" s="1"/>
  <c r="AE300" i="10"/>
  <c r="AG300" i="10" s="1"/>
  <c r="AB300" i="10"/>
  <c r="AA300" i="10"/>
  <c r="A300" i="10"/>
  <c r="AP299" i="10"/>
  <c r="AF299" i="10"/>
  <c r="AH299" i="10" s="1"/>
  <c r="AI299" i="10" s="1"/>
  <c r="AE299" i="10"/>
  <c r="AG299" i="10" s="1"/>
  <c r="AB299" i="10"/>
  <c r="AA299" i="10"/>
  <c r="A299" i="10"/>
  <c r="AP298" i="10"/>
  <c r="AE298" i="10"/>
  <c r="AB298" i="10"/>
  <c r="AA298" i="10"/>
  <c r="A298" i="10"/>
  <c r="AP297" i="10"/>
  <c r="AH297" i="10"/>
  <c r="AI297" i="10" s="1"/>
  <c r="AJ297" i="10" s="1"/>
  <c r="AG297" i="10"/>
  <c r="AE297" i="10"/>
  <c r="AF297" i="10" s="1"/>
  <c r="AB297" i="10"/>
  <c r="AA297" i="10"/>
  <c r="A297" i="10"/>
  <c r="AP296" i="10"/>
  <c r="AE296" i="10"/>
  <c r="AG296" i="10" s="1"/>
  <c r="AB296" i="10"/>
  <c r="AA296" i="10"/>
  <c r="A296" i="10"/>
  <c r="AP295" i="10"/>
  <c r="AJ295" i="10"/>
  <c r="AF295" i="10"/>
  <c r="AH295" i="10" s="1"/>
  <c r="AI295" i="10" s="1"/>
  <c r="AE295" i="10"/>
  <c r="AG295" i="10" s="1"/>
  <c r="AB295" i="10"/>
  <c r="AA295" i="10"/>
  <c r="A295" i="10"/>
  <c r="AP294" i="10"/>
  <c r="AF294" i="10"/>
  <c r="AH294" i="10" s="1"/>
  <c r="AI294" i="10" s="1"/>
  <c r="AE294" i="10"/>
  <c r="AG294" i="10" s="1"/>
  <c r="AB294" i="10"/>
  <c r="AA294" i="10"/>
  <c r="A294" i="10"/>
  <c r="AP293" i="10"/>
  <c r="AF293" i="10"/>
  <c r="AH293" i="10" s="1"/>
  <c r="AI293" i="10" s="1"/>
  <c r="AE293" i="10"/>
  <c r="AG293" i="10" s="1"/>
  <c r="AJ293" i="10" s="1"/>
  <c r="AB293" i="10"/>
  <c r="AA293" i="10"/>
  <c r="A293" i="10"/>
  <c r="AP292" i="10"/>
  <c r="AE292" i="10"/>
  <c r="AG292" i="10" s="1"/>
  <c r="AB292" i="10"/>
  <c r="AA292" i="10"/>
  <c r="A292" i="10"/>
  <c r="AP291" i="10"/>
  <c r="AF291" i="10"/>
  <c r="AH291" i="10" s="1"/>
  <c r="AI291" i="10" s="1"/>
  <c r="AE291" i="10"/>
  <c r="AG291" i="10" s="1"/>
  <c r="AB291" i="10"/>
  <c r="AA291" i="10"/>
  <c r="A291" i="10"/>
  <c r="AP290" i="10"/>
  <c r="AE290" i="10"/>
  <c r="AB290" i="10"/>
  <c r="AA290" i="10"/>
  <c r="A290" i="10"/>
  <c r="AP289" i="10"/>
  <c r="AG289" i="10"/>
  <c r="AE289" i="10"/>
  <c r="AF289" i="10" s="1"/>
  <c r="AH289" i="10" s="1"/>
  <c r="AI289" i="10" s="1"/>
  <c r="AB289" i="10"/>
  <c r="AA289" i="10"/>
  <c r="A289" i="10"/>
  <c r="AP288" i="10"/>
  <c r="AF288" i="10"/>
  <c r="AH288" i="10" s="1"/>
  <c r="AI288" i="10" s="1"/>
  <c r="AE288" i="10"/>
  <c r="AG288" i="10" s="1"/>
  <c r="AB288" i="10"/>
  <c r="AA288" i="10"/>
  <c r="A288" i="10"/>
  <c r="AP287" i="10"/>
  <c r="AF287" i="10"/>
  <c r="AH287" i="10" s="1"/>
  <c r="AI287" i="10" s="1"/>
  <c r="AE287" i="10"/>
  <c r="AG287" i="10" s="1"/>
  <c r="AB287" i="10"/>
  <c r="AA287" i="10"/>
  <c r="A287" i="10"/>
  <c r="AP286" i="10"/>
  <c r="AF286" i="10"/>
  <c r="AH286" i="10" s="1"/>
  <c r="AI286" i="10" s="1"/>
  <c r="AE286" i="10"/>
  <c r="AG286" i="10" s="1"/>
  <c r="AB286" i="10"/>
  <c r="AA286" i="10"/>
  <c r="A286" i="10"/>
  <c r="AP285" i="10"/>
  <c r="AH285" i="10"/>
  <c r="AI285" i="10" s="1"/>
  <c r="AG285" i="10"/>
  <c r="AF285" i="10"/>
  <c r="AE285" i="10"/>
  <c r="AB285" i="10"/>
  <c r="AA285" i="10"/>
  <c r="A285" i="10"/>
  <c r="AP284" i="10"/>
  <c r="AI284" i="10"/>
  <c r="AJ284" i="10" s="1"/>
  <c r="AF284" i="10"/>
  <c r="AH284" i="10" s="1"/>
  <c r="AE284" i="10"/>
  <c r="AG284" i="10" s="1"/>
  <c r="AB284" i="10"/>
  <c r="AA284" i="10"/>
  <c r="A284" i="10"/>
  <c r="AP283" i="10"/>
  <c r="AE283" i="10"/>
  <c r="AG283" i="10" s="1"/>
  <c r="AB283" i="10"/>
  <c r="AA283" i="10"/>
  <c r="A283" i="10"/>
  <c r="AP282" i="10"/>
  <c r="AE282" i="10"/>
  <c r="AB282" i="10"/>
  <c r="AA282" i="10"/>
  <c r="A282" i="10"/>
  <c r="AP281" i="10"/>
  <c r="AG281" i="10"/>
  <c r="AE281" i="10"/>
  <c r="AF281" i="10" s="1"/>
  <c r="AH281" i="10" s="1"/>
  <c r="AI281" i="10" s="1"/>
  <c r="AJ281" i="10" s="1"/>
  <c r="AB281" i="10"/>
  <c r="AA281" i="10"/>
  <c r="A281" i="10"/>
  <c r="AP280" i="10"/>
  <c r="AE280" i="10"/>
  <c r="AG280" i="10" s="1"/>
  <c r="AB280" i="10"/>
  <c r="AA280" i="10"/>
  <c r="A280" i="10"/>
  <c r="AP279" i="10"/>
  <c r="AF279" i="10"/>
  <c r="AH279" i="10" s="1"/>
  <c r="AI279" i="10" s="1"/>
  <c r="AE279" i="10"/>
  <c r="AG279" i="10" s="1"/>
  <c r="AJ279" i="10" s="1"/>
  <c r="AB279" i="10"/>
  <c r="AA279" i="10"/>
  <c r="A279" i="10"/>
  <c r="AP278" i="10"/>
  <c r="AE278" i="10"/>
  <c r="AG278" i="10" s="1"/>
  <c r="AB278" i="10"/>
  <c r="AA278" i="10"/>
  <c r="A278" i="10"/>
  <c r="AP277" i="10"/>
  <c r="AE277" i="10"/>
  <c r="AG277" i="10" s="1"/>
  <c r="AB277" i="10"/>
  <c r="AA277" i="10"/>
  <c r="A277" i="10"/>
  <c r="AP276" i="10"/>
  <c r="AE276" i="10"/>
  <c r="AG276" i="10" s="1"/>
  <c r="AB276" i="10"/>
  <c r="AA276" i="10"/>
  <c r="A276" i="10"/>
  <c r="AP275" i="10"/>
  <c r="AE275" i="10"/>
  <c r="AG275" i="10" s="1"/>
  <c r="AB275" i="10"/>
  <c r="AA275" i="10"/>
  <c r="A275" i="10"/>
  <c r="AP274" i="10"/>
  <c r="AE274" i="10"/>
  <c r="AG274" i="10" s="1"/>
  <c r="AB274" i="10"/>
  <c r="AA274" i="10"/>
  <c r="A274" i="10"/>
  <c r="AP273" i="10"/>
  <c r="AE273" i="10"/>
  <c r="AG273" i="10" s="1"/>
  <c r="AB273" i="10"/>
  <c r="AA273" i="10"/>
  <c r="A273" i="10"/>
  <c r="AP272" i="10"/>
  <c r="AF272" i="10"/>
  <c r="AH272" i="10" s="1"/>
  <c r="AI272" i="10" s="1"/>
  <c r="AE272" i="10"/>
  <c r="AG272" i="10" s="1"/>
  <c r="AB272" i="10"/>
  <c r="AA272" i="10"/>
  <c r="A272" i="10"/>
  <c r="AP271" i="10"/>
  <c r="AF271" i="10"/>
  <c r="AH271" i="10" s="1"/>
  <c r="AI271" i="10" s="1"/>
  <c r="AJ271" i="10" s="1"/>
  <c r="AE271" i="10"/>
  <c r="AG271" i="10" s="1"/>
  <c r="AB271" i="10"/>
  <c r="AA271" i="10"/>
  <c r="A271" i="10"/>
  <c r="AP270" i="10"/>
  <c r="AE270" i="10"/>
  <c r="AG270" i="10" s="1"/>
  <c r="AB270" i="10"/>
  <c r="AA270" i="10"/>
  <c r="A270" i="10"/>
  <c r="AP269" i="10"/>
  <c r="AE269" i="10"/>
  <c r="AG269" i="10" s="1"/>
  <c r="AB269" i="10"/>
  <c r="AA269" i="10"/>
  <c r="A269" i="10"/>
  <c r="AP268" i="10"/>
  <c r="AE268" i="10"/>
  <c r="AB268" i="10"/>
  <c r="AA268" i="10"/>
  <c r="A268" i="10"/>
  <c r="AP267" i="10"/>
  <c r="AG267" i="10"/>
  <c r="AE267" i="10"/>
  <c r="AF267" i="10" s="1"/>
  <c r="AH267" i="10" s="1"/>
  <c r="AI267" i="10" s="1"/>
  <c r="AJ267" i="10" s="1"/>
  <c r="AB267" i="10"/>
  <c r="AA267" i="10"/>
  <c r="A267" i="10"/>
  <c r="AP266" i="10"/>
  <c r="AE266" i="10"/>
  <c r="AG266" i="10" s="1"/>
  <c r="AB266" i="10"/>
  <c r="AA266" i="10"/>
  <c r="A266" i="10"/>
  <c r="AP265" i="10"/>
  <c r="AE265" i="10"/>
  <c r="AF265" i="10" s="1"/>
  <c r="AH265" i="10" s="1"/>
  <c r="AI265" i="10" s="1"/>
  <c r="AB265" i="10"/>
  <c r="AA265" i="10"/>
  <c r="A265" i="10"/>
  <c r="AP264" i="10"/>
  <c r="AH264" i="10"/>
  <c r="AI264" i="10" s="1"/>
  <c r="AF264" i="10"/>
  <c r="AE264" i="10"/>
  <c r="AG264" i="10" s="1"/>
  <c r="AB264" i="10"/>
  <c r="AA264" i="10"/>
  <c r="A264" i="10"/>
  <c r="AP263" i="10"/>
  <c r="AH263" i="10"/>
  <c r="AI263" i="10" s="1"/>
  <c r="AJ263" i="10" s="1"/>
  <c r="AG263" i="10"/>
  <c r="AF263" i="10"/>
  <c r="AE263" i="10"/>
  <c r="AB263" i="10"/>
  <c r="AA263" i="10"/>
  <c r="A263" i="10"/>
  <c r="AP262" i="10"/>
  <c r="AE262" i="10"/>
  <c r="AG262" i="10" s="1"/>
  <c r="AB262" i="10"/>
  <c r="AA262" i="10"/>
  <c r="A262" i="10"/>
  <c r="AP261" i="10"/>
  <c r="AG261" i="10"/>
  <c r="AF261" i="10"/>
  <c r="AH261" i="10" s="1"/>
  <c r="AI261" i="10" s="1"/>
  <c r="AE261" i="10"/>
  <c r="AB261" i="10"/>
  <c r="AA261" i="10"/>
  <c r="A261" i="10"/>
  <c r="AP260" i="10"/>
  <c r="AH260" i="10"/>
  <c r="AI260" i="10" s="1"/>
  <c r="AF260" i="10"/>
  <c r="AE260" i="10"/>
  <c r="AG260" i="10" s="1"/>
  <c r="AB260" i="10"/>
  <c r="AA260" i="10"/>
  <c r="A260" i="10"/>
  <c r="AP259" i="10"/>
  <c r="AF259" i="10"/>
  <c r="AH259" i="10" s="1"/>
  <c r="AI259" i="10" s="1"/>
  <c r="AE259" i="10"/>
  <c r="AG259" i="10" s="1"/>
  <c r="AB259" i="10"/>
  <c r="AA259" i="10"/>
  <c r="A259" i="10"/>
  <c r="AP258" i="10"/>
  <c r="AE258" i="10"/>
  <c r="AG258" i="10" s="1"/>
  <c r="AB258" i="10"/>
  <c r="AA258" i="10"/>
  <c r="A258" i="10"/>
  <c r="AP257" i="10"/>
  <c r="AF257" i="10"/>
  <c r="AH257" i="10" s="1"/>
  <c r="AI257" i="10" s="1"/>
  <c r="AE257" i="10"/>
  <c r="AG257" i="10" s="1"/>
  <c r="AB257" i="10"/>
  <c r="AA257" i="10"/>
  <c r="A257" i="10"/>
  <c r="AP256" i="10"/>
  <c r="AF256" i="10"/>
  <c r="AH256" i="10" s="1"/>
  <c r="AI256" i="10" s="1"/>
  <c r="AE256" i="10"/>
  <c r="AG256" i="10" s="1"/>
  <c r="AB256" i="10"/>
  <c r="AA256" i="10"/>
  <c r="A256" i="10"/>
  <c r="AP255" i="10"/>
  <c r="AH255" i="10"/>
  <c r="AI255" i="10" s="1"/>
  <c r="AJ255" i="10" s="1"/>
  <c r="AF255" i="10"/>
  <c r="AE255" i="10"/>
  <c r="AG255" i="10" s="1"/>
  <c r="AB255" i="10"/>
  <c r="AA255" i="10"/>
  <c r="A255" i="10"/>
  <c r="AP254" i="10"/>
  <c r="AE254" i="10"/>
  <c r="AG254" i="10" s="1"/>
  <c r="AB254" i="10"/>
  <c r="AA254" i="10"/>
  <c r="A254" i="10"/>
  <c r="AP253" i="10"/>
  <c r="AF253" i="10"/>
  <c r="AH253" i="10" s="1"/>
  <c r="AI253" i="10" s="1"/>
  <c r="AE253" i="10"/>
  <c r="AG253" i="10" s="1"/>
  <c r="AB253" i="10"/>
  <c r="AA253" i="10"/>
  <c r="A253" i="10"/>
  <c r="AP252" i="10"/>
  <c r="AE252" i="10"/>
  <c r="AB252" i="10"/>
  <c r="AA252" i="10"/>
  <c r="A252" i="10"/>
  <c r="AP251" i="10"/>
  <c r="AH251" i="10"/>
  <c r="AI251" i="10" s="1"/>
  <c r="AJ251" i="10" s="1"/>
  <c r="AG251" i="10"/>
  <c r="AE251" i="10"/>
  <c r="AF251" i="10" s="1"/>
  <c r="AB251" i="10"/>
  <c r="AA251" i="10"/>
  <c r="A251" i="10"/>
  <c r="AP250" i="10"/>
  <c r="AE250" i="10"/>
  <c r="AG250" i="10" s="1"/>
  <c r="AB250" i="10"/>
  <c r="AA250" i="10"/>
  <c r="A250" i="10"/>
  <c r="AP249" i="10"/>
  <c r="AG249" i="10"/>
  <c r="AJ249" i="10" s="1"/>
  <c r="AE249" i="10"/>
  <c r="AF249" i="10" s="1"/>
  <c r="AH249" i="10" s="1"/>
  <c r="AI249" i="10" s="1"/>
  <c r="AB249" i="10"/>
  <c r="AA249" i="10"/>
  <c r="A249" i="10"/>
  <c r="AP248" i="10"/>
  <c r="AH248" i="10"/>
  <c r="AI248" i="10" s="1"/>
  <c r="AF248" i="10"/>
  <c r="AE248" i="10"/>
  <c r="AG248" i="10" s="1"/>
  <c r="AB248" i="10"/>
  <c r="AA248" i="10"/>
  <c r="A248" i="10"/>
  <c r="AP247" i="10"/>
  <c r="AH247" i="10"/>
  <c r="AI247" i="10" s="1"/>
  <c r="AJ247" i="10" s="1"/>
  <c r="AG247" i="10"/>
  <c r="AF247" i="10"/>
  <c r="AE247" i="10"/>
  <c r="AB247" i="10"/>
  <c r="AA247" i="10"/>
  <c r="A247" i="10"/>
  <c r="AP246" i="10"/>
  <c r="AE246" i="10"/>
  <c r="AG246" i="10" s="1"/>
  <c r="AB246" i="10"/>
  <c r="AA246" i="10"/>
  <c r="A246" i="10"/>
  <c r="AP245" i="10"/>
  <c r="AG245" i="10"/>
  <c r="AF245" i="10"/>
  <c r="AH245" i="10" s="1"/>
  <c r="AI245" i="10" s="1"/>
  <c r="AE245" i="10"/>
  <c r="AB245" i="10"/>
  <c r="AA245" i="10"/>
  <c r="A245" i="10"/>
  <c r="AP244" i="10"/>
  <c r="AH244" i="10"/>
  <c r="AI244" i="10" s="1"/>
  <c r="AF244" i="10"/>
  <c r="AE244" i="10"/>
  <c r="AG244" i="10" s="1"/>
  <c r="AB244" i="10"/>
  <c r="AA244" i="10"/>
  <c r="A244" i="10"/>
  <c r="AP243" i="10"/>
  <c r="AG243" i="10"/>
  <c r="AF243" i="10"/>
  <c r="AH243" i="10" s="1"/>
  <c r="AI243" i="10" s="1"/>
  <c r="AE243" i="10"/>
  <c r="AB243" i="10"/>
  <c r="AA243" i="10"/>
  <c r="A243" i="10"/>
  <c r="AP242" i="10"/>
  <c r="AE242" i="10"/>
  <c r="AG242" i="10" s="1"/>
  <c r="AB242" i="10"/>
  <c r="AA242" i="10"/>
  <c r="A242" i="10"/>
  <c r="AP241" i="10"/>
  <c r="AG241" i="10"/>
  <c r="AF241" i="10"/>
  <c r="AH241" i="10" s="1"/>
  <c r="AI241" i="10" s="1"/>
  <c r="AE241" i="10"/>
  <c r="AB241" i="10"/>
  <c r="AA241" i="10"/>
  <c r="A241" i="10"/>
  <c r="AP240" i="10"/>
  <c r="AE240" i="10"/>
  <c r="AG240" i="10" s="1"/>
  <c r="AB240" i="10"/>
  <c r="AA240" i="10"/>
  <c r="A240" i="10"/>
  <c r="AP239" i="10"/>
  <c r="AH239" i="10"/>
  <c r="AI239" i="10" s="1"/>
  <c r="AJ239" i="10" s="1"/>
  <c r="AF239" i="10"/>
  <c r="AE239" i="10"/>
  <c r="AG239" i="10" s="1"/>
  <c r="AB239" i="10"/>
  <c r="AA239" i="10"/>
  <c r="A239" i="10"/>
  <c r="AP238" i="10"/>
  <c r="AE238" i="10"/>
  <c r="AG238" i="10" s="1"/>
  <c r="AB238" i="10"/>
  <c r="AA238" i="10"/>
  <c r="A238" i="10"/>
  <c r="AP237" i="10"/>
  <c r="AF237" i="10"/>
  <c r="AH237" i="10" s="1"/>
  <c r="AI237" i="10" s="1"/>
  <c r="AE237" i="10"/>
  <c r="AG237" i="10" s="1"/>
  <c r="AB237" i="10"/>
  <c r="AA237" i="10"/>
  <c r="A237" i="10"/>
  <c r="AP236" i="10"/>
  <c r="AE236" i="10"/>
  <c r="AB236" i="10"/>
  <c r="AA236" i="10"/>
  <c r="A236" i="10"/>
  <c r="AP235" i="10"/>
  <c r="AH235" i="10"/>
  <c r="AI235" i="10" s="1"/>
  <c r="AJ235" i="10" s="1"/>
  <c r="AG235" i="10"/>
  <c r="AE235" i="10"/>
  <c r="AF235" i="10" s="1"/>
  <c r="AB235" i="10"/>
  <c r="AA235" i="10"/>
  <c r="A235" i="10"/>
  <c r="AP234" i="10"/>
  <c r="AE234" i="10"/>
  <c r="AG234" i="10" s="1"/>
  <c r="AB234" i="10"/>
  <c r="AA234" i="10"/>
  <c r="A234" i="10"/>
  <c r="AP233" i="10"/>
  <c r="AG233" i="10"/>
  <c r="AJ233" i="10" s="1"/>
  <c r="AE233" i="10"/>
  <c r="AF233" i="10" s="1"/>
  <c r="AH233" i="10" s="1"/>
  <c r="AI233" i="10" s="1"/>
  <c r="AB233" i="10"/>
  <c r="AA233" i="10"/>
  <c r="A233" i="10"/>
  <c r="AP232" i="10"/>
  <c r="AF232" i="10"/>
  <c r="AH232" i="10" s="1"/>
  <c r="AI232" i="10" s="1"/>
  <c r="AE232" i="10"/>
  <c r="AG232" i="10" s="1"/>
  <c r="AB232" i="10"/>
  <c r="AA232" i="10"/>
  <c r="A232" i="10"/>
  <c r="AP231" i="10"/>
  <c r="AG231" i="10"/>
  <c r="AF231" i="10"/>
  <c r="AH231" i="10" s="1"/>
  <c r="AI231" i="10" s="1"/>
  <c r="AJ231" i="10" s="1"/>
  <c r="AE231" i="10"/>
  <c r="AB231" i="10"/>
  <c r="AA231" i="10"/>
  <c r="A231" i="10"/>
  <c r="AP230" i="10"/>
  <c r="AE230" i="10"/>
  <c r="AG230" i="10" s="1"/>
  <c r="AB230" i="10"/>
  <c r="AA230" i="10"/>
  <c r="A230" i="10"/>
  <c r="AP229" i="10"/>
  <c r="AG229" i="10"/>
  <c r="AF229" i="10"/>
  <c r="AH229" i="10" s="1"/>
  <c r="AI229" i="10" s="1"/>
  <c r="AE229" i="10"/>
  <c r="AB229" i="10"/>
  <c r="AA229" i="10"/>
  <c r="A229" i="10"/>
  <c r="AP228" i="10"/>
  <c r="AE228" i="10"/>
  <c r="AG228" i="10" s="1"/>
  <c r="AB228" i="10"/>
  <c r="AA228" i="10"/>
  <c r="A228" i="10"/>
  <c r="AP227" i="10"/>
  <c r="AG227" i="10"/>
  <c r="AF227" i="10"/>
  <c r="AH227" i="10" s="1"/>
  <c r="AI227" i="10" s="1"/>
  <c r="AE227" i="10"/>
  <c r="AB227" i="10"/>
  <c r="AA227" i="10"/>
  <c r="A227" i="10"/>
  <c r="AP226" i="10"/>
  <c r="AE226" i="10"/>
  <c r="AG226" i="10" s="1"/>
  <c r="AB226" i="10"/>
  <c r="AA226" i="10"/>
  <c r="A226" i="10"/>
  <c r="AP225" i="10"/>
  <c r="AG225" i="10"/>
  <c r="AF225" i="10"/>
  <c r="AH225" i="10" s="1"/>
  <c r="AI225" i="10" s="1"/>
  <c r="AE225" i="10"/>
  <c r="AB225" i="10"/>
  <c r="AA225" i="10"/>
  <c r="A225" i="10"/>
  <c r="AP224" i="10"/>
  <c r="AH224" i="10"/>
  <c r="AI224" i="10" s="1"/>
  <c r="AF224" i="10"/>
  <c r="AE224" i="10"/>
  <c r="AG224" i="10" s="1"/>
  <c r="AB224" i="10"/>
  <c r="AA224" i="10"/>
  <c r="A224" i="10"/>
  <c r="AP223" i="10"/>
  <c r="AG223" i="10"/>
  <c r="AF223" i="10"/>
  <c r="AH223" i="10" s="1"/>
  <c r="AI223" i="10" s="1"/>
  <c r="AJ223" i="10" s="1"/>
  <c r="AE223" i="10"/>
  <c r="AB223" i="10"/>
  <c r="AA223" i="10"/>
  <c r="A223" i="10"/>
  <c r="AP222" i="10"/>
  <c r="AE222" i="10"/>
  <c r="AG222" i="10" s="1"/>
  <c r="AB222" i="10"/>
  <c r="AA222" i="10"/>
  <c r="A222" i="10"/>
  <c r="AP221" i="10"/>
  <c r="AG221" i="10"/>
  <c r="AF221" i="10"/>
  <c r="AH221" i="10" s="1"/>
  <c r="AI221" i="10" s="1"/>
  <c r="AE221" i="10"/>
  <c r="AB221" i="10"/>
  <c r="AA221" i="10"/>
  <c r="A221" i="10"/>
  <c r="AP220" i="10"/>
  <c r="AF220" i="10"/>
  <c r="AH220" i="10" s="1"/>
  <c r="AI220" i="10" s="1"/>
  <c r="AE220" i="10"/>
  <c r="AG220" i="10" s="1"/>
  <c r="AB220" i="10"/>
  <c r="AA220" i="10"/>
  <c r="A220" i="10"/>
  <c r="AP219" i="10"/>
  <c r="AF219" i="10"/>
  <c r="AH219" i="10" s="1"/>
  <c r="AI219" i="10" s="1"/>
  <c r="AE219" i="10"/>
  <c r="AG219" i="10" s="1"/>
  <c r="AB219" i="10"/>
  <c r="AA219" i="10"/>
  <c r="A219" i="10"/>
  <c r="AP218" i="10"/>
  <c r="AE218" i="10"/>
  <c r="AG218" i="10" s="1"/>
  <c r="AB218" i="10"/>
  <c r="AA218" i="10"/>
  <c r="A218" i="10"/>
  <c r="AP217" i="10"/>
  <c r="AF217" i="10"/>
  <c r="AH217" i="10" s="1"/>
  <c r="AI217" i="10" s="1"/>
  <c r="AE217" i="10"/>
  <c r="AG217" i="10" s="1"/>
  <c r="AJ217" i="10" s="1"/>
  <c r="AB217" i="10"/>
  <c r="AA217" i="10"/>
  <c r="A217" i="10"/>
  <c r="AP216" i="10"/>
  <c r="AE216" i="10"/>
  <c r="AG216" i="10" s="1"/>
  <c r="AB216" i="10"/>
  <c r="AA216" i="10"/>
  <c r="A216" i="10"/>
  <c r="AP215" i="10"/>
  <c r="AE215" i="10"/>
  <c r="AG215" i="10" s="1"/>
  <c r="AB215" i="10"/>
  <c r="AA215" i="10"/>
  <c r="A215" i="10"/>
  <c r="AP214" i="10"/>
  <c r="AE214" i="10"/>
  <c r="AG214" i="10" s="1"/>
  <c r="AB214" i="10"/>
  <c r="AA214" i="10"/>
  <c r="A214" i="10"/>
  <c r="AP213" i="10"/>
  <c r="AE213" i="10"/>
  <c r="AG213" i="10" s="1"/>
  <c r="AB213" i="10"/>
  <c r="AA213" i="10"/>
  <c r="A213" i="10"/>
  <c r="AP212" i="10"/>
  <c r="AH212" i="10"/>
  <c r="AI212" i="10" s="1"/>
  <c r="AF212" i="10"/>
  <c r="AE212" i="10"/>
  <c r="AG212" i="10" s="1"/>
  <c r="AB212" i="10"/>
  <c r="AA212" i="10"/>
  <c r="A212" i="10"/>
  <c r="AP211" i="10"/>
  <c r="AH211" i="10"/>
  <c r="AI211" i="10" s="1"/>
  <c r="AJ211" i="10" s="1"/>
  <c r="AG211" i="10"/>
  <c r="AF211" i="10"/>
  <c r="AE211" i="10"/>
  <c r="AB211" i="10"/>
  <c r="AA211" i="10"/>
  <c r="A211" i="10"/>
  <c r="AP210" i="10"/>
  <c r="AE210" i="10"/>
  <c r="AG210" i="10" s="1"/>
  <c r="AB210" i="10"/>
  <c r="AA210" i="10"/>
  <c r="A210" i="10"/>
  <c r="AP209" i="10"/>
  <c r="AG209" i="10"/>
  <c r="AF209" i="10"/>
  <c r="AH209" i="10" s="1"/>
  <c r="AI209" i="10" s="1"/>
  <c r="AE209" i="10"/>
  <c r="AB209" i="10"/>
  <c r="AA209" i="10"/>
  <c r="A209" i="10"/>
  <c r="AP208" i="10"/>
  <c r="AH208" i="10"/>
  <c r="AI208" i="10" s="1"/>
  <c r="AF208" i="10"/>
  <c r="AE208" i="10"/>
  <c r="AG208" i="10" s="1"/>
  <c r="AB208" i="10"/>
  <c r="AA208" i="10"/>
  <c r="A208" i="10"/>
  <c r="AP207" i="10"/>
  <c r="AG207" i="10"/>
  <c r="AF207" i="10"/>
  <c r="AH207" i="10" s="1"/>
  <c r="AI207" i="10" s="1"/>
  <c r="AJ207" i="10" s="1"/>
  <c r="AE207" i="10"/>
  <c r="AB207" i="10"/>
  <c r="AA207" i="10"/>
  <c r="A207" i="10"/>
  <c r="AP206" i="10"/>
  <c r="AE206" i="10"/>
  <c r="AG206" i="10" s="1"/>
  <c r="AB206" i="10"/>
  <c r="AA206" i="10"/>
  <c r="A206" i="10"/>
  <c r="AP205" i="10"/>
  <c r="AG205" i="10"/>
  <c r="AF205" i="10"/>
  <c r="AH205" i="10" s="1"/>
  <c r="AI205" i="10" s="1"/>
  <c r="AE205" i="10"/>
  <c r="AB205" i="10"/>
  <c r="AA205" i="10"/>
  <c r="A205" i="10"/>
  <c r="AP204" i="10"/>
  <c r="AF204" i="10"/>
  <c r="AH204" i="10" s="1"/>
  <c r="AI204" i="10" s="1"/>
  <c r="AE204" i="10"/>
  <c r="AG204" i="10" s="1"/>
  <c r="AB204" i="10"/>
  <c r="AA204" i="10"/>
  <c r="A204" i="10"/>
  <c r="AP203" i="10"/>
  <c r="AF203" i="10"/>
  <c r="AH203" i="10" s="1"/>
  <c r="AI203" i="10" s="1"/>
  <c r="AJ203" i="10" s="1"/>
  <c r="AE203" i="10"/>
  <c r="AG203" i="10" s="1"/>
  <c r="AB203" i="10"/>
  <c r="AA203" i="10"/>
  <c r="A203" i="10"/>
  <c r="AP202" i="10"/>
  <c r="AE202" i="10"/>
  <c r="AG202" i="10" s="1"/>
  <c r="AB202" i="10"/>
  <c r="AA202" i="10"/>
  <c r="A202" i="10"/>
  <c r="AP201" i="10"/>
  <c r="AF201" i="10"/>
  <c r="AH201" i="10" s="1"/>
  <c r="AI201" i="10" s="1"/>
  <c r="AE201" i="10"/>
  <c r="AG201" i="10" s="1"/>
  <c r="AJ201" i="10" s="1"/>
  <c r="AB201" i="10"/>
  <c r="AA201" i="10"/>
  <c r="A201" i="10"/>
  <c r="AP200" i="10"/>
  <c r="AE200" i="10"/>
  <c r="AG200" i="10" s="1"/>
  <c r="AB200" i="10"/>
  <c r="AA200" i="10"/>
  <c r="A200" i="10"/>
  <c r="AP199" i="10"/>
  <c r="AE199" i="10"/>
  <c r="AG199" i="10" s="1"/>
  <c r="AB199" i="10"/>
  <c r="AA199" i="10"/>
  <c r="A199" i="10"/>
  <c r="AP198" i="10"/>
  <c r="AE198" i="10"/>
  <c r="AG198" i="10" s="1"/>
  <c r="AB198" i="10"/>
  <c r="AA198" i="10"/>
  <c r="A198" i="10"/>
  <c r="AP197" i="10"/>
  <c r="AE197" i="10"/>
  <c r="AG197" i="10" s="1"/>
  <c r="AB197" i="10"/>
  <c r="AA197" i="10"/>
  <c r="A197" i="10"/>
  <c r="AP196" i="10"/>
  <c r="AH196" i="10"/>
  <c r="AI196" i="10" s="1"/>
  <c r="AF196" i="10"/>
  <c r="AE196" i="10"/>
  <c r="AG196" i="10" s="1"/>
  <c r="AB196" i="10"/>
  <c r="AA196" i="10"/>
  <c r="A196" i="10"/>
  <c r="AP195" i="10"/>
  <c r="AH195" i="10"/>
  <c r="AI195" i="10" s="1"/>
  <c r="AJ195" i="10" s="1"/>
  <c r="AG195" i="10"/>
  <c r="AF195" i="10"/>
  <c r="AE195" i="10"/>
  <c r="AB195" i="10"/>
  <c r="AA195" i="10"/>
  <c r="A195" i="10"/>
  <c r="AP194" i="10"/>
  <c r="AE194" i="10"/>
  <c r="AG194" i="10" s="1"/>
  <c r="AB194" i="10"/>
  <c r="AA194" i="10"/>
  <c r="A194" i="10"/>
  <c r="AP193" i="10"/>
  <c r="AG193" i="10"/>
  <c r="AF193" i="10"/>
  <c r="AH193" i="10" s="1"/>
  <c r="AI193" i="10" s="1"/>
  <c r="AE193" i="10"/>
  <c r="AB193" i="10"/>
  <c r="AA193" i="10"/>
  <c r="A193" i="10"/>
  <c r="AP192" i="10"/>
  <c r="AH192" i="10"/>
  <c r="AI192" i="10" s="1"/>
  <c r="AF192" i="10"/>
  <c r="AE192" i="10"/>
  <c r="AG192" i="10" s="1"/>
  <c r="AB192" i="10"/>
  <c r="AA192" i="10"/>
  <c r="A192" i="10"/>
  <c r="AP191" i="10"/>
  <c r="AG191" i="10"/>
  <c r="AF191" i="10"/>
  <c r="AH191" i="10" s="1"/>
  <c r="AI191" i="10" s="1"/>
  <c r="AJ191" i="10" s="1"/>
  <c r="AE191" i="10"/>
  <c r="AB191" i="10"/>
  <c r="AA191" i="10"/>
  <c r="A191" i="10"/>
  <c r="AP190" i="10"/>
  <c r="AE190" i="10"/>
  <c r="AG190" i="10" s="1"/>
  <c r="AB190" i="10"/>
  <c r="AA190" i="10"/>
  <c r="A190" i="10"/>
  <c r="AP189" i="10"/>
  <c r="AG189" i="10"/>
  <c r="AF189" i="10"/>
  <c r="AH189" i="10" s="1"/>
  <c r="AI189" i="10" s="1"/>
  <c r="AE189" i="10"/>
  <c r="AB189" i="10"/>
  <c r="AA189" i="10"/>
  <c r="A189" i="10"/>
  <c r="AP188" i="10"/>
  <c r="AF188" i="10"/>
  <c r="AH188" i="10" s="1"/>
  <c r="AI188" i="10" s="1"/>
  <c r="AE188" i="10"/>
  <c r="AG188" i="10" s="1"/>
  <c r="AB188" i="10"/>
  <c r="AA188" i="10"/>
  <c r="A188" i="10"/>
  <c r="AP187" i="10"/>
  <c r="AF187" i="10"/>
  <c r="AH187" i="10" s="1"/>
  <c r="AI187" i="10" s="1"/>
  <c r="AJ187" i="10" s="1"/>
  <c r="AE187" i="10"/>
  <c r="AG187" i="10" s="1"/>
  <c r="AB187" i="10"/>
  <c r="AA187" i="10"/>
  <c r="A187" i="10"/>
  <c r="AP186" i="10"/>
  <c r="AE186" i="10"/>
  <c r="AG186" i="10" s="1"/>
  <c r="AB186" i="10"/>
  <c r="AA186" i="10"/>
  <c r="A186" i="10"/>
  <c r="AP185" i="10"/>
  <c r="AF185" i="10"/>
  <c r="AH185" i="10" s="1"/>
  <c r="AI185" i="10" s="1"/>
  <c r="AE185" i="10"/>
  <c r="AG185" i="10" s="1"/>
  <c r="AJ185" i="10" s="1"/>
  <c r="AB185" i="10"/>
  <c r="AA185" i="10"/>
  <c r="A185" i="10"/>
  <c r="AP184" i="10"/>
  <c r="AE184" i="10"/>
  <c r="AG184" i="10" s="1"/>
  <c r="AB184" i="10"/>
  <c r="AA184" i="10"/>
  <c r="A184" i="10"/>
  <c r="AP183" i="10"/>
  <c r="AE183" i="10"/>
  <c r="AG183" i="10" s="1"/>
  <c r="AB183" i="10"/>
  <c r="AA183" i="10"/>
  <c r="A183" i="10"/>
  <c r="AP182" i="10"/>
  <c r="AE182" i="10"/>
  <c r="AG182" i="10" s="1"/>
  <c r="AB182" i="10"/>
  <c r="AA182" i="10"/>
  <c r="A182" i="10"/>
  <c r="AP181" i="10"/>
  <c r="AE181" i="10"/>
  <c r="AG181" i="10" s="1"/>
  <c r="AB181" i="10"/>
  <c r="AA181" i="10"/>
  <c r="A181" i="10"/>
  <c r="AP180" i="10"/>
  <c r="AH180" i="10"/>
  <c r="AI180" i="10" s="1"/>
  <c r="AF180" i="10"/>
  <c r="AE180" i="10"/>
  <c r="AG180" i="10" s="1"/>
  <c r="AB180" i="10"/>
  <c r="AA180" i="10"/>
  <c r="A180" i="10"/>
  <c r="AP179" i="10"/>
  <c r="AH179" i="10"/>
  <c r="AI179" i="10" s="1"/>
  <c r="AJ179" i="10" s="1"/>
  <c r="AG179" i="10"/>
  <c r="AF179" i="10"/>
  <c r="AE179" i="10"/>
  <c r="AB179" i="10"/>
  <c r="AA179" i="10"/>
  <c r="A179" i="10"/>
  <c r="AP178" i="10"/>
  <c r="AE178" i="10"/>
  <c r="AG178" i="10" s="1"/>
  <c r="AB178" i="10"/>
  <c r="AA178" i="10"/>
  <c r="A178" i="10"/>
  <c r="AP177" i="10"/>
  <c r="AG177" i="10"/>
  <c r="AF177" i="10"/>
  <c r="AH177" i="10" s="1"/>
  <c r="AI177" i="10" s="1"/>
  <c r="AE177" i="10"/>
  <c r="AB177" i="10"/>
  <c r="AA177" i="10"/>
  <c r="A177" i="10"/>
  <c r="AP176" i="10"/>
  <c r="AH176" i="10"/>
  <c r="AI176" i="10" s="1"/>
  <c r="AF176" i="10"/>
  <c r="AE176" i="10"/>
  <c r="AG176" i="10" s="1"/>
  <c r="AB176" i="10"/>
  <c r="AA176" i="10"/>
  <c r="A176" i="10"/>
  <c r="AP175" i="10"/>
  <c r="AG175" i="10"/>
  <c r="AF175" i="10"/>
  <c r="AH175" i="10" s="1"/>
  <c r="AI175" i="10" s="1"/>
  <c r="AJ175" i="10" s="1"/>
  <c r="AE175" i="10"/>
  <c r="AB175" i="10"/>
  <c r="AA175" i="10"/>
  <c r="A175" i="10"/>
  <c r="AP174" i="10"/>
  <c r="AE174" i="10"/>
  <c r="AG174" i="10" s="1"/>
  <c r="AB174" i="10"/>
  <c r="AA174" i="10"/>
  <c r="A174" i="10"/>
  <c r="AP173" i="10"/>
  <c r="AG173" i="10"/>
  <c r="AF173" i="10"/>
  <c r="AH173" i="10" s="1"/>
  <c r="AI173" i="10" s="1"/>
  <c r="AE173" i="10"/>
  <c r="AB173" i="10"/>
  <c r="AA173" i="10"/>
  <c r="A173" i="10"/>
  <c r="AP172" i="10"/>
  <c r="AF172" i="10"/>
  <c r="AH172" i="10" s="1"/>
  <c r="AI172" i="10" s="1"/>
  <c r="AE172" i="10"/>
  <c r="AG172" i="10" s="1"/>
  <c r="AB172" i="10"/>
  <c r="AA172" i="10"/>
  <c r="A172" i="10"/>
  <c r="AP171" i="10"/>
  <c r="AF171" i="10"/>
  <c r="AH171" i="10" s="1"/>
  <c r="AI171" i="10" s="1"/>
  <c r="AJ171" i="10" s="1"/>
  <c r="AE171" i="10"/>
  <c r="AG171" i="10" s="1"/>
  <c r="AB171" i="10"/>
  <c r="AA171" i="10"/>
  <c r="A171" i="10"/>
  <c r="AP170" i="10"/>
  <c r="AE170" i="10"/>
  <c r="AG170" i="10" s="1"/>
  <c r="AB170" i="10"/>
  <c r="AA170" i="10"/>
  <c r="A170" i="10"/>
  <c r="AP169" i="10"/>
  <c r="AF169" i="10"/>
  <c r="AH169" i="10" s="1"/>
  <c r="AI169" i="10" s="1"/>
  <c r="AE169" i="10"/>
  <c r="AG169" i="10" s="1"/>
  <c r="AJ169" i="10" s="1"/>
  <c r="AB169" i="10"/>
  <c r="AA169" i="10"/>
  <c r="A169" i="10"/>
  <c r="AP168" i="10"/>
  <c r="AE168" i="10"/>
  <c r="AG168" i="10" s="1"/>
  <c r="AB168" i="10"/>
  <c r="AA168" i="10"/>
  <c r="A168" i="10"/>
  <c r="AP167" i="10"/>
  <c r="AE167" i="10"/>
  <c r="AG167" i="10" s="1"/>
  <c r="AB167" i="10"/>
  <c r="AA167" i="10"/>
  <c r="A167" i="10"/>
  <c r="AP166" i="10"/>
  <c r="AE166" i="10"/>
  <c r="AG166" i="10" s="1"/>
  <c r="AB166" i="10"/>
  <c r="AA166" i="10"/>
  <c r="A166" i="10"/>
  <c r="AP165" i="10"/>
  <c r="AE165" i="10"/>
  <c r="AG165" i="10" s="1"/>
  <c r="AB165" i="10"/>
  <c r="AA165" i="10"/>
  <c r="A165" i="10"/>
  <c r="AP164" i="10"/>
  <c r="AH164" i="10"/>
  <c r="AI164" i="10" s="1"/>
  <c r="AF164" i="10"/>
  <c r="AE164" i="10"/>
  <c r="AG164" i="10" s="1"/>
  <c r="AB164" i="10"/>
  <c r="AA164" i="10"/>
  <c r="A164" i="10"/>
  <c r="AP163" i="10"/>
  <c r="AH163" i="10"/>
  <c r="AI163" i="10" s="1"/>
  <c r="AJ163" i="10" s="1"/>
  <c r="AG163" i="10"/>
  <c r="AF163" i="10"/>
  <c r="AE163" i="10"/>
  <c r="AB163" i="10"/>
  <c r="AA163" i="10"/>
  <c r="A163" i="10"/>
  <c r="AP162" i="10"/>
  <c r="AE162" i="10"/>
  <c r="AG162" i="10" s="1"/>
  <c r="AB162" i="10"/>
  <c r="AA162" i="10"/>
  <c r="A162" i="10"/>
  <c r="AP161" i="10"/>
  <c r="AG161" i="10"/>
  <c r="AF161" i="10"/>
  <c r="AH161" i="10" s="1"/>
  <c r="AI161" i="10" s="1"/>
  <c r="AE161" i="10"/>
  <c r="AB161" i="10"/>
  <c r="AA161" i="10"/>
  <c r="A161" i="10"/>
  <c r="AP160" i="10"/>
  <c r="AH160" i="10"/>
  <c r="AI160" i="10" s="1"/>
  <c r="AF160" i="10"/>
  <c r="AE160" i="10"/>
  <c r="AG160" i="10" s="1"/>
  <c r="AB160" i="10"/>
  <c r="AA160" i="10"/>
  <c r="A160" i="10"/>
  <c r="AP159" i="10"/>
  <c r="AG159" i="10"/>
  <c r="AF159" i="10"/>
  <c r="AH159" i="10" s="1"/>
  <c r="AI159" i="10" s="1"/>
  <c r="AJ159" i="10" s="1"/>
  <c r="AE159" i="10"/>
  <c r="AB159" i="10"/>
  <c r="AA159" i="10"/>
  <c r="A159" i="10"/>
  <c r="AP158" i="10"/>
  <c r="AE158" i="10"/>
  <c r="AG158" i="10" s="1"/>
  <c r="AB158" i="10"/>
  <c r="AA158" i="10"/>
  <c r="A158" i="10"/>
  <c r="AP157" i="10"/>
  <c r="AG157" i="10"/>
  <c r="AF157" i="10"/>
  <c r="AH157" i="10" s="1"/>
  <c r="AI157" i="10" s="1"/>
  <c r="AE157" i="10"/>
  <c r="AB157" i="10"/>
  <c r="AA157" i="10"/>
  <c r="A157" i="10"/>
  <c r="AP156" i="10"/>
  <c r="AF156" i="10"/>
  <c r="AH156" i="10" s="1"/>
  <c r="AI156" i="10" s="1"/>
  <c r="AE156" i="10"/>
  <c r="AG156" i="10" s="1"/>
  <c r="AB156" i="10"/>
  <c r="AA156" i="10"/>
  <c r="A156" i="10"/>
  <c r="AP155" i="10"/>
  <c r="AF155" i="10"/>
  <c r="AH155" i="10" s="1"/>
  <c r="AI155" i="10" s="1"/>
  <c r="AJ155" i="10" s="1"/>
  <c r="AE155" i="10"/>
  <c r="AG155" i="10" s="1"/>
  <c r="AB155" i="10"/>
  <c r="AA155" i="10"/>
  <c r="A155" i="10"/>
  <c r="AP154" i="10"/>
  <c r="AE154" i="10"/>
  <c r="AG154" i="10" s="1"/>
  <c r="AB154" i="10"/>
  <c r="AA154" i="10"/>
  <c r="A154" i="10"/>
  <c r="AP153" i="10"/>
  <c r="AF153" i="10"/>
  <c r="AH153" i="10" s="1"/>
  <c r="AI153" i="10" s="1"/>
  <c r="AE153" i="10"/>
  <c r="AG153" i="10" s="1"/>
  <c r="AJ153" i="10" s="1"/>
  <c r="AB153" i="10"/>
  <c r="AA153" i="10"/>
  <c r="A153" i="10"/>
  <c r="AP152" i="10"/>
  <c r="AE152" i="10"/>
  <c r="AG152" i="10" s="1"/>
  <c r="AB152" i="10"/>
  <c r="AA152" i="10"/>
  <c r="A152" i="10"/>
  <c r="AP151" i="10"/>
  <c r="AE151" i="10"/>
  <c r="AG151" i="10" s="1"/>
  <c r="AB151" i="10"/>
  <c r="AA151" i="10"/>
  <c r="A151" i="10"/>
  <c r="AP150" i="10"/>
  <c r="AE150" i="10"/>
  <c r="AG150" i="10" s="1"/>
  <c r="AB150" i="10"/>
  <c r="AA150" i="10"/>
  <c r="A150" i="10"/>
  <c r="AP149" i="10"/>
  <c r="AE149" i="10"/>
  <c r="AG149" i="10" s="1"/>
  <c r="AB149" i="10"/>
  <c r="AA149" i="10"/>
  <c r="A149" i="10"/>
  <c r="AP148" i="10"/>
  <c r="AH148" i="10"/>
  <c r="AI148" i="10" s="1"/>
  <c r="AF148" i="10"/>
  <c r="AE148" i="10"/>
  <c r="AG148" i="10" s="1"/>
  <c r="AB148" i="10"/>
  <c r="AA148" i="10"/>
  <c r="A148" i="10"/>
  <c r="AP147" i="10"/>
  <c r="AH147" i="10"/>
  <c r="AI147" i="10" s="1"/>
  <c r="AJ147" i="10" s="1"/>
  <c r="AG147" i="10"/>
  <c r="AF147" i="10"/>
  <c r="AE147" i="10"/>
  <c r="AB147" i="10"/>
  <c r="AA147" i="10"/>
  <c r="A147" i="10"/>
  <c r="AP146" i="10"/>
  <c r="AE146" i="10"/>
  <c r="AG146" i="10" s="1"/>
  <c r="AB146" i="10"/>
  <c r="AA146" i="10"/>
  <c r="A146" i="10"/>
  <c r="AP145" i="10"/>
  <c r="AG145" i="10"/>
  <c r="AF145" i="10"/>
  <c r="AH145" i="10" s="1"/>
  <c r="AI145" i="10" s="1"/>
  <c r="AE145" i="10"/>
  <c r="AB145" i="10"/>
  <c r="AA145" i="10"/>
  <c r="A145" i="10"/>
  <c r="AP144" i="10"/>
  <c r="AH144" i="10"/>
  <c r="AI144" i="10" s="1"/>
  <c r="AF144" i="10"/>
  <c r="AE144" i="10"/>
  <c r="AG144" i="10" s="1"/>
  <c r="AB144" i="10"/>
  <c r="AA144" i="10"/>
  <c r="A144" i="10"/>
  <c r="AP143" i="10"/>
  <c r="AG143" i="10"/>
  <c r="AF143" i="10"/>
  <c r="AH143" i="10" s="1"/>
  <c r="AI143" i="10" s="1"/>
  <c r="AJ143" i="10" s="1"/>
  <c r="AE143" i="10"/>
  <c r="AB143" i="10"/>
  <c r="AA143" i="10"/>
  <c r="A143" i="10"/>
  <c r="AP142" i="10"/>
  <c r="AE142" i="10"/>
  <c r="AG142" i="10" s="1"/>
  <c r="AB142" i="10"/>
  <c r="AA142" i="10"/>
  <c r="A142" i="10"/>
  <c r="AP141" i="10"/>
  <c r="AG141" i="10"/>
  <c r="AF141" i="10"/>
  <c r="AH141" i="10" s="1"/>
  <c r="AI141" i="10" s="1"/>
  <c r="AE141" i="10"/>
  <c r="AB141" i="10"/>
  <c r="AA141" i="10"/>
  <c r="A141" i="10"/>
  <c r="AP140" i="10"/>
  <c r="AF140" i="10"/>
  <c r="AH140" i="10" s="1"/>
  <c r="AI140" i="10" s="1"/>
  <c r="AE140" i="10"/>
  <c r="AG140" i="10" s="1"/>
  <c r="AB140" i="10"/>
  <c r="AA140" i="10"/>
  <c r="A140" i="10"/>
  <c r="AP139" i="10"/>
  <c r="AF139" i="10"/>
  <c r="AH139" i="10" s="1"/>
  <c r="AI139" i="10" s="1"/>
  <c r="AJ139" i="10" s="1"/>
  <c r="AE139" i="10"/>
  <c r="AG139" i="10" s="1"/>
  <c r="AB139" i="10"/>
  <c r="AA139" i="10"/>
  <c r="A139" i="10"/>
  <c r="AP138" i="10"/>
  <c r="AE138" i="10"/>
  <c r="AG138" i="10" s="1"/>
  <c r="AB138" i="10"/>
  <c r="AA138" i="10"/>
  <c r="A138" i="10"/>
  <c r="AP137" i="10"/>
  <c r="AF137" i="10"/>
  <c r="AH137" i="10" s="1"/>
  <c r="AI137" i="10" s="1"/>
  <c r="AE137" i="10"/>
  <c r="AG137" i="10" s="1"/>
  <c r="AJ137" i="10" s="1"/>
  <c r="AB137" i="10"/>
  <c r="AA137" i="10"/>
  <c r="A137" i="10"/>
  <c r="AP136" i="10"/>
  <c r="AE136" i="10"/>
  <c r="AG136" i="10" s="1"/>
  <c r="AB136" i="10"/>
  <c r="AA136" i="10"/>
  <c r="A136" i="10"/>
  <c r="AP135" i="10"/>
  <c r="AE135" i="10"/>
  <c r="AG135" i="10" s="1"/>
  <c r="AB135" i="10"/>
  <c r="AA135" i="10"/>
  <c r="A135" i="10"/>
  <c r="AP134" i="10"/>
  <c r="AE134" i="10"/>
  <c r="AG134" i="10" s="1"/>
  <c r="AB134" i="10"/>
  <c r="AA134" i="10"/>
  <c r="A134" i="10"/>
  <c r="AP133" i="10"/>
  <c r="AE133" i="10"/>
  <c r="AG133" i="10" s="1"/>
  <c r="AB133" i="10"/>
  <c r="AA133" i="10"/>
  <c r="A133" i="10"/>
  <c r="AP132" i="10"/>
  <c r="AH132" i="10"/>
  <c r="AI132" i="10" s="1"/>
  <c r="AF132" i="10"/>
  <c r="AE132" i="10"/>
  <c r="AG132" i="10" s="1"/>
  <c r="AB132" i="10"/>
  <c r="AA132" i="10"/>
  <c r="A132" i="10"/>
  <c r="AP131" i="10"/>
  <c r="AH131" i="10"/>
  <c r="AI131" i="10" s="1"/>
  <c r="AJ131" i="10" s="1"/>
  <c r="AG131" i="10"/>
  <c r="AF131" i="10"/>
  <c r="AE131" i="10"/>
  <c r="AB131" i="10"/>
  <c r="AA131" i="10"/>
  <c r="A131" i="10"/>
  <c r="AP130" i="10"/>
  <c r="AE130" i="10"/>
  <c r="AG130" i="10" s="1"/>
  <c r="AB130" i="10"/>
  <c r="AA130" i="10"/>
  <c r="A130" i="10"/>
  <c r="AP129" i="10"/>
  <c r="AG129" i="10"/>
  <c r="AF129" i="10"/>
  <c r="AH129" i="10" s="1"/>
  <c r="AI129" i="10" s="1"/>
  <c r="AE129" i="10"/>
  <c r="AB129" i="10"/>
  <c r="AA129" i="10"/>
  <c r="A129" i="10"/>
  <c r="AP128" i="10"/>
  <c r="AH128" i="10"/>
  <c r="AI128" i="10" s="1"/>
  <c r="AF128" i="10"/>
  <c r="AE128" i="10"/>
  <c r="AG128" i="10" s="1"/>
  <c r="AB128" i="10"/>
  <c r="AA128" i="10"/>
  <c r="A128" i="10"/>
  <c r="AP127" i="10"/>
  <c r="AG127" i="10"/>
  <c r="AF127" i="10"/>
  <c r="AH127" i="10" s="1"/>
  <c r="AI127" i="10" s="1"/>
  <c r="AJ127" i="10" s="1"/>
  <c r="AE127" i="10"/>
  <c r="AB127" i="10"/>
  <c r="AA127" i="10"/>
  <c r="A127" i="10"/>
  <c r="AP126" i="10"/>
  <c r="AE126" i="10"/>
  <c r="AG126" i="10" s="1"/>
  <c r="AB126" i="10"/>
  <c r="AA126" i="10"/>
  <c r="A126" i="10"/>
  <c r="AP125" i="10"/>
  <c r="AG125" i="10"/>
  <c r="AF125" i="10"/>
  <c r="AH125" i="10" s="1"/>
  <c r="AI125" i="10" s="1"/>
  <c r="AE125" i="10"/>
  <c r="AB125" i="10"/>
  <c r="AA125" i="10"/>
  <c r="A125" i="10"/>
  <c r="AP124" i="10"/>
  <c r="AF124" i="10"/>
  <c r="AH124" i="10" s="1"/>
  <c r="AI124" i="10" s="1"/>
  <c r="AE124" i="10"/>
  <c r="AG124" i="10" s="1"/>
  <c r="AB124" i="10"/>
  <c r="AA124" i="10"/>
  <c r="A124" i="10"/>
  <c r="AP123" i="10"/>
  <c r="AF123" i="10"/>
  <c r="AH123" i="10" s="1"/>
  <c r="AI123" i="10" s="1"/>
  <c r="AJ123" i="10" s="1"/>
  <c r="AE123" i="10"/>
  <c r="AG123" i="10" s="1"/>
  <c r="AB123" i="10"/>
  <c r="AA123" i="10"/>
  <c r="A123" i="10"/>
  <c r="AP122" i="10"/>
  <c r="AE122" i="10"/>
  <c r="AG122" i="10" s="1"/>
  <c r="AB122" i="10"/>
  <c r="AA122" i="10"/>
  <c r="A122" i="10"/>
  <c r="AP121" i="10"/>
  <c r="AF121" i="10"/>
  <c r="AH121" i="10" s="1"/>
  <c r="AI121" i="10" s="1"/>
  <c r="AE121" i="10"/>
  <c r="AG121" i="10" s="1"/>
  <c r="AJ121" i="10" s="1"/>
  <c r="AB121" i="10"/>
  <c r="AA121" i="10"/>
  <c r="A121" i="10"/>
  <c r="AP120" i="10"/>
  <c r="AE120" i="10"/>
  <c r="AG120" i="10" s="1"/>
  <c r="AB120" i="10"/>
  <c r="AA120" i="10"/>
  <c r="A120" i="10"/>
  <c r="AP119" i="10"/>
  <c r="AE119" i="10"/>
  <c r="AG119" i="10" s="1"/>
  <c r="AB119" i="10"/>
  <c r="AA119" i="10"/>
  <c r="A119" i="10"/>
  <c r="AP118" i="10"/>
  <c r="AE118" i="10"/>
  <c r="AG118" i="10" s="1"/>
  <c r="AB118" i="10"/>
  <c r="AA118" i="10"/>
  <c r="A118" i="10"/>
  <c r="AP117" i="10"/>
  <c r="AE117" i="10"/>
  <c r="AG117" i="10" s="1"/>
  <c r="AB117" i="10"/>
  <c r="AA117" i="10"/>
  <c r="A117" i="10"/>
  <c r="AP116" i="10"/>
  <c r="AH116" i="10"/>
  <c r="AI116" i="10" s="1"/>
  <c r="AF116" i="10"/>
  <c r="AE116" i="10"/>
  <c r="AG116" i="10" s="1"/>
  <c r="AB116" i="10"/>
  <c r="AA116" i="10"/>
  <c r="A116" i="10"/>
  <c r="AP115" i="10"/>
  <c r="AH115" i="10"/>
  <c r="AI115" i="10" s="1"/>
  <c r="AJ115" i="10" s="1"/>
  <c r="AG115" i="10"/>
  <c r="AF115" i="10"/>
  <c r="AE115" i="10"/>
  <c r="AB115" i="10"/>
  <c r="AA115" i="10"/>
  <c r="A115" i="10"/>
  <c r="AP114" i="10"/>
  <c r="AE114" i="10"/>
  <c r="AG114" i="10" s="1"/>
  <c r="AB114" i="10"/>
  <c r="AA114" i="10"/>
  <c r="A114" i="10"/>
  <c r="AP113" i="10"/>
  <c r="AG113" i="10"/>
  <c r="AF113" i="10"/>
  <c r="AH113" i="10" s="1"/>
  <c r="AI113" i="10" s="1"/>
  <c r="AE113" i="10"/>
  <c r="AB113" i="10"/>
  <c r="AA113" i="10"/>
  <c r="A113" i="10"/>
  <c r="AP112" i="10"/>
  <c r="AH112" i="10"/>
  <c r="AI112" i="10" s="1"/>
  <c r="AF112" i="10"/>
  <c r="AE112" i="10"/>
  <c r="AG112" i="10" s="1"/>
  <c r="AB112" i="10"/>
  <c r="AA112" i="10"/>
  <c r="A112" i="10"/>
  <c r="AP111" i="10"/>
  <c r="AG111" i="10"/>
  <c r="AF111" i="10"/>
  <c r="AH111" i="10" s="1"/>
  <c r="AI111" i="10" s="1"/>
  <c r="AJ111" i="10" s="1"/>
  <c r="AE111" i="10"/>
  <c r="AB111" i="10"/>
  <c r="AA111" i="10"/>
  <c r="A111" i="10"/>
  <c r="AP110" i="10"/>
  <c r="AE110" i="10"/>
  <c r="AG110" i="10" s="1"/>
  <c r="AB110" i="10"/>
  <c r="AA110" i="10"/>
  <c r="A110" i="10"/>
  <c r="AP109" i="10"/>
  <c r="AG109" i="10"/>
  <c r="AF109" i="10"/>
  <c r="AH109" i="10" s="1"/>
  <c r="AI109" i="10" s="1"/>
  <c r="AE109" i="10"/>
  <c r="AB109" i="10"/>
  <c r="AA109" i="10"/>
  <c r="A109" i="10"/>
  <c r="AP108" i="10"/>
  <c r="AF108" i="10"/>
  <c r="AH108" i="10" s="1"/>
  <c r="AI108" i="10" s="1"/>
  <c r="AE108" i="10"/>
  <c r="AG108" i="10" s="1"/>
  <c r="AB108" i="10"/>
  <c r="AA108" i="10"/>
  <c r="A108" i="10"/>
  <c r="AP107" i="10"/>
  <c r="AF107" i="10"/>
  <c r="AH107" i="10" s="1"/>
  <c r="AI107" i="10" s="1"/>
  <c r="AJ107" i="10" s="1"/>
  <c r="AE107" i="10"/>
  <c r="AG107" i="10" s="1"/>
  <c r="AB107" i="10"/>
  <c r="AA107" i="10"/>
  <c r="A107" i="10"/>
  <c r="AP106" i="10"/>
  <c r="AE106" i="10"/>
  <c r="AG106" i="10" s="1"/>
  <c r="AB106" i="10"/>
  <c r="AA106" i="10"/>
  <c r="A106" i="10"/>
  <c r="AP105" i="10"/>
  <c r="AF105" i="10"/>
  <c r="AH105" i="10" s="1"/>
  <c r="AI105" i="10" s="1"/>
  <c r="AE105" i="10"/>
  <c r="AG105" i="10" s="1"/>
  <c r="AJ105" i="10" s="1"/>
  <c r="AB105" i="10"/>
  <c r="AA105" i="10"/>
  <c r="A105" i="10"/>
  <c r="AP104" i="10"/>
  <c r="AE104" i="10"/>
  <c r="AG104" i="10" s="1"/>
  <c r="AB104" i="10"/>
  <c r="AA104" i="10"/>
  <c r="A104" i="10"/>
  <c r="AP103" i="10"/>
  <c r="AE103" i="10"/>
  <c r="AG103" i="10" s="1"/>
  <c r="AB103" i="10"/>
  <c r="AA103" i="10"/>
  <c r="A103" i="10"/>
  <c r="AP102" i="10"/>
  <c r="AE102" i="10"/>
  <c r="AG102" i="10" s="1"/>
  <c r="AB102" i="10"/>
  <c r="AA102" i="10"/>
  <c r="A102" i="10"/>
  <c r="AP101" i="10"/>
  <c r="AE101" i="10"/>
  <c r="AG101" i="10" s="1"/>
  <c r="AB101" i="10"/>
  <c r="AA101" i="10"/>
  <c r="A101" i="10"/>
  <c r="AP100" i="10"/>
  <c r="AH100" i="10"/>
  <c r="AI100" i="10" s="1"/>
  <c r="AF100" i="10"/>
  <c r="AE100" i="10"/>
  <c r="AG100" i="10" s="1"/>
  <c r="AB100" i="10"/>
  <c r="AA100" i="10"/>
  <c r="A100" i="10"/>
  <c r="AP99" i="10"/>
  <c r="AE99" i="10"/>
  <c r="AB99" i="10"/>
  <c r="AA99" i="10"/>
  <c r="A99" i="10"/>
  <c r="AP98" i="10"/>
  <c r="AE98" i="10"/>
  <c r="AG98" i="10" s="1"/>
  <c r="AB98" i="10"/>
  <c r="AA98" i="10"/>
  <c r="A98" i="10"/>
  <c r="AP97" i="10"/>
  <c r="AE97" i="10"/>
  <c r="AB97" i="10"/>
  <c r="AA97" i="10"/>
  <c r="A97" i="10"/>
  <c r="AP96" i="10"/>
  <c r="AF96" i="10"/>
  <c r="AH96" i="10" s="1"/>
  <c r="AI96" i="10" s="1"/>
  <c r="AE96" i="10"/>
  <c r="AG96" i="10" s="1"/>
  <c r="AB96" i="10"/>
  <c r="AA96" i="10"/>
  <c r="A96" i="10"/>
  <c r="AP95" i="10"/>
  <c r="AE95" i="10"/>
  <c r="AB95" i="10"/>
  <c r="AA95" i="10"/>
  <c r="A95" i="10"/>
  <c r="AP94" i="10"/>
  <c r="AG94" i="10"/>
  <c r="AF94" i="10"/>
  <c r="AH94" i="10" s="1"/>
  <c r="AI94" i="10" s="1"/>
  <c r="AE94" i="10"/>
  <c r="AB94" i="10"/>
  <c r="AA94" i="10"/>
  <c r="A94" i="10"/>
  <c r="AP93" i="10"/>
  <c r="AE93" i="10"/>
  <c r="AB93" i="10"/>
  <c r="AA93" i="10"/>
  <c r="A93" i="10"/>
  <c r="AP92" i="10"/>
  <c r="AH92" i="10"/>
  <c r="AI92" i="10" s="1"/>
  <c r="AG92" i="10"/>
  <c r="AF92" i="10"/>
  <c r="AE92" i="10"/>
  <c r="AB92" i="10"/>
  <c r="AA92" i="10"/>
  <c r="A92" i="10"/>
  <c r="AP91" i="10"/>
  <c r="AE91" i="10"/>
  <c r="AB91" i="10"/>
  <c r="AA91" i="10"/>
  <c r="A91" i="10"/>
  <c r="AP90" i="10"/>
  <c r="AE90" i="10"/>
  <c r="AG90" i="10" s="1"/>
  <c r="AB90" i="10"/>
  <c r="AA90" i="10"/>
  <c r="A90" i="10"/>
  <c r="AP89" i="10"/>
  <c r="AE89" i="10"/>
  <c r="AB89" i="10"/>
  <c r="AA89" i="10"/>
  <c r="A89" i="10"/>
  <c r="AP88" i="10"/>
  <c r="AF88" i="10"/>
  <c r="AH88" i="10" s="1"/>
  <c r="AI88" i="10" s="1"/>
  <c r="AE88" i="10"/>
  <c r="AG88" i="10" s="1"/>
  <c r="AB88" i="10"/>
  <c r="AA88" i="10"/>
  <c r="A88" i="10"/>
  <c r="AP87" i="10"/>
  <c r="AE87" i="10"/>
  <c r="AB87" i="10"/>
  <c r="AA87" i="10"/>
  <c r="A87" i="10"/>
  <c r="AP86" i="10"/>
  <c r="AG86" i="10"/>
  <c r="AF86" i="10"/>
  <c r="AH86" i="10" s="1"/>
  <c r="AI86" i="10" s="1"/>
  <c r="AE86" i="10"/>
  <c r="AB86" i="10"/>
  <c r="AA86" i="10"/>
  <c r="A86" i="10"/>
  <c r="AP85" i="10"/>
  <c r="AE85" i="10"/>
  <c r="AB85" i="10"/>
  <c r="AA85" i="10"/>
  <c r="A85" i="10"/>
  <c r="AP84" i="10"/>
  <c r="AH84" i="10"/>
  <c r="AI84" i="10" s="1"/>
  <c r="AG84" i="10"/>
  <c r="AF84" i="10"/>
  <c r="AE84" i="10"/>
  <c r="AB84" i="10"/>
  <c r="AA84" i="10"/>
  <c r="A84" i="10"/>
  <c r="AP83" i="10"/>
  <c r="AE83" i="10"/>
  <c r="AB83" i="10"/>
  <c r="AA83" i="10"/>
  <c r="A83" i="10"/>
  <c r="AP82" i="10"/>
  <c r="AE82" i="10"/>
  <c r="AG82" i="10" s="1"/>
  <c r="AB82" i="10"/>
  <c r="AA82" i="10"/>
  <c r="A82" i="10"/>
  <c r="AP81" i="10"/>
  <c r="AE81" i="10"/>
  <c r="AB81" i="10"/>
  <c r="AA81" i="10"/>
  <c r="A81" i="10"/>
  <c r="AP80" i="10"/>
  <c r="AF80" i="10"/>
  <c r="AH80" i="10" s="1"/>
  <c r="AI80" i="10" s="1"/>
  <c r="AE80" i="10"/>
  <c r="AG80" i="10" s="1"/>
  <c r="AB80" i="10"/>
  <c r="AA80" i="10"/>
  <c r="A80" i="10"/>
  <c r="AP79" i="10"/>
  <c r="AE79" i="10"/>
  <c r="AB79" i="10"/>
  <c r="AA79" i="10"/>
  <c r="A79" i="10"/>
  <c r="AP78" i="10"/>
  <c r="AG78" i="10"/>
  <c r="AF78" i="10"/>
  <c r="AH78" i="10" s="1"/>
  <c r="AI78" i="10" s="1"/>
  <c r="AE78" i="10"/>
  <c r="AB78" i="10"/>
  <c r="AA78" i="10"/>
  <c r="A78" i="10"/>
  <c r="AP77" i="10"/>
  <c r="AE77" i="10"/>
  <c r="AB77" i="10"/>
  <c r="AA77" i="10"/>
  <c r="A77" i="10"/>
  <c r="AP76" i="10"/>
  <c r="AH76" i="10"/>
  <c r="AI76" i="10" s="1"/>
  <c r="AG76" i="10"/>
  <c r="AF76" i="10"/>
  <c r="AE76" i="10"/>
  <c r="AB76" i="10"/>
  <c r="AA76" i="10"/>
  <c r="A76" i="10"/>
  <c r="AP75" i="10"/>
  <c r="AE75" i="10"/>
  <c r="AB75" i="10"/>
  <c r="AA75" i="10"/>
  <c r="A75" i="10"/>
  <c r="AP74" i="10"/>
  <c r="AE74" i="10"/>
  <c r="AG74" i="10" s="1"/>
  <c r="AB74" i="10"/>
  <c r="AA74" i="10"/>
  <c r="A74" i="10"/>
  <c r="AP73" i="10"/>
  <c r="AE73" i="10"/>
  <c r="AB73" i="10"/>
  <c r="AA73" i="10"/>
  <c r="A73" i="10"/>
  <c r="AP72" i="10"/>
  <c r="AF72" i="10"/>
  <c r="AH72" i="10" s="1"/>
  <c r="AI72" i="10" s="1"/>
  <c r="AE72" i="10"/>
  <c r="AG72" i="10" s="1"/>
  <c r="AB72" i="10"/>
  <c r="AA72" i="10"/>
  <c r="A72" i="10"/>
  <c r="AP71" i="10"/>
  <c r="AE71" i="10"/>
  <c r="AB71" i="10"/>
  <c r="AA71" i="10"/>
  <c r="A71" i="10"/>
  <c r="AP70" i="10"/>
  <c r="AG70" i="10"/>
  <c r="AF70" i="10"/>
  <c r="AH70" i="10" s="1"/>
  <c r="AI70" i="10" s="1"/>
  <c r="AE70" i="10"/>
  <c r="AB70" i="10"/>
  <c r="AA70" i="10"/>
  <c r="A70" i="10"/>
  <c r="AP69" i="10"/>
  <c r="AE69" i="10"/>
  <c r="AB69" i="10"/>
  <c r="AA69" i="10"/>
  <c r="A69" i="10"/>
  <c r="AP68" i="10"/>
  <c r="AH68" i="10"/>
  <c r="AI68" i="10" s="1"/>
  <c r="AG68" i="10"/>
  <c r="AF68" i="10"/>
  <c r="AE68" i="10"/>
  <c r="AB68" i="10"/>
  <c r="AA68" i="10"/>
  <c r="A68" i="10"/>
  <c r="AP67" i="10"/>
  <c r="AE67" i="10"/>
  <c r="AB67" i="10"/>
  <c r="AA67" i="10"/>
  <c r="A67" i="10"/>
  <c r="AP66" i="10"/>
  <c r="AE66" i="10"/>
  <c r="AG66" i="10" s="1"/>
  <c r="AB66" i="10"/>
  <c r="AA66" i="10"/>
  <c r="A66" i="10"/>
  <c r="AP65" i="10"/>
  <c r="AE65" i="10"/>
  <c r="AB65" i="10"/>
  <c r="AA65" i="10"/>
  <c r="A65" i="10"/>
  <c r="AP64" i="10"/>
  <c r="AF64" i="10"/>
  <c r="AH64" i="10" s="1"/>
  <c r="AI64" i="10" s="1"/>
  <c r="AE64" i="10"/>
  <c r="AG64" i="10" s="1"/>
  <c r="AB64" i="10"/>
  <c r="AA64" i="10"/>
  <c r="A64" i="10"/>
  <c r="AP63" i="10"/>
  <c r="AE63" i="10"/>
  <c r="AB63" i="10"/>
  <c r="AA63" i="10"/>
  <c r="A63" i="10"/>
  <c r="AP62" i="10"/>
  <c r="AG62" i="10"/>
  <c r="AF62" i="10"/>
  <c r="AH62" i="10" s="1"/>
  <c r="AI62" i="10" s="1"/>
  <c r="AE62" i="10"/>
  <c r="AB62" i="10"/>
  <c r="AA62" i="10"/>
  <c r="A62" i="10"/>
  <c r="AP61" i="10"/>
  <c r="AE61" i="10"/>
  <c r="AB61" i="10"/>
  <c r="AA61" i="10"/>
  <c r="A61" i="10"/>
  <c r="AP60" i="10"/>
  <c r="AH60" i="10"/>
  <c r="AI60" i="10" s="1"/>
  <c r="AG60" i="10"/>
  <c r="AF60" i="10"/>
  <c r="AE60" i="10"/>
  <c r="AB60" i="10"/>
  <c r="AA60" i="10"/>
  <c r="A60" i="10"/>
  <c r="AP59" i="10"/>
  <c r="AE59" i="10"/>
  <c r="AB59" i="10"/>
  <c r="AA59" i="10"/>
  <c r="A59" i="10"/>
  <c r="AP58" i="10"/>
  <c r="AE58" i="10"/>
  <c r="AG58" i="10" s="1"/>
  <c r="AB58" i="10"/>
  <c r="AA58" i="10"/>
  <c r="A58" i="10"/>
  <c r="AP57" i="10"/>
  <c r="AE57" i="10"/>
  <c r="AB57" i="10"/>
  <c r="AA57" i="10"/>
  <c r="A57" i="10"/>
  <c r="AP56" i="10"/>
  <c r="AF56" i="10"/>
  <c r="AH56" i="10" s="1"/>
  <c r="AI56" i="10" s="1"/>
  <c r="AE56" i="10"/>
  <c r="AG56" i="10" s="1"/>
  <c r="AB56" i="10"/>
  <c r="AA56" i="10"/>
  <c r="A56" i="10"/>
  <c r="AP55" i="10"/>
  <c r="AE55" i="10"/>
  <c r="AB55" i="10"/>
  <c r="AA55" i="10"/>
  <c r="A55" i="10"/>
  <c r="AP54" i="10"/>
  <c r="AG54" i="10"/>
  <c r="AF54" i="10"/>
  <c r="AH54" i="10" s="1"/>
  <c r="AI54" i="10" s="1"/>
  <c r="AE54" i="10"/>
  <c r="AB54" i="10"/>
  <c r="AA54" i="10"/>
  <c r="A54" i="10"/>
  <c r="AP53" i="10"/>
  <c r="AE53" i="10"/>
  <c r="AB53" i="10"/>
  <c r="AA53" i="10"/>
  <c r="A53" i="10"/>
  <c r="AP52" i="10"/>
  <c r="AH52" i="10"/>
  <c r="AI52" i="10" s="1"/>
  <c r="AG52" i="10"/>
  <c r="AF52" i="10"/>
  <c r="AE52" i="10"/>
  <c r="AB52" i="10"/>
  <c r="AA52" i="10"/>
  <c r="A52" i="10"/>
  <c r="AP51" i="10"/>
  <c r="AE51" i="10"/>
  <c r="AB51" i="10"/>
  <c r="AA51" i="10"/>
  <c r="A51" i="10"/>
  <c r="AP50" i="10"/>
  <c r="AE50" i="10"/>
  <c r="AG50" i="10" s="1"/>
  <c r="AB50" i="10"/>
  <c r="AA50" i="10"/>
  <c r="A50" i="10"/>
  <c r="AP49" i="10"/>
  <c r="AE49" i="10"/>
  <c r="AB49" i="10"/>
  <c r="AA49" i="10"/>
  <c r="A49" i="10"/>
  <c r="AP48" i="10"/>
  <c r="AF48" i="10"/>
  <c r="AH48" i="10" s="1"/>
  <c r="AI48" i="10" s="1"/>
  <c r="AE48" i="10"/>
  <c r="AG48" i="10" s="1"/>
  <c r="AB48" i="10"/>
  <c r="AA48" i="10"/>
  <c r="A48" i="10"/>
  <c r="AP47" i="10"/>
  <c r="AE47" i="10"/>
  <c r="AB47" i="10"/>
  <c r="AA47" i="10"/>
  <c r="A47" i="10"/>
  <c r="AP46" i="10"/>
  <c r="AG46" i="10"/>
  <c r="AF46" i="10"/>
  <c r="AH46" i="10" s="1"/>
  <c r="AI46" i="10" s="1"/>
  <c r="AE46" i="10"/>
  <c r="AB46" i="10"/>
  <c r="AA46" i="10"/>
  <c r="A46" i="10"/>
  <c r="AP45" i="10"/>
  <c r="AE45" i="10"/>
  <c r="AB45" i="10"/>
  <c r="AA45" i="10"/>
  <c r="A45" i="10"/>
  <c r="AP44" i="10"/>
  <c r="AH44" i="10"/>
  <c r="AI44" i="10" s="1"/>
  <c r="AG44" i="10"/>
  <c r="AF44" i="10"/>
  <c r="AE44" i="10"/>
  <c r="AB44" i="10"/>
  <c r="AA44" i="10"/>
  <c r="A44" i="10"/>
  <c r="AP43" i="10"/>
  <c r="AE43" i="10"/>
  <c r="AB43" i="10"/>
  <c r="AA43" i="10"/>
  <c r="A43" i="10"/>
  <c r="AP42" i="10"/>
  <c r="AE42" i="10"/>
  <c r="AG42" i="10" s="1"/>
  <c r="AB42" i="10"/>
  <c r="AA42" i="10"/>
  <c r="A42" i="10"/>
  <c r="AP41" i="10"/>
  <c r="AE41" i="10"/>
  <c r="AB41" i="10"/>
  <c r="AA41" i="10"/>
  <c r="A41" i="10"/>
  <c r="AP40" i="10"/>
  <c r="AF40" i="10"/>
  <c r="AH40" i="10" s="1"/>
  <c r="AI40" i="10" s="1"/>
  <c r="AE40" i="10"/>
  <c r="AG40" i="10" s="1"/>
  <c r="AB40" i="10"/>
  <c r="AA40" i="10"/>
  <c r="A40" i="10"/>
  <c r="AP39" i="10"/>
  <c r="AE39" i="10"/>
  <c r="AB39" i="10"/>
  <c r="AA39" i="10"/>
  <c r="A39" i="10"/>
  <c r="AP38" i="10"/>
  <c r="AG38" i="10"/>
  <c r="AF38" i="10"/>
  <c r="AH38" i="10" s="1"/>
  <c r="AI38" i="10" s="1"/>
  <c r="AE38" i="10"/>
  <c r="AB38" i="10"/>
  <c r="AA38" i="10"/>
  <c r="A38" i="10"/>
  <c r="AP37" i="10"/>
  <c r="AE37" i="10"/>
  <c r="AB37" i="10"/>
  <c r="AA37" i="10"/>
  <c r="A37" i="10"/>
  <c r="AP36" i="10"/>
  <c r="AH36" i="10"/>
  <c r="AI36" i="10" s="1"/>
  <c r="AG36" i="10"/>
  <c r="AF36" i="10"/>
  <c r="AE36" i="10"/>
  <c r="AB36" i="10"/>
  <c r="AA36" i="10"/>
  <c r="A36" i="10"/>
  <c r="AP35" i="10"/>
  <c r="AE35" i="10"/>
  <c r="AB35" i="10"/>
  <c r="AA35" i="10"/>
  <c r="A35" i="10"/>
  <c r="AP34" i="10"/>
  <c r="AE34" i="10"/>
  <c r="AG34" i="10" s="1"/>
  <c r="AB34" i="10"/>
  <c r="AA34" i="10"/>
  <c r="A34" i="10"/>
  <c r="AP33" i="10"/>
  <c r="AE33" i="10"/>
  <c r="AB33" i="10"/>
  <c r="AA33" i="10"/>
  <c r="A33" i="10"/>
  <c r="AP32" i="10"/>
  <c r="AF32" i="10"/>
  <c r="AH32" i="10" s="1"/>
  <c r="AI32" i="10" s="1"/>
  <c r="AE32" i="10"/>
  <c r="AG32" i="10" s="1"/>
  <c r="AB32" i="10"/>
  <c r="AA32" i="10"/>
  <c r="A32" i="10"/>
  <c r="AP31" i="10"/>
  <c r="AE31" i="10"/>
  <c r="AB31" i="10"/>
  <c r="AA31" i="10"/>
  <c r="A31" i="10"/>
  <c r="AP30" i="10"/>
  <c r="AG30" i="10"/>
  <c r="AF30" i="10"/>
  <c r="AH30" i="10" s="1"/>
  <c r="AI30" i="10" s="1"/>
  <c r="AE30" i="10"/>
  <c r="AB30" i="10"/>
  <c r="AA30" i="10"/>
  <c r="A30" i="10"/>
  <c r="AP29" i="10"/>
  <c r="AE29" i="10"/>
  <c r="AB29" i="10"/>
  <c r="AA29" i="10"/>
  <c r="A29" i="10"/>
  <c r="AP28" i="10"/>
  <c r="AH28" i="10"/>
  <c r="AI28" i="10" s="1"/>
  <c r="AG28" i="10"/>
  <c r="AF28" i="10"/>
  <c r="AE28" i="10"/>
  <c r="AB28" i="10"/>
  <c r="AA28" i="10"/>
  <c r="A28" i="10"/>
  <c r="AP27" i="10"/>
  <c r="AE27" i="10"/>
  <c r="AB27" i="10"/>
  <c r="AA27" i="10"/>
  <c r="A27" i="10"/>
  <c r="AP26" i="10"/>
  <c r="AE26" i="10"/>
  <c r="AG26" i="10" s="1"/>
  <c r="AB26" i="10"/>
  <c r="AA26" i="10"/>
  <c r="A26" i="10"/>
  <c r="AP25" i="10"/>
  <c r="AE25" i="10"/>
  <c r="AB25" i="10"/>
  <c r="AA25" i="10"/>
  <c r="A25" i="10"/>
  <c r="AP24" i="10"/>
  <c r="AF24" i="10"/>
  <c r="AH24" i="10" s="1"/>
  <c r="AI24" i="10" s="1"/>
  <c r="AE24" i="10"/>
  <c r="AG24" i="10" s="1"/>
  <c r="AB24" i="10"/>
  <c r="AA24" i="10"/>
  <c r="A24" i="10"/>
  <c r="AP23" i="10"/>
  <c r="AE23" i="10"/>
  <c r="AB23" i="10"/>
  <c r="AA23" i="10"/>
  <c r="A23" i="10"/>
  <c r="AP22" i="10"/>
  <c r="AG22" i="10"/>
  <c r="AF22" i="10"/>
  <c r="AH22" i="10" s="1"/>
  <c r="AI22" i="10" s="1"/>
  <c r="AE22" i="10"/>
  <c r="AB22" i="10"/>
  <c r="AA22" i="10"/>
  <c r="A22" i="10"/>
  <c r="AP21" i="10"/>
  <c r="AE21" i="10"/>
  <c r="AB21" i="10"/>
  <c r="AA21" i="10"/>
  <c r="A21" i="10"/>
  <c r="AP20" i="10"/>
  <c r="AH20" i="10"/>
  <c r="AI20" i="10" s="1"/>
  <c r="AG20" i="10"/>
  <c r="AF20" i="10"/>
  <c r="AE20" i="10"/>
  <c r="AB20" i="10"/>
  <c r="AA20" i="10"/>
  <c r="A20" i="10"/>
  <c r="AP19" i="10"/>
  <c r="AE19" i="10"/>
  <c r="AB19" i="10"/>
  <c r="AA19" i="10"/>
  <c r="A19" i="10"/>
  <c r="AP18" i="10"/>
  <c r="AE18" i="10"/>
  <c r="AG18" i="10" s="1"/>
  <c r="AB18" i="10"/>
  <c r="AA18" i="10"/>
  <c r="A18" i="10"/>
  <c r="AP17" i="10"/>
  <c r="AE17" i="10"/>
  <c r="AB17" i="10"/>
  <c r="AA17" i="10"/>
  <c r="A17" i="10"/>
  <c r="AP16" i="10"/>
  <c r="AF16" i="10"/>
  <c r="AH16" i="10" s="1"/>
  <c r="AI16" i="10" s="1"/>
  <c r="AE16" i="10"/>
  <c r="AG16" i="10" s="1"/>
  <c r="AB16" i="10"/>
  <c r="AA16" i="10"/>
  <c r="A16" i="10"/>
  <c r="AP15" i="10"/>
  <c r="AE15" i="10"/>
  <c r="AB15" i="10"/>
  <c r="AA15" i="10"/>
  <c r="A15" i="10"/>
  <c r="AP14" i="10"/>
  <c r="AG14" i="10"/>
  <c r="AE14" i="10"/>
  <c r="AF14" i="10" s="1"/>
  <c r="AH14" i="10" s="1"/>
  <c r="AI14" i="10" s="1"/>
  <c r="AB14" i="10"/>
  <c r="AA14" i="10"/>
  <c r="A14" i="10"/>
  <c r="AP13" i="10"/>
  <c r="AE13" i="10"/>
  <c r="AB13" i="10"/>
  <c r="AA13" i="10"/>
  <c r="AE12" i="10"/>
  <c r="AB12" i="10"/>
  <c r="AA12" i="10"/>
  <c r="AE11" i="10"/>
  <c r="AG11" i="10" s="1"/>
  <c r="AB11" i="10"/>
  <c r="AA11" i="10"/>
  <c r="AE10" i="10"/>
  <c r="AG10" i="10" s="1"/>
  <c r="AB10" i="10"/>
  <c r="AA10" i="10"/>
  <c r="AE9" i="10"/>
  <c r="AG9" i="10" s="1"/>
  <c r="AB9" i="10"/>
  <c r="AA9" i="10"/>
  <c r="AE8" i="10"/>
  <c r="AF8" i="10" s="1"/>
  <c r="AH8" i="10" s="1"/>
  <c r="AI8" i="10" s="1"/>
  <c r="AB8" i="10"/>
  <c r="AA8" i="10"/>
  <c r="AE7" i="10"/>
  <c r="AG7" i="10" s="1"/>
  <c r="AB7" i="10"/>
  <c r="AA7" i="10"/>
  <c r="AE6" i="10"/>
  <c r="AF6" i="10" s="1"/>
  <c r="AH6" i="10" s="1"/>
  <c r="AI6" i="10" s="1"/>
  <c r="AB6" i="10"/>
  <c r="AA6" i="10"/>
  <c r="AE5" i="10"/>
  <c r="AG5" i="10" s="1"/>
  <c r="AB5" i="10"/>
  <c r="AA5" i="10"/>
  <c r="AE4" i="10"/>
  <c r="AF4" i="10" s="1"/>
  <c r="AH4" i="10" s="1"/>
  <c r="AI4" i="10" s="1"/>
  <c r="AC4" i="10"/>
  <c r="AC5" i="10" s="1"/>
  <c r="AC6" i="10" s="1"/>
  <c r="AC7" i="10" s="1"/>
  <c r="AC8" i="10" s="1"/>
  <c r="AC9" i="10" s="1"/>
  <c r="AC10" i="10" s="1"/>
  <c r="AC11" i="10" s="1"/>
  <c r="AC12" i="10" s="1"/>
  <c r="AC13" i="10" s="1"/>
  <c r="AC14" i="10" s="1"/>
  <c r="AC15" i="10" s="1"/>
  <c r="AC16" i="10" s="1"/>
  <c r="AC17" i="10" s="1"/>
  <c r="AC18" i="10" s="1"/>
  <c r="AC19" i="10" s="1"/>
  <c r="AC20" i="10" s="1"/>
  <c r="AC21" i="10" s="1"/>
  <c r="AC22" i="10" s="1"/>
  <c r="AC23" i="10" s="1"/>
  <c r="AC24" i="10" s="1"/>
  <c r="AC25" i="10" s="1"/>
  <c r="AC26" i="10" s="1"/>
  <c r="AC27" i="10" s="1"/>
  <c r="AC28" i="10" s="1"/>
  <c r="AC29" i="10" s="1"/>
  <c r="AC30" i="10" s="1"/>
  <c r="AC31" i="10" s="1"/>
  <c r="AC32" i="10" s="1"/>
  <c r="AC33" i="10" s="1"/>
  <c r="AC34" i="10" s="1"/>
  <c r="AC35" i="10" s="1"/>
  <c r="AC36" i="10" s="1"/>
  <c r="AC37" i="10" s="1"/>
  <c r="AC38" i="10" s="1"/>
  <c r="AC39" i="10" s="1"/>
  <c r="AC40" i="10" s="1"/>
  <c r="AC41" i="10" s="1"/>
  <c r="AC42" i="10" s="1"/>
  <c r="AC43" i="10" s="1"/>
  <c r="AC44" i="10" s="1"/>
  <c r="AC45" i="10" s="1"/>
  <c r="AC46" i="10" s="1"/>
  <c r="AC47" i="10" s="1"/>
  <c r="AC48" i="10" s="1"/>
  <c r="AC49" i="10" s="1"/>
  <c r="AC50" i="10" s="1"/>
  <c r="AC51" i="10" s="1"/>
  <c r="AC52" i="10" s="1"/>
  <c r="AC53" i="10" s="1"/>
  <c r="AC54" i="10" s="1"/>
  <c r="AC55" i="10" s="1"/>
  <c r="AC56" i="10" s="1"/>
  <c r="AC57" i="10" s="1"/>
  <c r="AC58" i="10" s="1"/>
  <c r="AC59" i="10" s="1"/>
  <c r="AC60" i="10" s="1"/>
  <c r="AC61" i="10" s="1"/>
  <c r="AC62" i="10" s="1"/>
  <c r="AC63" i="10" s="1"/>
  <c r="AC64" i="10" s="1"/>
  <c r="AC65" i="10" s="1"/>
  <c r="AC66" i="10" s="1"/>
  <c r="AC67" i="10" s="1"/>
  <c r="AC68" i="10" s="1"/>
  <c r="AC69" i="10" s="1"/>
  <c r="AC70" i="10" s="1"/>
  <c r="AC71" i="10" s="1"/>
  <c r="AC72" i="10" s="1"/>
  <c r="AC73" i="10" s="1"/>
  <c r="AC74" i="10" s="1"/>
  <c r="AC75" i="10" s="1"/>
  <c r="AC76" i="10" s="1"/>
  <c r="AC77" i="10" s="1"/>
  <c r="AC78" i="10" s="1"/>
  <c r="AC79" i="10" s="1"/>
  <c r="AC80" i="10" s="1"/>
  <c r="AC81" i="10" s="1"/>
  <c r="AC82" i="10" s="1"/>
  <c r="AC83" i="10" s="1"/>
  <c r="AC84" i="10" s="1"/>
  <c r="AC85" i="10" s="1"/>
  <c r="AC86" i="10" s="1"/>
  <c r="AC87" i="10" s="1"/>
  <c r="AC88" i="10" s="1"/>
  <c r="AC89" i="10" s="1"/>
  <c r="AC90" i="10" s="1"/>
  <c r="AC91" i="10" s="1"/>
  <c r="AC92" i="10" s="1"/>
  <c r="AC93" i="10" s="1"/>
  <c r="AC94" i="10" s="1"/>
  <c r="AC95" i="10" s="1"/>
  <c r="AC96" i="10" s="1"/>
  <c r="AC97" i="10" s="1"/>
  <c r="AC98" i="10" s="1"/>
  <c r="AC99" i="10" s="1"/>
  <c r="AC100" i="10" s="1"/>
  <c r="AC101" i="10" s="1"/>
  <c r="AC102" i="10" s="1"/>
  <c r="AC103" i="10" s="1"/>
  <c r="AC104" i="10" s="1"/>
  <c r="AC105" i="10" s="1"/>
  <c r="AC106" i="10" s="1"/>
  <c r="AC107" i="10" s="1"/>
  <c r="AC108" i="10" s="1"/>
  <c r="AC109" i="10" s="1"/>
  <c r="AC110" i="10" s="1"/>
  <c r="AC111" i="10" s="1"/>
  <c r="AC112" i="10" s="1"/>
  <c r="AC113" i="10" s="1"/>
  <c r="AC114" i="10" s="1"/>
  <c r="AC115" i="10" s="1"/>
  <c r="AC116" i="10" s="1"/>
  <c r="AC117" i="10" s="1"/>
  <c r="AC118" i="10" s="1"/>
  <c r="AC119" i="10" s="1"/>
  <c r="AC120" i="10" s="1"/>
  <c r="AC121" i="10" s="1"/>
  <c r="AC122" i="10" s="1"/>
  <c r="AC123" i="10" s="1"/>
  <c r="AC124" i="10" s="1"/>
  <c r="AC125" i="10" s="1"/>
  <c r="AC126" i="10" s="1"/>
  <c r="AC127" i="10" s="1"/>
  <c r="AC128" i="10" s="1"/>
  <c r="AC129" i="10" s="1"/>
  <c r="AC130" i="10" s="1"/>
  <c r="AC131" i="10" s="1"/>
  <c r="AC132" i="10" s="1"/>
  <c r="AC133" i="10" s="1"/>
  <c r="AC134" i="10" s="1"/>
  <c r="AC135" i="10" s="1"/>
  <c r="AC136" i="10" s="1"/>
  <c r="AC137" i="10" s="1"/>
  <c r="AC138" i="10" s="1"/>
  <c r="AC139" i="10" s="1"/>
  <c r="AC140" i="10" s="1"/>
  <c r="AC141" i="10" s="1"/>
  <c r="AC142" i="10" s="1"/>
  <c r="AC143" i="10" s="1"/>
  <c r="AC144" i="10" s="1"/>
  <c r="AC145" i="10" s="1"/>
  <c r="AC146" i="10" s="1"/>
  <c r="AC147" i="10" s="1"/>
  <c r="AC148" i="10" s="1"/>
  <c r="AC149" i="10" s="1"/>
  <c r="AC150" i="10" s="1"/>
  <c r="AC151" i="10" s="1"/>
  <c r="AC152" i="10" s="1"/>
  <c r="AC153" i="10" s="1"/>
  <c r="AC154" i="10" s="1"/>
  <c r="AC155" i="10" s="1"/>
  <c r="AC156" i="10" s="1"/>
  <c r="AC157" i="10" s="1"/>
  <c r="AC158" i="10" s="1"/>
  <c r="AC159" i="10" s="1"/>
  <c r="AC160" i="10" s="1"/>
  <c r="AC161" i="10" s="1"/>
  <c r="AC162" i="10" s="1"/>
  <c r="AC163" i="10" s="1"/>
  <c r="AC164" i="10" s="1"/>
  <c r="AC165" i="10" s="1"/>
  <c r="AC166" i="10" s="1"/>
  <c r="AC167" i="10" s="1"/>
  <c r="AC168" i="10" s="1"/>
  <c r="AC169" i="10" s="1"/>
  <c r="AC170" i="10" s="1"/>
  <c r="AC171" i="10" s="1"/>
  <c r="AC172" i="10" s="1"/>
  <c r="AC173" i="10" s="1"/>
  <c r="AC174" i="10" s="1"/>
  <c r="AC175" i="10" s="1"/>
  <c r="AC176" i="10" s="1"/>
  <c r="AC177" i="10" s="1"/>
  <c r="AC178" i="10" s="1"/>
  <c r="AC179" i="10" s="1"/>
  <c r="AC180" i="10" s="1"/>
  <c r="AC181" i="10" s="1"/>
  <c r="AC182" i="10" s="1"/>
  <c r="AC183" i="10" s="1"/>
  <c r="AC184" i="10" s="1"/>
  <c r="AC185" i="10" s="1"/>
  <c r="AC186" i="10" s="1"/>
  <c r="AC187" i="10" s="1"/>
  <c r="AC188" i="10" s="1"/>
  <c r="AC189" i="10" s="1"/>
  <c r="AC190" i="10" s="1"/>
  <c r="AC191" i="10" s="1"/>
  <c r="AC192" i="10" s="1"/>
  <c r="AC193" i="10" s="1"/>
  <c r="AC194" i="10" s="1"/>
  <c r="AC195" i="10" s="1"/>
  <c r="AC196" i="10" s="1"/>
  <c r="AC197" i="10" s="1"/>
  <c r="AC198" i="10" s="1"/>
  <c r="AC199" i="10" s="1"/>
  <c r="AC200" i="10" s="1"/>
  <c r="AC201" i="10" s="1"/>
  <c r="AC202" i="10" s="1"/>
  <c r="AC203" i="10" s="1"/>
  <c r="AC204" i="10" s="1"/>
  <c r="AC205" i="10" s="1"/>
  <c r="AC206" i="10" s="1"/>
  <c r="AC207" i="10" s="1"/>
  <c r="AC208" i="10" s="1"/>
  <c r="AC209" i="10" s="1"/>
  <c r="AC210" i="10" s="1"/>
  <c r="AC211" i="10" s="1"/>
  <c r="AC212" i="10" s="1"/>
  <c r="AC213" i="10" s="1"/>
  <c r="AC214" i="10" s="1"/>
  <c r="AC215" i="10" s="1"/>
  <c r="AC216" i="10" s="1"/>
  <c r="AC217" i="10" s="1"/>
  <c r="AC218" i="10" s="1"/>
  <c r="AC219" i="10" s="1"/>
  <c r="AC220" i="10" s="1"/>
  <c r="AC221" i="10" s="1"/>
  <c r="AC222" i="10" s="1"/>
  <c r="AC223" i="10" s="1"/>
  <c r="AC224" i="10" s="1"/>
  <c r="AC225" i="10" s="1"/>
  <c r="AC226" i="10" s="1"/>
  <c r="AC227" i="10" s="1"/>
  <c r="AC228" i="10" s="1"/>
  <c r="AC229" i="10" s="1"/>
  <c r="AC230" i="10" s="1"/>
  <c r="AC231" i="10" s="1"/>
  <c r="AC232" i="10" s="1"/>
  <c r="AC233" i="10" s="1"/>
  <c r="AC234" i="10" s="1"/>
  <c r="AC235" i="10" s="1"/>
  <c r="AC236" i="10" s="1"/>
  <c r="AC237" i="10" s="1"/>
  <c r="AC238" i="10" s="1"/>
  <c r="AC239" i="10" s="1"/>
  <c r="AC240" i="10" s="1"/>
  <c r="AC241" i="10" s="1"/>
  <c r="AC242" i="10" s="1"/>
  <c r="AC243" i="10" s="1"/>
  <c r="AC244" i="10" s="1"/>
  <c r="AC245" i="10" s="1"/>
  <c r="AC246" i="10" s="1"/>
  <c r="AC247" i="10" s="1"/>
  <c r="AC248" i="10" s="1"/>
  <c r="AC249" i="10" s="1"/>
  <c r="AC250" i="10" s="1"/>
  <c r="AC251" i="10" s="1"/>
  <c r="AC252" i="10" s="1"/>
  <c r="AC253" i="10" s="1"/>
  <c r="AC254" i="10" s="1"/>
  <c r="AC255" i="10" s="1"/>
  <c r="AC256" i="10" s="1"/>
  <c r="AC257" i="10" s="1"/>
  <c r="AC258" i="10" s="1"/>
  <c r="AC259" i="10" s="1"/>
  <c r="AC260" i="10" s="1"/>
  <c r="AC261" i="10" s="1"/>
  <c r="AC262" i="10" s="1"/>
  <c r="AC263" i="10" s="1"/>
  <c r="AC264" i="10" s="1"/>
  <c r="AC265" i="10" s="1"/>
  <c r="AC266" i="10" s="1"/>
  <c r="AC267" i="10" s="1"/>
  <c r="AC268" i="10" s="1"/>
  <c r="AC269" i="10" s="1"/>
  <c r="AC270" i="10" s="1"/>
  <c r="AC271" i="10" s="1"/>
  <c r="AC272" i="10" s="1"/>
  <c r="AC273" i="10" s="1"/>
  <c r="AC274" i="10" s="1"/>
  <c r="AC275" i="10" s="1"/>
  <c r="AC276" i="10" s="1"/>
  <c r="AC277" i="10" s="1"/>
  <c r="AC278" i="10" s="1"/>
  <c r="AC279" i="10" s="1"/>
  <c r="AC280" i="10" s="1"/>
  <c r="AC281" i="10" s="1"/>
  <c r="AC282" i="10" s="1"/>
  <c r="AC283" i="10" s="1"/>
  <c r="AC284" i="10" s="1"/>
  <c r="AC285" i="10" s="1"/>
  <c r="AC286" i="10" s="1"/>
  <c r="AC287" i="10" s="1"/>
  <c r="AC288" i="10" s="1"/>
  <c r="AC289" i="10" s="1"/>
  <c r="AC290" i="10" s="1"/>
  <c r="AC291" i="10" s="1"/>
  <c r="AC292" i="10" s="1"/>
  <c r="AC293" i="10" s="1"/>
  <c r="AC294" i="10" s="1"/>
  <c r="AC295" i="10" s="1"/>
  <c r="AC296" i="10" s="1"/>
  <c r="AC297" i="10" s="1"/>
  <c r="AC298" i="10" s="1"/>
  <c r="AC299" i="10" s="1"/>
  <c r="AC300" i="10" s="1"/>
  <c r="AC301" i="10" s="1"/>
  <c r="AC302" i="10" s="1"/>
  <c r="AC303" i="10" s="1"/>
  <c r="AC304" i="10" s="1"/>
  <c r="AC305" i="10" s="1"/>
  <c r="AC306" i="10" s="1"/>
  <c r="AC307" i="10" s="1"/>
  <c r="AC308" i="10" s="1"/>
  <c r="AC309" i="10" s="1"/>
  <c r="AC310" i="10" s="1"/>
  <c r="AC311" i="10" s="1"/>
  <c r="AC312" i="10" s="1"/>
  <c r="AC313" i="10" s="1"/>
  <c r="AC314" i="10" s="1"/>
  <c r="AC315" i="10" s="1"/>
  <c r="AC316" i="10" s="1"/>
  <c r="AC317" i="10" s="1"/>
  <c r="AC318" i="10" s="1"/>
  <c r="AC319" i="10" s="1"/>
  <c r="AC320" i="10" s="1"/>
  <c r="AC321" i="10" s="1"/>
  <c r="AC322" i="10" s="1"/>
  <c r="AC323" i="10" s="1"/>
  <c r="AC324" i="10" s="1"/>
  <c r="AC325" i="10" s="1"/>
  <c r="AC326" i="10" s="1"/>
  <c r="AC327" i="10" s="1"/>
  <c r="AC328" i="10" s="1"/>
  <c r="AC329" i="10" s="1"/>
  <c r="AC330" i="10" s="1"/>
  <c r="AC331" i="10" s="1"/>
  <c r="AC332" i="10" s="1"/>
  <c r="AC333" i="10" s="1"/>
  <c r="AC334" i="10" s="1"/>
  <c r="AC335" i="10" s="1"/>
  <c r="AC336" i="10" s="1"/>
  <c r="AC337" i="10" s="1"/>
  <c r="AC338" i="10" s="1"/>
  <c r="AC339" i="10" s="1"/>
  <c r="AC340" i="10" s="1"/>
  <c r="AC341" i="10" s="1"/>
  <c r="AC342" i="10" s="1"/>
  <c r="AC343" i="10" s="1"/>
  <c r="AC344" i="10" s="1"/>
  <c r="AC345" i="10" s="1"/>
  <c r="AC346" i="10" s="1"/>
  <c r="AC347" i="10" s="1"/>
  <c r="AC348" i="10" s="1"/>
  <c r="AC349" i="10" s="1"/>
  <c r="AC350" i="10" s="1"/>
  <c r="AC351" i="10" s="1"/>
  <c r="AC352" i="10" s="1"/>
  <c r="AC353" i="10" s="1"/>
  <c r="AC354" i="10" s="1"/>
  <c r="AC355" i="10" s="1"/>
  <c r="AC356" i="10" s="1"/>
  <c r="AC357" i="10" s="1"/>
  <c r="AC358" i="10" s="1"/>
  <c r="AC359" i="10" s="1"/>
  <c r="AC360" i="10" s="1"/>
  <c r="AC361" i="10" s="1"/>
  <c r="AC362" i="10" s="1"/>
  <c r="AC363" i="10" s="1"/>
  <c r="AC364" i="10" s="1"/>
  <c r="AC365" i="10" s="1"/>
  <c r="AC366" i="10" s="1"/>
  <c r="AC367" i="10" s="1"/>
  <c r="AC368" i="10" s="1"/>
  <c r="AC369" i="10" s="1"/>
  <c r="AC370" i="10" s="1"/>
  <c r="AC371" i="10" s="1"/>
  <c r="AC372" i="10" s="1"/>
  <c r="AC373" i="10" s="1"/>
  <c r="AC374" i="10" s="1"/>
  <c r="AC375" i="10" s="1"/>
  <c r="AC376" i="10" s="1"/>
  <c r="AC377" i="10" s="1"/>
  <c r="AC378" i="10" s="1"/>
  <c r="AC379" i="10" s="1"/>
  <c r="AC380" i="10" s="1"/>
  <c r="AC381" i="10" s="1"/>
  <c r="AC382" i="10" s="1"/>
  <c r="AC383" i="10" s="1"/>
  <c r="AC384" i="10" s="1"/>
  <c r="AC385" i="10" s="1"/>
  <c r="AC386" i="10" s="1"/>
  <c r="AC387" i="10" s="1"/>
  <c r="AC388" i="10" s="1"/>
  <c r="AC389" i="10" s="1"/>
  <c r="AC390" i="10" s="1"/>
  <c r="AC391" i="10" s="1"/>
  <c r="AC392" i="10" s="1"/>
  <c r="AC393" i="10" s="1"/>
  <c r="AC394" i="10" s="1"/>
  <c r="AC395" i="10" s="1"/>
  <c r="AC396" i="10" s="1"/>
  <c r="AC397" i="10" s="1"/>
  <c r="AC398" i="10" s="1"/>
  <c r="AC399" i="10" s="1"/>
  <c r="AC400" i="10" s="1"/>
  <c r="AC401" i="10" s="1"/>
  <c r="AC402" i="10" s="1"/>
  <c r="AC403" i="10" s="1"/>
  <c r="AC404" i="10" s="1"/>
  <c r="AC405" i="10" s="1"/>
  <c r="AC406" i="10" s="1"/>
  <c r="AC407" i="10" s="1"/>
  <c r="AC408" i="10" s="1"/>
  <c r="AC409" i="10" s="1"/>
  <c r="AC410" i="10" s="1"/>
  <c r="AC411" i="10" s="1"/>
  <c r="AC412" i="10" s="1"/>
  <c r="AC413" i="10" s="1"/>
  <c r="AC414" i="10" s="1"/>
  <c r="AC415" i="10" s="1"/>
  <c r="AC416" i="10" s="1"/>
  <c r="AC417" i="10" s="1"/>
  <c r="AC418" i="10" s="1"/>
  <c r="AC419" i="10" s="1"/>
  <c r="AC420" i="10" s="1"/>
  <c r="AC421" i="10" s="1"/>
  <c r="AC422" i="10" s="1"/>
  <c r="AC423" i="10" s="1"/>
  <c r="AC424" i="10" s="1"/>
  <c r="AC425" i="10" s="1"/>
  <c r="AC426" i="10" s="1"/>
  <c r="AC427" i="10" s="1"/>
  <c r="AC428" i="10" s="1"/>
  <c r="AC429" i="10" s="1"/>
  <c r="AC430" i="10" s="1"/>
  <c r="AC431" i="10" s="1"/>
  <c r="AC432" i="10" s="1"/>
  <c r="AC433" i="10" s="1"/>
  <c r="AC434" i="10" s="1"/>
  <c r="AC435" i="10" s="1"/>
  <c r="AC436" i="10" s="1"/>
  <c r="AC437" i="10" s="1"/>
  <c r="AC438" i="10" s="1"/>
  <c r="AC439" i="10" s="1"/>
  <c r="AC440" i="10" s="1"/>
  <c r="AC441" i="10" s="1"/>
  <c r="AC442" i="10" s="1"/>
  <c r="AC443" i="10" s="1"/>
  <c r="AC444" i="10" s="1"/>
  <c r="AC445" i="10" s="1"/>
  <c r="AC446" i="10" s="1"/>
  <c r="AC447" i="10" s="1"/>
  <c r="AC448" i="10" s="1"/>
  <c r="AC449" i="10" s="1"/>
  <c r="AC450" i="10" s="1"/>
  <c r="AC451" i="10" s="1"/>
  <c r="AC452" i="10" s="1"/>
  <c r="AC453" i="10" s="1"/>
  <c r="AC454" i="10" s="1"/>
  <c r="AC455" i="10" s="1"/>
  <c r="AC456" i="10" s="1"/>
  <c r="AC457" i="10" s="1"/>
  <c r="AC458" i="10" s="1"/>
  <c r="AC459" i="10" s="1"/>
  <c r="AC460" i="10" s="1"/>
  <c r="AC461" i="10" s="1"/>
  <c r="AC462" i="10" s="1"/>
  <c r="AC463" i="10" s="1"/>
  <c r="AC464" i="10" s="1"/>
  <c r="AC465" i="10" s="1"/>
  <c r="AC466" i="10" s="1"/>
  <c r="AC467" i="10" s="1"/>
  <c r="AC468" i="10" s="1"/>
  <c r="AC469" i="10" s="1"/>
  <c r="AC470" i="10" s="1"/>
  <c r="AC471" i="10" s="1"/>
  <c r="AC472" i="10" s="1"/>
  <c r="AC473" i="10" s="1"/>
  <c r="AC474" i="10" s="1"/>
  <c r="AC475" i="10" s="1"/>
  <c r="AC476" i="10" s="1"/>
  <c r="AC477" i="10" s="1"/>
  <c r="AC478" i="10" s="1"/>
  <c r="AC479" i="10" s="1"/>
  <c r="AC480" i="10" s="1"/>
  <c r="AC481" i="10" s="1"/>
  <c r="AC482" i="10" s="1"/>
  <c r="AC483" i="10" s="1"/>
  <c r="AC484" i="10" s="1"/>
  <c r="AC485" i="10" s="1"/>
  <c r="AC486" i="10" s="1"/>
  <c r="AC487" i="10" s="1"/>
  <c r="AC488" i="10" s="1"/>
  <c r="AC489" i="10" s="1"/>
  <c r="AC490" i="10" s="1"/>
  <c r="AC491" i="10" s="1"/>
  <c r="AC492" i="10" s="1"/>
  <c r="AC493" i="10" s="1"/>
  <c r="AC494" i="10" s="1"/>
  <c r="AC495" i="10" s="1"/>
  <c r="AC496" i="10" s="1"/>
  <c r="AC497" i="10" s="1"/>
  <c r="AC498" i="10" s="1"/>
  <c r="AC499" i="10" s="1"/>
  <c r="AC500" i="10" s="1"/>
  <c r="AC501" i="10" s="1"/>
  <c r="AC502" i="10" s="1"/>
  <c r="AC503" i="10" s="1"/>
  <c r="AC504" i="10" s="1"/>
  <c r="AC505" i="10" s="1"/>
  <c r="AC506" i="10" s="1"/>
  <c r="AC507" i="10" s="1"/>
  <c r="AC508" i="10" s="1"/>
  <c r="AC509" i="10" s="1"/>
  <c r="AC510" i="10" s="1"/>
  <c r="AC511" i="10" s="1"/>
  <c r="AC512" i="10" s="1"/>
  <c r="AC513" i="10" s="1"/>
  <c r="AC514" i="10" s="1"/>
  <c r="AC515" i="10" s="1"/>
  <c r="AC516" i="10" s="1"/>
  <c r="AC517" i="10" s="1"/>
  <c r="AC518" i="10" s="1"/>
  <c r="AC519" i="10" s="1"/>
  <c r="AC520" i="10" s="1"/>
  <c r="AC521" i="10" s="1"/>
  <c r="AC522" i="10" s="1"/>
  <c r="AC523" i="10" s="1"/>
  <c r="AC524" i="10" s="1"/>
  <c r="AC525" i="10" s="1"/>
  <c r="AC526" i="10" s="1"/>
  <c r="AC527" i="10" s="1"/>
  <c r="AC528" i="10" s="1"/>
  <c r="AC529" i="10" s="1"/>
  <c r="AC530" i="10" s="1"/>
  <c r="AC531" i="10" s="1"/>
  <c r="AC532" i="10" s="1"/>
  <c r="AC533" i="10" s="1"/>
  <c r="AC534" i="10" s="1"/>
  <c r="AC535" i="10" s="1"/>
  <c r="AC536" i="10" s="1"/>
  <c r="AC537" i="10" s="1"/>
  <c r="AC538" i="10" s="1"/>
  <c r="AC539" i="10" s="1"/>
  <c r="AC540" i="10" s="1"/>
  <c r="AC541" i="10" s="1"/>
  <c r="AC542" i="10" s="1"/>
  <c r="AC543" i="10" s="1"/>
  <c r="AC544" i="10" s="1"/>
  <c r="AC545" i="10" s="1"/>
  <c r="AC546" i="10" s="1"/>
  <c r="AC547" i="10" s="1"/>
  <c r="AC548" i="10" s="1"/>
  <c r="AC549" i="10" s="1"/>
  <c r="AC550" i="10" s="1"/>
  <c r="AC551" i="10" s="1"/>
  <c r="AC552" i="10" s="1"/>
  <c r="AC553" i="10" s="1"/>
  <c r="AC554" i="10" s="1"/>
  <c r="AC555" i="10" s="1"/>
  <c r="AC556" i="10" s="1"/>
  <c r="AC557" i="10" s="1"/>
  <c r="AC558" i="10" s="1"/>
  <c r="AC559" i="10" s="1"/>
  <c r="AC560" i="10" s="1"/>
  <c r="AC561" i="10" s="1"/>
  <c r="AC562" i="10" s="1"/>
  <c r="AC563" i="10" s="1"/>
  <c r="AC564" i="10" s="1"/>
  <c r="AC565" i="10" s="1"/>
  <c r="AC566" i="10" s="1"/>
  <c r="AC567" i="10" s="1"/>
  <c r="AC568" i="10" s="1"/>
  <c r="AC569" i="10" s="1"/>
  <c r="AC570" i="10" s="1"/>
  <c r="AC571" i="10" s="1"/>
  <c r="AC572" i="10" s="1"/>
  <c r="AC573" i="10" s="1"/>
  <c r="AC574" i="10" s="1"/>
  <c r="AC575" i="10" s="1"/>
  <c r="AC576" i="10" s="1"/>
  <c r="AC577" i="10" s="1"/>
  <c r="AC578" i="10" s="1"/>
  <c r="AC579" i="10" s="1"/>
  <c r="AC580" i="10" s="1"/>
  <c r="AC581" i="10" s="1"/>
  <c r="AC582" i="10" s="1"/>
  <c r="AC583" i="10" s="1"/>
  <c r="AC584" i="10" s="1"/>
  <c r="AC585" i="10" s="1"/>
  <c r="AC586" i="10" s="1"/>
  <c r="AC587" i="10" s="1"/>
  <c r="AC588" i="10" s="1"/>
  <c r="AC589" i="10" s="1"/>
  <c r="AC590" i="10" s="1"/>
  <c r="AC591" i="10" s="1"/>
  <c r="AC592" i="10" s="1"/>
  <c r="AC593" i="10" s="1"/>
  <c r="AC594" i="10" s="1"/>
  <c r="AC595" i="10" s="1"/>
  <c r="AC596" i="10" s="1"/>
  <c r="AC597" i="10" s="1"/>
  <c r="AC598" i="10" s="1"/>
  <c r="AC599" i="10" s="1"/>
  <c r="AC600" i="10" s="1"/>
  <c r="AC601" i="10" s="1"/>
  <c r="AC602" i="10" s="1"/>
  <c r="AC603" i="10" s="1"/>
  <c r="AC604" i="10" s="1"/>
  <c r="AC605" i="10" s="1"/>
  <c r="AC606" i="10" s="1"/>
  <c r="AC607" i="10" s="1"/>
  <c r="AC608" i="10" s="1"/>
  <c r="AC609" i="10" s="1"/>
  <c r="AC610" i="10" s="1"/>
  <c r="AC611" i="10" s="1"/>
  <c r="AC612" i="10" s="1"/>
  <c r="AC613" i="10" s="1"/>
  <c r="AC614" i="10" s="1"/>
  <c r="AC615" i="10" s="1"/>
  <c r="AC616" i="10" s="1"/>
  <c r="AC617" i="10" s="1"/>
  <c r="AC618" i="10" s="1"/>
  <c r="AC619" i="10" s="1"/>
  <c r="AC620" i="10" s="1"/>
  <c r="AC621" i="10" s="1"/>
  <c r="AC622" i="10" s="1"/>
  <c r="AC623" i="10" s="1"/>
  <c r="AC624" i="10" s="1"/>
  <c r="AC625" i="10" s="1"/>
  <c r="AC626" i="10" s="1"/>
  <c r="AC627" i="10" s="1"/>
  <c r="AC628" i="10" s="1"/>
  <c r="AC629" i="10" s="1"/>
  <c r="AC630" i="10" s="1"/>
  <c r="AC631" i="10" s="1"/>
  <c r="AC632" i="10" s="1"/>
  <c r="AC633" i="10" s="1"/>
  <c r="AC634" i="10" s="1"/>
  <c r="AC635" i="10" s="1"/>
  <c r="AC636" i="10" s="1"/>
  <c r="AC637" i="10" s="1"/>
  <c r="AC638" i="10" s="1"/>
  <c r="AC639" i="10" s="1"/>
  <c r="AC640" i="10" s="1"/>
  <c r="AC641" i="10" s="1"/>
  <c r="AC642" i="10" s="1"/>
  <c r="AC643" i="10" s="1"/>
  <c r="AC644" i="10" s="1"/>
  <c r="AC645" i="10" s="1"/>
  <c r="AC646" i="10" s="1"/>
  <c r="AC647" i="10" s="1"/>
  <c r="AC648" i="10" s="1"/>
  <c r="AC649" i="10" s="1"/>
  <c r="AC650" i="10" s="1"/>
  <c r="AC651" i="10" s="1"/>
  <c r="AC652" i="10" s="1"/>
  <c r="AC653" i="10" s="1"/>
  <c r="AC654" i="10" s="1"/>
  <c r="AC655" i="10" s="1"/>
  <c r="AC656" i="10" s="1"/>
  <c r="AC657" i="10" s="1"/>
  <c r="AC658" i="10" s="1"/>
  <c r="AC659" i="10" s="1"/>
  <c r="AC660" i="10" s="1"/>
  <c r="AC661" i="10" s="1"/>
  <c r="AC662" i="10" s="1"/>
  <c r="AC663" i="10" s="1"/>
  <c r="AC664" i="10" s="1"/>
  <c r="AC665" i="10" s="1"/>
  <c r="AC666" i="10" s="1"/>
  <c r="AC667" i="10" s="1"/>
  <c r="AC668" i="10" s="1"/>
  <c r="AC669" i="10" s="1"/>
  <c r="AC670" i="10" s="1"/>
  <c r="AC671" i="10" s="1"/>
  <c r="AC672" i="10" s="1"/>
  <c r="AC673" i="10" s="1"/>
  <c r="AC674" i="10" s="1"/>
  <c r="AC675" i="10" s="1"/>
  <c r="AC676" i="10" s="1"/>
  <c r="AC677" i="10" s="1"/>
  <c r="AC678" i="10" s="1"/>
  <c r="AC679" i="10" s="1"/>
  <c r="AC680" i="10" s="1"/>
  <c r="AC681" i="10" s="1"/>
  <c r="AC682" i="10" s="1"/>
  <c r="AC683" i="10" s="1"/>
  <c r="AC684" i="10" s="1"/>
  <c r="AC685" i="10" s="1"/>
  <c r="AC686" i="10" s="1"/>
  <c r="AC687" i="10" s="1"/>
  <c r="AC688" i="10" s="1"/>
  <c r="AC689" i="10" s="1"/>
  <c r="AC690" i="10" s="1"/>
  <c r="AC691" i="10" s="1"/>
  <c r="AC692" i="10" s="1"/>
  <c r="AC693" i="10" s="1"/>
  <c r="AC694" i="10" s="1"/>
  <c r="AC695" i="10" s="1"/>
  <c r="AC696" i="10" s="1"/>
  <c r="AC697" i="10" s="1"/>
  <c r="AC698" i="10" s="1"/>
  <c r="AC699" i="10" s="1"/>
  <c r="AC700" i="10" s="1"/>
  <c r="AC701" i="10" s="1"/>
  <c r="AC702" i="10" s="1"/>
  <c r="AC703" i="10" s="1"/>
  <c r="AC704" i="10" s="1"/>
  <c r="AC705" i="10" s="1"/>
  <c r="AC706" i="10" s="1"/>
  <c r="AC707" i="10" s="1"/>
  <c r="AC708" i="10" s="1"/>
  <c r="AC709" i="10" s="1"/>
  <c r="AC710" i="10" s="1"/>
  <c r="AC711" i="10" s="1"/>
  <c r="AC712" i="10" s="1"/>
  <c r="AC713" i="10" s="1"/>
  <c r="AC714" i="10" s="1"/>
  <c r="AC715" i="10" s="1"/>
  <c r="AC716" i="10" s="1"/>
  <c r="AC717" i="10" s="1"/>
  <c r="AC718" i="10" s="1"/>
  <c r="AC719" i="10" s="1"/>
  <c r="AC720" i="10" s="1"/>
  <c r="AC721" i="10" s="1"/>
  <c r="AC722" i="10" s="1"/>
  <c r="AC723" i="10" s="1"/>
  <c r="AC724" i="10" s="1"/>
  <c r="AC725" i="10" s="1"/>
  <c r="AC726" i="10" s="1"/>
  <c r="AC727" i="10" s="1"/>
  <c r="AC728" i="10" s="1"/>
  <c r="AC729" i="10" s="1"/>
  <c r="AC730" i="10" s="1"/>
  <c r="AC731" i="10" s="1"/>
  <c r="AC732" i="10" s="1"/>
  <c r="AC733" i="10" s="1"/>
  <c r="AC734" i="10" s="1"/>
  <c r="AC735" i="10" s="1"/>
  <c r="AC736" i="10" s="1"/>
  <c r="AC737" i="10" s="1"/>
  <c r="AC738" i="10" s="1"/>
  <c r="AC739" i="10" s="1"/>
  <c r="AC740" i="10" s="1"/>
  <c r="AC741" i="10" s="1"/>
  <c r="AC742" i="10" s="1"/>
  <c r="AC743" i="10" s="1"/>
  <c r="AC744" i="10" s="1"/>
  <c r="AC745" i="10" s="1"/>
  <c r="AC746" i="10" s="1"/>
  <c r="AC747" i="10" s="1"/>
  <c r="AC748" i="10" s="1"/>
  <c r="AC749" i="10" s="1"/>
  <c r="AC750" i="10" s="1"/>
  <c r="AC751" i="10" s="1"/>
  <c r="AC752" i="10" s="1"/>
  <c r="AC753" i="10" s="1"/>
  <c r="AC754" i="10" s="1"/>
  <c r="AC755" i="10" s="1"/>
  <c r="AC756" i="10" s="1"/>
  <c r="AC757" i="10" s="1"/>
  <c r="AC758" i="10" s="1"/>
  <c r="AC759" i="10" s="1"/>
  <c r="AC760" i="10" s="1"/>
  <c r="AC761" i="10" s="1"/>
  <c r="AC762" i="10" s="1"/>
  <c r="AC763" i="10" s="1"/>
  <c r="AC764" i="10" s="1"/>
  <c r="AC765" i="10" s="1"/>
  <c r="AC766" i="10" s="1"/>
  <c r="AC767" i="10" s="1"/>
  <c r="AC768" i="10" s="1"/>
  <c r="AC769" i="10" s="1"/>
  <c r="AC770" i="10" s="1"/>
  <c r="AC771" i="10" s="1"/>
  <c r="AC772" i="10" s="1"/>
  <c r="AC773" i="10" s="1"/>
  <c r="AC774" i="10" s="1"/>
  <c r="AC775" i="10" s="1"/>
  <c r="AC776" i="10" s="1"/>
  <c r="AC777" i="10" s="1"/>
  <c r="AC778" i="10" s="1"/>
  <c r="AC779" i="10" s="1"/>
  <c r="AC780" i="10" s="1"/>
  <c r="AC781" i="10" s="1"/>
  <c r="AC782" i="10" s="1"/>
  <c r="AC783" i="10" s="1"/>
  <c r="AC784" i="10" s="1"/>
  <c r="AC785" i="10" s="1"/>
  <c r="AC786" i="10" s="1"/>
  <c r="AC787" i="10" s="1"/>
  <c r="AC788" i="10" s="1"/>
  <c r="AC789" i="10" s="1"/>
  <c r="AC790" i="10" s="1"/>
  <c r="AC791" i="10" s="1"/>
  <c r="AC792" i="10" s="1"/>
  <c r="AC793" i="10" s="1"/>
  <c r="AC794" i="10" s="1"/>
  <c r="AC795" i="10" s="1"/>
  <c r="AC796" i="10" s="1"/>
  <c r="AC797" i="10" s="1"/>
  <c r="AC798" i="10" s="1"/>
  <c r="AC799" i="10" s="1"/>
  <c r="AC800" i="10" s="1"/>
  <c r="AC801" i="10" s="1"/>
  <c r="AC802" i="10" s="1"/>
  <c r="AC803" i="10" s="1"/>
  <c r="AC804" i="10" s="1"/>
  <c r="AC805" i="10" s="1"/>
  <c r="AC806" i="10" s="1"/>
  <c r="AC807" i="10" s="1"/>
  <c r="AC808" i="10" s="1"/>
  <c r="AC809" i="10" s="1"/>
  <c r="AC810" i="10" s="1"/>
  <c r="AC811" i="10" s="1"/>
  <c r="AC812" i="10" s="1"/>
  <c r="AC813" i="10" s="1"/>
  <c r="AC814" i="10" s="1"/>
  <c r="AC815" i="10" s="1"/>
  <c r="AC816" i="10" s="1"/>
  <c r="AC817" i="10" s="1"/>
  <c r="AC818" i="10" s="1"/>
  <c r="AC819" i="10" s="1"/>
  <c r="AC820" i="10" s="1"/>
  <c r="AC821" i="10" s="1"/>
  <c r="AC822" i="10" s="1"/>
  <c r="AC823" i="10" s="1"/>
  <c r="AC824" i="10" s="1"/>
  <c r="AC825" i="10" s="1"/>
  <c r="AC826" i="10" s="1"/>
  <c r="AC827" i="10" s="1"/>
  <c r="AC828" i="10" s="1"/>
  <c r="AC829" i="10" s="1"/>
  <c r="AC830" i="10" s="1"/>
  <c r="AC831" i="10" s="1"/>
  <c r="AC832" i="10" s="1"/>
  <c r="AC833" i="10" s="1"/>
  <c r="AC834" i="10" s="1"/>
  <c r="AC835" i="10" s="1"/>
  <c r="AC836" i="10" s="1"/>
  <c r="AC837" i="10" s="1"/>
  <c r="AC838" i="10" s="1"/>
  <c r="AC839" i="10" s="1"/>
  <c r="AC840" i="10" s="1"/>
  <c r="AC841" i="10" s="1"/>
  <c r="AC842" i="10" s="1"/>
  <c r="AC843" i="10" s="1"/>
  <c r="AC844" i="10" s="1"/>
  <c r="AC845" i="10" s="1"/>
  <c r="AC846" i="10" s="1"/>
  <c r="AC847" i="10" s="1"/>
  <c r="AC848" i="10" s="1"/>
  <c r="AC849" i="10" s="1"/>
  <c r="AC850" i="10" s="1"/>
  <c r="AC851" i="10" s="1"/>
  <c r="AC852" i="10" s="1"/>
  <c r="AC853" i="10" s="1"/>
  <c r="AC854" i="10" s="1"/>
  <c r="AC855" i="10" s="1"/>
  <c r="AC856" i="10" s="1"/>
  <c r="AC857" i="10" s="1"/>
  <c r="AC858" i="10" s="1"/>
  <c r="AC859" i="10" s="1"/>
  <c r="AC860" i="10" s="1"/>
  <c r="AC861" i="10" s="1"/>
  <c r="AC862" i="10" s="1"/>
  <c r="AC863" i="10" s="1"/>
  <c r="AC864" i="10" s="1"/>
  <c r="AC865" i="10" s="1"/>
  <c r="AC866" i="10" s="1"/>
  <c r="AC867" i="10" s="1"/>
  <c r="AC868" i="10" s="1"/>
  <c r="AC869" i="10" s="1"/>
  <c r="AC870" i="10" s="1"/>
  <c r="AC871" i="10" s="1"/>
  <c r="AC872" i="10" s="1"/>
  <c r="AC873" i="10" s="1"/>
  <c r="AC874" i="10" s="1"/>
  <c r="AC875" i="10" s="1"/>
  <c r="AC876" i="10" s="1"/>
  <c r="AC877" i="10" s="1"/>
  <c r="AC878" i="10" s="1"/>
  <c r="AC879" i="10" s="1"/>
  <c r="AC880" i="10" s="1"/>
  <c r="AC881" i="10" s="1"/>
  <c r="AC882" i="10" s="1"/>
  <c r="AC883" i="10" s="1"/>
  <c r="AC884" i="10" s="1"/>
  <c r="AC885" i="10" s="1"/>
  <c r="AC886" i="10" s="1"/>
  <c r="AC887" i="10" s="1"/>
  <c r="AC888" i="10" s="1"/>
  <c r="AC889" i="10" s="1"/>
  <c r="AC890" i="10" s="1"/>
  <c r="AC891" i="10" s="1"/>
  <c r="AC892" i="10" s="1"/>
  <c r="AC893" i="10" s="1"/>
  <c r="AC894" i="10" s="1"/>
  <c r="AC895" i="10" s="1"/>
  <c r="AC896" i="10" s="1"/>
  <c r="AC897" i="10" s="1"/>
  <c r="AC898" i="10" s="1"/>
  <c r="AC899" i="10" s="1"/>
  <c r="AC900" i="10" s="1"/>
  <c r="AC901" i="10" s="1"/>
  <c r="AC902" i="10" s="1"/>
  <c r="AC903" i="10" s="1"/>
  <c r="AC904" i="10" s="1"/>
  <c r="AC905" i="10" s="1"/>
  <c r="AC906" i="10" s="1"/>
  <c r="AC907" i="10" s="1"/>
  <c r="AC908" i="10" s="1"/>
  <c r="AC909" i="10" s="1"/>
  <c r="AC910" i="10" s="1"/>
  <c r="AC911" i="10" s="1"/>
  <c r="AC912" i="10" s="1"/>
  <c r="AC913" i="10" s="1"/>
  <c r="AC914" i="10" s="1"/>
  <c r="AC915" i="10" s="1"/>
  <c r="AC916" i="10" s="1"/>
  <c r="AC917" i="10" s="1"/>
  <c r="AC918" i="10" s="1"/>
  <c r="AC919" i="10" s="1"/>
  <c r="AC920" i="10" s="1"/>
  <c r="AC921" i="10" s="1"/>
  <c r="AC922" i="10" s="1"/>
  <c r="AC923" i="10" s="1"/>
  <c r="AC924" i="10" s="1"/>
  <c r="AC925" i="10" s="1"/>
  <c r="AC926" i="10" s="1"/>
  <c r="AC927" i="10" s="1"/>
  <c r="AC928" i="10" s="1"/>
  <c r="AC929" i="10" s="1"/>
  <c r="AC930" i="10" s="1"/>
  <c r="AC931" i="10" s="1"/>
  <c r="AC932" i="10" s="1"/>
  <c r="AC933" i="10" s="1"/>
  <c r="AC934" i="10" s="1"/>
  <c r="AC935" i="10" s="1"/>
  <c r="AC936" i="10" s="1"/>
  <c r="AC937" i="10" s="1"/>
  <c r="AC938" i="10" s="1"/>
  <c r="AC939" i="10" s="1"/>
  <c r="AC940" i="10" s="1"/>
  <c r="AC941" i="10" s="1"/>
  <c r="AC942" i="10" s="1"/>
  <c r="AC943" i="10" s="1"/>
  <c r="AC944" i="10" s="1"/>
  <c r="AC945" i="10" s="1"/>
  <c r="AC946" i="10" s="1"/>
  <c r="AC947" i="10" s="1"/>
  <c r="AC948" i="10" s="1"/>
  <c r="AC949" i="10" s="1"/>
  <c r="AC950" i="10" s="1"/>
  <c r="AC951" i="10" s="1"/>
  <c r="AC952" i="10" s="1"/>
  <c r="AC953" i="10" s="1"/>
  <c r="AC954" i="10" s="1"/>
  <c r="AC955" i="10" s="1"/>
  <c r="AC956" i="10" s="1"/>
  <c r="AC957" i="10" s="1"/>
  <c r="AC958" i="10" s="1"/>
  <c r="AC959" i="10" s="1"/>
  <c r="AC960" i="10" s="1"/>
  <c r="AC961" i="10" s="1"/>
  <c r="AC962" i="10" s="1"/>
  <c r="AC963" i="10" s="1"/>
  <c r="AC964" i="10" s="1"/>
  <c r="AC965" i="10" s="1"/>
  <c r="AC966" i="10" s="1"/>
  <c r="AC967" i="10" s="1"/>
  <c r="AC968" i="10" s="1"/>
  <c r="AC969" i="10" s="1"/>
  <c r="AC970" i="10" s="1"/>
  <c r="AC971" i="10" s="1"/>
  <c r="AC972" i="10" s="1"/>
  <c r="AC973" i="10" s="1"/>
  <c r="AC974" i="10" s="1"/>
  <c r="AC975" i="10" s="1"/>
  <c r="AC976" i="10" s="1"/>
  <c r="AC977" i="10" s="1"/>
  <c r="AC978" i="10" s="1"/>
  <c r="AC979" i="10" s="1"/>
  <c r="AC980" i="10" s="1"/>
  <c r="AC981" i="10" s="1"/>
  <c r="AC982" i="10" s="1"/>
  <c r="AC983" i="10" s="1"/>
  <c r="AC984" i="10" s="1"/>
  <c r="AC985" i="10" s="1"/>
  <c r="AC986" i="10" s="1"/>
  <c r="AC987" i="10" s="1"/>
  <c r="AC988" i="10" s="1"/>
  <c r="AC989" i="10" s="1"/>
  <c r="AC990" i="10" s="1"/>
  <c r="AC991" i="10" s="1"/>
  <c r="AC992" i="10" s="1"/>
  <c r="AC993" i="10" s="1"/>
  <c r="AC994" i="10" s="1"/>
  <c r="AC995" i="10" s="1"/>
  <c r="AC996" i="10" s="1"/>
  <c r="AC997" i="10" s="1"/>
  <c r="AC998" i="10" s="1"/>
  <c r="AC999" i="10" s="1"/>
  <c r="AC1000" i="10" s="1"/>
  <c r="AB4" i="10"/>
  <c r="AA4" i="10"/>
  <c r="A4" i="10"/>
  <c r="A5" i="10" s="1"/>
  <c r="A6" i="10" s="1"/>
  <c r="A7" i="10" s="1"/>
  <c r="A8" i="10" s="1"/>
  <c r="A9" i="10" s="1"/>
  <c r="A10" i="10" s="1"/>
  <c r="A11" i="10" s="1"/>
  <c r="A12" i="10" s="1"/>
  <c r="A13" i="10" s="1"/>
  <c r="AC3" i="10"/>
  <c r="AB3" i="10"/>
  <c r="AA3" i="10"/>
  <c r="F3" i="10"/>
  <c r="AE3" i="10" s="1"/>
  <c r="AK2" i="10"/>
  <c r="AK3" i="10" s="1"/>
  <c r="AD2" i="10"/>
  <c r="AA2" i="10"/>
  <c r="AB2" i="10" s="1"/>
  <c r="AB1" i="10"/>
  <c r="AM13" i="6"/>
  <c r="AM12" i="6"/>
  <c r="AM11" i="6"/>
  <c r="AM10" i="6"/>
  <c r="AM9" i="6"/>
  <c r="AG9" i="6"/>
  <c r="AI9" i="6" s="1"/>
  <c r="AF9" i="6"/>
  <c r="AM8" i="6"/>
  <c r="AG8" i="6"/>
  <c r="AH8" i="6" s="1"/>
  <c r="AJ8" i="6" s="1"/>
  <c r="AK8" i="6" s="1"/>
  <c r="AF8" i="6"/>
  <c r="AM7" i="6"/>
  <c r="AG7" i="6"/>
  <c r="AI7" i="6" s="1"/>
  <c r="AF7" i="6"/>
  <c r="AM6" i="6"/>
  <c r="AG6" i="6"/>
  <c r="AH6" i="6" s="1"/>
  <c r="AJ6" i="6" s="1"/>
  <c r="AK6" i="6" s="1"/>
  <c r="AF6" i="6"/>
  <c r="AM5" i="6"/>
  <c r="AG5" i="6"/>
  <c r="AI5" i="6" s="1"/>
  <c r="AF5" i="6"/>
  <c r="AM4" i="6"/>
  <c r="AG4" i="6"/>
  <c r="AH4" i="6" s="1"/>
  <c r="AJ4" i="6" s="1"/>
  <c r="AK4" i="6" s="1"/>
  <c r="AF4" i="6"/>
  <c r="AM3" i="6"/>
  <c r="AG3" i="6"/>
  <c r="AI3" i="6" s="1"/>
  <c r="AF3" i="6"/>
  <c r="AD3" i="6"/>
  <c r="AC3" i="6"/>
  <c r="AB3" i="6"/>
  <c r="AA3" i="6"/>
  <c r="AM2" i="6"/>
  <c r="AG2" i="6"/>
  <c r="AH2" i="6" s="1"/>
  <c r="AJ2" i="6" s="1"/>
  <c r="AK2" i="6" s="1"/>
  <c r="AF2" i="6"/>
  <c r="AC2" i="6"/>
  <c r="AB2" i="6"/>
  <c r="AQ1" i="6"/>
  <c r="AB1" i="6"/>
  <c r="AI1000" i="5"/>
  <c r="AJ1000" i="5" s="1"/>
  <c r="AH1000" i="5"/>
  <c r="AB1000" i="5"/>
  <c r="AD1000" i="5" s="1"/>
  <c r="A1000" i="5"/>
  <c r="AI999" i="5"/>
  <c r="AJ999" i="5" s="1"/>
  <c r="AH999" i="5"/>
  <c r="AB999" i="5"/>
  <c r="AC999" i="5" s="1"/>
  <c r="AE999" i="5" s="1"/>
  <c r="AF999" i="5" s="1"/>
  <c r="A999" i="5"/>
  <c r="AI998" i="5"/>
  <c r="AJ998" i="5" s="1"/>
  <c r="AH998" i="5"/>
  <c r="AB998" i="5"/>
  <c r="AD998" i="5" s="1"/>
  <c r="A998" i="5"/>
  <c r="AI997" i="5"/>
  <c r="AJ997" i="5" s="1"/>
  <c r="AH997" i="5"/>
  <c r="AB997" i="5"/>
  <c r="AC997" i="5" s="1"/>
  <c r="AE997" i="5" s="1"/>
  <c r="AF997" i="5" s="1"/>
  <c r="A997" i="5"/>
  <c r="AI996" i="5"/>
  <c r="AJ996" i="5" s="1"/>
  <c r="AH996" i="5"/>
  <c r="AB996" i="5"/>
  <c r="AD996" i="5" s="1"/>
  <c r="A996" i="5"/>
  <c r="AI995" i="5"/>
  <c r="AJ995" i="5" s="1"/>
  <c r="AH995" i="5"/>
  <c r="AB995" i="5"/>
  <c r="AC995" i="5" s="1"/>
  <c r="AE995" i="5" s="1"/>
  <c r="AF995" i="5" s="1"/>
  <c r="A995" i="5"/>
  <c r="AI994" i="5"/>
  <c r="AJ994" i="5" s="1"/>
  <c r="AH994" i="5"/>
  <c r="AB994" i="5"/>
  <c r="AD994" i="5" s="1"/>
  <c r="A994" i="5"/>
  <c r="AI993" i="5"/>
  <c r="AJ993" i="5" s="1"/>
  <c r="AH993" i="5"/>
  <c r="AB993" i="5"/>
  <c r="AC993" i="5" s="1"/>
  <c r="AE993" i="5" s="1"/>
  <c r="AF993" i="5" s="1"/>
  <c r="A993" i="5"/>
  <c r="AI992" i="5"/>
  <c r="AJ992" i="5" s="1"/>
  <c r="AH992" i="5"/>
  <c r="AB992" i="5"/>
  <c r="AD992" i="5" s="1"/>
  <c r="A992" i="5"/>
  <c r="AI991" i="5"/>
  <c r="AJ991" i="5" s="1"/>
  <c r="AH991" i="5"/>
  <c r="AB991" i="5"/>
  <c r="A991" i="5"/>
  <c r="AI990" i="5"/>
  <c r="AJ990" i="5" s="1"/>
  <c r="AH990" i="5"/>
  <c r="AB990" i="5"/>
  <c r="AD990" i="5" s="1"/>
  <c r="A990" i="5"/>
  <c r="AI989" i="5"/>
  <c r="AJ989" i="5" s="1"/>
  <c r="AH989" i="5"/>
  <c r="AB989" i="5"/>
  <c r="A989" i="5"/>
  <c r="AI988" i="5"/>
  <c r="AJ988" i="5" s="1"/>
  <c r="AH988" i="5"/>
  <c r="AB988" i="5"/>
  <c r="AD988" i="5" s="1"/>
  <c r="A988" i="5"/>
  <c r="AI987" i="5"/>
  <c r="AJ987" i="5" s="1"/>
  <c r="AH987" i="5"/>
  <c r="AB987" i="5"/>
  <c r="A987" i="5"/>
  <c r="AI986" i="5"/>
  <c r="AJ986" i="5" s="1"/>
  <c r="AH986" i="5"/>
  <c r="AB986" i="5"/>
  <c r="AD986" i="5" s="1"/>
  <c r="A986" i="5"/>
  <c r="AI985" i="5"/>
  <c r="AJ985" i="5" s="1"/>
  <c r="AH985" i="5"/>
  <c r="AB985" i="5"/>
  <c r="AD985" i="5" s="1"/>
  <c r="A985" i="5"/>
  <c r="AI984" i="5"/>
  <c r="AJ984" i="5" s="1"/>
  <c r="AH984" i="5"/>
  <c r="AB984" i="5"/>
  <c r="AD984" i="5" s="1"/>
  <c r="A984" i="5"/>
  <c r="AI983" i="5"/>
  <c r="AJ983" i="5" s="1"/>
  <c r="AH983" i="5"/>
  <c r="AB983" i="5"/>
  <c r="AD983" i="5" s="1"/>
  <c r="A983" i="5"/>
  <c r="AI982" i="5"/>
  <c r="AJ982" i="5" s="1"/>
  <c r="AH982" i="5"/>
  <c r="AB982" i="5"/>
  <c r="AD982" i="5" s="1"/>
  <c r="A982" i="5"/>
  <c r="AI981" i="5"/>
  <c r="AJ981" i="5" s="1"/>
  <c r="AH981" i="5"/>
  <c r="AB981" i="5"/>
  <c r="AC981" i="5" s="1"/>
  <c r="AE981" i="5" s="1"/>
  <c r="AF981" i="5" s="1"/>
  <c r="A981" i="5"/>
  <c r="AI980" i="5"/>
  <c r="AJ980" i="5" s="1"/>
  <c r="AH980" i="5"/>
  <c r="AB980" i="5"/>
  <c r="AD980" i="5" s="1"/>
  <c r="A980" i="5"/>
  <c r="AI979" i="5"/>
  <c r="AJ979" i="5" s="1"/>
  <c r="AH979" i="5"/>
  <c r="AB979" i="5"/>
  <c r="AC979" i="5" s="1"/>
  <c r="AE979" i="5" s="1"/>
  <c r="AF979" i="5" s="1"/>
  <c r="A979" i="5"/>
  <c r="AI978" i="5"/>
  <c r="AJ978" i="5" s="1"/>
  <c r="AH978" i="5"/>
  <c r="AB978" i="5"/>
  <c r="AD978" i="5" s="1"/>
  <c r="A978" i="5"/>
  <c r="AI977" i="5"/>
  <c r="AJ977" i="5" s="1"/>
  <c r="AH977" i="5"/>
  <c r="AB977" i="5"/>
  <c r="AC977" i="5" s="1"/>
  <c r="AE977" i="5" s="1"/>
  <c r="AF977" i="5" s="1"/>
  <c r="A977" i="5"/>
  <c r="AI976" i="5"/>
  <c r="AJ976" i="5" s="1"/>
  <c r="AH976" i="5"/>
  <c r="AB976" i="5"/>
  <c r="A976" i="5"/>
  <c r="AI975" i="5"/>
  <c r="AJ975" i="5" s="1"/>
  <c r="AH975" i="5"/>
  <c r="AB975" i="5"/>
  <c r="AC975" i="5" s="1"/>
  <c r="AE975" i="5" s="1"/>
  <c r="AF975" i="5" s="1"/>
  <c r="A975" i="5"/>
  <c r="AI974" i="5"/>
  <c r="AJ974" i="5" s="1"/>
  <c r="AH974" i="5"/>
  <c r="AB974" i="5"/>
  <c r="AD974" i="5" s="1"/>
  <c r="A974" i="5"/>
  <c r="AI973" i="5"/>
  <c r="AJ973" i="5" s="1"/>
  <c r="AH973" i="5"/>
  <c r="AD973" i="5"/>
  <c r="AC973" i="5"/>
  <c r="AE973" i="5" s="1"/>
  <c r="AF973" i="5" s="1"/>
  <c r="AB973" i="5"/>
  <c r="A973" i="5"/>
  <c r="AI972" i="5"/>
  <c r="AJ972" i="5" s="1"/>
  <c r="AH972" i="5"/>
  <c r="AB972" i="5"/>
  <c r="AD972" i="5" s="1"/>
  <c r="A972" i="5"/>
  <c r="AI971" i="5"/>
  <c r="AJ971" i="5" s="1"/>
  <c r="AH971" i="5"/>
  <c r="AB971" i="5"/>
  <c r="AC971" i="5" s="1"/>
  <c r="AE971" i="5" s="1"/>
  <c r="AF971" i="5" s="1"/>
  <c r="A971" i="5"/>
  <c r="AI970" i="5"/>
  <c r="AJ970" i="5" s="1"/>
  <c r="AH970" i="5"/>
  <c r="AB970" i="5"/>
  <c r="AD970" i="5" s="1"/>
  <c r="A970" i="5"/>
  <c r="AI969" i="5"/>
  <c r="AJ969" i="5" s="1"/>
  <c r="AH969" i="5"/>
  <c r="AB969" i="5"/>
  <c r="AC969" i="5" s="1"/>
  <c r="AE969" i="5" s="1"/>
  <c r="AF969" i="5" s="1"/>
  <c r="A969" i="5"/>
  <c r="AI968" i="5"/>
  <c r="AJ968" i="5" s="1"/>
  <c r="AH968" i="5"/>
  <c r="AB968" i="5"/>
  <c r="AD968" i="5" s="1"/>
  <c r="A968" i="5"/>
  <c r="AI967" i="5"/>
  <c r="AJ967" i="5" s="1"/>
  <c r="AH967" i="5"/>
  <c r="AB967" i="5"/>
  <c r="A967" i="5"/>
  <c r="AI966" i="5"/>
  <c r="AJ966" i="5" s="1"/>
  <c r="AH966" i="5"/>
  <c r="AB966" i="5"/>
  <c r="AD966" i="5" s="1"/>
  <c r="A966" i="5"/>
  <c r="AI965" i="5"/>
  <c r="AJ965" i="5" s="1"/>
  <c r="AH965" i="5"/>
  <c r="AB965" i="5"/>
  <c r="A965" i="5"/>
  <c r="AI964" i="5"/>
  <c r="AJ964" i="5" s="1"/>
  <c r="AH964" i="5"/>
  <c r="AC964" i="5"/>
  <c r="AE964" i="5" s="1"/>
  <c r="AF964" i="5" s="1"/>
  <c r="AB964" i="5"/>
  <c r="AD964" i="5" s="1"/>
  <c r="A964" i="5"/>
  <c r="AI963" i="5"/>
  <c r="AJ963" i="5" s="1"/>
  <c r="AH963" i="5"/>
  <c r="AB963" i="5"/>
  <c r="A963" i="5"/>
  <c r="AI962" i="5"/>
  <c r="AJ962" i="5" s="1"/>
  <c r="AH962" i="5"/>
  <c r="AB962" i="5"/>
  <c r="AD962" i="5" s="1"/>
  <c r="A962" i="5"/>
  <c r="AI961" i="5"/>
  <c r="AJ961" i="5" s="1"/>
  <c r="AH961" i="5"/>
  <c r="AB961" i="5"/>
  <c r="A961" i="5"/>
  <c r="AI960" i="5"/>
  <c r="AJ960" i="5" s="1"/>
  <c r="AH960" i="5"/>
  <c r="AB960" i="5"/>
  <c r="AC960" i="5" s="1"/>
  <c r="AE960" i="5" s="1"/>
  <c r="AF960" i="5" s="1"/>
  <c r="A960" i="5"/>
  <c r="AI959" i="5"/>
  <c r="AJ959" i="5" s="1"/>
  <c r="AH959" i="5"/>
  <c r="AB959" i="5"/>
  <c r="A959" i="5"/>
  <c r="AI958" i="5"/>
  <c r="AJ958" i="5" s="1"/>
  <c r="AH958" i="5"/>
  <c r="AB958" i="5"/>
  <c r="AC958" i="5" s="1"/>
  <c r="AE958" i="5" s="1"/>
  <c r="AF958" i="5" s="1"/>
  <c r="A958" i="5"/>
  <c r="AI957" i="5"/>
  <c r="AJ957" i="5" s="1"/>
  <c r="AH957" i="5"/>
  <c r="AB957" i="5"/>
  <c r="A957" i="5"/>
  <c r="AI956" i="5"/>
  <c r="AJ956" i="5" s="1"/>
  <c r="AH956" i="5"/>
  <c r="AB956" i="5"/>
  <c r="AC956" i="5" s="1"/>
  <c r="AE956" i="5" s="1"/>
  <c r="AF956" i="5" s="1"/>
  <c r="A956" i="5"/>
  <c r="AI955" i="5"/>
  <c r="AJ955" i="5" s="1"/>
  <c r="AH955" i="5"/>
  <c r="AB955" i="5"/>
  <c r="A955" i="5"/>
  <c r="AI954" i="5"/>
  <c r="AJ954" i="5" s="1"/>
  <c r="AH954" i="5"/>
  <c r="AD954" i="5"/>
  <c r="AB954" i="5"/>
  <c r="AC954" i="5" s="1"/>
  <c r="AE954" i="5" s="1"/>
  <c r="AF954" i="5" s="1"/>
  <c r="A954" i="5"/>
  <c r="AI953" i="5"/>
  <c r="AJ953" i="5" s="1"/>
  <c r="AH953" i="5"/>
  <c r="AB953" i="5"/>
  <c r="A953" i="5"/>
  <c r="AI952" i="5"/>
  <c r="AJ952" i="5" s="1"/>
  <c r="AH952" i="5"/>
  <c r="AB952" i="5"/>
  <c r="AC952" i="5" s="1"/>
  <c r="AE952" i="5" s="1"/>
  <c r="AF952" i="5" s="1"/>
  <c r="A952" i="5"/>
  <c r="AI951" i="5"/>
  <c r="AJ951" i="5" s="1"/>
  <c r="AH951" i="5"/>
  <c r="AB951" i="5"/>
  <c r="AD951" i="5" s="1"/>
  <c r="A951" i="5"/>
  <c r="AI950" i="5"/>
  <c r="AJ950" i="5" s="1"/>
  <c r="AH950" i="5"/>
  <c r="AB950" i="5"/>
  <c r="AC950" i="5" s="1"/>
  <c r="AE950" i="5" s="1"/>
  <c r="AF950" i="5" s="1"/>
  <c r="A950" i="5"/>
  <c r="AI949" i="5"/>
  <c r="AJ949" i="5" s="1"/>
  <c r="AH949" i="5"/>
  <c r="AB949" i="5"/>
  <c r="AD949" i="5" s="1"/>
  <c r="A949" i="5"/>
  <c r="AI948" i="5"/>
  <c r="AJ948" i="5" s="1"/>
  <c r="AH948" i="5"/>
  <c r="AB948" i="5"/>
  <c r="AC948" i="5" s="1"/>
  <c r="AE948" i="5" s="1"/>
  <c r="AF948" i="5" s="1"/>
  <c r="A948" i="5"/>
  <c r="AI947" i="5"/>
  <c r="AJ947" i="5" s="1"/>
  <c r="AH947" i="5"/>
  <c r="AB947" i="5"/>
  <c r="AD947" i="5" s="1"/>
  <c r="A947" i="5"/>
  <c r="AI946" i="5"/>
  <c r="AJ946" i="5" s="1"/>
  <c r="AH946" i="5"/>
  <c r="AB946" i="5"/>
  <c r="AC946" i="5" s="1"/>
  <c r="AE946" i="5" s="1"/>
  <c r="AF946" i="5" s="1"/>
  <c r="A946" i="5"/>
  <c r="AI945" i="5"/>
  <c r="AJ945" i="5" s="1"/>
  <c r="AH945" i="5"/>
  <c r="AB945" i="5"/>
  <c r="AC945" i="5" s="1"/>
  <c r="AE945" i="5" s="1"/>
  <c r="AF945" i="5" s="1"/>
  <c r="A945" i="5"/>
  <c r="AI944" i="5"/>
  <c r="AJ944" i="5" s="1"/>
  <c r="AH944" i="5"/>
  <c r="AB944" i="5"/>
  <c r="AC944" i="5" s="1"/>
  <c r="AE944" i="5" s="1"/>
  <c r="AF944" i="5" s="1"/>
  <c r="A944" i="5"/>
  <c r="AI943" i="5"/>
  <c r="AJ943" i="5" s="1"/>
  <c r="AH943" i="5"/>
  <c r="AB943" i="5"/>
  <c r="AD943" i="5" s="1"/>
  <c r="A943" i="5"/>
  <c r="AI942" i="5"/>
  <c r="AJ942" i="5" s="1"/>
  <c r="AH942" i="5"/>
  <c r="AB942" i="5"/>
  <c r="AC942" i="5" s="1"/>
  <c r="AE942" i="5" s="1"/>
  <c r="AF942" i="5" s="1"/>
  <c r="A942" i="5"/>
  <c r="AI941" i="5"/>
  <c r="AJ941" i="5" s="1"/>
  <c r="AH941" i="5"/>
  <c r="AB941" i="5"/>
  <c r="AD941" i="5" s="1"/>
  <c r="A941" i="5"/>
  <c r="AI940" i="5"/>
  <c r="AJ940" i="5" s="1"/>
  <c r="AH940" i="5"/>
  <c r="AB940" i="5"/>
  <c r="AC940" i="5" s="1"/>
  <c r="AE940" i="5" s="1"/>
  <c r="AF940" i="5" s="1"/>
  <c r="A940" i="5"/>
  <c r="AI939" i="5"/>
  <c r="AJ939" i="5" s="1"/>
  <c r="AH939" i="5"/>
  <c r="AB939" i="5"/>
  <c r="AC939" i="5" s="1"/>
  <c r="AE939" i="5" s="1"/>
  <c r="AF939" i="5" s="1"/>
  <c r="A939" i="5"/>
  <c r="AI938" i="5"/>
  <c r="AJ938" i="5" s="1"/>
  <c r="AH938" i="5"/>
  <c r="AB938" i="5"/>
  <c r="AD938" i="5" s="1"/>
  <c r="A938" i="5"/>
  <c r="AI937" i="5"/>
  <c r="AJ937" i="5" s="1"/>
  <c r="AH937" i="5"/>
  <c r="AB937" i="5"/>
  <c r="AC937" i="5" s="1"/>
  <c r="AE937" i="5" s="1"/>
  <c r="AF937" i="5" s="1"/>
  <c r="A937" i="5"/>
  <c r="AI936" i="5"/>
  <c r="AJ936" i="5" s="1"/>
  <c r="AH936" i="5"/>
  <c r="AB936" i="5"/>
  <c r="AD936" i="5" s="1"/>
  <c r="A936" i="5"/>
  <c r="AI935" i="5"/>
  <c r="AJ935" i="5" s="1"/>
  <c r="AH935" i="5"/>
  <c r="AB935" i="5"/>
  <c r="AC935" i="5" s="1"/>
  <c r="AE935" i="5" s="1"/>
  <c r="AF935" i="5" s="1"/>
  <c r="A935" i="5"/>
  <c r="AI934" i="5"/>
  <c r="AJ934" i="5" s="1"/>
  <c r="AH934" i="5"/>
  <c r="AB934" i="5"/>
  <c r="AD934" i="5" s="1"/>
  <c r="A934" i="5"/>
  <c r="AI933" i="5"/>
  <c r="AJ933" i="5" s="1"/>
  <c r="AH933" i="5"/>
  <c r="AB933" i="5"/>
  <c r="AC933" i="5" s="1"/>
  <c r="AE933" i="5" s="1"/>
  <c r="AF933" i="5" s="1"/>
  <c r="A933" i="5"/>
  <c r="AI932" i="5"/>
  <c r="AJ932" i="5" s="1"/>
  <c r="AH932" i="5"/>
  <c r="AB932" i="5"/>
  <c r="AD932" i="5" s="1"/>
  <c r="A932" i="5"/>
  <c r="AI931" i="5"/>
  <c r="AJ931" i="5" s="1"/>
  <c r="AH931" i="5"/>
  <c r="AB931" i="5"/>
  <c r="AC931" i="5" s="1"/>
  <c r="AE931" i="5" s="1"/>
  <c r="AF931" i="5" s="1"/>
  <c r="A931" i="5"/>
  <c r="AI930" i="5"/>
  <c r="AJ930" i="5" s="1"/>
  <c r="AH930" i="5"/>
  <c r="AB930" i="5"/>
  <c r="A930" i="5"/>
  <c r="AI929" i="5"/>
  <c r="AJ929" i="5" s="1"/>
  <c r="AH929" i="5"/>
  <c r="AB929" i="5"/>
  <c r="AC929" i="5" s="1"/>
  <c r="AE929" i="5" s="1"/>
  <c r="AF929" i="5" s="1"/>
  <c r="A929" i="5"/>
  <c r="AI928" i="5"/>
  <c r="AJ928" i="5" s="1"/>
  <c r="AH928" i="5"/>
  <c r="AB928" i="5"/>
  <c r="A928" i="5"/>
  <c r="AI927" i="5"/>
  <c r="AJ927" i="5" s="1"/>
  <c r="AH927" i="5"/>
  <c r="AB927" i="5"/>
  <c r="AC927" i="5" s="1"/>
  <c r="AE927" i="5" s="1"/>
  <c r="AF927" i="5" s="1"/>
  <c r="A927" i="5"/>
  <c r="AI926" i="5"/>
  <c r="AJ926" i="5" s="1"/>
  <c r="AH926" i="5"/>
  <c r="AB926" i="5"/>
  <c r="A926" i="5"/>
  <c r="AI925" i="5"/>
  <c r="AJ925" i="5" s="1"/>
  <c r="AH925" i="5"/>
  <c r="AD925" i="5"/>
  <c r="AG925" i="5" s="1"/>
  <c r="AB925" i="5"/>
  <c r="AC925" i="5" s="1"/>
  <c r="AE925" i="5" s="1"/>
  <c r="AF925" i="5" s="1"/>
  <c r="A925" i="5"/>
  <c r="AI924" i="5"/>
  <c r="AJ924" i="5" s="1"/>
  <c r="AH924" i="5"/>
  <c r="AB924" i="5"/>
  <c r="A924" i="5"/>
  <c r="AI923" i="5"/>
  <c r="AJ923" i="5" s="1"/>
  <c r="AH923" i="5"/>
  <c r="AB923" i="5"/>
  <c r="AD923" i="5" s="1"/>
  <c r="A923" i="5"/>
  <c r="AI922" i="5"/>
  <c r="AJ922" i="5" s="1"/>
  <c r="AH922" i="5"/>
  <c r="AB922" i="5"/>
  <c r="AD922" i="5" s="1"/>
  <c r="A922" i="5"/>
  <c r="AI921" i="5"/>
  <c r="AJ921" i="5" s="1"/>
  <c r="AH921" i="5"/>
  <c r="AB921" i="5"/>
  <c r="AD921" i="5" s="1"/>
  <c r="A921" i="5"/>
  <c r="AI920" i="5"/>
  <c r="AJ920" i="5" s="1"/>
  <c r="AH920" i="5"/>
  <c r="AB920" i="5"/>
  <c r="AC920" i="5" s="1"/>
  <c r="AE920" i="5" s="1"/>
  <c r="AF920" i="5" s="1"/>
  <c r="A920" i="5"/>
  <c r="AI919" i="5"/>
  <c r="AJ919" i="5" s="1"/>
  <c r="AH919" i="5"/>
  <c r="AB919" i="5"/>
  <c r="AD919" i="5" s="1"/>
  <c r="A919" i="5"/>
  <c r="AI918" i="5"/>
  <c r="AJ918" i="5" s="1"/>
  <c r="AH918" i="5"/>
  <c r="AD918" i="5"/>
  <c r="AB918" i="5"/>
  <c r="AC918" i="5" s="1"/>
  <c r="AE918" i="5" s="1"/>
  <c r="AF918" i="5" s="1"/>
  <c r="A918" i="5"/>
  <c r="AI917" i="5"/>
  <c r="AJ917" i="5" s="1"/>
  <c r="AH917" i="5"/>
  <c r="AB917" i="5"/>
  <c r="AC917" i="5" s="1"/>
  <c r="AE917" i="5" s="1"/>
  <c r="AF917" i="5" s="1"/>
  <c r="A917" i="5"/>
  <c r="AI916" i="5"/>
  <c r="AJ916" i="5" s="1"/>
  <c r="AH916" i="5"/>
  <c r="AB916" i="5"/>
  <c r="AC916" i="5" s="1"/>
  <c r="AE916" i="5" s="1"/>
  <c r="AF916" i="5" s="1"/>
  <c r="A916" i="5"/>
  <c r="AI915" i="5"/>
  <c r="AJ915" i="5" s="1"/>
  <c r="AH915" i="5"/>
  <c r="AB915" i="5"/>
  <c r="A915" i="5"/>
  <c r="AI914" i="5"/>
  <c r="AJ914" i="5" s="1"/>
  <c r="AH914" i="5"/>
  <c r="AB914" i="5"/>
  <c r="AC914" i="5" s="1"/>
  <c r="AE914" i="5" s="1"/>
  <c r="AF914" i="5" s="1"/>
  <c r="A914" i="5"/>
  <c r="AI913" i="5"/>
  <c r="AJ913" i="5" s="1"/>
  <c r="AH913" i="5"/>
  <c r="AB913" i="5"/>
  <c r="A913" i="5"/>
  <c r="AI912" i="5"/>
  <c r="AJ912" i="5" s="1"/>
  <c r="AH912" i="5"/>
  <c r="AB912" i="5"/>
  <c r="AC912" i="5" s="1"/>
  <c r="AE912" i="5" s="1"/>
  <c r="AF912" i="5" s="1"/>
  <c r="A912" i="5"/>
  <c r="AI911" i="5"/>
  <c r="AJ911" i="5" s="1"/>
  <c r="AH911" i="5"/>
  <c r="AB911" i="5"/>
  <c r="A911" i="5"/>
  <c r="AI910" i="5"/>
  <c r="AJ910" i="5" s="1"/>
  <c r="AH910" i="5"/>
  <c r="AB910" i="5"/>
  <c r="AC910" i="5" s="1"/>
  <c r="AE910" i="5" s="1"/>
  <c r="AF910" i="5" s="1"/>
  <c r="A910" i="5"/>
  <c r="AI909" i="5"/>
  <c r="AJ909" i="5" s="1"/>
  <c r="AH909" i="5"/>
  <c r="AB909" i="5"/>
  <c r="AD909" i="5" s="1"/>
  <c r="A909" i="5"/>
  <c r="AI908" i="5"/>
  <c r="AJ908" i="5" s="1"/>
  <c r="AH908" i="5"/>
  <c r="AB908" i="5"/>
  <c r="AC908" i="5" s="1"/>
  <c r="AE908" i="5" s="1"/>
  <c r="AF908" i="5" s="1"/>
  <c r="A908" i="5"/>
  <c r="AI907" i="5"/>
  <c r="AJ907" i="5" s="1"/>
  <c r="AH907" i="5"/>
  <c r="AB907" i="5"/>
  <c r="AD907" i="5" s="1"/>
  <c r="A907" i="5"/>
  <c r="AI906" i="5"/>
  <c r="AJ906" i="5" s="1"/>
  <c r="AH906" i="5"/>
  <c r="AB906" i="5"/>
  <c r="AC906" i="5" s="1"/>
  <c r="AE906" i="5" s="1"/>
  <c r="AF906" i="5" s="1"/>
  <c r="A906" i="5"/>
  <c r="AI905" i="5"/>
  <c r="AJ905" i="5" s="1"/>
  <c r="AH905" i="5"/>
  <c r="AB905" i="5"/>
  <c r="AC905" i="5" s="1"/>
  <c r="AE905" i="5" s="1"/>
  <c r="AF905" i="5" s="1"/>
  <c r="A905" i="5"/>
  <c r="AI904" i="5"/>
  <c r="AJ904" i="5" s="1"/>
  <c r="AH904" i="5"/>
  <c r="AB904" i="5"/>
  <c r="A904" i="5"/>
  <c r="AI903" i="5"/>
  <c r="AJ903" i="5" s="1"/>
  <c r="AH903" i="5"/>
  <c r="AB903" i="5"/>
  <c r="AC903" i="5" s="1"/>
  <c r="AE903" i="5" s="1"/>
  <c r="AF903" i="5" s="1"/>
  <c r="A903" i="5"/>
  <c r="AI902" i="5"/>
  <c r="AJ902" i="5" s="1"/>
  <c r="AH902" i="5"/>
  <c r="AB902" i="5"/>
  <c r="A902" i="5"/>
  <c r="AI901" i="5"/>
  <c r="AJ901" i="5" s="1"/>
  <c r="AH901" i="5"/>
  <c r="AB901" i="5"/>
  <c r="AC901" i="5" s="1"/>
  <c r="AE901" i="5" s="1"/>
  <c r="AF901" i="5" s="1"/>
  <c r="A901" i="5"/>
  <c r="AI900" i="5"/>
  <c r="AJ900" i="5" s="1"/>
  <c r="AH900" i="5"/>
  <c r="AB900" i="5"/>
  <c r="A900" i="5"/>
  <c r="AI899" i="5"/>
  <c r="AJ899" i="5" s="1"/>
  <c r="AH899" i="5"/>
  <c r="AB899" i="5"/>
  <c r="AD899" i="5" s="1"/>
  <c r="A899" i="5"/>
  <c r="AI898" i="5"/>
  <c r="AJ898" i="5" s="1"/>
  <c r="AH898" i="5"/>
  <c r="AB898" i="5"/>
  <c r="AD898" i="5" s="1"/>
  <c r="A898" i="5"/>
  <c r="AI897" i="5"/>
  <c r="AJ897" i="5" s="1"/>
  <c r="AH897" i="5"/>
  <c r="AB897" i="5"/>
  <c r="AD897" i="5" s="1"/>
  <c r="A897" i="5"/>
  <c r="AI896" i="5"/>
  <c r="AJ896" i="5" s="1"/>
  <c r="AH896" i="5"/>
  <c r="AB896" i="5"/>
  <c r="AD896" i="5" s="1"/>
  <c r="A896" i="5"/>
  <c r="AI895" i="5"/>
  <c r="AJ895" i="5" s="1"/>
  <c r="AH895" i="5"/>
  <c r="AB895" i="5"/>
  <c r="AC895" i="5" s="1"/>
  <c r="AE895" i="5" s="1"/>
  <c r="AF895" i="5" s="1"/>
  <c r="A895" i="5"/>
  <c r="AI894" i="5"/>
  <c r="AJ894" i="5" s="1"/>
  <c r="AH894" i="5"/>
  <c r="AB894" i="5"/>
  <c r="AD894" i="5" s="1"/>
  <c r="A894" i="5"/>
  <c r="AI893" i="5"/>
  <c r="AJ893" i="5" s="1"/>
  <c r="AH893" i="5"/>
  <c r="AB893" i="5"/>
  <c r="AC893" i="5" s="1"/>
  <c r="AE893" i="5" s="1"/>
  <c r="AF893" i="5" s="1"/>
  <c r="A893" i="5"/>
  <c r="AI892" i="5"/>
  <c r="AJ892" i="5" s="1"/>
  <c r="AH892" i="5"/>
  <c r="AB892" i="5"/>
  <c r="AC892" i="5" s="1"/>
  <c r="AE892" i="5" s="1"/>
  <c r="AF892" i="5" s="1"/>
  <c r="A892" i="5"/>
  <c r="AI891" i="5"/>
  <c r="AJ891" i="5" s="1"/>
  <c r="AH891" i="5"/>
  <c r="AB891" i="5"/>
  <c r="AC891" i="5" s="1"/>
  <c r="AE891" i="5" s="1"/>
  <c r="AF891" i="5" s="1"/>
  <c r="A891" i="5"/>
  <c r="AI890" i="5"/>
  <c r="AJ890" i="5" s="1"/>
  <c r="AH890" i="5"/>
  <c r="AB890" i="5"/>
  <c r="AC890" i="5" s="1"/>
  <c r="AE890" i="5" s="1"/>
  <c r="AF890" i="5" s="1"/>
  <c r="A890" i="5"/>
  <c r="AI889" i="5"/>
  <c r="AJ889" i="5" s="1"/>
  <c r="AH889" i="5"/>
  <c r="AB889" i="5"/>
  <c r="AC889" i="5" s="1"/>
  <c r="AE889" i="5" s="1"/>
  <c r="AF889" i="5" s="1"/>
  <c r="A889" i="5"/>
  <c r="AI888" i="5"/>
  <c r="AJ888" i="5" s="1"/>
  <c r="AH888" i="5"/>
  <c r="AB888" i="5"/>
  <c r="AD888" i="5" s="1"/>
  <c r="A888" i="5"/>
  <c r="AI887" i="5"/>
  <c r="AJ887" i="5" s="1"/>
  <c r="AH887" i="5"/>
  <c r="AB887" i="5"/>
  <c r="AC887" i="5" s="1"/>
  <c r="AE887" i="5" s="1"/>
  <c r="AF887" i="5" s="1"/>
  <c r="A887" i="5"/>
  <c r="AI886" i="5"/>
  <c r="AJ886" i="5" s="1"/>
  <c r="AH886" i="5"/>
  <c r="AB886" i="5"/>
  <c r="AD886" i="5" s="1"/>
  <c r="A886" i="5"/>
  <c r="AI885" i="5"/>
  <c r="AJ885" i="5" s="1"/>
  <c r="AH885" i="5"/>
  <c r="AB885" i="5"/>
  <c r="AC885" i="5" s="1"/>
  <c r="AE885" i="5" s="1"/>
  <c r="AF885" i="5" s="1"/>
  <c r="A885" i="5"/>
  <c r="AI884" i="5"/>
  <c r="AJ884" i="5" s="1"/>
  <c r="AH884" i="5"/>
  <c r="AB884" i="5"/>
  <c r="AD884" i="5" s="1"/>
  <c r="A884" i="5"/>
  <c r="AI883" i="5"/>
  <c r="AJ883" i="5" s="1"/>
  <c r="AH883" i="5"/>
  <c r="AB883" i="5"/>
  <c r="AC883" i="5" s="1"/>
  <c r="AE883" i="5" s="1"/>
  <c r="AF883" i="5" s="1"/>
  <c r="A883" i="5"/>
  <c r="AI882" i="5"/>
  <c r="AJ882" i="5" s="1"/>
  <c r="AH882" i="5"/>
  <c r="AB882" i="5"/>
  <c r="AC882" i="5" s="1"/>
  <c r="AE882" i="5" s="1"/>
  <c r="AF882" i="5" s="1"/>
  <c r="A882" i="5"/>
  <c r="AI881" i="5"/>
  <c r="AJ881" i="5" s="1"/>
  <c r="AH881" i="5"/>
  <c r="AB881" i="5"/>
  <c r="AC881" i="5" s="1"/>
  <c r="AE881" i="5" s="1"/>
  <c r="AF881" i="5" s="1"/>
  <c r="A881" i="5"/>
  <c r="AI880" i="5"/>
  <c r="AJ880" i="5" s="1"/>
  <c r="AH880" i="5"/>
  <c r="AB880" i="5"/>
  <c r="AD880" i="5" s="1"/>
  <c r="A880" i="5"/>
  <c r="AI879" i="5"/>
  <c r="AJ879" i="5" s="1"/>
  <c r="AH879" i="5"/>
  <c r="AB879" i="5"/>
  <c r="AC879" i="5" s="1"/>
  <c r="AE879" i="5" s="1"/>
  <c r="AF879" i="5" s="1"/>
  <c r="A879" i="5"/>
  <c r="AI878" i="5"/>
  <c r="AJ878" i="5" s="1"/>
  <c r="AH878" i="5"/>
  <c r="AB878" i="5"/>
  <c r="AD878" i="5" s="1"/>
  <c r="A878" i="5"/>
  <c r="AI877" i="5"/>
  <c r="AJ877" i="5" s="1"/>
  <c r="AH877" i="5"/>
  <c r="AB877" i="5"/>
  <c r="AD877" i="5" s="1"/>
  <c r="A877" i="5"/>
  <c r="AI876" i="5"/>
  <c r="AJ876" i="5" s="1"/>
  <c r="AH876" i="5"/>
  <c r="AB876" i="5"/>
  <c r="AD876" i="5" s="1"/>
  <c r="A876" i="5"/>
  <c r="AI875" i="5"/>
  <c r="AJ875" i="5" s="1"/>
  <c r="AH875" i="5"/>
  <c r="AB875" i="5"/>
  <c r="AD875" i="5" s="1"/>
  <c r="A875" i="5"/>
  <c r="AI874" i="5"/>
  <c r="AJ874" i="5" s="1"/>
  <c r="AH874" i="5"/>
  <c r="AB874" i="5"/>
  <c r="AD874" i="5" s="1"/>
  <c r="A874" i="5"/>
  <c r="AI873" i="5"/>
  <c r="AJ873" i="5" s="1"/>
  <c r="AH873" i="5"/>
  <c r="AB873" i="5"/>
  <c r="AD873" i="5" s="1"/>
  <c r="A873" i="5"/>
  <c r="AI872" i="5"/>
  <c r="AJ872" i="5" s="1"/>
  <c r="AH872" i="5"/>
  <c r="AB872" i="5"/>
  <c r="AC872" i="5" s="1"/>
  <c r="AE872" i="5" s="1"/>
  <c r="AF872" i="5" s="1"/>
  <c r="A872" i="5"/>
  <c r="AI871" i="5"/>
  <c r="AJ871" i="5" s="1"/>
  <c r="AH871" i="5"/>
  <c r="AB871" i="5"/>
  <c r="AD871" i="5" s="1"/>
  <c r="A871" i="5"/>
  <c r="AI870" i="5"/>
  <c r="AJ870" i="5" s="1"/>
  <c r="AH870" i="5"/>
  <c r="AB870" i="5"/>
  <c r="AC870" i="5" s="1"/>
  <c r="AE870" i="5" s="1"/>
  <c r="AF870" i="5" s="1"/>
  <c r="A870" i="5"/>
  <c r="AI869" i="5"/>
  <c r="AJ869" i="5" s="1"/>
  <c r="AH869" i="5"/>
  <c r="AB869" i="5"/>
  <c r="AC869" i="5" s="1"/>
  <c r="AE869" i="5" s="1"/>
  <c r="AF869" i="5" s="1"/>
  <c r="A869" i="5"/>
  <c r="AI868" i="5"/>
  <c r="AJ868" i="5" s="1"/>
  <c r="AH868" i="5"/>
  <c r="AE868" i="5"/>
  <c r="AF868" i="5" s="1"/>
  <c r="AB868" i="5"/>
  <c r="AC868" i="5" s="1"/>
  <c r="A868" i="5"/>
  <c r="AI867" i="5"/>
  <c r="AJ867" i="5" s="1"/>
  <c r="AH867" i="5"/>
  <c r="AB867" i="5"/>
  <c r="AC867" i="5" s="1"/>
  <c r="AE867" i="5" s="1"/>
  <c r="AF867" i="5" s="1"/>
  <c r="A867" i="5"/>
  <c r="AI866" i="5"/>
  <c r="AJ866" i="5" s="1"/>
  <c r="AH866" i="5"/>
  <c r="AB866" i="5"/>
  <c r="AC866" i="5" s="1"/>
  <c r="AE866" i="5" s="1"/>
  <c r="AF866" i="5" s="1"/>
  <c r="A866" i="5"/>
  <c r="AI865" i="5"/>
  <c r="AJ865" i="5" s="1"/>
  <c r="AH865" i="5"/>
  <c r="AB865" i="5"/>
  <c r="A865" i="5"/>
  <c r="AI864" i="5"/>
  <c r="AJ864" i="5" s="1"/>
  <c r="AH864" i="5"/>
  <c r="AB864" i="5"/>
  <c r="A864" i="5"/>
  <c r="AI863" i="5"/>
  <c r="AJ863" i="5" s="1"/>
  <c r="AH863" i="5"/>
  <c r="AB863" i="5"/>
  <c r="AD863" i="5" s="1"/>
  <c r="A863" i="5"/>
  <c r="AI862" i="5"/>
  <c r="AJ862" i="5" s="1"/>
  <c r="AH862" i="5"/>
  <c r="AB862" i="5"/>
  <c r="AD862" i="5" s="1"/>
  <c r="A862" i="5"/>
  <c r="AI861" i="5"/>
  <c r="AJ861" i="5" s="1"/>
  <c r="AH861" i="5"/>
  <c r="AB861" i="5"/>
  <c r="AD861" i="5" s="1"/>
  <c r="A861" i="5"/>
  <c r="AI860" i="5"/>
  <c r="AJ860" i="5" s="1"/>
  <c r="AH860" i="5"/>
  <c r="AB860" i="5"/>
  <c r="AD860" i="5" s="1"/>
  <c r="A860" i="5"/>
  <c r="AI859" i="5"/>
  <c r="AJ859" i="5" s="1"/>
  <c r="AH859" i="5"/>
  <c r="AB859" i="5"/>
  <c r="AD859" i="5" s="1"/>
  <c r="A859" i="5"/>
  <c r="AI858" i="5"/>
  <c r="AJ858" i="5" s="1"/>
  <c r="AH858" i="5"/>
  <c r="AB858" i="5"/>
  <c r="AD858" i="5" s="1"/>
  <c r="A858" i="5"/>
  <c r="AI857" i="5"/>
  <c r="AJ857" i="5" s="1"/>
  <c r="AH857" i="5"/>
  <c r="AB857" i="5"/>
  <c r="A857" i="5"/>
  <c r="AI856" i="5"/>
  <c r="AJ856" i="5" s="1"/>
  <c r="AH856" i="5"/>
  <c r="AB856" i="5"/>
  <c r="AD856" i="5" s="1"/>
  <c r="A856" i="5"/>
  <c r="AI855" i="5"/>
  <c r="AJ855" i="5" s="1"/>
  <c r="AH855" i="5"/>
  <c r="AB855" i="5"/>
  <c r="AC855" i="5" s="1"/>
  <c r="AE855" i="5" s="1"/>
  <c r="AF855" i="5" s="1"/>
  <c r="A855" i="5"/>
  <c r="AI854" i="5"/>
  <c r="AJ854" i="5" s="1"/>
  <c r="AH854" i="5"/>
  <c r="AB854" i="5"/>
  <c r="AC854" i="5" s="1"/>
  <c r="AE854" i="5" s="1"/>
  <c r="AF854" i="5" s="1"/>
  <c r="A854" i="5"/>
  <c r="AI853" i="5"/>
  <c r="AJ853" i="5" s="1"/>
  <c r="AH853" i="5"/>
  <c r="AB853" i="5"/>
  <c r="AC853" i="5" s="1"/>
  <c r="AE853" i="5" s="1"/>
  <c r="AF853" i="5" s="1"/>
  <c r="A853" i="5"/>
  <c r="AI852" i="5"/>
  <c r="AJ852" i="5" s="1"/>
  <c r="AH852" i="5"/>
  <c r="AB852" i="5"/>
  <c r="AC852" i="5" s="1"/>
  <c r="AE852" i="5" s="1"/>
  <c r="AF852" i="5" s="1"/>
  <c r="A852" i="5"/>
  <c r="AI851" i="5"/>
  <c r="AJ851" i="5" s="1"/>
  <c r="AH851" i="5"/>
  <c r="AB851" i="5"/>
  <c r="AC851" i="5" s="1"/>
  <c r="AE851" i="5" s="1"/>
  <c r="AF851" i="5" s="1"/>
  <c r="A851" i="5"/>
  <c r="AI850" i="5"/>
  <c r="AJ850" i="5" s="1"/>
  <c r="AH850" i="5"/>
  <c r="AB850" i="5"/>
  <c r="A850" i="5"/>
  <c r="AI849" i="5"/>
  <c r="AJ849" i="5" s="1"/>
  <c r="AH849" i="5"/>
  <c r="AB849" i="5"/>
  <c r="A849" i="5"/>
  <c r="AI848" i="5"/>
  <c r="AJ848" i="5" s="1"/>
  <c r="AH848" i="5"/>
  <c r="AB848" i="5"/>
  <c r="AD848" i="5" s="1"/>
  <c r="A848" i="5"/>
  <c r="AI847" i="5"/>
  <c r="AJ847" i="5" s="1"/>
  <c r="AH847" i="5"/>
  <c r="AB847" i="5"/>
  <c r="AC847" i="5" s="1"/>
  <c r="AE847" i="5" s="1"/>
  <c r="AF847" i="5" s="1"/>
  <c r="A847" i="5"/>
  <c r="AI846" i="5"/>
  <c r="AJ846" i="5" s="1"/>
  <c r="AH846" i="5"/>
  <c r="AB846" i="5"/>
  <c r="AD846" i="5" s="1"/>
  <c r="A846" i="5"/>
  <c r="AI845" i="5"/>
  <c r="AJ845" i="5" s="1"/>
  <c r="AH845" i="5"/>
  <c r="AB845" i="5"/>
  <c r="AC845" i="5" s="1"/>
  <c r="AE845" i="5" s="1"/>
  <c r="AF845" i="5" s="1"/>
  <c r="A845" i="5"/>
  <c r="AI844" i="5"/>
  <c r="AJ844" i="5" s="1"/>
  <c r="AH844" i="5"/>
  <c r="AB844" i="5"/>
  <c r="AC844" i="5" s="1"/>
  <c r="AE844" i="5" s="1"/>
  <c r="AF844" i="5" s="1"/>
  <c r="A844" i="5"/>
  <c r="AI843" i="5"/>
  <c r="AJ843" i="5" s="1"/>
  <c r="AH843" i="5"/>
  <c r="AB843" i="5"/>
  <c r="AD843" i="5" s="1"/>
  <c r="A843" i="5"/>
  <c r="AI842" i="5"/>
  <c r="AJ842" i="5" s="1"/>
  <c r="AH842" i="5"/>
  <c r="AD842" i="5"/>
  <c r="AB842" i="5"/>
  <c r="AC842" i="5" s="1"/>
  <c r="AE842" i="5" s="1"/>
  <c r="AF842" i="5" s="1"/>
  <c r="A842" i="5"/>
  <c r="AI841" i="5"/>
  <c r="AJ841" i="5" s="1"/>
  <c r="AH841" i="5"/>
  <c r="AB841" i="5"/>
  <c r="AD841" i="5" s="1"/>
  <c r="A841" i="5"/>
  <c r="AI840" i="5"/>
  <c r="AJ840" i="5" s="1"/>
  <c r="AH840" i="5"/>
  <c r="AB840" i="5"/>
  <c r="AC840" i="5" s="1"/>
  <c r="AE840" i="5" s="1"/>
  <c r="AF840" i="5" s="1"/>
  <c r="A840" i="5"/>
  <c r="AI839" i="5"/>
  <c r="AJ839" i="5" s="1"/>
  <c r="AH839" i="5"/>
  <c r="AB839" i="5"/>
  <c r="AD839" i="5" s="1"/>
  <c r="A839" i="5"/>
  <c r="AI838" i="5"/>
  <c r="AJ838" i="5" s="1"/>
  <c r="AH838" i="5"/>
  <c r="AB838" i="5"/>
  <c r="AC838" i="5" s="1"/>
  <c r="AE838" i="5" s="1"/>
  <c r="AF838" i="5" s="1"/>
  <c r="A838" i="5"/>
  <c r="AI837" i="5"/>
  <c r="AJ837" i="5" s="1"/>
  <c r="AH837" i="5"/>
  <c r="AB837" i="5"/>
  <c r="AC837" i="5" s="1"/>
  <c r="AE837" i="5" s="1"/>
  <c r="AF837" i="5" s="1"/>
  <c r="A837" i="5"/>
  <c r="AI836" i="5"/>
  <c r="AJ836" i="5" s="1"/>
  <c r="AH836" i="5"/>
  <c r="AB836" i="5"/>
  <c r="AC836" i="5" s="1"/>
  <c r="AE836" i="5" s="1"/>
  <c r="AF836" i="5" s="1"/>
  <c r="A836" i="5"/>
  <c r="AI835" i="5"/>
  <c r="AJ835" i="5" s="1"/>
  <c r="AH835" i="5"/>
  <c r="AB835" i="5"/>
  <c r="A835" i="5"/>
  <c r="AI834" i="5"/>
  <c r="AJ834" i="5" s="1"/>
  <c r="AH834" i="5"/>
  <c r="AB834" i="5"/>
  <c r="AC834" i="5" s="1"/>
  <c r="AE834" i="5" s="1"/>
  <c r="AF834" i="5" s="1"/>
  <c r="A834" i="5"/>
  <c r="AI833" i="5"/>
  <c r="AJ833" i="5" s="1"/>
  <c r="AH833" i="5"/>
  <c r="AB833" i="5"/>
  <c r="AC833" i="5" s="1"/>
  <c r="AE833" i="5" s="1"/>
  <c r="AF833" i="5" s="1"/>
  <c r="A833" i="5"/>
  <c r="AI832" i="5"/>
  <c r="AJ832" i="5" s="1"/>
  <c r="AH832" i="5"/>
  <c r="AB832" i="5"/>
  <c r="AC832" i="5" s="1"/>
  <c r="AE832" i="5" s="1"/>
  <c r="AF832" i="5" s="1"/>
  <c r="A832" i="5"/>
  <c r="AI831" i="5"/>
  <c r="AJ831" i="5" s="1"/>
  <c r="AH831" i="5"/>
  <c r="AB831" i="5"/>
  <c r="AC831" i="5" s="1"/>
  <c r="AE831" i="5" s="1"/>
  <c r="AF831" i="5" s="1"/>
  <c r="A831" i="5"/>
  <c r="AI830" i="5"/>
  <c r="AJ830" i="5" s="1"/>
  <c r="AH830" i="5"/>
  <c r="AB830" i="5"/>
  <c r="AC830" i="5" s="1"/>
  <c r="AE830" i="5" s="1"/>
  <c r="AF830" i="5" s="1"/>
  <c r="A830" i="5"/>
  <c r="AI829" i="5"/>
  <c r="AJ829" i="5" s="1"/>
  <c r="AH829" i="5"/>
  <c r="AB829" i="5"/>
  <c r="AD829" i="5" s="1"/>
  <c r="A829" i="5"/>
  <c r="AI828" i="5"/>
  <c r="AJ828" i="5" s="1"/>
  <c r="AH828" i="5"/>
  <c r="AB828" i="5"/>
  <c r="AC828" i="5" s="1"/>
  <c r="AE828" i="5" s="1"/>
  <c r="AF828" i="5" s="1"/>
  <c r="A828" i="5"/>
  <c r="AI827" i="5"/>
  <c r="AJ827" i="5" s="1"/>
  <c r="AH827" i="5"/>
  <c r="AB827" i="5"/>
  <c r="AD827" i="5" s="1"/>
  <c r="A827" i="5"/>
  <c r="AI826" i="5"/>
  <c r="AJ826" i="5" s="1"/>
  <c r="AH826" i="5"/>
  <c r="AB826" i="5"/>
  <c r="AC826" i="5" s="1"/>
  <c r="AE826" i="5" s="1"/>
  <c r="AF826" i="5" s="1"/>
  <c r="A826" i="5"/>
  <c r="AI825" i="5"/>
  <c r="AJ825" i="5" s="1"/>
  <c r="AH825" i="5"/>
  <c r="AB825" i="5"/>
  <c r="A825" i="5"/>
  <c r="AI824" i="5"/>
  <c r="AJ824" i="5" s="1"/>
  <c r="AH824" i="5"/>
  <c r="AB824" i="5"/>
  <c r="AC824" i="5" s="1"/>
  <c r="AE824" i="5" s="1"/>
  <c r="AF824" i="5" s="1"/>
  <c r="A824" i="5"/>
  <c r="AI823" i="5"/>
  <c r="AJ823" i="5" s="1"/>
  <c r="AH823" i="5"/>
  <c r="AB823" i="5"/>
  <c r="AC823" i="5" s="1"/>
  <c r="AE823" i="5" s="1"/>
  <c r="AF823" i="5" s="1"/>
  <c r="A823" i="5"/>
  <c r="AI822" i="5"/>
  <c r="AJ822" i="5" s="1"/>
  <c r="AH822" i="5"/>
  <c r="AB822" i="5"/>
  <c r="AD822" i="5" s="1"/>
  <c r="A822" i="5"/>
  <c r="AI821" i="5"/>
  <c r="AJ821" i="5" s="1"/>
  <c r="AH821" i="5"/>
  <c r="AB821" i="5"/>
  <c r="AC821" i="5" s="1"/>
  <c r="AE821" i="5" s="1"/>
  <c r="AF821" i="5" s="1"/>
  <c r="A821" i="5"/>
  <c r="AI820" i="5"/>
  <c r="AJ820" i="5" s="1"/>
  <c r="AH820" i="5"/>
  <c r="AB820" i="5"/>
  <c r="AD820" i="5" s="1"/>
  <c r="A820" i="5"/>
  <c r="AI819" i="5"/>
  <c r="AJ819" i="5" s="1"/>
  <c r="AH819" i="5"/>
  <c r="AB819" i="5"/>
  <c r="AC819" i="5" s="1"/>
  <c r="AE819" i="5" s="1"/>
  <c r="AF819" i="5" s="1"/>
  <c r="A819" i="5"/>
  <c r="AI818" i="5"/>
  <c r="AJ818" i="5" s="1"/>
  <c r="AH818" i="5"/>
  <c r="AB818" i="5"/>
  <c r="A818" i="5"/>
  <c r="AI817" i="5"/>
  <c r="AJ817" i="5" s="1"/>
  <c r="AH817" i="5"/>
  <c r="AB817" i="5"/>
  <c r="AC817" i="5" s="1"/>
  <c r="AE817" i="5" s="1"/>
  <c r="AF817" i="5" s="1"/>
  <c r="A817" i="5"/>
  <c r="AI816" i="5"/>
  <c r="AJ816" i="5" s="1"/>
  <c r="AH816" i="5"/>
  <c r="AB816" i="5"/>
  <c r="A816" i="5"/>
  <c r="AI815" i="5"/>
  <c r="AJ815" i="5" s="1"/>
  <c r="AH815" i="5"/>
  <c r="AB815" i="5"/>
  <c r="AD815" i="5" s="1"/>
  <c r="A815" i="5"/>
  <c r="AI814" i="5"/>
  <c r="AJ814" i="5" s="1"/>
  <c r="AH814" i="5"/>
  <c r="AB814" i="5"/>
  <c r="A814" i="5"/>
  <c r="AI813" i="5"/>
  <c r="AJ813" i="5" s="1"/>
  <c r="AH813" i="5"/>
  <c r="AB813" i="5"/>
  <c r="AD813" i="5" s="1"/>
  <c r="A813" i="5"/>
  <c r="AI812" i="5"/>
  <c r="AJ812" i="5" s="1"/>
  <c r="AH812" i="5"/>
  <c r="AB812" i="5"/>
  <c r="A812" i="5"/>
  <c r="AI811" i="5"/>
  <c r="AJ811" i="5" s="1"/>
  <c r="AH811" i="5"/>
  <c r="AB811" i="5"/>
  <c r="AD811" i="5" s="1"/>
  <c r="A811" i="5"/>
  <c r="AI810" i="5"/>
  <c r="AJ810" i="5" s="1"/>
  <c r="AH810" i="5"/>
  <c r="AB810" i="5"/>
  <c r="AC810" i="5" s="1"/>
  <c r="AE810" i="5" s="1"/>
  <c r="AF810" i="5" s="1"/>
  <c r="A810" i="5"/>
  <c r="AI809" i="5"/>
  <c r="AJ809" i="5" s="1"/>
  <c r="AH809" i="5"/>
  <c r="AB809" i="5"/>
  <c r="AD809" i="5" s="1"/>
  <c r="A809" i="5"/>
  <c r="AI808" i="5"/>
  <c r="AJ808" i="5" s="1"/>
  <c r="AH808" i="5"/>
  <c r="AB808" i="5"/>
  <c r="AC808" i="5" s="1"/>
  <c r="AE808" i="5" s="1"/>
  <c r="AF808" i="5" s="1"/>
  <c r="A808" i="5"/>
  <c r="AI807" i="5"/>
  <c r="AJ807" i="5" s="1"/>
  <c r="AH807" i="5"/>
  <c r="AB807" i="5"/>
  <c r="AD807" i="5" s="1"/>
  <c r="A807" i="5"/>
  <c r="AI806" i="5"/>
  <c r="AJ806" i="5" s="1"/>
  <c r="AH806" i="5"/>
  <c r="AB806" i="5"/>
  <c r="AC806" i="5" s="1"/>
  <c r="AE806" i="5" s="1"/>
  <c r="AF806" i="5" s="1"/>
  <c r="A806" i="5"/>
  <c r="AI805" i="5"/>
  <c r="AJ805" i="5" s="1"/>
  <c r="AH805" i="5"/>
  <c r="AB805" i="5"/>
  <c r="AD805" i="5" s="1"/>
  <c r="A805" i="5"/>
  <c r="AI804" i="5"/>
  <c r="AJ804" i="5" s="1"/>
  <c r="AH804" i="5"/>
  <c r="AB804" i="5"/>
  <c r="A804" i="5"/>
  <c r="AI803" i="5"/>
  <c r="AJ803" i="5" s="1"/>
  <c r="AH803" i="5"/>
  <c r="AB803" i="5"/>
  <c r="A803" i="5"/>
  <c r="AI802" i="5"/>
  <c r="AJ802" i="5" s="1"/>
  <c r="AH802" i="5"/>
  <c r="AB802" i="5"/>
  <c r="AC802" i="5" s="1"/>
  <c r="AE802" i="5" s="1"/>
  <c r="AF802" i="5" s="1"/>
  <c r="A802" i="5"/>
  <c r="AI801" i="5"/>
  <c r="AJ801" i="5" s="1"/>
  <c r="AH801" i="5"/>
  <c r="AB801" i="5"/>
  <c r="A801" i="5"/>
  <c r="AI800" i="5"/>
  <c r="AJ800" i="5" s="1"/>
  <c r="AH800" i="5"/>
  <c r="AD800" i="5"/>
  <c r="AG800" i="5" s="1"/>
  <c r="AB800" i="5"/>
  <c r="AC800" i="5" s="1"/>
  <c r="AE800" i="5" s="1"/>
  <c r="AF800" i="5" s="1"/>
  <c r="A800" i="5"/>
  <c r="AI799" i="5"/>
  <c r="AJ799" i="5" s="1"/>
  <c r="AH799" i="5"/>
  <c r="AB799" i="5"/>
  <c r="A799" i="5"/>
  <c r="AI798" i="5"/>
  <c r="AJ798" i="5" s="1"/>
  <c r="AH798" i="5"/>
  <c r="AB798" i="5"/>
  <c r="AC798" i="5" s="1"/>
  <c r="AE798" i="5" s="1"/>
  <c r="AF798" i="5" s="1"/>
  <c r="A798" i="5"/>
  <c r="AI797" i="5"/>
  <c r="AJ797" i="5" s="1"/>
  <c r="AH797" i="5"/>
  <c r="AB797" i="5"/>
  <c r="A797" i="5"/>
  <c r="AI796" i="5"/>
  <c r="AJ796" i="5" s="1"/>
  <c r="AH796" i="5"/>
  <c r="AB796" i="5"/>
  <c r="A796" i="5"/>
  <c r="AI795" i="5"/>
  <c r="AJ795" i="5" s="1"/>
  <c r="AH795" i="5"/>
  <c r="AB795" i="5"/>
  <c r="A795" i="5"/>
  <c r="AI794" i="5"/>
  <c r="AJ794" i="5" s="1"/>
  <c r="AH794" i="5"/>
  <c r="AB794" i="5"/>
  <c r="AC794" i="5" s="1"/>
  <c r="AE794" i="5" s="1"/>
  <c r="AF794" i="5" s="1"/>
  <c r="A794" i="5"/>
  <c r="AI793" i="5"/>
  <c r="AJ793" i="5" s="1"/>
  <c r="AH793" i="5"/>
  <c r="AB793" i="5"/>
  <c r="A793" i="5"/>
  <c r="AI792" i="5"/>
  <c r="AJ792" i="5" s="1"/>
  <c r="AH792" i="5"/>
  <c r="AB792" i="5"/>
  <c r="AC792" i="5" s="1"/>
  <c r="AE792" i="5" s="1"/>
  <c r="AF792" i="5" s="1"/>
  <c r="A792" i="5"/>
  <c r="AI791" i="5"/>
  <c r="AJ791" i="5" s="1"/>
  <c r="AH791" i="5"/>
  <c r="AB791" i="5"/>
  <c r="AD791" i="5" s="1"/>
  <c r="A791" i="5"/>
  <c r="AI790" i="5"/>
  <c r="AJ790" i="5" s="1"/>
  <c r="AH790" i="5"/>
  <c r="AB790" i="5"/>
  <c r="AC790" i="5" s="1"/>
  <c r="AE790" i="5" s="1"/>
  <c r="AF790" i="5" s="1"/>
  <c r="A790" i="5"/>
  <c r="AI789" i="5"/>
  <c r="AJ789" i="5" s="1"/>
  <c r="AH789" i="5"/>
  <c r="AB789" i="5"/>
  <c r="AD789" i="5" s="1"/>
  <c r="A789" i="5"/>
  <c r="AI788" i="5"/>
  <c r="AJ788" i="5" s="1"/>
  <c r="AH788" i="5"/>
  <c r="AB788" i="5"/>
  <c r="A788" i="5"/>
  <c r="AI787" i="5"/>
  <c r="AJ787" i="5" s="1"/>
  <c r="AH787" i="5"/>
  <c r="AB787" i="5"/>
  <c r="AD787" i="5" s="1"/>
  <c r="A787" i="5"/>
  <c r="AI786" i="5"/>
  <c r="AJ786" i="5" s="1"/>
  <c r="AH786" i="5"/>
  <c r="AB786" i="5"/>
  <c r="A786" i="5"/>
  <c r="AI785" i="5"/>
  <c r="AJ785" i="5" s="1"/>
  <c r="AH785" i="5"/>
  <c r="AB785" i="5"/>
  <c r="AD785" i="5" s="1"/>
  <c r="A785" i="5"/>
  <c r="AI784" i="5"/>
  <c r="AJ784" i="5" s="1"/>
  <c r="AH784" i="5"/>
  <c r="AB784" i="5"/>
  <c r="A784" i="5"/>
  <c r="AI783" i="5"/>
  <c r="AJ783" i="5" s="1"/>
  <c r="AH783" i="5"/>
  <c r="AB783" i="5"/>
  <c r="AD783" i="5" s="1"/>
  <c r="A783" i="5"/>
  <c r="AI782" i="5"/>
  <c r="AJ782" i="5" s="1"/>
  <c r="AH782" i="5"/>
  <c r="AB782" i="5"/>
  <c r="AD782" i="5" s="1"/>
  <c r="A782" i="5"/>
  <c r="AI781" i="5"/>
  <c r="AJ781" i="5" s="1"/>
  <c r="AH781" i="5"/>
  <c r="AB781" i="5"/>
  <c r="AC781" i="5" s="1"/>
  <c r="AE781" i="5" s="1"/>
  <c r="AF781" i="5" s="1"/>
  <c r="A781" i="5"/>
  <c r="AI780" i="5"/>
  <c r="AJ780" i="5" s="1"/>
  <c r="AH780" i="5"/>
  <c r="AB780" i="5"/>
  <c r="AD780" i="5" s="1"/>
  <c r="A780" i="5"/>
  <c r="AI779" i="5"/>
  <c r="AJ779" i="5" s="1"/>
  <c r="AH779" i="5"/>
  <c r="AB779" i="5"/>
  <c r="AC779" i="5" s="1"/>
  <c r="AE779" i="5" s="1"/>
  <c r="AF779" i="5" s="1"/>
  <c r="A779" i="5"/>
  <c r="AI778" i="5"/>
  <c r="AJ778" i="5" s="1"/>
  <c r="AH778" i="5"/>
  <c r="AB778" i="5"/>
  <c r="AD778" i="5" s="1"/>
  <c r="A778" i="5"/>
  <c r="AI777" i="5"/>
  <c r="AJ777" i="5" s="1"/>
  <c r="AH777" i="5"/>
  <c r="AB777" i="5"/>
  <c r="AC777" i="5" s="1"/>
  <c r="AE777" i="5" s="1"/>
  <c r="AF777" i="5" s="1"/>
  <c r="A777" i="5"/>
  <c r="AI776" i="5"/>
  <c r="AJ776" i="5" s="1"/>
  <c r="AH776" i="5"/>
  <c r="AB776" i="5"/>
  <c r="AD776" i="5" s="1"/>
  <c r="A776" i="5"/>
  <c r="AI775" i="5"/>
  <c r="AJ775" i="5" s="1"/>
  <c r="AH775" i="5"/>
  <c r="AB775" i="5"/>
  <c r="A775" i="5"/>
  <c r="AI774" i="5"/>
  <c r="AJ774" i="5" s="1"/>
  <c r="AH774" i="5"/>
  <c r="AB774" i="5"/>
  <c r="AD774" i="5" s="1"/>
  <c r="A774" i="5"/>
  <c r="AI773" i="5"/>
  <c r="AJ773" i="5" s="1"/>
  <c r="AH773" i="5"/>
  <c r="AB773" i="5"/>
  <c r="A773" i="5"/>
  <c r="AI772" i="5"/>
  <c r="AJ772" i="5" s="1"/>
  <c r="AH772" i="5"/>
  <c r="AB772" i="5"/>
  <c r="AD772" i="5" s="1"/>
  <c r="A772" i="5"/>
  <c r="AI771" i="5"/>
  <c r="AJ771" i="5" s="1"/>
  <c r="AH771" i="5"/>
  <c r="AB771" i="5"/>
  <c r="AC771" i="5" s="1"/>
  <c r="AE771" i="5" s="1"/>
  <c r="AF771" i="5" s="1"/>
  <c r="A771" i="5"/>
  <c r="AI770" i="5"/>
  <c r="AJ770" i="5" s="1"/>
  <c r="AH770" i="5"/>
  <c r="AB770" i="5"/>
  <c r="AD770" i="5" s="1"/>
  <c r="A770" i="5"/>
  <c r="AI769" i="5"/>
  <c r="AJ769" i="5" s="1"/>
  <c r="AH769" i="5"/>
  <c r="AB769" i="5"/>
  <c r="AC769" i="5" s="1"/>
  <c r="AE769" i="5" s="1"/>
  <c r="AF769" i="5" s="1"/>
  <c r="A769" i="5"/>
  <c r="AI768" i="5"/>
  <c r="AJ768" i="5" s="1"/>
  <c r="AH768" i="5"/>
  <c r="AB768" i="5"/>
  <c r="AD768" i="5" s="1"/>
  <c r="A768" i="5"/>
  <c r="AI767" i="5"/>
  <c r="AJ767" i="5" s="1"/>
  <c r="AH767" i="5"/>
  <c r="AB767" i="5"/>
  <c r="A767" i="5"/>
  <c r="AI766" i="5"/>
  <c r="AJ766" i="5" s="1"/>
  <c r="AH766" i="5"/>
  <c r="AB766" i="5"/>
  <c r="AD766" i="5" s="1"/>
  <c r="A766" i="5"/>
  <c r="AI765" i="5"/>
  <c r="AJ765" i="5" s="1"/>
  <c r="AH765" i="5"/>
  <c r="AB765" i="5"/>
  <c r="A765" i="5"/>
  <c r="AI764" i="5"/>
  <c r="AJ764" i="5" s="1"/>
  <c r="AH764" i="5"/>
  <c r="AB764" i="5"/>
  <c r="AD764" i="5" s="1"/>
  <c r="A764" i="5"/>
  <c r="AI763" i="5"/>
  <c r="AJ763" i="5" s="1"/>
  <c r="AH763" i="5"/>
  <c r="AB763" i="5"/>
  <c r="A763" i="5"/>
  <c r="AI762" i="5"/>
  <c r="AJ762" i="5" s="1"/>
  <c r="AH762" i="5"/>
  <c r="AB762" i="5"/>
  <c r="AC762" i="5" s="1"/>
  <c r="AE762" i="5" s="1"/>
  <c r="AF762" i="5" s="1"/>
  <c r="A762" i="5"/>
  <c r="AI761" i="5"/>
  <c r="AJ761" i="5" s="1"/>
  <c r="AH761" i="5"/>
  <c r="AB761" i="5"/>
  <c r="AC761" i="5" s="1"/>
  <c r="AE761" i="5" s="1"/>
  <c r="AF761" i="5" s="1"/>
  <c r="A761" i="5"/>
  <c r="AI760" i="5"/>
  <c r="AJ760" i="5" s="1"/>
  <c r="AH760" i="5"/>
  <c r="AB760" i="5"/>
  <c r="A760" i="5"/>
  <c r="AI759" i="5"/>
  <c r="AJ759" i="5" s="1"/>
  <c r="AH759" i="5"/>
  <c r="AB759" i="5"/>
  <c r="AC759" i="5" s="1"/>
  <c r="AE759" i="5" s="1"/>
  <c r="AF759" i="5" s="1"/>
  <c r="A759" i="5"/>
  <c r="AI758" i="5"/>
  <c r="AJ758" i="5" s="1"/>
  <c r="AH758" i="5"/>
  <c r="AB758" i="5"/>
  <c r="AD758" i="5" s="1"/>
  <c r="A758" i="5"/>
  <c r="AI757" i="5"/>
  <c r="AJ757" i="5" s="1"/>
  <c r="AH757" i="5"/>
  <c r="AB757" i="5"/>
  <c r="A757" i="5"/>
  <c r="AI756" i="5"/>
  <c r="AJ756" i="5" s="1"/>
  <c r="AH756" i="5"/>
  <c r="AB756" i="5"/>
  <c r="AD756" i="5" s="1"/>
  <c r="A756" i="5"/>
  <c r="AI755" i="5"/>
  <c r="AJ755" i="5" s="1"/>
  <c r="AH755" i="5"/>
  <c r="AB755" i="5"/>
  <c r="A755" i="5"/>
  <c r="AI754" i="5"/>
  <c r="AJ754" i="5" s="1"/>
  <c r="AH754" i="5"/>
  <c r="AB754" i="5"/>
  <c r="AD754" i="5" s="1"/>
  <c r="A754" i="5"/>
  <c r="AI753" i="5"/>
  <c r="AJ753" i="5" s="1"/>
  <c r="AH753" i="5"/>
  <c r="AB753" i="5"/>
  <c r="A753" i="5"/>
  <c r="AI752" i="5"/>
  <c r="AJ752" i="5" s="1"/>
  <c r="AH752" i="5"/>
  <c r="AB752" i="5"/>
  <c r="AD752" i="5" s="1"/>
  <c r="A752" i="5"/>
  <c r="AI751" i="5"/>
  <c r="AJ751" i="5" s="1"/>
  <c r="AH751" i="5"/>
  <c r="AB751" i="5"/>
  <c r="A751" i="5"/>
  <c r="AI750" i="5"/>
  <c r="AJ750" i="5" s="1"/>
  <c r="AH750" i="5"/>
  <c r="AB750" i="5"/>
  <c r="AD750" i="5" s="1"/>
  <c r="A750" i="5"/>
  <c r="AI749" i="5"/>
  <c r="AJ749" i="5" s="1"/>
  <c r="AH749" i="5"/>
  <c r="AB749" i="5"/>
  <c r="A749" i="5"/>
  <c r="AI748" i="5"/>
  <c r="AJ748" i="5" s="1"/>
  <c r="AH748" i="5"/>
  <c r="AB748" i="5"/>
  <c r="AD748" i="5" s="1"/>
  <c r="A748" i="5"/>
  <c r="AI747" i="5"/>
  <c r="AJ747" i="5" s="1"/>
  <c r="AH747" i="5"/>
  <c r="AB747" i="5"/>
  <c r="AD747" i="5" s="1"/>
  <c r="A747" i="5"/>
  <c r="AI746" i="5"/>
  <c r="AJ746" i="5" s="1"/>
  <c r="AH746" i="5"/>
  <c r="AB746" i="5"/>
  <c r="AC746" i="5" s="1"/>
  <c r="AE746" i="5" s="1"/>
  <c r="AF746" i="5" s="1"/>
  <c r="A746" i="5"/>
  <c r="AI745" i="5"/>
  <c r="AJ745" i="5" s="1"/>
  <c r="AH745" i="5"/>
  <c r="AB745" i="5"/>
  <c r="AD745" i="5" s="1"/>
  <c r="A745" i="5"/>
  <c r="AI744" i="5"/>
  <c r="AJ744" i="5" s="1"/>
  <c r="AH744" i="5"/>
  <c r="AB744" i="5"/>
  <c r="AC744" i="5" s="1"/>
  <c r="AE744" i="5" s="1"/>
  <c r="AF744" i="5" s="1"/>
  <c r="A744" i="5"/>
  <c r="AI743" i="5"/>
  <c r="AJ743" i="5" s="1"/>
  <c r="AH743" i="5"/>
  <c r="AB743" i="5"/>
  <c r="AD743" i="5" s="1"/>
  <c r="A743" i="5"/>
  <c r="AI742" i="5"/>
  <c r="AJ742" i="5" s="1"/>
  <c r="AH742" i="5"/>
  <c r="AB742" i="5"/>
  <c r="A742" i="5"/>
  <c r="AI741" i="5"/>
  <c r="AJ741" i="5" s="1"/>
  <c r="AH741" i="5"/>
  <c r="AB741" i="5"/>
  <c r="A741" i="5"/>
  <c r="AI740" i="5"/>
  <c r="AJ740" i="5" s="1"/>
  <c r="AH740" i="5"/>
  <c r="AB740" i="5"/>
  <c r="A740" i="5"/>
  <c r="AI739" i="5"/>
  <c r="AJ739" i="5" s="1"/>
  <c r="AH739" i="5"/>
  <c r="AB739" i="5"/>
  <c r="A739" i="5"/>
  <c r="AI738" i="5"/>
  <c r="AJ738" i="5" s="1"/>
  <c r="AH738" i="5"/>
  <c r="AB738" i="5"/>
  <c r="A738" i="5"/>
  <c r="AI737" i="5"/>
  <c r="AJ737" i="5" s="1"/>
  <c r="AH737" i="5"/>
  <c r="AB737" i="5"/>
  <c r="A737" i="5"/>
  <c r="AI736" i="5"/>
  <c r="AJ736" i="5" s="1"/>
  <c r="AH736" i="5"/>
  <c r="AB736" i="5"/>
  <c r="A736" i="5"/>
  <c r="AI735" i="5"/>
  <c r="AJ735" i="5" s="1"/>
  <c r="AH735" i="5"/>
  <c r="AB735" i="5"/>
  <c r="AC735" i="5" s="1"/>
  <c r="AE735" i="5" s="1"/>
  <c r="AF735" i="5" s="1"/>
  <c r="A735" i="5"/>
  <c r="AI734" i="5"/>
  <c r="AJ734" i="5" s="1"/>
  <c r="AH734" i="5"/>
  <c r="AB734" i="5"/>
  <c r="AD734" i="5" s="1"/>
  <c r="A734" i="5"/>
  <c r="AI733" i="5"/>
  <c r="AJ733" i="5" s="1"/>
  <c r="AH733" i="5"/>
  <c r="AD733" i="5"/>
  <c r="AB733" i="5"/>
  <c r="AC733" i="5" s="1"/>
  <c r="AE733" i="5" s="1"/>
  <c r="AF733" i="5" s="1"/>
  <c r="A733" i="5"/>
  <c r="AI732" i="5"/>
  <c r="AJ732" i="5" s="1"/>
  <c r="AH732" i="5"/>
  <c r="AB732" i="5"/>
  <c r="AD732" i="5" s="1"/>
  <c r="A732" i="5"/>
  <c r="AI731" i="5"/>
  <c r="AJ731" i="5" s="1"/>
  <c r="AH731" i="5"/>
  <c r="AB731" i="5"/>
  <c r="A731" i="5"/>
  <c r="AI730" i="5"/>
  <c r="AJ730" i="5" s="1"/>
  <c r="AH730" i="5"/>
  <c r="AD730" i="5"/>
  <c r="AB730" i="5"/>
  <c r="AC730" i="5" s="1"/>
  <c r="AE730" i="5" s="1"/>
  <c r="AF730" i="5" s="1"/>
  <c r="A730" i="5"/>
  <c r="AI729" i="5"/>
  <c r="AJ729" i="5" s="1"/>
  <c r="AH729" i="5"/>
  <c r="AB729" i="5"/>
  <c r="A729" i="5"/>
  <c r="AI728" i="5"/>
  <c r="AJ728" i="5" s="1"/>
  <c r="AH728" i="5"/>
  <c r="AB728" i="5"/>
  <c r="AC728" i="5" s="1"/>
  <c r="AE728" i="5" s="1"/>
  <c r="AF728" i="5" s="1"/>
  <c r="A728" i="5"/>
  <c r="AI727" i="5"/>
  <c r="AJ727" i="5" s="1"/>
  <c r="AH727" i="5"/>
  <c r="AB727" i="5"/>
  <c r="A727" i="5"/>
  <c r="AI726" i="5"/>
  <c r="AJ726" i="5" s="1"/>
  <c r="AH726" i="5"/>
  <c r="AB726" i="5"/>
  <c r="AC726" i="5" s="1"/>
  <c r="AE726" i="5" s="1"/>
  <c r="AF726" i="5" s="1"/>
  <c r="A726" i="5"/>
  <c r="AI725" i="5"/>
  <c r="AJ725" i="5" s="1"/>
  <c r="AH725" i="5"/>
  <c r="AB725" i="5"/>
  <c r="AD725" i="5" s="1"/>
  <c r="A725" i="5"/>
  <c r="AI724" i="5"/>
  <c r="AJ724" i="5" s="1"/>
  <c r="AH724" i="5"/>
  <c r="AB724" i="5"/>
  <c r="AC724" i="5" s="1"/>
  <c r="AE724" i="5" s="1"/>
  <c r="AF724" i="5" s="1"/>
  <c r="A724" i="5"/>
  <c r="AI723" i="5"/>
  <c r="AJ723" i="5" s="1"/>
  <c r="AH723" i="5"/>
  <c r="AB723" i="5"/>
  <c r="AD723" i="5" s="1"/>
  <c r="A723" i="5"/>
  <c r="AI722" i="5"/>
  <c r="AJ722" i="5" s="1"/>
  <c r="AH722" i="5"/>
  <c r="AB722" i="5"/>
  <c r="A722" i="5"/>
  <c r="AI721" i="5"/>
  <c r="AJ721" i="5" s="1"/>
  <c r="AH721" i="5"/>
  <c r="AB721" i="5"/>
  <c r="AD721" i="5" s="1"/>
  <c r="A721" i="5"/>
  <c r="AI720" i="5"/>
  <c r="AJ720" i="5" s="1"/>
  <c r="AH720" i="5"/>
  <c r="AB720" i="5"/>
  <c r="A720" i="5"/>
  <c r="AI719" i="5"/>
  <c r="AJ719" i="5" s="1"/>
  <c r="AH719" i="5"/>
  <c r="AB719" i="5"/>
  <c r="AD719" i="5" s="1"/>
  <c r="A719" i="5"/>
  <c r="AI718" i="5"/>
  <c r="AJ718" i="5" s="1"/>
  <c r="AH718" i="5"/>
  <c r="AB718" i="5"/>
  <c r="A718" i="5"/>
  <c r="AI717" i="5"/>
  <c r="AJ717" i="5" s="1"/>
  <c r="AH717" i="5"/>
  <c r="AB717" i="5"/>
  <c r="AD717" i="5" s="1"/>
  <c r="A717" i="5"/>
  <c r="AI716" i="5"/>
  <c r="AJ716" i="5" s="1"/>
  <c r="AH716" i="5"/>
  <c r="AB716" i="5"/>
  <c r="A716" i="5"/>
  <c r="AI715" i="5"/>
  <c r="AJ715" i="5" s="1"/>
  <c r="AH715" i="5"/>
  <c r="AB715" i="5"/>
  <c r="AD715" i="5" s="1"/>
  <c r="A715" i="5"/>
  <c r="AI714" i="5"/>
  <c r="AJ714" i="5" s="1"/>
  <c r="AH714" i="5"/>
  <c r="AB714" i="5"/>
  <c r="A714" i="5"/>
  <c r="AI713" i="5"/>
  <c r="AJ713" i="5" s="1"/>
  <c r="AH713" i="5"/>
  <c r="AB713" i="5"/>
  <c r="AC713" i="5" s="1"/>
  <c r="AE713" i="5" s="1"/>
  <c r="AF713" i="5" s="1"/>
  <c r="A713" i="5"/>
  <c r="AI712" i="5"/>
  <c r="AJ712" i="5" s="1"/>
  <c r="AH712" i="5"/>
  <c r="AB712" i="5"/>
  <c r="A712" i="5"/>
  <c r="AI711" i="5"/>
  <c r="AJ711" i="5" s="1"/>
  <c r="AH711" i="5"/>
  <c r="AD711" i="5"/>
  <c r="AB711" i="5"/>
  <c r="AC711" i="5" s="1"/>
  <c r="AE711" i="5" s="1"/>
  <c r="AF711" i="5" s="1"/>
  <c r="A711" i="5"/>
  <c r="AI710" i="5"/>
  <c r="AJ710" i="5" s="1"/>
  <c r="AH710" i="5"/>
  <c r="AB710" i="5"/>
  <c r="AD710" i="5" s="1"/>
  <c r="A710" i="5"/>
  <c r="AI709" i="5"/>
  <c r="AJ709" i="5" s="1"/>
  <c r="AH709" i="5"/>
  <c r="AB709" i="5"/>
  <c r="AC709" i="5" s="1"/>
  <c r="AE709" i="5" s="1"/>
  <c r="AF709" i="5" s="1"/>
  <c r="A709" i="5"/>
  <c r="AI708" i="5"/>
  <c r="AJ708" i="5" s="1"/>
  <c r="AH708" i="5"/>
  <c r="AB708" i="5"/>
  <c r="AD708" i="5" s="1"/>
  <c r="A708" i="5"/>
  <c r="AI707" i="5"/>
  <c r="AJ707" i="5" s="1"/>
  <c r="AH707" i="5"/>
  <c r="AB707" i="5"/>
  <c r="AD707" i="5" s="1"/>
  <c r="A707" i="5"/>
  <c r="AI706" i="5"/>
  <c r="AJ706" i="5" s="1"/>
  <c r="AH706" i="5"/>
  <c r="AB706" i="5"/>
  <c r="AD706" i="5" s="1"/>
  <c r="A706" i="5"/>
  <c r="AI705" i="5"/>
  <c r="AJ705" i="5" s="1"/>
  <c r="AH705" i="5"/>
  <c r="AB705" i="5"/>
  <c r="AD705" i="5" s="1"/>
  <c r="A705" i="5"/>
  <c r="AI704" i="5"/>
  <c r="AJ704" i="5" s="1"/>
  <c r="AH704" i="5"/>
  <c r="AB704" i="5"/>
  <c r="AD704" i="5" s="1"/>
  <c r="A704" i="5"/>
  <c r="AI703" i="5"/>
  <c r="AJ703" i="5" s="1"/>
  <c r="AH703" i="5"/>
  <c r="AB703" i="5"/>
  <c r="AD703" i="5" s="1"/>
  <c r="A703" i="5"/>
  <c r="AI702" i="5"/>
  <c r="AJ702" i="5" s="1"/>
  <c r="AH702" i="5"/>
  <c r="AB702" i="5"/>
  <c r="AC702" i="5" s="1"/>
  <c r="AE702" i="5" s="1"/>
  <c r="AF702" i="5" s="1"/>
  <c r="A702" i="5"/>
  <c r="AI701" i="5"/>
  <c r="AJ701" i="5" s="1"/>
  <c r="AH701" i="5"/>
  <c r="AB701" i="5"/>
  <c r="AD701" i="5" s="1"/>
  <c r="A701" i="5"/>
  <c r="AI700" i="5"/>
  <c r="AJ700" i="5" s="1"/>
  <c r="AH700" i="5"/>
  <c r="AB700" i="5"/>
  <c r="A700" i="5"/>
  <c r="AI699" i="5"/>
  <c r="AJ699" i="5" s="1"/>
  <c r="AH699" i="5"/>
  <c r="AB699" i="5"/>
  <c r="AD699" i="5" s="1"/>
  <c r="A699" i="5"/>
  <c r="AI698" i="5"/>
  <c r="AJ698" i="5" s="1"/>
  <c r="AH698" i="5"/>
  <c r="AB698" i="5"/>
  <c r="A698" i="5"/>
  <c r="AI697" i="5"/>
  <c r="AJ697" i="5" s="1"/>
  <c r="AH697" i="5"/>
  <c r="AB697" i="5"/>
  <c r="AD697" i="5" s="1"/>
  <c r="A697" i="5"/>
  <c r="AI696" i="5"/>
  <c r="AJ696" i="5" s="1"/>
  <c r="AH696" i="5"/>
  <c r="AB696" i="5"/>
  <c r="A696" i="5"/>
  <c r="AI695" i="5"/>
  <c r="AJ695" i="5" s="1"/>
  <c r="AH695" i="5"/>
  <c r="AC695" i="5"/>
  <c r="AE695" i="5" s="1"/>
  <c r="AF695" i="5" s="1"/>
  <c r="AB695" i="5"/>
  <c r="AD695" i="5" s="1"/>
  <c r="A695" i="5"/>
  <c r="AI694" i="5"/>
  <c r="AJ694" i="5" s="1"/>
  <c r="AH694" i="5"/>
  <c r="AB694" i="5"/>
  <c r="A694" i="5"/>
  <c r="AI693" i="5"/>
  <c r="AJ693" i="5" s="1"/>
  <c r="AH693" i="5"/>
  <c r="AB693" i="5"/>
  <c r="AD693" i="5" s="1"/>
  <c r="A693" i="5"/>
  <c r="AI692" i="5"/>
  <c r="AJ692" i="5" s="1"/>
  <c r="AH692" i="5"/>
  <c r="AB692" i="5"/>
  <c r="A692" i="5"/>
  <c r="AI691" i="5"/>
  <c r="AJ691" i="5" s="1"/>
  <c r="AH691" i="5"/>
  <c r="AB691" i="5"/>
  <c r="AC691" i="5" s="1"/>
  <c r="AE691" i="5" s="1"/>
  <c r="AF691" i="5" s="1"/>
  <c r="A691" i="5"/>
  <c r="AI690" i="5"/>
  <c r="AJ690" i="5" s="1"/>
  <c r="AH690" i="5"/>
  <c r="AB690" i="5"/>
  <c r="A690" i="5"/>
  <c r="AI689" i="5"/>
  <c r="AJ689" i="5" s="1"/>
  <c r="AH689" i="5"/>
  <c r="AB689" i="5"/>
  <c r="AC689" i="5" s="1"/>
  <c r="AE689" i="5" s="1"/>
  <c r="AF689" i="5" s="1"/>
  <c r="A689" i="5"/>
  <c r="AI688" i="5"/>
  <c r="AJ688" i="5" s="1"/>
  <c r="AH688" i="5"/>
  <c r="AB688" i="5"/>
  <c r="A688" i="5"/>
  <c r="AI687" i="5"/>
  <c r="AJ687" i="5" s="1"/>
  <c r="AH687" i="5"/>
  <c r="AB687" i="5"/>
  <c r="AC687" i="5" s="1"/>
  <c r="AE687" i="5" s="1"/>
  <c r="AF687" i="5" s="1"/>
  <c r="A687" i="5"/>
  <c r="AI686" i="5"/>
  <c r="AJ686" i="5" s="1"/>
  <c r="AH686" i="5"/>
  <c r="AB686" i="5"/>
  <c r="AD686" i="5" s="1"/>
  <c r="A686" i="5"/>
  <c r="AI685" i="5"/>
  <c r="AJ685" i="5" s="1"/>
  <c r="AH685" i="5"/>
  <c r="AB685" i="5"/>
  <c r="AD685" i="5" s="1"/>
  <c r="A685" i="5"/>
  <c r="AI684" i="5"/>
  <c r="AJ684" i="5" s="1"/>
  <c r="AH684" i="5"/>
  <c r="AB684" i="5"/>
  <c r="AD684" i="5" s="1"/>
  <c r="A684" i="5"/>
  <c r="AI683" i="5"/>
  <c r="AJ683" i="5" s="1"/>
  <c r="AH683" i="5"/>
  <c r="AC683" i="5"/>
  <c r="AE683" i="5" s="1"/>
  <c r="AF683" i="5" s="1"/>
  <c r="AB683" i="5"/>
  <c r="AD683" i="5" s="1"/>
  <c r="A683" i="5"/>
  <c r="AI682" i="5"/>
  <c r="AJ682" i="5" s="1"/>
  <c r="AH682" i="5"/>
  <c r="AB682" i="5"/>
  <c r="AD682" i="5" s="1"/>
  <c r="A682" i="5"/>
  <c r="AI681" i="5"/>
  <c r="AJ681" i="5" s="1"/>
  <c r="AH681" i="5"/>
  <c r="AB681" i="5"/>
  <c r="AC681" i="5" s="1"/>
  <c r="AE681" i="5" s="1"/>
  <c r="AF681" i="5" s="1"/>
  <c r="A681" i="5"/>
  <c r="AI680" i="5"/>
  <c r="AJ680" i="5" s="1"/>
  <c r="AH680" i="5"/>
  <c r="AB680" i="5"/>
  <c r="AD680" i="5" s="1"/>
  <c r="A680" i="5"/>
  <c r="AI679" i="5"/>
  <c r="AJ679" i="5" s="1"/>
  <c r="AH679" i="5"/>
  <c r="AB679" i="5"/>
  <c r="AD679" i="5" s="1"/>
  <c r="A679" i="5"/>
  <c r="AI678" i="5"/>
  <c r="AJ678" i="5" s="1"/>
  <c r="AH678" i="5"/>
  <c r="AB678" i="5"/>
  <c r="AD678" i="5" s="1"/>
  <c r="A678" i="5"/>
  <c r="AI677" i="5"/>
  <c r="AJ677" i="5" s="1"/>
  <c r="AH677" i="5"/>
  <c r="AB677" i="5"/>
  <c r="AD677" i="5" s="1"/>
  <c r="A677" i="5"/>
  <c r="AI676" i="5"/>
  <c r="AJ676" i="5" s="1"/>
  <c r="AH676" i="5"/>
  <c r="AB676" i="5"/>
  <c r="AD676" i="5" s="1"/>
  <c r="A676" i="5"/>
  <c r="AI675" i="5"/>
  <c r="AJ675" i="5" s="1"/>
  <c r="AH675" i="5"/>
  <c r="AB675" i="5"/>
  <c r="A675" i="5"/>
  <c r="AI674" i="5"/>
  <c r="AJ674" i="5" s="1"/>
  <c r="AH674" i="5"/>
  <c r="AB674" i="5"/>
  <c r="AD674" i="5" s="1"/>
  <c r="A674" i="5"/>
  <c r="AI673" i="5"/>
  <c r="AJ673" i="5" s="1"/>
  <c r="AH673" i="5"/>
  <c r="AB673" i="5"/>
  <c r="A673" i="5"/>
  <c r="AI672" i="5"/>
  <c r="AJ672" i="5" s="1"/>
  <c r="AH672" i="5"/>
  <c r="AB672" i="5"/>
  <c r="AD672" i="5" s="1"/>
  <c r="A672" i="5"/>
  <c r="AI671" i="5"/>
  <c r="AJ671" i="5" s="1"/>
  <c r="AH671" i="5"/>
  <c r="AB671" i="5"/>
  <c r="A671" i="5"/>
  <c r="AI670" i="5"/>
  <c r="AJ670" i="5" s="1"/>
  <c r="AH670" i="5"/>
  <c r="AB670" i="5"/>
  <c r="AD670" i="5" s="1"/>
  <c r="A670" i="5"/>
  <c r="AI669" i="5"/>
  <c r="AJ669" i="5" s="1"/>
  <c r="AH669" i="5"/>
  <c r="AB669" i="5"/>
  <c r="A669" i="5"/>
  <c r="AI668" i="5"/>
  <c r="AJ668" i="5" s="1"/>
  <c r="AH668" i="5"/>
  <c r="AB668" i="5"/>
  <c r="AD668" i="5" s="1"/>
  <c r="A668" i="5"/>
  <c r="AI667" i="5"/>
  <c r="AJ667" i="5" s="1"/>
  <c r="AH667" i="5"/>
  <c r="AB667" i="5"/>
  <c r="AD667" i="5" s="1"/>
  <c r="A667" i="5"/>
  <c r="AI666" i="5"/>
  <c r="AJ666" i="5" s="1"/>
  <c r="AH666" i="5"/>
  <c r="AB666" i="5"/>
  <c r="AD666" i="5" s="1"/>
  <c r="A666" i="5"/>
  <c r="AI665" i="5"/>
  <c r="AJ665" i="5" s="1"/>
  <c r="AH665" i="5"/>
  <c r="AB665" i="5"/>
  <c r="AD665" i="5" s="1"/>
  <c r="A665" i="5"/>
  <c r="AI664" i="5"/>
  <c r="AJ664" i="5" s="1"/>
  <c r="AH664" i="5"/>
  <c r="AB664" i="5"/>
  <c r="AD664" i="5" s="1"/>
  <c r="A664" i="5"/>
  <c r="AI663" i="5"/>
  <c r="AJ663" i="5" s="1"/>
  <c r="AH663" i="5"/>
  <c r="AB663" i="5"/>
  <c r="AD663" i="5" s="1"/>
  <c r="A663" i="5"/>
  <c r="AI662" i="5"/>
  <c r="AJ662" i="5" s="1"/>
  <c r="AH662" i="5"/>
  <c r="AB662" i="5"/>
  <c r="A662" i="5"/>
  <c r="AI661" i="5"/>
  <c r="AJ661" i="5" s="1"/>
  <c r="AH661" i="5"/>
  <c r="AB661" i="5"/>
  <c r="AD661" i="5" s="1"/>
  <c r="A661" i="5"/>
  <c r="AI660" i="5"/>
  <c r="AJ660" i="5" s="1"/>
  <c r="AH660" i="5"/>
  <c r="AB660" i="5"/>
  <c r="A660" i="5"/>
  <c r="AI659" i="5"/>
  <c r="AJ659" i="5" s="1"/>
  <c r="AH659" i="5"/>
  <c r="AB659" i="5"/>
  <c r="AC659" i="5" s="1"/>
  <c r="AE659" i="5" s="1"/>
  <c r="AF659" i="5" s="1"/>
  <c r="A659" i="5"/>
  <c r="AI658" i="5"/>
  <c r="AJ658" i="5" s="1"/>
  <c r="AH658" i="5"/>
  <c r="AB658" i="5"/>
  <c r="AC658" i="5" s="1"/>
  <c r="AE658" i="5" s="1"/>
  <c r="AF658" i="5" s="1"/>
  <c r="A658" i="5"/>
  <c r="AI657" i="5"/>
  <c r="AJ657" i="5" s="1"/>
  <c r="AH657" i="5"/>
  <c r="AB657" i="5"/>
  <c r="A657" i="5"/>
  <c r="AI656" i="5"/>
  <c r="AJ656" i="5" s="1"/>
  <c r="AH656" i="5"/>
  <c r="AB656" i="5"/>
  <c r="A656" i="5"/>
  <c r="AI655" i="5"/>
  <c r="AJ655" i="5" s="1"/>
  <c r="AH655" i="5"/>
  <c r="AB655" i="5"/>
  <c r="AD655" i="5" s="1"/>
  <c r="A655" i="5"/>
  <c r="AI654" i="5"/>
  <c r="AJ654" i="5" s="1"/>
  <c r="AH654" i="5"/>
  <c r="AB654" i="5"/>
  <c r="AC654" i="5" s="1"/>
  <c r="AE654" i="5" s="1"/>
  <c r="AF654" i="5" s="1"/>
  <c r="A654" i="5"/>
  <c r="AI653" i="5"/>
  <c r="AJ653" i="5" s="1"/>
  <c r="AH653" i="5"/>
  <c r="AB653" i="5"/>
  <c r="A653" i="5"/>
  <c r="AI652" i="5"/>
  <c r="AJ652" i="5" s="1"/>
  <c r="AH652" i="5"/>
  <c r="AB652" i="5"/>
  <c r="AC652" i="5" s="1"/>
  <c r="AE652" i="5" s="1"/>
  <c r="AF652" i="5" s="1"/>
  <c r="A652" i="5"/>
  <c r="AI651" i="5"/>
  <c r="AJ651" i="5" s="1"/>
  <c r="AH651" i="5"/>
  <c r="AB651" i="5"/>
  <c r="AD651" i="5" s="1"/>
  <c r="A651" i="5"/>
  <c r="AI650" i="5"/>
  <c r="AJ650" i="5" s="1"/>
  <c r="AH650" i="5"/>
  <c r="AB650" i="5"/>
  <c r="AD650" i="5" s="1"/>
  <c r="A650" i="5"/>
  <c r="AI649" i="5"/>
  <c r="AJ649" i="5" s="1"/>
  <c r="AH649" i="5"/>
  <c r="AB649" i="5"/>
  <c r="AC649" i="5" s="1"/>
  <c r="AE649" i="5" s="1"/>
  <c r="AF649" i="5" s="1"/>
  <c r="A649" i="5"/>
  <c r="AI648" i="5"/>
  <c r="AJ648" i="5" s="1"/>
  <c r="AH648" i="5"/>
  <c r="AB648" i="5"/>
  <c r="A648" i="5"/>
  <c r="AI647" i="5"/>
  <c r="AJ647" i="5" s="1"/>
  <c r="AH647" i="5"/>
  <c r="AB647" i="5"/>
  <c r="AC647" i="5" s="1"/>
  <c r="AE647" i="5" s="1"/>
  <c r="AF647" i="5" s="1"/>
  <c r="A647" i="5"/>
  <c r="AI646" i="5"/>
  <c r="AJ646" i="5" s="1"/>
  <c r="AH646" i="5"/>
  <c r="AB646" i="5"/>
  <c r="A646" i="5"/>
  <c r="AI645" i="5"/>
  <c r="AJ645" i="5" s="1"/>
  <c r="AH645" i="5"/>
  <c r="AB645" i="5"/>
  <c r="AD645" i="5" s="1"/>
  <c r="A645" i="5"/>
  <c r="AI644" i="5"/>
  <c r="AJ644" i="5" s="1"/>
  <c r="AH644" i="5"/>
  <c r="AB644" i="5"/>
  <c r="AD644" i="5" s="1"/>
  <c r="A644" i="5"/>
  <c r="AI643" i="5"/>
  <c r="AJ643" i="5" s="1"/>
  <c r="AH643" i="5"/>
  <c r="AB643" i="5"/>
  <c r="AD643" i="5" s="1"/>
  <c r="A643" i="5"/>
  <c r="AI642" i="5"/>
  <c r="AJ642" i="5" s="1"/>
  <c r="AH642" i="5"/>
  <c r="AB642" i="5"/>
  <c r="A642" i="5"/>
  <c r="AI641" i="5"/>
  <c r="AJ641" i="5" s="1"/>
  <c r="AH641" i="5"/>
  <c r="AB641" i="5"/>
  <c r="AD641" i="5" s="1"/>
  <c r="A641" i="5"/>
  <c r="AI640" i="5"/>
  <c r="AJ640" i="5" s="1"/>
  <c r="AH640" i="5"/>
  <c r="AB640" i="5"/>
  <c r="AC640" i="5" s="1"/>
  <c r="AE640" i="5" s="1"/>
  <c r="AF640" i="5" s="1"/>
  <c r="A640" i="5"/>
  <c r="AI639" i="5"/>
  <c r="AJ639" i="5" s="1"/>
  <c r="AH639" i="5"/>
  <c r="AB639" i="5"/>
  <c r="AD639" i="5" s="1"/>
  <c r="A639" i="5"/>
  <c r="AI638" i="5"/>
  <c r="AJ638" i="5" s="1"/>
  <c r="AH638" i="5"/>
  <c r="AB638" i="5"/>
  <c r="A638" i="5"/>
  <c r="AI637" i="5"/>
  <c r="AJ637" i="5" s="1"/>
  <c r="AH637" i="5"/>
  <c r="AB637" i="5"/>
  <c r="AD637" i="5" s="1"/>
  <c r="A637" i="5"/>
  <c r="AI636" i="5"/>
  <c r="AJ636" i="5" s="1"/>
  <c r="AH636" i="5"/>
  <c r="AB636" i="5"/>
  <c r="AC636" i="5" s="1"/>
  <c r="AE636" i="5" s="1"/>
  <c r="AF636" i="5" s="1"/>
  <c r="A636" i="5"/>
  <c r="AI635" i="5"/>
  <c r="AJ635" i="5" s="1"/>
  <c r="AH635" i="5"/>
  <c r="AB635" i="5"/>
  <c r="AD635" i="5" s="1"/>
  <c r="A635" i="5"/>
  <c r="AI634" i="5"/>
  <c r="AJ634" i="5" s="1"/>
  <c r="AH634" i="5"/>
  <c r="AB634" i="5"/>
  <c r="A634" i="5"/>
  <c r="AI633" i="5"/>
  <c r="AJ633" i="5" s="1"/>
  <c r="AH633" i="5"/>
  <c r="AE633" i="5"/>
  <c r="AF633" i="5" s="1"/>
  <c r="AB633" i="5"/>
  <c r="AC633" i="5" s="1"/>
  <c r="A633" i="5"/>
  <c r="AI632" i="5"/>
  <c r="AJ632" i="5" s="1"/>
  <c r="AH632" i="5"/>
  <c r="AB632" i="5"/>
  <c r="AD632" i="5" s="1"/>
  <c r="A632" i="5"/>
  <c r="AI631" i="5"/>
  <c r="AJ631" i="5" s="1"/>
  <c r="AH631" i="5"/>
  <c r="AB631" i="5"/>
  <c r="AD631" i="5" s="1"/>
  <c r="A631" i="5"/>
  <c r="AI630" i="5"/>
  <c r="AJ630" i="5" s="1"/>
  <c r="AH630" i="5"/>
  <c r="AB630" i="5"/>
  <c r="A630" i="5"/>
  <c r="AI629" i="5"/>
  <c r="AJ629" i="5" s="1"/>
  <c r="AH629" i="5"/>
  <c r="AB629" i="5"/>
  <c r="AD629" i="5" s="1"/>
  <c r="A629" i="5"/>
  <c r="AI628" i="5"/>
  <c r="AJ628" i="5" s="1"/>
  <c r="AH628" i="5"/>
  <c r="AB628" i="5"/>
  <c r="A628" i="5"/>
  <c r="AI627" i="5"/>
  <c r="AJ627" i="5" s="1"/>
  <c r="AH627" i="5"/>
  <c r="AB627" i="5"/>
  <c r="AD627" i="5" s="1"/>
  <c r="A627" i="5"/>
  <c r="AI626" i="5"/>
  <c r="AJ626" i="5" s="1"/>
  <c r="AH626" i="5"/>
  <c r="AB626" i="5"/>
  <c r="AD626" i="5" s="1"/>
  <c r="A626" i="5"/>
  <c r="AI625" i="5"/>
  <c r="AJ625" i="5" s="1"/>
  <c r="AH625" i="5"/>
  <c r="AB625" i="5"/>
  <c r="AD625" i="5" s="1"/>
  <c r="A625" i="5"/>
  <c r="AI624" i="5"/>
  <c r="AJ624" i="5" s="1"/>
  <c r="AH624" i="5"/>
  <c r="AB624" i="5"/>
  <c r="AD624" i="5" s="1"/>
  <c r="A624" i="5"/>
  <c r="AI623" i="5"/>
  <c r="AJ623" i="5" s="1"/>
  <c r="AH623" i="5"/>
  <c r="AB623" i="5"/>
  <c r="AD623" i="5" s="1"/>
  <c r="A623" i="5"/>
  <c r="AI622" i="5"/>
  <c r="AJ622" i="5" s="1"/>
  <c r="AH622" i="5"/>
  <c r="AB622" i="5"/>
  <c r="AD622" i="5" s="1"/>
  <c r="A622" i="5"/>
  <c r="AI621" i="5"/>
  <c r="AJ621" i="5" s="1"/>
  <c r="AH621" i="5"/>
  <c r="AB621" i="5"/>
  <c r="AD621" i="5" s="1"/>
  <c r="A621" i="5"/>
  <c r="AI620" i="5"/>
  <c r="AJ620" i="5" s="1"/>
  <c r="AH620" i="5"/>
  <c r="AB620" i="5"/>
  <c r="AD620" i="5" s="1"/>
  <c r="A620" i="5"/>
  <c r="AI619" i="5"/>
  <c r="AJ619" i="5" s="1"/>
  <c r="AH619" i="5"/>
  <c r="AB619" i="5"/>
  <c r="AD619" i="5" s="1"/>
  <c r="A619" i="5"/>
  <c r="AI618" i="5"/>
  <c r="AJ618" i="5" s="1"/>
  <c r="AH618" i="5"/>
  <c r="AB618" i="5"/>
  <c r="AD618" i="5" s="1"/>
  <c r="A618" i="5"/>
  <c r="AI617" i="5"/>
  <c r="AJ617" i="5" s="1"/>
  <c r="AH617" i="5"/>
  <c r="AB617" i="5"/>
  <c r="AD617" i="5" s="1"/>
  <c r="A617" i="5"/>
  <c r="AI616" i="5"/>
  <c r="AJ616" i="5" s="1"/>
  <c r="AH616" i="5"/>
  <c r="AB616" i="5"/>
  <c r="A616" i="5"/>
  <c r="AI615" i="5"/>
  <c r="AJ615" i="5" s="1"/>
  <c r="AH615" i="5"/>
  <c r="AB615" i="5"/>
  <c r="A615" i="5"/>
  <c r="AI614" i="5"/>
  <c r="AJ614" i="5" s="1"/>
  <c r="AH614" i="5"/>
  <c r="AB614" i="5"/>
  <c r="AC614" i="5" s="1"/>
  <c r="AE614" i="5" s="1"/>
  <c r="AF614" i="5" s="1"/>
  <c r="A614" i="5"/>
  <c r="AI613" i="5"/>
  <c r="AJ613" i="5" s="1"/>
  <c r="AH613" i="5"/>
  <c r="AB613" i="5"/>
  <c r="A613" i="5"/>
  <c r="AI612" i="5"/>
  <c r="AJ612" i="5" s="1"/>
  <c r="AH612" i="5"/>
  <c r="AB612" i="5"/>
  <c r="A612" i="5"/>
  <c r="AI611" i="5"/>
  <c r="AJ611" i="5" s="1"/>
  <c r="AH611" i="5"/>
  <c r="AB611" i="5"/>
  <c r="AD611" i="5" s="1"/>
  <c r="A611" i="5"/>
  <c r="AI610" i="5"/>
  <c r="AJ610" i="5" s="1"/>
  <c r="AH610" i="5"/>
  <c r="AB610" i="5"/>
  <c r="AC610" i="5" s="1"/>
  <c r="AE610" i="5" s="1"/>
  <c r="AF610" i="5" s="1"/>
  <c r="A610" i="5"/>
  <c r="AI609" i="5"/>
  <c r="AJ609" i="5" s="1"/>
  <c r="AH609" i="5"/>
  <c r="AB609" i="5"/>
  <c r="A609" i="5"/>
  <c r="AI608" i="5"/>
  <c r="AJ608" i="5" s="1"/>
  <c r="AH608" i="5"/>
  <c r="AB608" i="5"/>
  <c r="AC608" i="5" s="1"/>
  <c r="AE608" i="5" s="1"/>
  <c r="AF608" i="5" s="1"/>
  <c r="A608" i="5"/>
  <c r="AI607" i="5"/>
  <c r="AJ607" i="5" s="1"/>
  <c r="AH607" i="5"/>
  <c r="AB607" i="5"/>
  <c r="AD607" i="5" s="1"/>
  <c r="A607" i="5"/>
  <c r="AI606" i="5"/>
  <c r="AJ606" i="5" s="1"/>
  <c r="AH606" i="5"/>
  <c r="AB606" i="5"/>
  <c r="A606" i="5"/>
  <c r="AI605" i="5"/>
  <c r="AJ605" i="5" s="1"/>
  <c r="AH605" i="5"/>
  <c r="AB605" i="5"/>
  <c r="A605" i="5"/>
  <c r="AI604" i="5"/>
  <c r="AJ604" i="5" s="1"/>
  <c r="AH604" i="5"/>
  <c r="AB604" i="5"/>
  <c r="AC604" i="5" s="1"/>
  <c r="AE604" i="5" s="1"/>
  <c r="AF604" i="5" s="1"/>
  <c r="A604" i="5"/>
  <c r="AI603" i="5"/>
  <c r="AJ603" i="5" s="1"/>
  <c r="AH603" i="5"/>
  <c r="AB603" i="5"/>
  <c r="AD603" i="5" s="1"/>
  <c r="A603" i="5"/>
  <c r="AI602" i="5"/>
  <c r="AJ602" i="5" s="1"/>
  <c r="AH602" i="5"/>
  <c r="AB602" i="5"/>
  <c r="AC602" i="5" s="1"/>
  <c r="AE602" i="5" s="1"/>
  <c r="AF602" i="5" s="1"/>
  <c r="A602" i="5"/>
  <c r="AI601" i="5"/>
  <c r="AJ601" i="5" s="1"/>
  <c r="AH601" i="5"/>
  <c r="AB601" i="5"/>
  <c r="A601" i="5"/>
  <c r="AI600" i="5"/>
  <c r="AJ600" i="5" s="1"/>
  <c r="AH600" i="5"/>
  <c r="AB600" i="5"/>
  <c r="AC600" i="5" s="1"/>
  <c r="AE600" i="5" s="1"/>
  <c r="AF600" i="5" s="1"/>
  <c r="A600" i="5"/>
  <c r="AI599" i="5"/>
  <c r="AJ599" i="5" s="1"/>
  <c r="AH599" i="5"/>
  <c r="AB599" i="5"/>
  <c r="AD599" i="5" s="1"/>
  <c r="A599" i="5"/>
  <c r="AI598" i="5"/>
  <c r="AJ598" i="5" s="1"/>
  <c r="AH598" i="5"/>
  <c r="AD598" i="5"/>
  <c r="AB598" i="5"/>
  <c r="AC598" i="5" s="1"/>
  <c r="AE598" i="5" s="1"/>
  <c r="AF598" i="5" s="1"/>
  <c r="A598" i="5"/>
  <c r="AI597" i="5"/>
  <c r="AJ597" i="5" s="1"/>
  <c r="AH597" i="5"/>
  <c r="AB597" i="5"/>
  <c r="A597" i="5"/>
  <c r="AI596" i="5"/>
  <c r="AJ596" i="5" s="1"/>
  <c r="AH596" i="5"/>
  <c r="AB596" i="5"/>
  <c r="A596" i="5"/>
  <c r="AI595" i="5"/>
  <c r="AJ595" i="5" s="1"/>
  <c r="AH595" i="5"/>
  <c r="AB595" i="5"/>
  <c r="A595" i="5"/>
  <c r="AI594" i="5"/>
  <c r="AJ594" i="5" s="1"/>
  <c r="AH594" i="5"/>
  <c r="AB594" i="5"/>
  <c r="AD594" i="5" s="1"/>
  <c r="A594" i="5"/>
  <c r="AI593" i="5"/>
  <c r="AJ593" i="5" s="1"/>
  <c r="AH593" i="5"/>
  <c r="AB593" i="5"/>
  <c r="A593" i="5"/>
  <c r="AI592" i="5"/>
  <c r="AJ592" i="5" s="1"/>
  <c r="AH592" i="5"/>
  <c r="AB592" i="5"/>
  <c r="AC592" i="5" s="1"/>
  <c r="AE592" i="5" s="1"/>
  <c r="AF592" i="5" s="1"/>
  <c r="A592" i="5"/>
  <c r="AI591" i="5"/>
  <c r="AJ591" i="5" s="1"/>
  <c r="AH591" i="5"/>
  <c r="AB591" i="5"/>
  <c r="AD591" i="5" s="1"/>
  <c r="A591" i="5"/>
  <c r="AI590" i="5"/>
  <c r="AJ590" i="5" s="1"/>
  <c r="AH590" i="5"/>
  <c r="AB590" i="5"/>
  <c r="A590" i="5"/>
  <c r="AI589" i="5"/>
  <c r="AJ589" i="5" s="1"/>
  <c r="AH589" i="5"/>
  <c r="AC589" i="5"/>
  <c r="AE589" i="5" s="1"/>
  <c r="AF589" i="5" s="1"/>
  <c r="AB589" i="5"/>
  <c r="AD589" i="5" s="1"/>
  <c r="A589" i="5"/>
  <c r="AI588" i="5"/>
  <c r="AJ588" i="5" s="1"/>
  <c r="AH588" i="5"/>
  <c r="AB588" i="5"/>
  <c r="AD588" i="5" s="1"/>
  <c r="A588" i="5"/>
  <c r="AI587" i="5"/>
  <c r="AJ587" i="5" s="1"/>
  <c r="AH587" i="5"/>
  <c r="AB587" i="5"/>
  <c r="A587" i="5"/>
  <c r="AI586" i="5"/>
  <c r="AJ586" i="5" s="1"/>
  <c r="AH586" i="5"/>
  <c r="AB586" i="5"/>
  <c r="AD586" i="5" s="1"/>
  <c r="A586" i="5"/>
  <c r="AI585" i="5"/>
  <c r="AJ585" i="5" s="1"/>
  <c r="AH585" i="5"/>
  <c r="AB585" i="5"/>
  <c r="A585" i="5"/>
  <c r="AI584" i="5"/>
  <c r="AJ584" i="5" s="1"/>
  <c r="AH584" i="5"/>
  <c r="AB584" i="5"/>
  <c r="A584" i="5"/>
  <c r="AI583" i="5"/>
  <c r="AJ583" i="5" s="1"/>
  <c r="AH583" i="5"/>
  <c r="AB583" i="5"/>
  <c r="AD583" i="5" s="1"/>
  <c r="A583" i="5"/>
  <c r="AI582" i="5"/>
  <c r="AJ582" i="5" s="1"/>
  <c r="AH582" i="5"/>
  <c r="AB582" i="5"/>
  <c r="AC582" i="5" s="1"/>
  <c r="AE582" i="5" s="1"/>
  <c r="AF582" i="5" s="1"/>
  <c r="A582" i="5"/>
  <c r="AI581" i="5"/>
  <c r="AJ581" i="5" s="1"/>
  <c r="AH581" i="5"/>
  <c r="AB581" i="5"/>
  <c r="AD581" i="5" s="1"/>
  <c r="A581" i="5"/>
  <c r="AI580" i="5"/>
  <c r="AJ580" i="5" s="1"/>
  <c r="AH580" i="5"/>
  <c r="AD580" i="5"/>
  <c r="AB580" i="5"/>
  <c r="AC580" i="5" s="1"/>
  <c r="AE580" i="5" s="1"/>
  <c r="AF580" i="5" s="1"/>
  <c r="A580" i="5"/>
  <c r="AI579" i="5"/>
  <c r="AJ579" i="5" s="1"/>
  <c r="AH579" i="5"/>
  <c r="AB579" i="5"/>
  <c r="A579" i="5"/>
  <c r="AI578" i="5"/>
  <c r="AJ578" i="5" s="1"/>
  <c r="AH578" i="5"/>
  <c r="AB578" i="5"/>
  <c r="AC578" i="5" s="1"/>
  <c r="AE578" i="5" s="1"/>
  <c r="AF578" i="5" s="1"/>
  <c r="A578" i="5"/>
  <c r="AI577" i="5"/>
  <c r="AJ577" i="5" s="1"/>
  <c r="AH577" i="5"/>
  <c r="AB577" i="5"/>
  <c r="A577" i="5"/>
  <c r="AI576" i="5"/>
  <c r="AJ576" i="5" s="1"/>
  <c r="AH576" i="5"/>
  <c r="AB576" i="5"/>
  <c r="AC576" i="5" s="1"/>
  <c r="AE576" i="5" s="1"/>
  <c r="AF576" i="5" s="1"/>
  <c r="A576" i="5"/>
  <c r="AI575" i="5"/>
  <c r="AJ575" i="5" s="1"/>
  <c r="AH575" i="5"/>
  <c r="AB575" i="5"/>
  <c r="AD575" i="5" s="1"/>
  <c r="A575" i="5"/>
  <c r="AI574" i="5"/>
  <c r="AJ574" i="5" s="1"/>
  <c r="AH574" i="5"/>
  <c r="AB574" i="5"/>
  <c r="A574" i="5"/>
  <c r="AI573" i="5"/>
  <c r="AJ573" i="5" s="1"/>
  <c r="AH573" i="5"/>
  <c r="AB573" i="5"/>
  <c r="A573" i="5"/>
  <c r="AI572" i="5"/>
  <c r="AJ572" i="5" s="1"/>
  <c r="AH572" i="5"/>
  <c r="AB572" i="5"/>
  <c r="AD572" i="5" s="1"/>
  <c r="A572" i="5"/>
  <c r="AI571" i="5"/>
  <c r="AJ571" i="5" s="1"/>
  <c r="AH571" i="5"/>
  <c r="AB571" i="5"/>
  <c r="AD571" i="5" s="1"/>
  <c r="A571" i="5"/>
  <c r="AI570" i="5"/>
  <c r="AJ570" i="5" s="1"/>
  <c r="AH570" i="5"/>
  <c r="AB570" i="5"/>
  <c r="AD570" i="5" s="1"/>
  <c r="A570" i="5"/>
  <c r="AI569" i="5"/>
  <c r="AJ569" i="5" s="1"/>
  <c r="AH569" i="5"/>
  <c r="AB569" i="5"/>
  <c r="AD569" i="5" s="1"/>
  <c r="A569" i="5"/>
  <c r="AI568" i="5"/>
  <c r="AJ568" i="5" s="1"/>
  <c r="AH568" i="5"/>
  <c r="AB568" i="5"/>
  <c r="A568" i="5"/>
  <c r="AI567" i="5"/>
  <c r="AJ567" i="5" s="1"/>
  <c r="AH567" i="5"/>
  <c r="AB567" i="5"/>
  <c r="A567" i="5"/>
  <c r="AI566" i="5"/>
  <c r="AJ566" i="5" s="1"/>
  <c r="AH566" i="5"/>
  <c r="AB566" i="5"/>
  <c r="AD566" i="5" s="1"/>
  <c r="A566" i="5"/>
  <c r="AI565" i="5"/>
  <c r="AJ565" i="5" s="1"/>
  <c r="AH565" i="5"/>
  <c r="AB565" i="5"/>
  <c r="AD565" i="5" s="1"/>
  <c r="A565" i="5"/>
  <c r="AI564" i="5"/>
  <c r="AJ564" i="5" s="1"/>
  <c r="AH564" i="5"/>
  <c r="AB564" i="5"/>
  <c r="A564" i="5"/>
  <c r="AI563" i="5"/>
  <c r="AJ563" i="5" s="1"/>
  <c r="AH563" i="5"/>
  <c r="AB563" i="5"/>
  <c r="A563" i="5"/>
  <c r="AI562" i="5"/>
  <c r="AJ562" i="5" s="1"/>
  <c r="AH562" i="5"/>
  <c r="AB562" i="5"/>
  <c r="AD562" i="5" s="1"/>
  <c r="A562" i="5"/>
  <c r="AI561" i="5"/>
  <c r="AJ561" i="5" s="1"/>
  <c r="AH561" i="5"/>
  <c r="AB561" i="5"/>
  <c r="A561" i="5"/>
  <c r="AI560" i="5"/>
  <c r="AJ560" i="5" s="1"/>
  <c r="AH560" i="5"/>
  <c r="AB560" i="5"/>
  <c r="AC560" i="5" s="1"/>
  <c r="AE560" i="5" s="1"/>
  <c r="AF560" i="5" s="1"/>
  <c r="A560" i="5"/>
  <c r="AI559" i="5"/>
  <c r="AJ559" i="5" s="1"/>
  <c r="AH559" i="5"/>
  <c r="AB559" i="5"/>
  <c r="AC559" i="5" s="1"/>
  <c r="AE559" i="5" s="1"/>
  <c r="AF559" i="5" s="1"/>
  <c r="A559" i="5"/>
  <c r="AI558" i="5"/>
  <c r="AJ558" i="5" s="1"/>
  <c r="AH558" i="5"/>
  <c r="AB558" i="5"/>
  <c r="A558" i="5"/>
  <c r="AI557" i="5"/>
  <c r="AJ557" i="5" s="1"/>
  <c r="AH557" i="5"/>
  <c r="AB557" i="5"/>
  <c r="AC557" i="5" s="1"/>
  <c r="AE557" i="5" s="1"/>
  <c r="AF557" i="5" s="1"/>
  <c r="A557" i="5"/>
  <c r="AI556" i="5"/>
  <c r="AJ556" i="5" s="1"/>
  <c r="AH556" i="5"/>
  <c r="AB556" i="5"/>
  <c r="A556" i="5"/>
  <c r="AI555" i="5"/>
  <c r="AJ555" i="5" s="1"/>
  <c r="AH555" i="5"/>
  <c r="AB555" i="5"/>
  <c r="AC555" i="5" s="1"/>
  <c r="AE555" i="5" s="1"/>
  <c r="AF555" i="5" s="1"/>
  <c r="A555" i="5"/>
  <c r="AI554" i="5"/>
  <c r="AJ554" i="5" s="1"/>
  <c r="AH554" i="5"/>
  <c r="AB554" i="5"/>
  <c r="A554" i="5"/>
  <c r="AI553" i="5"/>
  <c r="AJ553" i="5" s="1"/>
  <c r="AH553" i="5"/>
  <c r="AB553" i="5"/>
  <c r="AC553" i="5" s="1"/>
  <c r="AE553" i="5" s="1"/>
  <c r="AF553" i="5" s="1"/>
  <c r="A553" i="5"/>
  <c r="AI552" i="5"/>
  <c r="AJ552" i="5" s="1"/>
  <c r="AH552" i="5"/>
  <c r="AB552" i="5"/>
  <c r="A552" i="5"/>
  <c r="AI551" i="5"/>
  <c r="AJ551" i="5" s="1"/>
  <c r="AH551" i="5"/>
  <c r="AB551" i="5"/>
  <c r="AD551" i="5" s="1"/>
  <c r="A551" i="5"/>
  <c r="AI550" i="5"/>
  <c r="AJ550" i="5" s="1"/>
  <c r="AH550" i="5"/>
  <c r="AB550" i="5"/>
  <c r="AD550" i="5" s="1"/>
  <c r="A550" i="5"/>
  <c r="AI549" i="5"/>
  <c r="AJ549" i="5" s="1"/>
  <c r="AH549" i="5"/>
  <c r="AB549" i="5"/>
  <c r="AD549" i="5" s="1"/>
  <c r="A549" i="5"/>
  <c r="AI548" i="5"/>
  <c r="AJ548" i="5" s="1"/>
  <c r="AH548" i="5"/>
  <c r="AB548" i="5"/>
  <c r="AD548" i="5" s="1"/>
  <c r="A548" i="5"/>
  <c r="AI547" i="5"/>
  <c r="AJ547" i="5" s="1"/>
  <c r="AH547" i="5"/>
  <c r="AC547" i="5"/>
  <c r="AE547" i="5" s="1"/>
  <c r="AF547" i="5" s="1"/>
  <c r="AB547" i="5"/>
  <c r="AD547" i="5" s="1"/>
  <c r="A547" i="5"/>
  <c r="AI546" i="5"/>
  <c r="AJ546" i="5" s="1"/>
  <c r="AH546" i="5"/>
  <c r="AB546" i="5"/>
  <c r="AD546" i="5" s="1"/>
  <c r="A546" i="5"/>
  <c r="AI545" i="5"/>
  <c r="AJ545" i="5" s="1"/>
  <c r="AH545" i="5"/>
  <c r="AB545" i="5"/>
  <c r="AC545" i="5" s="1"/>
  <c r="AE545" i="5" s="1"/>
  <c r="AF545" i="5" s="1"/>
  <c r="A545" i="5"/>
  <c r="AI544" i="5"/>
  <c r="AJ544" i="5" s="1"/>
  <c r="AH544" i="5"/>
  <c r="AB544" i="5"/>
  <c r="AD544" i="5" s="1"/>
  <c r="A544" i="5"/>
  <c r="AI543" i="5"/>
  <c r="AJ543" i="5" s="1"/>
  <c r="AH543" i="5"/>
  <c r="AB543" i="5"/>
  <c r="A543" i="5"/>
  <c r="AI542" i="5"/>
  <c r="AJ542" i="5" s="1"/>
  <c r="AH542" i="5"/>
  <c r="AB542" i="5"/>
  <c r="AD542" i="5" s="1"/>
  <c r="A542" i="5"/>
  <c r="AI541" i="5"/>
  <c r="AJ541" i="5" s="1"/>
  <c r="AH541" i="5"/>
  <c r="AB541" i="5"/>
  <c r="A541" i="5"/>
  <c r="AI540" i="5"/>
  <c r="AJ540" i="5" s="1"/>
  <c r="AH540" i="5"/>
  <c r="AD540" i="5"/>
  <c r="AB540" i="5"/>
  <c r="AC540" i="5" s="1"/>
  <c r="AE540" i="5" s="1"/>
  <c r="AF540" i="5" s="1"/>
  <c r="A540" i="5"/>
  <c r="AI539" i="5"/>
  <c r="AJ539" i="5" s="1"/>
  <c r="AH539" i="5"/>
  <c r="AB539" i="5"/>
  <c r="A539" i="5"/>
  <c r="AI538" i="5"/>
  <c r="AJ538" i="5" s="1"/>
  <c r="AH538" i="5"/>
  <c r="AB538" i="5"/>
  <c r="AC538" i="5" s="1"/>
  <c r="AE538" i="5" s="1"/>
  <c r="AF538" i="5" s="1"/>
  <c r="A538" i="5"/>
  <c r="AI537" i="5"/>
  <c r="AJ537" i="5" s="1"/>
  <c r="AH537" i="5"/>
  <c r="AB537" i="5"/>
  <c r="A537" i="5"/>
  <c r="AI536" i="5"/>
  <c r="AJ536" i="5" s="1"/>
  <c r="AH536" i="5"/>
  <c r="AB536" i="5"/>
  <c r="AC536" i="5" s="1"/>
  <c r="AE536" i="5" s="1"/>
  <c r="AF536" i="5" s="1"/>
  <c r="A536" i="5"/>
  <c r="AI535" i="5"/>
  <c r="AJ535" i="5" s="1"/>
  <c r="AH535" i="5"/>
  <c r="AB535" i="5"/>
  <c r="A535" i="5"/>
  <c r="AI534" i="5"/>
  <c r="AJ534" i="5" s="1"/>
  <c r="AH534" i="5"/>
  <c r="AB534" i="5"/>
  <c r="A534" i="5"/>
  <c r="AI533" i="5"/>
  <c r="AJ533" i="5" s="1"/>
  <c r="AH533" i="5"/>
  <c r="AB533" i="5"/>
  <c r="A533" i="5"/>
  <c r="AI532" i="5"/>
  <c r="AJ532" i="5" s="1"/>
  <c r="AH532" i="5"/>
  <c r="AB532" i="5"/>
  <c r="AD532" i="5" s="1"/>
  <c r="A532" i="5"/>
  <c r="AI531" i="5"/>
  <c r="AJ531" i="5" s="1"/>
  <c r="AH531" i="5"/>
  <c r="AB531" i="5"/>
  <c r="AD531" i="5" s="1"/>
  <c r="A531" i="5"/>
  <c r="AI530" i="5"/>
  <c r="AJ530" i="5" s="1"/>
  <c r="AH530" i="5"/>
  <c r="AB530" i="5"/>
  <c r="AD530" i="5" s="1"/>
  <c r="A530" i="5"/>
  <c r="AI529" i="5"/>
  <c r="AJ529" i="5" s="1"/>
  <c r="AH529" i="5"/>
  <c r="AB529" i="5"/>
  <c r="AD529" i="5" s="1"/>
  <c r="A529" i="5"/>
  <c r="AI528" i="5"/>
  <c r="AJ528" i="5" s="1"/>
  <c r="AH528" i="5"/>
  <c r="AB528" i="5"/>
  <c r="AC528" i="5" s="1"/>
  <c r="AE528" i="5" s="1"/>
  <c r="AF528" i="5" s="1"/>
  <c r="A528" i="5"/>
  <c r="AI527" i="5"/>
  <c r="AJ527" i="5" s="1"/>
  <c r="AH527" i="5"/>
  <c r="AB527" i="5"/>
  <c r="AD527" i="5" s="1"/>
  <c r="A527" i="5"/>
  <c r="AI526" i="5"/>
  <c r="AJ526" i="5" s="1"/>
  <c r="AH526" i="5"/>
  <c r="AB526" i="5"/>
  <c r="AC526" i="5" s="1"/>
  <c r="AE526" i="5" s="1"/>
  <c r="AF526" i="5" s="1"/>
  <c r="A526" i="5"/>
  <c r="AI525" i="5"/>
  <c r="AJ525" i="5" s="1"/>
  <c r="AH525" i="5"/>
  <c r="AB525" i="5"/>
  <c r="AD525" i="5" s="1"/>
  <c r="A525" i="5"/>
  <c r="AI524" i="5"/>
  <c r="AJ524" i="5" s="1"/>
  <c r="AH524" i="5"/>
  <c r="AB524" i="5"/>
  <c r="AD524" i="5" s="1"/>
  <c r="A524" i="5"/>
  <c r="AI523" i="5"/>
  <c r="AJ523" i="5" s="1"/>
  <c r="AH523" i="5"/>
  <c r="AB523" i="5"/>
  <c r="AD523" i="5" s="1"/>
  <c r="A523" i="5"/>
  <c r="AI522" i="5"/>
  <c r="AJ522" i="5" s="1"/>
  <c r="AH522" i="5"/>
  <c r="AB522" i="5"/>
  <c r="AD522" i="5" s="1"/>
  <c r="A522" i="5"/>
  <c r="AI521" i="5"/>
  <c r="AJ521" i="5" s="1"/>
  <c r="AH521" i="5"/>
  <c r="AB521" i="5"/>
  <c r="AD521" i="5" s="1"/>
  <c r="A521" i="5"/>
  <c r="AI520" i="5"/>
  <c r="AJ520" i="5" s="1"/>
  <c r="AH520" i="5"/>
  <c r="AC520" i="5"/>
  <c r="AE520" i="5" s="1"/>
  <c r="AF520" i="5" s="1"/>
  <c r="AB520" i="5"/>
  <c r="AD520" i="5" s="1"/>
  <c r="A520" i="5"/>
  <c r="AI519" i="5"/>
  <c r="AJ519" i="5" s="1"/>
  <c r="AH519" i="5"/>
  <c r="AB519" i="5"/>
  <c r="AD519" i="5" s="1"/>
  <c r="A519" i="5"/>
  <c r="AI518" i="5"/>
  <c r="AJ518" i="5" s="1"/>
  <c r="AH518" i="5"/>
  <c r="AB518" i="5"/>
  <c r="AC518" i="5" s="1"/>
  <c r="AE518" i="5" s="1"/>
  <c r="AF518" i="5" s="1"/>
  <c r="A518" i="5"/>
  <c r="AI517" i="5"/>
  <c r="AJ517" i="5" s="1"/>
  <c r="AH517" i="5"/>
  <c r="AB517" i="5"/>
  <c r="AD517" i="5" s="1"/>
  <c r="A517" i="5"/>
  <c r="AI516" i="5"/>
  <c r="AJ516" i="5" s="1"/>
  <c r="AH516" i="5"/>
  <c r="AB516" i="5"/>
  <c r="AD516" i="5" s="1"/>
  <c r="A516" i="5"/>
  <c r="AI515" i="5"/>
  <c r="AJ515" i="5" s="1"/>
  <c r="AH515" i="5"/>
  <c r="AB515" i="5"/>
  <c r="AD515" i="5" s="1"/>
  <c r="A515" i="5"/>
  <c r="AI514" i="5"/>
  <c r="AJ514" i="5" s="1"/>
  <c r="AH514" i="5"/>
  <c r="AB514" i="5"/>
  <c r="AD514" i="5" s="1"/>
  <c r="A514" i="5"/>
  <c r="AI513" i="5"/>
  <c r="AJ513" i="5" s="1"/>
  <c r="AH513" i="5"/>
  <c r="AB513" i="5"/>
  <c r="AD513" i="5" s="1"/>
  <c r="A513" i="5"/>
  <c r="AI512" i="5"/>
  <c r="AJ512" i="5" s="1"/>
  <c r="AH512" i="5"/>
  <c r="AB512" i="5"/>
  <c r="AC512" i="5" s="1"/>
  <c r="AE512" i="5" s="1"/>
  <c r="AF512" i="5" s="1"/>
  <c r="A512" i="5"/>
  <c r="AI511" i="5"/>
  <c r="AJ511" i="5" s="1"/>
  <c r="AH511" i="5"/>
  <c r="AB511" i="5"/>
  <c r="AD511" i="5" s="1"/>
  <c r="A511" i="5"/>
  <c r="AI510" i="5"/>
  <c r="AJ510" i="5" s="1"/>
  <c r="AH510" i="5"/>
  <c r="AB510" i="5"/>
  <c r="AC510" i="5" s="1"/>
  <c r="AE510" i="5" s="1"/>
  <c r="AF510" i="5" s="1"/>
  <c r="A510" i="5"/>
  <c r="AI509" i="5"/>
  <c r="AJ509" i="5" s="1"/>
  <c r="AH509" i="5"/>
  <c r="AB509" i="5"/>
  <c r="AD509" i="5" s="1"/>
  <c r="A509" i="5"/>
  <c r="AI508" i="5"/>
  <c r="AJ508" i="5" s="1"/>
  <c r="AH508" i="5"/>
  <c r="AB508" i="5"/>
  <c r="AD508" i="5" s="1"/>
  <c r="A508" i="5"/>
  <c r="AI507" i="5"/>
  <c r="AJ507" i="5" s="1"/>
  <c r="AH507" i="5"/>
  <c r="AB507" i="5"/>
  <c r="AC507" i="5" s="1"/>
  <c r="AE507" i="5" s="1"/>
  <c r="AF507" i="5" s="1"/>
  <c r="A507" i="5"/>
  <c r="AI506" i="5"/>
  <c r="AJ506" i="5" s="1"/>
  <c r="AH506" i="5"/>
  <c r="AB506" i="5"/>
  <c r="A506" i="5"/>
  <c r="AI505" i="5"/>
  <c r="AJ505" i="5" s="1"/>
  <c r="AH505" i="5"/>
  <c r="AB505" i="5"/>
  <c r="AC505" i="5" s="1"/>
  <c r="AE505" i="5" s="1"/>
  <c r="AF505" i="5" s="1"/>
  <c r="A505" i="5"/>
  <c r="AI504" i="5"/>
  <c r="AJ504" i="5" s="1"/>
  <c r="AH504" i="5"/>
  <c r="AB504" i="5"/>
  <c r="A504" i="5"/>
  <c r="AI503" i="5"/>
  <c r="AJ503" i="5" s="1"/>
  <c r="AH503" i="5"/>
  <c r="AB503" i="5"/>
  <c r="AD503" i="5" s="1"/>
  <c r="A503" i="5"/>
  <c r="AI502" i="5"/>
  <c r="AJ502" i="5" s="1"/>
  <c r="AH502" i="5"/>
  <c r="AB502" i="5"/>
  <c r="AD502" i="5" s="1"/>
  <c r="A502" i="5"/>
  <c r="AI501" i="5"/>
  <c r="AJ501" i="5" s="1"/>
  <c r="AH501" i="5"/>
  <c r="AB501" i="5"/>
  <c r="AD501" i="5" s="1"/>
  <c r="A501" i="5"/>
  <c r="AI500" i="5"/>
  <c r="AJ500" i="5" s="1"/>
  <c r="AH500" i="5"/>
  <c r="AB500" i="5"/>
  <c r="AD500" i="5" s="1"/>
  <c r="A500" i="5"/>
  <c r="AI499" i="5"/>
  <c r="AJ499" i="5" s="1"/>
  <c r="AH499" i="5"/>
  <c r="AB499" i="5"/>
  <c r="AD499" i="5" s="1"/>
  <c r="A499" i="5"/>
  <c r="AI498" i="5"/>
  <c r="AJ498" i="5" s="1"/>
  <c r="AH498" i="5"/>
  <c r="AB498" i="5"/>
  <c r="AD498" i="5" s="1"/>
  <c r="A498" i="5"/>
  <c r="AI497" i="5"/>
  <c r="AJ497" i="5" s="1"/>
  <c r="AH497" i="5"/>
  <c r="AB497" i="5"/>
  <c r="AC497" i="5" s="1"/>
  <c r="AE497" i="5" s="1"/>
  <c r="AF497" i="5" s="1"/>
  <c r="A497" i="5"/>
  <c r="AI496" i="5"/>
  <c r="AJ496" i="5" s="1"/>
  <c r="AH496" i="5"/>
  <c r="AB496" i="5"/>
  <c r="AD496" i="5" s="1"/>
  <c r="A496" i="5"/>
  <c r="AI495" i="5"/>
  <c r="AJ495" i="5" s="1"/>
  <c r="AH495" i="5"/>
  <c r="AB495" i="5"/>
  <c r="AD495" i="5" s="1"/>
  <c r="A495" i="5"/>
  <c r="AI494" i="5"/>
  <c r="AJ494" i="5" s="1"/>
  <c r="AH494" i="5"/>
  <c r="AB494" i="5"/>
  <c r="AD494" i="5" s="1"/>
  <c r="A494" i="5"/>
  <c r="AI493" i="5"/>
  <c r="AJ493" i="5" s="1"/>
  <c r="AH493" i="5"/>
  <c r="AB493" i="5"/>
  <c r="AD493" i="5" s="1"/>
  <c r="A493" i="5"/>
  <c r="AI492" i="5"/>
  <c r="AJ492" i="5" s="1"/>
  <c r="AH492" i="5"/>
  <c r="AB492" i="5"/>
  <c r="AD492" i="5" s="1"/>
  <c r="A492" i="5"/>
  <c r="AI491" i="5"/>
  <c r="AJ491" i="5" s="1"/>
  <c r="AH491" i="5"/>
  <c r="AB491" i="5"/>
  <c r="AD491" i="5" s="1"/>
  <c r="A491" i="5"/>
  <c r="AI490" i="5"/>
  <c r="AJ490" i="5" s="1"/>
  <c r="AH490" i="5"/>
  <c r="AB490" i="5"/>
  <c r="AD490" i="5" s="1"/>
  <c r="A490" i="5"/>
  <c r="AI489" i="5"/>
  <c r="AJ489" i="5" s="1"/>
  <c r="AH489" i="5"/>
  <c r="AB489" i="5"/>
  <c r="AD489" i="5" s="1"/>
  <c r="A489" i="5"/>
  <c r="AI488" i="5"/>
  <c r="AJ488" i="5" s="1"/>
  <c r="AH488" i="5"/>
  <c r="AB488" i="5"/>
  <c r="AD488" i="5" s="1"/>
  <c r="A488" i="5"/>
  <c r="AI487" i="5"/>
  <c r="AJ487" i="5" s="1"/>
  <c r="AH487" i="5"/>
  <c r="AB487" i="5"/>
  <c r="AC487" i="5" s="1"/>
  <c r="AE487" i="5" s="1"/>
  <c r="AF487" i="5" s="1"/>
  <c r="A487" i="5"/>
  <c r="AI486" i="5"/>
  <c r="AJ486" i="5" s="1"/>
  <c r="AH486" i="5"/>
  <c r="AB486" i="5"/>
  <c r="AD486" i="5" s="1"/>
  <c r="A486" i="5"/>
  <c r="AI485" i="5"/>
  <c r="AJ485" i="5" s="1"/>
  <c r="AH485" i="5"/>
  <c r="AB485" i="5"/>
  <c r="AC485" i="5" s="1"/>
  <c r="AE485" i="5" s="1"/>
  <c r="AF485" i="5" s="1"/>
  <c r="A485" i="5"/>
  <c r="AI484" i="5"/>
  <c r="AJ484" i="5" s="1"/>
  <c r="AH484" i="5"/>
  <c r="AB484" i="5"/>
  <c r="AD484" i="5" s="1"/>
  <c r="A484" i="5"/>
  <c r="AI483" i="5"/>
  <c r="AJ483" i="5" s="1"/>
  <c r="AH483" i="5"/>
  <c r="AD483" i="5"/>
  <c r="AB483" i="5"/>
  <c r="AC483" i="5" s="1"/>
  <c r="AE483" i="5" s="1"/>
  <c r="AF483" i="5" s="1"/>
  <c r="A483" i="5"/>
  <c r="AI482" i="5"/>
  <c r="AJ482" i="5" s="1"/>
  <c r="AH482" i="5"/>
  <c r="AB482" i="5"/>
  <c r="AD482" i="5" s="1"/>
  <c r="A482" i="5"/>
  <c r="AI481" i="5"/>
  <c r="AJ481" i="5" s="1"/>
  <c r="AH481" i="5"/>
  <c r="AB481" i="5"/>
  <c r="AC481" i="5" s="1"/>
  <c r="AE481" i="5" s="1"/>
  <c r="AF481" i="5" s="1"/>
  <c r="A481" i="5"/>
  <c r="AI480" i="5"/>
  <c r="AJ480" i="5" s="1"/>
  <c r="AH480" i="5"/>
  <c r="AB480" i="5"/>
  <c r="AC480" i="5" s="1"/>
  <c r="AE480" i="5" s="1"/>
  <c r="AF480" i="5" s="1"/>
  <c r="A480" i="5"/>
  <c r="AI479" i="5"/>
  <c r="AJ479" i="5" s="1"/>
  <c r="AH479" i="5"/>
  <c r="AB479" i="5"/>
  <c r="AC479" i="5" s="1"/>
  <c r="AE479" i="5" s="1"/>
  <c r="AF479" i="5" s="1"/>
  <c r="A479" i="5"/>
  <c r="AI478" i="5"/>
  <c r="AJ478" i="5" s="1"/>
  <c r="AH478" i="5"/>
  <c r="AB478" i="5"/>
  <c r="AC478" i="5" s="1"/>
  <c r="AE478" i="5" s="1"/>
  <c r="AF478" i="5" s="1"/>
  <c r="A478" i="5"/>
  <c r="AI477" i="5"/>
  <c r="AJ477" i="5" s="1"/>
  <c r="AH477" i="5"/>
  <c r="AB477" i="5"/>
  <c r="AD477" i="5" s="1"/>
  <c r="A477" i="5"/>
  <c r="AI476" i="5"/>
  <c r="AJ476" i="5" s="1"/>
  <c r="AH476" i="5"/>
  <c r="AB476" i="5"/>
  <c r="AD476" i="5" s="1"/>
  <c r="A476" i="5"/>
  <c r="AI475" i="5"/>
  <c r="AJ475" i="5" s="1"/>
  <c r="AH475" i="5"/>
  <c r="AB475" i="5"/>
  <c r="AD475" i="5" s="1"/>
  <c r="A475" i="5"/>
  <c r="AI474" i="5"/>
  <c r="AJ474" i="5" s="1"/>
  <c r="AH474" i="5"/>
  <c r="AB474" i="5"/>
  <c r="AD474" i="5" s="1"/>
  <c r="A474" i="5"/>
  <c r="AI473" i="5"/>
  <c r="AJ473" i="5" s="1"/>
  <c r="AH473" i="5"/>
  <c r="AB473" i="5"/>
  <c r="AD473" i="5" s="1"/>
  <c r="A473" i="5"/>
  <c r="AI472" i="5"/>
  <c r="AJ472" i="5" s="1"/>
  <c r="AH472" i="5"/>
  <c r="AC472" i="5"/>
  <c r="AE472" i="5" s="1"/>
  <c r="AF472" i="5" s="1"/>
  <c r="AB472" i="5"/>
  <c r="AD472" i="5" s="1"/>
  <c r="A472" i="5"/>
  <c r="AI471" i="5"/>
  <c r="AJ471" i="5" s="1"/>
  <c r="AH471" i="5"/>
  <c r="AB471" i="5"/>
  <c r="AD471" i="5" s="1"/>
  <c r="A471" i="5"/>
  <c r="AI470" i="5"/>
  <c r="AJ470" i="5" s="1"/>
  <c r="AH470" i="5"/>
  <c r="AB470" i="5"/>
  <c r="AC470" i="5" s="1"/>
  <c r="AE470" i="5" s="1"/>
  <c r="AF470" i="5" s="1"/>
  <c r="A470" i="5"/>
  <c r="AI469" i="5"/>
  <c r="AJ469" i="5" s="1"/>
  <c r="AH469" i="5"/>
  <c r="AB469" i="5"/>
  <c r="AC469" i="5" s="1"/>
  <c r="AE469" i="5" s="1"/>
  <c r="AF469" i="5" s="1"/>
  <c r="A469" i="5"/>
  <c r="AI468" i="5"/>
  <c r="AJ468" i="5" s="1"/>
  <c r="AH468" i="5"/>
  <c r="AB468" i="5"/>
  <c r="AC468" i="5" s="1"/>
  <c r="AE468" i="5" s="1"/>
  <c r="AF468" i="5" s="1"/>
  <c r="A468" i="5"/>
  <c r="AI467" i="5"/>
  <c r="AJ467" i="5" s="1"/>
  <c r="AH467" i="5"/>
  <c r="AB467" i="5"/>
  <c r="AC467" i="5" s="1"/>
  <c r="AE467" i="5" s="1"/>
  <c r="AF467" i="5" s="1"/>
  <c r="A467" i="5"/>
  <c r="AI466" i="5"/>
  <c r="AJ466" i="5" s="1"/>
  <c r="AH466" i="5"/>
  <c r="AB466" i="5"/>
  <c r="AD466" i="5" s="1"/>
  <c r="A466" i="5"/>
  <c r="AI465" i="5"/>
  <c r="AJ465" i="5" s="1"/>
  <c r="AH465" i="5"/>
  <c r="AD465" i="5"/>
  <c r="AB465" i="5"/>
  <c r="AC465" i="5" s="1"/>
  <c r="AE465" i="5" s="1"/>
  <c r="AF465" i="5" s="1"/>
  <c r="A465" i="5"/>
  <c r="AI464" i="5"/>
  <c r="AJ464" i="5" s="1"/>
  <c r="AH464" i="5"/>
  <c r="AD464" i="5"/>
  <c r="AB464" i="5"/>
  <c r="AC464" i="5" s="1"/>
  <c r="AE464" i="5" s="1"/>
  <c r="AF464" i="5" s="1"/>
  <c r="A464" i="5"/>
  <c r="AI463" i="5"/>
  <c r="AJ463" i="5" s="1"/>
  <c r="AH463" i="5"/>
  <c r="AE463" i="5"/>
  <c r="AF463" i="5" s="1"/>
  <c r="AB463" i="5"/>
  <c r="AC463" i="5" s="1"/>
  <c r="A463" i="5"/>
  <c r="AI462" i="5"/>
  <c r="AJ462" i="5" s="1"/>
  <c r="AH462" i="5"/>
  <c r="AB462" i="5"/>
  <c r="AC462" i="5" s="1"/>
  <c r="AE462" i="5" s="1"/>
  <c r="AF462" i="5" s="1"/>
  <c r="A462" i="5"/>
  <c r="AI461" i="5"/>
  <c r="AJ461" i="5" s="1"/>
  <c r="AH461" i="5"/>
  <c r="AB461" i="5"/>
  <c r="AC461" i="5" s="1"/>
  <c r="AE461" i="5" s="1"/>
  <c r="AF461" i="5" s="1"/>
  <c r="A461" i="5"/>
  <c r="AI460" i="5"/>
  <c r="AJ460" i="5" s="1"/>
  <c r="AH460" i="5"/>
  <c r="AB460" i="5"/>
  <c r="AD460" i="5" s="1"/>
  <c r="A460" i="5"/>
  <c r="AI459" i="5"/>
  <c r="AJ459" i="5" s="1"/>
  <c r="AH459" i="5"/>
  <c r="AB459" i="5"/>
  <c r="AC459" i="5" s="1"/>
  <c r="AE459" i="5" s="1"/>
  <c r="AF459" i="5" s="1"/>
  <c r="A459" i="5"/>
  <c r="AI458" i="5"/>
  <c r="AJ458" i="5" s="1"/>
  <c r="AH458" i="5"/>
  <c r="AB458" i="5"/>
  <c r="AC458" i="5" s="1"/>
  <c r="AE458" i="5" s="1"/>
  <c r="AF458" i="5" s="1"/>
  <c r="A458" i="5"/>
  <c r="AI457" i="5"/>
  <c r="AJ457" i="5" s="1"/>
  <c r="AH457" i="5"/>
  <c r="AB457" i="5"/>
  <c r="AC457" i="5" s="1"/>
  <c r="AE457" i="5" s="1"/>
  <c r="AF457" i="5" s="1"/>
  <c r="A457" i="5"/>
  <c r="AI456" i="5"/>
  <c r="AJ456" i="5" s="1"/>
  <c r="AH456" i="5"/>
  <c r="AB456" i="5"/>
  <c r="AD456" i="5" s="1"/>
  <c r="A456" i="5"/>
  <c r="AI455" i="5"/>
  <c r="AJ455" i="5" s="1"/>
  <c r="AH455" i="5"/>
  <c r="AB455" i="5"/>
  <c r="AC455" i="5" s="1"/>
  <c r="AE455" i="5" s="1"/>
  <c r="AF455" i="5" s="1"/>
  <c r="A455" i="5"/>
  <c r="AI454" i="5"/>
  <c r="AJ454" i="5" s="1"/>
  <c r="AH454" i="5"/>
  <c r="AB454" i="5"/>
  <c r="AC454" i="5" s="1"/>
  <c r="AE454" i="5" s="1"/>
  <c r="AF454" i="5" s="1"/>
  <c r="A454" i="5"/>
  <c r="AI453" i="5"/>
  <c r="AJ453" i="5" s="1"/>
  <c r="AH453" i="5"/>
  <c r="AB453" i="5"/>
  <c r="AC453" i="5" s="1"/>
  <c r="AE453" i="5" s="1"/>
  <c r="AF453" i="5" s="1"/>
  <c r="A453" i="5"/>
  <c r="AI452" i="5"/>
  <c r="AJ452" i="5" s="1"/>
  <c r="AH452" i="5"/>
  <c r="AB452" i="5"/>
  <c r="AD452" i="5" s="1"/>
  <c r="A452" i="5"/>
  <c r="AI451" i="5"/>
  <c r="AJ451" i="5" s="1"/>
  <c r="AH451" i="5"/>
  <c r="AB451" i="5"/>
  <c r="AC451" i="5" s="1"/>
  <c r="AE451" i="5" s="1"/>
  <c r="AF451" i="5" s="1"/>
  <c r="A451" i="5"/>
  <c r="AI450" i="5"/>
  <c r="AJ450" i="5" s="1"/>
  <c r="AH450" i="5"/>
  <c r="AB450" i="5"/>
  <c r="AC450" i="5" s="1"/>
  <c r="AE450" i="5" s="1"/>
  <c r="AF450" i="5" s="1"/>
  <c r="A450" i="5"/>
  <c r="AI449" i="5"/>
  <c r="AJ449" i="5" s="1"/>
  <c r="AH449" i="5"/>
  <c r="AB449" i="5"/>
  <c r="AC449" i="5" s="1"/>
  <c r="AE449" i="5" s="1"/>
  <c r="AF449" i="5" s="1"/>
  <c r="A449" i="5"/>
  <c r="AI448" i="5"/>
  <c r="AJ448" i="5" s="1"/>
  <c r="AH448" i="5"/>
  <c r="AD448" i="5"/>
  <c r="AB448" i="5"/>
  <c r="AC448" i="5" s="1"/>
  <c r="AE448" i="5" s="1"/>
  <c r="AF448" i="5" s="1"/>
  <c r="A448" i="5"/>
  <c r="AI447" i="5"/>
  <c r="AJ447" i="5" s="1"/>
  <c r="AH447" i="5"/>
  <c r="AE447" i="5"/>
  <c r="AF447" i="5" s="1"/>
  <c r="AB447" i="5"/>
  <c r="AC447" i="5" s="1"/>
  <c r="A447" i="5"/>
  <c r="AI446" i="5"/>
  <c r="AJ446" i="5" s="1"/>
  <c r="AH446" i="5"/>
  <c r="AB446" i="5"/>
  <c r="AC446" i="5" s="1"/>
  <c r="AE446" i="5" s="1"/>
  <c r="AF446" i="5" s="1"/>
  <c r="A446" i="5"/>
  <c r="AI445" i="5"/>
  <c r="AJ445" i="5" s="1"/>
  <c r="AH445" i="5"/>
  <c r="AB445" i="5"/>
  <c r="AD445" i="5" s="1"/>
  <c r="A445" i="5"/>
  <c r="AI444" i="5"/>
  <c r="AJ444" i="5" s="1"/>
  <c r="AH444" i="5"/>
  <c r="AB444" i="5"/>
  <c r="A444" i="5"/>
  <c r="AI443" i="5"/>
  <c r="AJ443" i="5" s="1"/>
  <c r="AH443" i="5"/>
  <c r="AB443" i="5"/>
  <c r="AD443" i="5" s="1"/>
  <c r="A443" i="5"/>
  <c r="AI442" i="5"/>
  <c r="AJ442" i="5" s="1"/>
  <c r="AH442" i="5"/>
  <c r="AB442" i="5"/>
  <c r="A442" i="5"/>
  <c r="AI441" i="5"/>
  <c r="AJ441" i="5" s="1"/>
  <c r="AH441" i="5"/>
  <c r="AB441" i="5"/>
  <c r="AD441" i="5" s="1"/>
  <c r="A441" i="5"/>
  <c r="AI440" i="5"/>
  <c r="AJ440" i="5" s="1"/>
  <c r="AH440" i="5"/>
  <c r="AD440" i="5"/>
  <c r="AB440" i="5"/>
  <c r="AC440" i="5" s="1"/>
  <c r="AE440" i="5" s="1"/>
  <c r="AF440" i="5" s="1"/>
  <c r="A440" i="5"/>
  <c r="AI439" i="5"/>
  <c r="AJ439" i="5" s="1"/>
  <c r="AH439" i="5"/>
  <c r="AB439" i="5"/>
  <c r="AD439" i="5" s="1"/>
  <c r="A439" i="5"/>
  <c r="AI438" i="5"/>
  <c r="AJ438" i="5" s="1"/>
  <c r="AH438" i="5"/>
  <c r="AB438" i="5"/>
  <c r="AC438" i="5" s="1"/>
  <c r="AE438" i="5" s="1"/>
  <c r="AF438" i="5" s="1"/>
  <c r="A438" i="5"/>
  <c r="AI437" i="5"/>
  <c r="AJ437" i="5" s="1"/>
  <c r="AH437" i="5"/>
  <c r="AB437" i="5"/>
  <c r="AD437" i="5" s="1"/>
  <c r="A437" i="5"/>
  <c r="AI436" i="5"/>
  <c r="AJ436" i="5" s="1"/>
  <c r="AH436" i="5"/>
  <c r="AB436" i="5"/>
  <c r="AC436" i="5" s="1"/>
  <c r="AE436" i="5" s="1"/>
  <c r="AF436" i="5" s="1"/>
  <c r="A436" i="5"/>
  <c r="AI435" i="5"/>
  <c r="AJ435" i="5" s="1"/>
  <c r="AH435" i="5"/>
  <c r="AB435" i="5"/>
  <c r="AD435" i="5" s="1"/>
  <c r="A435" i="5"/>
  <c r="AI434" i="5"/>
  <c r="AJ434" i="5" s="1"/>
  <c r="AH434" i="5"/>
  <c r="AB434" i="5"/>
  <c r="AC434" i="5" s="1"/>
  <c r="AE434" i="5" s="1"/>
  <c r="AF434" i="5" s="1"/>
  <c r="A434" i="5"/>
  <c r="AI433" i="5"/>
  <c r="AJ433" i="5" s="1"/>
  <c r="AH433" i="5"/>
  <c r="AB433" i="5"/>
  <c r="AC433" i="5" s="1"/>
  <c r="AE433" i="5" s="1"/>
  <c r="AF433" i="5" s="1"/>
  <c r="A433" i="5"/>
  <c r="AI432" i="5"/>
  <c r="AJ432" i="5" s="1"/>
  <c r="AH432" i="5"/>
  <c r="AB432" i="5"/>
  <c r="AC432" i="5" s="1"/>
  <c r="AE432" i="5" s="1"/>
  <c r="AF432" i="5" s="1"/>
  <c r="A432" i="5"/>
  <c r="AI431" i="5"/>
  <c r="AJ431" i="5" s="1"/>
  <c r="AH431" i="5"/>
  <c r="AB431" i="5"/>
  <c r="AC431" i="5" s="1"/>
  <c r="AE431" i="5" s="1"/>
  <c r="AF431" i="5" s="1"/>
  <c r="A431" i="5"/>
  <c r="AI430" i="5"/>
  <c r="AJ430" i="5" s="1"/>
  <c r="AH430" i="5"/>
  <c r="AB430" i="5"/>
  <c r="AC430" i="5" s="1"/>
  <c r="AE430" i="5" s="1"/>
  <c r="AF430" i="5" s="1"/>
  <c r="A430" i="5"/>
  <c r="AI429" i="5"/>
  <c r="AJ429" i="5" s="1"/>
  <c r="AH429" i="5"/>
  <c r="AB429" i="5"/>
  <c r="AD429" i="5" s="1"/>
  <c r="A429" i="5"/>
  <c r="AI428" i="5"/>
  <c r="AJ428" i="5" s="1"/>
  <c r="AH428" i="5"/>
  <c r="AB428" i="5"/>
  <c r="AD428" i="5" s="1"/>
  <c r="A428" i="5"/>
  <c r="AI427" i="5"/>
  <c r="AJ427" i="5" s="1"/>
  <c r="AH427" i="5"/>
  <c r="AB427" i="5"/>
  <c r="AC427" i="5" s="1"/>
  <c r="AE427" i="5" s="1"/>
  <c r="AF427" i="5" s="1"/>
  <c r="A427" i="5"/>
  <c r="AI426" i="5"/>
  <c r="AJ426" i="5" s="1"/>
  <c r="AH426" i="5"/>
  <c r="AB426" i="5"/>
  <c r="A426" i="5"/>
  <c r="AI425" i="5"/>
  <c r="AJ425" i="5" s="1"/>
  <c r="AH425" i="5"/>
  <c r="AB425" i="5"/>
  <c r="AD425" i="5" s="1"/>
  <c r="A425" i="5"/>
  <c r="AI424" i="5"/>
  <c r="AJ424" i="5" s="1"/>
  <c r="AH424" i="5"/>
  <c r="AB424" i="5"/>
  <c r="AD424" i="5" s="1"/>
  <c r="A424" i="5"/>
  <c r="AI423" i="5"/>
  <c r="AJ423" i="5" s="1"/>
  <c r="AH423" i="5"/>
  <c r="AB423" i="5"/>
  <c r="AC423" i="5" s="1"/>
  <c r="AE423" i="5" s="1"/>
  <c r="AF423" i="5" s="1"/>
  <c r="A423" i="5"/>
  <c r="AI422" i="5"/>
  <c r="AJ422" i="5" s="1"/>
  <c r="AH422" i="5"/>
  <c r="AB422" i="5"/>
  <c r="A422" i="5"/>
  <c r="AI421" i="5"/>
  <c r="AJ421" i="5" s="1"/>
  <c r="AH421" i="5"/>
  <c r="AB421" i="5"/>
  <c r="AC421" i="5" s="1"/>
  <c r="AE421" i="5" s="1"/>
  <c r="AF421" i="5" s="1"/>
  <c r="A421" i="5"/>
  <c r="AI420" i="5"/>
  <c r="AJ420" i="5" s="1"/>
  <c r="AH420" i="5"/>
  <c r="AB420" i="5"/>
  <c r="AD420" i="5" s="1"/>
  <c r="A420" i="5"/>
  <c r="AI419" i="5"/>
  <c r="AJ419" i="5" s="1"/>
  <c r="AH419" i="5"/>
  <c r="AB419" i="5"/>
  <c r="AD419" i="5" s="1"/>
  <c r="A419" i="5"/>
  <c r="AI418" i="5"/>
  <c r="AJ418" i="5" s="1"/>
  <c r="AH418" i="5"/>
  <c r="AB418" i="5"/>
  <c r="AD418" i="5" s="1"/>
  <c r="A418" i="5"/>
  <c r="AI417" i="5"/>
  <c r="AJ417" i="5" s="1"/>
  <c r="AH417" i="5"/>
  <c r="AB417" i="5"/>
  <c r="AD417" i="5" s="1"/>
  <c r="A417" i="5"/>
  <c r="AI416" i="5"/>
  <c r="AJ416" i="5" s="1"/>
  <c r="AH416" i="5"/>
  <c r="AB416" i="5"/>
  <c r="AC416" i="5" s="1"/>
  <c r="AE416" i="5" s="1"/>
  <c r="AF416" i="5" s="1"/>
  <c r="A416" i="5"/>
  <c r="AI415" i="5"/>
  <c r="AJ415" i="5" s="1"/>
  <c r="AH415" i="5"/>
  <c r="AB415" i="5"/>
  <c r="AC415" i="5" s="1"/>
  <c r="AE415" i="5" s="1"/>
  <c r="AF415" i="5" s="1"/>
  <c r="A415" i="5"/>
  <c r="AI414" i="5"/>
  <c r="AJ414" i="5" s="1"/>
  <c r="AH414" i="5"/>
  <c r="AB414" i="5"/>
  <c r="A414" i="5"/>
  <c r="AI413" i="5"/>
  <c r="AJ413" i="5" s="1"/>
  <c r="AH413" i="5"/>
  <c r="AB413" i="5"/>
  <c r="AD413" i="5" s="1"/>
  <c r="A413" i="5"/>
  <c r="AI412" i="5"/>
  <c r="AJ412" i="5" s="1"/>
  <c r="AH412" i="5"/>
  <c r="AB412" i="5"/>
  <c r="AD412" i="5" s="1"/>
  <c r="A412" i="5"/>
  <c r="AI411" i="5"/>
  <c r="AJ411" i="5" s="1"/>
  <c r="AH411" i="5"/>
  <c r="AB411" i="5"/>
  <c r="AD411" i="5" s="1"/>
  <c r="A411" i="5"/>
  <c r="AI410" i="5"/>
  <c r="AJ410" i="5" s="1"/>
  <c r="AH410" i="5"/>
  <c r="AB410" i="5"/>
  <c r="AD410" i="5" s="1"/>
  <c r="A410" i="5"/>
  <c r="AI409" i="5"/>
  <c r="AJ409" i="5" s="1"/>
  <c r="AH409" i="5"/>
  <c r="AB409" i="5"/>
  <c r="A409" i="5"/>
  <c r="AI408" i="5"/>
  <c r="AJ408" i="5" s="1"/>
  <c r="AH408" i="5"/>
  <c r="AB408" i="5"/>
  <c r="AC408" i="5" s="1"/>
  <c r="AE408" i="5" s="1"/>
  <c r="AF408" i="5" s="1"/>
  <c r="A408" i="5"/>
  <c r="AI407" i="5"/>
  <c r="AJ407" i="5" s="1"/>
  <c r="AH407" i="5"/>
  <c r="AB407" i="5"/>
  <c r="A407" i="5"/>
  <c r="AI406" i="5"/>
  <c r="AJ406" i="5" s="1"/>
  <c r="AH406" i="5"/>
  <c r="AB406" i="5"/>
  <c r="AC406" i="5" s="1"/>
  <c r="AE406" i="5" s="1"/>
  <c r="AF406" i="5" s="1"/>
  <c r="A406" i="5"/>
  <c r="AI405" i="5"/>
  <c r="AJ405" i="5" s="1"/>
  <c r="AH405" i="5"/>
  <c r="AB405" i="5"/>
  <c r="A405" i="5"/>
  <c r="AI404" i="5"/>
  <c r="AJ404" i="5" s="1"/>
  <c r="AH404" i="5"/>
  <c r="AB404" i="5"/>
  <c r="AD404" i="5" s="1"/>
  <c r="A404" i="5"/>
  <c r="AI403" i="5"/>
  <c r="AJ403" i="5" s="1"/>
  <c r="AH403" i="5"/>
  <c r="AB403" i="5"/>
  <c r="AD403" i="5" s="1"/>
  <c r="A403" i="5"/>
  <c r="AI402" i="5"/>
  <c r="AJ402" i="5" s="1"/>
  <c r="AH402" i="5"/>
  <c r="AB402" i="5"/>
  <c r="AC402" i="5" s="1"/>
  <c r="AE402" i="5" s="1"/>
  <c r="AF402" i="5" s="1"/>
  <c r="A402" i="5"/>
  <c r="AI401" i="5"/>
  <c r="AJ401" i="5" s="1"/>
  <c r="AH401" i="5"/>
  <c r="AB401" i="5"/>
  <c r="A401" i="5"/>
  <c r="AI400" i="5"/>
  <c r="AJ400" i="5" s="1"/>
  <c r="AH400" i="5"/>
  <c r="AB400" i="5"/>
  <c r="A400" i="5"/>
  <c r="AI399" i="5"/>
  <c r="AJ399" i="5" s="1"/>
  <c r="AH399" i="5"/>
  <c r="AB399" i="5"/>
  <c r="AC399" i="5" s="1"/>
  <c r="AE399" i="5" s="1"/>
  <c r="AF399" i="5" s="1"/>
  <c r="A399" i="5"/>
  <c r="AI398" i="5"/>
  <c r="AJ398" i="5" s="1"/>
  <c r="AH398" i="5"/>
  <c r="AB398" i="5"/>
  <c r="A398" i="5"/>
  <c r="AI397" i="5"/>
  <c r="AJ397" i="5" s="1"/>
  <c r="AH397" i="5"/>
  <c r="AB397" i="5"/>
  <c r="AC397" i="5" s="1"/>
  <c r="AE397" i="5" s="1"/>
  <c r="AF397" i="5" s="1"/>
  <c r="A397" i="5"/>
  <c r="AI396" i="5"/>
  <c r="AJ396" i="5" s="1"/>
  <c r="AH396" i="5"/>
  <c r="AB396" i="5"/>
  <c r="A396" i="5"/>
  <c r="AI395" i="5"/>
  <c r="AJ395" i="5" s="1"/>
  <c r="AH395" i="5"/>
  <c r="AB395" i="5"/>
  <c r="A395" i="5"/>
  <c r="AI394" i="5"/>
  <c r="AJ394" i="5" s="1"/>
  <c r="AH394" i="5"/>
  <c r="AB394" i="5"/>
  <c r="A394" i="5"/>
  <c r="AI393" i="5"/>
  <c r="AJ393" i="5" s="1"/>
  <c r="AH393" i="5"/>
  <c r="AB393" i="5"/>
  <c r="AC393" i="5" s="1"/>
  <c r="AE393" i="5" s="1"/>
  <c r="AF393" i="5" s="1"/>
  <c r="A393" i="5"/>
  <c r="AI392" i="5"/>
  <c r="AJ392" i="5" s="1"/>
  <c r="AH392" i="5"/>
  <c r="AB392" i="5"/>
  <c r="AD392" i="5" s="1"/>
  <c r="A392" i="5"/>
  <c r="AI391" i="5"/>
  <c r="AJ391" i="5" s="1"/>
  <c r="AH391" i="5"/>
  <c r="AB391" i="5"/>
  <c r="AC391" i="5" s="1"/>
  <c r="AE391" i="5" s="1"/>
  <c r="AF391" i="5" s="1"/>
  <c r="A391" i="5"/>
  <c r="AI390" i="5"/>
  <c r="AJ390" i="5" s="1"/>
  <c r="AH390" i="5"/>
  <c r="AB390" i="5"/>
  <c r="A390" i="5"/>
  <c r="AI389" i="5"/>
  <c r="AJ389" i="5" s="1"/>
  <c r="AH389" i="5"/>
  <c r="AB389" i="5"/>
  <c r="A389" i="5"/>
  <c r="AI388" i="5"/>
  <c r="AJ388" i="5" s="1"/>
  <c r="AH388" i="5"/>
  <c r="AB388" i="5"/>
  <c r="AD388" i="5" s="1"/>
  <c r="A388" i="5"/>
  <c r="AI387" i="5"/>
  <c r="AJ387" i="5" s="1"/>
  <c r="AH387" i="5"/>
  <c r="AB387" i="5"/>
  <c r="A387" i="5"/>
  <c r="AI386" i="5"/>
  <c r="AJ386" i="5" s="1"/>
  <c r="AH386" i="5"/>
  <c r="AB386" i="5"/>
  <c r="AC386" i="5" s="1"/>
  <c r="AE386" i="5" s="1"/>
  <c r="AF386" i="5" s="1"/>
  <c r="A386" i="5"/>
  <c r="AI385" i="5"/>
  <c r="AJ385" i="5" s="1"/>
  <c r="AH385" i="5"/>
  <c r="AB385" i="5"/>
  <c r="A385" i="5"/>
  <c r="AI384" i="5"/>
  <c r="AJ384" i="5" s="1"/>
  <c r="AH384" i="5"/>
  <c r="AB384" i="5"/>
  <c r="AC384" i="5" s="1"/>
  <c r="AE384" i="5" s="1"/>
  <c r="AF384" i="5" s="1"/>
  <c r="A384" i="5"/>
  <c r="AI383" i="5"/>
  <c r="AJ383" i="5" s="1"/>
  <c r="AH383" i="5"/>
  <c r="AB383" i="5"/>
  <c r="A383" i="5"/>
  <c r="AI382" i="5"/>
  <c r="AJ382" i="5" s="1"/>
  <c r="AH382" i="5"/>
  <c r="AB382" i="5"/>
  <c r="A382" i="5"/>
  <c r="AI381" i="5"/>
  <c r="AJ381" i="5" s="1"/>
  <c r="AH381" i="5"/>
  <c r="AB381" i="5"/>
  <c r="A381" i="5"/>
  <c r="AI380" i="5"/>
  <c r="AJ380" i="5" s="1"/>
  <c r="AH380" i="5"/>
  <c r="AB380" i="5"/>
  <c r="AC380" i="5" s="1"/>
  <c r="AE380" i="5" s="1"/>
  <c r="AF380" i="5" s="1"/>
  <c r="A380" i="5"/>
  <c r="AI379" i="5"/>
  <c r="AJ379" i="5" s="1"/>
  <c r="AH379" i="5"/>
  <c r="AB379" i="5"/>
  <c r="A379" i="5"/>
  <c r="AI378" i="5"/>
  <c r="AJ378" i="5" s="1"/>
  <c r="AH378" i="5"/>
  <c r="AB378" i="5"/>
  <c r="AC378" i="5" s="1"/>
  <c r="AE378" i="5" s="1"/>
  <c r="AF378" i="5" s="1"/>
  <c r="A378" i="5"/>
  <c r="AI377" i="5"/>
  <c r="AJ377" i="5" s="1"/>
  <c r="AH377" i="5"/>
  <c r="AB377" i="5"/>
  <c r="A377" i="5"/>
  <c r="AI376" i="5"/>
  <c r="AJ376" i="5" s="1"/>
  <c r="AH376" i="5"/>
  <c r="AD376" i="5"/>
  <c r="AG376" i="5" s="1"/>
  <c r="AB376" i="5"/>
  <c r="AC376" i="5" s="1"/>
  <c r="AE376" i="5" s="1"/>
  <c r="AF376" i="5" s="1"/>
  <c r="A376" i="5"/>
  <c r="AI375" i="5"/>
  <c r="AJ375" i="5" s="1"/>
  <c r="AH375" i="5"/>
  <c r="AB375" i="5"/>
  <c r="AD375" i="5" s="1"/>
  <c r="A375" i="5"/>
  <c r="AI374" i="5"/>
  <c r="AJ374" i="5" s="1"/>
  <c r="AH374" i="5"/>
  <c r="AB374" i="5"/>
  <c r="AD374" i="5" s="1"/>
  <c r="A374" i="5"/>
  <c r="AI373" i="5"/>
  <c r="AJ373" i="5" s="1"/>
  <c r="AH373" i="5"/>
  <c r="AC373" i="5"/>
  <c r="AE373" i="5" s="1"/>
  <c r="AF373" i="5" s="1"/>
  <c r="AB373" i="5"/>
  <c r="AD373" i="5" s="1"/>
  <c r="A373" i="5"/>
  <c r="AI372" i="5"/>
  <c r="AJ372" i="5" s="1"/>
  <c r="AH372" i="5"/>
  <c r="AD372" i="5"/>
  <c r="AB372" i="5"/>
  <c r="AC372" i="5" s="1"/>
  <c r="AE372" i="5" s="1"/>
  <c r="AF372" i="5" s="1"/>
  <c r="A372" i="5"/>
  <c r="AI371" i="5"/>
  <c r="AJ371" i="5" s="1"/>
  <c r="AH371" i="5"/>
  <c r="AB371" i="5"/>
  <c r="A371" i="5"/>
  <c r="AI370" i="5"/>
  <c r="AJ370" i="5" s="1"/>
  <c r="AH370" i="5"/>
  <c r="AB370" i="5"/>
  <c r="A370" i="5"/>
  <c r="AI369" i="5"/>
  <c r="AJ369" i="5" s="1"/>
  <c r="AH369" i="5"/>
  <c r="AB369" i="5"/>
  <c r="AD369" i="5" s="1"/>
  <c r="A369" i="5"/>
  <c r="AI368" i="5"/>
  <c r="AJ368" i="5" s="1"/>
  <c r="AH368" i="5"/>
  <c r="AB368" i="5"/>
  <c r="A368" i="5"/>
  <c r="AI367" i="5"/>
  <c r="AJ367" i="5" s="1"/>
  <c r="AH367" i="5"/>
  <c r="AB367" i="5"/>
  <c r="AD367" i="5" s="1"/>
  <c r="A367" i="5"/>
  <c r="AI366" i="5"/>
  <c r="AJ366" i="5" s="1"/>
  <c r="AH366" i="5"/>
  <c r="AB366" i="5"/>
  <c r="AD366" i="5" s="1"/>
  <c r="A366" i="5"/>
  <c r="AI365" i="5"/>
  <c r="AJ365" i="5" s="1"/>
  <c r="AH365" i="5"/>
  <c r="AB365" i="5"/>
  <c r="A365" i="5"/>
  <c r="AI364" i="5"/>
  <c r="AJ364" i="5" s="1"/>
  <c r="AH364" i="5"/>
  <c r="AB364" i="5"/>
  <c r="A364" i="5"/>
  <c r="AI363" i="5"/>
  <c r="AJ363" i="5" s="1"/>
  <c r="AH363" i="5"/>
  <c r="AB363" i="5"/>
  <c r="AD363" i="5" s="1"/>
  <c r="A363" i="5"/>
  <c r="AI362" i="5"/>
  <c r="AJ362" i="5" s="1"/>
  <c r="AH362" i="5"/>
  <c r="AB362" i="5"/>
  <c r="AC362" i="5" s="1"/>
  <c r="AE362" i="5" s="1"/>
  <c r="AF362" i="5" s="1"/>
  <c r="A362" i="5"/>
  <c r="AI361" i="5"/>
  <c r="AJ361" i="5" s="1"/>
  <c r="AH361" i="5"/>
  <c r="AB361" i="5"/>
  <c r="AD361" i="5" s="1"/>
  <c r="A361" i="5"/>
  <c r="AI360" i="5"/>
  <c r="AJ360" i="5" s="1"/>
  <c r="AH360" i="5"/>
  <c r="AB360" i="5"/>
  <c r="AD360" i="5" s="1"/>
  <c r="A360" i="5"/>
  <c r="AI359" i="5"/>
  <c r="AJ359" i="5" s="1"/>
  <c r="AH359" i="5"/>
  <c r="AB359" i="5"/>
  <c r="AD359" i="5" s="1"/>
  <c r="A359" i="5"/>
  <c r="AI358" i="5"/>
  <c r="AJ358" i="5" s="1"/>
  <c r="AH358" i="5"/>
  <c r="AB358" i="5"/>
  <c r="A358" i="5"/>
  <c r="AI357" i="5"/>
  <c r="AJ357" i="5" s="1"/>
  <c r="AH357" i="5"/>
  <c r="AB357" i="5"/>
  <c r="AD357" i="5" s="1"/>
  <c r="A357" i="5"/>
  <c r="AI356" i="5"/>
  <c r="AJ356" i="5" s="1"/>
  <c r="AH356" i="5"/>
  <c r="AB356" i="5"/>
  <c r="AD356" i="5" s="1"/>
  <c r="A356" i="5"/>
  <c r="AI355" i="5"/>
  <c r="AJ355" i="5" s="1"/>
  <c r="AH355" i="5"/>
  <c r="AB355" i="5"/>
  <c r="AD355" i="5" s="1"/>
  <c r="A355" i="5"/>
  <c r="AI354" i="5"/>
  <c r="AJ354" i="5" s="1"/>
  <c r="AH354" i="5"/>
  <c r="AB354" i="5"/>
  <c r="AD354" i="5" s="1"/>
  <c r="A354" i="5"/>
  <c r="AI353" i="5"/>
  <c r="AJ353" i="5" s="1"/>
  <c r="AH353" i="5"/>
  <c r="AB353" i="5"/>
  <c r="AD353" i="5" s="1"/>
  <c r="A353" i="5"/>
  <c r="AI352" i="5"/>
  <c r="AJ352" i="5" s="1"/>
  <c r="AH352" i="5"/>
  <c r="AC352" i="5"/>
  <c r="AE352" i="5" s="1"/>
  <c r="AF352" i="5" s="1"/>
  <c r="AB352" i="5"/>
  <c r="AD352" i="5" s="1"/>
  <c r="A352" i="5"/>
  <c r="AI351" i="5"/>
  <c r="AJ351" i="5" s="1"/>
  <c r="AH351" i="5"/>
  <c r="AB351" i="5"/>
  <c r="AD351" i="5" s="1"/>
  <c r="A351" i="5"/>
  <c r="AI350" i="5"/>
  <c r="AJ350" i="5" s="1"/>
  <c r="AH350" i="5"/>
  <c r="AB350" i="5"/>
  <c r="AC350" i="5" s="1"/>
  <c r="AE350" i="5" s="1"/>
  <c r="AF350" i="5" s="1"/>
  <c r="A350" i="5"/>
  <c r="AI349" i="5"/>
  <c r="AJ349" i="5" s="1"/>
  <c r="AH349" i="5"/>
  <c r="AB349" i="5"/>
  <c r="AD349" i="5" s="1"/>
  <c r="A349" i="5"/>
  <c r="AI348" i="5"/>
  <c r="AJ348" i="5" s="1"/>
  <c r="AH348" i="5"/>
  <c r="AB348" i="5"/>
  <c r="AD348" i="5" s="1"/>
  <c r="A348" i="5"/>
  <c r="AI347" i="5"/>
  <c r="AJ347" i="5" s="1"/>
  <c r="AH347" i="5"/>
  <c r="AB347" i="5"/>
  <c r="AD347" i="5" s="1"/>
  <c r="A347" i="5"/>
  <c r="AI346" i="5"/>
  <c r="AJ346" i="5" s="1"/>
  <c r="AH346" i="5"/>
  <c r="AB346" i="5"/>
  <c r="AC346" i="5" s="1"/>
  <c r="AE346" i="5" s="1"/>
  <c r="AF346" i="5" s="1"/>
  <c r="A346" i="5"/>
  <c r="AI345" i="5"/>
  <c r="AJ345" i="5" s="1"/>
  <c r="AH345" i="5"/>
  <c r="AB345" i="5"/>
  <c r="AD345" i="5" s="1"/>
  <c r="A345" i="5"/>
  <c r="AI344" i="5"/>
  <c r="AJ344" i="5" s="1"/>
  <c r="AH344" i="5"/>
  <c r="AB344" i="5"/>
  <c r="AD344" i="5" s="1"/>
  <c r="A344" i="5"/>
  <c r="AI343" i="5"/>
  <c r="AJ343" i="5" s="1"/>
  <c r="AH343" i="5"/>
  <c r="AB343" i="5"/>
  <c r="AD343" i="5" s="1"/>
  <c r="A343" i="5"/>
  <c r="AI342" i="5"/>
  <c r="AJ342" i="5" s="1"/>
  <c r="AH342" i="5"/>
  <c r="AB342" i="5"/>
  <c r="AC342" i="5" s="1"/>
  <c r="AE342" i="5" s="1"/>
  <c r="AF342" i="5" s="1"/>
  <c r="A342" i="5"/>
  <c r="AI341" i="5"/>
  <c r="AJ341" i="5" s="1"/>
  <c r="AH341" i="5"/>
  <c r="AB341" i="5"/>
  <c r="AD341" i="5" s="1"/>
  <c r="A341" i="5"/>
  <c r="AI340" i="5"/>
  <c r="AJ340" i="5" s="1"/>
  <c r="AH340" i="5"/>
  <c r="AB340" i="5"/>
  <c r="AD340" i="5" s="1"/>
  <c r="A340" i="5"/>
  <c r="AI339" i="5"/>
  <c r="AJ339" i="5" s="1"/>
  <c r="AH339" i="5"/>
  <c r="AB339" i="5"/>
  <c r="AD339" i="5" s="1"/>
  <c r="A339" i="5"/>
  <c r="AI338" i="5"/>
  <c r="AJ338" i="5" s="1"/>
  <c r="AH338" i="5"/>
  <c r="AB338" i="5"/>
  <c r="AC338" i="5" s="1"/>
  <c r="AE338" i="5" s="1"/>
  <c r="AF338" i="5" s="1"/>
  <c r="A338" i="5"/>
  <c r="AI337" i="5"/>
  <c r="AJ337" i="5" s="1"/>
  <c r="AH337" i="5"/>
  <c r="AB337" i="5"/>
  <c r="AD337" i="5" s="1"/>
  <c r="A337" i="5"/>
  <c r="AI336" i="5"/>
  <c r="AJ336" i="5" s="1"/>
  <c r="AH336" i="5"/>
  <c r="AD336" i="5"/>
  <c r="AB336" i="5"/>
  <c r="AC336" i="5" s="1"/>
  <c r="AE336" i="5" s="1"/>
  <c r="AF336" i="5" s="1"/>
  <c r="A336" i="5"/>
  <c r="AI335" i="5"/>
  <c r="AJ335" i="5" s="1"/>
  <c r="AH335" i="5"/>
  <c r="AD335" i="5"/>
  <c r="AB335" i="5"/>
  <c r="AC335" i="5" s="1"/>
  <c r="AE335" i="5" s="1"/>
  <c r="AF335" i="5" s="1"/>
  <c r="A335" i="5"/>
  <c r="AI334" i="5"/>
  <c r="AJ334" i="5" s="1"/>
  <c r="AH334" i="5"/>
  <c r="AB334" i="5"/>
  <c r="A334" i="5"/>
  <c r="AI333" i="5"/>
  <c r="AJ333" i="5" s="1"/>
  <c r="AH333" i="5"/>
  <c r="AB333" i="5"/>
  <c r="AC333" i="5" s="1"/>
  <c r="AE333" i="5" s="1"/>
  <c r="AF333" i="5" s="1"/>
  <c r="A333" i="5"/>
  <c r="AI332" i="5"/>
  <c r="AJ332" i="5" s="1"/>
  <c r="AH332" i="5"/>
  <c r="AB332" i="5"/>
  <c r="AC332" i="5" s="1"/>
  <c r="AE332" i="5" s="1"/>
  <c r="AF332" i="5" s="1"/>
  <c r="A332" i="5"/>
  <c r="AI331" i="5"/>
  <c r="AJ331" i="5" s="1"/>
  <c r="AH331" i="5"/>
  <c r="AD331" i="5"/>
  <c r="AB331" i="5"/>
  <c r="AC331" i="5" s="1"/>
  <c r="AE331" i="5" s="1"/>
  <c r="AF331" i="5" s="1"/>
  <c r="A331" i="5"/>
  <c r="AI330" i="5"/>
  <c r="AJ330" i="5" s="1"/>
  <c r="AH330" i="5"/>
  <c r="AB330" i="5"/>
  <c r="AC330" i="5" s="1"/>
  <c r="AE330" i="5" s="1"/>
  <c r="AF330" i="5" s="1"/>
  <c r="A330" i="5"/>
  <c r="AI329" i="5"/>
  <c r="AJ329" i="5" s="1"/>
  <c r="AH329" i="5"/>
  <c r="AB329" i="5"/>
  <c r="AC329" i="5" s="1"/>
  <c r="AE329" i="5" s="1"/>
  <c r="AF329" i="5" s="1"/>
  <c r="A329" i="5"/>
  <c r="AI328" i="5"/>
  <c r="AJ328" i="5" s="1"/>
  <c r="AH328" i="5"/>
  <c r="AE328" i="5"/>
  <c r="AF328" i="5" s="1"/>
  <c r="AB328" i="5"/>
  <c r="AC328" i="5" s="1"/>
  <c r="A328" i="5"/>
  <c r="AI327" i="5"/>
  <c r="AJ327" i="5" s="1"/>
  <c r="AH327" i="5"/>
  <c r="AB327" i="5"/>
  <c r="AD327" i="5" s="1"/>
  <c r="A327" i="5"/>
  <c r="AI326" i="5"/>
  <c r="AJ326" i="5" s="1"/>
  <c r="AH326" i="5"/>
  <c r="AB326" i="5"/>
  <c r="A326" i="5"/>
  <c r="AI325" i="5"/>
  <c r="AJ325" i="5" s="1"/>
  <c r="AH325" i="5"/>
  <c r="AB325" i="5"/>
  <c r="AD325" i="5" s="1"/>
  <c r="A325" i="5"/>
  <c r="AI324" i="5"/>
  <c r="AJ324" i="5" s="1"/>
  <c r="AH324" i="5"/>
  <c r="AB324" i="5"/>
  <c r="AC324" i="5" s="1"/>
  <c r="AE324" i="5" s="1"/>
  <c r="AF324" i="5" s="1"/>
  <c r="A324" i="5"/>
  <c r="AI323" i="5"/>
  <c r="AJ323" i="5" s="1"/>
  <c r="AH323" i="5"/>
  <c r="AC323" i="5"/>
  <c r="AE323" i="5" s="1"/>
  <c r="AF323" i="5" s="1"/>
  <c r="AB323" i="5"/>
  <c r="AD323" i="5" s="1"/>
  <c r="A323" i="5"/>
  <c r="AI322" i="5"/>
  <c r="AJ322" i="5" s="1"/>
  <c r="AH322" i="5"/>
  <c r="AB322" i="5"/>
  <c r="AC322" i="5" s="1"/>
  <c r="AE322" i="5" s="1"/>
  <c r="AF322" i="5" s="1"/>
  <c r="A322" i="5"/>
  <c r="AI321" i="5"/>
  <c r="AJ321" i="5" s="1"/>
  <c r="AH321" i="5"/>
  <c r="AB321" i="5"/>
  <c r="AC321" i="5" s="1"/>
  <c r="AE321" i="5" s="1"/>
  <c r="AF321" i="5" s="1"/>
  <c r="A321" i="5"/>
  <c r="AI320" i="5"/>
  <c r="AJ320" i="5" s="1"/>
  <c r="AH320" i="5"/>
  <c r="AB320" i="5"/>
  <c r="AC320" i="5" s="1"/>
  <c r="AE320" i="5" s="1"/>
  <c r="AF320" i="5" s="1"/>
  <c r="A320" i="5"/>
  <c r="AI319" i="5"/>
  <c r="AJ319" i="5" s="1"/>
  <c r="AH319" i="5"/>
  <c r="AB319" i="5"/>
  <c r="AD319" i="5" s="1"/>
  <c r="A319" i="5"/>
  <c r="AI318" i="5"/>
  <c r="AJ318" i="5" s="1"/>
  <c r="AH318" i="5"/>
  <c r="AB318" i="5"/>
  <c r="AC318" i="5" s="1"/>
  <c r="AE318" i="5" s="1"/>
  <c r="AF318" i="5" s="1"/>
  <c r="A318" i="5"/>
  <c r="AI317" i="5"/>
  <c r="AJ317" i="5" s="1"/>
  <c r="AH317" i="5"/>
  <c r="AB317" i="5"/>
  <c r="AC317" i="5" s="1"/>
  <c r="AE317" i="5" s="1"/>
  <c r="AF317" i="5" s="1"/>
  <c r="A317" i="5"/>
  <c r="AI316" i="5"/>
  <c r="AJ316" i="5" s="1"/>
  <c r="AH316" i="5"/>
  <c r="AC316" i="5"/>
  <c r="AE316" i="5" s="1"/>
  <c r="AF316" i="5" s="1"/>
  <c r="AB316" i="5"/>
  <c r="AD316" i="5" s="1"/>
  <c r="A316" i="5"/>
  <c r="AI315" i="5"/>
  <c r="AJ315" i="5" s="1"/>
  <c r="AH315" i="5"/>
  <c r="AB315" i="5"/>
  <c r="AD315" i="5" s="1"/>
  <c r="A315" i="5"/>
  <c r="AI314" i="5"/>
  <c r="AJ314" i="5" s="1"/>
  <c r="AH314" i="5"/>
  <c r="AB314" i="5"/>
  <c r="AD314" i="5" s="1"/>
  <c r="A314" i="5"/>
  <c r="AI313" i="5"/>
  <c r="AJ313" i="5" s="1"/>
  <c r="AH313" i="5"/>
  <c r="AD313" i="5"/>
  <c r="AB313" i="5"/>
  <c r="AC313" i="5" s="1"/>
  <c r="AE313" i="5" s="1"/>
  <c r="AF313" i="5" s="1"/>
  <c r="A313" i="5"/>
  <c r="AI312" i="5"/>
  <c r="AJ312" i="5" s="1"/>
  <c r="AH312" i="5"/>
  <c r="AC312" i="5"/>
  <c r="AE312" i="5" s="1"/>
  <c r="AF312" i="5" s="1"/>
  <c r="AB312" i="5"/>
  <c r="AD312" i="5" s="1"/>
  <c r="A312" i="5"/>
  <c r="AI311" i="5"/>
  <c r="AJ311" i="5" s="1"/>
  <c r="AH311" i="5"/>
  <c r="AB311" i="5"/>
  <c r="AC311" i="5" s="1"/>
  <c r="AE311" i="5" s="1"/>
  <c r="AF311" i="5" s="1"/>
  <c r="A311" i="5"/>
  <c r="AI310" i="5"/>
  <c r="AJ310" i="5" s="1"/>
  <c r="AH310" i="5"/>
  <c r="AB310" i="5"/>
  <c r="AD310" i="5" s="1"/>
  <c r="A310" i="5"/>
  <c r="AI309" i="5"/>
  <c r="AJ309" i="5" s="1"/>
  <c r="AH309" i="5"/>
  <c r="AB309" i="5"/>
  <c r="AC309" i="5" s="1"/>
  <c r="AE309" i="5" s="1"/>
  <c r="AF309" i="5" s="1"/>
  <c r="A309" i="5"/>
  <c r="AI308" i="5"/>
  <c r="AJ308" i="5" s="1"/>
  <c r="AH308" i="5"/>
  <c r="AB308" i="5"/>
  <c r="AD308" i="5" s="1"/>
  <c r="A308" i="5"/>
  <c r="AI307" i="5"/>
  <c r="AJ307" i="5" s="1"/>
  <c r="AH307" i="5"/>
  <c r="AB307" i="5"/>
  <c r="AC307" i="5" s="1"/>
  <c r="AE307" i="5" s="1"/>
  <c r="AF307" i="5" s="1"/>
  <c r="A307" i="5"/>
  <c r="AI306" i="5"/>
  <c r="AJ306" i="5" s="1"/>
  <c r="AH306" i="5"/>
  <c r="AB306" i="5"/>
  <c r="AD306" i="5" s="1"/>
  <c r="A306" i="5"/>
  <c r="AI305" i="5"/>
  <c r="AJ305" i="5" s="1"/>
  <c r="AH305" i="5"/>
  <c r="AB305" i="5"/>
  <c r="AD305" i="5" s="1"/>
  <c r="A305" i="5"/>
  <c r="AI304" i="5"/>
  <c r="AJ304" i="5" s="1"/>
  <c r="AH304" i="5"/>
  <c r="AB304" i="5"/>
  <c r="AC304" i="5" s="1"/>
  <c r="AE304" i="5" s="1"/>
  <c r="AF304" i="5" s="1"/>
  <c r="A304" i="5"/>
  <c r="AI303" i="5"/>
  <c r="AJ303" i="5" s="1"/>
  <c r="AH303" i="5"/>
  <c r="AB303" i="5"/>
  <c r="AD303" i="5" s="1"/>
  <c r="A303" i="5"/>
  <c r="AI302" i="5"/>
  <c r="AJ302" i="5" s="1"/>
  <c r="AH302" i="5"/>
  <c r="AB302" i="5"/>
  <c r="AD302" i="5" s="1"/>
  <c r="A302" i="5"/>
  <c r="AI301" i="5"/>
  <c r="AJ301" i="5" s="1"/>
  <c r="AH301" i="5"/>
  <c r="AB301" i="5"/>
  <c r="AD301" i="5" s="1"/>
  <c r="A301" i="5"/>
  <c r="AI300" i="5"/>
  <c r="AJ300" i="5" s="1"/>
  <c r="AH300" i="5"/>
  <c r="AB300" i="5"/>
  <c r="AC300" i="5" s="1"/>
  <c r="AE300" i="5" s="1"/>
  <c r="AF300" i="5" s="1"/>
  <c r="A300" i="5"/>
  <c r="AI299" i="5"/>
  <c r="AJ299" i="5" s="1"/>
  <c r="AH299" i="5"/>
  <c r="AB299" i="5"/>
  <c r="AC299" i="5" s="1"/>
  <c r="AE299" i="5" s="1"/>
  <c r="AF299" i="5" s="1"/>
  <c r="A299" i="5"/>
  <c r="AI298" i="5"/>
  <c r="AJ298" i="5" s="1"/>
  <c r="AH298" i="5"/>
  <c r="AB298" i="5"/>
  <c r="AC298" i="5" s="1"/>
  <c r="AE298" i="5" s="1"/>
  <c r="AF298" i="5" s="1"/>
  <c r="A298" i="5"/>
  <c r="AI297" i="5"/>
  <c r="AJ297" i="5" s="1"/>
  <c r="AH297" i="5"/>
  <c r="AB297" i="5"/>
  <c r="AC297" i="5" s="1"/>
  <c r="AE297" i="5" s="1"/>
  <c r="AF297" i="5" s="1"/>
  <c r="A297" i="5"/>
  <c r="AI296" i="5"/>
  <c r="AJ296" i="5" s="1"/>
  <c r="AH296" i="5"/>
  <c r="AB296" i="5"/>
  <c r="AC296" i="5" s="1"/>
  <c r="AE296" i="5" s="1"/>
  <c r="AF296" i="5" s="1"/>
  <c r="A296" i="5"/>
  <c r="AI295" i="5"/>
  <c r="AJ295" i="5" s="1"/>
  <c r="AH295" i="5"/>
  <c r="AB295" i="5"/>
  <c r="AD295" i="5" s="1"/>
  <c r="A295" i="5"/>
  <c r="AI294" i="5"/>
  <c r="AJ294" i="5" s="1"/>
  <c r="AH294" i="5"/>
  <c r="AB294" i="5"/>
  <c r="AC294" i="5" s="1"/>
  <c r="AE294" i="5" s="1"/>
  <c r="AF294" i="5" s="1"/>
  <c r="A294" i="5"/>
  <c r="AI293" i="5"/>
  <c r="AJ293" i="5" s="1"/>
  <c r="AH293" i="5"/>
  <c r="AB293" i="5"/>
  <c r="AC293" i="5" s="1"/>
  <c r="AE293" i="5" s="1"/>
  <c r="AF293" i="5" s="1"/>
  <c r="A293" i="5"/>
  <c r="AI292" i="5"/>
  <c r="AJ292" i="5" s="1"/>
  <c r="AH292" i="5"/>
  <c r="AB292" i="5"/>
  <c r="AD292" i="5" s="1"/>
  <c r="A292" i="5"/>
  <c r="AI291" i="5"/>
  <c r="AJ291" i="5" s="1"/>
  <c r="AH291" i="5"/>
  <c r="AB291" i="5"/>
  <c r="AC291" i="5" s="1"/>
  <c r="AE291" i="5" s="1"/>
  <c r="AF291" i="5" s="1"/>
  <c r="A291" i="5"/>
  <c r="AI290" i="5"/>
  <c r="AJ290" i="5" s="1"/>
  <c r="AH290" i="5"/>
  <c r="AB290" i="5"/>
  <c r="AD290" i="5" s="1"/>
  <c r="A290" i="5"/>
  <c r="AI289" i="5"/>
  <c r="AJ289" i="5" s="1"/>
  <c r="AH289" i="5"/>
  <c r="AB289" i="5"/>
  <c r="AC289" i="5" s="1"/>
  <c r="AE289" i="5" s="1"/>
  <c r="AF289" i="5" s="1"/>
  <c r="A289" i="5"/>
  <c r="AI288" i="5"/>
  <c r="AJ288" i="5" s="1"/>
  <c r="AH288" i="5"/>
  <c r="AB288" i="5"/>
  <c r="AC288" i="5" s="1"/>
  <c r="AE288" i="5" s="1"/>
  <c r="AF288" i="5" s="1"/>
  <c r="A288" i="5"/>
  <c r="AI287" i="5"/>
  <c r="AJ287" i="5" s="1"/>
  <c r="AH287" i="5"/>
  <c r="AB287" i="5"/>
  <c r="AC287" i="5" s="1"/>
  <c r="AE287" i="5" s="1"/>
  <c r="AF287" i="5" s="1"/>
  <c r="A287" i="5"/>
  <c r="AI286" i="5"/>
  <c r="AJ286" i="5" s="1"/>
  <c r="AH286" i="5"/>
  <c r="AB286" i="5"/>
  <c r="AD286" i="5" s="1"/>
  <c r="A286" i="5"/>
  <c r="AI285" i="5"/>
  <c r="AJ285" i="5" s="1"/>
  <c r="AH285" i="5"/>
  <c r="AB285" i="5"/>
  <c r="AC285" i="5" s="1"/>
  <c r="AE285" i="5" s="1"/>
  <c r="AF285" i="5" s="1"/>
  <c r="A285" i="5"/>
  <c r="AI284" i="5"/>
  <c r="AJ284" i="5" s="1"/>
  <c r="AH284" i="5"/>
  <c r="AB284" i="5"/>
  <c r="AD284" i="5" s="1"/>
  <c r="A284" i="5"/>
  <c r="AI283" i="5"/>
  <c r="AJ283" i="5" s="1"/>
  <c r="AH283" i="5"/>
  <c r="AB283" i="5"/>
  <c r="AC283" i="5" s="1"/>
  <c r="AE283" i="5" s="1"/>
  <c r="AF283" i="5" s="1"/>
  <c r="A283" i="5"/>
  <c r="AI282" i="5"/>
  <c r="AJ282" i="5" s="1"/>
  <c r="AH282" i="5"/>
  <c r="AB282" i="5"/>
  <c r="AD282" i="5" s="1"/>
  <c r="A282" i="5"/>
  <c r="AI281" i="5"/>
  <c r="AJ281" i="5" s="1"/>
  <c r="AH281" i="5"/>
  <c r="AB281" i="5"/>
  <c r="AD281" i="5" s="1"/>
  <c r="A281" i="5"/>
  <c r="AI280" i="5"/>
  <c r="AJ280" i="5" s="1"/>
  <c r="AH280" i="5"/>
  <c r="AB280" i="5"/>
  <c r="AD280" i="5" s="1"/>
  <c r="A280" i="5"/>
  <c r="AI279" i="5"/>
  <c r="AJ279" i="5" s="1"/>
  <c r="AH279" i="5"/>
  <c r="AB279" i="5"/>
  <c r="AD279" i="5" s="1"/>
  <c r="A279" i="5"/>
  <c r="AI278" i="5"/>
  <c r="AJ278" i="5" s="1"/>
  <c r="AH278" i="5"/>
  <c r="AB278" i="5"/>
  <c r="AD278" i="5" s="1"/>
  <c r="A278" i="5"/>
  <c r="AI277" i="5"/>
  <c r="AJ277" i="5" s="1"/>
  <c r="AH277" i="5"/>
  <c r="AB277" i="5"/>
  <c r="AD277" i="5" s="1"/>
  <c r="A277" i="5"/>
  <c r="AI276" i="5"/>
  <c r="AJ276" i="5" s="1"/>
  <c r="AH276" i="5"/>
  <c r="AB276" i="5"/>
  <c r="AC276" i="5" s="1"/>
  <c r="AE276" i="5" s="1"/>
  <c r="AF276" i="5" s="1"/>
  <c r="A276" i="5"/>
  <c r="AI275" i="5"/>
  <c r="AJ275" i="5" s="1"/>
  <c r="AH275" i="5"/>
  <c r="AB275" i="5"/>
  <c r="AC275" i="5" s="1"/>
  <c r="AE275" i="5" s="1"/>
  <c r="AF275" i="5" s="1"/>
  <c r="A275" i="5"/>
  <c r="AI274" i="5"/>
  <c r="AJ274" i="5" s="1"/>
  <c r="AH274" i="5"/>
  <c r="AB274" i="5"/>
  <c r="AC274" i="5" s="1"/>
  <c r="AE274" i="5" s="1"/>
  <c r="AF274" i="5" s="1"/>
  <c r="A274" i="5"/>
  <c r="AI273" i="5"/>
  <c r="AJ273" i="5" s="1"/>
  <c r="AH273" i="5"/>
  <c r="AB273" i="5"/>
  <c r="AC273" i="5" s="1"/>
  <c r="AE273" i="5" s="1"/>
  <c r="AF273" i="5" s="1"/>
  <c r="A273" i="5"/>
  <c r="AI272" i="5"/>
  <c r="AJ272" i="5" s="1"/>
  <c r="AH272" i="5"/>
  <c r="AB272" i="5"/>
  <c r="AD272" i="5" s="1"/>
  <c r="A272" i="5"/>
  <c r="AI271" i="5"/>
  <c r="AJ271" i="5" s="1"/>
  <c r="AH271" i="5"/>
  <c r="AB271" i="5"/>
  <c r="AC271" i="5" s="1"/>
  <c r="AE271" i="5" s="1"/>
  <c r="AF271" i="5" s="1"/>
  <c r="A271" i="5"/>
  <c r="AI270" i="5"/>
  <c r="AJ270" i="5" s="1"/>
  <c r="AH270" i="5"/>
  <c r="AB270" i="5"/>
  <c r="AD270" i="5" s="1"/>
  <c r="A270" i="5"/>
  <c r="AI269" i="5"/>
  <c r="AJ269" i="5" s="1"/>
  <c r="AH269" i="5"/>
  <c r="AB269" i="5"/>
  <c r="AC269" i="5" s="1"/>
  <c r="AE269" i="5" s="1"/>
  <c r="AF269" i="5" s="1"/>
  <c r="A269" i="5"/>
  <c r="AI268" i="5"/>
  <c r="AJ268" i="5" s="1"/>
  <c r="AH268" i="5"/>
  <c r="AB268" i="5"/>
  <c r="AD268" i="5" s="1"/>
  <c r="A268" i="5"/>
  <c r="AI267" i="5"/>
  <c r="AJ267" i="5" s="1"/>
  <c r="AH267" i="5"/>
  <c r="AB267" i="5"/>
  <c r="AD267" i="5" s="1"/>
  <c r="A267" i="5"/>
  <c r="AI266" i="5"/>
  <c r="AJ266" i="5" s="1"/>
  <c r="AH266" i="5"/>
  <c r="AB266" i="5"/>
  <c r="AC266" i="5" s="1"/>
  <c r="AE266" i="5" s="1"/>
  <c r="AF266" i="5" s="1"/>
  <c r="A266" i="5"/>
  <c r="AI265" i="5"/>
  <c r="AJ265" i="5" s="1"/>
  <c r="AH265" i="5"/>
  <c r="AB265" i="5"/>
  <c r="AD265" i="5" s="1"/>
  <c r="A265" i="5"/>
  <c r="AI264" i="5"/>
  <c r="AJ264" i="5" s="1"/>
  <c r="AH264" i="5"/>
  <c r="AB264" i="5"/>
  <c r="AC264" i="5" s="1"/>
  <c r="AE264" i="5" s="1"/>
  <c r="AF264" i="5" s="1"/>
  <c r="A264" i="5"/>
  <c r="AI263" i="5"/>
  <c r="AJ263" i="5" s="1"/>
  <c r="AH263" i="5"/>
  <c r="AB263" i="5"/>
  <c r="AD263" i="5" s="1"/>
  <c r="A263" i="5"/>
  <c r="AI262" i="5"/>
  <c r="AJ262" i="5" s="1"/>
  <c r="AH262" i="5"/>
  <c r="AB262" i="5"/>
  <c r="AC262" i="5" s="1"/>
  <c r="AE262" i="5" s="1"/>
  <c r="AF262" i="5" s="1"/>
  <c r="A262" i="5"/>
  <c r="AI261" i="5"/>
  <c r="AJ261" i="5" s="1"/>
  <c r="AH261" i="5"/>
  <c r="AB261" i="5"/>
  <c r="AC261" i="5" s="1"/>
  <c r="AE261" i="5" s="1"/>
  <c r="AF261" i="5" s="1"/>
  <c r="A261" i="5"/>
  <c r="AI260" i="5"/>
  <c r="AJ260" i="5" s="1"/>
  <c r="AH260" i="5"/>
  <c r="AB260" i="5"/>
  <c r="AD260" i="5" s="1"/>
  <c r="A260" i="5"/>
  <c r="AI259" i="5"/>
  <c r="AJ259" i="5" s="1"/>
  <c r="AH259" i="5"/>
  <c r="AB259" i="5"/>
  <c r="AC259" i="5" s="1"/>
  <c r="AE259" i="5" s="1"/>
  <c r="AF259" i="5" s="1"/>
  <c r="A259" i="5"/>
  <c r="AI258" i="5"/>
  <c r="AJ258" i="5" s="1"/>
  <c r="AH258" i="5"/>
  <c r="AC258" i="5"/>
  <c r="AE258" i="5" s="1"/>
  <c r="AF258" i="5" s="1"/>
  <c r="AB258" i="5"/>
  <c r="AD258" i="5" s="1"/>
  <c r="A258" i="5"/>
  <c r="AI257" i="5"/>
  <c r="AJ257" i="5" s="1"/>
  <c r="AH257" i="5"/>
  <c r="AB257" i="5"/>
  <c r="AC257" i="5" s="1"/>
  <c r="AE257" i="5" s="1"/>
  <c r="AF257" i="5" s="1"/>
  <c r="A257" i="5"/>
  <c r="AI256" i="5"/>
  <c r="AJ256" i="5" s="1"/>
  <c r="AH256" i="5"/>
  <c r="AC256" i="5"/>
  <c r="AE256" i="5" s="1"/>
  <c r="AF256" i="5" s="1"/>
  <c r="AB256" i="5"/>
  <c r="AD256" i="5" s="1"/>
  <c r="A256" i="5"/>
  <c r="AI255" i="5"/>
  <c r="AJ255" i="5" s="1"/>
  <c r="AH255" i="5"/>
  <c r="AB255" i="5"/>
  <c r="AD255" i="5" s="1"/>
  <c r="A255" i="5"/>
  <c r="AI254" i="5"/>
  <c r="AJ254" i="5" s="1"/>
  <c r="AH254" i="5"/>
  <c r="AB254" i="5"/>
  <c r="AD254" i="5" s="1"/>
  <c r="A254" i="5"/>
  <c r="AI253" i="5"/>
  <c r="AJ253" i="5" s="1"/>
  <c r="AH253" i="5"/>
  <c r="AB253" i="5"/>
  <c r="AD253" i="5" s="1"/>
  <c r="A253" i="5"/>
  <c r="AI252" i="5"/>
  <c r="AJ252" i="5" s="1"/>
  <c r="AH252" i="5"/>
  <c r="AB252" i="5"/>
  <c r="AC252" i="5" s="1"/>
  <c r="AE252" i="5" s="1"/>
  <c r="AF252" i="5" s="1"/>
  <c r="A252" i="5"/>
  <c r="AI251" i="5"/>
  <c r="AJ251" i="5" s="1"/>
  <c r="AH251" i="5"/>
  <c r="AB251" i="5"/>
  <c r="AD251" i="5" s="1"/>
  <c r="A251" i="5"/>
  <c r="AI250" i="5"/>
  <c r="AJ250" i="5" s="1"/>
  <c r="AH250" i="5"/>
  <c r="AB250" i="5"/>
  <c r="AD250" i="5" s="1"/>
  <c r="A250" i="5"/>
  <c r="AI249" i="5"/>
  <c r="AJ249" i="5" s="1"/>
  <c r="AH249" i="5"/>
  <c r="AB249" i="5"/>
  <c r="AC249" i="5" s="1"/>
  <c r="AE249" i="5" s="1"/>
  <c r="AF249" i="5" s="1"/>
  <c r="A249" i="5"/>
  <c r="AI248" i="5"/>
  <c r="AJ248" i="5" s="1"/>
  <c r="AH248" i="5"/>
  <c r="AB248" i="5"/>
  <c r="AC248" i="5" s="1"/>
  <c r="AE248" i="5" s="1"/>
  <c r="AF248" i="5" s="1"/>
  <c r="A248" i="5"/>
  <c r="AI247" i="5"/>
  <c r="AJ247" i="5" s="1"/>
  <c r="AH247" i="5"/>
  <c r="AB247" i="5"/>
  <c r="AD247" i="5" s="1"/>
  <c r="A247" i="5"/>
  <c r="AI246" i="5"/>
  <c r="AJ246" i="5" s="1"/>
  <c r="AH246" i="5"/>
  <c r="AB246" i="5"/>
  <c r="A246" i="5"/>
  <c r="AI245" i="5"/>
  <c r="AJ245" i="5" s="1"/>
  <c r="AH245" i="5"/>
  <c r="AB245" i="5"/>
  <c r="AD245" i="5" s="1"/>
  <c r="A245" i="5"/>
  <c r="AI244" i="5"/>
  <c r="AJ244" i="5" s="1"/>
  <c r="AH244" i="5"/>
  <c r="AB244" i="5"/>
  <c r="AD244" i="5" s="1"/>
  <c r="A244" i="5"/>
  <c r="AI243" i="5"/>
  <c r="AJ243" i="5" s="1"/>
  <c r="AH243" i="5"/>
  <c r="AB243" i="5"/>
  <c r="AC243" i="5" s="1"/>
  <c r="AE243" i="5" s="1"/>
  <c r="AF243" i="5" s="1"/>
  <c r="A243" i="5"/>
  <c r="AI242" i="5"/>
  <c r="AJ242" i="5" s="1"/>
  <c r="AH242" i="5"/>
  <c r="AB242" i="5"/>
  <c r="A242" i="5"/>
  <c r="AI241" i="5"/>
  <c r="AJ241" i="5" s="1"/>
  <c r="AH241" i="5"/>
  <c r="AB241" i="5"/>
  <c r="A241" i="5"/>
  <c r="AI240" i="5"/>
  <c r="AJ240" i="5" s="1"/>
  <c r="AH240" i="5"/>
  <c r="AB240" i="5"/>
  <c r="AD240" i="5" s="1"/>
  <c r="A240" i="5"/>
  <c r="AI239" i="5"/>
  <c r="AJ239" i="5" s="1"/>
  <c r="AH239" i="5"/>
  <c r="AB239" i="5"/>
  <c r="AD239" i="5" s="1"/>
  <c r="A239" i="5"/>
  <c r="AI238" i="5"/>
  <c r="AJ238" i="5" s="1"/>
  <c r="AH238" i="5"/>
  <c r="AC238" i="5"/>
  <c r="AE238" i="5" s="1"/>
  <c r="AF238" i="5" s="1"/>
  <c r="AB238" i="5"/>
  <c r="AD238" i="5" s="1"/>
  <c r="A238" i="5"/>
  <c r="AI237" i="5"/>
  <c r="AJ237" i="5" s="1"/>
  <c r="AH237" i="5"/>
  <c r="AC237" i="5"/>
  <c r="AE237" i="5" s="1"/>
  <c r="AF237" i="5" s="1"/>
  <c r="AB237" i="5"/>
  <c r="AD237" i="5" s="1"/>
  <c r="A237" i="5"/>
  <c r="AI236" i="5"/>
  <c r="AJ236" i="5" s="1"/>
  <c r="AH236" i="5"/>
  <c r="AB236" i="5"/>
  <c r="AC236" i="5" s="1"/>
  <c r="AE236" i="5" s="1"/>
  <c r="AF236" i="5" s="1"/>
  <c r="A236" i="5"/>
  <c r="AI235" i="5"/>
  <c r="AJ235" i="5" s="1"/>
  <c r="AH235" i="5"/>
  <c r="AB235" i="5"/>
  <c r="AD235" i="5" s="1"/>
  <c r="A235" i="5"/>
  <c r="AI234" i="5"/>
  <c r="AJ234" i="5" s="1"/>
  <c r="AH234" i="5"/>
  <c r="AC234" i="5"/>
  <c r="AE234" i="5" s="1"/>
  <c r="AF234" i="5" s="1"/>
  <c r="AB234" i="5"/>
  <c r="AD234" i="5" s="1"/>
  <c r="A234" i="5"/>
  <c r="AI233" i="5"/>
  <c r="AJ233" i="5" s="1"/>
  <c r="AH233" i="5"/>
  <c r="AB233" i="5"/>
  <c r="AD233" i="5" s="1"/>
  <c r="A233" i="5"/>
  <c r="AI232" i="5"/>
  <c r="AJ232" i="5" s="1"/>
  <c r="AH232" i="5"/>
  <c r="AB232" i="5"/>
  <c r="A232" i="5"/>
  <c r="AI231" i="5"/>
  <c r="AJ231" i="5" s="1"/>
  <c r="AH231" i="5"/>
  <c r="AC231" i="5"/>
  <c r="AE231" i="5" s="1"/>
  <c r="AF231" i="5" s="1"/>
  <c r="AB231" i="5"/>
  <c r="AD231" i="5" s="1"/>
  <c r="A231" i="5"/>
  <c r="AI230" i="5"/>
  <c r="AJ230" i="5" s="1"/>
  <c r="AH230" i="5"/>
  <c r="AB230" i="5"/>
  <c r="AC230" i="5" s="1"/>
  <c r="AE230" i="5" s="1"/>
  <c r="AF230" i="5" s="1"/>
  <c r="A230" i="5"/>
  <c r="AI229" i="5"/>
  <c r="AJ229" i="5" s="1"/>
  <c r="AH229" i="5"/>
  <c r="AB229" i="5"/>
  <c r="AD229" i="5" s="1"/>
  <c r="A229" i="5"/>
  <c r="AI228" i="5"/>
  <c r="AJ228" i="5" s="1"/>
  <c r="AH228" i="5"/>
  <c r="AD228" i="5"/>
  <c r="AB228" i="5"/>
  <c r="AC228" i="5" s="1"/>
  <c r="AE228" i="5" s="1"/>
  <c r="AF228" i="5" s="1"/>
  <c r="A228" i="5"/>
  <c r="AI227" i="5"/>
  <c r="AJ227" i="5" s="1"/>
  <c r="AH227" i="5"/>
  <c r="AC227" i="5"/>
  <c r="AE227" i="5" s="1"/>
  <c r="AF227" i="5" s="1"/>
  <c r="AB227" i="5"/>
  <c r="AD227" i="5" s="1"/>
  <c r="A227" i="5"/>
  <c r="AI226" i="5"/>
  <c r="AJ226" i="5" s="1"/>
  <c r="AH226" i="5"/>
  <c r="AB226" i="5"/>
  <c r="AD226" i="5" s="1"/>
  <c r="A226" i="5"/>
  <c r="AI225" i="5"/>
  <c r="AJ225" i="5" s="1"/>
  <c r="AH225" i="5"/>
  <c r="AB225" i="5"/>
  <c r="AD225" i="5" s="1"/>
  <c r="A225" i="5"/>
  <c r="AI224" i="5"/>
  <c r="AJ224" i="5" s="1"/>
  <c r="AH224" i="5"/>
  <c r="AB224" i="5"/>
  <c r="AD224" i="5" s="1"/>
  <c r="A224" i="5"/>
  <c r="AI223" i="5"/>
  <c r="AJ223" i="5" s="1"/>
  <c r="AH223" i="5"/>
  <c r="AB223" i="5"/>
  <c r="AD223" i="5" s="1"/>
  <c r="A223" i="5"/>
  <c r="AI222" i="5"/>
  <c r="AJ222" i="5" s="1"/>
  <c r="AH222" i="5"/>
  <c r="AB222" i="5"/>
  <c r="AD222" i="5" s="1"/>
  <c r="A222" i="5"/>
  <c r="AI221" i="5"/>
  <c r="AJ221" i="5" s="1"/>
  <c r="AH221" i="5"/>
  <c r="AC221" i="5"/>
  <c r="AE221" i="5" s="1"/>
  <c r="AF221" i="5" s="1"/>
  <c r="AB221" i="5"/>
  <c r="AD221" i="5" s="1"/>
  <c r="A221" i="5"/>
  <c r="AI220" i="5"/>
  <c r="AJ220" i="5" s="1"/>
  <c r="AH220" i="5"/>
  <c r="AB220" i="5"/>
  <c r="AD220" i="5" s="1"/>
  <c r="A220" i="5"/>
  <c r="AI219" i="5"/>
  <c r="AJ219" i="5" s="1"/>
  <c r="AH219" i="5"/>
  <c r="AB219" i="5"/>
  <c r="AD219" i="5" s="1"/>
  <c r="A219" i="5"/>
  <c r="AI218" i="5"/>
  <c r="AJ218" i="5" s="1"/>
  <c r="AH218" i="5"/>
  <c r="AB218" i="5"/>
  <c r="AD218" i="5" s="1"/>
  <c r="A218" i="5"/>
  <c r="AI217" i="5"/>
  <c r="AJ217" i="5" s="1"/>
  <c r="AH217" i="5"/>
  <c r="AC217" i="5"/>
  <c r="AE217" i="5" s="1"/>
  <c r="AF217" i="5" s="1"/>
  <c r="AB217" i="5"/>
  <c r="AD217" i="5" s="1"/>
  <c r="A217" i="5"/>
  <c r="AI216" i="5"/>
  <c r="AJ216" i="5" s="1"/>
  <c r="AH216" i="5"/>
  <c r="AC216" i="5"/>
  <c r="AE216" i="5" s="1"/>
  <c r="AF216" i="5" s="1"/>
  <c r="AB216" i="5"/>
  <c r="AD216" i="5" s="1"/>
  <c r="A216" i="5"/>
  <c r="AI215" i="5"/>
  <c r="AJ215" i="5" s="1"/>
  <c r="AH215" i="5"/>
  <c r="AB215" i="5"/>
  <c r="AC215" i="5" s="1"/>
  <c r="AE215" i="5" s="1"/>
  <c r="AF215" i="5" s="1"/>
  <c r="A215" i="5"/>
  <c r="AI214" i="5"/>
  <c r="AJ214" i="5" s="1"/>
  <c r="AH214" i="5"/>
  <c r="AB214" i="5"/>
  <c r="AD214" i="5" s="1"/>
  <c r="A214" i="5"/>
  <c r="AI213" i="5"/>
  <c r="AJ213" i="5" s="1"/>
  <c r="AH213" i="5"/>
  <c r="AB213" i="5"/>
  <c r="AC213" i="5" s="1"/>
  <c r="AE213" i="5" s="1"/>
  <c r="AF213" i="5" s="1"/>
  <c r="A213" i="5"/>
  <c r="AI212" i="5"/>
  <c r="AJ212" i="5" s="1"/>
  <c r="AH212" i="5"/>
  <c r="AB212" i="5"/>
  <c r="AD212" i="5" s="1"/>
  <c r="A212" i="5"/>
  <c r="AI211" i="5"/>
  <c r="AJ211" i="5" s="1"/>
  <c r="AH211" i="5"/>
  <c r="AB211" i="5"/>
  <c r="AD211" i="5" s="1"/>
  <c r="A211" i="5"/>
  <c r="AI210" i="5"/>
  <c r="AJ210" i="5" s="1"/>
  <c r="AH210" i="5"/>
  <c r="AB210" i="5"/>
  <c r="AD210" i="5" s="1"/>
  <c r="A210" i="5"/>
  <c r="AI209" i="5"/>
  <c r="AJ209" i="5" s="1"/>
  <c r="AH209" i="5"/>
  <c r="AC209" i="5"/>
  <c r="AE209" i="5" s="1"/>
  <c r="AF209" i="5" s="1"/>
  <c r="AB209" i="5"/>
  <c r="AD209" i="5" s="1"/>
  <c r="A209" i="5"/>
  <c r="AI208" i="5"/>
  <c r="AJ208" i="5" s="1"/>
  <c r="AH208" i="5"/>
  <c r="AC208" i="5"/>
  <c r="AE208" i="5" s="1"/>
  <c r="AF208" i="5" s="1"/>
  <c r="AB208" i="5"/>
  <c r="AD208" i="5" s="1"/>
  <c r="A208" i="5"/>
  <c r="AI207" i="5"/>
  <c r="AJ207" i="5" s="1"/>
  <c r="AH207" i="5"/>
  <c r="AB207" i="5"/>
  <c r="AD207" i="5" s="1"/>
  <c r="A207" i="5"/>
  <c r="AI206" i="5"/>
  <c r="AJ206" i="5" s="1"/>
  <c r="AH206" i="5"/>
  <c r="AB206" i="5"/>
  <c r="AD206" i="5" s="1"/>
  <c r="A206" i="5"/>
  <c r="AI205" i="5"/>
  <c r="AJ205" i="5" s="1"/>
  <c r="AH205" i="5"/>
  <c r="AB205" i="5"/>
  <c r="AD205" i="5" s="1"/>
  <c r="A205" i="5"/>
  <c r="AI204" i="5"/>
  <c r="AJ204" i="5" s="1"/>
  <c r="AH204" i="5"/>
  <c r="AB204" i="5"/>
  <c r="AD204" i="5" s="1"/>
  <c r="A204" i="5"/>
  <c r="AI203" i="5"/>
  <c r="AJ203" i="5" s="1"/>
  <c r="AH203" i="5"/>
  <c r="AB203" i="5"/>
  <c r="AD203" i="5" s="1"/>
  <c r="A203" i="5"/>
  <c r="AI202" i="5"/>
  <c r="AJ202" i="5" s="1"/>
  <c r="AH202" i="5"/>
  <c r="AB202" i="5"/>
  <c r="AD202" i="5" s="1"/>
  <c r="A202" i="5"/>
  <c r="AI201" i="5"/>
  <c r="AJ201" i="5" s="1"/>
  <c r="AH201" i="5"/>
  <c r="AB201" i="5"/>
  <c r="AD201" i="5" s="1"/>
  <c r="A201" i="5"/>
  <c r="AI200" i="5"/>
  <c r="AJ200" i="5" s="1"/>
  <c r="AH200" i="5"/>
  <c r="AB200" i="5"/>
  <c r="AD200" i="5" s="1"/>
  <c r="A200" i="5"/>
  <c r="AI199" i="5"/>
  <c r="AJ199" i="5" s="1"/>
  <c r="AH199" i="5"/>
  <c r="AB199" i="5"/>
  <c r="AC199" i="5" s="1"/>
  <c r="AE199" i="5" s="1"/>
  <c r="AF199" i="5" s="1"/>
  <c r="A199" i="5"/>
  <c r="AI198" i="5"/>
  <c r="AJ198" i="5" s="1"/>
  <c r="AH198" i="5"/>
  <c r="AB198" i="5"/>
  <c r="AD198" i="5" s="1"/>
  <c r="A198" i="5"/>
  <c r="AI197" i="5"/>
  <c r="AJ197" i="5" s="1"/>
  <c r="AH197" i="5"/>
  <c r="AB197" i="5"/>
  <c r="AC197" i="5" s="1"/>
  <c r="AE197" i="5" s="1"/>
  <c r="AF197" i="5" s="1"/>
  <c r="A197" i="5"/>
  <c r="AI196" i="5"/>
  <c r="AJ196" i="5" s="1"/>
  <c r="AH196" i="5"/>
  <c r="AB196" i="5"/>
  <c r="AD196" i="5" s="1"/>
  <c r="A196" i="5"/>
  <c r="AI195" i="5"/>
  <c r="AJ195" i="5" s="1"/>
  <c r="AH195" i="5"/>
  <c r="AB195" i="5"/>
  <c r="AD195" i="5" s="1"/>
  <c r="A195" i="5"/>
  <c r="AI194" i="5"/>
  <c r="AJ194" i="5" s="1"/>
  <c r="AH194" i="5"/>
  <c r="AB194" i="5"/>
  <c r="AD194" i="5" s="1"/>
  <c r="A194" i="5"/>
  <c r="AI193" i="5"/>
  <c r="AJ193" i="5" s="1"/>
  <c r="AH193" i="5"/>
  <c r="AB193" i="5"/>
  <c r="AD193" i="5" s="1"/>
  <c r="A193" i="5"/>
  <c r="AI192" i="5"/>
  <c r="AJ192" i="5" s="1"/>
  <c r="AH192" i="5"/>
  <c r="AB192" i="5"/>
  <c r="AD192" i="5" s="1"/>
  <c r="A192" i="5"/>
  <c r="AI191" i="5"/>
  <c r="AJ191" i="5" s="1"/>
  <c r="AH191" i="5"/>
  <c r="AB191" i="5"/>
  <c r="AD191" i="5" s="1"/>
  <c r="A191" i="5"/>
  <c r="AI190" i="5"/>
  <c r="AJ190" i="5" s="1"/>
  <c r="AH190" i="5"/>
  <c r="AB190" i="5"/>
  <c r="AC190" i="5" s="1"/>
  <c r="AE190" i="5" s="1"/>
  <c r="AF190" i="5" s="1"/>
  <c r="A190" i="5"/>
  <c r="AI189" i="5"/>
  <c r="AJ189" i="5" s="1"/>
  <c r="AH189" i="5"/>
  <c r="AB189" i="5"/>
  <c r="AD189" i="5" s="1"/>
  <c r="A189" i="5"/>
  <c r="AI188" i="5"/>
  <c r="AJ188" i="5" s="1"/>
  <c r="AH188" i="5"/>
  <c r="AD188" i="5"/>
  <c r="AB188" i="5"/>
  <c r="AC188" i="5" s="1"/>
  <c r="AE188" i="5" s="1"/>
  <c r="AF188" i="5" s="1"/>
  <c r="A188" i="5"/>
  <c r="AI187" i="5"/>
  <c r="AJ187" i="5" s="1"/>
  <c r="AH187" i="5"/>
  <c r="AB187" i="5"/>
  <c r="AD187" i="5" s="1"/>
  <c r="A187" i="5"/>
  <c r="AI186" i="5"/>
  <c r="AJ186" i="5" s="1"/>
  <c r="AH186" i="5"/>
  <c r="AB186" i="5"/>
  <c r="AD186" i="5" s="1"/>
  <c r="A186" i="5"/>
  <c r="AI185" i="5"/>
  <c r="AJ185" i="5" s="1"/>
  <c r="AH185" i="5"/>
  <c r="AB185" i="5"/>
  <c r="AD185" i="5" s="1"/>
  <c r="A185" i="5"/>
  <c r="AI184" i="5"/>
  <c r="AJ184" i="5" s="1"/>
  <c r="AH184" i="5"/>
  <c r="AB184" i="5"/>
  <c r="AD184" i="5" s="1"/>
  <c r="A184" i="5"/>
  <c r="AI183" i="5"/>
  <c r="AJ183" i="5" s="1"/>
  <c r="AH183" i="5"/>
  <c r="AB183" i="5"/>
  <c r="AD183" i="5" s="1"/>
  <c r="A183" i="5"/>
  <c r="AI182" i="5"/>
  <c r="AJ182" i="5" s="1"/>
  <c r="AH182" i="5"/>
  <c r="AB182" i="5"/>
  <c r="AC182" i="5" s="1"/>
  <c r="AE182" i="5" s="1"/>
  <c r="AF182" i="5" s="1"/>
  <c r="A182" i="5"/>
  <c r="AI181" i="5"/>
  <c r="AJ181" i="5" s="1"/>
  <c r="AH181" i="5"/>
  <c r="AB181" i="5"/>
  <c r="AD181" i="5" s="1"/>
  <c r="A181" i="5"/>
  <c r="AI180" i="5"/>
  <c r="AJ180" i="5" s="1"/>
  <c r="AH180" i="5"/>
  <c r="AB180" i="5"/>
  <c r="AC180" i="5" s="1"/>
  <c r="AE180" i="5" s="1"/>
  <c r="AF180" i="5" s="1"/>
  <c r="A180" i="5"/>
  <c r="AI179" i="5"/>
  <c r="AJ179" i="5" s="1"/>
  <c r="AH179" i="5"/>
  <c r="AB179" i="5"/>
  <c r="AD179" i="5" s="1"/>
  <c r="A179" i="5"/>
  <c r="AI178" i="5"/>
  <c r="AJ178" i="5" s="1"/>
  <c r="AH178" i="5"/>
  <c r="AB178" i="5"/>
  <c r="AC178" i="5" s="1"/>
  <c r="AE178" i="5" s="1"/>
  <c r="AF178" i="5" s="1"/>
  <c r="A178" i="5"/>
  <c r="AI177" i="5"/>
  <c r="AJ177" i="5" s="1"/>
  <c r="AH177" i="5"/>
  <c r="AB177" i="5"/>
  <c r="AD177" i="5" s="1"/>
  <c r="A177" i="5"/>
  <c r="AI176" i="5"/>
  <c r="AJ176" i="5" s="1"/>
  <c r="AH176" i="5"/>
  <c r="AB176" i="5"/>
  <c r="AC176" i="5" s="1"/>
  <c r="AE176" i="5" s="1"/>
  <c r="AF176" i="5" s="1"/>
  <c r="A176" i="5"/>
  <c r="AI175" i="5"/>
  <c r="AJ175" i="5" s="1"/>
  <c r="AH175" i="5"/>
  <c r="AC175" i="5"/>
  <c r="AE175" i="5" s="1"/>
  <c r="AF175" i="5" s="1"/>
  <c r="AB175" i="5"/>
  <c r="AD175" i="5" s="1"/>
  <c r="A175" i="5"/>
  <c r="AI174" i="5"/>
  <c r="AJ174" i="5" s="1"/>
  <c r="AH174" i="5"/>
  <c r="AB174" i="5"/>
  <c r="AD174" i="5" s="1"/>
  <c r="A174" i="5"/>
  <c r="AI173" i="5"/>
  <c r="AJ173" i="5" s="1"/>
  <c r="AH173" i="5"/>
  <c r="AB173" i="5"/>
  <c r="AC173" i="5" s="1"/>
  <c r="AE173" i="5" s="1"/>
  <c r="AF173" i="5" s="1"/>
  <c r="A173" i="5"/>
  <c r="AI172" i="5"/>
  <c r="AJ172" i="5" s="1"/>
  <c r="AH172" i="5"/>
  <c r="AB172" i="5"/>
  <c r="AC172" i="5" s="1"/>
  <c r="AE172" i="5" s="1"/>
  <c r="AF172" i="5" s="1"/>
  <c r="A172" i="5"/>
  <c r="AI171" i="5"/>
  <c r="AJ171" i="5" s="1"/>
  <c r="AH171" i="5"/>
  <c r="AB171" i="5"/>
  <c r="AC171" i="5" s="1"/>
  <c r="AE171" i="5" s="1"/>
  <c r="AF171" i="5" s="1"/>
  <c r="A171" i="5"/>
  <c r="AI170" i="5"/>
  <c r="AJ170" i="5" s="1"/>
  <c r="AH170" i="5"/>
  <c r="AB170" i="5"/>
  <c r="AC170" i="5" s="1"/>
  <c r="AE170" i="5" s="1"/>
  <c r="AF170" i="5" s="1"/>
  <c r="A170" i="5"/>
  <c r="AI169" i="5"/>
  <c r="AJ169" i="5" s="1"/>
  <c r="AH169" i="5"/>
  <c r="AB169" i="5"/>
  <c r="AC169" i="5" s="1"/>
  <c r="AE169" i="5" s="1"/>
  <c r="AF169" i="5" s="1"/>
  <c r="A169" i="5"/>
  <c r="AI168" i="5"/>
  <c r="AJ168" i="5" s="1"/>
  <c r="AH168" i="5"/>
  <c r="AB168" i="5"/>
  <c r="AD168" i="5" s="1"/>
  <c r="A168" i="5"/>
  <c r="AI167" i="5"/>
  <c r="AJ167" i="5" s="1"/>
  <c r="AH167" i="5"/>
  <c r="AB167" i="5"/>
  <c r="AD167" i="5" s="1"/>
  <c r="A167" i="5"/>
  <c r="AI166" i="5"/>
  <c r="AJ166" i="5" s="1"/>
  <c r="AH166" i="5"/>
  <c r="AD166" i="5"/>
  <c r="AB166" i="5"/>
  <c r="AC166" i="5" s="1"/>
  <c r="AE166" i="5" s="1"/>
  <c r="AF166" i="5" s="1"/>
  <c r="A166" i="5"/>
  <c r="AI165" i="5"/>
  <c r="AJ165" i="5" s="1"/>
  <c r="AH165" i="5"/>
  <c r="AB165" i="5"/>
  <c r="AD165" i="5" s="1"/>
  <c r="A165" i="5"/>
  <c r="AI164" i="5"/>
  <c r="AJ164" i="5" s="1"/>
  <c r="AH164" i="5"/>
  <c r="AD164" i="5"/>
  <c r="AB164" i="5"/>
  <c r="AC164" i="5" s="1"/>
  <c r="AE164" i="5" s="1"/>
  <c r="AF164" i="5" s="1"/>
  <c r="A164" i="5"/>
  <c r="AI163" i="5"/>
  <c r="AJ163" i="5" s="1"/>
  <c r="AH163" i="5"/>
  <c r="AB163" i="5"/>
  <c r="AD163" i="5" s="1"/>
  <c r="A163" i="5"/>
  <c r="AI162" i="5"/>
  <c r="AJ162" i="5" s="1"/>
  <c r="AH162" i="5"/>
  <c r="AB162" i="5"/>
  <c r="AC162" i="5" s="1"/>
  <c r="AE162" i="5" s="1"/>
  <c r="AF162" i="5" s="1"/>
  <c r="A162" i="5"/>
  <c r="AI161" i="5"/>
  <c r="AJ161" i="5" s="1"/>
  <c r="AH161" i="5"/>
  <c r="AB161" i="5"/>
  <c r="AD161" i="5" s="1"/>
  <c r="A161" i="5"/>
  <c r="AI160" i="5"/>
  <c r="AJ160" i="5" s="1"/>
  <c r="AH160" i="5"/>
  <c r="AB160" i="5"/>
  <c r="AC160" i="5" s="1"/>
  <c r="AE160" i="5" s="1"/>
  <c r="AF160" i="5" s="1"/>
  <c r="A160" i="5"/>
  <c r="AI159" i="5"/>
  <c r="AJ159" i="5" s="1"/>
  <c r="AH159" i="5"/>
  <c r="AB159" i="5"/>
  <c r="AC159" i="5" s="1"/>
  <c r="AE159" i="5" s="1"/>
  <c r="AF159" i="5" s="1"/>
  <c r="A159" i="5"/>
  <c r="AI158" i="5"/>
  <c r="AJ158" i="5" s="1"/>
  <c r="AH158" i="5"/>
  <c r="AB158" i="5"/>
  <c r="AC158" i="5" s="1"/>
  <c r="AE158" i="5" s="1"/>
  <c r="AF158" i="5" s="1"/>
  <c r="A158" i="5"/>
  <c r="AI157" i="5"/>
  <c r="AJ157" i="5" s="1"/>
  <c r="AH157" i="5"/>
  <c r="AB157" i="5"/>
  <c r="AD157" i="5" s="1"/>
  <c r="A157" i="5"/>
  <c r="AI156" i="5"/>
  <c r="AJ156" i="5" s="1"/>
  <c r="AH156" i="5"/>
  <c r="AB156" i="5"/>
  <c r="AD156" i="5" s="1"/>
  <c r="A156" i="5"/>
  <c r="AI155" i="5"/>
  <c r="AJ155" i="5" s="1"/>
  <c r="AH155" i="5"/>
  <c r="AB155" i="5"/>
  <c r="AC155" i="5" s="1"/>
  <c r="AE155" i="5" s="1"/>
  <c r="AF155" i="5" s="1"/>
  <c r="A155" i="5"/>
  <c r="AI154" i="5"/>
  <c r="AJ154" i="5" s="1"/>
  <c r="AH154" i="5"/>
  <c r="AB154" i="5"/>
  <c r="AD154" i="5" s="1"/>
  <c r="A154" i="5"/>
  <c r="AI153" i="5"/>
  <c r="AJ153" i="5" s="1"/>
  <c r="AH153" i="5"/>
  <c r="AB153" i="5"/>
  <c r="AC153" i="5" s="1"/>
  <c r="AE153" i="5" s="1"/>
  <c r="AF153" i="5" s="1"/>
  <c r="A153" i="5"/>
  <c r="AI152" i="5"/>
  <c r="AJ152" i="5" s="1"/>
  <c r="AH152" i="5"/>
  <c r="AB152" i="5"/>
  <c r="AD152" i="5" s="1"/>
  <c r="A152" i="5"/>
  <c r="AI151" i="5"/>
  <c r="AJ151" i="5" s="1"/>
  <c r="AH151" i="5"/>
  <c r="AB151" i="5"/>
  <c r="AC151" i="5" s="1"/>
  <c r="AE151" i="5" s="1"/>
  <c r="AF151" i="5" s="1"/>
  <c r="A151" i="5"/>
  <c r="AI150" i="5"/>
  <c r="AJ150" i="5" s="1"/>
  <c r="AH150" i="5"/>
  <c r="AB150" i="5"/>
  <c r="AD150" i="5" s="1"/>
  <c r="A150" i="5"/>
  <c r="AI149" i="5"/>
  <c r="AJ149" i="5" s="1"/>
  <c r="AH149" i="5"/>
  <c r="AF149" i="5"/>
  <c r="AB149" i="5"/>
  <c r="AC149" i="5" s="1"/>
  <c r="AE149" i="5" s="1"/>
  <c r="A149" i="5"/>
  <c r="AI148" i="5"/>
  <c r="AJ148" i="5" s="1"/>
  <c r="AH148" i="5"/>
  <c r="AB148" i="5"/>
  <c r="AC148" i="5" s="1"/>
  <c r="AE148" i="5" s="1"/>
  <c r="AF148" i="5" s="1"/>
  <c r="A148" i="5"/>
  <c r="AI147" i="5"/>
  <c r="AJ147" i="5" s="1"/>
  <c r="AH147" i="5"/>
  <c r="AB147" i="5"/>
  <c r="AD147" i="5" s="1"/>
  <c r="A147" i="5"/>
  <c r="AI146" i="5"/>
  <c r="AJ146" i="5" s="1"/>
  <c r="AH146" i="5"/>
  <c r="AE146" i="5"/>
  <c r="AF146" i="5" s="1"/>
  <c r="AB146" i="5"/>
  <c r="AC146" i="5" s="1"/>
  <c r="A146" i="5"/>
  <c r="AI145" i="5"/>
  <c r="AJ145" i="5" s="1"/>
  <c r="AH145" i="5"/>
  <c r="AB145" i="5"/>
  <c r="AD145" i="5" s="1"/>
  <c r="A145" i="5"/>
  <c r="AI144" i="5"/>
  <c r="AJ144" i="5" s="1"/>
  <c r="AH144" i="5"/>
  <c r="AB144" i="5"/>
  <c r="AD144" i="5" s="1"/>
  <c r="A144" i="5"/>
  <c r="AI143" i="5"/>
  <c r="AJ143" i="5" s="1"/>
  <c r="AH143" i="5"/>
  <c r="AD143" i="5"/>
  <c r="AG143" i="5" s="1"/>
  <c r="AB143" i="5"/>
  <c r="AC143" i="5" s="1"/>
  <c r="AE143" i="5" s="1"/>
  <c r="AF143" i="5" s="1"/>
  <c r="A143" i="5"/>
  <c r="AI142" i="5"/>
  <c r="AJ142" i="5" s="1"/>
  <c r="AH142" i="5"/>
  <c r="AC142" i="5"/>
  <c r="AE142" i="5" s="1"/>
  <c r="AF142" i="5" s="1"/>
  <c r="AB142" i="5"/>
  <c r="AD142" i="5" s="1"/>
  <c r="A142" i="5"/>
  <c r="AI141" i="5"/>
  <c r="AJ141" i="5" s="1"/>
  <c r="AH141" i="5"/>
  <c r="AD141" i="5"/>
  <c r="AB141" i="5"/>
  <c r="AC141" i="5" s="1"/>
  <c r="AE141" i="5" s="1"/>
  <c r="AF141" i="5" s="1"/>
  <c r="A141" i="5"/>
  <c r="AI140" i="5"/>
  <c r="AJ140" i="5" s="1"/>
  <c r="AH140" i="5"/>
  <c r="AB140" i="5"/>
  <c r="AC140" i="5" s="1"/>
  <c r="AE140" i="5" s="1"/>
  <c r="AF140" i="5" s="1"/>
  <c r="A140" i="5"/>
  <c r="AI139" i="5"/>
  <c r="AJ139" i="5" s="1"/>
  <c r="AH139" i="5"/>
  <c r="AB139" i="5"/>
  <c r="AC139" i="5" s="1"/>
  <c r="AE139" i="5" s="1"/>
  <c r="AF139" i="5" s="1"/>
  <c r="A139" i="5"/>
  <c r="AI138" i="5"/>
  <c r="AJ138" i="5" s="1"/>
  <c r="AH138" i="5"/>
  <c r="AB138" i="5"/>
  <c r="A138" i="5"/>
  <c r="AI137" i="5"/>
  <c r="AJ137" i="5" s="1"/>
  <c r="AH137" i="5"/>
  <c r="AB137" i="5"/>
  <c r="AD137" i="5" s="1"/>
  <c r="A137" i="5"/>
  <c r="AI136" i="5"/>
  <c r="AJ136" i="5" s="1"/>
  <c r="AH136" i="5"/>
  <c r="AB136" i="5"/>
  <c r="AD136" i="5" s="1"/>
  <c r="A136" i="5"/>
  <c r="AI135" i="5"/>
  <c r="AJ135" i="5" s="1"/>
  <c r="AH135" i="5"/>
  <c r="AB135" i="5"/>
  <c r="AD135" i="5" s="1"/>
  <c r="A135" i="5"/>
  <c r="AI134" i="5"/>
  <c r="AJ134" i="5" s="1"/>
  <c r="AH134" i="5"/>
  <c r="AB134" i="5"/>
  <c r="AC134" i="5" s="1"/>
  <c r="AE134" i="5" s="1"/>
  <c r="AF134" i="5" s="1"/>
  <c r="A134" i="5"/>
  <c r="AI133" i="5"/>
  <c r="AJ133" i="5" s="1"/>
  <c r="AH133" i="5"/>
  <c r="AB133" i="5"/>
  <c r="AC133" i="5" s="1"/>
  <c r="AE133" i="5" s="1"/>
  <c r="AF133" i="5" s="1"/>
  <c r="A133" i="5"/>
  <c r="AI132" i="5"/>
  <c r="AJ132" i="5" s="1"/>
  <c r="AH132" i="5"/>
  <c r="AB132" i="5"/>
  <c r="A132" i="5"/>
  <c r="AI131" i="5"/>
  <c r="AJ131" i="5" s="1"/>
  <c r="AH131" i="5"/>
  <c r="AB131" i="5"/>
  <c r="AC131" i="5" s="1"/>
  <c r="AE131" i="5" s="1"/>
  <c r="AF131" i="5" s="1"/>
  <c r="A131" i="5"/>
  <c r="AI130" i="5"/>
  <c r="AJ130" i="5" s="1"/>
  <c r="AH130" i="5"/>
  <c r="AB130" i="5"/>
  <c r="AD130" i="5" s="1"/>
  <c r="A130" i="5"/>
  <c r="AI129" i="5"/>
  <c r="AJ129" i="5" s="1"/>
  <c r="AH129" i="5"/>
  <c r="AB129" i="5"/>
  <c r="AC129" i="5" s="1"/>
  <c r="AE129" i="5" s="1"/>
  <c r="AF129" i="5" s="1"/>
  <c r="A129" i="5"/>
  <c r="AI128" i="5"/>
  <c r="AJ128" i="5" s="1"/>
  <c r="AH128" i="5"/>
  <c r="AB128" i="5"/>
  <c r="A128" i="5"/>
  <c r="AI127" i="5"/>
  <c r="AJ127" i="5" s="1"/>
  <c r="AH127" i="5"/>
  <c r="AD127" i="5"/>
  <c r="AG127" i="5" s="1"/>
  <c r="AB127" i="5"/>
  <c r="AC127" i="5" s="1"/>
  <c r="AE127" i="5" s="1"/>
  <c r="AF127" i="5" s="1"/>
  <c r="A127" i="5"/>
  <c r="AI126" i="5"/>
  <c r="AJ126" i="5" s="1"/>
  <c r="AH126" i="5"/>
  <c r="AB126" i="5"/>
  <c r="AC126" i="5" s="1"/>
  <c r="AE126" i="5" s="1"/>
  <c r="AF126" i="5" s="1"/>
  <c r="A126" i="5"/>
  <c r="AI125" i="5"/>
  <c r="AJ125" i="5" s="1"/>
  <c r="AH125" i="5"/>
  <c r="AB125" i="5"/>
  <c r="AC125" i="5" s="1"/>
  <c r="AE125" i="5" s="1"/>
  <c r="AF125" i="5" s="1"/>
  <c r="A125" i="5"/>
  <c r="AI124" i="5"/>
  <c r="AJ124" i="5" s="1"/>
  <c r="AH124" i="5"/>
  <c r="AB124" i="5"/>
  <c r="AD124" i="5" s="1"/>
  <c r="A124" i="5"/>
  <c r="AI123" i="5"/>
  <c r="AJ123" i="5" s="1"/>
  <c r="AH123" i="5"/>
  <c r="AB123" i="5"/>
  <c r="AC123" i="5" s="1"/>
  <c r="AE123" i="5" s="1"/>
  <c r="AF123" i="5" s="1"/>
  <c r="A123" i="5"/>
  <c r="AI122" i="5"/>
  <c r="AJ122" i="5" s="1"/>
  <c r="AH122" i="5"/>
  <c r="AB122" i="5"/>
  <c r="AC122" i="5" s="1"/>
  <c r="AE122" i="5" s="1"/>
  <c r="AF122" i="5" s="1"/>
  <c r="A122" i="5"/>
  <c r="AI121" i="5"/>
  <c r="AJ121" i="5" s="1"/>
  <c r="AH121" i="5"/>
  <c r="AB121" i="5"/>
  <c r="A121" i="5"/>
  <c r="AI120" i="5"/>
  <c r="AJ120" i="5" s="1"/>
  <c r="AH120" i="5"/>
  <c r="AB120" i="5"/>
  <c r="AC120" i="5" s="1"/>
  <c r="AE120" i="5" s="1"/>
  <c r="AF120" i="5" s="1"/>
  <c r="A120" i="5"/>
  <c r="AI119" i="5"/>
  <c r="AJ119" i="5" s="1"/>
  <c r="AH119" i="5"/>
  <c r="AB119" i="5"/>
  <c r="AD119" i="5" s="1"/>
  <c r="A119" i="5"/>
  <c r="AI118" i="5"/>
  <c r="AJ118" i="5" s="1"/>
  <c r="AH118" i="5"/>
  <c r="AB118" i="5"/>
  <c r="AC118" i="5" s="1"/>
  <c r="AE118" i="5" s="1"/>
  <c r="AF118" i="5" s="1"/>
  <c r="A118" i="5"/>
  <c r="AI117" i="5"/>
  <c r="AJ117" i="5" s="1"/>
  <c r="AH117" i="5"/>
  <c r="AB117" i="5"/>
  <c r="AD117" i="5" s="1"/>
  <c r="A117" i="5"/>
  <c r="AI116" i="5"/>
  <c r="AJ116" i="5" s="1"/>
  <c r="AH116" i="5"/>
  <c r="AB116" i="5"/>
  <c r="AD116" i="5" s="1"/>
  <c r="A116" i="5"/>
  <c r="AI115" i="5"/>
  <c r="AJ115" i="5" s="1"/>
  <c r="AH115" i="5"/>
  <c r="AB115" i="5"/>
  <c r="AD115" i="5" s="1"/>
  <c r="A115" i="5"/>
  <c r="AI114" i="5"/>
  <c r="AJ114" i="5" s="1"/>
  <c r="AH114" i="5"/>
  <c r="AB114" i="5"/>
  <c r="AC114" i="5" s="1"/>
  <c r="AE114" i="5" s="1"/>
  <c r="AF114" i="5" s="1"/>
  <c r="A114" i="5"/>
  <c r="AI113" i="5"/>
  <c r="AJ113" i="5" s="1"/>
  <c r="AH113" i="5"/>
  <c r="AB113" i="5"/>
  <c r="AC113" i="5" s="1"/>
  <c r="AE113" i="5" s="1"/>
  <c r="AF113" i="5" s="1"/>
  <c r="A113" i="5"/>
  <c r="AI112" i="5"/>
  <c r="AJ112" i="5" s="1"/>
  <c r="AH112" i="5"/>
  <c r="AE112" i="5"/>
  <c r="AF112" i="5" s="1"/>
  <c r="AB112" i="5"/>
  <c r="AC112" i="5" s="1"/>
  <c r="A112" i="5"/>
  <c r="AI111" i="5"/>
  <c r="AJ111" i="5" s="1"/>
  <c r="AH111" i="5"/>
  <c r="AB111" i="5"/>
  <c r="AD111" i="5" s="1"/>
  <c r="A111" i="5"/>
  <c r="AI110" i="5"/>
  <c r="AJ110" i="5" s="1"/>
  <c r="AH110" i="5"/>
  <c r="AB110" i="5"/>
  <c r="AC110" i="5" s="1"/>
  <c r="AE110" i="5" s="1"/>
  <c r="AF110" i="5" s="1"/>
  <c r="A110" i="5"/>
  <c r="AI109" i="5"/>
  <c r="AJ109" i="5" s="1"/>
  <c r="AH109" i="5"/>
  <c r="AB109" i="5"/>
  <c r="AC109" i="5" s="1"/>
  <c r="AE109" i="5" s="1"/>
  <c r="AF109" i="5" s="1"/>
  <c r="A109" i="5"/>
  <c r="AI108" i="5"/>
  <c r="AJ108" i="5" s="1"/>
  <c r="AH108" i="5"/>
  <c r="AB108" i="5"/>
  <c r="AC108" i="5" s="1"/>
  <c r="AE108" i="5" s="1"/>
  <c r="AF108" i="5" s="1"/>
  <c r="A108" i="5"/>
  <c r="AI107" i="5"/>
  <c r="AJ107" i="5" s="1"/>
  <c r="AH107" i="5"/>
  <c r="AB107" i="5"/>
  <c r="AD107" i="5" s="1"/>
  <c r="A107" i="5"/>
  <c r="AI106" i="5"/>
  <c r="AJ106" i="5" s="1"/>
  <c r="AH106" i="5"/>
  <c r="AB106" i="5"/>
  <c r="AC106" i="5" s="1"/>
  <c r="AE106" i="5" s="1"/>
  <c r="AF106" i="5" s="1"/>
  <c r="A106" i="5"/>
  <c r="AI105" i="5"/>
  <c r="AJ105" i="5" s="1"/>
  <c r="AH105" i="5"/>
  <c r="AB105" i="5"/>
  <c r="AC105" i="5" s="1"/>
  <c r="AE105" i="5" s="1"/>
  <c r="AF105" i="5" s="1"/>
  <c r="A105" i="5"/>
  <c r="AI104" i="5"/>
  <c r="AJ104" i="5" s="1"/>
  <c r="AH104" i="5"/>
  <c r="AB104" i="5"/>
  <c r="AC104" i="5" s="1"/>
  <c r="AE104" i="5" s="1"/>
  <c r="AF104" i="5" s="1"/>
  <c r="A104" i="5"/>
  <c r="AI103" i="5"/>
  <c r="AJ103" i="5" s="1"/>
  <c r="AH103" i="5"/>
  <c r="AB103" i="5"/>
  <c r="AC103" i="5" s="1"/>
  <c r="AE103" i="5" s="1"/>
  <c r="AF103" i="5" s="1"/>
  <c r="A103" i="5"/>
  <c r="AI102" i="5"/>
  <c r="AJ102" i="5" s="1"/>
  <c r="AH102" i="5"/>
  <c r="AB102" i="5"/>
  <c r="AC102" i="5" s="1"/>
  <c r="AE102" i="5" s="1"/>
  <c r="AF102" i="5" s="1"/>
  <c r="A102" i="5"/>
  <c r="AI101" i="5"/>
  <c r="AJ101" i="5" s="1"/>
  <c r="AH101" i="5"/>
  <c r="AB101" i="5"/>
  <c r="AC101" i="5" s="1"/>
  <c r="AE101" i="5" s="1"/>
  <c r="AF101" i="5" s="1"/>
  <c r="A101" i="5"/>
  <c r="AI100" i="5"/>
  <c r="AJ100" i="5" s="1"/>
  <c r="AH100" i="5"/>
  <c r="AB100" i="5"/>
  <c r="AC100" i="5" s="1"/>
  <c r="AE100" i="5" s="1"/>
  <c r="AF100" i="5" s="1"/>
  <c r="A100" i="5"/>
  <c r="AI99" i="5"/>
  <c r="AJ99" i="5" s="1"/>
  <c r="AH99" i="5"/>
  <c r="AB99" i="5"/>
  <c r="AD99" i="5" s="1"/>
  <c r="A99" i="5"/>
  <c r="AI98" i="5"/>
  <c r="AJ98" i="5" s="1"/>
  <c r="AH98" i="5"/>
  <c r="AB98" i="5"/>
  <c r="AC98" i="5" s="1"/>
  <c r="AE98" i="5" s="1"/>
  <c r="AF98" i="5" s="1"/>
  <c r="A98" i="5"/>
  <c r="AI97" i="5"/>
  <c r="AJ97" i="5" s="1"/>
  <c r="AH97" i="5"/>
  <c r="AB97" i="5"/>
  <c r="AC97" i="5" s="1"/>
  <c r="AE97" i="5" s="1"/>
  <c r="AF97" i="5" s="1"/>
  <c r="A97" i="5"/>
  <c r="AI96" i="5"/>
  <c r="AJ96" i="5" s="1"/>
  <c r="AH96" i="5"/>
  <c r="AB96" i="5"/>
  <c r="AC96" i="5" s="1"/>
  <c r="AE96" i="5" s="1"/>
  <c r="AF96" i="5" s="1"/>
  <c r="A96" i="5"/>
  <c r="AI95" i="5"/>
  <c r="AJ95" i="5" s="1"/>
  <c r="AH95" i="5"/>
  <c r="AC95" i="5"/>
  <c r="AE95" i="5" s="1"/>
  <c r="AF95" i="5" s="1"/>
  <c r="AB95" i="5"/>
  <c r="AD95" i="5" s="1"/>
  <c r="A95" i="5"/>
  <c r="AI94" i="5"/>
  <c r="AJ94" i="5" s="1"/>
  <c r="AH94" i="5"/>
  <c r="AD94" i="5"/>
  <c r="AB94" i="5"/>
  <c r="AC94" i="5" s="1"/>
  <c r="AE94" i="5" s="1"/>
  <c r="AF94" i="5" s="1"/>
  <c r="A94" i="5"/>
  <c r="AI93" i="5"/>
  <c r="AJ93" i="5" s="1"/>
  <c r="AH93" i="5"/>
  <c r="AB93" i="5"/>
  <c r="AC93" i="5" s="1"/>
  <c r="AE93" i="5" s="1"/>
  <c r="AF93" i="5" s="1"/>
  <c r="A93" i="5"/>
  <c r="AI92" i="5"/>
  <c r="AJ92" i="5" s="1"/>
  <c r="AH92" i="5"/>
  <c r="AB92" i="5"/>
  <c r="AC92" i="5" s="1"/>
  <c r="AE92" i="5" s="1"/>
  <c r="AF92" i="5" s="1"/>
  <c r="A92" i="5"/>
  <c r="AI91" i="5"/>
  <c r="AJ91" i="5" s="1"/>
  <c r="AH91" i="5"/>
  <c r="AC91" i="5"/>
  <c r="AE91" i="5" s="1"/>
  <c r="AF91" i="5" s="1"/>
  <c r="AB91" i="5"/>
  <c r="AD91" i="5" s="1"/>
  <c r="A91" i="5"/>
  <c r="AI90" i="5"/>
  <c r="AJ90" i="5" s="1"/>
  <c r="AH90" i="5"/>
  <c r="AB90" i="5"/>
  <c r="AC90" i="5" s="1"/>
  <c r="AE90" i="5" s="1"/>
  <c r="AF90" i="5" s="1"/>
  <c r="A90" i="5"/>
  <c r="AI89" i="5"/>
  <c r="AJ89" i="5" s="1"/>
  <c r="AH89" i="5"/>
  <c r="AB89" i="5"/>
  <c r="AC89" i="5" s="1"/>
  <c r="AE89" i="5" s="1"/>
  <c r="AF89" i="5" s="1"/>
  <c r="A89" i="5"/>
  <c r="AI88" i="5"/>
  <c r="AJ88" i="5" s="1"/>
  <c r="AH88" i="5"/>
  <c r="AB88" i="5"/>
  <c r="AD88" i="5" s="1"/>
  <c r="A88" i="5"/>
  <c r="AI87" i="5"/>
  <c r="AJ87" i="5" s="1"/>
  <c r="AH87" i="5"/>
  <c r="AB87" i="5"/>
  <c r="AD87" i="5" s="1"/>
  <c r="A87" i="5"/>
  <c r="AI86" i="5"/>
  <c r="AJ86" i="5" s="1"/>
  <c r="AH86" i="5"/>
  <c r="AB86" i="5"/>
  <c r="AD86" i="5" s="1"/>
  <c r="A86" i="5"/>
  <c r="AI85" i="5"/>
  <c r="AJ85" i="5" s="1"/>
  <c r="AH85" i="5"/>
  <c r="AB85" i="5"/>
  <c r="AD85" i="5" s="1"/>
  <c r="A85" i="5"/>
  <c r="AI84" i="5"/>
  <c r="AJ84" i="5" s="1"/>
  <c r="AH84" i="5"/>
  <c r="AB84" i="5"/>
  <c r="AD84" i="5" s="1"/>
  <c r="A84" i="5"/>
  <c r="AI83" i="5"/>
  <c r="AJ83" i="5" s="1"/>
  <c r="AH83" i="5"/>
  <c r="AB83" i="5"/>
  <c r="AD83" i="5" s="1"/>
  <c r="A83" i="5"/>
  <c r="AI82" i="5"/>
  <c r="AJ82" i="5" s="1"/>
  <c r="AH82" i="5"/>
  <c r="AB82" i="5"/>
  <c r="AD82" i="5" s="1"/>
  <c r="A82" i="5"/>
  <c r="AI81" i="5"/>
  <c r="AJ81" i="5" s="1"/>
  <c r="AH81" i="5"/>
  <c r="AB81" i="5"/>
  <c r="AC81" i="5" s="1"/>
  <c r="AE81" i="5" s="1"/>
  <c r="AF81" i="5" s="1"/>
  <c r="A81" i="5"/>
  <c r="AI80" i="5"/>
  <c r="AJ80" i="5" s="1"/>
  <c r="AH80" i="5"/>
  <c r="AB80" i="5"/>
  <c r="AD80" i="5" s="1"/>
  <c r="A80" i="5"/>
  <c r="AI79" i="5"/>
  <c r="AJ79" i="5" s="1"/>
  <c r="AH79" i="5"/>
  <c r="AB79" i="5"/>
  <c r="AC79" i="5" s="1"/>
  <c r="AE79" i="5" s="1"/>
  <c r="AF79" i="5" s="1"/>
  <c r="A79" i="5"/>
  <c r="AI78" i="5"/>
  <c r="AJ78" i="5" s="1"/>
  <c r="AH78" i="5"/>
  <c r="AB78" i="5"/>
  <c r="AD78" i="5" s="1"/>
  <c r="A78" i="5"/>
  <c r="AI77" i="5"/>
  <c r="AJ77" i="5" s="1"/>
  <c r="AH77" i="5"/>
  <c r="AB77" i="5"/>
  <c r="AC77" i="5" s="1"/>
  <c r="AE77" i="5" s="1"/>
  <c r="AF77" i="5" s="1"/>
  <c r="A77" i="5"/>
  <c r="AI76" i="5"/>
  <c r="AJ76" i="5" s="1"/>
  <c r="AH76" i="5"/>
  <c r="AB76" i="5"/>
  <c r="AC76" i="5" s="1"/>
  <c r="AE76" i="5" s="1"/>
  <c r="AF76" i="5" s="1"/>
  <c r="A76" i="5"/>
  <c r="AI75" i="5"/>
  <c r="AJ75" i="5" s="1"/>
  <c r="AH75" i="5"/>
  <c r="AB75" i="5"/>
  <c r="AC75" i="5" s="1"/>
  <c r="AE75" i="5" s="1"/>
  <c r="AF75" i="5" s="1"/>
  <c r="A75" i="5"/>
  <c r="AI74" i="5"/>
  <c r="AJ74" i="5" s="1"/>
  <c r="AH74" i="5"/>
  <c r="AB74" i="5"/>
  <c r="AD74" i="5" s="1"/>
  <c r="A74" i="5"/>
  <c r="AI73" i="5"/>
  <c r="AJ73" i="5" s="1"/>
  <c r="AH73" i="5"/>
  <c r="AB73" i="5"/>
  <c r="AC73" i="5" s="1"/>
  <c r="AE73" i="5" s="1"/>
  <c r="AF73" i="5" s="1"/>
  <c r="A73" i="5"/>
  <c r="AI72" i="5"/>
  <c r="AJ72" i="5" s="1"/>
  <c r="AH72" i="5"/>
  <c r="AB72" i="5"/>
  <c r="AC72" i="5" s="1"/>
  <c r="AE72" i="5" s="1"/>
  <c r="AF72" i="5" s="1"/>
  <c r="A72" i="5"/>
  <c r="AI71" i="5"/>
  <c r="AJ71" i="5" s="1"/>
  <c r="AH71" i="5"/>
  <c r="AB71" i="5"/>
  <c r="AC71" i="5" s="1"/>
  <c r="AE71" i="5" s="1"/>
  <c r="AF71" i="5" s="1"/>
  <c r="A71" i="5"/>
  <c r="AI70" i="5"/>
  <c r="AJ70" i="5" s="1"/>
  <c r="AH70" i="5"/>
  <c r="AB70" i="5"/>
  <c r="AC70" i="5" s="1"/>
  <c r="AE70" i="5" s="1"/>
  <c r="AF70" i="5" s="1"/>
  <c r="A70" i="5"/>
  <c r="AI69" i="5"/>
  <c r="AJ69" i="5" s="1"/>
  <c r="AH69" i="5"/>
  <c r="AB69" i="5"/>
  <c r="AC69" i="5" s="1"/>
  <c r="AE69" i="5" s="1"/>
  <c r="AF69" i="5" s="1"/>
  <c r="A69" i="5"/>
  <c r="AI68" i="5"/>
  <c r="AJ68" i="5" s="1"/>
  <c r="AH68" i="5"/>
  <c r="AB68" i="5"/>
  <c r="AC68" i="5" s="1"/>
  <c r="AE68" i="5" s="1"/>
  <c r="AF68" i="5" s="1"/>
  <c r="A68" i="5"/>
  <c r="AI67" i="5"/>
  <c r="AJ67" i="5" s="1"/>
  <c r="AH67" i="5"/>
  <c r="AB67" i="5"/>
  <c r="AD67" i="5" s="1"/>
  <c r="A67" i="5"/>
  <c r="AI66" i="5"/>
  <c r="AJ66" i="5" s="1"/>
  <c r="AH66" i="5"/>
  <c r="AB66" i="5"/>
  <c r="AD66" i="5" s="1"/>
  <c r="A66" i="5"/>
  <c r="AI65" i="5"/>
  <c r="AJ65" i="5" s="1"/>
  <c r="AH65" i="5"/>
  <c r="AB65" i="5"/>
  <c r="AD65" i="5" s="1"/>
  <c r="A65" i="5"/>
  <c r="AI64" i="5"/>
  <c r="AJ64" i="5" s="1"/>
  <c r="AH64" i="5"/>
  <c r="AB64" i="5"/>
  <c r="AC64" i="5" s="1"/>
  <c r="AE64" i="5" s="1"/>
  <c r="AF64" i="5" s="1"/>
  <c r="A64" i="5"/>
  <c r="AI63" i="5"/>
  <c r="AJ63" i="5" s="1"/>
  <c r="AH63" i="5"/>
  <c r="AB63" i="5"/>
  <c r="AC63" i="5" s="1"/>
  <c r="AE63" i="5" s="1"/>
  <c r="AF63" i="5" s="1"/>
  <c r="A63" i="5"/>
  <c r="AI62" i="5"/>
  <c r="AJ62" i="5" s="1"/>
  <c r="AH62" i="5"/>
  <c r="AB62" i="5"/>
  <c r="AC62" i="5" s="1"/>
  <c r="AE62" i="5" s="1"/>
  <c r="AF62" i="5" s="1"/>
  <c r="A62" i="5"/>
  <c r="AI61" i="5"/>
  <c r="AJ61" i="5" s="1"/>
  <c r="AH61" i="5"/>
  <c r="AB61" i="5"/>
  <c r="AD61" i="5" s="1"/>
  <c r="A61" i="5"/>
  <c r="AI60" i="5"/>
  <c r="AJ60" i="5" s="1"/>
  <c r="AH60" i="5"/>
  <c r="AB60" i="5"/>
  <c r="AC60" i="5" s="1"/>
  <c r="AE60" i="5" s="1"/>
  <c r="AF60" i="5" s="1"/>
  <c r="A60" i="5"/>
  <c r="AI59" i="5"/>
  <c r="AJ59" i="5" s="1"/>
  <c r="AH59" i="5"/>
  <c r="AB59" i="5"/>
  <c r="AC59" i="5" s="1"/>
  <c r="AE59" i="5" s="1"/>
  <c r="AF59" i="5" s="1"/>
  <c r="A59" i="5"/>
  <c r="AI58" i="5"/>
  <c r="AJ58" i="5" s="1"/>
  <c r="AH58" i="5"/>
  <c r="AB58" i="5"/>
  <c r="AD58" i="5" s="1"/>
  <c r="A58" i="5"/>
  <c r="AI57" i="5"/>
  <c r="AJ57" i="5" s="1"/>
  <c r="AH57" i="5"/>
  <c r="AB57" i="5"/>
  <c r="AC57" i="5" s="1"/>
  <c r="AE57" i="5" s="1"/>
  <c r="AF57" i="5" s="1"/>
  <c r="A57" i="5"/>
  <c r="AI56" i="5"/>
  <c r="AJ56" i="5" s="1"/>
  <c r="AH56" i="5"/>
  <c r="AB56" i="5"/>
  <c r="AC56" i="5" s="1"/>
  <c r="AE56" i="5" s="1"/>
  <c r="AF56" i="5" s="1"/>
  <c r="A56" i="5"/>
  <c r="AI55" i="5"/>
  <c r="AJ55" i="5" s="1"/>
  <c r="AH55" i="5"/>
  <c r="AB55" i="5"/>
  <c r="AC55" i="5" s="1"/>
  <c r="AE55" i="5" s="1"/>
  <c r="AF55" i="5" s="1"/>
  <c r="A55" i="5"/>
  <c r="AI54" i="5"/>
  <c r="AJ54" i="5" s="1"/>
  <c r="AH54" i="5"/>
  <c r="AB54" i="5"/>
  <c r="AC54" i="5" s="1"/>
  <c r="AE54" i="5" s="1"/>
  <c r="AF54" i="5" s="1"/>
  <c r="A54" i="5"/>
  <c r="AI53" i="5"/>
  <c r="AJ53" i="5" s="1"/>
  <c r="AH53" i="5"/>
  <c r="AB53" i="5"/>
  <c r="AC53" i="5" s="1"/>
  <c r="AE53" i="5" s="1"/>
  <c r="AF53" i="5" s="1"/>
  <c r="A53" i="5"/>
  <c r="AI52" i="5"/>
  <c r="AJ52" i="5" s="1"/>
  <c r="AH52" i="5"/>
  <c r="AB52" i="5"/>
  <c r="AC52" i="5" s="1"/>
  <c r="AE52" i="5" s="1"/>
  <c r="AF52" i="5" s="1"/>
  <c r="A52" i="5"/>
  <c r="AI51" i="5"/>
  <c r="AJ51" i="5" s="1"/>
  <c r="AH51" i="5"/>
  <c r="AB51" i="5"/>
  <c r="AD51" i="5" s="1"/>
  <c r="A51" i="5"/>
  <c r="AI50" i="5"/>
  <c r="AJ50" i="5" s="1"/>
  <c r="AH50" i="5"/>
  <c r="AD50" i="5"/>
  <c r="AB50" i="5"/>
  <c r="AC50" i="5" s="1"/>
  <c r="AE50" i="5" s="1"/>
  <c r="AF50" i="5" s="1"/>
  <c r="A50" i="5"/>
  <c r="AI49" i="5"/>
  <c r="AJ49" i="5" s="1"/>
  <c r="AH49" i="5"/>
  <c r="AB49" i="5"/>
  <c r="AD49" i="5" s="1"/>
  <c r="A49" i="5"/>
  <c r="AI48" i="5"/>
  <c r="AJ48" i="5" s="1"/>
  <c r="AH48" i="5"/>
  <c r="AB48" i="5"/>
  <c r="AD48" i="5" s="1"/>
  <c r="A48" i="5"/>
  <c r="AI47" i="5"/>
  <c r="AJ47" i="5" s="1"/>
  <c r="AH47" i="5"/>
  <c r="AB47" i="5"/>
  <c r="AD47" i="5" s="1"/>
  <c r="A47" i="5"/>
  <c r="AI46" i="5"/>
  <c r="AJ46" i="5" s="1"/>
  <c r="AH46" i="5"/>
  <c r="AB46" i="5"/>
  <c r="AC46" i="5" s="1"/>
  <c r="AE46" i="5" s="1"/>
  <c r="AF46" i="5" s="1"/>
  <c r="A46" i="5"/>
  <c r="AI45" i="5"/>
  <c r="AJ45" i="5" s="1"/>
  <c r="AH45" i="5"/>
  <c r="AB45" i="5"/>
  <c r="AD45" i="5" s="1"/>
  <c r="A45" i="5"/>
  <c r="AI44" i="5"/>
  <c r="AJ44" i="5" s="1"/>
  <c r="AH44" i="5"/>
  <c r="AB44" i="5"/>
  <c r="AD44" i="5" s="1"/>
  <c r="A44" i="5"/>
  <c r="AI43" i="5"/>
  <c r="AJ43" i="5" s="1"/>
  <c r="AH43" i="5"/>
  <c r="AB43" i="5"/>
  <c r="AD43" i="5" s="1"/>
  <c r="A43" i="5"/>
  <c r="AI42" i="5"/>
  <c r="AJ42" i="5" s="1"/>
  <c r="AH42" i="5"/>
  <c r="AC42" i="5"/>
  <c r="AE42" i="5" s="1"/>
  <c r="AF42" i="5" s="1"/>
  <c r="AB42" i="5"/>
  <c r="AD42" i="5" s="1"/>
  <c r="A42" i="5"/>
  <c r="AI41" i="5"/>
  <c r="AJ41" i="5" s="1"/>
  <c r="AH41" i="5"/>
  <c r="AB41" i="5"/>
  <c r="AD41" i="5" s="1"/>
  <c r="A41" i="5"/>
  <c r="AI40" i="5"/>
  <c r="AJ40" i="5" s="1"/>
  <c r="AH40" i="5"/>
  <c r="AB40" i="5"/>
  <c r="AD40" i="5" s="1"/>
  <c r="A40" i="5"/>
  <c r="AI39" i="5"/>
  <c r="AJ39" i="5" s="1"/>
  <c r="AH39" i="5"/>
  <c r="AB39" i="5"/>
  <c r="AD39" i="5" s="1"/>
  <c r="A39" i="5"/>
  <c r="AI38" i="5"/>
  <c r="AJ38" i="5" s="1"/>
  <c r="AH38" i="5"/>
  <c r="AB38" i="5"/>
  <c r="AC38" i="5" s="1"/>
  <c r="AE38" i="5" s="1"/>
  <c r="AF38" i="5" s="1"/>
  <c r="A38" i="5"/>
  <c r="AI37" i="5"/>
  <c r="AJ37" i="5" s="1"/>
  <c r="AH37" i="5"/>
  <c r="AB37" i="5"/>
  <c r="AD37" i="5" s="1"/>
  <c r="A37" i="5"/>
  <c r="AI36" i="5"/>
  <c r="AJ36" i="5" s="1"/>
  <c r="AH36" i="5"/>
  <c r="AB36" i="5"/>
  <c r="AC36" i="5" s="1"/>
  <c r="AE36" i="5" s="1"/>
  <c r="AF36" i="5" s="1"/>
  <c r="A36" i="5"/>
  <c r="AI35" i="5"/>
  <c r="AJ35" i="5" s="1"/>
  <c r="AH35" i="5"/>
  <c r="AB35" i="5"/>
  <c r="AD35" i="5" s="1"/>
  <c r="A35" i="5"/>
  <c r="AI34" i="5"/>
  <c r="AJ34" i="5" s="1"/>
  <c r="AH34" i="5"/>
  <c r="AB34" i="5"/>
  <c r="AC34" i="5" s="1"/>
  <c r="AE34" i="5" s="1"/>
  <c r="AF34" i="5" s="1"/>
  <c r="A34" i="5"/>
  <c r="AI33" i="5"/>
  <c r="AJ33" i="5" s="1"/>
  <c r="AH33" i="5"/>
  <c r="AB33" i="5"/>
  <c r="AD33" i="5" s="1"/>
  <c r="A33" i="5"/>
  <c r="AI32" i="5"/>
  <c r="AJ32" i="5" s="1"/>
  <c r="AH32" i="5"/>
  <c r="AB32" i="5"/>
  <c r="AC32" i="5" s="1"/>
  <c r="AE32" i="5" s="1"/>
  <c r="AF32" i="5" s="1"/>
  <c r="A32" i="5"/>
  <c r="AI31" i="5"/>
  <c r="AJ31" i="5" s="1"/>
  <c r="AH31" i="5"/>
  <c r="AB31" i="5"/>
  <c r="AD31" i="5" s="1"/>
  <c r="A31" i="5"/>
  <c r="AI30" i="5"/>
  <c r="AJ30" i="5" s="1"/>
  <c r="AH30" i="5"/>
  <c r="AB30" i="5"/>
  <c r="AC30" i="5" s="1"/>
  <c r="AE30" i="5" s="1"/>
  <c r="AF30" i="5" s="1"/>
  <c r="A30" i="5"/>
  <c r="AI29" i="5"/>
  <c r="AJ29" i="5" s="1"/>
  <c r="AH29" i="5"/>
  <c r="AB29" i="5"/>
  <c r="AD29" i="5" s="1"/>
  <c r="A29" i="5"/>
  <c r="AI28" i="5"/>
  <c r="AJ28" i="5" s="1"/>
  <c r="AH28" i="5"/>
  <c r="AB28" i="5"/>
  <c r="AC28" i="5" s="1"/>
  <c r="AE28" i="5" s="1"/>
  <c r="AF28" i="5" s="1"/>
  <c r="A28" i="5"/>
  <c r="AI27" i="5"/>
  <c r="AJ27" i="5" s="1"/>
  <c r="AH27" i="5"/>
  <c r="AB27" i="5"/>
  <c r="AD27" i="5" s="1"/>
  <c r="A27" i="5"/>
  <c r="AI26" i="5"/>
  <c r="AJ26" i="5" s="1"/>
  <c r="AH26" i="5"/>
  <c r="AB26" i="5"/>
  <c r="AC26" i="5" s="1"/>
  <c r="AE26" i="5" s="1"/>
  <c r="AF26" i="5" s="1"/>
  <c r="A26" i="5"/>
  <c r="AI25" i="5"/>
  <c r="AJ25" i="5" s="1"/>
  <c r="AH25" i="5"/>
  <c r="AB25" i="5"/>
  <c r="AD25" i="5" s="1"/>
  <c r="A25" i="5"/>
  <c r="AI24" i="5"/>
  <c r="AJ24" i="5" s="1"/>
  <c r="AH24" i="5"/>
  <c r="AB24" i="5"/>
  <c r="AC24" i="5" s="1"/>
  <c r="AE24" i="5" s="1"/>
  <c r="AF24" i="5" s="1"/>
  <c r="A24" i="5"/>
  <c r="AI23" i="5"/>
  <c r="AJ23" i="5" s="1"/>
  <c r="AH23" i="5"/>
  <c r="AB23" i="5"/>
  <c r="AD23" i="5" s="1"/>
  <c r="A23" i="5"/>
  <c r="AI22" i="5"/>
  <c r="AJ22" i="5" s="1"/>
  <c r="AH22" i="5"/>
  <c r="AB22" i="5"/>
  <c r="AC22" i="5" s="1"/>
  <c r="AE22" i="5" s="1"/>
  <c r="AF22" i="5" s="1"/>
  <c r="A22" i="5"/>
  <c r="AI21" i="5"/>
  <c r="AJ21" i="5" s="1"/>
  <c r="AH21" i="5"/>
  <c r="AB21" i="5"/>
  <c r="AD21" i="5" s="1"/>
  <c r="A21" i="5"/>
  <c r="AI20" i="5"/>
  <c r="AJ20" i="5" s="1"/>
  <c r="AH20" i="5"/>
  <c r="AB20" i="5"/>
  <c r="AC20" i="5" s="1"/>
  <c r="AE20" i="5" s="1"/>
  <c r="AF20" i="5" s="1"/>
  <c r="A20" i="5"/>
  <c r="AI19" i="5"/>
  <c r="AJ19" i="5" s="1"/>
  <c r="AH19" i="5"/>
  <c r="AB19" i="5"/>
  <c r="AD19" i="5" s="1"/>
  <c r="A19" i="5"/>
  <c r="AI18" i="5"/>
  <c r="AJ18" i="5" s="1"/>
  <c r="AH18" i="5"/>
  <c r="AB18" i="5"/>
  <c r="AC18" i="5" s="1"/>
  <c r="AE18" i="5" s="1"/>
  <c r="AF18" i="5" s="1"/>
  <c r="A18" i="5"/>
  <c r="AI17" i="5"/>
  <c r="AJ17" i="5" s="1"/>
  <c r="AH17" i="5"/>
  <c r="AB17" i="5"/>
  <c r="AD17" i="5" s="1"/>
  <c r="A17" i="5"/>
  <c r="AI16" i="5"/>
  <c r="AJ16" i="5" s="1"/>
  <c r="AH16" i="5"/>
  <c r="AB16" i="5"/>
  <c r="AC16" i="5" s="1"/>
  <c r="AE16" i="5" s="1"/>
  <c r="AF16" i="5" s="1"/>
  <c r="A16" i="5"/>
  <c r="AI15" i="5"/>
  <c r="AJ15" i="5" s="1"/>
  <c r="AH15" i="5"/>
  <c r="AB15" i="5"/>
  <c r="AD15" i="5" s="1"/>
  <c r="A15" i="5"/>
  <c r="AI14" i="5"/>
  <c r="AJ14" i="5" s="1"/>
  <c r="AH14" i="5"/>
  <c r="AB14" i="5"/>
  <c r="AC14" i="5" s="1"/>
  <c r="AE14" i="5" s="1"/>
  <c r="AF14" i="5" s="1"/>
  <c r="A14" i="5"/>
  <c r="AI13" i="5"/>
  <c r="AJ13" i="5" s="1"/>
  <c r="AH13" i="5"/>
  <c r="AB13" i="5"/>
  <c r="AD13" i="5" s="1"/>
  <c r="A13" i="5"/>
  <c r="AI12" i="5"/>
  <c r="AJ12" i="5" s="1"/>
  <c r="AH12" i="5"/>
  <c r="AB12" i="5"/>
  <c r="AC12" i="5" s="1"/>
  <c r="AE12" i="5" s="1"/>
  <c r="AF12" i="5" s="1"/>
  <c r="A12" i="5"/>
  <c r="AI11" i="5"/>
  <c r="AJ11" i="5" s="1"/>
  <c r="AH11" i="5"/>
  <c r="AB11" i="5"/>
  <c r="AD11" i="5" s="1"/>
  <c r="A11" i="5"/>
  <c r="AI10" i="5"/>
  <c r="AJ10" i="5" s="1"/>
  <c r="AH10" i="5"/>
  <c r="AB10" i="5"/>
  <c r="AC10" i="5" s="1"/>
  <c r="AE10" i="5" s="1"/>
  <c r="AF10" i="5" s="1"/>
  <c r="A10" i="5"/>
  <c r="AI9" i="5"/>
  <c r="AJ9" i="5" s="1"/>
  <c r="AH9" i="5"/>
  <c r="AB9" i="5"/>
  <c r="AD9" i="5" s="1"/>
  <c r="A9" i="5"/>
  <c r="AI8" i="5"/>
  <c r="AJ8" i="5" s="1"/>
  <c r="AH8" i="5"/>
  <c r="AB8" i="5"/>
  <c r="AC8" i="5" s="1"/>
  <c r="AE8" i="5" s="1"/>
  <c r="AF8" i="5" s="1"/>
  <c r="A8" i="5"/>
  <c r="AH7" i="5"/>
  <c r="AB7" i="5"/>
  <c r="AD7" i="5" s="1"/>
  <c r="AH6" i="5"/>
  <c r="AB6" i="5"/>
  <c r="AD6" i="5" s="1"/>
  <c r="AO5" i="5"/>
  <c r="AN5" i="5"/>
  <c r="AM5" i="5"/>
  <c r="AH5" i="5"/>
  <c r="AB5" i="5"/>
  <c r="AC5" i="5" s="1"/>
  <c r="AE5" i="5" s="1"/>
  <c r="AF5" i="5" s="1"/>
  <c r="AO4" i="5"/>
  <c r="AN4" i="5"/>
  <c r="AH4" i="5"/>
  <c r="AB4" i="5"/>
  <c r="AD4" i="5" s="1"/>
  <c r="A4" i="5"/>
  <c r="A5" i="5" s="1"/>
  <c r="A6" i="5" s="1"/>
  <c r="A7" i="5" s="1"/>
  <c r="AN3" i="5"/>
  <c r="AM3" i="5"/>
  <c r="AM4" i="5" s="1"/>
  <c r="E3" i="5"/>
  <c r="AI5" i="5" s="1"/>
  <c r="AJ5" i="5" s="1"/>
  <c r="AM1" i="5"/>
  <c r="I20" i="8"/>
  <c r="AC1" i="12"/>
  <c r="AP1" i="12" s="1"/>
  <c r="AQ2" i="6" l="1"/>
  <c r="AH5" i="6"/>
  <c r="AJ5" i="6" s="1"/>
  <c r="AK5" i="6" s="1"/>
  <c r="AL5" i="6" s="1"/>
  <c r="AH3" i="6"/>
  <c r="AJ3" i="6" s="1"/>
  <c r="AK3" i="6" s="1"/>
  <c r="AL3" i="6" s="1"/>
  <c r="AI4" i="6"/>
  <c r="AL4" i="6" s="1"/>
  <c r="AH9" i="6"/>
  <c r="AJ9" i="6" s="1"/>
  <c r="AK9" i="6" s="1"/>
  <c r="AL9" i="6" s="1"/>
  <c r="AH7" i="6"/>
  <c r="AJ7" i="6" s="1"/>
  <c r="AK7" i="6" s="1"/>
  <c r="AL7" i="6" s="1"/>
  <c r="AI8" i="6"/>
  <c r="AL8" i="6" s="1"/>
  <c r="AI6" i="6"/>
  <c r="AL6" i="6" s="1"/>
  <c r="AI2" i="6"/>
  <c r="AL2" i="6" s="1"/>
  <c r="AD46" i="5"/>
  <c r="AD70" i="5"/>
  <c r="AC130" i="5"/>
  <c r="AE130" i="5" s="1"/>
  <c r="AF130" i="5" s="1"/>
  <c r="AD133" i="5"/>
  <c r="AD159" i="5"/>
  <c r="AG159" i="5" s="1"/>
  <c r="AG175" i="5"/>
  <c r="AC219" i="5"/>
  <c r="AE219" i="5" s="1"/>
  <c r="AF219" i="5" s="1"/>
  <c r="AC245" i="5"/>
  <c r="AE245" i="5" s="1"/>
  <c r="AF245" i="5" s="1"/>
  <c r="AC268" i="5"/>
  <c r="AE268" i="5" s="1"/>
  <c r="AF268" i="5" s="1"/>
  <c r="AC270" i="5"/>
  <c r="AE270" i="5" s="1"/>
  <c r="AF270" i="5" s="1"/>
  <c r="AD288" i="5"/>
  <c r="AG335" i="5"/>
  <c r="AC348" i="5"/>
  <c r="AE348" i="5" s="1"/>
  <c r="AF348" i="5" s="1"/>
  <c r="AD362" i="5"/>
  <c r="AC411" i="5"/>
  <c r="AE411" i="5" s="1"/>
  <c r="AF411" i="5" s="1"/>
  <c r="AD526" i="5"/>
  <c r="AC566" i="5"/>
  <c r="AE566" i="5" s="1"/>
  <c r="AF566" i="5" s="1"/>
  <c r="AD640" i="5"/>
  <c r="AG640" i="5" s="1"/>
  <c r="AC643" i="5"/>
  <c r="AE643" i="5" s="1"/>
  <c r="AF643" i="5" s="1"/>
  <c r="AC645" i="5"/>
  <c r="AE645" i="5" s="1"/>
  <c r="AF645" i="5" s="1"/>
  <c r="AC677" i="5"/>
  <c r="AE677" i="5" s="1"/>
  <c r="AF677" i="5" s="1"/>
  <c r="AD691" i="5"/>
  <c r="AD762" i="5"/>
  <c r="AC768" i="5"/>
  <c r="AE768" i="5" s="1"/>
  <c r="AF768" i="5" s="1"/>
  <c r="AG768" i="5" s="1"/>
  <c r="AC782" i="5"/>
  <c r="AE782" i="5" s="1"/>
  <c r="AF782" i="5" s="1"/>
  <c r="AC829" i="5"/>
  <c r="AE829" i="5" s="1"/>
  <c r="AF829" i="5" s="1"/>
  <c r="AD912" i="5"/>
  <c r="AD958" i="5"/>
  <c r="AD69" i="5"/>
  <c r="AC136" i="5"/>
  <c r="AE136" i="5" s="1"/>
  <c r="AF136" i="5" s="1"/>
  <c r="AC137" i="5"/>
  <c r="AE137" i="5" s="1"/>
  <c r="AF137" i="5" s="1"/>
  <c r="AG190" i="5"/>
  <c r="AC750" i="5"/>
  <c r="AE750" i="5" s="1"/>
  <c r="AF750" i="5" s="1"/>
  <c r="AC47" i="5"/>
  <c r="AE47" i="5" s="1"/>
  <c r="AF47" i="5" s="1"/>
  <c r="AD56" i="5"/>
  <c r="AD63" i="5"/>
  <c r="AC83" i="5"/>
  <c r="AE83" i="5" s="1"/>
  <c r="AF83" i="5" s="1"/>
  <c r="AD129" i="5"/>
  <c r="AD190" i="5"/>
  <c r="AC223" i="5"/>
  <c r="AE223" i="5" s="1"/>
  <c r="AF223" i="5" s="1"/>
  <c r="AC250" i="5"/>
  <c r="AE250" i="5" s="1"/>
  <c r="AF250" i="5" s="1"/>
  <c r="AD275" i="5"/>
  <c r="AD289" i="5"/>
  <c r="AD304" i="5"/>
  <c r="AD333" i="5"/>
  <c r="AC363" i="5"/>
  <c r="AE363" i="5" s="1"/>
  <c r="AF363" i="5" s="1"/>
  <c r="AC366" i="5"/>
  <c r="AE366" i="5" s="1"/>
  <c r="AF366" i="5" s="1"/>
  <c r="AD406" i="5"/>
  <c r="AG406" i="5" s="1"/>
  <c r="AD436" i="5"/>
  <c r="AD487" i="5"/>
  <c r="AD510" i="5"/>
  <c r="AD553" i="5"/>
  <c r="AG553" i="5" s="1"/>
  <c r="AC570" i="5"/>
  <c r="AE570" i="5" s="1"/>
  <c r="AF570" i="5" s="1"/>
  <c r="AC626" i="5"/>
  <c r="AE626" i="5" s="1"/>
  <c r="AF626" i="5" s="1"/>
  <c r="AD633" i="5"/>
  <c r="AC635" i="5"/>
  <c r="AE635" i="5" s="1"/>
  <c r="AF635" i="5" s="1"/>
  <c r="AC644" i="5"/>
  <c r="AE644" i="5" s="1"/>
  <c r="AF644" i="5" s="1"/>
  <c r="AC666" i="5"/>
  <c r="AE666" i="5" s="1"/>
  <c r="AF666" i="5" s="1"/>
  <c r="AC668" i="5"/>
  <c r="AE668" i="5" s="1"/>
  <c r="AF668" i="5" s="1"/>
  <c r="AC699" i="5"/>
  <c r="AE699" i="5" s="1"/>
  <c r="AF699" i="5" s="1"/>
  <c r="AC754" i="5"/>
  <c r="AE754" i="5" s="1"/>
  <c r="AF754" i="5" s="1"/>
  <c r="AD761" i="5"/>
  <c r="AD781" i="5"/>
  <c r="AD810" i="5"/>
  <c r="AG810" i="5" s="1"/>
  <c r="AC813" i="5"/>
  <c r="AE813" i="5" s="1"/>
  <c r="AF813" i="5" s="1"/>
  <c r="AD828" i="5"/>
  <c r="AC899" i="5"/>
  <c r="AE899" i="5" s="1"/>
  <c r="AF899" i="5" s="1"/>
  <c r="AG899" i="5" s="1"/>
  <c r="AD935" i="5"/>
  <c r="AD946" i="5"/>
  <c r="AC43" i="5"/>
  <c r="AE43" i="5" s="1"/>
  <c r="AF43" i="5" s="1"/>
  <c r="AC85" i="5"/>
  <c r="AE85" i="5" s="1"/>
  <c r="AF85" i="5" s="1"/>
  <c r="AG85" i="5" s="1"/>
  <c r="AC107" i="5"/>
  <c r="AE107" i="5" s="1"/>
  <c r="AF107" i="5" s="1"/>
  <c r="AD110" i="5"/>
  <c r="AD122" i="5"/>
  <c r="AC124" i="5"/>
  <c r="AE124" i="5" s="1"/>
  <c r="AF124" i="5" s="1"/>
  <c r="AC135" i="5"/>
  <c r="AE135" i="5" s="1"/>
  <c r="AF135" i="5" s="1"/>
  <c r="AD151" i="5"/>
  <c r="AC152" i="5"/>
  <c r="AE152" i="5" s="1"/>
  <c r="AF152" i="5" s="1"/>
  <c r="AD171" i="5"/>
  <c r="AC192" i="5"/>
  <c r="AE192" i="5" s="1"/>
  <c r="AF192" i="5" s="1"/>
  <c r="AD262" i="5"/>
  <c r="AD285" i="5"/>
  <c r="AC292" i="5"/>
  <c r="AE292" i="5" s="1"/>
  <c r="AF292" i="5" s="1"/>
  <c r="AC302" i="5"/>
  <c r="AE302" i="5" s="1"/>
  <c r="AF302" i="5" s="1"/>
  <c r="AC310" i="5"/>
  <c r="AE310" i="5" s="1"/>
  <c r="AF310" i="5" s="1"/>
  <c r="AD384" i="5"/>
  <c r="AG384" i="5" s="1"/>
  <c r="AD391" i="5"/>
  <c r="AG391" i="5" s="1"/>
  <c r="AD397" i="5"/>
  <c r="AD423" i="5"/>
  <c r="AC428" i="5"/>
  <c r="AE428" i="5" s="1"/>
  <c r="AF428" i="5" s="1"/>
  <c r="AD438" i="5"/>
  <c r="AG465" i="5"/>
  <c r="AD467" i="5"/>
  <c r="AD497" i="5"/>
  <c r="AC508" i="5"/>
  <c r="AE508" i="5" s="1"/>
  <c r="AF508" i="5" s="1"/>
  <c r="AC524" i="5"/>
  <c r="AE524" i="5" s="1"/>
  <c r="AF524" i="5" s="1"/>
  <c r="AG547" i="5"/>
  <c r="AC549" i="5"/>
  <c r="AE549" i="5" s="1"/>
  <c r="AF549" i="5" s="1"/>
  <c r="AD576" i="5"/>
  <c r="AC603" i="5"/>
  <c r="AE603" i="5" s="1"/>
  <c r="AF603" i="5" s="1"/>
  <c r="AC622" i="5"/>
  <c r="AE622" i="5" s="1"/>
  <c r="AF622" i="5" s="1"/>
  <c r="AC661" i="5"/>
  <c r="AE661" i="5" s="1"/>
  <c r="AF661" i="5" s="1"/>
  <c r="AC664" i="5"/>
  <c r="AE664" i="5" s="1"/>
  <c r="AF664" i="5" s="1"/>
  <c r="AD689" i="5"/>
  <c r="AG695" i="5"/>
  <c r="AC697" i="5"/>
  <c r="AE697" i="5" s="1"/>
  <c r="AF697" i="5" s="1"/>
  <c r="AD702" i="5"/>
  <c r="AG702" i="5" s="1"/>
  <c r="AC705" i="5"/>
  <c r="AE705" i="5" s="1"/>
  <c r="AF705" i="5" s="1"/>
  <c r="AD735" i="5"/>
  <c r="AC748" i="5"/>
  <c r="AE748" i="5" s="1"/>
  <c r="AF748" i="5" s="1"/>
  <c r="AG754" i="5"/>
  <c r="AC756" i="5"/>
  <c r="AE756" i="5" s="1"/>
  <c r="AF756" i="5" s="1"/>
  <c r="AG756" i="5" s="1"/>
  <c r="AD792" i="5"/>
  <c r="AG792" i="5" s="1"/>
  <c r="AD806" i="5"/>
  <c r="AG806" i="5" s="1"/>
  <c r="AD819" i="5"/>
  <c r="AG819" i="5" s="1"/>
  <c r="AD821" i="5"/>
  <c r="AG821" i="5" s="1"/>
  <c r="AD823" i="5"/>
  <c r="AG823" i="5" s="1"/>
  <c r="AC877" i="5"/>
  <c r="AE877" i="5" s="1"/>
  <c r="AF877" i="5" s="1"/>
  <c r="AD885" i="5"/>
  <c r="AD905" i="5"/>
  <c r="AD956" i="5"/>
  <c r="AG133" i="5"/>
  <c r="AG411" i="5"/>
  <c r="AC51" i="5"/>
  <c r="AE51" i="5" s="1"/>
  <c r="AF51" i="5" s="1"/>
  <c r="AD54" i="5"/>
  <c r="AG54" i="5" s="1"/>
  <c r="AC67" i="5"/>
  <c r="AE67" i="5" s="1"/>
  <c r="AF67" i="5" s="1"/>
  <c r="AC111" i="5"/>
  <c r="AE111" i="5" s="1"/>
  <c r="AF111" i="5" s="1"/>
  <c r="AD123" i="5"/>
  <c r="AD125" i="5"/>
  <c r="AC145" i="5"/>
  <c r="AE145" i="5" s="1"/>
  <c r="AF145" i="5" s="1"/>
  <c r="AD170" i="5"/>
  <c r="AC244" i="5"/>
  <c r="AE244" i="5" s="1"/>
  <c r="AF244" i="5" s="1"/>
  <c r="AD252" i="5"/>
  <c r="AC286" i="5"/>
  <c r="AE286" i="5" s="1"/>
  <c r="AF286" i="5" s="1"/>
  <c r="AD291" i="5"/>
  <c r="AC301" i="5"/>
  <c r="AE301" i="5" s="1"/>
  <c r="AF301" i="5" s="1"/>
  <c r="AC303" i="5"/>
  <c r="AE303" i="5" s="1"/>
  <c r="AF303" i="5" s="1"/>
  <c r="AC344" i="5"/>
  <c r="AE344" i="5" s="1"/>
  <c r="AF344" i="5" s="1"/>
  <c r="AD350" i="5"/>
  <c r="AC360" i="5"/>
  <c r="AE360" i="5" s="1"/>
  <c r="AF360" i="5" s="1"/>
  <c r="AC392" i="5"/>
  <c r="AE392" i="5" s="1"/>
  <c r="AF392" i="5" s="1"/>
  <c r="AD402" i="5"/>
  <c r="AC418" i="5"/>
  <c r="AE418" i="5" s="1"/>
  <c r="AF418" i="5" s="1"/>
  <c r="AC424" i="5"/>
  <c r="AE424" i="5" s="1"/>
  <c r="AF424" i="5" s="1"/>
  <c r="AD427" i="5"/>
  <c r="AG427" i="5" s="1"/>
  <c r="AD485" i="5"/>
  <c r="AG485" i="5" s="1"/>
  <c r="AC498" i="5"/>
  <c r="AE498" i="5" s="1"/>
  <c r="AF498" i="5" s="1"/>
  <c r="AG498" i="5" s="1"/>
  <c r="AC501" i="5"/>
  <c r="AE501" i="5" s="1"/>
  <c r="AF501" i="5" s="1"/>
  <c r="AD507" i="5"/>
  <c r="AD512" i="5"/>
  <c r="AC532" i="5"/>
  <c r="AE532" i="5" s="1"/>
  <c r="AF532" i="5" s="1"/>
  <c r="AG532" i="5" s="1"/>
  <c r="AD538" i="5"/>
  <c r="AD557" i="5"/>
  <c r="AG557" i="5" s="1"/>
  <c r="AD560" i="5"/>
  <c r="AC571" i="5"/>
  <c r="AE571" i="5" s="1"/>
  <c r="AF571" i="5" s="1"/>
  <c r="AD602" i="5"/>
  <c r="AD604" i="5"/>
  <c r="AC618" i="5"/>
  <c r="AE618" i="5" s="1"/>
  <c r="AF618" i="5" s="1"/>
  <c r="AG668" i="5"/>
  <c r="AD681" i="5"/>
  <c r="AC693" i="5"/>
  <c r="AE693" i="5" s="1"/>
  <c r="AF693" i="5" s="1"/>
  <c r="AG699" i="5"/>
  <c r="AC701" i="5"/>
  <c r="AE701" i="5" s="1"/>
  <c r="AF701" i="5" s="1"/>
  <c r="AC721" i="5"/>
  <c r="AE721" i="5" s="1"/>
  <c r="AF721" i="5" s="1"/>
  <c r="AD728" i="5"/>
  <c r="AD744" i="5"/>
  <c r="AG750" i="5"/>
  <c r="AC752" i="5"/>
  <c r="AE752" i="5" s="1"/>
  <c r="AF752" i="5" s="1"/>
  <c r="AG752" i="5" s="1"/>
  <c r="AC820" i="5"/>
  <c r="AE820" i="5" s="1"/>
  <c r="AF820" i="5" s="1"/>
  <c r="AC822" i="5"/>
  <c r="AE822" i="5" s="1"/>
  <c r="AF822" i="5" s="1"/>
  <c r="AD824" i="5"/>
  <c r="AD826" i="5"/>
  <c r="AC846" i="5"/>
  <c r="AE846" i="5" s="1"/>
  <c r="AF846" i="5" s="1"/>
  <c r="AC876" i="5"/>
  <c r="AE876" i="5" s="1"/>
  <c r="AF876" i="5" s="1"/>
  <c r="AC878" i="5"/>
  <c r="AE878" i="5" s="1"/>
  <c r="AF878" i="5" s="1"/>
  <c r="AC884" i="5"/>
  <c r="AE884" i="5" s="1"/>
  <c r="AF884" i="5" s="1"/>
  <c r="AD890" i="5"/>
  <c r="AD916" i="5"/>
  <c r="AD933" i="5"/>
  <c r="AD939" i="5"/>
  <c r="AD942" i="5"/>
  <c r="AD952" i="5"/>
  <c r="AD960" i="5"/>
  <c r="AG438" i="5"/>
  <c r="AG622" i="5"/>
  <c r="AG697" i="5"/>
  <c r="AG122" i="5"/>
  <c r="AC7" i="5"/>
  <c r="AE7" i="5" s="1"/>
  <c r="AF7" i="5" s="1"/>
  <c r="AG7" i="5" s="1"/>
  <c r="AC65" i="5"/>
  <c r="AE65" i="5" s="1"/>
  <c r="AF65" i="5" s="1"/>
  <c r="AD73" i="5"/>
  <c r="AC87" i="5"/>
  <c r="AE87" i="5" s="1"/>
  <c r="AF87" i="5" s="1"/>
  <c r="AG87" i="5" s="1"/>
  <c r="AD89" i="5"/>
  <c r="AG89" i="5" s="1"/>
  <c r="AD98" i="5"/>
  <c r="AD105" i="5"/>
  <c r="AG105" i="5" s="1"/>
  <c r="AD114" i="5"/>
  <c r="AC116" i="5"/>
  <c r="AE116" i="5" s="1"/>
  <c r="AF116" i="5" s="1"/>
  <c r="AC144" i="5"/>
  <c r="AE144" i="5" s="1"/>
  <c r="AF144" i="5" s="1"/>
  <c r="AC147" i="5"/>
  <c r="AE147" i="5" s="1"/>
  <c r="AF147" i="5" s="1"/>
  <c r="AC167" i="5"/>
  <c r="AE167" i="5" s="1"/>
  <c r="AF167" i="5" s="1"/>
  <c r="AC184" i="5"/>
  <c r="AE184" i="5" s="1"/>
  <c r="AF184" i="5" s="1"/>
  <c r="AC186" i="5"/>
  <c r="AE186" i="5" s="1"/>
  <c r="AF186" i="5" s="1"/>
  <c r="AG186" i="5" s="1"/>
  <c r="AG192" i="5"/>
  <c r="AC194" i="5"/>
  <c r="AE194" i="5" s="1"/>
  <c r="AF194" i="5" s="1"/>
  <c r="AC200" i="5"/>
  <c r="AE200" i="5" s="1"/>
  <c r="AF200" i="5" s="1"/>
  <c r="AC201" i="5"/>
  <c r="AE201" i="5" s="1"/>
  <c r="AF201" i="5" s="1"/>
  <c r="AC203" i="5"/>
  <c r="AE203" i="5" s="1"/>
  <c r="AF203" i="5" s="1"/>
  <c r="AC205" i="5"/>
  <c r="AE205" i="5" s="1"/>
  <c r="AF205" i="5" s="1"/>
  <c r="AC207" i="5"/>
  <c r="AE207" i="5" s="1"/>
  <c r="AF207" i="5" s="1"/>
  <c r="AG207" i="5" s="1"/>
  <c r="AC211" i="5"/>
  <c r="AE211" i="5" s="1"/>
  <c r="AF211" i="5" s="1"/>
  <c r="AC224" i="5"/>
  <c r="AE224" i="5" s="1"/>
  <c r="AF224" i="5" s="1"/>
  <c r="AC240" i="5"/>
  <c r="AE240" i="5" s="1"/>
  <c r="AF240" i="5" s="1"/>
  <c r="AD243" i="5"/>
  <c r="AC260" i="5"/>
  <c r="AE260" i="5" s="1"/>
  <c r="AF260" i="5" s="1"/>
  <c r="AC265" i="5"/>
  <c r="AE265" i="5" s="1"/>
  <c r="AF265" i="5" s="1"/>
  <c r="AD269" i="5"/>
  <c r="AC272" i="5"/>
  <c r="AE272" i="5" s="1"/>
  <c r="AF272" i="5" s="1"/>
  <c r="AC278" i="5"/>
  <c r="AE278" i="5" s="1"/>
  <c r="AF278" i="5" s="1"/>
  <c r="AC280" i="5"/>
  <c r="AE280" i="5" s="1"/>
  <c r="AF280" i="5" s="1"/>
  <c r="AC282" i="5"/>
  <c r="AE282" i="5" s="1"/>
  <c r="AF282" i="5" s="1"/>
  <c r="AG282" i="5" s="1"/>
  <c r="AD294" i="5"/>
  <c r="AG313" i="5"/>
  <c r="AC315" i="5"/>
  <c r="AE315" i="5" s="1"/>
  <c r="AF315" i="5" s="1"/>
  <c r="AD346" i="5"/>
  <c r="AC354" i="5"/>
  <c r="AE354" i="5" s="1"/>
  <c r="AF354" i="5" s="1"/>
  <c r="AG354" i="5" s="1"/>
  <c r="AC356" i="5"/>
  <c r="AE356" i="5" s="1"/>
  <c r="AF356" i="5" s="1"/>
  <c r="AC367" i="5"/>
  <c r="AE367" i="5" s="1"/>
  <c r="AF367" i="5" s="1"/>
  <c r="AD378" i="5"/>
  <c r="AG378" i="5" s="1"/>
  <c r="AC412" i="5"/>
  <c r="AE412" i="5" s="1"/>
  <c r="AF412" i="5" s="1"/>
  <c r="AG412" i="5" s="1"/>
  <c r="AD434" i="5"/>
  <c r="AD470" i="5"/>
  <c r="AD481" i="5"/>
  <c r="AC502" i="5"/>
  <c r="AE502" i="5" s="1"/>
  <c r="AF502" i="5" s="1"/>
  <c r="AG502" i="5" s="1"/>
  <c r="AG507" i="5"/>
  <c r="AC516" i="5"/>
  <c r="AE516" i="5" s="1"/>
  <c r="AF516" i="5" s="1"/>
  <c r="AD518" i="5"/>
  <c r="AD528" i="5"/>
  <c r="AD536" i="5"/>
  <c r="AD568" i="5"/>
  <c r="AC568" i="5"/>
  <c r="AE568" i="5" s="1"/>
  <c r="AF568" i="5" s="1"/>
  <c r="AD578" i="5"/>
  <c r="AD584" i="5"/>
  <c r="AC584" i="5"/>
  <c r="AE584" i="5" s="1"/>
  <c r="AF584" i="5" s="1"/>
  <c r="AD595" i="5"/>
  <c r="AC595" i="5"/>
  <c r="AE595" i="5" s="1"/>
  <c r="AF595" i="5" s="1"/>
  <c r="AD606" i="5"/>
  <c r="AC606" i="5"/>
  <c r="AE606" i="5" s="1"/>
  <c r="AF606" i="5" s="1"/>
  <c r="AC534" i="5"/>
  <c r="AE534" i="5" s="1"/>
  <c r="AF534" i="5" s="1"/>
  <c r="AD534" i="5"/>
  <c r="AD563" i="5"/>
  <c r="AC563" i="5"/>
  <c r="AE563" i="5" s="1"/>
  <c r="AF563" i="5" s="1"/>
  <c r="AD573" i="5"/>
  <c r="AC573" i="5"/>
  <c r="AE573" i="5" s="1"/>
  <c r="AF573" i="5" s="1"/>
  <c r="AD585" i="5"/>
  <c r="AC585" i="5"/>
  <c r="AE585" i="5" s="1"/>
  <c r="AF585" i="5" s="1"/>
  <c r="AC596" i="5"/>
  <c r="AE596" i="5" s="1"/>
  <c r="AF596" i="5" s="1"/>
  <c r="AD596" i="5"/>
  <c r="AG596" i="5" s="1"/>
  <c r="AC615" i="5"/>
  <c r="AE615" i="5" s="1"/>
  <c r="AF615" i="5" s="1"/>
  <c r="AD615" i="5"/>
  <c r="AG70" i="5"/>
  <c r="AC212" i="5"/>
  <c r="AE212" i="5" s="1"/>
  <c r="AF212" i="5" s="1"/>
  <c r="AG223" i="5"/>
  <c r="AC225" i="5"/>
  <c r="AE225" i="5" s="1"/>
  <c r="AF225" i="5" s="1"/>
  <c r="AC235" i="5"/>
  <c r="AE235" i="5" s="1"/>
  <c r="AF235" i="5" s="1"/>
  <c r="AC239" i="5"/>
  <c r="AE239" i="5" s="1"/>
  <c r="AF239" i="5" s="1"/>
  <c r="AC247" i="5"/>
  <c r="AE247" i="5" s="1"/>
  <c r="AF247" i="5" s="1"/>
  <c r="AG250" i="5"/>
  <c r="AC254" i="5"/>
  <c r="AE254" i="5" s="1"/>
  <c r="AF254" i="5" s="1"/>
  <c r="AG254" i="5" s="1"/>
  <c r="AG256" i="5"/>
  <c r="AD266" i="5"/>
  <c r="AG266" i="5" s="1"/>
  <c r="AD273" i="5"/>
  <c r="AC277" i="5"/>
  <c r="AE277" i="5" s="1"/>
  <c r="AF277" i="5" s="1"/>
  <c r="AC279" i="5"/>
  <c r="AE279" i="5" s="1"/>
  <c r="AF279" i="5" s="1"/>
  <c r="AC295" i="5"/>
  <c r="AE295" i="5" s="1"/>
  <c r="AF295" i="5" s="1"/>
  <c r="AD297" i="5"/>
  <c r="AC306" i="5"/>
  <c r="AE306" i="5" s="1"/>
  <c r="AF306" i="5" s="1"/>
  <c r="AD318" i="5"/>
  <c r="AD321" i="5"/>
  <c r="AG321" i="5" s="1"/>
  <c r="AD330" i="5"/>
  <c r="AG366" i="5"/>
  <c r="AD386" i="5"/>
  <c r="AG386" i="5" s="1"/>
  <c r="AC388" i="5"/>
  <c r="AE388" i="5" s="1"/>
  <c r="AF388" i="5" s="1"/>
  <c r="AG388" i="5" s="1"/>
  <c r="AD399" i="5"/>
  <c r="AC403" i="5"/>
  <c r="AE403" i="5" s="1"/>
  <c r="AF403" i="5" s="1"/>
  <c r="AG403" i="5" s="1"/>
  <c r="AC419" i="5"/>
  <c r="AE419" i="5" s="1"/>
  <c r="AF419" i="5" s="1"/>
  <c r="AD433" i="5"/>
  <c r="AG433" i="5" s="1"/>
  <c r="AD480" i="5"/>
  <c r="AC503" i="5"/>
  <c r="AE503" i="5" s="1"/>
  <c r="AF503" i="5" s="1"/>
  <c r="AD505" i="5"/>
  <c r="AG508" i="5"/>
  <c r="AC551" i="5"/>
  <c r="AE551" i="5" s="1"/>
  <c r="AF551" i="5" s="1"/>
  <c r="AG551" i="5" s="1"/>
  <c r="AG560" i="5"/>
  <c r="AD564" i="5"/>
  <c r="AG564" i="5" s="1"/>
  <c r="AC564" i="5"/>
  <c r="AE564" i="5" s="1"/>
  <c r="AF564" i="5" s="1"/>
  <c r="AD574" i="5"/>
  <c r="AC574" i="5"/>
  <c r="AE574" i="5" s="1"/>
  <c r="AF574" i="5" s="1"/>
  <c r="AD582" i="5"/>
  <c r="AD648" i="5"/>
  <c r="AC648" i="5"/>
  <c r="AE648" i="5" s="1"/>
  <c r="AF648" i="5" s="1"/>
  <c r="AG116" i="5"/>
  <c r="AG147" i="5"/>
  <c r="AG211" i="5"/>
  <c r="AG252" i="5"/>
  <c r="AG278" i="5"/>
  <c r="AG362" i="5"/>
  <c r="AG418" i="5"/>
  <c r="AG434" i="5"/>
  <c r="AG481" i="5"/>
  <c r="AG516" i="5"/>
  <c r="AG536" i="5"/>
  <c r="AD567" i="5"/>
  <c r="AC567" i="5"/>
  <c r="AE567" i="5" s="1"/>
  <c r="AF567" i="5" s="1"/>
  <c r="AD587" i="5"/>
  <c r="AG587" i="5" s="1"/>
  <c r="AC587" i="5"/>
  <c r="AE587" i="5" s="1"/>
  <c r="AF587" i="5" s="1"/>
  <c r="AD590" i="5"/>
  <c r="AC590" i="5"/>
  <c r="AE590" i="5" s="1"/>
  <c r="AF590" i="5" s="1"/>
  <c r="AC613" i="5"/>
  <c r="AE613" i="5" s="1"/>
  <c r="AF613" i="5" s="1"/>
  <c r="AD613" i="5"/>
  <c r="AD634" i="5"/>
  <c r="AC634" i="5"/>
  <c r="AE634" i="5" s="1"/>
  <c r="AF634" i="5" s="1"/>
  <c r="AG691" i="5"/>
  <c r="AG524" i="5"/>
  <c r="AG602" i="5"/>
  <c r="AG604" i="5"/>
  <c r="AG626" i="5"/>
  <c r="AC650" i="5"/>
  <c r="AE650" i="5" s="1"/>
  <c r="AF650" i="5" s="1"/>
  <c r="AD652" i="5"/>
  <c r="AD659" i="5"/>
  <c r="AG659" i="5" s="1"/>
  <c r="AC670" i="5"/>
  <c r="AE670" i="5" s="1"/>
  <c r="AF670" i="5" s="1"/>
  <c r="AG670" i="5" s="1"/>
  <c r="AC672" i="5"/>
  <c r="AE672" i="5" s="1"/>
  <c r="AF672" i="5" s="1"/>
  <c r="AC674" i="5"/>
  <c r="AE674" i="5" s="1"/>
  <c r="AF674" i="5" s="1"/>
  <c r="AG674" i="5" s="1"/>
  <c r="AC685" i="5"/>
  <c r="AE685" i="5" s="1"/>
  <c r="AF685" i="5" s="1"/>
  <c r="AC704" i="5"/>
  <c r="AE704" i="5" s="1"/>
  <c r="AF704" i="5" s="1"/>
  <c r="AC708" i="5"/>
  <c r="AE708" i="5" s="1"/>
  <c r="AF708" i="5" s="1"/>
  <c r="AD713" i="5"/>
  <c r="AC715" i="5"/>
  <c r="AE715" i="5" s="1"/>
  <c r="AF715" i="5" s="1"/>
  <c r="AG715" i="5" s="1"/>
  <c r="AC717" i="5"/>
  <c r="AE717" i="5" s="1"/>
  <c r="AF717" i="5" s="1"/>
  <c r="AG717" i="5" s="1"/>
  <c r="AC723" i="5"/>
  <c r="AE723" i="5" s="1"/>
  <c r="AF723" i="5" s="1"/>
  <c r="AG723" i="5" s="1"/>
  <c r="AD746" i="5"/>
  <c r="AC758" i="5"/>
  <c r="AE758" i="5" s="1"/>
  <c r="AF758" i="5" s="1"/>
  <c r="AC764" i="5"/>
  <c r="AE764" i="5" s="1"/>
  <c r="AF764" i="5" s="1"/>
  <c r="AG764" i="5" s="1"/>
  <c r="AC766" i="5"/>
  <c r="AE766" i="5" s="1"/>
  <c r="AF766" i="5" s="1"/>
  <c r="AG766" i="5" s="1"/>
  <c r="AD769" i="5"/>
  <c r="AD771" i="5"/>
  <c r="AC774" i="5"/>
  <c r="AE774" i="5" s="1"/>
  <c r="AF774" i="5" s="1"/>
  <c r="AD777" i="5"/>
  <c r="AD779" i="5"/>
  <c r="AC783" i="5"/>
  <c r="AE783" i="5" s="1"/>
  <c r="AF783" i="5" s="1"/>
  <c r="AC785" i="5"/>
  <c r="AE785" i="5" s="1"/>
  <c r="AF785" i="5" s="1"/>
  <c r="AG785" i="5" s="1"/>
  <c r="AC787" i="5"/>
  <c r="AE787" i="5" s="1"/>
  <c r="AF787" i="5" s="1"/>
  <c r="AG787" i="5" s="1"/>
  <c r="AC789" i="5"/>
  <c r="AE789" i="5" s="1"/>
  <c r="AF789" i="5" s="1"/>
  <c r="AG789" i="5" s="1"/>
  <c r="AD794" i="5"/>
  <c r="AG794" i="5" s="1"/>
  <c r="AC815" i="5"/>
  <c r="AE815" i="5" s="1"/>
  <c r="AF815" i="5" s="1"/>
  <c r="AD837" i="5"/>
  <c r="AD844" i="5"/>
  <c r="AD853" i="5"/>
  <c r="AC859" i="5"/>
  <c r="AE859" i="5" s="1"/>
  <c r="AF859" i="5" s="1"/>
  <c r="AG859" i="5" s="1"/>
  <c r="AC861" i="5"/>
  <c r="AE861" i="5" s="1"/>
  <c r="AF861" i="5" s="1"/>
  <c r="AG861" i="5" s="1"/>
  <c r="AD867" i="5"/>
  <c r="AC871" i="5"/>
  <c r="AE871" i="5" s="1"/>
  <c r="AF871" i="5" s="1"/>
  <c r="AC874" i="5"/>
  <c r="AE874" i="5" s="1"/>
  <c r="AF874" i="5" s="1"/>
  <c r="AC907" i="5"/>
  <c r="AE907" i="5" s="1"/>
  <c r="AF907" i="5" s="1"/>
  <c r="AG907" i="5" s="1"/>
  <c r="AD914" i="5"/>
  <c r="AC922" i="5"/>
  <c r="AE922" i="5" s="1"/>
  <c r="AF922" i="5" s="1"/>
  <c r="AD927" i="5"/>
  <c r="AG927" i="5" s="1"/>
  <c r="AD950" i="5"/>
  <c r="AC966" i="5"/>
  <c r="AE966" i="5" s="1"/>
  <c r="AF966" i="5" s="1"/>
  <c r="AG570" i="5"/>
  <c r="AG589" i="5"/>
  <c r="AC641" i="5"/>
  <c r="AE641" i="5" s="1"/>
  <c r="AF641" i="5" s="1"/>
  <c r="AD647" i="5"/>
  <c r="AC651" i="5"/>
  <c r="AE651" i="5" s="1"/>
  <c r="AF651" i="5" s="1"/>
  <c r="AC684" i="5"/>
  <c r="AE684" i="5" s="1"/>
  <c r="AF684" i="5" s="1"/>
  <c r="AC686" i="5"/>
  <c r="AE686" i="5" s="1"/>
  <c r="AF686" i="5" s="1"/>
  <c r="AC747" i="5"/>
  <c r="AE747" i="5" s="1"/>
  <c r="AF747" i="5" s="1"/>
  <c r="AD759" i="5"/>
  <c r="AG759" i="5" s="1"/>
  <c r="AD802" i="5"/>
  <c r="AG802" i="5" s="1"/>
  <c r="AD808" i="5"/>
  <c r="AC843" i="5"/>
  <c r="AE843" i="5" s="1"/>
  <c r="AF843" i="5" s="1"/>
  <c r="AG843" i="5" s="1"/>
  <c r="AD845" i="5"/>
  <c r="AD852" i="5"/>
  <c r="AD868" i="5"/>
  <c r="AD870" i="5"/>
  <c r="AD882" i="5"/>
  <c r="AG882" i="5" s="1"/>
  <c r="AC897" i="5"/>
  <c r="AE897" i="5" s="1"/>
  <c r="AF897" i="5" s="1"/>
  <c r="AD903" i="5"/>
  <c r="AD908" i="5"/>
  <c r="AD910" i="5"/>
  <c r="AG916" i="5"/>
  <c r="AC923" i="5"/>
  <c r="AE923" i="5" s="1"/>
  <c r="AF923" i="5" s="1"/>
  <c r="AD937" i="5"/>
  <c r="AG952" i="5"/>
  <c r="AC962" i="5"/>
  <c r="AE962" i="5" s="1"/>
  <c r="AF962" i="5" s="1"/>
  <c r="AG962" i="5" s="1"/>
  <c r="AD971" i="5"/>
  <c r="AG685" i="5"/>
  <c r="AG689" i="5"/>
  <c r="AG828" i="5"/>
  <c r="AG922" i="5"/>
  <c r="AG954" i="5"/>
  <c r="AG956" i="5"/>
  <c r="AG958" i="5"/>
  <c r="AG960" i="5"/>
  <c r="AG966" i="5"/>
  <c r="AG194" i="5"/>
  <c r="AG238" i="5"/>
  <c r="AG302" i="5"/>
  <c r="AC15" i="5"/>
  <c r="AE15" i="5" s="1"/>
  <c r="AF15" i="5" s="1"/>
  <c r="AC39" i="5"/>
  <c r="AE39" i="5" s="1"/>
  <c r="AF39" i="5" s="1"/>
  <c r="AC41" i="5"/>
  <c r="AE41" i="5" s="1"/>
  <c r="AF41" i="5" s="1"/>
  <c r="AC44" i="5"/>
  <c r="AE44" i="5" s="1"/>
  <c r="AF44" i="5" s="1"/>
  <c r="AG44" i="5" s="1"/>
  <c r="AC48" i="5"/>
  <c r="AE48" i="5" s="1"/>
  <c r="AF48" i="5" s="1"/>
  <c r="AG48" i="5" s="1"/>
  <c r="AC49" i="5"/>
  <c r="AE49" i="5" s="1"/>
  <c r="AF49" i="5" s="1"/>
  <c r="AD52" i="5"/>
  <c r="AG52" i="5" s="1"/>
  <c r="AD60" i="5"/>
  <c r="AD57" i="5"/>
  <c r="AG57" i="5" s="1"/>
  <c r="AD64" i="5"/>
  <c r="AG64" i="5" s="1"/>
  <c r="AD68" i="5"/>
  <c r="AG68" i="5" s="1"/>
  <c r="AD79" i="5"/>
  <c r="AG79" i="5" s="1"/>
  <c r="AD81" i="5"/>
  <c r="AG81" i="5" s="1"/>
  <c r="AG83" i="5"/>
  <c r="AD103" i="5"/>
  <c r="AG103" i="5" s="1"/>
  <c r="AD118" i="5"/>
  <c r="AG118" i="5" s="1"/>
  <c r="AD120" i="5"/>
  <c r="AG120" i="5" s="1"/>
  <c r="AG125" i="5"/>
  <c r="AD126" i="5"/>
  <c r="AG126" i="5" s="1"/>
  <c r="AD131" i="5"/>
  <c r="AG131" i="5" s="1"/>
  <c r="AD148" i="5"/>
  <c r="AG148" i="5" s="1"/>
  <c r="AD153" i="5"/>
  <c r="AG153" i="5" s="1"/>
  <c r="AD155" i="5"/>
  <c r="AG155" i="5" s="1"/>
  <c r="AD160" i="5"/>
  <c r="AG160" i="5" s="1"/>
  <c r="AD162" i="5"/>
  <c r="AG162" i="5" s="1"/>
  <c r="AD172" i="5"/>
  <c r="AG172" i="5" s="1"/>
  <c r="AD173" i="5"/>
  <c r="AG173" i="5" s="1"/>
  <c r="AD180" i="5"/>
  <c r="AG180" i="5" s="1"/>
  <c r="AD182" i="5"/>
  <c r="AG182" i="5" s="1"/>
  <c r="AG201" i="5"/>
  <c r="AG212" i="5"/>
  <c r="AD213" i="5"/>
  <c r="AG213" i="5" s="1"/>
  <c r="AD215" i="5"/>
  <c r="AG217" i="5"/>
  <c r="AD236" i="5"/>
  <c r="AG236" i="5" s="1"/>
  <c r="AG240" i="5"/>
  <c r="AD249" i="5"/>
  <c r="AG249" i="5" s="1"/>
  <c r="AC253" i="5"/>
  <c r="AE253" i="5" s="1"/>
  <c r="AF253" i="5" s="1"/>
  <c r="AD257" i="5"/>
  <c r="AD261" i="5"/>
  <c r="AC263" i="5"/>
  <c r="AE263" i="5" s="1"/>
  <c r="AF263" i="5" s="1"/>
  <c r="AG263" i="5" s="1"/>
  <c r="AD274" i="5"/>
  <c r="AG274" i="5" s="1"/>
  <c r="AG280" i="5"/>
  <c r="AG289" i="5"/>
  <c r="AG292" i="5"/>
  <c r="AD293" i="5"/>
  <c r="AG293" i="5" s="1"/>
  <c r="AD299" i="5"/>
  <c r="AG299" i="5" s="1"/>
  <c r="AG304" i="5"/>
  <c r="AG310" i="5"/>
  <c r="AD317" i="5"/>
  <c r="AG317" i="5" s="1"/>
  <c r="AC319" i="5"/>
  <c r="AE319" i="5" s="1"/>
  <c r="AF319" i="5" s="1"/>
  <c r="AD329" i="5"/>
  <c r="AD338" i="5"/>
  <c r="AG338" i="5" s="1"/>
  <c r="AG344" i="5"/>
  <c r="AG350" i="5"/>
  <c r="AG356" i="5"/>
  <c r="AG360" i="5"/>
  <c r="AD364" i="5"/>
  <c r="AC364" i="5"/>
  <c r="AE364" i="5" s="1"/>
  <c r="AF364" i="5" s="1"/>
  <c r="AD368" i="5"/>
  <c r="AC368" i="5"/>
  <c r="AE368" i="5" s="1"/>
  <c r="AF368" i="5" s="1"/>
  <c r="AD371" i="5"/>
  <c r="AC371" i="5"/>
  <c r="AE371" i="5" s="1"/>
  <c r="AF371" i="5" s="1"/>
  <c r="AD389" i="5"/>
  <c r="AC389" i="5"/>
  <c r="AE389" i="5" s="1"/>
  <c r="AF389" i="5" s="1"/>
  <c r="AD400" i="5"/>
  <c r="AC400" i="5"/>
  <c r="AE400" i="5" s="1"/>
  <c r="AF400" i="5" s="1"/>
  <c r="AG136" i="5"/>
  <c r="AG144" i="5"/>
  <c r="AG164" i="5"/>
  <c r="AG200" i="5"/>
  <c r="AG205" i="5"/>
  <c r="AG221" i="5"/>
  <c r="AG265" i="5"/>
  <c r="AG269" i="5"/>
  <c r="AG272" i="5"/>
  <c r="AG273" i="5"/>
  <c r="AG275" i="5"/>
  <c r="AG279" i="5"/>
  <c r="AG312" i="5"/>
  <c r="AG323" i="5"/>
  <c r="AC326" i="5"/>
  <c r="AE326" i="5" s="1"/>
  <c r="AF326" i="5" s="1"/>
  <c r="AD326" i="5"/>
  <c r="AG346" i="5"/>
  <c r="AG352" i="5"/>
  <c r="AC382" i="5"/>
  <c r="AE382" i="5" s="1"/>
  <c r="AF382" i="5" s="1"/>
  <c r="AD382" i="5"/>
  <c r="AD390" i="5"/>
  <c r="AC390" i="5"/>
  <c r="AE390" i="5" s="1"/>
  <c r="AF390" i="5" s="1"/>
  <c r="AC395" i="5"/>
  <c r="AE395" i="5" s="1"/>
  <c r="AF395" i="5" s="1"/>
  <c r="AD395" i="5"/>
  <c r="AD401" i="5"/>
  <c r="AC401" i="5"/>
  <c r="AE401" i="5" s="1"/>
  <c r="AF401" i="5" s="1"/>
  <c r="AD422" i="5"/>
  <c r="AC422" i="5"/>
  <c r="AE422" i="5" s="1"/>
  <c r="AF422" i="5" s="1"/>
  <c r="AD442" i="5"/>
  <c r="AC442" i="5"/>
  <c r="AE442" i="5" s="1"/>
  <c r="AF442" i="5" s="1"/>
  <c r="AC9" i="5"/>
  <c r="AE9" i="5" s="1"/>
  <c r="AF9" i="5" s="1"/>
  <c r="AC11" i="5"/>
  <c r="AE11" i="5" s="1"/>
  <c r="AF11" i="5" s="1"/>
  <c r="AC17" i="5"/>
  <c r="AE17" i="5" s="1"/>
  <c r="AF17" i="5" s="1"/>
  <c r="AC21" i="5"/>
  <c r="AE21" i="5" s="1"/>
  <c r="AF21" i="5" s="1"/>
  <c r="AC23" i="5"/>
  <c r="AE23" i="5" s="1"/>
  <c r="AF23" i="5" s="1"/>
  <c r="AC25" i="5"/>
  <c r="AE25" i="5" s="1"/>
  <c r="AF25" i="5" s="1"/>
  <c r="AC29" i="5"/>
  <c r="AE29" i="5" s="1"/>
  <c r="AF29" i="5" s="1"/>
  <c r="AC33" i="5"/>
  <c r="AE33" i="5" s="1"/>
  <c r="AF33" i="5" s="1"/>
  <c r="AC37" i="5"/>
  <c r="AE37" i="5" s="1"/>
  <c r="AF37" i="5" s="1"/>
  <c r="AC40" i="5"/>
  <c r="AE40" i="5" s="1"/>
  <c r="AF40" i="5" s="1"/>
  <c r="AG40" i="5" s="1"/>
  <c r="AG50" i="5"/>
  <c r="AC66" i="5"/>
  <c r="AE66" i="5" s="1"/>
  <c r="AF66" i="5" s="1"/>
  <c r="AD72" i="5"/>
  <c r="AG72" i="5" s="1"/>
  <c r="AC74" i="5"/>
  <c r="AE74" i="5" s="1"/>
  <c r="AF74" i="5" s="1"/>
  <c r="AG95" i="5"/>
  <c r="AG111" i="5"/>
  <c r="AG166" i="5"/>
  <c r="AG209" i="5"/>
  <c r="AG225" i="5"/>
  <c r="AG234" i="5"/>
  <c r="AG244" i="5"/>
  <c r="AG245" i="5"/>
  <c r="AG268" i="5"/>
  <c r="AG291" i="5"/>
  <c r="AG315" i="5"/>
  <c r="AG330" i="5"/>
  <c r="AD365" i="5"/>
  <c r="AC365" i="5"/>
  <c r="AE365" i="5" s="1"/>
  <c r="AF365" i="5" s="1"/>
  <c r="AC13" i="5"/>
  <c r="AE13" i="5" s="1"/>
  <c r="AF13" i="5" s="1"/>
  <c r="AC19" i="5"/>
  <c r="AE19" i="5" s="1"/>
  <c r="AF19" i="5" s="1"/>
  <c r="AC27" i="5"/>
  <c r="AE27" i="5" s="1"/>
  <c r="AF27" i="5" s="1"/>
  <c r="AC31" i="5"/>
  <c r="AE31" i="5" s="1"/>
  <c r="AF31" i="5" s="1"/>
  <c r="AC35" i="5"/>
  <c r="AE35" i="5" s="1"/>
  <c r="AF35" i="5" s="1"/>
  <c r="AC45" i="5"/>
  <c r="AE45" i="5" s="1"/>
  <c r="AF45" i="5" s="1"/>
  <c r="AC61" i="5"/>
  <c r="AE61" i="5" s="1"/>
  <c r="AF61" i="5" s="1"/>
  <c r="AG61" i="5" s="1"/>
  <c r="AD77" i="5"/>
  <c r="AG43" i="5"/>
  <c r="AG47" i="5"/>
  <c r="AG51" i="5"/>
  <c r="AC58" i="5"/>
  <c r="AE58" i="5" s="1"/>
  <c r="AF58" i="5" s="1"/>
  <c r="AG58" i="5" s="1"/>
  <c r="AG65" i="5"/>
  <c r="AD90" i="5"/>
  <c r="AD97" i="5"/>
  <c r="AG97" i="5" s="1"/>
  <c r="AC99" i="5"/>
  <c r="AE99" i="5" s="1"/>
  <c r="AF99" i="5" s="1"/>
  <c r="AG99" i="5" s="1"/>
  <c r="AD102" i="5"/>
  <c r="AD106" i="5"/>
  <c r="AD113" i="5"/>
  <c r="AC115" i="5"/>
  <c r="AE115" i="5" s="1"/>
  <c r="AF115" i="5" s="1"/>
  <c r="AG115" i="5" s="1"/>
  <c r="AD134" i="5"/>
  <c r="AD140" i="5"/>
  <c r="AC156" i="5"/>
  <c r="AE156" i="5" s="1"/>
  <c r="AF156" i="5" s="1"/>
  <c r="AC163" i="5"/>
  <c r="AE163" i="5" s="1"/>
  <c r="AF163" i="5" s="1"/>
  <c r="AG163" i="5" s="1"/>
  <c r="AC204" i="5"/>
  <c r="AE204" i="5" s="1"/>
  <c r="AF204" i="5" s="1"/>
  <c r="AG208" i="5"/>
  <c r="AC220" i="5"/>
  <c r="AE220" i="5" s="1"/>
  <c r="AF220" i="5" s="1"/>
  <c r="AG224" i="5"/>
  <c r="AC229" i="5"/>
  <c r="AE229" i="5" s="1"/>
  <c r="AF229" i="5" s="1"/>
  <c r="AC233" i="5"/>
  <c r="AE233" i="5" s="1"/>
  <c r="AF233" i="5" s="1"/>
  <c r="AG233" i="5" s="1"/>
  <c r="AC251" i="5"/>
  <c r="AE251" i="5" s="1"/>
  <c r="AF251" i="5" s="1"/>
  <c r="AG253" i="5"/>
  <c r="AC255" i="5"/>
  <c r="AE255" i="5" s="1"/>
  <c r="AF255" i="5" s="1"/>
  <c r="AG255" i="5" s="1"/>
  <c r="AC267" i="5"/>
  <c r="AE267" i="5" s="1"/>
  <c r="AF267" i="5" s="1"/>
  <c r="AG267" i="5" s="1"/>
  <c r="AC281" i="5"/>
  <c r="AE281" i="5" s="1"/>
  <c r="AF281" i="5" s="1"/>
  <c r="AG286" i="5"/>
  <c r="AC290" i="5"/>
  <c r="AE290" i="5" s="1"/>
  <c r="AF290" i="5" s="1"/>
  <c r="AG295" i="5"/>
  <c r="AD298" i="5"/>
  <c r="AG298" i="5" s="1"/>
  <c r="AC305" i="5"/>
  <c r="AE305" i="5" s="1"/>
  <c r="AF305" i="5" s="1"/>
  <c r="AG305" i="5" s="1"/>
  <c r="AD309" i="5"/>
  <c r="AC314" i="5"/>
  <c r="AE314" i="5" s="1"/>
  <c r="AF314" i="5" s="1"/>
  <c r="AG319" i="5"/>
  <c r="AD322" i="5"/>
  <c r="AG322" i="5" s="1"/>
  <c r="AC327" i="5"/>
  <c r="AE327" i="5" s="1"/>
  <c r="AF327" i="5" s="1"/>
  <c r="AG327" i="5" s="1"/>
  <c r="AG333" i="5"/>
  <c r="AG336" i="5"/>
  <c r="AC340" i="5"/>
  <c r="AE340" i="5" s="1"/>
  <c r="AF340" i="5" s="1"/>
  <c r="AG340" i="5" s="1"/>
  <c r="AD342" i="5"/>
  <c r="AG342" i="5" s="1"/>
  <c r="AG348" i="5"/>
  <c r="AD358" i="5"/>
  <c r="AC358" i="5"/>
  <c r="AE358" i="5" s="1"/>
  <c r="AF358" i="5" s="1"/>
  <c r="AD370" i="5"/>
  <c r="AC370" i="5"/>
  <c r="AE370" i="5" s="1"/>
  <c r="AF370" i="5" s="1"/>
  <c r="AG423" i="5"/>
  <c r="AD426" i="5"/>
  <c r="AC426" i="5"/>
  <c r="AE426" i="5" s="1"/>
  <c r="AF426" i="5" s="1"/>
  <c r="AG436" i="5"/>
  <c r="AD444" i="5"/>
  <c r="AC444" i="5"/>
  <c r="AE444" i="5" s="1"/>
  <c r="AF444" i="5" s="1"/>
  <c r="AG402" i="5"/>
  <c r="AG440" i="5"/>
  <c r="AD450" i="5"/>
  <c r="AC452" i="5"/>
  <c r="AE452" i="5" s="1"/>
  <c r="AF452" i="5" s="1"/>
  <c r="AD455" i="5"/>
  <c r="AC456" i="5"/>
  <c r="AE456" i="5" s="1"/>
  <c r="AF456" i="5" s="1"/>
  <c r="AG456" i="5" s="1"/>
  <c r="AD459" i="5"/>
  <c r="AG467" i="5"/>
  <c r="AG472" i="5"/>
  <c r="AC474" i="5"/>
  <c r="AE474" i="5" s="1"/>
  <c r="AF474" i="5" s="1"/>
  <c r="AG474" i="5" s="1"/>
  <c r="AC476" i="5"/>
  <c r="AE476" i="5" s="1"/>
  <c r="AF476" i="5" s="1"/>
  <c r="AG476" i="5" s="1"/>
  <c r="AG487" i="5"/>
  <c r="AC489" i="5"/>
  <c r="AE489" i="5" s="1"/>
  <c r="AF489" i="5" s="1"/>
  <c r="AG489" i="5" s="1"/>
  <c r="AC491" i="5"/>
  <c r="AE491" i="5" s="1"/>
  <c r="AF491" i="5" s="1"/>
  <c r="AG491" i="5" s="1"/>
  <c r="AG512" i="5"/>
  <c r="AC514" i="5"/>
  <c r="AE514" i="5" s="1"/>
  <c r="AF514" i="5" s="1"/>
  <c r="AG514" i="5" s="1"/>
  <c r="AG520" i="5"/>
  <c r="AC522" i="5"/>
  <c r="AE522" i="5" s="1"/>
  <c r="AF522" i="5" s="1"/>
  <c r="AG522" i="5" s="1"/>
  <c r="AG528" i="5"/>
  <c r="AC530" i="5"/>
  <c r="AE530" i="5" s="1"/>
  <c r="AF530" i="5" s="1"/>
  <c r="AG549" i="5"/>
  <c r="AD559" i="5"/>
  <c r="AG559" i="5" s="1"/>
  <c r="AC562" i="5"/>
  <c r="AE562" i="5" s="1"/>
  <c r="AF562" i="5" s="1"/>
  <c r="AG562" i="5" s="1"/>
  <c r="AC565" i="5"/>
  <c r="AE565" i="5" s="1"/>
  <c r="AF565" i="5" s="1"/>
  <c r="AG565" i="5" s="1"/>
  <c r="AC569" i="5"/>
  <c r="AE569" i="5" s="1"/>
  <c r="AF569" i="5" s="1"/>
  <c r="AG569" i="5" s="1"/>
  <c r="AC572" i="5"/>
  <c r="AE572" i="5" s="1"/>
  <c r="AF572" i="5" s="1"/>
  <c r="AG572" i="5" s="1"/>
  <c r="AC575" i="5"/>
  <c r="AE575" i="5" s="1"/>
  <c r="AF575" i="5" s="1"/>
  <c r="AG576" i="5"/>
  <c r="AG578" i="5"/>
  <c r="AG580" i="5"/>
  <c r="AG582" i="5"/>
  <c r="AC586" i="5"/>
  <c r="AE586" i="5" s="1"/>
  <c r="AF586" i="5" s="1"/>
  <c r="AD592" i="5"/>
  <c r="AG592" i="5" s="1"/>
  <c r="AC594" i="5"/>
  <c r="AE594" i="5" s="1"/>
  <c r="AF594" i="5" s="1"/>
  <c r="AG594" i="5" s="1"/>
  <c r="AC599" i="5"/>
  <c r="AE599" i="5" s="1"/>
  <c r="AF599" i="5" s="1"/>
  <c r="AG599" i="5" s="1"/>
  <c r="AD601" i="5"/>
  <c r="AC601" i="5"/>
  <c r="AE601" i="5" s="1"/>
  <c r="AF601" i="5" s="1"/>
  <c r="AG603" i="5"/>
  <c r="AD608" i="5"/>
  <c r="AG608" i="5" s="1"/>
  <c r="AC617" i="5"/>
  <c r="AE617" i="5" s="1"/>
  <c r="AF617" i="5" s="1"/>
  <c r="AG618" i="5"/>
  <c r="AC620" i="5"/>
  <c r="AE620" i="5" s="1"/>
  <c r="AF620" i="5" s="1"/>
  <c r="AG620" i="5" s="1"/>
  <c r="AC624" i="5"/>
  <c r="AE624" i="5" s="1"/>
  <c r="AF624" i="5" s="1"/>
  <c r="AG624" i="5" s="1"/>
  <c r="AG634" i="5"/>
  <c r="AC639" i="5"/>
  <c r="AE639" i="5" s="1"/>
  <c r="AF639" i="5" s="1"/>
  <c r="AG644" i="5"/>
  <c r="AD646" i="5"/>
  <c r="AC646" i="5"/>
  <c r="AE646" i="5" s="1"/>
  <c r="AF646" i="5" s="1"/>
  <c r="AC656" i="5"/>
  <c r="AE656" i="5" s="1"/>
  <c r="AF656" i="5" s="1"/>
  <c r="AD656" i="5"/>
  <c r="AG664" i="5"/>
  <c r="AG677" i="5"/>
  <c r="AC369" i="5"/>
  <c r="AE369" i="5" s="1"/>
  <c r="AF369" i="5" s="1"/>
  <c r="AG369" i="5" s="1"/>
  <c r="AC374" i="5"/>
  <c r="AE374" i="5" s="1"/>
  <c r="AF374" i="5" s="1"/>
  <c r="AG374" i="5" s="1"/>
  <c r="AC375" i="5"/>
  <c r="AE375" i="5" s="1"/>
  <c r="AF375" i="5" s="1"/>
  <c r="AG375" i="5" s="1"/>
  <c r="AD380" i="5"/>
  <c r="AG380" i="5" s="1"/>
  <c r="AD393" i="5"/>
  <c r="AC404" i="5"/>
  <c r="AE404" i="5" s="1"/>
  <c r="AF404" i="5" s="1"/>
  <c r="AG404" i="5" s="1"/>
  <c r="AD408" i="5"/>
  <c r="AG408" i="5" s="1"/>
  <c r="AC410" i="5"/>
  <c r="AE410" i="5" s="1"/>
  <c r="AF410" i="5" s="1"/>
  <c r="AG410" i="5" s="1"/>
  <c r="AC413" i="5"/>
  <c r="AE413" i="5" s="1"/>
  <c r="AF413" i="5" s="1"/>
  <c r="AG413" i="5" s="1"/>
  <c r="AC417" i="5"/>
  <c r="AE417" i="5" s="1"/>
  <c r="AF417" i="5" s="1"/>
  <c r="AG417" i="5" s="1"/>
  <c r="AC420" i="5"/>
  <c r="AE420" i="5" s="1"/>
  <c r="AF420" i="5" s="1"/>
  <c r="AG420" i="5" s="1"/>
  <c r="AC425" i="5"/>
  <c r="AE425" i="5" s="1"/>
  <c r="AF425" i="5" s="1"/>
  <c r="AD469" i="5"/>
  <c r="AC471" i="5"/>
  <c r="AE471" i="5" s="1"/>
  <c r="AF471" i="5" s="1"/>
  <c r="AG471" i="5" s="1"/>
  <c r="AC493" i="5"/>
  <c r="AE493" i="5" s="1"/>
  <c r="AF493" i="5" s="1"/>
  <c r="AG493" i="5" s="1"/>
  <c r="AC495" i="5"/>
  <c r="AE495" i="5" s="1"/>
  <c r="AF495" i="5" s="1"/>
  <c r="AC496" i="5"/>
  <c r="AE496" i="5" s="1"/>
  <c r="AF496" i="5" s="1"/>
  <c r="AG496" i="5" s="1"/>
  <c r="AC499" i="5"/>
  <c r="AE499" i="5" s="1"/>
  <c r="AF499" i="5" s="1"/>
  <c r="AC500" i="5"/>
  <c r="AE500" i="5" s="1"/>
  <c r="AF500" i="5" s="1"/>
  <c r="AG500" i="5" s="1"/>
  <c r="AD561" i="5"/>
  <c r="AC561" i="5"/>
  <c r="AE561" i="5" s="1"/>
  <c r="AF561" i="5" s="1"/>
  <c r="AD605" i="5"/>
  <c r="AC605" i="5"/>
  <c r="AE605" i="5" s="1"/>
  <c r="AF605" i="5" s="1"/>
  <c r="AC612" i="5"/>
  <c r="AE612" i="5" s="1"/>
  <c r="AF612" i="5" s="1"/>
  <c r="AD612" i="5"/>
  <c r="AD628" i="5"/>
  <c r="AC628" i="5"/>
  <c r="AE628" i="5" s="1"/>
  <c r="AF628" i="5" s="1"/>
  <c r="AD653" i="5"/>
  <c r="AC653" i="5"/>
  <c r="AE653" i="5" s="1"/>
  <c r="AF653" i="5" s="1"/>
  <c r="AD657" i="5"/>
  <c r="AC657" i="5"/>
  <c r="AE657" i="5" s="1"/>
  <c r="AF657" i="5" s="1"/>
  <c r="AC660" i="5"/>
  <c r="AE660" i="5" s="1"/>
  <c r="AF660" i="5" s="1"/>
  <c r="AD660" i="5"/>
  <c r="AG367" i="5"/>
  <c r="AG373" i="5"/>
  <c r="AG392" i="5"/>
  <c r="AD415" i="5"/>
  <c r="AC429" i="5"/>
  <c r="AE429" i="5" s="1"/>
  <c r="AF429" i="5" s="1"/>
  <c r="AG429" i="5" s="1"/>
  <c r="AD432" i="5"/>
  <c r="AD447" i="5"/>
  <c r="AD451" i="5"/>
  <c r="AG451" i="5" s="1"/>
  <c r="AD458" i="5"/>
  <c r="AG458" i="5" s="1"/>
  <c r="AC460" i="5"/>
  <c r="AE460" i="5" s="1"/>
  <c r="AF460" i="5" s="1"/>
  <c r="AD463" i="5"/>
  <c r="AD479" i="5"/>
  <c r="AC542" i="5"/>
  <c r="AE542" i="5" s="1"/>
  <c r="AF542" i="5" s="1"/>
  <c r="AG542" i="5" s="1"/>
  <c r="AD545" i="5"/>
  <c r="AG545" i="5" s="1"/>
  <c r="AD555" i="5"/>
  <c r="AG555" i="5" s="1"/>
  <c r="AG573" i="5"/>
  <c r="AC591" i="5"/>
  <c r="AE591" i="5" s="1"/>
  <c r="AF591" i="5" s="1"/>
  <c r="AG591" i="5" s="1"/>
  <c r="AD593" i="5"/>
  <c r="AC593" i="5"/>
  <c r="AE593" i="5" s="1"/>
  <c r="AF593" i="5" s="1"/>
  <c r="AG595" i="5"/>
  <c r="AG598" i="5"/>
  <c r="AD600" i="5"/>
  <c r="AC607" i="5"/>
  <c r="AE607" i="5" s="1"/>
  <c r="AF607" i="5" s="1"/>
  <c r="AG607" i="5" s="1"/>
  <c r="AD609" i="5"/>
  <c r="AC609" i="5"/>
  <c r="AE609" i="5" s="1"/>
  <c r="AF609" i="5" s="1"/>
  <c r="AC616" i="5"/>
  <c r="AE616" i="5" s="1"/>
  <c r="AF616" i="5" s="1"/>
  <c r="AD616" i="5"/>
  <c r="AG635" i="5"/>
  <c r="AD638" i="5"/>
  <c r="AC638" i="5"/>
  <c r="AE638" i="5" s="1"/>
  <c r="AF638" i="5" s="1"/>
  <c r="AG666" i="5"/>
  <c r="AG448" i="5"/>
  <c r="AG452" i="5"/>
  <c r="AG464" i="5"/>
  <c r="AG480" i="5"/>
  <c r="AG483" i="5"/>
  <c r="AG505" i="5"/>
  <c r="AG510" i="5"/>
  <c r="AG518" i="5"/>
  <c r="AG526" i="5"/>
  <c r="AG530" i="5"/>
  <c r="AG534" i="5"/>
  <c r="AG538" i="5"/>
  <c r="AG540" i="5"/>
  <c r="AG575" i="5"/>
  <c r="AD597" i="5"/>
  <c r="AC597" i="5"/>
  <c r="AE597" i="5" s="1"/>
  <c r="AF597" i="5" s="1"/>
  <c r="AG600" i="5"/>
  <c r="AG606" i="5"/>
  <c r="AG617" i="5"/>
  <c r="AD630" i="5"/>
  <c r="AC630" i="5"/>
  <c r="AE630" i="5" s="1"/>
  <c r="AF630" i="5" s="1"/>
  <c r="AD642" i="5"/>
  <c r="AC642" i="5"/>
  <c r="AE642" i="5" s="1"/>
  <c r="AF642" i="5" s="1"/>
  <c r="AG567" i="5"/>
  <c r="AG571" i="5"/>
  <c r="AG648" i="5"/>
  <c r="AG650" i="5"/>
  <c r="AC679" i="5"/>
  <c r="AE679" i="5" s="1"/>
  <c r="AF679" i="5" s="1"/>
  <c r="AG679" i="5" s="1"/>
  <c r="AG684" i="5"/>
  <c r="AD687" i="5"/>
  <c r="AG687" i="5" s="1"/>
  <c r="AC706" i="5"/>
  <c r="AE706" i="5" s="1"/>
  <c r="AF706" i="5" s="1"/>
  <c r="AG706" i="5" s="1"/>
  <c r="AC720" i="5"/>
  <c r="AE720" i="5" s="1"/>
  <c r="AF720" i="5" s="1"/>
  <c r="AD720" i="5"/>
  <c r="AD724" i="5"/>
  <c r="AD726" i="5"/>
  <c r="AG728" i="5"/>
  <c r="AG730" i="5"/>
  <c r="AC732" i="5"/>
  <c r="AE732" i="5" s="1"/>
  <c r="AF732" i="5" s="1"/>
  <c r="AG732" i="5" s="1"/>
  <c r="AG758" i="5"/>
  <c r="AG761" i="5"/>
  <c r="AC776" i="5"/>
  <c r="AE776" i="5" s="1"/>
  <c r="AF776" i="5" s="1"/>
  <c r="AG776" i="5" s="1"/>
  <c r="AD798" i="5"/>
  <c r="AG798" i="5" s="1"/>
  <c r="AC804" i="5"/>
  <c r="AE804" i="5" s="1"/>
  <c r="AF804" i="5" s="1"/>
  <c r="AD804" i="5"/>
  <c r="AG683" i="5"/>
  <c r="AG686" i="5"/>
  <c r="AG693" i="5"/>
  <c r="AG713" i="5"/>
  <c r="AG721" i="5"/>
  <c r="AC737" i="5"/>
  <c r="AE737" i="5" s="1"/>
  <c r="AF737" i="5" s="1"/>
  <c r="AD737" i="5"/>
  <c r="AC741" i="5"/>
  <c r="AE741" i="5" s="1"/>
  <c r="AF741" i="5" s="1"/>
  <c r="AD741" i="5"/>
  <c r="AG741" i="5" s="1"/>
  <c r="AC796" i="5"/>
  <c r="AE796" i="5" s="1"/>
  <c r="AF796" i="5" s="1"/>
  <c r="AD796" i="5"/>
  <c r="AC816" i="5"/>
  <c r="AE816" i="5" s="1"/>
  <c r="AF816" i="5" s="1"/>
  <c r="AD816" i="5"/>
  <c r="AC825" i="5"/>
  <c r="AE825" i="5" s="1"/>
  <c r="AF825" i="5" s="1"/>
  <c r="AD825" i="5"/>
  <c r="AG672" i="5"/>
  <c r="AG681" i="5"/>
  <c r="AG748" i="5"/>
  <c r="AC775" i="5"/>
  <c r="AE775" i="5" s="1"/>
  <c r="AF775" i="5" s="1"/>
  <c r="AD775" i="5"/>
  <c r="AG783" i="5"/>
  <c r="AC791" i="5"/>
  <c r="AE791" i="5" s="1"/>
  <c r="AF791" i="5" s="1"/>
  <c r="AG791" i="5" s="1"/>
  <c r="AC814" i="5"/>
  <c r="AE814" i="5" s="1"/>
  <c r="AF814" i="5" s="1"/>
  <c r="AD814" i="5"/>
  <c r="AG876" i="5"/>
  <c r="AG704" i="5"/>
  <c r="AD712" i="5"/>
  <c r="AC712" i="5"/>
  <c r="AE712" i="5" s="1"/>
  <c r="AF712" i="5" s="1"/>
  <c r="AC722" i="5"/>
  <c r="AE722" i="5" s="1"/>
  <c r="AF722" i="5" s="1"/>
  <c r="AD722" i="5"/>
  <c r="AC739" i="5"/>
  <c r="AE739" i="5" s="1"/>
  <c r="AF739" i="5" s="1"/>
  <c r="AD739" i="5"/>
  <c r="AC773" i="5"/>
  <c r="AE773" i="5" s="1"/>
  <c r="AF773" i="5" s="1"/>
  <c r="AD773" i="5"/>
  <c r="AC812" i="5"/>
  <c r="AE812" i="5" s="1"/>
  <c r="AF812" i="5" s="1"/>
  <c r="AD812" i="5"/>
  <c r="AC818" i="5"/>
  <c r="AE818" i="5" s="1"/>
  <c r="AF818" i="5" s="1"/>
  <c r="AD818" i="5"/>
  <c r="AG774" i="5"/>
  <c r="AG813" i="5"/>
  <c r="AG815" i="5"/>
  <c r="AD840" i="5"/>
  <c r="AG840" i="5" s="1"/>
  <c r="AG853" i="5"/>
  <c r="AD854" i="5"/>
  <c r="AG854" i="5" s="1"/>
  <c r="AD869" i="5"/>
  <c r="AG869" i="5" s="1"/>
  <c r="AD872" i="5"/>
  <c r="AG872" i="5" s="1"/>
  <c r="AD891" i="5"/>
  <c r="AD892" i="5"/>
  <c r="AG892" i="5" s="1"/>
  <c r="AD895" i="5"/>
  <c r="AG895" i="5" s="1"/>
  <c r="AD901" i="5"/>
  <c r="AG901" i="5" s="1"/>
  <c r="AC919" i="5"/>
  <c r="AE919" i="5" s="1"/>
  <c r="AF919" i="5" s="1"/>
  <c r="AD920" i="5"/>
  <c r="AG920" i="5" s="1"/>
  <c r="AD929" i="5"/>
  <c r="AD945" i="5"/>
  <c r="AG945" i="5" s="1"/>
  <c r="AD948" i="5"/>
  <c r="AG948" i="5" s="1"/>
  <c r="AD969" i="5"/>
  <c r="AG969" i="5" s="1"/>
  <c r="AD975" i="5"/>
  <c r="AG975" i="5" s="1"/>
  <c r="AD977" i="5"/>
  <c r="AG977" i="5" s="1"/>
  <c r="AD979" i="5"/>
  <c r="AG979" i="5" s="1"/>
  <c r="AD981" i="5"/>
  <c r="AG981" i="5" s="1"/>
  <c r="AC983" i="5"/>
  <c r="AE983" i="5" s="1"/>
  <c r="AF983" i="5" s="1"/>
  <c r="AG983" i="5" s="1"/>
  <c r="AC985" i="5"/>
  <c r="AE985" i="5" s="1"/>
  <c r="AF985" i="5" s="1"/>
  <c r="AG985" i="5" s="1"/>
  <c r="AC986" i="5"/>
  <c r="AE986" i="5" s="1"/>
  <c r="AF986" i="5" s="1"/>
  <c r="AG986" i="5" s="1"/>
  <c r="AC988" i="5"/>
  <c r="AE988" i="5" s="1"/>
  <c r="AF988" i="5" s="1"/>
  <c r="AC990" i="5"/>
  <c r="AE990" i="5" s="1"/>
  <c r="AF990" i="5" s="1"/>
  <c r="AG990" i="5" s="1"/>
  <c r="AC992" i="5"/>
  <c r="AE992" i="5" s="1"/>
  <c r="AF992" i="5" s="1"/>
  <c r="AG992" i="5" s="1"/>
  <c r="AC994" i="5"/>
  <c r="AE994" i="5" s="1"/>
  <c r="AF994" i="5" s="1"/>
  <c r="AG994" i="5" s="1"/>
  <c r="AC996" i="5"/>
  <c r="AE996" i="5" s="1"/>
  <c r="AF996" i="5" s="1"/>
  <c r="AG996" i="5" s="1"/>
  <c r="AC998" i="5"/>
  <c r="AE998" i="5" s="1"/>
  <c r="AF998" i="5" s="1"/>
  <c r="AG998" i="5" s="1"/>
  <c r="AC1000" i="5"/>
  <c r="AE1000" i="5" s="1"/>
  <c r="AF1000" i="5" s="1"/>
  <c r="AG1000" i="5" s="1"/>
  <c r="AG845" i="5"/>
  <c r="AG877" i="5"/>
  <c r="AG878" i="5"/>
  <c r="AG903" i="5"/>
  <c r="AG905" i="5"/>
  <c r="AG912" i="5"/>
  <c r="AG914" i="5"/>
  <c r="AG918" i="5"/>
  <c r="AG923" i="5"/>
  <c r="AG971" i="5"/>
  <c r="AG874" i="5"/>
  <c r="AG946" i="5"/>
  <c r="AG964" i="5"/>
  <c r="AG973" i="5"/>
  <c r="AG820" i="5"/>
  <c r="AG822" i="5"/>
  <c r="AD838" i="5"/>
  <c r="AG838" i="5" s="1"/>
  <c r="AD847" i="5"/>
  <c r="AG847" i="5" s="1"/>
  <c r="AC856" i="5"/>
  <c r="AE856" i="5" s="1"/>
  <c r="AF856" i="5" s="1"/>
  <c r="AG856" i="5" s="1"/>
  <c r="AC860" i="5"/>
  <c r="AE860" i="5" s="1"/>
  <c r="AF860" i="5" s="1"/>
  <c r="AG860" i="5" s="1"/>
  <c r="AC863" i="5"/>
  <c r="AE863" i="5" s="1"/>
  <c r="AF863" i="5" s="1"/>
  <c r="AG863" i="5" s="1"/>
  <c r="AC873" i="5"/>
  <c r="AE873" i="5" s="1"/>
  <c r="AF873" i="5" s="1"/>
  <c r="AD883" i="5"/>
  <c r="AC886" i="5"/>
  <c r="AE886" i="5" s="1"/>
  <c r="AF886" i="5" s="1"/>
  <c r="AG886" i="5" s="1"/>
  <c r="AD893" i="5"/>
  <c r="AC896" i="5"/>
  <c r="AE896" i="5" s="1"/>
  <c r="AF896" i="5" s="1"/>
  <c r="AD906" i="5"/>
  <c r="AG906" i="5" s="1"/>
  <c r="AC921" i="5"/>
  <c r="AE921" i="5" s="1"/>
  <c r="AF921" i="5" s="1"/>
  <c r="AD931" i="5"/>
  <c r="AC943" i="5"/>
  <c r="AE943" i="5" s="1"/>
  <c r="AF943" i="5" s="1"/>
  <c r="AG943" i="5" s="1"/>
  <c r="AO3" i="5"/>
  <c r="AP1" i="5" s="1"/>
  <c r="AG56" i="5"/>
  <c r="AG63" i="5"/>
  <c r="AG67" i="5"/>
  <c r="AG91" i="5"/>
  <c r="AG107" i="5"/>
  <c r="AG41" i="5"/>
  <c r="AG42" i="5"/>
  <c r="AG45" i="5"/>
  <c r="AG46" i="5"/>
  <c r="AG49" i="5"/>
  <c r="AG74" i="5"/>
  <c r="AG9" i="5"/>
  <c r="AG11" i="5"/>
  <c r="AG13" i="5"/>
  <c r="AG15" i="5"/>
  <c r="AG17" i="5"/>
  <c r="AG19" i="5"/>
  <c r="AG21" i="5"/>
  <c r="AG23" i="5"/>
  <c r="AG25" i="5"/>
  <c r="AG27" i="5"/>
  <c r="AG29" i="5"/>
  <c r="AG31" i="5"/>
  <c r="AG33" i="5"/>
  <c r="AG35" i="5"/>
  <c r="AG37" i="5"/>
  <c r="AG39" i="5"/>
  <c r="AG66" i="5"/>
  <c r="AG113" i="5"/>
  <c r="AI4" i="5"/>
  <c r="AJ4" i="5" s="1"/>
  <c r="AD8" i="5"/>
  <c r="AG8" i="5" s="1"/>
  <c r="AD10" i="5"/>
  <c r="AG10" i="5" s="1"/>
  <c r="AD12" i="5"/>
  <c r="AG12" i="5" s="1"/>
  <c r="AD14" i="5"/>
  <c r="AG14" i="5" s="1"/>
  <c r="AD16" i="5"/>
  <c r="AG16" i="5" s="1"/>
  <c r="AD18" i="5"/>
  <c r="AG18" i="5" s="1"/>
  <c r="AD20" i="5"/>
  <c r="AG20" i="5" s="1"/>
  <c r="AD22" i="5"/>
  <c r="AG22" i="5" s="1"/>
  <c r="AD24" i="5"/>
  <c r="AG24" i="5" s="1"/>
  <c r="AD26" i="5"/>
  <c r="AG26" i="5" s="1"/>
  <c r="AD28" i="5"/>
  <c r="AG28" i="5" s="1"/>
  <c r="AD30" i="5"/>
  <c r="AG30" i="5" s="1"/>
  <c r="AD32" i="5"/>
  <c r="AG32" i="5" s="1"/>
  <c r="AD34" i="5"/>
  <c r="AG34" i="5" s="1"/>
  <c r="AD36" i="5"/>
  <c r="AG36" i="5" s="1"/>
  <c r="AD38" i="5"/>
  <c r="AG38" i="5" s="1"/>
  <c r="AD53" i="5"/>
  <c r="AG53" i="5" s="1"/>
  <c r="AD55" i="5"/>
  <c r="AG55" i="5" s="1"/>
  <c r="AD59" i="5"/>
  <c r="AG59" i="5" s="1"/>
  <c r="AG60" i="5"/>
  <c r="AG69" i="5"/>
  <c r="AD76" i="5"/>
  <c r="AG76" i="5" s="1"/>
  <c r="AG77" i="5"/>
  <c r="AD93" i="5"/>
  <c r="AG93" i="5" s="1"/>
  <c r="AG94" i="5"/>
  <c r="AD101" i="5"/>
  <c r="AG101" i="5" s="1"/>
  <c r="AG102" i="5"/>
  <c r="AD109" i="5"/>
  <c r="AG109" i="5" s="1"/>
  <c r="AG110" i="5"/>
  <c r="AC121" i="5"/>
  <c r="AE121" i="5" s="1"/>
  <c r="AF121" i="5" s="1"/>
  <c r="AD121" i="5"/>
  <c r="AG123" i="5"/>
  <c r="AG129" i="5"/>
  <c r="AG134" i="5"/>
  <c r="AG137" i="5"/>
  <c r="AG142" i="5"/>
  <c r="AG145" i="5"/>
  <c r="AG188" i="5"/>
  <c r="AG203" i="5"/>
  <c r="AG216" i="5"/>
  <c r="AG219" i="5"/>
  <c r="AD62" i="5"/>
  <c r="AG62" i="5" s="1"/>
  <c r="AD71" i="5"/>
  <c r="AG71" i="5" s="1"/>
  <c r="AC78" i="5"/>
  <c r="AE78" i="5" s="1"/>
  <c r="AF78" i="5" s="1"/>
  <c r="AG78" i="5" s="1"/>
  <c r="AC82" i="5"/>
  <c r="AE82" i="5" s="1"/>
  <c r="AF82" i="5" s="1"/>
  <c r="AG82" i="5" s="1"/>
  <c r="AC86" i="5"/>
  <c r="AE86" i="5" s="1"/>
  <c r="AF86" i="5" s="1"/>
  <c r="AG86" i="5" s="1"/>
  <c r="AD96" i="5"/>
  <c r="AG96" i="5" s="1"/>
  <c r="AD104" i="5"/>
  <c r="AG104" i="5" s="1"/>
  <c r="AD112" i="5"/>
  <c r="AG112" i="5" s="1"/>
  <c r="AC117" i="5"/>
  <c r="AE117" i="5" s="1"/>
  <c r="AF117" i="5" s="1"/>
  <c r="AG117" i="5" s="1"/>
  <c r="AG124" i="5"/>
  <c r="AD132" i="5"/>
  <c r="AG132" i="5" s="1"/>
  <c r="AC132" i="5"/>
  <c r="AE132" i="5" s="1"/>
  <c r="AF132" i="5" s="1"/>
  <c r="AG135" i="5"/>
  <c r="AG140" i="5"/>
  <c r="AG152" i="5"/>
  <c r="AG167" i="5"/>
  <c r="AG204" i="5"/>
  <c r="AG220" i="5"/>
  <c r="AG229" i="5"/>
  <c r="AG73" i="5"/>
  <c r="AG90" i="5"/>
  <c r="AG98" i="5"/>
  <c r="AG106" i="5"/>
  <c r="AG114" i="5"/>
  <c r="AG130" i="5"/>
  <c r="AG227" i="5"/>
  <c r="AI6" i="5"/>
  <c r="AJ6" i="5" s="1"/>
  <c r="AI7" i="5"/>
  <c r="AJ7" i="5" s="1"/>
  <c r="AD75" i="5"/>
  <c r="AG75" i="5" s="1"/>
  <c r="AC80" i="5"/>
  <c r="AE80" i="5" s="1"/>
  <c r="AF80" i="5" s="1"/>
  <c r="AG80" i="5" s="1"/>
  <c r="AC84" i="5"/>
  <c r="AE84" i="5" s="1"/>
  <c r="AF84" i="5" s="1"/>
  <c r="AG84" i="5" s="1"/>
  <c r="AC88" i="5"/>
  <c r="AE88" i="5" s="1"/>
  <c r="AF88" i="5" s="1"/>
  <c r="AG88" i="5" s="1"/>
  <c r="AD92" i="5"/>
  <c r="AG92" i="5" s="1"/>
  <c r="AD100" i="5"/>
  <c r="AG100" i="5" s="1"/>
  <c r="AD108" i="5"/>
  <c r="AG108" i="5" s="1"/>
  <c r="AC119" i="5"/>
  <c r="AE119" i="5" s="1"/>
  <c r="AF119" i="5" s="1"/>
  <c r="AG119" i="5" s="1"/>
  <c r="AD128" i="5"/>
  <c r="AC128" i="5"/>
  <c r="AE128" i="5" s="1"/>
  <c r="AF128" i="5" s="1"/>
  <c r="AD138" i="5"/>
  <c r="AG138" i="5" s="1"/>
  <c r="AC138" i="5"/>
  <c r="AE138" i="5" s="1"/>
  <c r="AF138" i="5" s="1"/>
  <c r="AG156" i="5"/>
  <c r="AG170" i="5"/>
  <c r="AG184" i="5"/>
  <c r="AG215" i="5"/>
  <c r="AD176" i="5"/>
  <c r="AG176" i="5" s="1"/>
  <c r="AC177" i="5"/>
  <c r="AE177" i="5" s="1"/>
  <c r="AF177" i="5" s="1"/>
  <c r="AG177" i="5" s="1"/>
  <c r="AC181" i="5"/>
  <c r="AE181" i="5" s="1"/>
  <c r="AF181" i="5" s="1"/>
  <c r="AG181" i="5" s="1"/>
  <c r="AC185" i="5"/>
  <c r="AE185" i="5" s="1"/>
  <c r="AF185" i="5" s="1"/>
  <c r="AG185" i="5" s="1"/>
  <c r="AC189" i="5"/>
  <c r="AE189" i="5" s="1"/>
  <c r="AF189" i="5" s="1"/>
  <c r="AG189" i="5" s="1"/>
  <c r="AC193" i="5"/>
  <c r="AE193" i="5" s="1"/>
  <c r="AF193" i="5" s="1"/>
  <c r="AG193" i="5" s="1"/>
  <c r="AC196" i="5"/>
  <c r="AE196" i="5" s="1"/>
  <c r="AF196" i="5" s="1"/>
  <c r="AG196" i="5" s="1"/>
  <c r="AD230" i="5"/>
  <c r="AG230" i="5" s="1"/>
  <c r="AD242" i="5"/>
  <c r="AC242" i="5"/>
  <c r="AE242" i="5" s="1"/>
  <c r="AF242" i="5" s="1"/>
  <c r="AG270" i="5"/>
  <c r="AG329" i="5"/>
  <c r="AG365" i="5"/>
  <c r="AD139" i="5"/>
  <c r="AG139" i="5" s="1"/>
  <c r="AD149" i="5"/>
  <c r="AG149" i="5" s="1"/>
  <c r="AC150" i="5"/>
  <c r="AE150" i="5" s="1"/>
  <c r="AF150" i="5" s="1"/>
  <c r="AG150" i="5" s="1"/>
  <c r="AC154" i="5"/>
  <c r="AE154" i="5" s="1"/>
  <c r="AF154" i="5" s="1"/>
  <c r="AG154" i="5" s="1"/>
  <c r="AC157" i="5"/>
  <c r="AE157" i="5" s="1"/>
  <c r="AF157" i="5" s="1"/>
  <c r="AG157" i="5" s="1"/>
  <c r="AC161" i="5"/>
  <c r="AE161" i="5" s="1"/>
  <c r="AF161" i="5" s="1"/>
  <c r="AG161" i="5" s="1"/>
  <c r="AC165" i="5"/>
  <c r="AE165" i="5" s="1"/>
  <c r="AF165" i="5" s="1"/>
  <c r="AG165" i="5" s="1"/>
  <c r="AC168" i="5"/>
  <c r="AE168" i="5" s="1"/>
  <c r="AF168" i="5" s="1"/>
  <c r="AG168" i="5" s="1"/>
  <c r="AD178" i="5"/>
  <c r="AG178" i="5" s="1"/>
  <c r="AC179" i="5"/>
  <c r="AE179" i="5" s="1"/>
  <c r="AF179" i="5" s="1"/>
  <c r="AG179" i="5" s="1"/>
  <c r="AD197" i="5"/>
  <c r="AG197" i="5" s="1"/>
  <c r="AC198" i="5"/>
  <c r="AE198" i="5" s="1"/>
  <c r="AF198" i="5" s="1"/>
  <c r="AG198" i="5" s="1"/>
  <c r="AC202" i="5"/>
  <c r="AE202" i="5" s="1"/>
  <c r="AF202" i="5" s="1"/>
  <c r="AG202" i="5" s="1"/>
  <c r="AC206" i="5"/>
  <c r="AE206" i="5" s="1"/>
  <c r="AF206" i="5" s="1"/>
  <c r="AG206" i="5" s="1"/>
  <c r="AC210" i="5"/>
  <c r="AE210" i="5" s="1"/>
  <c r="AF210" i="5" s="1"/>
  <c r="AG210" i="5" s="1"/>
  <c r="AC214" i="5"/>
  <c r="AE214" i="5" s="1"/>
  <c r="AF214" i="5" s="1"/>
  <c r="AG214" i="5" s="1"/>
  <c r="AC218" i="5"/>
  <c r="AE218" i="5" s="1"/>
  <c r="AF218" i="5" s="1"/>
  <c r="AG218" i="5" s="1"/>
  <c r="AC222" i="5"/>
  <c r="AE222" i="5" s="1"/>
  <c r="AF222" i="5" s="1"/>
  <c r="AG222" i="5" s="1"/>
  <c r="AC226" i="5"/>
  <c r="AE226" i="5" s="1"/>
  <c r="AF226" i="5" s="1"/>
  <c r="AG226" i="5" s="1"/>
  <c r="AG231" i="5"/>
  <c r="AG237" i="5"/>
  <c r="AG239" i="5"/>
  <c r="AG281" i="5"/>
  <c r="AG288" i="5"/>
  <c r="AG297" i="5"/>
  <c r="AG303" i="5"/>
  <c r="AG316" i="5"/>
  <c r="AG141" i="5"/>
  <c r="AD146" i="5"/>
  <c r="AG146" i="5" s="1"/>
  <c r="AG151" i="5"/>
  <c r="AD158" i="5"/>
  <c r="AG158" i="5" s="1"/>
  <c r="AD169" i="5"/>
  <c r="AG169" i="5" s="1"/>
  <c r="AC174" i="5"/>
  <c r="AE174" i="5" s="1"/>
  <c r="AF174" i="5" s="1"/>
  <c r="AG174" i="5" s="1"/>
  <c r="AC183" i="5"/>
  <c r="AE183" i="5" s="1"/>
  <c r="AF183" i="5" s="1"/>
  <c r="AG183" i="5" s="1"/>
  <c r="AC187" i="5"/>
  <c r="AE187" i="5" s="1"/>
  <c r="AF187" i="5" s="1"/>
  <c r="AG187" i="5" s="1"/>
  <c r="AC191" i="5"/>
  <c r="AE191" i="5" s="1"/>
  <c r="AF191" i="5" s="1"/>
  <c r="AG191" i="5" s="1"/>
  <c r="AC195" i="5"/>
  <c r="AE195" i="5" s="1"/>
  <c r="AF195" i="5" s="1"/>
  <c r="AG195" i="5" s="1"/>
  <c r="AD199" i="5"/>
  <c r="AG199" i="5" s="1"/>
  <c r="AG235" i="5"/>
  <c r="AD246" i="5"/>
  <c r="AC246" i="5"/>
  <c r="AE246" i="5" s="1"/>
  <c r="AF246" i="5" s="1"/>
  <c r="AG247" i="5"/>
  <c r="AG251" i="5"/>
  <c r="AG258" i="5"/>
  <c r="AG260" i="5"/>
  <c r="AG261" i="5"/>
  <c r="AG277" i="5"/>
  <c r="AG290" i="5"/>
  <c r="AG363" i="5"/>
  <c r="AG171" i="5"/>
  <c r="AG228" i="5"/>
  <c r="AC232" i="5"/>
  <c r="AE232" i="5" s="1"/>
  <c r="AF232" i="5" s="1"/>
  <c r="AD232" i="5"/>
  <c r="AC241" i="5"/>
  <c r="AE241" i="5" s="1"/>
  <c r="AF241" i="5" s="1"/>
  <c r="AD241" i="5"/>
  <c r="AG301" i="5"/>
  <c r="AG306" i="5"/>
  <c r="AG314" i="5"/>
  <c r="AG331" i="5"/>
  <c r="AD259" i="5"/>
  <c r="AG259" i="5" s="1"/>
  <c r="AD264" i="5"/>
  <c r="AG264" i="5" s="1"/>
  <c r="AD287" i="5"/>
  <c r="AG287" i="5" s="1"/>
  <c r="AD296" i="5"/>
  <c r="AG296" i="5" s="1"/>
  <c r="AD311" i="5"/>
  <c r="AG311" i="5" s="1"/>
  <c r="AD320" i="5"/>
  <c r="AG320" i="5" s="1"/>
  <c r="AD328" i="5"/>
  <c r="AG328" i="5" s="1"/>
  <c r="AG372" i="5"/>
  <c r="AC394" i="5"/>
  <c r="AE394" i="5" s="1"/>
  <c r="AF394" i="5" s="1"/>
  <c r="AD394" i="5"/>
  <c r="AC396" i="5"/>
  <c r="AE396" i="5" s="1"/>
  <c r="AF396" i="5" s="1"/>
  <c r="AD396" i="5"/>
  <c r="AC398" i="5"/>
  <c r="AE398" i="5" s="1"/>
  <c r="AF398" i="5" s="1"/>
  <c r="AD398" i="5"/>
  <c r="AC414" i="5"/>
  <c r="AE414" i="5" s="1"/>
  <c r="AF414" i="5" s="1"/>
  <c r="AD414" i="5"/>
  <c r="AG419" i="5"/>
  <c r="AG424" i="5"/>
  <c r="AG425" i="5"/>
  <c r="AG428" i="5"/>
  <c r="AG460" i="5"/>
  <c r="AG469" i="5"/>
  <c r="AG243" i="5"/>
  <c r="AC334" i="5"/>
  <c r="AE334" i="5" s="1"/>
  <c r="AF334" i="5" s="1"/>
  <c r="AD334" i="5"/>
  <c r="AG334" i="5" s="1"/>
  <c r="AG370" i="5"/>
  <c r="AG422" i="5"/>
  <c r="AG426" i="5"/>
  <c r="AD248" i="5"/>
  <c r="AG248" i="5" s="1"/>
  <c r="AD271" i="5"/>
  <c r="AG271" i="5" s="1"/>
  <c r="AD276" i="5"/>
  <c r="AG276" i="5" s="1"/>
  <c r="AD283" i="5"/>
  <c r="AG283" i="5" s="1"/>
  <c r="AC284" i="5"/>
  <c r="AE284" i="5" s="1"/>
  <c r="AF284" i="5" s="1"/>
  <c r="AG284" i="5" s="1"/>
  <c r="AD300" i="5"/>
  <c r="AG300" i="5" s="1"/>
  <c r="AD307" i="5"/>
  <c r="AG307" i="5" s="1"/>
  <c r="AC308" i="5"/>
  <c r="AE308" i="5" s="1"/>
  <c r="AF308" i="5" s="1"/>
  <c r="AG308" i="5" s="1"/>
  <c r="AD324" i="5"/>
  <c r="AG324" i="5" s="1"/>
  <c r="AC325" i="5"/>
  <c r="AE325" i="5" s="1"/>
  <c r="AF325" i="5" s="1"/>
  <c r="AG325" i="5" s="1"/>
  <c r="AD332" i="5"/>
  <c r="AG332" i="5" s="1"/>
  <c r="AC337" i="5"/>
  <c r="AE337" i="5" s="1"/>
  <c r="AF337" i="5" s="1"/>
  <c r="AG337" i="5" s="1"/>
  <c r="AC339" i="5"/>
  <c r="AE339" i="5" s="1"/>
  <c r="AF339" i="5" s="1"/>
  <c r="AG339" i="5" s="1"/>
  <c r="AC341" i="5"/>
  <c r="AE341" i="5" s="1"/>
  <c r="AF341" i="5" s="1"/>
  <c r="AG341" i="5" s="1"/>
  <c r="AC343" i="5"/>
  <c r="AE343" i="5" s="1"/>
  <c r="AF343" i="5" s="1"/>
  <c r="AG343" i="5" s="1"/>
  <c r="AC345" i="5"/>
  <c r="AE345" i="5" s="1"/>
  <c r="AF345" i="5" s="1"/>
  <c r="AG345" i="5" s="1"/>
  <c r="AC347" i="5"/>
  <c r="AE347" i="5" s="1"/>
  <c r="AF347" i="5" s="1"/>
  <c r="AG347" i="5" s="1"/>
  <c r="AC349" i="5"/>
  <c r="AE349" i="5" s="1"/>
  <c r="AF349" i="5" s="1"/>
  <c r="AG349" i="5" s="1"/>
  <c r="AC351" i="5"/>
  <c r="AE351" i="5" s="1"/>
  <c r="AF351" i="5" s="1"/>
  <c r="AG351" i="5" s="1"/>
  <c r="AC353" i="5"/>
  <c r="AE353" i="5" s="1"/>
  <c r="AF353" i="5" s="1"/>
  <c r="AG353" i="5" s="1"/>
  <c r="AC355" i="5"/>
  <c r="AE355" i="5" s="1"/>
  <c r="AF355" i="5" s="1"/>
  <c r="AG355" i="5" s="1"/>
  <c r="AC357" i="5"/>
  <c r="AE357" i="5" s="1"/>
  <c r="AF357" i="5" s="1"/>
  <c r="AG357" i="5" s="1"/>
  <c r="AC359" i="5"/>
  <c r="AE359" i="5" s="1"/>
  <c r="AF359" i="5" s="1"/>
  <c r="AG359" i="5" s="1"/>
  <c r="AC361" i="5"/>
  <c r="AE361" i="5" s="1"/>
  <c r="AF361" i="5" s="1"/>
  <c r="AG361" i="5" s="1"/>
  <c r="AC377" i="5"/>
  <c r="AE377" i="5" s="1"/>
  <c r="AF377" i="5" s="1"/>
  <c r="AD377" i="5"/>
  <c r="AC379" i="5"/>
  <c r="AE379" i="5" s="1"/>
  <c r="AF379" i="5" s="1"/>
  <c r="AD379" i="5"/>
  <c r="AC381" i="5"/>
  <c r="AE381" i="5" s="1"/>
  <c r="AF381" i="5" s="1"/>
  <c r="AD381" i="5"/>
  <c r="AC383" i="5"/>
  <c r="AE383" i="5" s="1"/>
  <c r="AF383" i="5" s="1"/>
  <c r="AD383" i="5"/>
  <c r="AC385" i="5"/>
  <c r="AE385" i="5" s="1"/>
  <c r="AF385" i="5" s="1"/>
  <c r="AD385" i="5"/>
  <c r="AC387" i="5"/>
  <c r="AE387" i="5" s="1"/>
  <c r="AF387" i="5" s="1"/>
  <c r="AD387" i="5"/>
  <c r="AG257" i="5"/>
  <c r="AG262" i="5"/>
  <c r="AG285" i="5"/>
  <c r="AG294" i="5"/>
  <c r="AG309" i="5"/>
  <c r="AG318" i="5"/>
  <c r="AG326" i="5"/>
  <c r="AG393" i="5"/>
  <c r="AG395" i="5"/>
  <c r="AG397" i="5"/>
  <c r="AG399" i="5"/>
  <c r="AC405" i="5"/>
  <c r="AE405" i="5" s="1"/>
  <c r="AF405" i="5" s="1"/>
  <c r="AD405" i="5"/>
  <c r="AG405" i="5" s="1"/>
  <c r="AC407" i="5"/>
  <c r="AE407" i="5" s="1"/>
  <c r="AF407" i="5" s="1"/>
  <c r="AD407" i="5"/>
  <c r="AC409" i="5"/>
  <c r="AE409" i="5" s="1"/>
  <c r="AF409" i="5" s="1"/>
  <c r="AD409" i="5"/>
  <c r="AG409" i="5" s="1"/>
  <c r="AG415" i="5"/>
  <c r="AG450" i="5"/>
  <c r="AD416" i="5"/>
  <c r="AG416" i="5" s="1"/>
  <c r="AD431" i="5"/>
  <c r="AG431" i="5" s="1"/>
  <c r="AG432" i="5"/>
  <c r="AD446" i="5"/>
  <c r="AG446" i="5" s="1"/>
  <c r="AG447" i="5"/>
  <c r="AD454" i="5"/>
  <c r="AG454" i="5" s="1"/>
  <c r="AG455" i="5"/>
  <c r="AD462" i="5"/>
  <c r="AG462" i="5" s="1"/>
  <c r="AG463" i="5"/>
  <c r="AD478" i="5"/>
  <c r="AG478" i="5" s="1"/>
  <c r="AG479" i="5"/>
  <c r="AD539" i="5"/>
  <c r="AC539" i="5"/>
  <c r="AE539" i="5" s="1"/>
  <c r="AF539" i="5" s="1"/>
  <c r="AD558" i="5"/>
  <c r="AC558" i="5"/>
  <c r="AE558" i="5" s="1"/>
  <c r="AF558" i="5" s="1"/>
  <c r="AG568" i="5"/>
  <c r="AG586" i="5"/>
  <c r="AG615" i="5"/>
  <c r="AG638" i="5"/>
  <c r="AG641" i="5"/>
  <c r="AG642" i="5"/>
  <c r="AG645" i="5"/>
  <c r="AG646" i="5"/>
  <c r="AG661" i="5"/>
  <c r="AD421" i="5"/>
  <c r="AG421" i="5" s="1"/>
  <c r="AC437" i="5"/>
  <c r="AE437" i="5" s="1"/>
  <c r="AF437" i="5" s="1"/>
  <c r="AG437" i="5" s="1"/>
  <c r="AC441" i="5"/>
  <c r="AE441" i="5" s="1"/>
  <c r="AF441" i="5" s="1"/>
  <c r="AG441" i="5" s="1"/>
  <c r="AC445" i="5"/>
  <c r="AE445" i="5" s="1"/>
  <c r="AF445" i="5" s="1"/>
  <c r="AG445" i="5" s="1"/>
  <c r="AD449" i="5"/>
  <c r="AG449" i="5" s="1"/>
  <c r="AD457" i="5"/>
  <c r="AG457" i="5" s="1"/>
  <c r="AD468" i="5"/>
  <c r="AG468" i="5" s="1"/>
  <c r="AC473" i="5"/>
  <c r="AE473" i="5" s="1"/>
  <c r="AF473" i="5" s="1"/>
  <c r="AG473" i="5" s="1"/>
  <c r="AC477" i="5"/>
  <c r="AE477" i="5" s="1"/>
  <c r="AF477" i="5" s="1"/>
  <c r="AG477" i="5" s="1"/>
  <c r="AC484" i="5"/>
  <c r="AE484" i="5" s="1"/>
  <c r="AF484" i="5" s="1"/>
  <c r="AG484" i="5" s="1"/>
  <c r="AC488" i="5"/>
  <c r="AE488" i="5" s="1"/>
  <c r="AF488" i="5" s="1"/>
  <c r="AG488" i="5" s="1"/>
  <c r="AC492" i="5"/>
  <c r="AE492" i="5" s="1"/>
  <c r="AF492" i="5" s="1"/>
  <c r="AG492" i="5" s="1"/>
  <c r="AG495" i="5"/>
  <c r="AG497" i="5"/>
  <c r="AG499" i="5"/>
  <c r="AG501" i="5"/>
  <c r="AG503" i="5"/>
  <c r="AD537" i="5"/>
  <c r="AC537" i="5"/>
  <c r="AE537" i="5" s="1"/>
  <c r="AF537" i="5" s="1"/>
  <c r="AD556" i="5"/>
  <c r="AC556" i="5"/>
  <c r="AE556" i="5" s="1"/>
  <c r="AF556" i="5" s="1"/>
  <c r="AG566" i="5"/>
  <c r="AG574" i="5"/>
  <c r="AG605" i="5"/>
  <c r="AG609" i="5"/>
  <c r="AG639" i="5"/>
  <c r="AG643" i="5"/>
  <c r="AG459" i="5"/>
  <c r="AG470" i="5"/>
  <c r="AD506" i="5"/>
  <c r="AC506" i="5"/>
  <c r="AE506" i="5" s="1"/>
  <c r="AF506" i="5" s="1"/>
  <c r="AD535" i="5"/>
  <c r="AC535" i="5"/>
  <c r="AE535" i="5" s="1"/>
  <c r="AF535" i="5" s="1"/>
  <c r="AD543" i="5"/>
  <c r="AC543" i="5"/>
  <c r="AE543" i="5" s="1"/>
  <c r="AF543" i="5" s="1"/>
  <c r="AD554" i="5"/>
  <c r="AC554" i="5"/>
  <c r="AE554" i="5" s="1"/>
  <c r="AF554" i="5" s="1"/>
  <c r="AD577" i="5"/>
  <c r="AC577" i="5"/>
  <c r="AE577" i="5" s="1"/>
  <c r="AF577" i="5" s="1"/>
  <c r="AG584" i="5"/>
  <c r="AG585" i="5"/>
  <c r="AD430" i="5"/>
  <c r="AG430" i="5" s="1"/>
  <c r="AC435" i="5"/>
  <c r="AE435" i="5" s="1"/>
  <c r="AF435" i="5" s="1"/>
  <c r="AG435" i="5" s="1"/>
  <c r="AC439" i="5"/>
  <c r="AE439" i="5" s="1"/>
  <c r="AF439" i="5" s="1"/>
  <c r="AG439" i="5" s="1"/>
  <c r="AC443" i="5"/>
  <c r="AE443" i="5" s="1"/>
  <c r="AF443" i="5" s="1"/>
  <c r="AG443" i="5" s="1"/>
  <c r="AD453" i="5"/>
  <c r="AG453" i="5" s="1"/>
  <c r="AD461" i="5"/>
  <c r="AG461" i="5" s="1"/>
  <c r="AC466" i="5"/>
  <c r="AE466" i="5" s="1"/>
  <c r="AF466" i="5" s="1"/>
  <c r="AG466" i="5" s="1"/>
  <c r="AC475" i="5"/>
  <c r="AE475" i="5" s="1"/>
  <c r="AF475" i="5" s="1"/>
  <c r="AG475" i="5" s="1"/>
  <c r="AC482" i="5"/>
  <c r="AE482" i="5" s="1"/>
  <c r="AF482" i="5" s="1"/>
  <c r="AG482" i="5" s="1"/>
  <c r="AC486" i="5"/>
  <c r="AE486" i="5" s="1"/>
  <c r="AF486" i="5" s="1"/>
  <c r="AG486" i="5" s="1"/>
  <c r="AC490" i="5"/>
  <c r="AE490" i="5" s="1"/>
  <c r="AF490" i="5" s="1"/>
  <c r="AG490" i="5" s="1"/>
  <c r="AC494" i="5"/>
  <c r="AE494" i="5" s="1"/>
  <c r="AF494" i="5" s="1"/>
  <c r="AG494" i="5" s="1"/>
  <c r="AD504" i="5"/>
  <c r="AC504" i="5"/>
  <c r="AE504" i="5" s="1"/>
  <c r="AF504" i="5" s="1"/>
  <c r="AC509" i="5"/>
  <c r="AE509" i="5" s="1"/>
  <c r="AF509" i="5" s="1"/>
  <c r="AG509" i="5" s="1"/>
  <c r="AC511" i="5"/>
  <c r="AE511" i="5" s="1"/>
  <c r="AF511" i="5" s="1"/>
  <c r="AG511" i="5" s="1"/>
  <c r="AC513" i="5"/>
  <c r="AE513" i="5" s="1"/>
  <c r="AF513" i="5" s="1"/>
  <c r="AG513" i="5" s="1"/>
  <c r="AC515" i="5"/>
  <c r="AE515" i="5" s="1"/>
  <c r="AF515" i="5" s="1"/>
  <c r="AG515" i="5" s="1"/>
  <c r="AC517" i="5"/>
  <c r="AE517" i="5" s="1"/>
  <c r="AF517" i="5" s="1"/>
  <c r="AG517" i="5" s="1"/>
  <c r="AC519" i="5"/>
  <c r="AE519" i="5" s="1"/>
  <c r="AF519" i="5" s="1"/>
  <c r="AG519" i="5" s="1"/>
  <c r="AC521" i="5"/>
  <c r="AE521" i="5" s="1"/>
  <c r="AF521" i="5" s="1"/>
  <c r="AG521" i="5" s="1"/>
  <c r="AC523" i="5"/>
  <c r="AE523" i="5" s="1"/>
  <c r="AF523" i="5" s="1"/>
  <c r="AG523" i="5" s="1"/>
  <c r="AC525" i="5"/>
  <c r="AE525" i="5" s="1"/>
  <c r="AF525" i="5" s="1"/>
  <c r="AG525" i="5" s="1"/>
  <c r="AC527" i="5"/>
  <c r="AE527" i="5" s="1"/>
  <c r="AF527" i="5" s="1"/>
  <c r="AG527" i="5" s="1"/>
  <c r="AC529" i="5"/>
  <c r="AE529" i="5" s="1"/>
  <c r="AF529" i="5" s="1"/>
  <c r="AG529" i="5" s="1"/>
  <c r="AC531" i="5"/>
  <c r="AE531" i="5" s="1"/>
  <c r="AF531" i="5" s="1"/>
  <c r="AG531" i="5" s="1"/>
  <c r="AD533" i="5"/>
  <c r="AC533" i="5"/>
  <c r="AE533" i="5" s="1"/>
  <c r="AF533" i="5" s="1"/>
  <c r="AD541" i="5"/>
  <c r="AC541" i="5"/>
  <c r="AE541" i="5" s="1"/>
  <c r="AF541" i="5" s="1"/>
  <c r="AC544" i="5"/>
  <c r="AE544" i="5" s="1"/>
  <c r="AF544" i="5" s="1"/>
  <c r="AG544" i="5" s="1"/>
  <c r="AC546" i="5"/>
  <c r="AE546" i="5" s="1"/>
  <c r="AF546" i="5" s="1"/>
  <c r="AG546" i="5" s="1"/>
  <c r="AC548" i="5"/>
  <c r="AE548" i="5" s="1"/>
  <c r="AF548" i="5" s="1"/>
  <c r="AG548" i="5" s="1"/>
  <c r="AC550" i="5"/>
  <c r="AE550" i="5" s="1"/>
  <c r="AF550" i="5" s="1"/>
  <c r="AG550" i="5" s="1"/>
  <c r="AD552" i="5"/>
  <c r="AC552" i="5"/>
  <c r="AE552" i="5" s="1"/>
  <c r="AF552" i="5" s="1"/>
  <c r="AD579" i="5"/>
  <c r="AC579" i="5"/>
  <c r="AE579" i="5" s="1"/>
  <c r="AF579" i="5" s="1"/>
  <c r="AG651" i="5"/>
  <c r="AC581" i="5"/>
  <c r="AE581" i="5" s="1"/>
  <c r="AF581" i="5" s="1"/>
  <c r="AG581" i="5" s="1"/>
  <c r="AC583" i="5"/>
  <c r="AE583" i="5" s="1"/>
  <c r="AF583" i="5" s="1"/>
  <c r="AG583" i="5" s="1"/>
  <c r="AC588" i="5"/>
  <c r="AE588" i="5" s="1"/>
  <c r="AF588" i="5" s="1"/>
  <c r="AG588" i="5" s="1"/>
  <c r="AD610" i="5"/>
  <c r="AG610" i="5" s="1"/>
  <c r="AC611" i="5"/>
  <c r="AE611" i="5" s="1"/>
  <c r="AF611" i="5" s="1"/>
  <c r="AG611" i="5" s="1"/>
  <c r="AC621" i="5"/>
  <c r="AE621" i="5" s="1"/>
  <c r="AF621" i="5" s="1"/>
  <c r="AG621" i="5" s="1"/>
  <c r="AC625" i="5"/>
  <c r="AE625" i="5" s="1"/>
  <c r="AF625" i="5" s="1"/>
  <c r="AG625" i="5" s="1"/>
  <c r="AC629" i="5"/>
  <c r="AE629" i="5" s="1"/>
  <c r="AF629" i="5" s="1"/>
  <c r="AG629" i="5" s="1"/>
  <c r="AC632" i="5"/>
  <c r="AE632" i="5" s="1"/>
  <c r="AF632" i="5" s="1"/>
  <c r="AG632" i="5" s="1"/>
  <c r="AD636" i="5"/>
  <c r="AG636" i="5" s="1"/>
  <c r="AC637" i="5"/>
  <c r="AE637" i="5" s="1"/>
  <c r="AF637" i="5" s="1"/>
  <c r="AG637" i="5" s="1"/>
  <c r="AD649" i="5"/>
  <c r="AG649" i="5" s="1"/>
  <c r="AD654" i="5"/>
  <c r="AG654" i="5" s="1"/>
  <c r="AC655" i="5"/>
  <c r="AE655" i="5" s="1"/>
  <c r="AF655" i="5" s="1"/>
  <c r="AG655" i="5" s="1"/>
  <c r="AC663" i="5"/>
  <c r="AE663" i="5" s="1"/>
  <c r="AF663" i="5" s="1"/>
  <c r="AG663" i="5" s="1"/>
  <c r="AC665" i="5"/>
  <c r="AE665" i="5" s="1"/>
  <c r="AF665" i="5" s="1"/>
  <c r="AG665" i="5" s="1"/>
  <c r="AC667" i="5"/>
  <c r="AE667" i="5" s="1"/>
  <c r="AF667" i="5" s="1"/>
  <c r="AG667" i="5" s="1"/>
  <c r="AD669" i="5"/>
  <c r="AC669" i="5"/>
  <c r="AE669" i="5" s="1"/>
  <c r="AF669" i="5" s="1"/>
  <c r="AD690" i="5"/>
  <c r="AC690" i="5"/>
  <c r="AE690" i="5" s="1"/>
  <c r="AF690" i="5" s="1"/>
  <c r="AD698" i="5"/>
  <c r="AC698" i="5"/>
  <c r="AE698" i="5" s="1"/>
  <c r="AF698" i="5" s="1"/>
  <c r="AG701" i="5"/>
  <c r="AG708" i="5"/>
  <c r="AG747" i="5"/>
  <c r="AG782" i="5"/>
  <c r="AG612" i="5"/>
  <c r="AG633" i="5"/>
  <c r="AG656" i="5"/>
  <c r="AD675" i="5"/>
  <c r="AC675" i="5"/>
  <c r="AE675" i="5" s="1"/>
  <c r="AF675" i="5" s="1"/>
  <c r="AD688" i="5"/>
  <c r="AC688" i="5"/>
  <c r="AE688" i="5" s="1"/>
  <c r="AF688" i="5" s="1"/>
  <c r="AD696" i="5"/>
  <c r="AC696" i="5"/>
  <c r="AE696" i="5" s="1"/>
  <c r="AF696" i="5" s="1"/>
  <c r="AG705" i="5"/>
  <c r="AG712" i="5"/>
  <c r="AD614" i="5"/>
  <c r="AG614" i="5" s="1"/>
  <c r="AC619" i="5"/>
  <c r="AE619" i="5" s="1"/>
  <c r="AF619" i="5" s="1"/>
  <c r="AG619" i="5" s="1"/>
  <c r="AC623" i="5"/>
  <c r="AE623" i="5" s="1"/>
  <c r="AF623" i="5" s="1"/>
  <c r="AG623" i="5" s="1"/>
  <c r="AC627" i="5"/>
  <c r="AE627" i="5" s="1"/>
  <c r="AF627" i="5" s="1"/>
  <c r="AG627" i="5" s="1"/>
  <c r="AC631" i="5"/>
  <c r="AE631" i="5" s="1"/>
  <c r="AF631" i="5" s="1"/>
  <c r="AG631" i="5" s="1"/>
  <c r="AD658" i="5"/>
  <c r="AG658" i="5" s="1"/>
  <c r="AD673" i="5"/>
  <c r="AC673" i="5"/>
  <c r="AE673" i="5" s="1"/>
  <c r="AF673" i="5" s="1"/>
  <c r="AC676" i="5"/>
  <c r="AE676" i="5" s="1"/>
  <c r="AF676" i="5" s="1"/>
  <c r="AG676" i="5" s="1"/>
  <c r="AC678" i="5"/>
  <c r="AE678" i="5" s="1"/>
  <c r="AF678" i="5" s="1"/>
  <c r="AG678" i="5" s="1"/>
  <c r="AC680" i="5"/>
  <c r="AE680" i="5" s="1"/>
  <c r="AF680" i="5" s="1"/>
  <c r="AG680" i="5" s="1"/>
  <c r="AC682" i="5"/>
  <c r="AE682" i="5" s="1"/>
  <c r="AF682" i="5" s="1"/>
  <c r="AG682" i="5" s="1"/>
  <c r="AD694" i="5"/>
  <c r="AC694" i="5"/>
  <c r="AE694" i="5" s="1"/>
  <c r="AF694" i="5" s="1"/>
  <c r="AG616" i="5"/>
  <c r="AG647" i="5"/>
  <c r="AG652" i="5"/>
  <c r="AG660" i="5"/>
  <c r="AD662" i="5"/>
  <c r="AC662" i="5"/>
  <c r="AE662" i="5" s="1"/>
  <c r="AF662" i="5" s="1"/>
  <c r="AD671" i="5"/>
  <c r="AC671" i="5"/>
  <c r="AE671" i="5" s="1"/>
  <c r="AF671" i="5" s="1"/>
  <c r="AD692" i="5"/>
  <c r="AC692" i="5"/>
  <c r="AE692" i="5" s="1"/>
  <c r="AF692" i="5" s="1"/>
  <c r="AD700" i="5"/>
  <c r="AC700" i="5"/>
  <c r="AE700" i="5" s="1"/>
  <c r="AF700" i="5" s="1"/>
  <c r="AC703" i="5"/>
  <c r="AE703" i="5" s="1"/>
  <c r="AF703" i="5" s="1"/>
  <c r="AG703" i="5" s="1"/>
  <c r="AC707" i="5"/>
  <c r="AE707" i="5" s="1"/>
  <c r="AF707" i="5" s="1"/>
  <c r="AG707" i="5" s="1"/>
  <c r="AC714" i="5"/>
  <c r="AE714" i="5" s="1"/>
  <c r="AF714" i="5" s="1"/>
  <c r="AD714" i="5"/>
  <c r="AC725" i="5"/>
  <c r="AE725" i="5" s="1"/>
  <c r="AF725" i="5" s="1"/>
  <c r="AG725" i="5" s="1"/>
  <c r="AG726" i="5"/>
  <c r="AC731" i="5"/>
  <c r="AE731" i="5" s="1"/>
  <c r="AF731" i="5" s="1"/>
  <c r="AD731" i="5"/>
  <c r="AC734" i="5"/>
  <c r="AE734" i="5" s="1"/>
  <c r="AF734" i="5" s="1"/>
  <c r="AG734" i="5" s="1"/>
  <c r="AG735" i="5"/>
  <c r="AC740" i="5"/>
  <c r="AE740" i="5" s="1"/>
  <c r="AF740" i="5" s="1"/>
  <c r="AD740" i="5"/>
  <c r="AC743" i="5"/>
  <c r="AE743" i="5" s="1"/>
  <c r="AF743" i="5" s="1"/>
  <c r="AG743" i="5" s="1"/>
  <c r="AG744" i="5"/>
  <c r="AC753" i="5"/>
  <c r="AE753" i="5" s="1"/>
  <c r="AF753" i="5" s="1"/>
  <c r="AD753" i="5"/>
  <c r="AC760" i="5"/>
  <c r="AE760" i="5" s="1"/>
  <c r="AF760" i="5" s="1"/>
  <c r="AD760" i="5"/>
  <c r="AG762" i="5"/>
  <c r="AC767" i="5"/>
  <c r="AE767" i="5" s="1"/>
  <c r="AF767" i="5" s="1"/>
  <c r="AD767" i="5"/>
  <c r="AC770" i="5"/>
  <c r="AE770" i="5" s="1"/>
  <c r="AF770" i="5" s="1"/>
  <c r="AG770" i="5" s="1"/>
  <c r="AG771" i="5"/>
  <c r="AC778" i="5"/>
  <c r="AE778" i="5" s="1"/>
  <c r="AF778" i="5" s="1"/>
  <c r="AG778" i="5" s="1"/>
  <c r="AG779" i="5"/>
  <c r="AC788" i="5"/>
  <c r="AE788" i="5" s="1"/>
  <c r="AF788" i="5" s="1"/>
  <c r="AD788" i="5"/>
  <c r="AG808" i="5"/>
  <c r="AG816" i="5"/>
  <c r="AG818" i="5"/>
  <c r="AG825" i="5"/>
  <c r="AG829" i="5"/>
  <c r="AG724" i="5"/>
  <c r="AC729" i="5"/>
  <c r="AE729" i="5" s="1"/>
  <c r="AF729" i="5" s="1"/>
  <c r="AD729" i="5"/>
  <c r="AG733" i="5"/>
  <c r="AC738" i="5"/>
  <c r="AE738" i="5" s="1"/>
  <c r="AF738" i="5" s="1"/>
  <c r="AD738" i="5"/>
  <c r="AC751" i="5"/>
  <c r="AE751" i="5" s="1"/>
  <c r="AF751" i="5" s="1"/>
  <c r="AD751" i="5"/>
  <c r="AC765" i="5"/>
  <c r="AE765" i="5" s="1"/>
  <c r="AF765" i="5" s="1"/>
  <c r="AD765" i="5"/>
  <c r="AG769" i="5"/>
  <c r="AG777" i="5"/>
  <c r="AC786" i="5"/>
  <c r="AE786" i="5" s="1"/>
  <c r="AF786" i="5" s="1"/>
  <c r="AD786" i="5"/>
  <c r="AC718" i="5"/>
  <c r="AE718" i="5" s="1"/>
  <c r="AF718" i="5" s="1"/>
  <c r="AD718" i="5"/>
  <c r="AC727" i="5"/>
  <c r="AE727" i="5" s="1"/>
  <c r="AF727" i="5" s="1"/>
  <c r="AD727" i="5"/>
  <c r="AC736" i="5"/>
  <c r="AE736" i="5" s="1"/>
  <c r="AF736" i="5" s="1"/>
  <c r="AD736" i="5"/>
  <c r="AC749" i="5"/>
  <c r="AE749" i="5" s="1"/>
  <c r="AF749" i="5" s="1"/>
  <c r="AD749" i="5"/>
  <c r="AC757" i="5"/>
  <c r="AE757" i="5" s="1"/>
  <c r="AF757" i="5" s="1"/>
  <c r="AD757" i="5"/>
  <c r="AC763" i="5"/>
  <c r="AE763" i="5" s="1"/>
  <c r="AF763" i="5" s="1"/>
  <c r="AD763" i="5"/>
  <c r="AC784" i="5"/>
  <c r="AE784" i="5" s="1"/>
  <c r="AF784" i="5" s="1"/>
  <c r="AD784" i="5"/>
  <c r="AG804" i="5"/>
  <c r="AG812" i="5"/>
  <c r="AG814" i="5"/>
  <c r="AD709" i="5"/>
  <c r="AG709" i="5" s="1"/>
  <c r="AC710" i="5"/>
  <c r="AE710" i="5" s="1"/>
  <c r="AF710" i="5" s="1"/>
  <c r="AG710" i="5" s="1"/>
  <c r="AG711" i="5"/>
  <c r="AC716" i="5"/>
  <c r="AE716" i="5" s="1"/>
  <c r="AF716" i="5" s="1"/>
  <c r="AD716" i="5"/>
  <c r="AC719" i="5"/>
  <c r="AE719" i="5" s="1"/>
  <c r="AF719" i="5" s="1"/>
  <c r="AG719" i="5" s="1"/>
  <c r="AG720" i="5"/>
  <c r="AC742" i="5"/>
  <c r="AE742" i="5" s="1"/>
  <c r="AF742" i="5" s="1"/>
  <c r="AD742" i="5"/>
  <c r="AC745" i="5"/>
  <c r="AE745" i="5" s="1"/>
  <c r="AF745" i="5" s="1"/>
  <c r="AG745" i="5" s="1"/>
  <c r="AG746" i="5"/>
  <c r="AC755" i="5"/>
  <c r="AE755" i="5" s="1"/>
  <c r="AF755" i="5" s="1"/>
  <c r="AD755" i="5"/>
  <c r="AC772" i="5"/>
  <c r="AE772" i="5" s="1"/>
  <c r="AF772" i="5" s="1"/>
  <c r="AG772" i="5" s="1"/>
  <c r="AG773" i="5"/>
  <c r="AC780" i="5"/>
  <c r="AE780" i="5" s="1"/>
  <c r="AF780" i="5" s="1"/>
  <c r="AG780" i="5" s="1"/>
  <c r="AG781" i="5"/>
  <c r="AD793" i="5"/>
  <c r="AC793" i="5"/>
  <c r="AE793" i="5" s="1"/>
  <c r="AF793" i="5" s="1"/>
  <c r="AD795" i="5"/>
  <c r="AC795" i="5"/>
  <c r="AE795" i="5" s="1"/>
  <c r="AF795" i="5" s="1"/>
  <c r="AD797" i="5"/>
  <c r="AC797" i="5"/>
  <c r="AE797" i="5" s="1"/>
  <c r="AF797" i="5" s="1"/>
  <c r="AD799" i="5"/>
  <c r="AC799" i="5"/>
  <c r="AE799" i="5" s="1"/>
  <c r="AF799" i="5" s="1"/>
  <c r="AD801" i="5"/>
  <c r="AC801" i="5"/>
  <c r="AE801" i="5" s="1"/>
  <c r="AF801" i="5" s="1"/>
  <c r="AD803" i="5"/>
  <c r="AC803" i="5"/>
  <c r="AE803" i="5" s="1"/>
  <c r="AF803" i="5" s="1"/>
  <c r="AD790" i="5"/>
  <c r="AG790" i="5" s="1"/>
  <c r="AD817" i="5"/>
  <c r="AG817" i="5" s="1"/>
  <c r="AD830" i="5"/>
  <c r="AG830" i="5" s="1"/>
  <c r="AD831" i="5"/>
  <c r="AG831" i="5" s="1"/>
  <c r="AD832" i="5"/>
  <c r="AG832" i="5" s="1"/>
  <c r="AD833" i="5"/>
  <c r="AG833" i="5" s="1"/>
  <c r="AG837" i="5"/>
  <c r="AG844" i="5"/>
  <c r="AD865" i="5"/>
  <c r="AC865" i="5"/>
  <c r="AE865" i="5" s="1"/>
  <c r="AF865" i="5" s="1"/>
  <c r="AG871" i="5"/>
  <c r="AG884" i="5"/>
  <c r="AG897" i="5"/>
  <c r="AG824" i="5"/>
  <c r="AD835" i="5"/>
  <c r="AC835" i="5"/>
  <c r="AE835" i="5" s="1"/>
  <c r="AF835" i="5" s="1"/>
  <c r="AC849" i="5"/>
  <c r="AE849" i="5" s="1"/>
  <c r="AF849" i="5" s="1"/>
  <c r="AD849" i="5"/>
  <c r="AC805" i="5"/>
  <c r="AE805" i="5" s="1"/>
  <c r="AF805" i="5" s="1"/>
  <c r="AG805" i="5" s="1"/>
  <c r="AC807" i="5"/>
  <c r="AE807" i="5" s="1"/>
  <c r="AF807" i="5" s="1"/>
  <c r="AG807" i="5" s="1"/>
  <c r="AC809" i="5"/>
  <c r="AE809" i="5" s="1"/>
  <c r="AF809" i="5" s="1"/>
  <c r="AG809" i="5" s="1"/>
  <c r="AC811" i="5"/>
  <c r="AE811" i="5" s="1"/>
  <c r="AF811" i="5" s="1"/>
  <c r="AG811" i="5" s="1"/>
  <c r="AG826" i="5"/>
  <c r="AG852" i="5"/>
  <c r="AG867" i="5"/>
  <c r="AC827" i="5"/>
  <c r="AE827" i="5" s="1"/>
  <c r="AF827" i="5" s="1"/>
  <c r="AG827" i="5" s="1"/>
  <c r="AD834" i="5"/>
  <c r="AG834" i="5" s="1"/>
  <c r="AC839" i="5"/>
  <c r="AE839" i="5" s="1"/>
  <c r="AF839" i="5" s="1"/>
  <c r="AG839" i="5" s="1"/>
  <c r="AG842" i="5"/>
  <c r="AG846" i="5"/>
  <c r="AC848" i="5"/>
  <c r="AE848" i="5" s="1"/>
  <c r="AF848" i="5" s="1"/>
  <c r="AG848" i="5" s="1"/>
  <c r="AD850" i="5"/>
  <c r="AC850" i="5"/>
  <c r="AE850" i="5" s="1"/>
  <c r="AF850" i="5" s="1"/>
  <c r="AD855" i="5"/>
  <c r="AG855" i="5" s="1"/>
  <c r="AC857" i="5"/>
  <c r="AE857" i="5" s="1"/>
  <c r="AF857" i="5" s="1"/>
  <c r="AD857" i="5"/>
  <c r="AC864" i="5"/>
  <c r="AE864" i="5" s="1"/>
  <c r="AF864" i="5" s="1"/>
  <c r="AD864" i="5"/>
  <c r="AG873" i="5"/>
  <c r="AG890" i="5"/>
  <c r="AG896" i="5"/>
  <c r="AG868" i="5"/>
  <c r="AG883" i="5"/>
  <c r="AG891" i="5"/>
  <c r="AG908" i="5"/>
  <c r="AC913" i="5"/>
  <c r="AE913" i="5" s="1"/>
  <c r="AF913" i="5" s="1"/>
  <c r="AD913" i="5"/>
  <c r="AG919" i="5"/>
  <c r="AG929" i="5"/>
  <c r="AG931" i="5"/>
  <c r="AG870" i="5"/>
  <c r="AG885" i="5"/>
  <c r="AG893" i="5"/>
  <c r="AC904" i="5"/>
  <c r="AE904" i="5" s="1"/>
  <c r="AF904" i="5" s="1"/>
  <c r="AD904" i="5"/>
  <c r="AC911" i="5"/>
  <c r="AE911" i="5" s="1"/>
  <c r="AF911" i="5" s="1"/>
  <c r="AD911" i="5"/>
  <c r="AD924" i="5"/>
  <c r="AC924" i="5"/>
  <c r="AE924" i="5" s="1"/>
  <c r="AF924" i="5" s="1"/>
  <c r="AD926" i="5"/>
  <c r="AC926" i="5"/>
  <c r="AE926" i="5" s="1"/>
  <c r="AF926" i="5" s="1"/>
  <c r="AD928" i="5"/>
  <c r="AC928" i="5"/>
  <c r="AE928" i="5" s="1"/>
  <c r="AF928" i="5" s="1"/>
  <c r="AD930" i="5"/>
  <c r="AC930" i="5"/>
  <c r="AE930" i="5" s="1"/>
  <c r="AF930" i="5" s="1"/>
  <c r="AC875" i="5"/>
  <c r="AE875" i="5" s="1"/>
  <c r="AF875" i="5" s="1"/>
  <c r="AG875" i="5" s="1"/>
  <c r="AD879" i="5"/>
  <c r="AG879" i="5" s="1"/>
  <c r="AC880" i="5"/>
  <c r="AE880" i="5" s="1"/>
  <c r="AF880" i="5" s="1"/>
  <c r="AG880" i="5" s="1"/>
  <c r="AD887" i="5"/>
  <c r="AG887" i="5" s="1"/>
  <c r="AC888" i="5"/>
  <c r="AE888" i="5" s="1"/>
  <c r="AF888" i="5" s="1"/>
  <c r="AG888" i="5" s="1"/>
  <c r="AC894" i="5"/>
  <c r="AE894" i="5" s="1"/>
  <c r="AF894" i="5" s="1"/>
  <c r="AG894" i="5" s="1"/>
  <c r="AC898" i="5"/>
  <c r="AE898" i="5" s="1"/>
  <c r="AF898" i="5" s="1"/>
  <c r="AG898" i="5" s="1"/>
  <c r="AC902" i="5"/>
  <c r="AE902" i="5" s="1"/>
  <c r="AF902" i="5" s="1"/>
  <c r="AD902" i="5"/>
  <c r="AD836" i="5"/>
  <c r="AG836" i="5" s="1"/>
  <c r="AC841" i="5"/>
  <c r="AE841" i="5" s="1"/>
  <c r="AF841" i="5" s="1"/>
  <c r="AG841" i="5" s="1"/>
  <c r="AD851" i="5"/>
  <c r="AG851" i="5" s="1"/>
  <c r="AC858" i="5"/>
  <c r="AE858" i="5" s="1"/>
  <c r="AF858" i="5" s="1"/>
  <c r="AG858" i="5" s="1"/>
  <c r="AC862" i="5"/>
  <c r="AE862" i="5" s="1"/>
  <c r="AF862" i="5" s="1"/>
  <c r="AG862" i="5" s="1"/>
  <c r="AD866" i="5"/>
  <c r="AG866" i="5" s="1"/>
  <c r="AD881" i="5"/>
  <c r="AG881" i="5" s="1"/>
  <c r="AD889" i="5"/>
  <c r="AG889" i="5" s="1"/>
  <c r="AC900" i="5"/>
  <c r="AE900" i="5" s="1"/>
  <c r="AF900" i="5" s="1"/>
  <c r="AD900" i="5"/>
  <c r="AC909" i="5"/>
  <c r="AE909" i="5" s="1"/>
  <c r="AF909" i="5" s="1"/>
  <c r="AG909" i="5" s="1"/>
  <c r="AG910" i="5"/>
  <c r="AC915" i="5"/>
  <c r="AE915" i="5" s="1"/>
  <c r="AF915" i="5" s="1"/>
  <c r="AD915" i="5"/>
  <c r="AG915" i="5" s="1"/>
  <c r="AG921" i="5"/>
  <c r="AG933" i="5"/>
  <c r="AG939" i="5"/>
  <c r="AG950" i="5"/>
  <c r="AD917" i="5"/>
  <c r="AG917" i="5" s="1"/>
  <c r="AC938" i="5"/>
  <c r="AE938" i="5" s="1"/>
  <c r="AF938" i="5" s="1"/>
  <c r="AG938" i="5" s="1"/>
  <c r="AD944" i="5"/>
  <c r="AG944" i="5" s="1"/>
  <c r="AC949" i="5"/>
  <c r="AE949" i="5" s="1"/>
  <c r="AF949" i="5" s="1"/>
  <c r="AG949" i="5" s="1"/>
  <c r="AD957" i="5"/>
  <c r="AC957" i="5"/>
  <c r="AE957" i="5" s="1"/>
  <c r="AF957" i="5" s="1"/>
  <c r="AD965" i="5"/>
  <c r="AC965" i="5"/>
  <c r="AE965" i="5" s="1"/>
  <c r="AF965" i="5" s="1"/>
  <c r="AC968" i="5"/>
  <c r="AE968" i="5" s="1"/>
  <c r="AF968" i="5" s="1"/>
  <c r="AG968" i="5" s="1"/>
  <c r="AC970" i="5"/>
  <c r="AE970" i="5" s="1"/>
  <c r="AF970" i="5" s="1"/>
  <c r="AG970" i="5" s="1"/>
  <c r="AC972" i="5"/>
  <c r="AE972" i="5" s="1"/>
  <c r="AF972" i="5" s="1"/>
  <c r="AG972" i="5" s="1"/>
  <c r="AC974" i="5"/>
  <c r="AE974" i="5" s="1"/>
  <c r="AF974" i="5" s="1"/>
  <c r="AG974" i="5" s="1"/>
  <c r="AD976" i="5"/>
  <c r="AC976" i="5"/>
  <c r="AE976" i="5" s="1"/>
  <c r="AF976" i="5" s="1"/>
  <c r="AC989" i="5"/>
  <c r="AE989" i="5" s="1"/>
  <c r="AF989" i="5" s="1"/>
  <c r="AD989" i="5"/>
  <c r="AG989" i="5" s="1"/>
  <c r="AD955" i="5"/>
  <c r="AC955" i="5"/>
  <c r="AE955" i="5" s="1"/>
  <c r="AF955" i="5" s="1"/>
  <c r="AD963" i="5"/>
  <c r="AC963" i="5"/>
  <c r="AE963" i="5" s="1"/>
  <c r="AF963" i="5" s="1"/>
  <c r="AC991" i="5"/>
  <c r="AE991" i="5" s="1"/>
  <c r="AF991" i="5" s="1"/>
  <c r="AD991" i="5"/>
  <c r="AC932" i="5"/>
  <c r="AE932" i="5" s="1"/>
  <c r="AF932" i="5" s="1"/>
  <c r="AG932" i="5" s="1"/>
  <c r="AC934" i="5"/>
  <c r="AE934" i="5" s="1"/>
  <c r="AF934" i="5" s="1"/>
  <c r="AG934" i="5" s="1"/>
  <c r="AG935" i="5"/>
  <c r="AC936" i="5"/>
  <c r="AE936" i="5" s="1"/>
  <c r="AF936" i="5" s="1"/>
  <c r="AG936" i="5" s="1"/>
  <c r="AD940" i="5"/>
  <c r="AG940" i="5" s="1"/>
  <c r="AC941" i="5"/>
  <c r="AE941" i="5" s="1"/>
  <c r="AF941" i="5" s="1"/>
  <c r="AG941" i="5" s="1"/>
  <c r="AC947" i="5"/>
  <c r="AE947" i="5" s="1"/>
  <c r="AF947" i="5" s="1"/>
  <c r="AG947" i="5" s="1"/>
  <c r="AC951" i="5"/>
  <c r="AE951" i="5" s="1"/>
  <c r="AF951" i="5" s="1"/>
  <c r="AG951" i="5" s="1"/>
  <c r="AD953" i="5"/>
  <c r="AC953" i="5"/>
  <c r="AE953" i="5" s="1"/>
  <c r="AF953" i="5" s="1"/>
  <c r="AD961" i="5"/>
  <c r="AC961" i="5"/>
  <c r="AE961" i="5" s="1"/>
  <c r="AF961" i="5" s="1"/>
  <c r="AG937" i="5"/>
  <c r="AG942" i="5"/>
  <c r="AD959" i="5"/>
  <c r="AC959" i="5"/>
  <c r="AE959" i="5" s="1"/>
  <c r="AF959" i="5" s="1"/>
  <c r="AD967" i="5"/>
  <c r="AC967" i="5"/>
  <c r="AE967" i="5" s="1"/>
  <c r="AF967" i="5" s="1"/>
  <c r="AC987" i="5"/>
  <c r="AE987" i="5" s="1"/>
  <c r="AF987" i="5" s="1"/>
  <c r="AD987" i="5"/>
  <c r="AG988" i="5"/>
  <c r="AC978" i="5"/>
  <c r="AE978" i="5" s="1"/>
  <c r="AF978" i="5" s="1"/>
  <c r="AG978" i="5" s="1"/>
  <c r="AC980" i="5"/>
  <c r="AE980" i="5" s="1"/>
  <c r="AF980" i="5" s="1"/>
  <c r="AG980" i="5" s="1"/>
  <c r="AC982" i="5"/>
  <c r="AE982" i="5" s="1"/>
  <c r="AF982" i="5" s="1"/>
  <c r="AG982" i="5" s="1"/>
  <c r="AC984" i="5"/>
  <c r="AE984" i="5" s="1"/>
  <c r="AF984" i="5" s="1"/>
  <c r="AG984" i="5" s="1"/>
  <c r="AD993" i="5"/>
  <c r="AG993" i="5" s="1"/>
  <c r="AD995" i="5"/>
  <c r="AG995" i="5" s="1"/>
  <c r="AD997" i="5"/>
  <c r="AG997" i="5" s="1"/>
  <c r="AD999" i="5"/>
  <c r="AG999" i="5" s="1"/>
  <c r="AD5" i="5"/>
  <c r="AG5" i="5" s="1"/>
  <c r="AM2" i="5"/>
  <c r="AN2" i="5" s="1"/>
  <c r="AO2" i="5" s="1"/>
  <c r="AF11" i="10"/>
  <c r="AH11" i="10" s="1"/>
  <c r="AI11" i="10" s="1"/>
  <c r="AJ34" i="10"/>
  <c r="AJ98" i="10"/>
  <c r="AJ219" i="10"/>
  <c r="AJ243" i="10"/>
  <c r="AJ285" i="10"/>
  <c r="AJ287" i="10"/>
  <c r="AJ299" i="10"/>
  <c r="AJ305" i="10"/>
  <c r="AJ307" i="10"/>
  <c r="AG322" i="10"/>
  <c r="AF322" i="10"/>
  <c r="AH322" i="10" s="1"/>
  <c r="AI322" i="10" s="1"/>
  <c r="AG333" i="10"/>
  <c r="AJ333" i="10" s="1"/>
  <c r="AF333" i="10"/>
  <c r="AH333" i="10" s="1"/>
  <c r="AI333" i="10" s="1"/>
  <c r="AJ337" i="10"/>
  <c r="AJ343" i="10"/>
  <c r="AJ381" i="10"/>
  <c r="AJ387" i="10"/>
  <c r="AJ405" i="10"/>
  <c r="AJ419" i="10"/>
  <c r="AJ437" i="10"/>
  <c r="AJ447" i="10"/>
  <c r="AG455" i="10"/>
  <c r="AJ455" i="10" s="1"/>
  <c r="AF455" i="10"/>
  <c r="AH455" i="10" s="1"/>
  <c r="AI455" i="10" s="1"/>
  <c r="AJ478" i="10"/>
  <c r="AF495" i="10"/>
  <c r="AH495" i="10" s="1"/>
  <c r="AI495" i="10" s="1"/>
  <c r="AG495" i="10"/>
  <c r="AJ501" i="10"/>
  <c r="AG503" i="10"/>
  <c r="AJ503" i="10" s="1"/>
  <c r="AF503" i="10"/>
  <c r="AH503" i="10" s="1"/>
  <c r="AI503" i="10" s="1"/>
  <c r="AG510" i="10"/>
  <c r="AJ510" i="10" s="1"/>
  <c r="AF510" i="10"/>
  <c r="AH510" i="10" s="1"/>
  <c r="AI510" i="10" s="1"/>
  <c r="AG530" i="10"/>
  <c r="AJ530" i="10" s="1"/>
  <c r="AF530" i="10"/>
  <c r="AH530" i="10" s="1"/>
  <c r="AI530" i="10" s="1"/>
  <c r="AJ545" i="10"/>
  <c r="AF551" i="10"/>
  <c r="AH551" i="10" s="1"/>
  <c r="AI551" i="10" s="1"/>
  <c r="AG551" i="10"/>
  <c r="AJ551" i="10" s="1"/>
  <c r="AF591" i="10"/>
  <c r="AH591" i="10" s="1"/>
  <c r="AI591" i="10" s="1"/>
  <c r="AG591" i="10"/>
  <c r="AG619" i="10"/>
  <c r="AF619" i="10"/>
  <c r="AH619" i="10" s="1"/>
  <c r="AI619" i="10" s="1"/>
  <c r="AJ619" i="10" s="1"/>
  <c r="AF647" i="10"/>
  <c r="AH647" i="10" s="1"/>
  <c r="AI647" i="10" s="1"/>
  <c r="AG647" i="10"/>
  <c r="AF678" i="10"/>
  <c r="AH678" i="10" s="1"/>
  <c r="AI678" i="10" s="1"/>
  <c r="AG678" i="10"/>
  <c r="AJ769" i="10"/>
  <c r="AF779" i="10"/>
  <c r="AH779" i="10" s="1"/>
  <c r="AI779" i="10" s="1"/>
  <c r="AG779" i="10"/>
  <c r="AG824" i="10"/>
  <c r="AJ824" i="10" s="1"/>
  <c r="AF824" i="10"/>
  <c r="AH824" i="10" s="1"/>
  <c r="AI824" i="10" s="1"/>
  <c r="AG998" i="10"/>
  <c r="AJ998" i="10" s="1"/>
  <c r="AF998" i="10"/>
  <c r="AH998" i="10" s="1"/>
  <c r="AI998" i="10" s="1"/>
  <c r="AJ14" i="10"/>
  <c r="AJ22" i="10"/>
  <c r="AJ30" i="10"/>
  <c r="AJ38" i="10"/>
  <c r="AJ46" i="10"/>
  <c r="AJ54" i="10"/>
  <c r="AJ62" i="10"/>
  <c r="AJ70" i="10"/>
  <c r="AJ78" i="10"/>
  <c r="AJ86" i="10"/>
  <c r="AJ94" i="10"/>
  <c r="AG236" i="10"/>
  <c r="AJ236" i="10" s="1"/>
  <c r="AF236" i="10"/>
  <c r="AH236" i="10" s="1"/>
  <c r="AI236" i="10" s="1"/>
  <c r="AJ259" i="10"/>
  <c r="AJ283" i="10"/>
  <c r="AJ289" i="10"/>
  <c r="AJ291" i="10"/>
  <c r="AG314" i="10"/>
  <c r="AJ314" i="10" s="1"/>
  <c r="AF314" i="10"/>
  <c r="AH314" i="10" s="1"/>
  <c r="AI314" i="10" s="1"/>
  <c r="AG327" i="10"/>
  <c r="AJ327" i="10" s="1"/>
  <c r="AF327" i="10"/>
  <c r="AH327" i="10" s="1"/>
  <c r="AI327" i="10" s="1"/>
  <c r="AG352" i="10"/>
  <c r="AJ352" i="10" s="1"/>
  <c r="AF352" i="10"/>
  <c r="AH352" i="10" s="1"/>
  <c r="AI352" i="10" s="1"/>
  <c r="AG367" i="10"/>
  <c r="AJ367" i="10" s="1"/>
  <c r="AF367" i="10"/>
  <c r="AH367" i="10" s="1"/>
  <c r="AI367" i="10" s="1"/>
  <c r="AG377" i="10"/>
  <c r="AJ377" i="10" s="1"/>
  <c r="AF377" i="10"/>
  <c r="AH377" i="10" s="1"/>
  <c r="AI377" i="10" s="1"/>
  <c r="AG410" i="10"/>
  <c r="AF410" i="10"/>
  <c r="AH410" i="10" s="1"/>
  <c r="AI410" i="10" s="1"/>
  <c r="AJ473" i="10"/>
  <c r="AG475" i="10"/>
  <c r="AF475" i="10"/>
  <c r="AH475" i="10" s="1"/>
  <c r="AI475" i="10" s="1"/>
  <c r="AG482" i="10"/>
  <c r="AF482" i="10"/>
  <c r="AH482" i="10" s="1"/>
  <c r="AI482" i="10" s="1"/>
  <c r="AG533" i="10"/>
  <c r="AF533" i="10"/>
  <c r="AH533" i="10" s="1"/>
  <c r="AI533" i="10" s="1"/>
  <c r="AG562" i="10"/>
  <c r="AF562" i="10"/>
  <c r="AH562" i="10" s="1"/>
  <c r="AI562" i="10" s="1"/>
  <c r="AF658" i="10"/>
  <c r="AH658" i="10" s="1"/>
  <c r="AI658" i="10" s="1"/>
  <c r="AG658" i="10"/>
  <c r="AF665" i="10"/>
  <c r="AH665" i="10" s="1"/>
  <c r="AI665" i="10" s="1"/>
  <c r="AG665" i="10"/>
  <c r="AF726" i="10"/>
  <c r="AH726" i="10" s="1"/>
  <c r="AI726" i="10" s="1"/>
  <c r="AG726" i="10"/>
  <c r="AF894" i="10"/>
  <c r="AH894" i="10" s="1"/>
  <c r="AI894" i="10" s="1"/>
  <c r="AG894" i="10"/>
  <c r="AG974" i="10"/>
  <c r="AJ974" i="10" s="1"/>
  <c r="AF974" i="10"/>
  <c r="AH974" i="10" s="1"/>
  <c r="AI974" i="10" s="1"/>
  <c r="AG980" i="10"/>
  <c r="AJ980" i="10" s="1"/>
  <c r="AF980" i="10"/>
  <c r="AH980" i="10" s="1"/>
  <c r="AI980" i="10" s="1"/>
  <c r="AG983" i="10"/>
  <c r="AJ983" i="10" s="1"/>
  <c r="AF983" i="10"/>
  <c r="AH983" i="10" s="1"/>
  <c r="AI983" i="10" s="1"/>
  <c r="AF10" i="10"/>
  <c r="AH10" i="10" s="1"/>
  <c r="AI10" i="10" s="1"/>
  <c r="AJ10" i="10" s="1"/>
  <c r="AF18" i="10"/>
  <c r="AH18" i="10" s="1"/>
  <c r="AI18" i="10" s="1"/>
  <c r="AJ18" i="10" s="1"/>
  <c r="AF26" i="10"/>
  <c r="AH26" i="10" s="1"/>
  <c r="AI26" i="10" s="1"/>
  <c r="AJ26" i="10" s="1"/>
  <c r="AF34" i="10"/>
  <c r="AH34" i="10" s="1"/>
  <c r="AI34" i="10" s="1"/>
  <c r="AF42" i="10"/>
  <c r="AH42" i="10" s="1"/>
  <c r="AI42" i="10" s="1"/>
  <c r="AJ42" i="10" s="1"/>
  <c r="AF50" i="10"/>
  <c r="AH50" i="10" s="1"/>
  <c r="AI50" i="10" s="1"/>
  <c r="AJ50" i="10" s="1"/>
  <c r="AF58" i="10"/>
  <c r="AH58" i="10" s="1"/>
  <c r="AI58" i="10" s="1"/>
  <c r="AJ58" i="10" s="1"/>
  <c r="AF66" i="10"/>
  <c r="AH66" i="10" s="1"/>
  <c r="AI66" i="10" s="1"/>
  <c r="AJ66" i="10" s="1"/>
  <c r="AF74" i="10"/>
  <c r="AH74" i="10" s="1"/>
  <c r="AI74" i="10" s="1"/>
  <c r="AJ74" i="10" s="1"/>
  <c r="AF82" i="10"/>
  <c r="AH82" i="10" s="1"/>
  <c r="AI82" i="10" s="1"/>
  <c r="AJ82" i="10" s="1"/>
  <c r="AF90" i="10"/>
  <c r="AH90" i="10" s="1"/>
  <c r="AI90" i="10" s="1"/>
  <c r="AJ90" i="10" s="1"/>
  <c r="AF98" i="10"/>
  <c r="AH98" i="10" s="1"/>
  <c r="AI98" i="10" s="1"/>
  <c r="AJ100" i="10"/>
  <c r="AF101" i="10"/>
  <c r="AH101" i="10" s="1"/>
  <c r="AI101" i="10" s="1"/>
  <c r="AF103" i="10"/>
  <c r="AH103" i="10" s="1"/>
  <c r="AI103" i="10" s="1"/>
  <c r="AJ103" i="10" s="1"/>
  <c r="AF104" i="10"/>
  <c r="AH104" i="10" s="1"/>
  <c r="AI104" i="10" s="1"/>
  <c r="AJ116" i="10"/>
  <c r="AF117" i="10"/>
  <c r="AH117" i="10" s="1"/>
  <c r="AI117" i="10" s="1"/>
  <c r="AF119" i="10"/>
  <c r="AH119" i="10" s="1"/>
  <c r="AI119" i="10" s="1"/>
  <c r="AJ119" i="10" s="1"/>
  <c r="AF120" i="10"/>
  <c r="AH120" i="10" s="1"/>
  <c r="AI120" i="10" s="1"/>
  <c r="AJ132" i="10"/>
  <c r="AF133" i="10"/>
  <c r="AH133" i="10" s="1"/>
  <c r="AI133" i="10" s="1"/>
  <c r="AF135" i="10"/>
  <c r="AH135" i="10" s="1"/>
  <c r="AI135" i="10" s="1"/>
  <c r="AJ135" i="10" s="1"/>
  <c r="AF136" i="10"/>
  <c r="AH136" i="10" s="1"/>
  <c r="AI136" i="10" s="1"/>
  <c r="AJ148" i="10"/>
  <c r="AF149" i="10"/>
  <c r="AH149" i="10" s="1"/>
  <c r="AI149" i="10" s="1"/>
  <c r="AF151" i="10"/>
  <c r="AH151" i="10" s="1"/>
  <c r="AI151" i="10" s="1"/>
  <c r="AJ151" i="10" s="1"/>
  <c r="AF152" i="10"/>
  <c r="AH152" i="10" s="1"/>
  <c r="AI152" i="10" s="1"/>
  <c r="AJ164" i="10"/>
  <c r="AF165" i="10"/>
  <c r="AH165" i="10" s="1"/>
  <c r="AI165" i="10" s="1"/>
  <c r="AF167" i="10"/>
  <c r="AH167" i="10" s="1"/>
  <c r="AI167" i="10" s="1"/>
  <c r="AJ167" i="10" s="1"/>
  <c r="AF168" i="10"/>
  <c r="AH168" i="10" s="1"/>
  <c r="AI168" i="10" s="1"/>
  <c r="AJ180" i="10"/>
  <c r="AF181" i="10"/>
  <c r="AH181" i="10" s="1"/>
  <c r="AI181" i="10" s="1"/>
  <c r="AF183" i="10"/>
  <c r="AH183" i="10" s="1"/>
  <c r="AI183" i="10" s="1"/>
  <c r="AJ183" i="10" s="1"/>
  <c r="AF184" i="10"/>
  <c r="AH184" i="10" s="1"/>
  <c r="AI184" i="10" s="1"/>
  <c r="AJ196" i="10"/>
  <c r="AF197" i="10"/>
  <c r="AH197" i="10" s="1"/>
  <c r="AI197" i="10" s="1"/>
  <c r="AF199" i="10"/>
  <c r="AH199" i="10" s="1"/>
  <c r="AI199" i="10" s="1"/>
  <c r="AJ199" i="10" s="1"/>
  <c r="AF200" i="10"/>
  <c r="AH200" i="10" s="1"/>
  <c r="AI200" i="10" s="1"/>
  <c r="AJ212" i="10"/>
  <c r="AF213" i="10"/>
  <c r="AH213" i="10" s="1"/>
  <c r="AI213" i="10" s="1"/>
  <c r="AF215" i="10"/>
  <c r="AH215" i="10" s="1"/>
  <c r="AI215" i="10" s="1"/>
  <c r="AJ215" i="10" s="1"/>
  <c r="AF216" i="10"/>
  <c r="AH216" i="10" s="1"/>
  <c r="AI216" i="10" s="1"/>
  <c r="AF228" i="10"/>
  <c r="AH228" i="10" s="1"/>
  <c r="AI228" i="10" s="1"/>
  <c r="AJ228" i="10" s="1"/>
  <c r="AF240" i="10"/>
  <c r="AH240" i="10" s="1"/>
  <c r="AI240" i="10" s="1"/>
  <c r="AJ240" i="10" s="1"/>
  <c r="AJ244" i="10"/>
  <c r="AG252" i="10"/>
  <c r="AF252" i="10"/>
  <c r="AH252" i="10" s="1"/>
  <c r="AI252" i="10" s="1"/>
  <c r="AJ252" i="10" s="1"/>
  <c r="AJ256" i="10"/>
  <c r="AG265" i="10"/>
  <c r="AJ265" i="10" s="1"/>
  <c r="AF269" i="10"/>
  <c r="AH269" i="10" s="1"/>
  <c r="AI269" i="10" s="1"/>
  <c r="AF273" i="10"/>
  <c r="AH273" i="10" s="1"/>
  <c r="AI273" i="10" s="1"/>
  <c r="AF275" i="10"/>
  <c r="AH275" i="10" s="1"/>
  <c r="AI275" i="10" s="1"/>
  <c r="AJ275" i="10" s="1"/>
  <c r="AF277" i="10"/>
  <c r="AH277" i="10" s="1"/>
  <c r="AI277" i="10" s="1"/>
  <c r="AJ277" i="10" s="1"/>
  <c r="AF278" i="10"/>
  <c r="AH278" i="10" s="1"/>
  <c r="AI278" i="10" s="1"/>
  <c r="AF283" i="10"/>
  <c r="AH283" i="10" s="1"/>
  <c r="AI283" i="10" s="1"/>
  <c r="AJ288" i="10"/>
  <c r="AG298" i="10"/>
  <c r="AF298" i="10"/>
  <c r="AH298" i="10" s="1"/>
  <c r="AI298" i="10" s="1"/>
  <c r="AF304" i="10"/>
  <c r="AH304" i="10" s="1"/>
  <c r="AI304" i="10" s="1"/>
  <c r="AJ304" i="10" s="1"/>
  <c r="AG306" i="10"/>
  <c r="AF306" i="10"/>
  <c r="AH306" i="10" s="1"/>
  <c r="AI306" i="10" s="1"/>
  <c r="AF316" i="10"/>
  <c r="AH316" i="10" s="1"/>
  <c r="AI316" i="10" s="1"/>
  <c r="AJ316" i="10" s="1"/>
  <c r="AJ317" i="10"/>
  <c r="AJ319" i="10"/>
  <c r="AG321" i="10"/>
  <c r="AJ321" i="10" s="1"/>
  <c r="AF321" i="10"/>
  <c r="AH321" i="10" s="1"/>
  <c r="AI321" i="10" s="1"/>
  <c r="AG334" i="10"/>
  <c r="AF334" i="10"/>
  <c r="AH334" i="10" s="1"/>
  <c r="AI334" i="10" s="1"/>
  <c r="AJ344" i="10"/>
  <c r="AJ345" i="10"/>
  <c r="AJ347" i="10"/>
  <c r="AJ349" i="10"/>
  <c r="AF358" i="10"/>
  <c r="AH358" i="10" s="1"/>
  <c r="AI358" i="10" s="1"/>
  <c r="AJ365" i="10"/>
  <c r="AJ369" i="10"/>
  <c r="AJ371" i="10"/>
  <c r="AF386" i="10"/>
  <c r="AH386" i="10" s="1"/>
  <c r="AI386" i="10" s="1"/>
  <c r="AJ386" i="10" s="1"/>
  <c r="AG391" i="10"/>
  <c r="AF391" i="10"/>
  <c r="AH391" i="10" s="1"/>
  <c r="AI391" i="10" s="1"/>
  <c r="AF413" i="10"/>
  <c r="AH413" i="10" s="1"/>
  <c r="AI413" i="10" s="1"/>
  <c r="AJ413" i="10" s="1"/>
  <c r="AF418" i="10"/>
  <c r="AH418" i="10" s="1"/>
  <c r="AI418" i="10" s="1"/>
  <c r="AJ418" i="10" s="1"/>
  <c r="AG423" i="10"/>
  <c r="AF423" i="10"/>
  <c r="AH423" i="10" s="1"/>
  <c r="AI423" i="10" s="1"/>
  <c r="AF442" i="10"/>
  <c r="AH442" i="10" s="1"/>
  <c r="AI442" i="10" s="1"/>
  <c r="AF446" i="10"/>
  <c r="AH446" i="10" s="1"/>
  <c r="AI446" i="10" s="1"/>
  <c r="AJ446" i="10" s="1"/>
  <c r="AF459" i="10"/>
  <c r="AH459" i="10" s="1"/>
  <c r="AI459" i="10" s="1"/>
  <c r="AG459" i="10"/>
  <c r="AJ459" i="10" s="1"/>
  <c r="AJ471" i="10"/>
  <c r="AF473" i="10"/>
  <c r="AH473" i="10" s="1"/>
  <c r="AI473" i="10" s="1"/>
  <c r="AG499" i="10"/>
  <c r="AF499" i="10"/>
  <c r="AH499" i="10" s="1"/>
  <c r="AI499" i="10" s="1"/>
  <c r="AJ499" i="10" s="1"/>
  <c r="AG505" i="10"/>
  <c r="AF505" i="10"/>
  <c r="AH505" i="10" s="1"/>
  <c r="AI505" i="10" s="1"/>
  <c r="AJ511" i="10"/>
  <c r="AJ539" i="10"/>
  <c r="AF543" i="10"/>
  <c r="AH543" i="10" s="1"/>
  <c r="AI543" i="10" s="1"/>
  <c r="AJ543" i="10" s="1"/>
  <c r="AF577" i="10"/>
  <c r="AH577" i="10" s="1"/>
  <c r="AI577" i="10" s="1"/>
  <c r="AG577" i="10"/>
  <c r="AJ577" i="10" s="1"/>
  <c r="AJ595" i="10"/>
  <c r="AG599" i="10"/>
  <c r="AJ599" i="10" s="1"/>
  <c r="AG603" i="10"/>
  <c r="AJ603" i="10" s="1"/>
  <c r="AG607" i="10"/>
  <c r="AJ607" i="10" s="1"/>
  <c r="AF610" i="10"/>
  <c r="AH610" i="10" s="1"/>
  <c r="AI610" i="10" s="1"/>
  <c r="AJ610" i="10" s="1"/>
  <c r="AG610" i="10"/>
  <c r="AF621" i="10"/>
  <c r="AH621" i="10" s="1"/>
  <c r="AI621" i="10" s="1"/>
  <c r="AG621" i="10"/>
  <c r="AF630" i="10"/>
  <c r="AH630" i="10" s="1"/>
  <c r="AI630" i="10" s="1"/>
  <c r="AG630" i="10"/>
  <c r="AG655" i="10"/>
  <c r="AG663" i="10"/>
  <c r="AF671" i="10"/>
  <c r="AH671" i="10" s="1"/>
  <c r="AI671" i="10" s="1"/>
  <c r="AG671" i="10"/>
  <c r="AG703" i="10"/>
  <c r="AJ703" i="10" s="1"/>
  <c r="AF759" i="10"/>
  <c r="AH759" i="10" s="1"/>
  <c r="AI759" i="10" s="1"/>
  <c r="AG759" i="10"/>
  <c r="AJ759" i="10" s="1"/>
  <c r="AJ785" i="10"/>
  <c r="AG788" i="10"/>
  <c r="AF788" i="10"/>
  <c r="AH788" i="10" s="1"/>
  <c r="AI788" i="10" s="1"/>
  <c r="AG797" i="10"/>
  <c r="AJ797" i="10" s="1"/>
  <c r="AF797" i="10"/>
  <c r="AH797" i="10" s="1"/>
  <c r="AI797" i="10" s="1"/>
  <c r="AF876" i="10"/>
  <c r="AH876" i="10" s="1"/>
  <c r="AI876" i="10" s="1"/>
  <c r="AG876" i="10"/>
  <c r="AJ876" i="10" s="1"/>
  <c r="AF887" i="10"/>
  <c r="AH887" i="10" s="1"/>
  <c r="AI887" i="10" s="1"/>
  <c r="AG887" i="10"/>
  <c r="AG937" i="10"/>
  <c r="AF937" i="10"/>
  <c r="AH937" i="10" s="1"/>
  <c r="AI937" i="10" s="1"/>
  <c r="AG940" i="10"/>
  <c r="AF940" i="10"/>
  <c r="AH940" i="10" s="1"/>
  <c r="AI940" i="10" s="1"/>
  <c r="AG949" i="10"/>
  <c r="AJ949" i="10" s="1"/>
  <c r="AF949" i="10"/>
  <c r="AH949" i="10" s="1"/>
  <c r="AI949" i="10" s="1"/>
  <c r="AG952" i="10"/>
  <c r="AJ952" i="10" s="1"/>
  <c r="AF952" i="10"/>
  <c r="AH952" i="10" s="1"/>
  <c r="AI952" i="10" s="1"/>
  <c r="AJ11" i="10"/>
  <c r="AJ112" i="10"/>
  <c r="AJ128" i="10"/>
  <c r="AJ144" i="10"/>
  <c r="AJ160" i="10"/>
  <c r="AJ176" i="10"/>
  <c r="AJ192" i="10"/>
  <c r="AJ208" i="10"/>
  <c r="AJ224" i="10"/>
  <c r="AJ227" i="10"/>
  <c r="AJ260" i="10"/>
  <c r="AG268" i="10"/>
  <c r="AF268" i="10"/>
  <c r="AH268" i="10" s="1"/>
  <c r="AI268" i="10" s="1"/>
  <c r="AJ272" i="10"/>
  <c r="AG282" i="10"/>
  <c r="AJ282" i="10" s="1"/>
  <c r="AF282" i="10"/>
  <c r="AH282" i="10" s="1"/>
  <c r="AI282" i="10" s="1"/>
  <c r="AG290" i="10"/>
  <c r="AF290" i="10"/>
  <c r="AH290" i="10" s="1"/>
  <c r="AI290" i="10" s="1"/>
  <c r="AJ301" i="10"/>
  <c r="AJ303" i="10"/>
  <c r="AJ315" i="10"/>
  <c r="AG325" i="10"/>
  <c r="AF325" i="10"/>
  <c r="AH325" i="10" s="1"/>
  <c r="AI325" i="10" s="1"/>
  <c r="AG328" i="10"/>
  <c r="AF328" i="10"/>
  <c r="AH328" i="10" s="1"/>
  <c r="AI328" i="10" s="1"/>
  <c r="AG330" i="10"/>
  <c r="AF330" i="10"/>
  <c r="AH330" i="10" s="1"/>
  <c r="AI330" i="10" s="1"/>
  <c r="AG340" i="10"/>
  <c r="AF340" i="10"/>
  <c r="AH340" i="10" s="1"/>
  <c r="AI340" i="10" s="1"/>
  <c r="AG342" i="10"/>
  <c r="AF342" i="10"/>
  <c r="AH342" i="10" s="1"/>
  <c r="AI342" i="10" s="1"/>
  <c r="AJ342" i="10" s="1"/>
  <c r="AJ346" i="10"/>
  <c r="AG355" i="10"/>
  <c r="AJ355" i="10" s="1"/>
  <c r="AF355" i="10"/>
  <c r="AH355" i="10" s="1"/>
  <c r="AI355" i="10" s="1"/>
  <c r="AJ361" i="10"/>
  <c r="AG364" i="10"/>
  <c r="AF364" i="10"/>
  <c r="AH364" i="10" s="1"/>
  <c r="AI364" i="10" s="1"/>
  <c r="AG379" i="10"/>
  <c r="AF379" i="10"/>
  <c r="AH379" i="10" s="1"/>
  <c r="AI379" i="10" s="1"/>
  <c r="AJ379" i="10" s="1"/>
  <c r="AJ389" i="10"/>
  <c r="AG403" i="10"/>
  <c r="AF403" i="10"/>
  <c r="AH403" i="10" s="1"/>
  <c r="AI403" i="10" s="1"/>
  <c r="AG409" i="10"/>
  <c r="AJ409" i="10" s="1"/>
  <c r="AF409" i="10"/>
  <c r="AH409" i="10" s="1"/>
  <c r="AI409" i="10" s="1"/>
  <c r="AJ421" i="10"/>
  <c r="AG435" i="10"/>
  <c r="AF435" i="10"/>
  <c r="AH435" i="10" s="1"/>
  <c r="AI435" i="10" s="1"/>
  <c r="AJ435" i="10" s="1"/>
  <c r="AJ441" i="10"/>
  <c r="AJ445" i="10"/>
  <c r="AJ453" i="10"/>
  <c r="AJ463" i="10"/>
  <c r="AJ465" i="10"/>
  <c r="AG477" i="10"/>
  <c r="AF477" i="10"/>
  <c r="AH477" i="10" s="1"/>
  <c r="AI477" i="10" s="1"/>
  <c r="AJ493" i="10"/>
  <c r="AF529" i="10"/>
  <c r="AH529" i="10" s="1"/>
  <c r="AI529" i="10" s="1"/>
  <c r="AG529" i="10"/>
  <c r="AJ529" i="10" s="1"/>
  <c r="AG538" i="10"/>
  <c r="AF538" i="10"/>
  <c r="AH538" i="10" s="1"/>
  <c r="AI538" i="10" s="1"/>
  <c r="AJ549" i="10"/>
  <c r="AF623" i="10"/>
  <c r="AH623" i="10" s="1"/>
  <c r="AI623" i="10" s="1"/>
  <c r="AG623" i="10"/>
  <c r="AJ623" i="10" s="1"/>
  <c r="AF696" i="10"/>
  <c r="AH696" i="10" s="1"/>
  <c r="AI696" i="10" s="1"/>
  <c r="AJ696" i="10" s="1"/>
  <c r="AG696" i="10"/>
  <c r="AF823" i="10"/>
  <c r="AH823" i="10" s="1"/>
  <c r="AI823" i="10" s="1"/>
  <c r="AG823" i="10"/>
  <c r="AF866" i="10"/>
  <c r="AH866" i="10" s="1"/>
  <c r="AI866" i="10" s="1"/>
  <c r="AG866" i="10"/>
  <c r="AJ376" i="10"/>
  <c r="AJ378" i="10"/>
  <c r="AG466" i="10"/>
  <c r="AJ466" i="10" s="1"/>
  <c r="AF466" i="10"/>
  <c r="AH466" i="10" s="1"/>
  <c r="AI466" i="10" s="1"/>
  <c r="AJ485" i="10"/>
  <c r="AJ509" i="10"/>
  <c r="AJ514" i="10"/>
  <c r="AJ515" i="10"/>
  <c r="AJ521" i="10"/>
  <c r="AJ527" i="10"/>
  <c r="AJ537" i="10"/>
  <c r="AJ542" i="10"/>
  <c r="AJ575" i="10"/>
  <c r="AG594" i="10"/>
  <c r="AF594" i="10"/>
  <c r="AH594" i="10" s="1"/>
  <c r="AI594" i="10" s="1"/>
  <c r="AJ632" i="10"/>
  <c r="AF642" i="10"/>
  <c r="AH642" i="10" s="1"/>
  <c r="AI642" i="10" s="1"/>
  <c r="AG642" i="10"/>
  <c r="AF654" i="10"/>
  <c r="AH654" i="10" s="1"/>
  <c r="AI654" i="10" s="1"/>
  <c r="AJ654" i="10" s="1"/>
  <c r="AG654" i="10"/>
  <c r="AJ679" i="10"/>
  <c r="AG683" i="10"/>
  <c r="AF683" i="10"/>
  <c r="AH683" i="10" s="1"/>
  <c r="AI683" i="10" s="1"/>
  <c r="AF688" i="10"/>
  <c r="AH688" i="10" s="1"/>
  <c r="AI688" i="10" s="1"/>
  <c r="AG688" i="10"/>
  <c r="AJ688" i="10" s="1"/>
  <c r="AF704" i="10"/>
  <c r="AH704" i="10" s="1"/>
  <c r="AI704" i="10" s="1"/>
  <c r="AG704" i="10"/>
  <c r="AJ704" i="10" s="1"/>
  <c r="AF729" i="10"/>
  <c r="AH729" i="10" s="1"/>
  <c r="AI729" i="10" s="1"/>
  <c r="AG729" i="10"/>
  <c r="AG768" i="10"/>
  <c r="AF768" i="10"/>
  <c r="AH768" i="10" s="1"/>
  <c r="AI768" i="10" s="1"/>
  <c r="AG772" i="10"/>
  <c r="AF772" i="10"/>
  <c r="AH772" i="10" s="1"/>
  <c r="AI772" i="10" s="1"/>
  <c r="AG777" i="10"/>
  <c r="AF777" i="10"/>
  <c r="AH777" i="10" s="1"/>
  <c r="AI777" i="10" s="1"/>
  <c r="AG803" i="10"/>
  <c r="AF803" i="10"/>
  <c r="AH803" i="10" s="1"/>
  <c r="AI803" i="10" s="1"/>
  <c r="AF809" i="10"/>
  <c r="AH809" i="10" s="1"/>
  <c r="AI809" i="10" s="1"/>
  <c r="AG809" i="10"/>
  <c r="AF819" i="10"/>
  <c r="AH819" i="10" s="1"/>
  <c r="AI819" i="10" s="1"/>
  <c r="AG819" i="10"/>
  <c r="AJ819" i="10" s="1"/>
  <c r="AF845" i="10"/>
  <c r="AH845" i="10" s="1"/>
  <c r="AI845" i="10" s="1"/>
  <c r="AG845" i="10"/>
  <c r="AJ845" i="10" s="1"/>
  <c r="AG885" i="10"/>
  <c r="AF885" i="10"/>
  <c r="AH885" i="10" s="1"/>
  <c r="AI885" i="10" s="1"/>
  <c r="AF890" i="10"/>
  <c r="AH890" i="10" s="1"/>
  <c r="AI890" i="10" s="1"/>
  <c r="AG890" i="10"/>
  <c r="AJ890" i="10" s="1"/>
  <c r="AF898" i="10"/>
  <c r="AH898" i="10" s="1"/>
  <c r="AI898" i="10" s="1"/>
  <c r="AG898" i="10"/>
  <c r="AG913" i="10"/>
  <c r="AF913" i="10"/>
  <c r="AH913" i="10" s="1"/>
  <c r="AI913" i="10" s="1"/>
  <c r="AG917" i="10"/>
  <c r="AF917" i="10"/>
  <c r="AH917" i="10" s="1"/>
  <c r="AI917" i="10" s="1"/>
  <c r="AG992" i="10"/>
  <c r="AF992" i="10"/>
  <c r="AH992" i="10" s="1"/>
  <c r="AI992" i="10" s="1"/>
  <c r="AJ992" i="10" s="1"/>
  <c r="AG1000" i="10"/>
  <c r="AF1000" i="10"/>
  <c r="AH1000" i="10" s="1"/>
  <c r="AI1000" i="10" s="1"/>
  <c r="AJ360" i="10"/>
  <c r="AJ362" i="10"/>
  <c r="AJ363" i="10"/>
  <c r="AJ395" i="10"/>
  <c r="AJ399" i="10"/>
  <c r="AJ427" i="10"/>
  <c r="AJ431" i="10"/>
  <c r="AJ450" i="10"/>
  <c r="AJ451" i="10"/>
  <c r="AJ461" i="10"/>
  <c r="AJ469" i="10"/>
  <c r="AJ479" i="10"/>
  <c r="AG498" i="10"/>
  <c r="AF498" i="10"/>
  <c r="AH498" i="10" s="1"/>
  <c r="AI498" i="10" s="1"/>
  <c r="AJ517" i="10"/>
  <c r="AJ541" i="10"/>
  <c r="AJ546" i="10"/>
  <c r="AJ547" i="10"/>
  <c r="AJ559" i="10"/>
  <c r="AG578" i="10"/>
  <c r="AF578" i="10"/>
  <c r="AH578" i="10" s="1"/>
  <c r="AI578" i="10" s="1"/>
  <c r="AJ597" i="10"/>
  <c r="AJ601" i="10"/>
  <c r="AJ605" i="10"/>
  <c r="AF624" i="10"/>
  <c r="AH624" i="10" s="1"/>
  <c r="AI624" i="10" s="1"/>
  <c r="AG624" i="10"/>
  <c r="AF633" i="10"/>
  <c r="AH633" i="10" s="1"/>
  <c r="AI633" i="10" s="1"/>
  <c r="AG633" i="10"/>
  <c r="AJ633" i="10" s="1"/>
  <c r="AF646" i="10"/>
  <c r="AH646" i="10" s="1"/>
  <c r="AI646" i="10" s="1"/>
  <c r="AG646" i="10"/>
  <c r="AJ646" i="10" s="1"/>
  <c r="AG651" i="10"/>
  <c r="AF651" i="10"/>
  <c r="AH651" i="10" s="1"/>
  <c r="AI651" i="10" s="1"/>
  <c r="AJ651" i="10" s="1"/>
  <c r="AF661" i="10"/>
  <c r="AH661" i="10" s="1"/>
  <c r="AI661" i="10" s="1"/>
  <c r="AG661" i="10"/>
  <c r="AJ661" i="10" s="1"/>
  <c r="AG667" i="10"/>
  <c r="AF667" i="10"/>
  <c r="AH667" i="10" s="1"/>
  <c r="AI667" i="10" s="1"/>
  <c r="AJ667" i="10" s="1"/>
  <c r="AF672" i="10"/>
  <c r="AH672" i="10" s="1"/>
  <c r="AI672" i="10" s="1"/>
  <c r="AG672" i="10"/>
  <c r="AF710" i="10"/>
  <c r="AH710" i="10" s="1"/>
  <c r="AI710" i="10" s="1"/>
  <c r="AG710" i="10"/>
  <c r="AF712" i="10"/>
  <c r="AH712" i="10" s="1"/>
  <c r="AI712" i="10" s="1"/>
  <c r="AG712" i="10"/>
  <c r="AJ712" i="10" s="1"/>
  <c r="AG715" i="10"/>
  <c r="AF715" i="10"/>
  <c r="AH715" i="10" s="1"/>
  <c r="AI715" i="10" s="1"/>
  <c r="AF720" i="10"/>
  <c r="AH720" i="10" s="1"/>
  <c r="AI720" i="10" s="1"/>
  <c r="AG720" i="10"/>
  <c r="AJ720" i="10" s="1"/>
  <c r="AF734" i="10"/>
  <c r="AH734" i="10" s="1"/>
  <c r="AI734" i="10" s="1"/>
  <c r="AG734" i="10"/>
  <c r="AF744" i="10"/>
  <c r="AH744" i="10" s="1"/>
  <c r="AI744" i="10" s="1"/>
  <c r="AG744" i="10"/>
  <c r="AJ744" i="10" s="1"/>
  <c r="AG747" i="10"/>
  <c r="AF747" i="10"/>
  <c r="AH747" i="10" s="1"/>
  <c r="AI747" i="10" s="1"/>
  <c r="AF752" i="10"/>
  <c r="AH752" i="10" s="1"/>
  <c r="AI752" i="10" s="1"/>
  <c r="AG752" i="10"/>
  <c r="AJ752" i="10" s="1"/>
  <c r="AG763" i="10"/>
  <c r="AF763" i="10"/>
  <c r="AH763" i="10" s="1"/>
  <c r="AI763" i="10" s="1"/>
  <c r="AG784" i="10"/>
  <c r="AF784" i="10"/>
  <c r="AH784" i="10" s="1"/>
  <c r="AI784" i="10" s="1"/>
  <c r="AJ784" i="10" s="1"/>
  <c r="AG787" i="10"/>
  <c r="AF787" i="10"/>
  <c r="AH787" i="10" s="1"/>
  <c r="AI787" i="10" s="1"/>
  <c r="AF799" i="10"/>
  <c r="AH799" i="10" s="1"/>
  <c r="AI799" i="10" s="1"/>
  <c r="AG799" i="10"/>
  <c r="AJ799" i="10" s="1"/>
  <c r="AF813" i="10"/>
  <c r="AH813" i="10" s="1"/>
  <c r="AI813" i="10" s="1"/>
  <c r="AG813" i="10"/>
  <c r="AJ813" i="10" s="1"/>
  <c r="AG820" i="10"/>
  <c r="AF820" i="10"/>
  <c r="AH820" i="10" s="1"/>
  <c r="AI820" i="10" s="1"/>
  <c r="AJ820" i="10" s="1"/>
  <c r="AG856" i="10"/>
  <c r="AF856" i="10"/>
  <c r="AH856" i="10" s="1"/>
  <c r="AI856" i="10" s="1"/>
  <c r="AG965" i="10"/>
  <c r="AF965" i="10"/>
  <c r="AH965" i="10" s="1"/>
  <c r="AI965" i="10" s="1"/>
  <c r="AG970" i="10"/>
  <c r="AF970" i="10"/>
  <c r="AH970" i="10" s="1"/>
  <c r="AI970" i="10" s="1"/>
  <c r="AJ970" i="10" s="1"/>
  <c r="AJ462" i="10"/>
  <c r="AJ494" i="10"/>
  <c r="AJ526" i="10"/>
  <c r="AJ558" i="10"/>
  <c r="AJ590" i="10"/>
  <c r="AF742" i="10"/>
  <c r="AH742" i="10" s="1"/>
  <c r="AI742" i="10" s="1"/>
  <c r="AG742" i="10"/>
  <c r="AJ771" i="10"/>
  <c r="AJ783" i="10"/>
  <c r="AJ817" i="10"/>
  <c r="AJ825" i="10"/>
  <c r="AJ841" i="10"/>
  <c r="AG844" i="10"/>
  <c r="AF844" i="10"/>
  <c r="AH844" i="10" s="1"/>
  <c r="AI844" i="10" s="1"/>
  <c r="AJ844" i="10" s="1"/>
  <c r="AG857" i="10"/>
  <c r="AF857" i="10"/>
  <c r="AH857" i="10" s="1"/>
  <c r="AI857" i="10" s="1"/>
  <c r="AJ857" i="10" s="1"/>
  <c r="AG860" i="10"/>
  <c r="AF860" i="10"/>
  <c r="AH860" i="10" s="1"/>
  <c r="AI860" i="10" s="1"/>
  <c r="AJ860" i="10" s="1"/>
  <c r="AG864" i="10"/>
  <c r="AF864" i="10"/>
  <c r="AH864" i="10" s="1"/>
  <c r="AI864" i="10" s="1"/>
  <c r="AG875" i="10"/>
  <c r="AF875" i="10"/>
  <c r="AH875" i="10" s="1"/>
  <c r="AI875" i="10" s="1"/>
  <c r="AF882" i="10"/>
  <c r="AH882" i="10" s="1"/>
  <c r="AI882" i="10" s="1"/>
  <c r="AG882" i="10"/>
  <c r="AG891" i="10"/>
  <c r="AF891" i="10"/>
  <c r="AH891" i="10" s="1"/>
  <c r="AI891" i="10" s="1"/>
  <c r="AF914" i="10"/>
  <c r="AH914" i="10" s="1"/>
  <c r="AI914" i="10" s="1"/>
  <c r="AG914" i="10"/>
  <c r="AG953" i="10"/>
  <c r="AF953" i="10"/>
  <c r="AH953" i="10" s="1"/>
  <c r="AI953" i="10" s="1"/>
  <c r="AJ953" i="10" s="1"/>
  <c r="AG958" i="10"/>
  <c r="AF958" i="10"/>
  <c r="AH958" i="10" s="1"/>
  <c r="AI958" i="10" s="1"/>
  <c r="AG964" i="10"/>
  <c r="AF964" i="10"/>
  <c r="AH964" i="10" s="1"/>
  <c r="AI964" i="10" s="1"/>
  <c r="AG967" i="10"/>
  <c r="AF967" i="10"/>
  <c r="AH967" i="10" s="1"/>
  <c r="AI967" i="10" s="1"/>
  <c r="AG981" i="10"/>
  <c r="AF981" i="10"/>
  <c r="AH981" i="10" s="1"/>
  <c r="AI981" i="10" s="1"/>
  <c r="AG986" i="10"/>
  <c r="AF986" i="10"/>
  <c r="AH986" i="10" s="1"/>
  <c r="AI986" i="10" s="1"/>
  <c r="AJ986" i="10" s="1"/>
  <c r="AG996" i="10"/>
  <c r="AF996" i="10"/>
  <c r="AH996" i="10" s="1"/>
  <c r="AI996" i="10" s="1"/>
  <c r="AG999" i="10"/>
  <c r="AF999" i="10"/>
  <c r="AH999" i="10" s="1"/>
  <c r="AI999" i="10" s="1"/>
  <c r="AJ999" i="10" s="1"/>
  <c r="AJ553" i="10"/>
  <c r="AJ557" i="10"/>
  <c r="AJ574" i="10"/>
  <c r="AJ581" i="10"/>
  <c r="AJ585" i="10"/>
  <c r="AJ589" i="10"/>
  <c r="AJ606" i="10"/>
  <c r="AJ673" i="10"/>
  <c r="AJ705" i="10"/>
  <c r="AJ711" i="10"/>
  <c r="AJ721" i="10"/>
  <c r="AJ727" i="10"/>
  <c r="AJ743" i="10"/>
  <c r="AF760" i="10"/>
  <c r="AH760" i="10" s="1"/>
  <c r="AI760" i="10" s="1"/>
  <c r="AJ760" i="10" s="1"/>
  <c r="AG760" i="10"/>
  <c r="AJ792" i="10"/>
  <c r="AJ793" i="10"/>
  <c r="AG800" i="10"/>
  <c r="AJ800" i="10" s="1"/>
  <c r="AF800" i="10"/>
  <c r="AH800" i="10" s="1"/>
  <c r="AI800" i="10" s="1"/>
  <c r="AJ805" i="10"/>
  <c r="AG812" i="10"/>
  <c r="AF812" i="10"/>
  <c r="AH812" i="10" s="1"/>
  <c r="AI812" i="10" s="1"/>
  <c r="AJ812" i="10" s="1"/>
  <c r="AJ827" i="10"/>
  <c r="AG832" i="10"/>
  <c r="AF832" i="10"/>
  <c r="AH832" i="10" s="1"/>
  <c r="AI832" i="10" s="1"/>
  <c r="AJ843" i="10"/>
  <c r="AF851" i="10"/>
  <c r="AH851" i="10" s="1"/>
  <c r="AI851" i="10" s="1"/>
  <c r="AG851" i="10"/>
  <c r="AJ851" i="10" s="1"/>
  <c r="AJ853" i="10"/>
  <c r="AJ867" i="10"/>
  <c r="AF888" i="10"/>
  <c r="AH888" i="10" s="1"/>
  <c r="AI888" i="10" s="1"/>
  <c r="AG888" i="10"/>
  <c r="AJ888" i="10" s="1"/>
  <c r="AG897" i="10"/>
  <c r="AF897" i="10"/>
  <c r="AH897" i="10" s="1"/>
  <c r="AI897" i="10" s="1"/>
  <c r="AG916" i="10"/>
  <c r="AF916" i="10"/>
  <c r="AH916" i="10" s="1"/>
  <c r="AI916" i="10" s="1"/>
  <c r="AG936" i="10"/>
  <c r="AF936" i="10"/>
  <c r="AH936" i="10" s="1"/>
  <c r="AI936" i="10" s="1"/>
  <c r="AG939" i="10"/>
  <c r="AF939" i="10"/>
  <c r="AH939" i="10" s="1"/>
  <c r="AI939" i="10" s="1"/>
  <c r="AJ939" i="10" s="1"/>
  <c r="AG948" i="10"/>
  <c r="AF948" i="10"/>
  <c r="AH948" i="10" s="1"/>
  <c r="AI948" i="10" s="1"/>
  <c r="AJ948" i="10" s="1"/>
  <c r="AG990" i="10"/>
  <c r="AF990" i="10"/>
  <c r="AH990" i="10" s="1"/>
  <c r="AI990" i="10" s="1"/>
  <c r="AG993" i="10"/>
  <c r="AF993" i="10"/>
  <c r="AH993" i="10" s="1"/>
  <c r="AI993" i="10" s="1"/>
  <c r="AJ993" i="10" s="1"/>
  <c r="AJ816" i="10"/>
  <c r="AJ840" i="10"/>
  <c r="AG852" i="10"/>
  <c r="AF852" i="10"/>
  <c r="AH852" i="10" s="1"/>
  <c r="AI852" i="10" s="1"/>
  <c r="AG869" i="10"/>
  <c r="AF869" i="10"/>
  <c r="AH869" i="10" s="1"/>
  <c r="AI869" i="10" s="1"/>
  <c r="AJ869" i="10" s="1"/>
  <c r="AJ881" i="10"/>
  <c r="AJ889" i="10"/>
  <c r="AJ941" i="10"/>
  <c r="AJ961" i="10"/>
  <c r="AJ963" i="10"/>
  <c r="AJ994" i="10"/>
  <c r="AJ835" i="10"/>
  <c r="AJ849" i="10"/>
  <c r="AJ859" i="10"/>
  <c r="AJ868" i="10"/>
  <c r="AF880" i="10"/>
  <c r="AH880" i="10" s="1"/>
  <c r="AI880" i="10" s="1"/>
  <c r="AG880" i="10"/>
  <c r="AF896" i="10"/>
  <c r="AH896" i="10" s="1"/>
  <c r="AI896" i="10" s="1"/>
  <c r="AG896" i="10"/>
  <c r="AJ905" i="10"/>
  <c r="AJ911" i="10"/>
  <c r="AJ919" i="10"/>
  <c r="AJ925" i="10"/>
  <c r="AG927" i="10"/>
  <c r="AF927" i="10"/>
  <c r="AH927" i="10" s="1"/>
  <c r="AI927" i="10" s="1"/>
  <c r="AJ933" i="10"/>
  <c r="AJ935" i="10"/>
  <c r="AJ945" i="10"/>
  <c r="AJ947" i="10"/>
  <c r="AJ954" i="10"/>
  <c r="AJ977" i="10"/>
  <c r="AJ979" i="10"/>
  <c r="AJ848" i="10"/>
  <c r="AJ968" i="10"/>
  <c r="AJ984" i="10"/>
  <c r="AJ920" i="10"/>
  <c r="AJ995" i="10"/>
  <c r="AG15" i="10"/>
  <c r="AF15" i="10"/>
  <c r="AH15" i="10" s="1"/>
  <c r="AI15" i="10" s="1"/>
  <c r="AJ16" i="10"/>
  <c r="AG19" i="10"/>
  <c r="AF19" i="10"/>
  <c r="AH19" i="10" s="1"/>
  <c r="AI19" i="10" s="1"/>
  <c r="AJ20" i="10"/>
  <c r="AG23" i="10"/>
  <c r="AF23" i="10"/>
  <c r="AH23" i="10" s="1"/>
  <c r="AI23" i="10" s="1"/>
  <c r="AJ24" i="10"/>
  <c r="AG27" i="10"/>
  <c r="AJ27" i="10" s="1"/>
  <c r="AF27" i="10"/>
  <c r="AH27" i="10" s="1"/>
  <c r="AI27" i="10" s="1"/>
  <c r="AJ28" i="10"/>
  <c r="AG31" i="10"/>
  <c r="AF31" i="10"/>
  <c r="AH31" i="10" s="1"/>
  <c r="AI31" i="10" s="1"/>
  <c r="AJ32" i="10"/>
  <c r="AG35" i="10"/>
  <c r="AF35" i="10"/>
  <c r="AH35" i="10" s="1"/>
  <c r="AI35" i="10" s="1"/>
  <c r="AJ36" i="10"/>
  <c r="AG39" i="10"/>
  <c r="AF39" i="10"/>
  <c r="AH39" i="10" s="1"/>
  <c r="AI39" i="10" s="1"/>
  <c r="AJ40" i="10"/>
  <c r="AG43" i="10"/>
  <c r="AJ43" i="10" s="1"/>
  <c r="AF43" i="10"/>
  <c r="AH43" i="10" s="1"/>
  <c r="AI43" i="10" s="1"/>
  <c r="AJ44" i="10"/>
  <c r="AG47" i="10"/>
  <c r="AF47" i="10"/>
  <c r="AH47" i="10" s="1"/>
  <c r="AI47" i="10" s="1"/>
  <c r="AJ48" i="10"/>
  <c r="AG51" i="10"/>
  <c r="AF51" i="10"/>
  <c r="AH51" i="10" s="1"/>
  <c r="AI51" i="10" s="1"/>
  <c r="AJ52" i="10"/>
  <c r="AG55" i="10"/>
  <c r="AF55" i="10"/>
  <c r="AH55" i="10" s="1"/>
  <c r="AI55" i="10" s="1"/>
  <c r="AJ56" i="10"/>
  <c r="AG59" i="10"/>
  <c r="AJ59" i="10" s="1"/>
  <c r="AF59" i="10"/>
  <c r="AH59" i="10" s="1"/>
  <c r="AI59" i="10" s="1"/>
  <c r="AJ60" i="10"/>
  <c r="AG63" i="10"/>
  <c r="AF63" i="10"/>
  <c r="AH63" i="10" s="1"/>
  <c r="AI63" i="10" s="1"/>
  <c r="AJ64" i="10"/>
  <c r="AG67" i="10"/>
  <c r="AF67" i="10"/>
  <c r="AH67" i="10" s="1"/>
  <c r="AI67" i="10" s="1"/>
  <c r="AJ68" i="10"/>
  <c r="AG71" i="10"/>
  <c r="AF71" i="10"/>
  <c r="AH71" i="10" s="1"/>
  <c r="AI71" i="10" s="1"/>
  <c r="AJ72" i="10"/>
  <c r="AG75" i="10"/>
  <c r="AJ75" i="10" s="1"/>
  <c r="AF75" i="10"/>
  <c r="AH75" i="10" s="1"/>
  <c r="AI75" i="10" s="1"/>
  <c r="AJ76" i="10"/>
  <c r="AG79" i="10"/>
  <c r="AF79" i="10"/>
  <c r="AH79" i="10" s="1"/>
  <c r="AI79" i="10" s="1"/>
  <c r="AJ80" i="10"/>
  <c r="AG83" i="10"/>
  <c r="AF83" i="10"/>
  <c r="AH83" i="10" s="1"/>
  <c r="AI83" i="10" s="1"/>
  <c r="AJ84" i="10"/>
  <c r="AG87" i="10"/>
  <c r="AF87" i="10"/>
  <c r="AH87" i="10" s="1"/>
  <c r="AI87" i="10" s="1"/>
  <c r="AJ88" i="10"/>
  <c r="AG91" i="10"/>
  <c r="AJ91" i="10" s="1"/>
  <c r="AF91" i="10"/>
  <c r="AH91" i="10" s="1"/>
  <c r="AI91" i="10" s="1"/>
  <c r="AJ92" i="10"/>
  <c r="AG95" i="10"/>
  <c r="AF95" i="10"/>
  <c r="AH95" i="10" s="1"/>
  <c r="AI95" i="10" s="1"/>
  <c r="AJ96" i="10"/>
  <c r="AG99" i="10"/>
  <c r="AF99" i="10"/>
  <c r="AH99" i="10" s="1"/>
  <c r="AI99" i="10" s="1"/>
  <c r="AJ104" i="10"/>
  <c r="AJ109" i="10"/>
  <c r="AJ120" i="10"/>
  <c r="AJ125" i="10"/>
  <c r="AJ136" i="10"/>
  <c r="AJ141" i="10"/>
  <c r="AJ152" i="10"/>
  <c r="AJ157" i="10"/>
  <c r="AJ168" i="10"/>
  <c r="AJ173" i="10"/>
  <c r="AJ184" i="10"/>
  <c r="AJ189" i="10"/>
  <c r="AJ200" i="10"/>
  <c r="AJ205" i="10"/>
  <c r="AJ216" i="10"/>
  <c r="AJ221" i="10"/>
  <c r="AJ232" i="10"/>
  <c r="AJ237" i="10"/>
  <c r="AJ248" i="10"/>
  <c r="AJ253" i="10"/>
  <c r="AJ264" i="10"/>
  <c r="AJ269" i="10"/>
  <c r="AG12" i="10"/>
  <c r="AF12" i="10"/>
  <c r="AH12" i="10" s="1"/>
  <c r="AI12" i="10" s="1"/>
  <c r="AG13" i="10"/>
  <c r="AF13" i="10"/>
  <c r="AH13" i="10" s="1"/>
  <c r="AI13" i="10" s="1"/>
  <c r="AG17" i="10"/>
  <c r="AF17" i="10"/>
  <c r="AH17" i="10" s="1"/>
  <c r="AI17" i="10" s="1"/>
  <c r="AG21" i="10"/>
  <c r="AF21" i="10"/>
  <c r="AH21" i="10" s="1"/>
  <c r="AI21" i="10" s="1"/>
  <c r="AG25" i="10"/>
  <c r="AF25" i="10"/>
  <c r="AH25" i="10" s="1"/>
  <c r="AI25" i="10" s="1"/>
  <c r="AG29" i="10"/>
  <c r="AF29" i="10"/>
  <c r="AH29" i="10" s="1"/>
  <c r="AI29" i="10" s="1"/>
  <c r="AG33" i="10"/>
  <c r="AF33" i="10"/>
  <c r="AH33" i="10" s="1"/>
  <c r="AI33" i="10" s="1"/>
  <c r="AG37" i="10"/>
  <c r="AF37" i="10"/>
  <c r="AH37" i="10" s="1"/>
  <c r="AI37" i="10" s="1"/>
  <c r="AG41" i="10"/>
  <c r="AF41" i="10"/>
  <c r="AH41" i="10" s="1"/>
  <c r="AI41" i="10" s="1"/>
  <c r="AG45" i="10"/>
  <c r="AJ45" i="10" s="1"/>
  <c r="AF45" i="10"/>
  <c r="AH45" i="10" s="1"/>
  <c r="AI45" i="10" s="1"/>
  <c r="AG49" i="10"/>
  <c r="AF49" i="10"/>
  <c r="AH49" i="10" s="1"/>
  <c r="AI49" i="10" s="1"/>
  <c r="AG53" i="10"/>
  <c r="AJ53" i="10" s="1"/>
  <c r="AF53" i="10"/>
  <c r="AH53" i="10" s="1"/>
  <c r="AI53" i="10" s="1"/>
  <c r="AG57" i="10"/>
  <c r="AF57" i="10"/>
  <c r="AH57" i="10" s="1"/>
  <c r="AI57" i="10" s="1"/>
  <c r="AG61" i="10"/>
  <c r="AJ61" i="10" s="1"/>
  <c r="AF61" i="10"/>
  <c r="AH61" i="10" s="1"/>
  <c r="AI61" i="10" s="1"/>
  <c r="AG65" i="10"/>
  <c r="AF65" i="10"/>
  <c r="AH65" i="10" s="1"/>
  <c r="AI65" i="10" s="1"/>
  <c r="AG69" i="10"/>
  <c r="AJ69" i="10" s="1"/>
  <c r="AF69" i="10"/>
  <c r="AH69" i="10" s="1"/>
  <c r="AI69" i="10" s="1"/>
  <c r="AG73" i="10"/>
  <c r="AF73" i="10"/>
  <c r="AH73" i="10" s="1"/>
  <c r="AI73" i="10" s="1"/>
  <c r="AG77" i="10"/>
  <c r="AJ77" i="10" s="1"/>
  <c r="AF77" i="10"/>
  <c r="AH77" i="10" s="1"/>
  <c r="AI77" i="10" s="1"/>
  <c r="AG81" i="10"/>
  <c r="AF81" i="10"/>
  <c r="AH81" i="10" s="1"/>
  <c r="AI81" i="10" s="1"/>
  <c r="AG85" i="10"/>
  <c r="AJ85" i="10" s="1"/>
  <c r="AF85" i="10"/>
  <c r="AH85" i="10" s="1"/>
  <c r="AI85" i="10" s="1"/>
  <c r="AG89" i="10"/>
  <c r="AF89" i="10"/>
  <c r="AH89" i="10" s="1"/>
  <c r="AI89" i="10" s="1"/>
  <c r="AG93" i="10"/>
  <c r="AJ93" i="10" s="1"/>
  <c r="AF93" i="10"/>
  <c r="AH93" i="10" s="1"/>
  <c r="AI93" i="10" s="1"/>
  <c r="AG97" i="10"/>
  <c r="AF97" i="10"/>
  <c r="AH97" i="10" s="1"/>
  <c r="AI97" i="10" s="1"/>
  <c r="AJ101" i="10"/>
  <c r="AJ117" i="10"/>
  <c r="AJ133" i="10"/>
  <c r="AJ149" i="10"/>
  <c r="AJ165" i="10"/>
  <c r="AJ181" i="10"/>
  <c r="AJ197" i="10"/>
  <c r="AJ213" i="10"/>
  <c r="AJ229" i="10"/>
  <c r="AJ245" i="10"/>
  <c r="AJ261" i="10"/>
  <c r="AJ108" i="10"/>
  <c r="AJ113" i="10"/>
  <c r="AJ124" i="10"/>
  <c r="AJ129" i="10"/>
  <c r="AJ140" i="10"/>
  <c r="AJ145" i="10"/>
  <c r="AJ156" i="10"/>
  <c r="AJ161" i="10"/>
  <c r="AJ172" i="10"/>
  <c r="AJ177" i="10"/>
  <c r="AJ188" i="10"/>
  <c r="AJ193" i="10"/>
  <c r="AJ204" i="10"/>
  <c r="AJ209" i="10"/>
  <c r="AJ220" i="10"/>
  <c r="AJ225" i="10"/>
  <c r="AJ241" i="10"/>
  <c r="AJ257" i="10"/>
  <c r="AJ268" i="10"/>
  <c r="AJ273" i="10"/>
  <c r="AJ290" i="10"/>
  <c r="AJ306" i="10"/>
  <c r="AJ332" i="10"/>
  <c r="AJ334" i="10"/>
  <c r="AJ348" i="10"/>
  <c r="AJ350" i="10"/>
  <c r="AJ364" i="10"/>
  <c r="AJ366" i="10"/>
  <c r="AJ380" i="10"/>
  <c r="AJ382" i="10"/>
  <c r="AG396" i="10"/>
  <c r="AF396" i="10"/>
  <c r="AH396" i="10" s="1"/>
  <c r="AI396" i="10" s="1"/>
  <c r="AG412" i="10"/>
  <c r="AF412" i="10"/>
  <c r="AH412" i="10" s="1"/>
  <c r="AI412" i="10" s="1"/>
  <c r="AG428" i="10"/>
  <c r="AF428" i="10"/>
  <c r="AH428" i="10" s="1"/>
  <c r="AI428" i="10" s="1"/>
  <c r="AG643" i="10"/>
  <c r="AF643" i="10"/>
  <c r="AH643" i="10" s="1"/>
  <c r="AI643" i="10" s="1"/>
  <c r="AG659" i="10"/>
  <c r="AF659" i="10"/>
  <c r="AH659" i="10" s="1"/>
  <c r="AI659" i="10" s="1"/>
  <c r="AG915" i="10"/>
  <c r="AF915" i="10"/>
  <c r="AH915" i="10" s="1"/>
  <c r="AI915" i="10" s="1"/>
  <c r="AF102" i="10"/>
  <c r="AH102" i="10" s="1"/>
  <c r="AI102" i="10" s="1"/>
  <c r="AJ102" i="10" s="1"/>
  <c r="AF106" i="10"/>
  <c r="AH106" i="10" s="1"/>
  <c r="AI106" i="10" s="1"/>
  <c r="AJ106" i="10" s="1"/>
  <c r="AF110" i="10"/>
  <c r="AH110" i="10" s="1"/>
  <c r="AI110" i="10" s="1"/>
  <c r="AJ110" i="10" s="1"/>
  <c r="AF114" i="10"/>
  <c r="AH114" i="10" s="1"/>
  <c r="AI114" i="10" s="1"/>
  <c r="AJ114" i="10" s="1"/>
  <c r="AF118" i="10"/>
  <c r="AH118" i="10" s="1"/>
  <c r="AI118" i="10" s="1"/>
  <c r="AJ118" i="10" s="1"/>
  <c r="AF122" i="10"/>
  <c r="AH122" i="10" s="1"/>
  <c r="AI122" i="10" s="1"/>
  <c r="AJ122" i="10" s="1"/>
  <c r="AF126" i="10"/>
  <c r="AH126" i="10" s="1"/>
  <c r="AI126" i="10" s="1"/>
  <c r="AJ126" i="10" s="1"/>
  <c r="AF130" i="10"/>
  <c r="AH130" i="10" s="1"/>
  <c r="AI130" i="10" s="1"/>
  <c r="AJ130" i="10" s="1"/>
  <c r="AF134" i="10"/>
  <c r="AH134" i="10" s="1"/>
  <c r="AI134" i="10" s="1"/>
  <c r="AJ134" i="10" s="1"/>
  <c r="AF138" i="10"/>
  <c r="AH138" i="10" s="1"/>
  <c r="AI138" i="10" s="1"/>
  <c r="AJ138" i="10" s="1"/>
  <c r="AF142" i="10"/>
  <c r="AH142" i="10" s="1"/>
  <c r="AI142" i="10" s="1"/>
  <c r="AJ142" i="10" s="1"/>
  <c r="AF146" i="10"/>
  <c r="AH146" i="10" s="1"/>
  <c r="AI146" i="10" s="1"/>
  <c r="AJ146" i="10" s="1"/>
  <c r="AF150" i="10"/>
  <c r="AH150" i="10" s="1"/>
  <c r="AI150" i="10" s="1"/>
  <c r="AJ150" i="10" s="1"/>
  <c r="AF154" i="10"/>
  <c r="AH154" i="10" s="1"/>
  <c r="AI154" i="10" s="1"/>
  <c r="AJ154" i="10" s="1"/>
  <c r="AF158" i="10"/>
  <c r="AH158" i="10" s="1"/>
  <c r="AI158" i="10" s="1"/>
  <c r="AJ158" i="10" s="1"/>
  <c r="AF162" i="10"/>
  <c r="AH162" i="10" s="1"/>
  <c r="AI162" i="10" s="1"/>
  <c r="AJ162" i="10" s="1"/>
  <c r="AF166" i="10"/>
  <c r="AH166" i="10" s="1"/>
  <c r="AI166" i="10" s="1"/>
  <c r="AJ166" i="10" s="1"/>
  <c r="AF170" i="10"/>
  <c r="AH170" i="10" s="1"/>
  <c r="AI170" i="10" s="1"/>
  <c r="AJ170" i="10" s="1"/>
  <c r="AF174" i="10"/>
  <c r="AH174" i="10" s="1"/>
  <c r="AI174" i="10" s="1"/>
  <c r="AJ174" i="10" s="1"/>
  <c r="AF178" i="10"/>
  <c r="AH178" i="10" s="1"/>
  <c r="AI178" i="10" s="1"/>
  <c r="AJ178" i="10" s="1"/>
  <c r="AF182" i="10"/>
  <c r="AH182" i="10" s="1"/>
  <c r="AI182" i="10" s="1"/>
  <c r="AJ182" i="10" s="1"/>
  <c r="AF186" i="10"/>
  <c r="AH186" i="10" s="1"/>
  <c r="AI186" i="10" s="1"/>
  <c r="AJ186" i="10" s="1"/>
  <c r="AF190" i="10"/>
  <c r="AH190" i="10" s="1"/>
  <c r="AI190" i="10" s="1"/>
  <c r="AJ190" i="10" s="1"/>
  <c r="AF194" i="10"/>
  <c r="AH194" i="10" s="1"/>
  <c r="AI194" i="10" s="1"/>
  <c r="AJ194" i="10" s="1"/>
  <c r="AF198" i="10"/>
  <c r="AH198" i="10" s="1"/>
  <c r="AI198" i="10" s="1"/>
  <c r="AJ198" i="10" s="1"/>
  <c r="AF202" i="10"/>
  <c r="AH202" i="10" s="1"/>
  <c r="AI202" i="10" s="1"/>
  <c r="AJ202" i="10" s="1"/>
  <c r="AF206" i="10"/>
  <c r="AH206" i="10" s="1"/>
  <c r="AI206" i="10" s="1"/>
  <c r="AJ206" i="10" s="1"/>
  <c r="AF210" i="10"/>
  <c r="AH210" i="10" s="1"/>
  <c r="AI210" i="10" s="1"/>
  <c r="AJ210" i="10" s="1"/>
  <c r="AF214" i="10"/>
  <c r="AH214" i="10" s="1"/>
  <c r="AI214" i="10" s="1"/>
  <c r="AJ214" i="10" s="1"/>
  <c r="AF218" i="10"/>
  <c r="AH218" i="10" s="1"/>
  <c r="AI218" i="10" s="1"/>
  <c r="AJ218" i="10" s="1"/>
  <c r="AF222" i="10"/>
  <c r="AH222" i="10" s="1"/>
  <c r="AI222" i="10" s="1"/>
  <c r="AJ222" i="10" s="1"/>
  <c r="AF226" i="10"/>
  <c r="AH226" i="10" s="1"/>
  <c r="AI226" i="10" s="1"/>
  <c r="AJ226" i="10" s="1"/>
  <c r="AF230" i="10"/>
  <c r="AH230" i="10" s="1"/>
  <c r="AI230" i="10" s="1"/>
  <c r="AJ230" i="10" s="1"/>
  <c r="AF234" i="10"/>
  <c r="AH234" i="10" s="1"/>
  <c r="AI234" i="10" s="1"/>
  <c r="AJ234" i="10" s="1"/>
  <c r="AF238" i="10"/>
  <c r="AH238" i="10" s="1"/>
  <c r="AI238" i="10" s="1"/>
  <c r="AJ238" i="10" s="1"/>
  <c r="AF242" i="10"/>
  <c r="AH242" i="10" s="1"/>
  <c r="AI242" i="10" s="1"/>
  <c r="AJ242" i="10" s="1"/>
  <c r="AF246" i="10"/>
  <c r="AH246" i="10" s="1"/>
  <c r="AI246" i="10" s="1"/>
  <c r="AJ246" i="10" s="1"/>
  <c r="AF250" i="10"/>
  <c r="AH250" i="10" s="1"/>
  <c r="AI250" i="10" s="1"/>
  <c r="AJ250" i="10" s="1"/>
  <c r="AF254" i="10"/>
  <c r="AH254" i="10" s="1"/>
  <c r="AI254" i="10" s="1"/>
  <c r="AJ254" i="10" s="1"/>
  <c r="AF258" i="10"/>
  <c r="AH258" i="10" s="1"/>
  <c r="AI258" i="10" s="1"/>
  <c r="AJ258" i="10" s="1"/>
  <c r="AF262" i="10"/>
  <c r="AH262" i="10" s="1"/>
  <c r="AI262" i="10" s="1"/>
  <c r="AJ262" i="10" s="1"/>
  <c r="AF266" i="10"/>
  <c r="AH266" i="10" s="1"/>
  <c r="AI266" i="10" s="1"/>
  <c r="AJ266" i="10" s="1"/>
  <c r="AF270" i="10"/>
  <c r="AH270" i="10" s="1"/>
  <c r="AI270" i="10" s="1"/>
  <c r="AJ270" i="10" s="1"/>
  <c r="AF274" i="10"/>
  <c r="AH274" i="10" s="1"/>
  <c r="AI274" i="10" s="1"/>
  <c r="AJ274" i="10" s="1"/>
  <c r="AF276" i="10"/>
  <c r="AH276" i="10" s="1"/>
  <c r="AI276" i="10" s="1"/>
  <c r="AJ276" i="10" s="1"/>
  <c r="AJ278" i="10"/>
  <c r="AF292" i="10"/>
  <c r="AH292" i="10" s="1"/>
  <c r="AI292" i="10" s="1"/>
  <c r="AJ292" i="10" s="1"/>
  <c r="AJ294" i="10"/>
  <c r="AF308" i="10"/>
  <c r="AH308" i="10" s="1"/>
  <c r="AI308" i="10" s="1"/>
  <c r="AJ308" i="10" s="1"/>
  <c r="AJ310" i="10"/>
  <c r="AG388" i="10"/>
  <c r="AF388" i="10"/>
  <c r="AH388" i="10" s="1"/>
  <c r="AI388" i="10" s="1"/>
  <c r="AG398" i="10"/>
  <c r="AF398" i="10"/>
  <c r="AH398" i="10" s="1"/>
  <c r="AI398" i="10" s="1"/>
  <c r="AG404" i="10"/>
  <c r="AF404" i="10"/>
  <c r="AH404" i="10" s="1"/>
  <c r="AI404" i="10" s="1"/>
  <c r="AG414" i="10"/>
  <c r="AF414" i="10"/>
  <c r="AH414" i="10" s="1"/>
  <c r="AI414" i="10" s="1"/>
  <c r="AG420" i="10"/>
  <c r="AF420" i="10"/>
  <c r="AH420" i="10" s="1"/>
  <c r="AI420" i="10" s="1"/>
  <c r="AG430" i="10"/>
  <c r="AF430" i="10"/>
  <c r="AH430" i="10" s="1"/>
  <c r="AI430" i="10" s="1"/>
  <c r="AG436" i="10"/>
  <c r="AF436" i="10"/>
  <c r="AH436" i="10" s="1"/>
  <c r="AI436" i="10" s="1"/>
  <c r="AG617" i="10"/>
  <c r="AF617" i="10"/>
  <c r="AH617" i="10" s="1"/>
  <c r="AI617" i="10" s="1"/>
  <c r="AG657" i="10"/>
  <c r="AF657" i="10"/>
  <c r="AH657" i="10" s="1"/>
  <c r="AI657" i="10" s="1"/>
  <c r="AF674" i="10"/>
  <c r="AH674" i="10" s="1"/>
  <c r="AI674" i="10" s="1"/>
  <c r="AG674" i="10"/>
  <c r="AG707" i="10"/>
  <c r="AF707" i="10"/>
  <c r="AH707" i="10" s="1"/>
  <c r="AI707" i="10" s="1"/>
  <c r="AG731" i="10"/>
  <c r="AF731" i="10"/>
  <c r="AH731" i="10" s="1"/>
  <c r="AI731" i="10" s="1"/>
  <c r="AF738" i="10"/>
  <c r="AH738" i="10" s="1"/>
  <c r="AI738" i="10" s="1"/>
  <c r="AG738" i="10"/>
  <c r="AG834" i="10"/>
  <c r="AF834" i="10"/>
  <c r="AH834" i="10" s="1"/>
  <c r="AI834" i="10" s="1"/>
  <c r="AF280" i="10"/>
  <c r="AH280" i="10" s="1"/>
  <c r="AI280" i="10" s="1"/>
  <c r="AJ280" i="10" s="1"/>
  <c r="AF296" i="10"/>
  <c r="AH296" i="10" s="1"/>
  <c r="AI296" i="10" s="1"/>
  <c r="AJ296" i="10" s="1"/>
  <c r="AJ298" i="10"/>
  <c r="AF312" i="10"/>
  <c r="AH312" i="10" s="1"/>
  <c r="AI312" i="10" s="1"/>
  <c r="AJ312" i="10" s="1"/>
  <c r="AJ324" i="10"/>
  <c r="AJ326" i="10"/>
  <c r="AJ340" i="10"/>
  <c r="AJ356" i="10"/>
  <c r="AJ358" i="10"/>
  <c r="AJ372" i="10"/>
  <c r="AJ374" i="10"/>
  <c r="AJ454" i="10"/>
  <c r="AJ470" i="10"/>
  <c r="AJ486" i="10"/>
  <c r="AJ502" i="10"/>
  <c r="AJ518" i="10"/>
  <c r="AJ534" i="10"/>
  <c r="AJ550" i="10"/>
  <c r="AJ566" i="10"/>
  <c r="AJ582" i="10"/>
  <c r="AJ598" i="10"/>
  <c r="AF618" i="10"/>
  <c r="AH618" i="10" s="1"/>
  <c r="AI618" i="10" s="1"/>
  <c r="AG618" i="10"/>
  <c r="AF626" i="10"/>
  <c r="AH626" i="10" s="1"/>
  <c r="AI626" i="10" s="1"/>
  <c r="AG626" i="10"/>
  <c r="AF645" i="10"/>
  <c r="AH645" i="10" s="1"/>
  <c r="AI645" i="10" s="1"/>
  <c r="AG645" i="10"/>
  <c r="AF648" i="10"/>
  <c r="AH648" i="10" s="1"/>
  <c r="AI648" i="10" s="1"/>
  <c r="AG648" i="10"/>
  <c r="AF666" i="10"/>
  <c r="AH666" i="10" s="1"/>
  <c r="AI666" i="10" s="1"/>
  <c r="AG666" i="10"/>
  <c r="AF682" i="10"/>
  <c r="AH682" i="10" s="1"/>
  <c r="AI682" i="10" s="1"/>
  <c r="AG682" i="10"/>
  <c r="AG725" i="10"/>
  <c r="AF725" i="10"/>
  <c r="AH725" i="10" s="1"/>
  <c r="AI725" i="10" s="1"/>
  <c r="AF746" i="10"/>
  <c r="AH746" i="10" s="1"/>
  <c r="AI746" i="10" s="1"/>
  <c r="AG746" i="10"/>
  <c r="AG780" i="10"/>
  <c r="AF780" i="10"/>
  <c r="AH780" i="10" s="1"/>
  <c r="AI780" i="10" s="1"/>
  <c r="AJ286" i="10"/>
  <c r="AJ302" i="10"/>
  <c r="AJ318" i="10"/>
  <c r="AJ320" i="10"/>
  <c r="AJ322" i="10"/>
  <c r="AJ336" i="10"/>
  <c r="AJ338" i="10"/>
  <c r="AJ354" i="10"/>
  <c r="AJ368" i="10"/>
  <c r="AJ370" i="10"/>
  <c r="AG390" i="10"/>
  <c r="AF390" i="10"/>
  <c r="AH390" i="10" s="1"/>
  <c r="AI390" i="10" s="1"/>
  <c r="AG406" i="10"/>
  <c r="AF406" i="10"/>
  <c r="AH406" i="10" s="1"/>
  <c r="AI406" i="10" s="1"/>
  <c r="AG422" i="10"/>
  <c r="AF422" i="10"/>
  <c r="AH422" i="10" s="1"/>
  <c r="AI422" i="10" s="1"/>
  <c r="AG438" i="10"/>
  <c r="AF438" i="10"/>
  <c r="AH438" i="10" s="1"/>
  <c r="AI438" i="10" s="1"/>
  <c r="AJ442" i="10"/>
  <c r="AJ458" i="10"/>
  <c r="AJ474" i="10"/>
  <c r="AJ490" i="10"/>
  <c r="AJ506" i="10"/>
  <c r="AJ522" i="10"/>
  <c r="AJ538" i="10"/>
  <c r="AJ554" i="10"/>
  <c r="AJ570" i="10"/>
  <c r="AJ586" i="10"/>
  <c r="AJ602" i="10"/>
  <c r="AG733" i="10"/>
  <c r="AF733" i="10"/>
  <c r="AH733" i="10" s="1"/>
  <c r="AI733" i="10" s="1"/>
  <c r="AJ385" i="10"/>
  <c r="AG392" i="10"/>
  <c r="AF392" i="10"/>
  <c r="AH392" i="10" s="1"/>
  <c r="AI392" i="10" s="1"/>
  <c r="AJ401" i="10"/>
  <c r="AG408" i="10"/>
  <c r="AF408" i="10"/>
  <c r="AH408" i="10" s="1"/>
  <c r="AI408" i="10" s="1"/>
  <c r="AJ417" i="10"/>
  <c r="AG424" i="10"/>
  <c r="AF424" i="10"/>
  <c r="AH424" i="10" s="1"/>
  <c r="AI424" i="10" s="1"/>
  <c r="AJ433" i="10"/>
  <c r="AG444" i="10"/>
  <c r="AF444" i="10"/>
  <c r="AH444" i="10" s="1"/>
  <c r="AI444" i="10" s="1"/>
  <c r="AG452" i="10"/>
  <c r="AF452" i="10"/>
  <c r="AH452" i="10" s="1"/>
  <c r="AI452" i="10" s="1"/>
  <c r="AG460" i="10"/>
  <c r="AF460" i="10"/>
  <c r="AH460" i="10" s="1"/>
  <c r="AI460" i="10" s="1"/>
  <c r="AG468" i="10"/>
  <c r="AF468" i="10"/>
  <c r="AH468" i="10" s="1"/>
  <c r="AI468" i="10" s="1"/>
  <c r="AG476" i="10"/>
  <c r="AF476" i="10"/>
  <c r="AH476" i="10" s="1"/>
  <c r="AI476" i="10" s="1"/>
  <c r="AG484" i="10"/>
  <c r="AF484" i="10"/>
  <c r="AH484" i="10" s="1"/>
  <c r="AI484" i="10" s="1"/>
  <c r="AG492" i="10"/>
  <c r="AF492" i="10"/>
  <c r="AH492" i="10" s="1"/>
  <c r="AI492" i="10" s="1"/>
  <c r="AG500" i="10"/>
  <c r="AF500" i="10"/>
  <c r="AH500" i="10" s="1"/>
  <c r="AI500" i="10" s="1"/>
  <c r="AG508" i="10"/>
  <c r="AF508" i="10"/>
  <c r="AH508" i="10" s="1"/>
  <c r="AI508" i="10" s="1"/>
  <c r="AG516" i="10"/>
  <c r="AF516" i="10"/>
  <c r="AH516" i="10" s="1"/>
  <c r="AI516" i="10" s="1"/>
  <c r="AG524" i="10"/>
  <c r="AF524" i="10"/>
  <c r="AH524" i="10" s="1"/>
  <c r="AI524" i="10" s="1"/>
  <c r="AG532" i="10"/>
  <c r="AF532" i="10"/>
  <c r="AH532" i="10" s="1"/>
  <c r="AI532" i="10" s="1"/>
  <c r="AG540" i="10"/>
  <c r="AF540" i="10"/>
  <c r="AH540" i="10" s="1"/>
  <c r="AI540" i="10" s="1"/>
  <c r="AG548" i="10"/>
  <c r="AF548" i="10"/>
  <c r="AH548" i="10" s="1"/>
  <c r="AI548" i="10" s="1"/>
  <c r="AG556" i="10"/>
  <c r="AF556" i="10"/>
  <c r="AH556" i="10" s="1"/>
  <c r="AI556" i="10" s="1"/>
  <c r="AG564" i="10"/>
  <c r="AF564" i="10"/>
  <c r="AH564" i="10" s="1"/>
  <c r="AI564" i="10" s="1"/>
  <c r="AG572" i="10"/>
  <c r="AF572" i="10"/>
  <c r="AH572" i="10" s="1"/>
  <c r="AI572" i="10" s="1"/>
  <c r="AG580" i="10"/>
  <c r="AF580" i="10"/>
  <c r="AH580" i="10" s="1"/>
  <c r="AI580" i="10" s="1"/>
  <c r="AG588" i="10"/>
  <c r="AF588" i="10"/>
  <c r="AH588" i="10" s="1"/>
  <c r="AI588" i="10" s="1"/>
  <c r="AG596" i="10"/>
  <c r="AF596" i="10"/>
  <c r="AH596" i="10" s="1"/>
  <c r="AI596" i="10" s="1"/>
  <c r="AG604" i="10"/>
  <c r="AF604" i="10"/>
  <c r="AH604" i="10" s="1"/>
  <c r="AI604" i="10" s="1"/>
  <c r="AF616" i="10"/>
  <c r="AH616" i="10" s="1"/>
  <c r="AI616" i="10" s="1"/>
  <c r="AG616" i="10"/>
  <c r="AF628" i="10"/>
  <c r="AH628" i="10" s="1"/>
  <c r="AI628" i="10" s="1"/>
  <c r="AG628" i="10"/>
  <c r="AJ628" i="10" s="1"/>
  <c r="AJ639" i="10"/>
  <c r="AF650" i="10"/>
  <c r="AH650" i="10" s="1"/>
  <c r="AI650" i="10" s="1"/>
  <c r="AG650" i="10"/>
  <c r="AJ662" i="10"/>
  <c r="AJ663" i="10"/>
  <c r="AG675" i="10"/>
  <c r="AF675" i="10"/>
  <c r="AH675" i="10" s="1"/>
  <c r="AI675" i="10" s="1"/>
  <c r="AJ680" i="10"/>
  <c r="AJ689" i="10"/>
  <c r="AF706" i="10"/>
  <c r="AH706" i="10" s="1"/>
  <c r="AI706" i="10" s="1"/>
  <c r="AG706" i="10"/>
  <c r="AG757" i="10"/>
  <c r="AF757" i="10"/>
  <c r="AH757" i="10" s="1"/>
  <c r="AI757" i="10" s="1"/>
  <c r="AJ763" i="10"/>
  <c r="AG765" i="10"/>
  <c r="AF765" i="10"/>
  <c r="AH765" i="10" s="1"/>
  <c r="AI765" i="10" s="1"/>
  <c r="AG778" i="10"/>
  <c r="AF778" i="10"/>
  <c r="AH778" i="10" s="1"/>
  <c r="AI778" i="10" s="1"/>
  <c r="AG818" i="10"/>
  <c r="AF818" i="10"/>
  <c r="AH818" i="10" s="1"/>
  <c r="AI818" i="10" s="1"/>
  <c r="AG909" i="10"/>
  <c r="AF909" i="10"/>
  <c r="AH909" i="10" s="1"/>
  <c r="AI909" i="10" s="1"/>
  <c r="AG384" i="10"/>
  <c r="AF384" i="10"/>
  <c r="AH384" i="10" s="1"/>
  <c r="AI384" i="10" s="1"/>
  <c r="AJ393" i="10"/>
  <c r="AG400" i="10"/>
  <c r="AF400" i="10"/>
  <c r="AH400" i="10" s="1"/>
  <c r="AI400" i="10" s="1"/>
  <c r="AG416" i="10"/>
  <c r="AF416" i="10"/>
  <c r="AH416" i="10" s="1"/>
  <c r="AI416" i="10" s="1"/>
  <c r="AJ425" i="10"/>
  <c r="AG432" i="10"/>
  <c r="AF432" i="10"/>
  <c r="AH432" i="10" s="1"/>
  <c r="AI432" i="10" s="1"/>
  <c r="AG440" i="10"/>
  <c r="AF440" i="10"/>
  <c r="AH440" i="10" s="1"/>
  <c r="AI440" i="10" s="1"/>
  <c r="AG448" i="10"/>
  <c r="AF448" i="10"/>
  <c r="AH448" i="10" s="1"/>
  <c r="AI448" i="10" s="1"/>
  <c r="AG456" i="10"/>
  <c r="AF456" i="10"/>
  <c r="AH456" i="10" s="1"/>
  <c r="AI456" i="10" s="1"/>
  <c r="AG464" i="10"/>
  <c r="AF464" i="10"/>
  <c r="AH464" i="10" s="1"/>
  <c r="AI464" i="10" s="1"/>
  <c r="AG472" i="10"/>
  <c r="AF472" i="10"/>
  <c r="AH472" i="10" s="1"/>
  <c r="AI472" i="10" s="1"/>
  <c r="AG480" i="10"/>
  <c r="AF480" i="10"/>
  <c r="AH480" i="10" s="1"/>
  <c r="AI480" i="10" s="1"/>
  <c r="AG488" i="10"/>
  <c r="AF488" i="10"/>
  <c r="AH488" i="10" s="1"/>
  <c r="AI488" i="10" s="1"/>
  <c r="AG496" i="10"/>
  <c r="AF496" i="10"/>
  <c r="AH496" i="10" s="1"/>
  <c r="AI496" i="10" s="1"/>
  <c r="AG504" i="10"/>
  <c r="AF504" i="10"/>
  <c r="AH504" i="10" s="1"/>
  <c r="AI504" i="10" s="1"/>
  <c r="AG512" i="10"/>
  <c r="AF512" i="10"/>
  <c r="AH512" i="10" s="1"/>
  <c r="AI512" i="10" s="1"/>
  <c r="AG520" i="10"/>
  <c r="AF520" i="10"/>
  <c r="AH520" i="10" s="1"/>
  <c r="AI520" i="10" s="1"/>
  <c r="AG528" i="10"/>
  <c r="AF528" i="10"/>
  <c r="AH528" i="10" s="1"/>
  <c r="AI528" i="10" s="1"/>
  <c r="AG536" i="10"/>
  <c r="AF536" i="10"/>
  <c r="AH536" i="10" s="1"/>
  <c r="AI536" i="10" s="1"/>
  <c r="AG544" i="10"/>
  <c r="AF544" i="10"/>
  <c r="AH544" i="10" s="1"/>
  <c r="AI544" i="10" s="1"/>
  <c r="AG552" i="10"/>
  <c r="AF552" i="10"/>
  <c r="AH552" i="10" s="1"/>
  <c r="AI552" i="10" s="1"/>
  <c r="AG560" i="10"/>
  <c r="AF560" i="10"/>
  <c r="AH560" i="10" s="1"/>
  <c r="AI560" i="10" s="1"/>
  <c r="AG568" i="10"/>
  <c r="AF568" i="10"/>
  <c r="AH568" i="10" s="1"/>
  <c r="AI568" i="10" s="1"/>
  <c r="AG576" i="10"/>
  <c r="AF576" i="10"/>
  <c r="AH576" i="10" s="1"/>
  <c r="AI576" i="10" s="1"/>
  <c r="AG584" i="10"/>
  <c r="AF584" i="10"/>
  <c r="AH584" i="10" s="1"/>
  <c r="AI584" i="10" s="1"/>
  <c r="AG592" i="10"/>
  <c r="AF592" i="10"/>
  <c r="AH592" i="10" s="1"/>
  <c r="AI592" i="10" s="1"/>
  <c r="AG600" i="10"/>
  <c r="AF600" i="10"/>
  <c r="AH600" i="10" s="1"/>
  <c r="AI600" i="10" s="1"/>
  <c r="AG608" i="10"/>
  <c r="AF608" i="10"/>
  <c r="AH608" i="10" s="1"/>
  <c r="AI608" i="10" s="1"/>
  <c r="AF613" i="10"/>
  <c r="AH613" i="10" s="1"/>
  <c r="AI613" i="10" s="1"/>
  <c r="AG613" i="10"/>
  <c r="AJ613" i="10" s="1"/>
  <c r="AG625" i="10"/>
  <c r="AF625" i="10"/>
  <c r="AH625" i="10" s="1"/>
  <c r="AI625" i="10" s="1"/>
  <c r="AJ635" i="10"/>
  <c r="AF637" i="10"/>
  <c r="AH637" i="10" s="1"/>
  <c r="AI637" i="10" s="1"/>
  <c r="AG637" i="10"/>
  <c r="AJ655" i="10"/>
  <c r="AF660" i="10"/>
  <c r="AH660" i="10" s="1"/>
  <c r="AI660" i="10" s="1"/>
  <c r="AG660" i="10"/>
  <c r="AJ660" i="10" s="1"/>
  <c r="AJ664" i="10"/>
  <c r="AG693" i="10"/>
  <c r="AF693" i="10"/>
  <c r="AH693" i="10" s="1"/>
  <c r="AI693" i="10" s="1"/>
  <c r="AJ699" i="10"/>
  <c r="AG701" i="10"/>
  <c r="AF701" i="10"/>
  <c r="AH701" i="10" s="1"/>
  <c r="AI701" i="10" s="1"/>
  <c r="AF714" i="10"/>
  <c r="AH714" i="10" s="1"/>
  <c r="AI714" i="10" s="1"/>
  <c r="AG714" i="10"/>
  <c r="AJ714" i="10" s="1"/>
  <c r="AG739" i="10"/>
  <c r="AF739" i="10"/>
  <c r="AH739" i="10" s="1"/>
  <c r="AI739" i="10" s="1"/>
  <c r="AJ753" i="10"/>
  <c r="AJ767" i="10"/>
  <c r="AF612" i="10"/>
  <c r="AH612" i="10" s="1"/>
  <c r="AI612" i="10" s="1"/>
  <c r="AG612" i="10"/>
  <c r="AJ614" i="10"/>
  <c r="AJ627" i="10"/>
  <c r="AJ631" i="10"/>
  <c r="AF634" i="10"/>
  <c r="AH634" i="10" s="1"/>
  <c r="AI634" i="10" s="1"/>
  <c r="AG634" i="10"/>
  <c r="AJ634" i="10" s="1"/>
  <c r="AJ642" i="10"/>
  <c r="AF656" i="10"/>
  <c r="AH656" i="10" s="1"/>
  <c r="AI656" i="10" s="1"/>
  <c r="AG656" i="10"/>
  <c r="AF668" i="10"/>
  <c r="AH668" i="10" s="1"/>
  <c r="AI668" i="10" s="1"/>
  <c r="AG668" i="10"/>
  <c r="AG677" i="10"/>
  <c r="AF677" i="10"/>
  <c r="AH677" i="10" s="1"/>
  <c r="AI677" i="10" s="1"/>
  <c r="AF690" i="10"/>
  <c r="AH690" i="10" s="1"/>
  <c r="AI690" i="10" s="1"/>
  <c r="AG690" i="10"/>
  <c r="AJ697" i="10"/>
  <c r="AG709" i="10"/>
  <c r="AJ709" i="10" s="1"/>
  <c r="AF709" i="10"/>
  <c r="AH709" i="10" s="1"/>
  <c r="AI709" i="10" s="1"/>
  <c r="AF722" i="10"/>
  <c r="AH722" i="10" s="1"/>
  <c r="AI722" i="10" s="1"/>
  <c r="AG722" i="10"/>
  <c r="AJ728" i="10"/>
  <c r="AJ729" i="10"/>
  <c r="AG741" i="10"/>
  <c r="AF741" i="10"/>
  <c r="AH741" i="10" s="1"/>
  <c r="AI741" i="10" s="1"/>
  <c r="AF754" i="10"/>
  <c r="AH754" i="10" s="1"/>
  <c r="AI754" i="10" s="1"/>
  <c r="AG754" i="10"/>
  <c r="AJ761" i="10"/>
  <c r="AJ776" i="10"/>
  <c r="AG802" i="10"/>
  <c r="AF802" i="10"/>
  <c r="AH802" i="10" s="1"/>
  <c r="AI802" i="10" s="1"/>
  <c r="AG907" i="10"/>
  <c r="AF907" i="10"/>
  <c r="AH907" i="10" s="1"/>
  <c r="AI907" i="10" s="1"/>
  <c r="AJ615" i="10"/>
  <c r="AF620" i="10"/>
  <c r="AH620" i="10" s="1"/>
  <c r="AI620" i="10" s="1"/>
  <c r="AG620" i="10"/>
  <c r="AJ622" i="10"/>
  <c r="AJ624" i="10"/>
  <c r="AF636" i="10"/>
  <c r="AH636" i="10" s="1"/>
  <c r="AI636" i="10" s="1"/>
  <c r="AG636" i="10"/>
  <c r="AJ640" i="10"/>
  <c r="AF644" i="10"/>
  <c r="AH644" i="10" s="1"/>
  <c r="AI644" i="10" s="1"/>
  <c r="AG644" i="10"/>
  <c r="AF653" i="10"/>
  <c r="AH653" i="10" s="1"/>
  <c r="AI653" i="10" s="1"/>
  <c r="AG653" i="10"/>
  <c r="AJ653" i="10" s="1"/>
  <c r="AJ672" i="10"/>
  <c r="AG685" i="10"/>
  <c r="AF685" i="10"/>
  <c r="AH685" i="10" s="1"/>
  <c r="AI685" i="10" s="1"/>
  <c r="AF698" i="10"/>
  <c r="AH698" i="10" s="1"/>
  <c r="AI698" i="10" s="1"/>
  <c r="AG698" i="10"/>
  <c r="AG717" i="10"/>
  <c r="AF717" i="10"/>
  <c r="AH717" i="10" s="1"/>
  <c r="AI717" i="10" s="1"/>
  <c r="AF730" i="10"/>
  <c r="AH730" i="10" s="1"/>
  <c r="AI730" i="10" s="1"/>
  <c r="AG730" i="10"/>
  <c r="AJ736" i="10"/>
  <c r="AG749" i="10"/>
  <c r="AJ749" i="10" s="1"/>
  <c r="AF749" i="10"/>
  <c r="AH749" i="10" s="1"/>
  <c r="AI749" i="10" s="1"/>
  <c r="AF762" i="10"/>
  <c r="AH762" i="10" s="1"/>
  <c r="AI762" i="10" s="1"/>
  <c r="AG762" i="10"/>
  <c r="AG850" i="10"/>
  <c r="AJ850" i="10" s="1"/>
  <c r="AF850" i="10"/>
  <c r="AH850" i="10" s="1"/>
  <c r="AI850" i="10" s="1"/>
  <c r="AG950" i="10"/>
  <c r="AF950" i="10"/>
  <c r="AH950" i="10" s="1"/>
  <c r="AI950" i="10" s="1"/>
  <c r="AJ647" i="10"/>
  <c r="AF652" i="10"/>
  <c r="AH652" i="10" s="1"/>
  <c r="AI652" i="10" s="1"/>
  <c r="AG652" i="10"/>
  <c r="AF676" i="10"/>
  <c r="AH676" i="10" s="1"/>
  <c r="AI676" i="10" s="1"/>
  <c r="AG676" i="10"/>
  <c r="AF684" i="10"/>
  <c r="AH684" i="10" s="1"/>
  <c r="AI684" i="10" s="1"/>
  <c r="AG684" i="10"/>
  <c r="AF692" i="10"/>
  <c r="AH692" i="10" s="1"/>
  <c r="AI692" i="10" s="1"/>
  <c r="AG692" i="10"/>
  <c r="AF700" i="10"/>
  <c r="AH700" i="10" s="1"/>
  <c r="AI700" i="10" s="1"/>
  <c r="AG700" i="10"/>
  <c r="AF708" i="10"/>
  <c r="AH708" i="10" s="1"/>
  <c r="AI708" i="10" s="1"/>
  <c r="AG708" i="10"/>
  <c r="AF716" i="10"/>
  <c r="AH716" i="10" s="1"/>
  <c r="AI716" i="10" s="1"/>
  <c r="AG716" i="10"/>
  <c r="AF724" i="10"/>
  <c r="AH724" i="10" s="1"/>
  <c r="AI724" i="10" s="1"/>
  <c r="AG724" i="10"/>
  <c r="AF732" i="10"/>
  <c r="AH732" i="10" s="1"/>
  <c r="AI732" i="10" s="1"/>
  <c r="AG732" i="10"/>
  <c r="AF740" i="10"/>
  <c r="AH740" i="10" s="1"/>
  <c r="AI740" i="10" s="1"/>
  <c r="AG740" i="10"/>
  <c r="AF748" i="10"/>
  <c r="AH748" i="10" s="1"/>
  <c r="AI748" i="10" s="1"/>
  <c r="AG748" i="10"/>
  <c r="AF756" i="10"/>
  <c r="AH756" i="10" s="1"/>
  <c r="AI756" i="10" s="1"/>
  <c r="AG756" i="10"/>
  <c r="AF764" i="10"/>
  <c r="AH764" i="10" s="1"/>
  <c r="AI764" i="10" s="1"/>
  <c r="AG764" i="10"/>
  <c r="AG774" i="10"/>
  <c r="AF774" i="10"/>
  <c r="AH774" i="10" s="1"/>
  <c r="AI774" i="10" s="1"/>
  <c r="AJ787" i="10"/>
  <c r="AG794" i="10"/>
  <c r="AF794" i="10"/>
  <c r="AH794" i="10" s="1"/>
  <c r="AI794" i="10" s="1"/>
  <c r="AG826" i="10"/>
  <c r="AF826" i="10"/>
  <c r="AH826" i="10" s="1"/>
  <c r="AI826" i="10" s="1"/>
  <c r="AG858" i="10"/>
  <c r="AF858" i="10"/>
  <c r="AH858" i="10" s="1"/>
  <c r="AI858" i="10" s="1"/>
  <c r="AJ875" i="10"/>
  <c r="AJ877" i="10"/>
  <c r="AG883" i="10"/>
  <c r="AF883" i="10"/>
  <c r="AH883" i="10" s="1"/>
  <c r="AI883" i="10" s="1"/>
  <c r="AG810" i="10"/>
  <c r="AF810" i="10"/>
  <c r="AH810" i="10" s="1"/>
  <c r="AI810" i="10" s="1"/>
  <c r="AG842" i="10"/>
  <c r="AF842" i="10"/>
  <c r="AH842" i="10" s="1"/>
  <c r="AI842" i="10" s="1"/>
  <c r="AF871" i="10"/>
  <c r="AH871" i="10" s="1"/>
  <c r="AI871" i="10" s="1"/>
  <c r="AG871" i="10"/>
  <c r="AJ885" i="10"/>
  <c r="AJ894" i="10"/>
  <c r="AG930" i="10"/>
  <c r="AF930" i="10"/>
  <c r="AH930" i="10" s="1"/>
  <c r="AI930" i="10" s="1"/>
  <c r="AG766" i="10"/>
  <c r="AJ766" i="10" s="1"/>
  <c r="AF766" i="10"/>
  <c r="AH766" i="10" s="1"/>
  <c r="AI766" i="10" s="1"/>
  <c r="AJ775" i="10"/>
  <c r="AG782" i="10"/>
  <c r="AF782" i="10"/>
  <c r="AH782" i="10" s="1"/>
  <c r="AI782" i="10" s="1"/>
  <c r="AG790" i="10"/>
  <c r="AF790" i="10"/>
  <c r="AH790" i="10" s="1"/>
  <c r="AI790" i="10" s="1"/>
  <c r="AG798" i="10"/>
  <c r="AF798" i="10"/>
  <c r="AH798" i="10" s="1"/>
  <c r="AI798" i="10" s="1"/>
  <c r="AG806" i="10"/>
  <c r="AF806" i="10"/>
  <c r="AH806" i="10" s="1"/>
  <c r="AI806" i="10" s="1"/>
  <c r="AG814" i="10"/>
  <c r="AF814" i="10"/>
  <c r="AH814" i="10" s="1"/>
  <c r="AI814" i="10" s="1"/>
  <c r="AG822" i="10"/>
  <c r="AF822" i="10"/>
  <c r="AH822" i="10" s="1"/>
  <c r="AI822" i="10" s="1"/>
  <c r="AG830" i="10"/>
  <c r="AF830" i="10"/>
  <c r="AH830" i="10" s="1"/>
  <c r="AI830" i="10" s="1"/>
  <c r="AG838" i="10"/>
  <c r="AF838" i="10"/>
  <c r="AH838" i="10" s="1"/>
  <c r="AI838" i="10" s="1"/>
  <c r="AG846" i="10"/>
  <c r="AF846" i="10"/>
  <c r="AH846" i="10" s="1"/>
  <c r="AI846" i="10" s="1"/>
  <c r="AG854" i="10"/>
  <c r="AF854" i="10"/>
  <c r="AH854" i="10" s="1"/>
  <c r="AI854" i="10" s="1"/>
  <c r="AG862" i="10"/>
  <c r="AF862" i="10"/>
  <c r="AH862" i="10" s="1"/>
  <c r="AI862" i="10" s="1"/>
  <c r="AF886" i="10"/>
  <c r="AH886" i="10" s="1"/>
  <c r="AI886" i="10" s="1"/>
  <c r="AG886" i="10"/>
  <c r="AG934" i="10"/>
  <c r="AF934" i="10"/>
  <c r="AH934" i="10" s="1"/>
  <c r="AI934" i="10" s="1"/>
  <c r="AJ973" i="10"/>
  <c r="AG978" i="10"/>
  <c r="AF978" i="10"/>
  <c r="AH978" i="10" s="1"/>
  <c r="AI978" i="10" s="1"/>
  <c r="AJ678" i="10"/>
  <c r="AJ686" i="10"/>
  <c r="AJ694" i="10"/>
  <c r="AJ702" i="10"/>
  <c r="AJ710" i="10"/>
  <c r="AJ718" i="10"/>
  <c r="AJ726" i="10"/>
  <c r="AJ734" i="10"/>
  <c r="AJ742" i="10"/>
  <c r="AJ750" i="10"/>
  <c r="AJ758" i="10"/>
  <c r="AG770" i="10"/>
  <c r="AF770" i="10"/>
  <c r="AH770" i="10" s="1"/>
  <c r="AI770" i="10" s="1"/>
  <c r="AJ779" i="10"/>
  <c r="AG786" i="10"/>
  <c r="AF786" i="10"/>
  <c r="AH786" i="10" s="1"/>
  <c r="AI786" i="10" s="1"/>
  <c r="AJ788" i="10"/>
  <c r="AJ791" i="10"/>
  <c r="AJ796" i="10"/>
  <c r="AJ804" i="10"/>
  <c r="AJ807" i="10"/>
  <c r="AJ815" i="10"/>
  <c r="AJ823" i="10"/>
  <c r="AJ828" i="10"/>
  <c r="AJ831" i="10"/>
  <c r="AJ836" i="10"/>
  <c r="AJ839" i="10"/>
  <c r="AJ847" i="10"/>
  <c r="AJ852" i="10"/>
  <c r="AJ855" i="10"/>
  <c r="AJ863" i="10"/>
  <c r="AF874" i="10"/>
  <c r="AH874" i="10" s="1"/>
  <c r="AI874" i="10" s="1"/>
  <c r="AG874" i="10"/>
  <c r="AF884" i="10"/>
  <c r="AH884" i="10" s="1"/>
  <c r="AI884" i="10" s="1"/>
  <c r="AG884" i="10"/>
  <c r="AJ884" i="10" s="1"/>
  <c r="AG893" i="10"/>
  <c r="AF893" i="10"/>
  <c r="AH893" i="10" s="1"/>
  <c r="AI893" i="10" s="1"/>
  <c r="AJ912" i="10"/>
  <c r="AJ865" i="10"/>
  <c r="AF870" i="10"/>
  <c r="AH870" i="10" s="1"/>
  <c r="AI870" i="10" s="1"/>
  <c r="AG870" i="10"/>
  <c r="AJ872" i="10"/>
  <c r="AJ895" i="10"/>
  <c r="AJ896" i="10"/>
  <c r="AJ902" i="10"/>
  <c r="AJ918" i="10"/>
  <c r="AJ932" i="10"/>
  <c r="AJ957" i="10"/>
  <c r="AG962" i="10"/>
  <c r="AF962" i="10"/>
  <c r="AH962" i="10" s="1"/>
  <c r="AI962" i="10" s="1"/>
  <c r="AJ982" i="10"/>
  <c r="AJ873" i="10"/>
  <c r="AF878" i="10"/>
  <c r="AH878" i="10" s="1"/>
  <c r="AI878" i="10" s="1"/>
  <c r="AG878" i="10"/>
  <c r="AJ878" i="10" s="1"/>
  <c r="AJ880" i="10"/>
  <c r="AJ882" i="10"/>
  <c r="AJ892" i="10"/>
  <c r="AG899" i="10"/>
  <c r="AF899" i="10"/>
  <c r="AH899" i="10" s="1"/>
  <c r="AI899" i="10" s="1"/>
  <c r="AJ901" i="10"/>
  <c r="AJ903" i="10"/>
  <c r="AJ904" i="10"/>
  <c r="AG946" i="10"/>
  <c r="AJ946" i="10" s="1"/>
  <c r="AF946" i="10"/>
  <c r="AH946" i="10" s="1"/>
  <c r="AI946" i="10" s="1"/>
  <c r="AJ966" i="10"/>
  <c r="AJ900" i="10"/>
  <c r="AJ908" i="10"/>
  <c r="AJ921" i="10"/>
  <c r="AJ928" i="10"/>
  <c r="AJ937" i="10"/>
  <c r="AJ944" i="10"/>
  <c r="AJ960" i="10"/>
  <c r="AJ969" i="10"/>
  <c r="AJ976" i="10"/>
  <c r="AJ985" i="10"/>
  <c r="AJ898" i="10"/>
  <c r="AJ906" i="10"/>
  <c r="AJ914" i="10"/>
  <c r="AJ924" i="10"/>
  <c r="AJ940" i="10"/>
  <c r="AJ956" i="10"/>
  <c r="AJ972" i="10"/>
  <c r="AJ988" i="10"/>
  <c r="AR2" i="6"/>
  <c r="AS2" i="6" s="1"/>
  <c r="AP1" i="6"/>
  <c r="AC4" i="5"/>
  <c r="AE4" i="5" s="1"/>
  <c r="AF4" i="5" s="1"/>
  <c r="AG4" i="5" s="1"/>
  <c r="AP3" i="5" s="1"/>
  <c r="AC6" i="5"/>
  <c r="AE6" i="5" s="1"/>
  <c r="AF6" i="5" s="1"/>
  <c r="AG6" i="5" s="1"/>
  <c r="AG8" i="10"/>
  <c r="AJ8" i="10" s="1"/>
  <c r="AG6" i="10"/>
  <c r="AJ6" i="10" s="1"/>
  <c r="AG4" i="10"/>
  <c r="AJ4" i="10" s="1"/>
  <c r="AF3" i="10"/>
  <c r="AH3" i="10" s="1"/>
  <c r="AI3" i="10" s="1"/>
  <c r="AG3" i="10"/>
  <c r="AF5" i="10"/>
  <c r="AH5" i="10" s="1"/>
  <c r="AI5" i="10" s="1"/>
  <c r="AJ5" i="10" s="1"/>
  <c r="AF7" i="10"/>
  <c r="AH7" i="10" s="1"/>
  <c r="AI7" i="10" s="1"/>
  <c r="AJ7" i="10" s="1"/>
  <c r="AF9" i="10"/>
  <c r="AH9" i="10" s="1"/>
  <c r="AI9" i="10" s="1"/>
  <c r="AJ9" i="10" s="1"/>
  <c r="AC1" i="6"/>
  <c r="AL2" i="10"/>
  <c r="AL3" i="10" s="1"/>
  <c r="AP5" i="6" l="1"/>
  <c r="AP14" i="6"/>
  <c r="AP8" i="6"/>
  <c r="AP7" i="6"/>
  <c r="AP6" i="6"/>
  <c r="AP3" i="6"/>
  <c r="AP4" i="6"/>
  <c r="AJ3" i="5"/>
  <c r="F3" i="5" s="1"/>
  <c r="AB3" i="5" s="1"/>
  <c r="AD3" i="5" s="1"/>
  <c r="AI3" i="5"/>
  <c r="H16" i="5" s="1"/>
  <c r="AP11" i="6"/>
  <c r="AP13" i="6"/>
  <c r="AP9" i="6"/>
  <c r="AP12" i="6"/>
  <c r="AP2" i="6"/>
  <c r="AP10" i="6"/>
  <c r="AG390" i="5"/>
  <c r="AG368" i="5"/>
  <c r="AG767" i="5"/>
  <c r="AG904" i="5"/>
  <c r="AG796" i="5"/>
  <c r="AG737" i="5"/>
  <c r="AG722" i="5"/>
  <c r="AG382" i="5"/>
  <c r="AG400" i="5"/>
  <c r="AG967" i="5"/>
  <c r="AG991" i="5"/>
  <c r="AG690" i="5"/>
  <c r="AG385" i="5"/>
  <c r="AG381" i="5"/>
  <c r="AG377" i="5"/>
  <c r="AG398" i="5"/>
  <c r="AG394" i="5"/>
  <c r="AG232" i="5"/>
  <c r="AG597" i="5"/>
  <c r="AG657" i="5"/>
  <c r="AG590" i="5"/>
  <c r="AG729" i="5"/>
  <c r="AG788" i="5"/>
  <c r="AG613" i="5"/>
  <c r="AG563" i="5"/>
  <c r="AG900" i="5"/>
  <c r="AG857" i="5"/>
  <c r="AG849" i="5"/>
  <c r="AG786" i="5"/>
  <c r="AG953" i="5"/>
  <c r="AG579" i="5"/>
  <c r="AG541" i="5"/>
  <c r="AG504" i="5"/>
  <c r="AG407" i="5"/>
  <c r="AG389" i="5"/>
  <c r="AG976" i="5"/>
  <c r="AG957" i="5"/>
  <c r="AG700" i="5"/>
  <c r="AG671" i="5"/>
  <c r="AG556" i="5"/>
  <c r="AG539" i="5"/>
  <c r="AG246" i="5"/>
  <c r="AG955" i="5"/>
  <c r="AG928" i="5"/>
  <c r="AG864" i="5"/>
  <c r="AG698" i="5"/>
  <c r="AG669" i="5"/>
  <c r="AG552" i="5"/>
  <c r="AG533" i="5"/>
  <c r="AG739" i="5"/>
  <c r="AG630" i="5"/>
  <c r="AG653" i="5"/>
  <c r="AG444" i="5"/>
  <c r="AG358" i="5"/>
  <c r="AG911" i="5"/>
  <c r="AG755" i="5"/>
  <c r="AG742" i="5"/>
  <c r="AG716" i="5"/>
  <c r="AG784" i="5"/>
  <c r="AG757" i="5"/>
  <c r="AG736" i="5"/>
  <c r="AG718" i="5"/>
  <c r="AG692" i="5"/>
  <c r="AG662" i="5"/>
  <c r="AG537" i="5"/>
  <c r="AG558" i="5"/>
  <c r="AG775" i="5"/>
  <c r="AG593" i="5"/>
  <c r="AG628" i="5"/>
  <c r="AG561" i="5"/>
  <c r="AG601" i="5"/>
  <c r="AG442" i="5"/>
  <c r="AG401" i="5"/>
  <c r="AG371" i="5"/>
  <c r="AG364" i="5"/>
  <c r="AG959" i="5"/>
  <c r="AG987" i="5"/>
  <c r="AG850" i="5"/>
  <c r="AG387" i="5"/>
  <c r="AG383" i="5"/>
  <c r="AG379" i="5"/>
  <c r="AG414" i="5"/>
  <c r="AG396" i="5"/>
  <c r="AG241" i="5"/>
  <c r="AG242" i="5"/>
  <c r="AG902" i="5"/>
  <c r="AG924" i="5"/>
  <c r="AG913" i="5"/>
  <c r="AG835" i="5"/>
  <c r="AG801" i="5"/>
  <c r="AG797" i="5"/>
  <c r="AG793" i="5"/>
  <c r="AG763" i="5"/>
  <c r="AG749" i="5"/>
  <c r="AG727" i="5"/>
  <c r="AG751" i="5"/>
  <c r="AG760" i="5"/>
  <c r="AG673" i="5"/>
  <c r="AG696" i="5"/>
  <c r="AG675" i="5"/>
  <c r="AG577" i="5"/>
  <c r="AG543" i="5"/>
  <c r="AG506" i="5"/>
  <c r="AG121" i="5"/>
  <c r="AG961" i="5"/>
  <c r="AG963" i="5"/>
  <c r="AG965" i="5"/>
  <c r="AG930" i="5"/>
  <c r="AG926" i="5"/>
  <c r="AG865" i="5"/>
  <c r="AG803" i="5"/>
  <c r="AG799" i="5"/>
  <c r="AG795" i="5"/>
  <c r="AG765" i="5"/>
  <c r="AG738" i="5"/>
  <c r="AG753" i="5"/>
  <c r="AG740" i="5"/>
  <c r="AG731" i="5"/>
  <c r="AG714" i="5"/>
  <c r="AG694" i="5"/>
  <c r="AG688" i="5"/>
  <c r="AG554" i="5"/>
  <c r="AG535" i="5"/>
  <c r="AG128" i="5"/>
  <c r="B3" i="5"/>
  <c r="AJ770" i="10"/>
  <c r="AJ934" i="10"/>
  <c r="AJ608" i="10"/>
  <c r="AJ592" i="10"/>
  <c r="AJ576" i="10"/>
  <c r="AJ560" i="10"/>
  <c r="AJ544" i="10"/>
  <c r="AJ512" i="10"/>
  <c r="AJ774" i="10"/>
  <c r="AJ528" i="10"/>
  <c r="AJ496" i="10"/>
  <c r="AJ870" i="10"/>
  <c r="AJ874" i="10"/>
  <c r="AJ886" i="10"/>
  <c r="AJ871" i="10"/>
  <c r="AJ652" i="10"/>
  <c r="AJ950" i="10"/>
  <c r="AJ730" i="10"/>
  <c r="AJ685" i="10"/>
  <c r="AJ644" i="10"/>
  <c r="AJ741" i="10"/>
  <c r="AJ677" i="10"/>
  <c r="AJ693" i="10"/>
  <c r="AJ600" i="10"/>
  <c r="AJ584" i="10"/>
  <c r="AJ568" i="10"/>
  <c r="AJ552" i="10"/>
  <c r="AJ536" i="10"/>
  <c r="AJ520" i="10"/>
  <c r="AJ504" i="10"/>
  <c r="AJ488" i="10"/>
  <c r="AJ472" i="10"/>
  <c r="AJ456" i="10"/>
  <c r="AJ440" i="10"/>
  <c r="AJ675" i="10"/>
  <c r="AJ616" i="10"/>
  <c r="AJ392" i="10"/>
  <c r="AJ780" i="10"/>
  <c r="AJ725" i="10"/>
  <c r="AJ707" i="10"/>
  <c r="AJ657" i="10"/>
  <c r="AJ436" i="10"/>
  <c r="AJ420" i="10"/>
  <c r="AJ404" i="10"/>
  <c r="AJ388" i="10"/>
  <c r="AJ915" i="10"/>
  <c r="AJ643" i="10"/>
  <c r="AJ412" i="10"/>
  <c r="AJ927" i="10"/>
  <c r="AJ990" i="10"/>
  <c r="AJ916" i="10"/>
  <c r="AJ967" i="10"/>
  <c r="AJ958" i="10"/>
  <c r="AJ864" i="10"/>
  <c r="AJ856" i="10"/>
  <c r="AJ747" i="10"/>
  <c r="AJ715" i="10"/>
  <c r="AJ1000" i="10"/>
  <c r="AJ917" i="10"/>
  <c r="AJ803" i="10"/>
  <c r="AJ772" i="10"/>
  <c r="AJ866" i="10"/>
  <c r="AJ328" i="10"/>
  <c r="AJ887" i="10"/>
  <c r="AJ671" i="10"/>
  <c r="AJ630" i="10"/>
  <c r="AJ505" i="10"/>
  <c r="AJ665" i="10"/>
  <c r="AJ533" i="10"/>
  <c r="AJ475" i="10"/>
  <c r="AJ591" i="10"/>
  <c r="AJ495" i="10"/>
  <c r="AJ480" i="10"/>
  <c r="AJ448" i="10"/>
  <c r="AJ432" i="10"/>
  <c r="AJ757" i="10"/>
  <c r="AJ424" i="10"/>
  <c r="AJ834" i="10"/>
  <c r="AJ731" i="10"/>
  <c r="AJ617" i="10"/>
  <c r="AJ430" i="10"/>
  <c r="AJ414" i="10"/>
  <c r="AJ398" i="10"/>
  <c r="AJ659" i="10"/>
  <c r="AJ428" i="10"/>
  <c r="AJ396" i="10"/>
  <c r="AJ95" i="10"/>
  <c r="AJ79" i="10"/>
  <c r="AJ63" i="10"/>
  <c r="AJ47" i="10"/>
  <c r="AJ31" i="10"/>
  <c r="AJ15" i="10"/>
  <c r="AJ936" i="10"/>
  <c r="AJ897" i="10"/>
  <c r="AJ996" i="10"/>
  <c r="AJ981" i="10"/>
  <c r="AJ964" i="10"/>
  <c r="AJ891" i="10"/>
  <c r="AJ965" i="10"/>
  <c r="AJ498" i="10"/>
  <c r="AJ913" i="10"/>
  <c r="AJ809" i="10"/>
  <c r="AJ777" i="10"/>
  <c r="AJ768" i="10"/>
  <c r="AJ683" i="10"/>
  <c r="AJ594" i="10"/>
  <c r="AJ403" i="10"/>
  <c r="AJ330" i="10"/>
  <c r="AJ325" i="10"/>
  <c r="AJ423" i="10"/>
  <c r="AJ391" i="10"/>
  <c r="AJ658" i="10"/>
  <c r="AJ562" i="10"/>
  <c r="AJ482" i="10"/>
  <c r="AJ410" i="10"/>
  <c r="AJ464" i="10"/>
  <c r="AJ97" i="10"/>
  <c r="AJ89" i="10"/>
  <c r="AJ81" i="10"/>
  <c r="AJ73" i="10"/>
  <c r="AJ65" i="10"/>
  <c r="AJ57" i="10"/>
  <c r="AJ49" i="10"/>
  <c r="AJ41" i="10"/>
  <c r="AJ33" i="10"/>
  <c r="AJ25" i="10"/>
  <c r="AJ17" i="10"/>
  <c r="AJ12" i="10"/>
  <c r="AJ832" i="10"/>
  <c r="AJ578" i="10"/>
  <c r="AJ477" i="10"/>
  <c r="AJ621" i="10"/>
  <c r="AJ786" i="10"/>
  <c r="AJ978" i="10"/>
  <c r="AJ862" i="10"/>
  <c r="AJ846" i="10"/>
  <c r="AJ830" i="10"/>
  <c r="AJ814" i="10"/>
  <c r="AJ798" i="10"/>
  <c r="AJ782" i="10"/>
  <c r="AJ842" i="10"/>
  <c r="AJ883" i="10"/>
  <c r="AJ858" i="10"/>
  <c r="AJ794" i="10"/>
  <c r="AJ764" i="10"/>
  <c r="AJ748" i="10"/>
  <c r="AJ732" i="10"/>
  <c r="AJ716" i="10"/>
  <c r="AJ700" i="10"/>
  <c r="AJ684" i="10"/>
  <c r="AJ762" i="10"/>
  <c r="AJ717" i="10"/>
  <c r="AJ636" i="10"/>
  <c r="AJ620" i="10"/>
  <c r="AJ907" i="10"/>
  <c r="AJ722" i="10"/>
  <c r="AJ656" i="10"/>
  <c r="AJ612" i="10"/>
  <c r="AJ384" i="10"/>
  <c r="AJ818" i="10"/>
  <c r="AJ765" i="10"/>
  <c r="AJ706" i="10"/>
  <c r="AJ650" i="10"/>
  <c r="AJ604" i="10"/>
  <c r="AJ588" i="10"/>
  <c r="AJ572" i="10"/>
  <c r="AJ556" i="10"/>
  <c r="AJ540" i="10"/>
  <c r="AJ524" i="10"/>
  <c r="AJ508" i="10"/>
  <c r="AJ492" i="10"/>
  <c r="AJ476" i="10"/>
  <c r="AJ460" i="10"/>
  <c r="AJ444" i="10"/>
  <c r="AJ733" i="10"/>
  <c r="AJ422" i="10"/>
  <c r="AJ390" i="10"/>
  <c r="AJ666" i="10"/>
  <c r="AJ645" i="10"/>
  <c r="AJ618" i="10"/>
  <c r="AJ738" i="10"/>
  <c r="AJ99" i="10"/>
  <c r="AJ83" i="10"/>
  <c r="AJ67" i="10"/>
  <c r="AJ51" i="10"/>
  <c r="AJ35" i="10"/>
  <c r="AJ19" i="10"/>
  <c r="AJ899" i="10"/>
  <c r="AJ962" i="10"/>
  <c r="AJ400" i="10"/>
  <c r="AJ37" i="10"/>
  <c r="AJ29" i="10"/>
  <c r="AJ21" i="10"/>
  <c r="AJ13" i="10"/>
  <c r="AP12" i="10" s="1"/>
  <c r="AJ87" i="10"/>
  <c r="AJ71" i="10"/>
  <c r="AJ55" i="10"/>
  <c r="AJ39" i="10"/>
  <c r="AJ23" i="10"/>
  <c r="AJ893" i="10"/>
  <c r="AJ854" i="10"/>
  <c r="AJ838" i="10"/>
  <c r="AJ822" i="10"/>
  <c r="AJ806" i="10"/>
  <c r="AJ790" i="10"/>
  <c r="AJ930" i="10"/>
  <c r="AJ810" i="10"/>
  <c r="AJ826" i="10"/>
  <c r="AJ756" i="10"/>
  <c r="AJ740" i="10"/>
  <c r="AJ724" i="10"/>
  <c r="AJ708" i="10"/>
  <c r="AJ692" i="10"/>
  <c r="AJ676" i="10"/>
  <c r="AJ698" i="10"/>
  <c r="AJ802" i="10"/>
  <c r="AJ754" i="10"/>
  <c r="AJ690" i="10"/>
  <c r="AJ668" i="10"/>
  <c r="AJ739" i="10"/>
  <c r="AJ701" i="10"/>
  <c r="AJ637" i="10"/>
  <c r="AJ625" i="10"/>
  <c r="AJ416" i="10"/>
  <c r="AJ909" i="10"/>
  <c r="AJ778" i="10"/>
  <c r="AJ596" i="10"/>
  <c r="AJ580" i="10"/>
  <c r="AJ564" i="10"/>
  <c r="AJ548" i="10"/>
  <c r="AJ532" i="10"/>
  <c r="AJ516" i="10"/>
  <c r="AJ500" i="10"/>
  <c r="AJ484" i="10"/>
  <c r="AJ468" i="10"/>
  <c r="AJ452" i="10"/>
  <c r="AJ408" i="10"/>
  <c r="AJ438" i="10"/>
  <c r="AJ406" i="10"/>
  <c r="AJ746" i="10"/>
  <c r="AJ682" i="10"/>
  <c r="AJ648" i="10"/>
  <c r="AJ626" i="10"/>
  <c r="AJ674" i="10"/>
  <c r="AP10" i="10"/>
  <c r="AP11" i="10"/>
  <c r="AP9" i="10"/>
  <c r="AJ3" i="10"/>
  <c r="AP2" i="10" s="1"/>
  <c r="AP8" i="10"/>
  <c r="AP4" i="10"/>
  <c r="AP5" i="10"/>
  <c r="AP6" i="10"/>
  <c r="AP1" i="10"/>
  <c r="AP7" i="10"/>
  <c r="AP3" i="10"/>
  <c r="AC3" i="5" l="1"/>
  <c r="AE3" i="5" s="1"/>
  <c r="AF3" i="5" s="1"/>
  <c r="AG3" i="5" s="1"/>
  <c r="AP2" i="5" s="1"/>
  <c r="H10" i="5"/>
</calcChain>
</file>

<file path=xl/comments1.xml><?xml version="1.0" encoding="utf-8"?>
<comments xmlns="http://schemas.openxmlformats.org/spreadsheetml/2006/main">
  <authors>
    <author>Juan Carlos Duran</author>
  </authors>
  <commentList>
    <comment ref="E5" authorId="0">
      <text>
        <r>
          <rPr>
            <sz val="8"/>
            <color indexed="81"/>
            <rFont val="Tahoma"/>
            <family val="2"/>
          </rPr>
          <t>Cédula de la empresa que paga la planilla o pago de terceros.</t>
        </r>
      </text>
    </comment>
    <comment ref="G9" authorId="0">
      <text>
        <r>
          <rPr>
            <sz val="8"/>
            <color indexed="81"/>
            <rFont val="Tahoma"/>
            <family val="2"/>
          </rPr>
          <t>Corresponde al número de oficina</t>
        </r>
      </text>
    </comment>
    <comment ref="I9" authorId="0">
      <text>
        <r>
          <rPr>
            <sz val="8"/>
            <color indexed="81"/>
            <rFont val="Tahoma"/>
            <family val="2"/>
          </rPr>
          <t>Número de cuenta que será debitada incluyendo el dígito verificador</t>
        </r>
      </text>
    </comment>
  </commentList>
</comments>
</file>

<file path=xl/comments2.xml><?xml version="1.0" encoding="utf-8"?>
<comments xmlns="http://schemas.openxmlformats.org/spreadsheetml/2006/main">
  <authors>
    <author>110480118</author>
  </authors>
  <commentList>
    <comment ref="AA1" authorId="0">
      <text>
        <r>
          <rPr>
            <b/>
            <sz val="9"/>
            <color indexed="81"/>
            <rFont val="Tahoma"/>
            <family val="2"/>
          </rPr>
          <t>Hora de ejecución</t>
        </r>
      </text>
    </comment>
    <comment ref="AB1" authorId="0">
      <text>
        <r>
          <rPr>
            <b/>
            <sz val="9"/>
            <color indexed="81"/>
            <rFont val="Tahoma"/>
            <family val="2"/>
          </rPr>
          <t>Cédula jurídica</t>
        </r>
        <r>
          <rPr>
            <sz val="9"/>
            <color indexed="81"/>
            <rFont val="Tahoma"/>
            <family val="2"/>
          </rPr>
          <t xml:space="preserve">
</t>
        </r>
      </text>
    </comment>
    <comment ref="AC1" authorId="0">
      <text>
        <r>
          <rPr>
            <b/>
            <sz val="9"/>
            <color indexed="81"/>
            <rFont val="Tahoma"/>
            <family val="2"/>
          </rPr>
          <t>Fecha de ejecución</t>
        </r>
      </text>
    </comment>
    <comment ref="AB2" authorId="0">
      <text>
        <r>
          <rPr>
            <b/>
            <sz val="9"/>
            <color indexed="81"/>
            <rFont val="Tahoma"/>
            <family val="2"/>
          </rPr>
          <t>Consecutivo</t>
        </r>
      </text>
    </comment>
    <comment ref="AC2" authorId="0">
      <text>
        <r>
          <rPr>
            <b/>
            <sz val="9"/>
            <color indexed="81"/>
            <rFont val="Tahoma"/>
            <family val="2"/>
          </rPr>
          <t>Cédula empleado</t>
        </r>
      </text>
    </comment>
    <comment ref="AA3" authorId="0">
      <text>
        <r>
          <rPr>
            <b/>
            <sz val="9"/>
            <color indexed="81"/>
            <rFont val="Tahoma"/>
            <family val="2"/>
          </rPr>
          <t>Cuenta BCR</t>
        </r>
      </text>
    </comment>
    <comment ref="AD3" authorId="0">
      <text>
        <r>
          <rPr>
            <b/>
            <sz val="9"/>
            <color indexed="81"/>
            <rFont val="Tahoma"/>
            <family val="2"/>
          </rPr>
          <t>Número de documento</t>
        </r>
      </text>
    </comment>
  </commentList>
</comments>
</file>

<file path=xl/comments3.xml><?xml version="1.0" encoding="utf-8"?>
<comments xmlns="http://schemas.openxmlformats.org/spreadsheetml/2006/main">
  <authors>
    <author>110480118</author>
  </authors>
  <commentList>
    <comment ref="AM3" authorId="0">
      <text>
        <r>
          <rPr>
            <b/>
            <sz val="9"/>
            <color indexed="81"/>
            <rFont val="Tahoma"/>
            <family val="2"/>
          </rPr>
          <t>Hora de ejecución</t>
        </r>
      </text>
    </comment>
    <comment ref="AN3" authorId="0">
      <text>
        <r>
          <rPr>
            <b/>
            <sz val="9"/>
            <color indexed="81"/>
            <rFont val="Tahoma"/>
            <family val="2"/>
          </rPr>
          <t>Cédula jurídica</t>
        </r>
        <r>
          <rPr>
            <sz val="9"/>
            <color indexed="81"/>
            <rFont val="Tahoma"/>
            <family val="2"/>
          </rPr>
          <t xml:space="preserve">
</t>
        </r>
      </text>
    </comment>
    <comment ref="AO3" authorId="0">
      <text>
        <r>
          <rPr>
            <b/>
            <sz val="9"/>
            <color indexed="81"/>
            <rFont val="Tahoma"/>
            <family val="2"/>
          </rPr>
          <t>Fecha de ejecución</t>
        </r>
      </text>
    </comment>
    <comment ref="AN4" authorId="0">
      <text>
        <r>
          <rPr>
            <b/>
            <sz val="9"/>
            <color indexed="81"/>
            <rFont val="Tahoma"/>
            <family val="2"/>
          </rPr>
          <t>Consecutivo</t>
        </r>
      </text>
    </comment>
    <comment ref="AO4" authorId="0">
      <text>
        <r>
          <rPr>
            <b/>
            <sz val="9"/>
            <color indexed="81"/>
            <rFont val="Tahoma"/>
            <family val="2"/>
          </rPr>
          <t>Cédula empleado</t>
        </r>
      </text>
    </comment>
    <comment ref="AM5" authorId="0">
      <text>
        <r>
          <rPr>
            <b/>
            <sz val="9"/>
            <color indexed="81"/>
            <rFont val="Tahoma"/>
            <family val="2"/>
          </rPr>
          <t>Cuenta BCR</t>
        </r>
      </text>
    </comment>
  </commentList>
</comments>
</file>

<file path=xl/sharedStrings.xml><?xml version="1.0" encoding="utf-8"?>
<sst xmlns="http://schemas.openxmlformats.org/spreadsheetml/2006/main" count="137" uniqueCount="98">
  <si>
    <t>Oficina</t>
  </si>
  <si>
    <t>Cuenta</t>
  </si>
  <si>
    <t>Moneda</t>
  </si>
  <si>
    <t>Monto</t>
  </si>
  <si>
    <t>Cédula Jurídica</t>
  </si>
  <si>
    <t>Cuenta a debitar</t>
  </si>
  <si>
    <t>Fecha</t>
  </si>
  <si>
    <t>Consecutivo del archivo</t>
  </si>
  <si>
    <t>Favor complete las celdas con la información requerida</t>
  </si>
  <si>
    <t>Cédula Empleado</t>
  </si>
  <si>
    <t>Parte entera</t>
  </si>
  <si>
    <t>Decimales</t>
  </si>
  <si>
    <t>Texto entera</t>
  </si>
  <si>
    <t>Texto decimal</t>
  </si>
  <si>
    <t>Decimales sin .</t>
  </si>
  <si>
    <t>Nombre de la empresa</t>
  </si>
  <si>
    <t>Hora de pago</t>
  </si>
  <si>
    <t>dd/mm/aaaa</t>
  </si>
  <si>
    <r>
      <t xml:space="preserve">Moneda
</t>
    </r>
    <r>
      <rPr>
        <b/>
        <i/>
        <sz val="8"/>
        <rFont val="Arial"/>
        <family val="2"/>
      </rPr>
      <t>Colones =1
Dólares = 2</t>
    </r>
  </si>
  <si>
    <r>
      <t xml:space="preserve">Descripción </t>
    </r>
    <r>
      <rPr>
        <sz val="10"/>
        <color indexed="18"/>
        <rFont val="Arial"/>
        <family val="2"/>
      </rPr>
      <t>(Motivo)</t>
    </r>
  </si>
  <si>
    <r>
      <t xml:space="preserve">Descripción (Motivo)
</t>
    </r>
    <r>
      <rPr>
        <sz val="7"/>
        <rFont val="Arial"/>
        <family val="2"/>
      </rPr>
      <t>opcional</t>
    </r>
  </si>
  <si>
    <r>
      <t xml:space="preserve">N° documento
</t>
    </r>
    <r>
      <rPr>
        <sz val="7"/>
        <rFont val="Arial"/>
        <family val="2"/>
      </rPr>
      <t>opcional</t>
    </r>
  </si>
  <si>
    <t>ATENCIÓN: El monto correspondiente al total es solo de referencia, al existir intercambio de monedas el monto total definitivo se calculará con el tipo de cambio vigente en el BCR al momento de la ejecución de la transferencia.
El tipo de cambio vigente lo puede consultar en www.bancobcr.com</t>
  </si>
  <si>
    <t>Suma en caso de intercambio</t>
  </si>
  <si>
    <t>Cuenta cliente</t>
  </si>
  <si>
    <t>Motivo</t>
  </si>
  <si>
    <t>Documento</t>
  </si>
  <si>
    <t xml:space="preserve">     Atrás</t>
  </si>
  <si>
    <t>Cuenta Cliente</t>
  </si>
  <si>
    <t>Incluir créditos &gt;&gt;&gt;</t>
  </si>
  <si>
    <t>Número de cheque</t>
  </si>
  <si>
    <t>Beneficiario</t>
  </si>
  <si>
    <t>*</t>
  </si>
  <si>
    <t>Cuenta Corriente</t>
  </si>
  <si>
    <r>
      <rPr>
        <b/>
        <i/>
        <sz val="9"/>
        <rFont val="Arial"/>
        <family val="2"/>
      </rPr>
      <t>Tipo Cta</t>
    </r>
    <r>
      <rPr>
        <b/>
        <i/>
        <sz val="10"/>
        <rFont val="Arial"/>
        <family val="2"/>
      </rPr>
      <t xml:space="preserve">
</t>
    </r>
    <r>
      <rPr>
        <sz val="7"/>
        <rFont val="Arial"/>
        <family val="2"/>
      </rPr>
      <t>Corriente = 1
Ahorros = 2</t>
    </r>
  </si>
  <si>
    <r>
      <t xml:space="preserve">Identificación
</t>
    </r>
    <r>
      <rPr>
        <sz val="7"/>
        <rFont val="Arial"/>
        <family val="2"/>
      </rPr>
      <t>opcional</t>
    </r>
  </si>
  <si>
    <t>Identificación</t>
  </si>
  <si>
    <t xml:space="preserve">    Atrás</t>
  </si>
  <si>
    <t>Expediente</t>
  </si>
  <si>
    <t>Depositante</t>
  </si>
  <si>
    <t>Total:</t>
  </si>
  <si>
    <t>Selecciona el Asunto:</t>
  </si>
  <si>
    <t>Ordinario</t>
  </si>
  <si>
    <t>Aguinaldo</t>
  </si>
  <si>
    <t>Salario escolar</t>
  </si>
  <si>
    <t>Colones</t>
  </si>
  <si>
    <t>V: 17.09.15</t>
  </si>
  <si>
    <t>Al_firmar_la_transferencia</t>
  </si>
  <si>
    <t xml:space="preserve">Adrian Marin Sosa </t>
  </si>
  <si>
    <t>Alexander Morales</t>
  </si>
  <si>
    <t>Arturo Clark Bustos</t>
  </si>
  <si>
    <t>Cheril Fonseca Picad</t>
  </si>
  <si>
    <t>Danny Naranjo Obando</t>
  </si>
  <si>
    <t>Douglas Salazar Sa</t>
  </si>
  <si>
    <t>Ever Rivera Suarez</t>
  </si>
  <si>
    <t xml:space="preserve">Fabian Arias Leiva </t>
  </si>
  <si>
    <t>Freddy Enriquez B</t>
  </si>
  <si>
    <t>Freddy Mejias Gomez</t>
  </si>
  <si>
    <t>Geovanny Ordonez</t>
  </si>
  <si>
    <t xml:space="preserve">Greivin Guido Bustos </t>
  </si>
  <si>
    <t>Haidit Sibaja M</t>
  </si>
  <si>
    <t>Haylen Sanchez</t>
  </si>
  <si>
    <t>Haydee Delgado</t>
  </si>
  <si>
    <t>Hellen Mendoza Fernandez</t>
  </si>
  <si>
    <t xml:space="preserve">Javier Quesada Cruz </t>
  </si>
  <si>
    <t xml:space="preserve">Jeimy Picado Sanchez </t>
  </si>
  <si>
    <t>John Marquez Ch</t>
  </si>
  <si>
    <t>Jorge Coto Ortega</t>
  </si>
  <si>
    <t>Jose Fallas Robles</t>
  </si>
  <si>
    <t>Jose Salas Rodriguez</t>
  </si>
  <si>
    <t xml:space="preserve">Jose Vega Fallas </t>
  </si>
  <si>
    <t xml:space="preserve">Joslyn Vidaurre Bravo </t>
  </si>
  <si>
    <t xml:space="preserve">Juan Mora Araya </t>
  </si>
  <si>
    <t xml:space="preserve">Karol Perez Abarca </t>
  </si>
  <si>
    <t>Katherine Barrios V</t>
  </si>
  <si>
    <t>Leonardo Rodriguez C</t>
  </si>
  <si>
    <t>Luis Zamora O</t>
  </si>
  <si>
    <t xml:space="preserve">Magaly Fernandez Trejos  </t>
  </si>
  <si>
    <t xml:space="preserve">Manuel Valverde Morales </t>
  </si>
  <si>
    <t xml:space="preserve">Marcela Barrientos Castro   </t>
  </si>
  <si>
    <t xml:space="preserve">Marcial Garcia Schmidt </t>
  </si>
  <si>
    <t>Marco Vinicio Uribe</t>
  </si>
  <si>
    <t>María Briceno Q</t>
  </si>
  <si>
    <t xml:space="preserve">Maria Castillo Ramirez </t>
  </si>
  <si>
    <t>Mario Botto Sibaja</t>
  </si>
  <si>
    <t>Marvin Leiton S</t>
  </si>
  <si>
    <t>Michael Vasquez</t>
  </si>
  <si>
    <t xml:space="preserve">Miguel Diaz Gutierrez </t>
  </si>
  <si>
    <t>Oscar Alvarenga T</t>
  </si>
  <si>
    <t>Paola Vargas Carvaja</t>
  </si>
  <si>
    <t>Pedro Hansey Rojas</t>
  </si>
  <si>
    <t xml:space="preserve">Priscila Sibaja </t>
  </si>
  <si>
    <t>Randall Abarca Hernanadez</t>
  </si>
  <si>
    <t>Raymond Sandoval</t>
  </si>
  <si>
    <t>Ronny Duran Santande</t>
  </si>
  <si>
    <t>Scarleth Porras Jimenez</t>
  </si>
  <si>
    <t>COOPESUPERACION RL</t>
  </si>
  <si>
    <t xml:space="preserve">ANTICIPO DE EXCEDENTES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</si>
</sst>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 _€_-;\-* #,##0.00\ _€_-;_-* &quot;-&quot;??\ _€_-;_-@_-"/>
    <numFmt numFmtId="164" formatCode="000"/>
    <numFmt numFmtId="165" formatCode="00000000"/>
    <numFmt numFmtId="166" formatCode="000000000000"/>
    <numFmt numFmtId="167" formatCode="0;[Red]0"/>
    <numFmt numFmtId="168" formatCode="#,##0.00;[Red]#,##0.00"/>
    <numFmt numFmtId="169" formatCode="dd/mm/yyyy;@"/>
    <numFmt numFmtId="170" formatCode="[$-140A]h:mm:ss\ AM/PM;@"/>
    <numFmt numFmtId="171" formatCode="&quot;₡&quot;#,##0.00"/>
    <numFmt numFmtId="172" formatCode="00"/>
    <numFmt numFmtId="173" formatCode="d/m/yyyy;@"/>
    <numFmt numFmtId="174" formatCode="_([$€]* #,##0.00_);_([$€]* \(#,##0.00\);_([$€]* &quot;-&quot;??_);_(@_)"/>
  </numFmts>
  <fonts count="37" x14ac:knownFonts="1">
    <font>
      <sz val="10"/>
      <name val="Arial"/>
    </font>
    <font>
      <sz val="10"/>
      <name val="Arial"/>
      <family val="2"/>
    </font>
    <font>
      <sz val="10"/>
      <color indexed="8"/>
      <name val="Arial"/>
      <family val="2"/>
    </font>
    <font>
      <sz val="8"/>
      <name val="Arial"/>
      <family val="2"/>
    </font>
    <font>
      <sz val="14"/>
      <color indexed="18"/>
      <name val="Arial"/>
      <family val="2"/>
    </font>
    <font>
      <sz val="12"/>
      <name val="Arial"/>
      <family val="2"/>
    </font>
    <font>
      <sz val="10"/>
      <color indexed="63"/>
      <name val="Arial"/>
      <family val="2"/>
    </font>
    <font>
      <sz val="9"/>
      <name val="Arial"/>
      <family val="2"/>
    </font>
    <font>
      <sz val="10"/>
      <color indexed="9"/>
      <name val="Arial"/>
      <family val="2"/>
    </font>
    <font>
      <sz val="12"/>
      <name val="Arial"/>
      <family val="2"/>
    </font>
    <font>
      <sz val="8"/>
      <color indexed="81"/>
      <name val="Tahoma"/>
      <family val="2"/>
    </font>
    <font>
      <sz val="14"/>
      <color indexed="9"/>
      <name val="Arial"/>
      <family val="2"/>
    </font>
    <font>
      <sz val="14"/>
      <color indexed="18"/>
      <name val="Arial"/>
      <family val="2"/>
    </font>
    <font>
      <sz val="8"/>
      <color theme="0" tint="-0.499984740745262"/>
      <name val="Arial"/>
      <family val="2"/>
    </font>
    <font>
      <b/>
      <sz val="12"/>
      <name val="Arial"/>
      <family val="2"/>
    </font>
    <font>
      <b/>
      <i/>
      <sz val="10"/>
      <name val="Arial"/>
      <family val="2"/>
    </font>
    <font>
      <b/>
      <i/>
      <sz val="8"/>
      <name val="Arial"/>
      <family val="2"/>
    </font>
    <font>
      <sz val="11"/>
      <name val="Arial"/>
      <family val="2"/>
    </font>
    <font>
      <b/>
      <sz val="11"/>
      <name val="Arial"/>
      <family val="2"/>
    </font>
    <font>
      <sz val="9"/>
      <color rgb="FFFF0000"/>
      <name val="Arial"/>
      <family val="2"/>
    </font>
    <font>
      <sz val="12"/>
      <color indexed="18"/>
      <name val="Arial"/>
      <family val="2"/>
    </font>
    <font>
      <sz val="10"/>
      <color theme="0" tint="-0.499984740745262"/>
      <name val="Arial"/>
      <family val="2"/>
    </font>
    <font>
      <sz val="10"/>
      <color rgb="FFFF0000"/>
      <name val="Arial"/>
      <family val="2"/>
    </font>
    <font>
      <sz val="7"/>
      <name val="Arial"/>
      <family val="2"/>
    </font>
    <font>
      <sz val="10"/>
      <color indexed="18"/>
      <name val="Arial"/>
      <family val="2"/>
    </font>
    <font>
      <b/>
      <i/>
      <sz val="12"/>
      <color rgb="FFFF0000"/>
      <name val="Arial"/>
      <family val="2"/>
    </font>
    <font>
      <sz val="9"/>
      <color indexed="81"/>
      <name val="Tahoma"/>
      <family val="2"/>
    </font>
    <font>
      <b/>
      <sz val="9"/>
      <color indexed="81"/>
      <name val="Tahoma"/>
      <family val="2"/>
    </font>
    <font>
      <b/>
      <sz val="12"/>
      <color theme="3" tint="0.39997558519241921"/>
      <name val="Arial"/>
      <family val="2"/>
    </font>
    <font>
      <sz val="12"/>
      <color rgb="FFFF0000"/>
      <name val="Arial"/>
      <family val="2"/>
    </font>
    <font>
      <sz val="10"/>
      <color theme="0"/>
      <name val="Arial"/>
      <family val="2"/>
    </font>
    <font>
      <b/>
      <sz val="10"/>
      <color rgb="FF0000FF"/>
      <name val="Arial"/>
      <family val="2"/>
    </font>
    <font>
      <b/>
      <i/>
      <sz val="9"/>
      <name val="Arial"/>
      <family val="2"/>
    </font>
    <font>
      <b/>
      <sz val="9"/>
      <name val="Arial"/>
      <family val="2"/>
    </font>
    <font>
      <sz val="10"/>
      <name val="Book Antiqua"/>
      <family val="1"/>
    </font>
    <font>
      <b/>
      <sz val="10"/>
      <name val="Arial"/>
      <family val="2"/>
    </font>
    <font>
      <sz val="12"/>
      <color indexed="8"/>
      <name val="Arial"/>
      <family val="2"/>
    </font>
  </fonts>
  <fills count="16">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62"/>
        <bgColor indexed="64"/>
      </patternFill>
    </fill>
    <fill>
      <patternFill patternType="solid">
        <fgColor theme="0" tint="-0.14999847407452621"/>
        <bgColor indexed="64"/>
      </patternFill>
    </fill>
    <fill>
      <patternFill patternType="solid">
        <fgColor rgb="FF00B050"/>
        <bgColor indexed="64"/>
      </patternFill>
    </fill>
    <fill>
      <patternFill patternType="solid">
        <fgColor theme="3" tint="0.79998168889431442"/>
        <bgColor indexed="0"/>
      </patternFill>
    </fill>
    <fill>
      <patternFill patternType="solid">
        <fgColor theme="2" tint="-0.249977111117893"/>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7030A0"/>
        <bgColor indexed="64"/>
      </patternFill>
    </fill>
    <fill>
      <patternFill patternType="solid">
        <fgColor theme="2" tint="-0.249977111117893"/>
        <bgColor indexed="0"/>
      </patternFill>
    </fill>
    <fill>
      <patternFill patternType="solid">
        <fgColor theme="3" tint="0.79998168889431442"/>
        <bgColor indexed="64"/>
      </patternFill>
    </fill>
    <fill>
      <patternFill patternType="solid">
        <fgColor indexed="43"/>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top/>
      <bottom/>
      <diagonal/>
    </border>
    <border>
      <left style="medium">
        <color indexed="8"/>
      </left>
      <right style="medium">
        <color indexed="8"/>
      </right>
      <top/>
      <bottom/>
      <diagonal/>
    </border>
  </borders>
  <cellStyleXfs count="7">
    <xf numFmtId="0" fontId="0" fillId="0" borderId="0"/>
    <xf numFmtId="43" fontId="1" fillId="0" borderId="0" applyFont="0" applyFill="0" applyBorder="0" applyAlignment="0" applyProtection="0"/>
    <xf numFmtId="0" fontId="2" fillId="0" borderId="0"/>
    <xf numFmtId="0" fontId="34" fillId="0" borderId="0"/>
    <xf numFmtId="174" fontId="1" fillId="0" borderId="0" applyFont="0" applyFill="0" applyBorder="0" applyAlignment="0" applyProtection="0"/>
    <xf numFmtId="0" fontId="1" fillId="0" borderId="0"/>
    <xf numFmtId="0" fontId="1" fillId="0" borderId="0"/>
  </cellStyleXfs>
  <cellXfs count="215">
    <xf numFmtId="0" fontId="0" fillId="0" borderId="0" xfId="0"/>
    <xf numFmtId="0" fontId="5" fillId="0" borderId="0" xfId="0" applyFont="1"/>
    <xf numFmtId="0" fontId="0" fillId="4" borderId="0" xfId="0" applyFill="1"/>
    <xf numFmtId="0" fontId="5" fillId="4" borderId="0" xfId="0" applyFont="1" applyFill="1"/>
    <xf numFmtId="0" fontId="3" fillId="4" borderId="0" xfId="0" applyFont="1" applyFill="1"/>
    <xf numFmtId="0" fontId="4" fillId="4" borderId="0" xfId="0" applyFont="1" applyFill="1"/>
    <xf numFmtId="0" fontId="0" fillId="4" borderId="2" xfId="0" applyFill="1" applyBorder="1"/>
    <xf numFmtId="0" fontId="0" fillId="4" borderId="3" xfId="0" applyFill="1" applyBorder="1"/>
    <xf numFmtId="0" fontId="5" fillId="4" borderId="3" xfId="0" applyFont="1" applyFill="1" applyBorder="1"/>
    <xf numFmtId="0" fontId="3" fillId="4" borderId="3" xfId="0" applyFont="1" applyFill="1" applyBorder="1"/>
    <xf numFmtId="0" fontId="0" fillId="4" borderId="5" xfId="0" applyFill="1" applyBorder="1"/>
    <xf numFmtId="0" fontId="0" fillId="4" borderId="0" xfId="0" applyFill="1" applyBorder="1"/>
    <xf numFmtId="0" fontId="5" fillId="4" borderId="0" xfId="0" applyFont="1" applyFill="1" applyBorder="1"/>
    <xf numFmtId="0" fontId="3" fillId="4" borderId="0" xfId="0" applyFont="1" applyFill="1" applyBorder="1"/>
    <xf numFmtId="0" fontId="4" fillId="4" borderId="5" xfId="0" applyFont="1" applyFill="1" applyBorder="1"/>
    <xf numFmtId="0" fontId="4" fillId="4" borderId="0" xfId="0" applyFont="1" applyFill="1" applyBorder="1"/>
    <xf numFmtId="0" fontId="4" fillId="4" borderId="5" xfId="0" applyFont="1" applyFill="1" applyBorder="1" applyAlignment="1">
      <alignment horizontal="center"/>
    </xf>
    <xf numFmtId="0" fontId="4" fillId="4" borderId="0" xfId="0" applyFont="1" applyFill="1" applyBorder="1" applyAlignment="1">
      <alignment horizontal="center"/>
    </xf>
    <xf numFmtId="0" fontId="0" fillId="4" borderId="0" xfId="0" applyFill="1" applyBorder="1" applyProtection="1">
      <protection hidden="1"/>
    </xf>
    <xf numFmtId="0" fontId="3" fillId="4" borderId="0" xfId="0" applyFont="1" applyFill="1" applyBorder="1" applyProtection="1">
      <protection hidden="1"/>
    </xf>
    <xf numFmtId="0" fontId="5" fillId="4" borderId="0" xfId="0" applyFont="1" applyFill="1" applyBorder="1" applyProtection="1">
      <protection hidden="1"/>
    </xf>
    <xf numFmtId="0" fontId="4" fillId="4" borderId="0" xfId="0" applyFont="1" applyFill="1" applyBorder="1" applyAlignment="1">
      <alignment horizontal="right"/>
    </xf>
    <xf numFmtId="0" fontId="4" fillId="4" borderId="0" xfId="0" applyFont="1" applyFill="1" applyBorder="1" applyAlignment="1" applyProtection="1">
      <alignment horizontal="right"/>
      <protection hidden="1"/>
    </xf>
    <xf numFmtId="0" fontId="5" fillId="0" borderId="0" xfId="0" applyFont="1" applyBorder="1" applyProtection="1">
      <protection hidden="1"/>
    </xf>
    <xf numFmtId="169" fontId="5" fillId="6" borderId="1" xfId="0" applyNumberFormat="1" applyFont="1" applyFill="1" applyBorder="1" applyProtection="1">
      <protection locked="0" hidden="1"/>
    </xf>
    <xf numFmtId="0" fontId="8" fillId="0" borderId="0" xfId="0" applyFont="1" applyFill="1"/>
    <xf numFmtId="0" fontId="12" fillId="4" borderId="5" xfId="0" applyFont="1" applyFill="1" applyBorder="1" applyAlignment="1">
      <alignment horizontal="left"/>
    </xf>
    <xf numFmtId="0" fontId="4" fillId="4" borderId="0" xfId="0" applyFont="1" applyFill="1" applyBorder="1" applyProtection="1">
      <protection hidden="1"/>
    </xf>
    <xf numFmtId="0" fontId="6" fillId="4" borderId="0" xfId="0" applyFont="1" applyFill="1" applyBorder="1" applyProtection="1">
      <protection hidden="1"/>
    </xf>
    <xf numFmtId="0" fontId="4" fillId="4" borderId="3" xfId="0" applyFont="1" applyFill="1" applyBorder="1"/>
    <xf numFmtId="0" fontId="4" fillId="0" borderId="4" xfId="0" applyFont="1" applyFill="1" applyBorder="1"/>
    <xf numFmtId="0" fontId="4" fillId="0" borderId="6" xfId="0" applyFont="1" applyFill="1" applyBorder="1"/>
    <xf numFmtId="0" fontId="4" fillId="0" borderId="6" xfId="0" applyFont="1" applyFill="1" applyBorder="1" applyProtection="1">
      <protection hidden="1"/>
    </xf>
    <xf numFmtId="0" fontId="6" fillId="0" borderId="6" xfId="0" applyFont="1" applyFill="1" applyBorder="1" applyProtection="1">
      <protection hidden="1"/>
    </xf>
    <xf numFmtId="167" fontId="9" fillId="6" borderId="1" xfId="0" applyNumberFormat="1" applyFont="1" applyFill="1" applyBorder="1" applyAlignment="1" applyProtection="1">
      <alignment horizontal="right"/>
      <protection locked="0" hidden="1"/>
    </xf>
    <xf numFmtId="165" fontId="5" fillId="6" borderId="1" xfId="0" applyNumberFormat="1" applyFont="1" applyFill="1" applyBorder="1" applyAlignment="1" applyProtection="1">
      <alignment horizontal="right"/>
      <protection locked="0" hidden="1"/>
    </xf>
    <xf numFmtId="1" fontId="5" fillId="6" borderId="1" xfId="0" applyNumberFormat="1" applyFont="1" applyFill="1" applyBorder="1" applyProtection="1">
      <protection locked="0" hidden="1"/>
    </xf>
    <xf numFmtId="0" fontId="21" fillId="4" borderId="0" xfId="0" applyFont="1" applyFill="1" applyBorder="1" applyProtection="1">
      <protection hidden="1"/>
    </xf>
    <xf numFmtId="0" fontId="0" fillId="0" borderId="0" xfId="0" applyFill="1" applyBorder="1" applyProtection="1">
      <protection hidden="1"/>
    </xf>
    <xf numFmtId="0" fontId="13" fillId="0" borderId="0" xfId="0" applyFont="1" applyFill="1" applyBorder="1" applyProtection="1">
      <protection hidden="1"/>
    </xf>
    <xf numFmtId="0" fontId="20" fillId="0" borderId="0" xfId="0" applyFont="1" applyFill="1" applyBorder="1" applyAlignment="1">
      <alignment horizontal="left"/>
    </xf>
    <xf numFmtId="1" fontId="5" fillId="6" borderId="1" xfId="0" applyNumberFormat="1" applyFont="1" applyFill="1" applyBorder="1" applyAlignment="1" applyProtection="1">
      <alignment horizontal="left"/>
      <protection locked="0" hidden="1"/>
    </xf>
    <xf numFmtId="167" fontId="5" fillId="6" borderId="1" xfId="0" applyNumberFormat="1" applyFont="1" applyFill="1" applyBorder="1" applyAlignment="1" applyProtection="1">
      <protection locked="0" hidden="1"/>
    </xf>
    <xf numFmtId="0" fontId="14" fillId="0" borderId="0" xfId="0" applyFont="1" applyAlignment="1" applyProtection="1">
      <alignment horizontal="left"/>
      <protection hidden="1"/>
    </xf>
    <xf numFmtId="0" fontId="1" fillId="0" borderId="0" xfId="0" applyFont="1" applyFill="1" applyProtection="1">
      <protection hidden="1"/>
    </xf>
    <xf numFmtId="0" fontId="1" fillId="0" borderId="0" xfId="0" applyFont="1" applyProtection="1">
      <protection hidden="1"/>
    </xf>
    <xf numFmtId="4" fontId="1" fillId="0" borderId="0" xfId="0" applyNumberFormat="1" applyFont="1" applyProtection="1">
      <protection hidden="1"/>
    </xf>
    <xf numFmtId="0" fontId="1" fillId="2" borderId="0" xfId="0" applyFont="1" applyFill="1" applyProtection="1">
      <protection hidden="1"/>
    </xf>
    <xf numFmtId="2" fontId="1" fillId="7" borderId="0" xfId="0" applyNumberFormat="1" applyFont="1" applyFill="1" applyProtection="1">
      <protection hidden="1"/>
    </xf>
    <xf numFmtId="0" fontId="1" fillId="7" borderId="0" xfId="0" applyFont="1" applyFill="1" applyProtection="1">
      <protection hidden="1"/>
    </xf>
    <xf numFmtId="0" fontId="1" fillId="10" borderId="0" xfId="0" applyFont="1" applyFill="1" applyProtection="1">
      <protection hidden="1"/>
    </xf>
    <xf numFmtId="0" fontId="7" fillId="0" borderId="0" xfId="0" applyFont="1" applyFill="1" applyProtection="1">
      <protection hidden="1"/>
    </xf>
    <xf numFmtId="0" fontId="15" fillId="8" borderId="14" xfId="2" applyFont="1" applyFill="1" applyBorder="1" applyAlignment="1" applyProtection="1">
      <alignment horizontal="center" vertical="center" wrapText="1"/>
      <protection hidden="1"/>
    </xf>
    <xf numFmtId="0" fontId="15" fillId="8" borderId="15" xfId="2" applyFont="1" applyFill="1" applyBorder="1" applyAlignment="1" applyProtection="1">
      <alignment horizontal="center" vertical="center"/>
      <protection hidden="1"/>
    </xf>
    <xf numFmtId="0" fontId="15" fillId="8" borderId="15" xfId="2" applyFont="1" applyFill="1" applyBorder="1" applyAlignment="1" applyProtection="1">
      <alignment horizontal="center" vertical="center" wrapText="1"/>
      <protection hidden="1"/>
    </xf>
    <xf numFmtId="0" fontId="15" fillId="8" borderId="20" xfId="2" applyFont="1" applyFill="1" applyBorder="1" applyAlignment="1" applyProtection="1">
      <alignment horizontal="center" vertical="center" wrapText="1"/>
      <protection hidden="1"/>
    </xf>
    <xf numFmtId="4" fontId="15" fillId="8" borderId="16" xfId="2" applyNumberFormat="1" applyFont="1" applyFill="1" applyBorder="1" applyAlignment="1" applyProtection="1">
      <alignment horizontal="center" vertical="center"/>
      <protection hidden="1"/>
    </xf>
    <xf numFmtId="4" fontId="15" fillId="0" borderId="0" xfId="2" applyNumberFormat="1" applyFont="1" applyFill="1" applyBorder="1" applyAlignment="1" applyProtection="1">
      <alignment horizontal="center" vertical="center"/>
      <protection hidden="1"/>
    </xf>
    <xf numFmtId="0" fontId="7" fillId="0" borderId="0" xfId="0" applyFont="1" applyProtection="1">
      <protection hidden="1"/>
    </xf>
    <xf numFmtId="2" fontId="7" fillId="7" borderId="7" xfId="0" applyNumberFormat="1" applyFont="1" applyFill="1" applyBorder="1" applyProtection="1">
      <protection hidden="1"/>
    </xf>
    <xf numFmtId="2" fontId="7" fillId="7" borderId="8" xfId="0" applyNumberFormat="1" applyFont="1" applyFill="1" applyBorder="1" applyProtection="1">
      <protection hidden="1"/>
    </xf>
    <xf numFmtId="165" fontId="7" fillId="7" borderId="8" xfId="0" applyNumberFormat="1" applyFont="1" applyFill="1" applyBorder="1" applyProtection="1">
      <protection hidden="1"/>
    </xf>
    <xf numFmtId="165" fontId="7" fillId="7" borderId="9" xfId="0" applyNumberFormat="1" applyFont="1" applyFill="1" applyBorder="1" applyProtection="1">
      <protection hidden="1"/>
    </xf>
    <xf numFmtId="0" fontId="1" fillId="0" borderId="0" xfId="0" applyFont="1" applyFill="1" applyBorder="1" applyProtection="1">
      <protection hidden="1"/>
    </xf>
    <xf numFmtId="4" fontId="18" fillId="9" borderId="18" xfId="2" applyNumberFormat="1" applyFont="1" applyFill="1" applyBorder="1" applyAlignment="1" applyProtection="1">
      <alignment horizontal="right"/>
      <protection hidden="1"/>
    </xf>
    <xf numFmtId="4" fontId="18" fillId="0" borderId="0" xfId="2" applyNumberFormat="1" applyFont="1" applyFill="1" applyBorder="1" applyAlignment="1" applyProtection="1">
      <alignment horizontal="right"/>
      <protection hidden="1"/>
    </xf>
    <xf numFmtId="2" fontId="1" fillId="7" borderId="0" xfId="0" applyNumberFormat="1" applyFont="1" applyFill="1" applyBorder="1" applyProtection="1">
      <protection hidden="1"/>
    </xf>
    <xf numFmtId="165" fontId="1" fillId="7" borderId="0" xfId="0" applyNumberFormat="1" applyFont="1" applyFill="1" applyBorder="1" applyProtection="1">
      <protection hidden="1"/>
    </xf>
    <xf numFmtId="168" fontId="0" fillId="0" borderId="0" xfId="0" applyNumberFormat="1" applyFill="1" applyBorder="1" applyProtection="1">
      <protection hidden="1"/>
    </xf>
    <xf numFmtId="168" fontId="0" fillId="0" borderId="0" xfId="0" applyNumberFormat="1" applyBorder="1" applyProtection="1">
      <protection hidden="1"/>
    </xf>
    <xf numFmtId="4" fontId="1" fillId="0" borderId="0" xfId="0" applyNumberFormat="1" applyFont="1" applyFill="1" applyProtection="1">
      <protection hidden="1"/>
    </xf>
    <xf numFmtId="2" fontId="1" fillId="0" borderId="0" xfId="0" applyNumberFormat="1" applyFont="1" applyFill="1" applyProtection="1">
      <protection hidden="1"/>
    </xf>
    <xf numFmtId="49" fontId="1" fillId="0" borderId="0" xfId="0" applyNumberFormat="1" applyFont="1" applyFill="1" applyProtection="1">
      <protection hidden="1"/>
    </xf>
    <xf numFmtId="0" fontId="1" fillId="3" borderId="0" xfId="0" applyFont="1" applyFill="1" applyProtection="1">
      <protection hidden="1"/>
    </xf>
    <xf numFmtId="0" fontId="0" fillId="0" borderId="13" xfId="0" applyBorder="1" applyProtection="1">
      <protection locked="0" hidden="1"/>
    </xf>
    <xf numFmtId="0" fontId="1" fillId="0" borderId="13" xfId="0" applyFont="1" applyBorder="1" applyProtection="1">
      <protection locked="0" hidden="1"/>
    </xf>
    <xf numFmtId="49" fontId="15" fillId="8" borderId="15" xfId="2" applyNumberFormat="1" applyFont="1" applyFill="1" applyBorder="1" applyAlignment="1" applyProtection="1">
      <alignment horizontal="center" vertical="center"/>
      <protection hidden="1"/>
    </xf>
    <xf numFmtId="0" fontId="14" fillId="0" borderId="0" xfId="0" applyFont="1" applyBorder="1" applyAlignment="1" applyProtection="1">
      <alignment horizontal="center"/>
      <protection locked="0" hidden="1"/>
    </xf>
    <xf numFmtId="0" fontId="1" fillId="11" borderId="0" xfId="0" applyFont="1" applyFill="1"/>
    <xf numFmtId="0" fontId="1" fillId="0" borderId="0" xfId="0" quotePrefix="1" applyFont="1"/>
    <xf numFmtId="4" fontId="5" fillId="0" borderId="13" xfId="0" applyNumberFormat="1" applyFont="1" applyBorder="1" applyProtection="1">
      <protection locked="0" hidden="1"/>
    </xf>
    <xf numFmtId="4" fontId="0" fillId="0" borderId="0" xfId="0" applyNumberFormat="1"/>
    <xf numFmtId="4" fontId="5" fillId="0" borderId="19" xfId="0" applyNumberFormat="1" applyFont="1" applyBorder="1" applyProtection="1">
      <protection locked="0" hidden="1"/>
    </xf>
    <xf numFmtId="0" fontId="14" fillId="8" borderId="21" xfId="2" applyFont="1" applyFill="1" applyBorder="1" applyAlignment="1" applyProtection="1">
      <alignment horizontal="center" vertical="center" wrapText="1"/>
      <protection hidden="1"/>
    </xf>
    <xf numFmtId="0" fontId="14" fillId="8" borderId="22" xfId="2" applyFont="1" applyFill="1" applyBorder="1" applyAlignment="1" applyProtection="1">
      <alignment horizontal="center" vertical="center"/>
      <protection hidden="1"/>
    </xf>
    <xf numFmtId="0" fontId="14" fillId="8" borderId="23" xfId="2" applyFont="1" applyFill="1" applyBorder="1" applyAlignment="1" applyProtection="1">
      <alignment horizontal="center" vertical="center"/>
      <protection hidden="1"/>
    </xf>
    <xf numFmtId="1" fontId="5" fillId="0" borderId="19" xfId="0" applyNumberFormat="1" applyFont="1" applyBorder="1" applyProtection="1">
      <protection locked="0" hidden="1"/>
    </xf>
    <xf numFmtId="0" fontId="1" fillId="0" borderId="19" xfId="0" applyFont="1" applyBorder="1" applyProtection="1">
      <protection locked="0" hidden="1"/>
    </xf>
    <xf numFmtId="1" fontId="5" fillId="0" borderId="13" xfId="0" applyNumberFormat="1" applyFont="1" applyBorder="1" applyProtection="1">
      <protection locked="0" hidden="1"/>
    </xf>
    <xf numFmtId="0" fontId="4" fillId="4" borderId="5" xfId="0" applyFont="1" applyFill="1" applyBorder="1" applyAlignment="1">
      <alignment horizontal="left"/>
    </xf>
    <xf numFmtId="0" fontId="3" fillId="0" borderId="0" xfId="0" applyFont="1" applyBorder="1"/>
    <xf numFmtId="0" fontId="4" fillId="0" borderId="0" xfId="0" applyFont="1" applyBorder="1"/>
    <xf numFmtId="0" fontId="21" fillId="4" borderId="0" xfId="0" applyFont="1" applyFill="1" applyBorder="1" applyAlignment="1" applyProtection="1">
      <alignment vertical="top"/>
      <protection hidden="1"/>
    </xf>
    <xf numFmtId="0" fontId="21" fillId="4" borderId="0" xfId="0" applyFont="1" applyFill="1" applyBorder="1" applyAlignment="1" applyProtection="1">
      <alignment horizontal="center"/>
      <protection hidden="1"/>
    </xf>
    <xf numFmtId="0" fontId="30" fillId="4" borderId="0" xfId="0" applyFont="1" applyFill="1" applyProtection="1">
      <protection hidden="1"/>
    </xf>
    <xf numFmtId="1" fontId="5" fillId="0" borderId="0" xfId="0" applyNumberFormat="1" applyFont="1" applyFill="1" applyBorder="1" applyAlignment="1" applyProtection="1">
      <protection hidden="1"/>
    </xf>
    <xf numFmtId="1" fontId="5" fillId="6" borderId="1" xfId="0" applyNumberFormat="1" applyFont="1" applyFill="1" applyBorder="1" applyAlignment="1" applyProtection="1">
      <protection locked="0" hidden="1"/>
    </xf>
    <xf numFmtId="165" fontId="22" fillId="0" borderId="0" xfId="0" applyNumberFormat="1" applyFont="1" applyFill="1" applyBorder="1" applyProtection="1">
      <protection hidden="1"/>
    </xf>
    <xf numFmtId="165" fontId="1" fillId="0" borderId="0" xfId="0" applyNumberFormat="1" applyFont="1" applyFill="1" applyBorder="1" applyProtection="1">
      <protection hidden="1"/>
    </xf>
    <xf numFmtId="167" fontId="29" fillId="0" borderId="0" xfId="0" applyNumberFormat="1" applyFont="1" applyFill="1" applyBorder="1" applyAlignment="1" applyProtection="1">
      <protection hidden="1"/>
    </xf>
    <xf numFmtId="167" fontId="29" fillId="0" borderId="6" xfId="0" applyNumberFormat="1" applyFont="1" applyFill="1" applyBorder="1" applyAlignment="1" applyProtection="1">
      <protection hidden="1"/>
    </xf>
    <xf numFmtId="167" fontId="9" fillId="0" borderId="0" xfId="0" applyNumberFormat="1" applyFont="1" applyFill="1" applyBorder="1" applyAlignment="1" applyProtection="1">
      <protection hidden="1"/>
    </xf>
    <xf numFmtId="169" fontId="5" fillId="0" borderId="0" xfId="0" applyNumberFormat="1" applyFont="1" applyFill="1" applyBorder="1" applyProtection="1">
      <protection hidden="1"/>
    </xf>
    <xf numFmtId="170" fontId="5" fillId="0" borderId="13" xfId="0" applyNumberFormat="1" applyFont="1" applyFill="1" applyBorder="1" applyAlignment="1" applyProtection="1">
      <alignment horizontal="left"/>
      <protection locked="0" hidden="1"/>
    </xf>
    <xf numFmtId="1" fontId="15" fillId="8" borderId="15" xfId="2" applyNumberFormat="1" applyFont="1" applyFill="1" applyBorder="1" applyAlignment="1" applyProtection="1">
      <alignment horizontal="center" vertical="center" wrapText="1"/>
      <protection hidden="1"/>
    </xf>
    <xf numFmtId="49" fontId="1" fillId="0" borderId="0" xfId="0" applyNumberFormat="1" applyFont="1" applyProtection="1">
      <protection hidden="1"/>
    </xf>
    <xf numFmtId="0" fontId="14" fillId="0" borderId="0" xfId="0" applyFont="1" applyAlignment="1" applyProtection="1">
      <alignment horizontal="center"/>
      <protection hidden="1"/>
    </xf>
    <xf numFmtId="167" fontId="1" fillId="3" borderId="0" xfId="0" applyNumberFormat="1" applyFont="1" applyFill="1" applyProtection="1">
      <protection hidden="1"/>
    </xf>
    <xf numFmtId="0" fontId="5" fillId="0" borderId="0" xfId="0" applyFont="1" applyProtection="1">
      <protection hidden="1"/>
    </xf>
    <xf numFmtId="0" fontId="7" fillId="0" borderId="0" xfId="0" applyFont="1" applyFill="1" applyBorder="1" applyProtection="1">
      <protection hidden="1"/>
    </xf>
    <xf numFmtId="2" fontId="7" fillId="7" borderId="0" xfId="0" applyNumberFormat="1" applyFont="1" applyFill="1" applyBorder="1" applyProtection="1">
      <protection hidden="1"/>
    </xf>
    <xf numFmtId="165" fontId="7" fillId="7" borderId="0" xfId="0" applyNumberFormat="1" applyFont="1" applyFill="1" applyBorder="1" applyProtection="1">
      <protection hidden="1"/>
    </xf>
    <xf numFmtId="49" fontId="17" fillId="9" borderId="17" xfId="2" applyNumberFormat="1" applyFont="1" applyFill="1" applyBorder="1" applyAlignment="1" applyProtection="1">
      <alignment horizontal="right"/>
      <protection hidden="1"/>
    </xf>
    <xf numFmtId="49" fontId="18" fillId="9" borderId="17" xfId="2" applyNumberFormat="1" applyFont="1" applyFill="1" applyBorder="1" applyAlignment="1" applyProtection="1">
      <alignment horizontal="right"/>
      <protection hidden="1"/>
    </xf>
    <xf numFmtId="0" fontId="1" fillId="2" borderId="0" xfId="0" applyFont="1" applyFill="1" applyBorder="1" applyProtection="1">
      <protection hidden="1"/>
    </xf>
    <xf numFmtId="0" fontId="5" fillId="0" borderId="0" xfId="0" applyFont="1" applyFill="1" applyProtection="1">
      <protection hidden="1"/>
    </xf>
    <xf numFmtId="164" fontId="33" fillId="3" borderId="0" xfId="0" applyNumberFormat="1" applyFont="1" applyFill="1" applyBorder="1" applyProtection="1">
      <protection hidden="1"/>
    </xf>
    <xf numFmtId="165" fontId="33" fillId="3" borderId="0" xfId="0" applyNumberFormat="1" applyFont="1" applyFill="1" applyBorder="1" applyAlignment="1" applyProtection="1">
      <alignment horizontal="right"/>
      <protection hidden="1"/>
    </xf>
    <xf numFmtId="1" fontId="1" fillId="2" borderId="0" xfId="0" applyNumberFormat="1" applyFont="1" applyFill="1" applyProtection="1">
      <protection hidden="1"/>
    </xf>
    <xf numFmtId="167" fontId="7" fillId="3" borderId="0" xfId="1" applyNumberFormat="1" applyFont="1" applyFill="1" applyBorder="1" applyProtection="1">
      <protection hidden="1"/>
    </xf>
    <xf numFmtId="168" fontId="7" fillId="3" borderId="0" xfId="1" applyNumberFormat="1" applyFont="1" applyFill="1" applyBorder="1" applyProtection="1">
      <protection hidden="1"/>
    </xf>
    <xf numFmtId="167" fontId="1" fillId="0" borderId="0" xfId="0" applyNumberFormat="1" applyFont="1" applyFill="1" applyProtection="1">
      <protection hidden="1"/>
    </xf>
    <xf numFmtId="167" fontId="33" fillId="12" borderId="0" xfId="0" applyNumberFormat="1" applyFont="1" applyFill="1" applyBorder="1" applyAlignment="1" applyProtection="1">
      <alignment horizontal="right"/>
      <protection hidden="1"/>
    </xf>
    <xf numFmtId="165" fontId="33" fillId="12" borderId="0" xfId="0" applyNumberFormat="1" applyFont="1" applyFill="1" applyBorder="1" applyAlignment="1" applyProtection="1">
      <alignment horizontal="right"/>
      <protection hidden="1"/>
    </xf>
    <xf numFmtId="165" fontId="7" fillId="12" borderId="0" xfId="0" applyNumberFormat="1" applyFont="1" applyFill="1" applyBorder="1" applyProtection="1">
      <protection hidden="1"/>
    </xf>
    <xf numFmtId="1" fontId="7" fillId="12" borderId="0" xfId="0" applyNumberFormat="1" applyFont="1" applyFill="1" applyProtection="1">
      <protection hidden="1"/>
    </xf>
    <xf numFmtId="0" fontId="7" fillId="12" borderId="0" xfId="0" applyFont="1" applyFill="1" applyProtection="1">
      <protection hidden="1"/>
    </xf>
    <xf numFmtId="173" fontId="7" fillId="12" borderId="0" xfId="0" applyNumberFormat="1" applyFont="1" applyFill="1" applyProtection="1">
      <protection hidden="1"/>
    </xf>
    <xf numFmtId="166" fontId="7" fillId="12" borderId="0" xfId="1" applyNumberFormat="1" applyFont="1" applyFill="1" applyBorder="1" applyProtection="1">
      <protection hidden="1"/>
    </xf>
    <xf numFmtId="0" fontId="1" fillId="12" borderId="0" xfId="0" applyFont="1" applyFill="1" applyProtection="1">
      <protection hidden="1"/>
    </xf>
    <xf numFmtId="0" fontId="1" fillId="4" borderId="0" xfId="5" applyFont="1" applyFill="1" applyProtection="1">
      <protection hidden="1"/>
    </xf>
    <xf numFmtId="164" fontId="33" fillId="12" borderId="0" xfId="0" applyNumberFormat="1" applyFont="1" applyFill="1" applyBorder="1" applyProtection="1">
      <protection hidden="1"/>
    </xf>
    <xf numFmtId="1" fontId="1" fillId="12" borderId="0" xfId="0" applyNumberFormat="1" applyFont="1" applyFill="1" applyBorder="1" applyProtection="1">
      <protection hidden="1"/>
    </xf>
    <xf numFmtId="167" fontId="1" fillId="0" borderId="13" xfId="3" applyNumberFormat="1" applyFont="1" applyFill="1" applyBorder="1" applyAlignment="1" applyProtection="1">
      <alignment horizontal="center"/>
      <protection locked="0"/>
    </xf>
    <xf numFmtId="49" fontId="1" fillId="0" borderId="13" xfId="3" applyNumberFormat="1" applyFont="1" applyFill="1" applyBorder="1" applyAlignment="1" applyProtection="1">
      <alignment horizontal="center"/>
      <protection locked="0"/>
    </xf>
    <xf numFmtId="49" fontId="1" fillId="0" borderId="13" xfId="3" applyNumberFormat="1" applyFont="1" applyFill="1" applyBorder="1" applyAlignment="1" applyProtection="1">
      <alignment horizontal="center" wrapText="1"/>
      <protection locked="0"/>
    </xf>
    <xf numFmtId="4" fontId="2" fillId="4" borderId="13" xfId="3" applyNumberFormat="1" applyFont="1" applyFill="1" applyBorder="1" applyAlignment="1" applyProtection="1">
      <alignment horizontal="center"/>
      <protection locked="0"/>
    </xf>
    <xf numFmtId="4" fontId="2" fillId="4" borderId="13" xfId="0" applyNumberFormat="1" applyFont="1" applyFill="1" applyBorder="1" applyAlignment="1" applyProtection="1">
      <alignment horizontal="center"/>
      <protection locked="0"/>
    </xf>
    <xf numFmtId="4" fontId="2" fillId="0" borderId="13" xfId="0" applyNumberFormat="1" applyFont="1" applyFill="1" applyBorder="1" applyAlignment="1" applyProtection="1">
      <alignment horizontal="center"/>
      <protection locked="0"/>
    </xf>
    <xf numFmtId="4" fontId="2" fillId="4" borderId="24" xfId="0" applyNumberFormat="1" applyFont="1" applyFill="1" applyBorder="1" applyAlignment="1" applyProtection="1">
      <alignment horizontal="center"/>
      <protection locked="0"/>
    </xf>
    <xf numFmtId="49" fontId="15" fillId="13" borderId="25" xfId="2" applyNumberFormat="1" applyFont="1" applyFill="1" applyBorder="1" applyAlignment="1" applyProtection="1">
      <alignment horizontal="center" vertical="center" wrapText="1"/>
      <protection hidden="1"/>
    </xf>
    <xf numFmtId="0" fontId="35" fillId="14" borderId="1" xfId="0" applyFont="1" applyFill="1" applyBorder="1" applyAlignment="1" applyProtection="1">
      <alignment horizontal="center"/>
      <protection locked="0"/>
    </xf>
    <xf numFmtId="0" fontId="1" fillId="0" borderId="26" xfId="0" applyFont="1" applyFill="1" applyBorder="1" applyProtection="1">
      <protection hidden="1"/>
    </xf>
    <xf numFmtId="4" fontId="1" fillId="0" borderId="0" xfId="0" applyNumberFormat="1" applyFont="1" applyFill="1" applyBorder="1" applyProtection="1">
      <protection hidden="1"/>
    </xf>
    <xf numFmtId="0" fontId="1" fillId="0" borderId="0" xfId="0" applyFont="1" applyBorder="1" applyProtection="1">
      <protection hidden="1"/>
    </xf>
    <xf numFmtId="4" fontId="1" fillId="0" borderId="0" xfId="0" applyNumberFormat="1" applyFont="1" applyBorder="1" applyProtection="1">
      <protection hidden="1"/>
    </xf>
    <xf numFmtId="166" fontId="19" fillId="0" borderId="0" xfId="1" applyNumberFormat="1" applyFont="1" applyFill="1" applyBorder="1" applyProtection="1">
      <protection hidden="1"/>
    </xf>
    <xf numFmtId="165" fontId="19" fillId="0" borderId="0" xfId="0" applyNumberFormat="1" applyFont="1" applyFill="1" applyBorder="1" applyAlignment="1" applyProtection="1">
      <alignment horizontal="left"/>
      <protection hidden="1"/>
    </xf>
    <xf numFmtId="166" fontId="19" fillId="0" borderId="0" xfId="1" applyNumberFormat="1" applyFont="1" applyFill="1" applyBorder="1" applyAlignment="1" applyProtection="1">
      <alignment horizontal="left"/>
      <protection hidden="1"/>
    </xf>
    <xf numFmtId="165" fontId="19" fillId="0" borderId="0" xfId="0" applyNumberFormat="1" applyFont="1" applyFill="1" applyBorder="1" applyProtection="1">
      <protection hidden="1"/>
    </xf>
    <xf numFmtId="2" fontId="1" fillId="0" borderId="0" xfId="0" applyNumberFormat="1" applyFont="1" applyFill="1" applyBorder="1" applyProtection="1">
      <protection hidden="1"/>
    </xf>
    <xf numFmtId="172" fontId="1" fillId="0" borderId="0" xfId="0" applyNumberFormat="1" applyFont="1" applyFill="1" applyBorder="1" applyProtection="1">
      <protection hidden="1"/>
    </xf>
    <xf numFmtId="0" fontId="7" fillId="0" borderId="0" xfId="0" applyNumberFormat="1" applyFont="1" applyFill="1" applyBorder="1" applyProtection="1">
      <protection hidden="1"/>
    </xf>
    <xf numFmtId="164" fontId="7" fillId="0" borderId="0" xfId="0" applyNumberFormat="1" applyFont="1" applyFill="1" applyBorder="1" applyProtection="1">
      <protection hidden="1"/>
    </xf>
    <xf numFmtId="49" fontId="1" fillId="0" borderId="0" xfId="0" applyNumberFormat="1" applyFont="1" applyFill="1" applyBorder="1" applyProtection="1">
      <protection hidden="1"/>
    </xf>
    <xf numFmtId="171" fontId="1" fillId="0" borderId="0" xfId="0" applyNumberFormat="1" applyFont="1" applyFill="1" applyBorder="1" applyProtection="1">
      <protection hidden="1"/>
    </xf>
    <xf numFmtId="0" fontId="19" fillId="0" borderId="0" xfId="0" applyFont="1" applyFill="1" applyBorder="1" applyProtection="1">
      <protection hidden="1"/>
    </xf>
    <xf numFmtId="2" fontId="7" fillId="0" borderId="0" xfId="0" applyNumberFormat="1" applyFont="1" applyFill="1" applyBorder="1" applyProtection="1">
      <protection hidden="1"/>
    </xf>
    <xf numFmtId="165" fontId="7" fillId="0" borderId="0" xfId="0" applyNumberFormat="1" applyFont="1" applyFill="1" applyBorder="1" applyProtection="1">
      <protection hidden="1"/>
    </xf>
    <xf numFmtId="49" fontId="7" fillId="0" borderId="0" xfId="0" applyNumberFormat="1" applyFont="1" applyFill="1" applyBorder="1" applyProtection="1">
      <protection hidden="1"/>
    </xf>
    <xf numFmtId="171" fontId="7" fillId="0" borderId="0" xfId="0" applyNumberFormat="1" applyFont="1" applyFill="1" applyBorder="1" applyProtection="1">
      <protection hidden="1"/>
    </xf>
    <xf numFmtId="0" fontId="1" fillId="0" borderId="0" xfId="0" applyNumberFormat="1" applyFont="1" applyFill="1" applyBorder="1" applyProtection="1">
      <protection hidden="1"/>
    </xf>
    <xf numFmtId="0" fontId="7" fillId="0" borderId="0" xfId="0" applyFont="1" applyBorder="1" applyProtection="1">
      <protection hidden="1"/>
    </xf>
    <xf numFmtId="164" fontId="19" fillId="0" borderId="0" xfId="0" applyNumberFormat="1" applyFont="1" applyFill="1" applyBorder="1" applyProtection="1">
      <protection hidden="1"/>
    </xf>
    <xf numFmtId="165" fontId="19" fillId="0" borderId="0" xfId="0" applyNumberFormat="1" applyFont="1" applyFill="1" applyBorder="1" applyAlignment="1" applyProtection="1">
      <alignment horizontal="right"/>
      <protection hidden="1"/>
    </xf>
    <xf numFmtId="165" fontId="7" fillId="0" borderId="0" xfId="0" applyNumberFormat="1" applyFont="1" applyFill="1" applyBorder="1" applyAlignment="1" applyProtection="1">
      <alignment horizontal="right"/>
      <protection hidden="1"/>
    </xf>
    <xf numFmtId="49" fontId="1" fillId="0" borderId="0" xfId="0" applyNumberFormat="1" applyFont="1" applyBorder="1" applyAlignment="1" applyProtection="1">
      <alignment horizontal="center"/>
      <protection hidden="1"/>
    </xf>
    <xf numFmtId="0" fontId="14" fillId="0" borderId="0" xfId="0" applyFont="1" applyBorder="1" applyAlignment="1" applyProtection="1">
      <alignment horizontal="left"/>
      <protection hidden="1"/>
    </xf>
    <xf numFmtId="49" fontId="1" fillId="0" borderId="0" xfId="0" applyNumberFormat="1" applyFont="1" applyBorder="1" applyAlignment="1" applyProtection="1">
      <alignment horizontal="center"/>
      <protection locked="0" hidden="1"/>
    </xf>
    <xf numFmtId="49" fontId="1" fillId="0" borderId="0" xfId="0" applyNumberFormat="1" applyFont="1" applyFill="1" applyBorder="1" applyAlignment="1" applyProtection="1">
      <alignment horizontal="center"/>
      <protection locked="0" hidden="1"/>
    </xf>
    <xf numFmtId="0" fontId="1" fillId="0" borderId="0" xfId="0" applyFont="1" applyFill="1" applyBorder="1" applyAlignment="1" applyProtection="1">
      <alignment horizontal="center" wrapText="1"/>
      <protection hidden="1"/>
    </xf>
    <xf numFmtId="49" fontId="15" fillId="8" borderId="2" xfId="2" applyNumberFormat="1" applyFont="1" applyFill="1" applyBorder="1" applyAlignment="1" applyProtection="1">
      <alignment horizontal="center" vertical="center"/>
      <protection hidden="1"/>
    </xf>
    <xf numFmtId="0" fontId="15" fillId="8" borderId="3" xfId="2" applyFont="1" applyFill="1" applyBorder="1" applyAlignment="1" applyProtection="1">
      <alignment horizontal="center" vertical="center" wrapText="1"/>
      <protection hidden="1"/>
    </xf>
    <xf numFmtId="1" fontId="15" fillId="8" borderId="3" xfId="2" applyNumberFormat="1" applyFont="1" applyFill="1" applyBorder="1" applyAlignment="1" applyProtection="1">
      <alignment horizontal="center" vertical="center" wrapText="1"/>
      <protection hidden="1"/>
    </xf>
    <xf numFmtId="4" fontId="15" fillId="8" borderId="4" xfId="2" applyNumberFormat="1" applyFont="1" applyFill="1" applyBorder="1" applyAlignment="1" applyProtection="1">
      <alignment horizontal="center" vertical="center"/>
      <protection hidden="1"/>
    </xf>
    <xf numFmtId="49" fontId="17" fillId="9" borderId="13" xfId="2" applyNumberFormat="1" applyFont="1" applyFill="1" applyBorder="1" applyAlignment="1" applyProtection="1">
      <alignment horizontal="center"/>
      <protection hidden="1"/>
    </xf>
    <xf numFmtId="0" fontId="17" fillId="9" borderId="13" xfId="2" applyNumberFormat="1" applyFont="1" applyFill="1" applyBorder="1" applyAlignment="1" applyProtection="1">
      <alignment horizontal="left"/>
      <protection hidden="1"/>
    </xf>
    <xf numFmtId="0" fontId="17" fillId="9" borderId="13" xfId="2" applyFont="1" applyFill="1" applyBorder="1" applyAlignment="1" applyProtection="1">
      <alignment horizontal="right"/>
      <protection hidden="1"/>
    </xf>
    <xf numFmtId="4" fontId="18" fillId="9" borderId="13" xfId="2" applyNumberFormat="1" applyFont="1" applyFill="1" applyBorder="1" applyAlignment="1" applyProtection="1">
      <alignment horizontal="right"/>
      <protection hidden="1"/>
    </xf>
    <xf numFmtId="49" fontId="1" fillId="0" borderId="13" xfId="0" applyNumberFormat="1" applyFont="1" applyBorder="1" applyAlignment="1" applyProtection="1">
      <alignment horizontal="center"/>
      <protection locked="0" hidden="1"/>
    </xf>
    <xf numFmtId="168" fontId="1" fillId="0" borderId="13" xfId="0" applyNumberFormat="1" applyFont="1" applyBorder="1" applyProtection="1">
      <protection locked="0" hidden="1"/>
    </xf>
    <xf numFmtId="168" fontId="0" fillId="0" borderId="13" xfId="0" applyNumberFormat="1" applyBorder="1" applyProtection="1">
      <protection locked="0" hidden="1"/>
    </xf>
    <xf numFmtId="49" fontId="0" fillId="0" borderId="13" xfId="0" applyNumberFormat="1" applyBorder="1" applyAlignment="1" applyProtection="1">
      <alignment horizontal="center"/>
      <protection locked="0" hidden="1"/>
    </xf>
    <xf numFmtId="1" fontId="17" fillId="9" borderId="13" xfId="2" applyNumberFormat="1" applyFont="1" applyFill="1" applyBorder="1" applyAlignment="1" applyProtection="1">
      <alignment horizontal="center"/>
      <protection hidden="1"/>
    </xf>
    <xf numFmtId="0" fontId="1" fillId="0" borderId="13" xfId="0" applyFont="1" applyBorder="1" applyProtection="1">
      <protection locked="0"/>
    </xf>
    <xf numFmtId="0" fontId="0" fillId="0" borderId="13" xfId="0" applyBorder="1" applyProtection="1">
      <protection locked="0"/>
    </xf>
    <xf numFmtId="168" fontId="0" fillId="0" borderId="13" xfId="0" applyNumberFormat="1" applyBorder="1" applyProtection="1">
      <protection locked="0"/>
    </xf>
    <xf numFmtId="168" fontId="1" fillId="0" borderId="13" xfId="0" applyNumberFormat="1" applyFont="1" applyBorder="1" applyProtection="1">
      <protection locked="0"/>
    </xf>
    <xf numFmtId="0" fontId="17" fillId="0" borderId="13" xfId="2" applyFont="1" applyFill="1" applyBorder="1" applyAlignment="1" applyProtection="1">
      <alignment horizontal="right"/>
      <protection hidden="1"/>
    </xf>
    <xf numFmtId="49" fontId="1" fillId="0" borderId="0" xfId="0" applyNumberFormat="1" applyFont="1" applyFill="1" applyBorder="1" applyAlignment="1" applyProtection="1">
      <alignment horizontal="center"/>
      <protection hidden="1"/>
    </xf>
    <xf numFmtId="0" fontId="14" fillId="0" borderId="0" xfId="0" applyFont="1" applyBorder="1" applyAlignment="1" applyProtection="1">
      <alignment horizontal="center"/>
      <protection locked="0"/>
    </xf>
    <xf numFmtId="0" fontId="36" fillId="4" borderId="13" xfId="5" applyFont="1" applyFill="1" applyBorder="1"/>
    <xf numFmtId="0" fontId="5" fillId="4" borderId="13" xfId="5" applyFont="1" applyFill="1" applyBorder="1"/>
    <xf numFmtId="0" fontId="36" fillId="15" borderId="13" xfId="5" applyFont="1" applyFill="1" applyBorder="1"/>
    <xf numFmtId="0" fontId="1" fillId="0" borderId="27" xfId="5" applyFill="1" applyBorder="1"/>
    <xf numFmtId="0" fontId="1" fillId="0" borderId="27" xfId="5" applyFill="1" applyBorder="1"/>
    <xf numFmtId="0" fontId="1" fillId="0" borderId="27" xfId="5" applyFill="1" applyBorder="1"/>
    <xf numFmtId="1" fontId="1" fillId="0" borderId="27" xfId="5" applyNumberFormat="1" applyFill="1" applyBorder="1" applyAlignment="1"/>
    <xf numFmtId="0" fontId="1" fillId="15" borderId="27" xfId="5" applyFill="1" applyBorder="1"/>
    <xf numFmtId="0" fontId="11" fillId="5" borderId="11" xfId="0" applyFont="1" applyFill="1" applyBorder="1" applyAlignment="1">
      <alignment horizontal="center"/>
    </xf>
    <xf numFmtId="0" fontId="11" fillId="5" borderId="12" xfId="0" applyFont="1" applyFill="1" applyBorder="1" applyAlignment="1">
      <alignment horizontal="center"/>
    </xf>
    <xf numFmtId="0" fontId="11" fillId="5" borderId="10" xfId="0" applyFont="1" applyFill="1" applyBorder="1" applyAlignment="1">
      <alignment horizontal="center"/>
    </xf>
    <xf numFmtId="49" fontId="6" fillId="6" borderId="7" xfId="0" applyNumberFormat="1" applyFont="1" applyFill="1" applyBorder="1" applyAlignment="1" applyProtection="1">
      <alignment horizontal="left"/>
      <protection locked="0" hidden="1"/>
    </xf>
    <xf numFmtId="49" fontId="6" fillId="6" borderId="8" xfId="0" applyNumberFormat="1" applyFont="1" applyFill="1" applyBorder="1" applyAlignment="1" applyProtection="1">
      <alignment horizontal="left"/>
      <protection locked="0" hidden="1"/>
    </xf>
    <xf numFmtId="49" fontId="6" fillId="6" borderId="9" xfId="0" applyNumberFormat="1" applyFont="1" applyFill="1" applyBorder="1" applyAlignment="1" applyProtection="1">
      <alignment horizontal="left"/>
      <protection locked="0" hidden="1"/>
    </xf>
    <xf numFmtId="0" fontId="4" fillId="4" borderId="5" xfId="0" applyFont="1" applyFill="1" applyBorder="1" applyAlignment="1">
      <alignment horizontal="left"/>
    </xf>
    <xf numFmtId="0" fontId="4" fillId="4" borderId="0" xfId="0" applyFont="1" applyFill="1" applyBorder="1" applyAlignment="1">
      <alignment horizontal="left"/>
    </xf>
    <xf numFmtId="0" fontId="28" fillId="4" borderId="0" xfId="0" applyFont="1" applyFill="1" applyBorder="1" applyAlignment="1" applyProtection="1">
      <alignment horizontal="center"/>
      <protection hidden="1"/>
    </xf>
    <xf numFmtId="0" fontId="28" fillId="4" borderId="6" xfId="0" applyFont="1" applyFill="1" applyBorder="1" applyAlignment="1" applyProtection="1">
      <alignment horizontal="center"/>
      <protection hidden="1"/>
    </xf>
    <xf numFmtId="1" fontId="9" fillId="6" borderId="7" xfId="0" applyNumberFormat="1" applyFont="1" applyFill="1" applyBorder="1" applyAlignment="1" applyProtection="1">
      <alignment horizontal="right"/>
      <protection locked="0" hidden="1"/>
    </xf>
    <xf numFmtId="1" fontId="5" fillId="6" borderId="8" xfId="0" applyNumberFormat="1" applyFont="1" applyFill="1" applyBorder="1" applyAlignment="1" applyProtection="1">
      <alignment horizontal="right"/>
      <protection locked="0" hidden="1"/>
    </xf>
    <xf numFmtId="1" fontId="5" fillId="6" borderId="9" xfId="0" applyNumberFormat="1" applyFont="1" applyFill="1" applyBorder="1" applyAlignment="1" applyProtection="1">
      <alignment horizontal="right"/>
      <protection locked="0" hidden="1"/>
    </xf>
    <xf numFmtId="0" fontId="25" fillId="0" borderId="0" xfId="0" applyFont="1" applyBorder="1" applyAlignment="1" applyProtection="1">
      <alignment horizontal="center" wrapText="1"/>
      <protection hidden="1"/>
    </xf>
    <xf numFmtId="0" fontId="22" fillId="0" borderId="0" xfId="0" applyFont="1" applyBorder="1" applyAlignment="1" applyProtection="1">
      <alignment horizontal="justify" vertical="justify" wrapText="1"/>
      <protection hidden="1"/>
    </xf>
    <xf numFmtId="0" fontId="1" fillId="0" borderId="0" xfId="0" applyFont="1" applyFill="1" applyBorder="1" applyAlignment="1" applyProtection="1">
      <alignment horizontal="center" wrapText="1"/>
      <protection hidden="1"/>
    </xf>
  </cellXfs>
  <cellStyles count="7">
    <cellStyle name="Euro" xfId="4"/>
    <cellStyle name="Millares" xfId="1" builtinId="3"/>
    <cellStyle name="Normal" xfId="0" builtinId="0"/>
    <cellStyle name="Normal 2" xfId="5"/>
    <cellStyle name="Normal 20 2" xfId="3"/>
    <cellStyle name="Normal 3 2" xfId="6"/>
    <cellStyle name="Normal_Hoja1" xfId="2"/>
  </cellStyles>
  <dxfs count="7">
    <dxf>
      <fill>
        <patternFill>
          <bgColor theme="2" tint="-0.24994659260841701"/>
        </patternFill>
      </fill>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2" tint="-0.24994659260841701"/>
        </patternFill>
      </fill>
    </dxf>
    <dxf>
      <fill>
        <patternFill>
          <bgColor theme="0" tint="-0.34998626667073579"/>
        </patternFill>
      </fill>
      <border>
        <left style="thin">
          <color auto="1"/>
        </left>
        <right style="thin">
          <color auto="1"/>
        </right>
        <top style="thin">
          <color auto="1"/>
        </top>
        <bottom style="thin">
          <color auto="1"/>
        </bottom>
        <vertical/>
        <horizontal/>
      </border>
    </dxf>
    <dxf>
      <fill>
        <patternFill>
          <bgColor theme="2" tint="-0.24994659260841701"/>
        </patternFill>
      </fill>
    </dxf>
    <dxf>
      <fill>
        <patternFill>
          <bgColor theme="2" tint="-0.24994659260841701"/>
        </patternFill>
      </fill>
    </dxf>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Ctas Cr&#233;dito SINPE'!B4"/><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Ctas Cr&#233;dito BCR'!B4"/></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Datos Empresa'!F16"/></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Datos Empresa'!F16"/></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Datos Empresa'!F16"/></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Datos Empresa'!F7"/></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9526</xdr:colOff>
      <xdr:row>1</xdr:row>
      <xdr:rowOff>9525</xdr:rowOff>
    </xdr:from>
    <xdr:to>
      <xdr:col>9</xdr:col>
      <xdr:colOff>320040</xdr:colOff>
      <xdr:row>3</xdr:row>
      <xdr:rowOff>121920</xdr:rowOff>
    </xdr:to>
    <xdr:pic>
      <xdr:nvPicPr>
        <xdr:cNvPr id="2" name="Picture 25"/>
        <xdr:cNvPicPr>
          <a:picLocks noChangeAspect="1" noChangeArrowheads="1"/>
        </xdr:cNvPicPr>
      </xdr:nvPicPr>
      <xdr:blipFill>
        <a:blip xmlns:r="http://schemas.openxmlformats.org/officeDocument/2006/relationships" r:embed="rId1"/>
        <a:srcRect/>
        <a:stretch>
          <a:fillRect/>
        </a:stretch>
      </xdr:blipFill>
      <xdr:spPr bwMode="auto">
        <a:xfrm>
          <a:off x="184786" y="100965"/>
          <a:ext cx="6162674" cy="561975"/>
        </a:xfrm>
        <a:prstGeom prst="rect">
          <a:avLst/>
        </a:prstGeom>
        <a:noFill/>
        <a:ln w="1">
          <a:noFill/>
          <a:miter lim="800000"/>
          <a:headEnd/>
          <a:tailEnd type="none" w="med" len="med"/>
        </a:ln>
        <a:effectLst/>
      </xdr:spPr>
    </xdr:pic>
    <xdr:clientData/>
  </xdr:twoCellAnchor>
  <xdr:twoCellAnchor editAs="oneCell">
    <xdr:from>
      <xdr:col>8</xdr:col>
      <xdr:colOff>691514</xdr:colOff>
      <xdr:row>15</xdr:row>
      <xdr:rowOff>20956</xdr:rowOff>
    </xdr:from>
    <xdr:to>
      <xdr:col>9</xdr:col>
      <xdr:colOff>110489</xdr:colOff>
      <xdr:row>18</xdr:row>
      <xdr:rowOff>15240</xdr:rowOff>
    </xdr:to>
    <xdr:pic>
      <xdr:nvPicPr>
        <xdr:cNvPr id="3" name="Picture 28">
          <a:hlinkClick xmlns:r="http://schemas.openxmlformats.org/officeDocument/2006/relationships" r:id="rId2"/>
        </xdr:cNvPr>
        <xdr:cNvPicPr>
          <a:picLocks noChangeAspect="1" noChangeArrowheads="1"/>
        </xdr:cNvPicPr>
      </xdr:nvPicPr>
      <xdr:blipFill>
        <a:blip xmlns:r="http://schemas.openxmlformats.org/officeDocument/2006/relationships" r:embed="rId3" cstate="print"/>
        <a:srcRect/>
        <a:stretch>
          <a:fillRect/>
        </a:stretch>
      </xdr:blipFill>
      <xdr:spPr bwMode="auto">
        <a:xfrm>
          <a:off x="5690234" y="2596516"/>
          <a:ext cx="447675" cy="398144"/>
        </a:xfrm>
        <a:prstGeom prst="rect">
          <a:avLst/>
        </a:prstGeom>
        <a:noFill/>
      </xdr:spPr>
    </xdr:pic>
    <xdr:clientData/>
  </xdr:twoCellAnchor>
  <xdr:twoCellAnchor editAs="oneCell">
    <xdr:from>
      <xdr:col>8</xdr:col>
      <xdr:colOff>17146</xdr:colOff>
      <xdr:row>15</xdr:row>
      <xdr:rowOff>11429</xdr:rowOff>
    </xdr:from>
    <xdr:to>
      <xdr:col>8</xdr:col>
      <xdr:colOff>576619</xdr:colOff>
      <xdr:row>17</xdr:row>
      <xdr:rowOff>78104</xdr:rowOff>
    </xdr:to>
    <xdr:pic>
      <xdr:nvPicPr>
        <xdr:cNvPr id="4" name="Picture 29">
          <a:hlinkClick xmlns:r="http://schemas.openxmlformats.org/officeDocument/2006/relationships" r:id="rId4"/>
        </xdr:cNvPr>
        <xdr:cNvPicPr>
          <a:picLocks noChangeAspect="1" noChangeArrowheads="1"/>
        </xdr:cNvPicPr>
      </xdr:nvPicPr>
      <xdr:blipFill>
        <a:blip xmlns:r="http://schemas.openxmlformats.org/officeDocument/2006/relationships" r:embed="rId5"/>
        <a:srcRect/>
        <a:stretch>
          <a:fillRect/>
        </a:stretch>
      </xdr:blipFill>
      <xdr:spPr bwMode="auto">
        <a:xfrm>
          <a:off x="5015866" y="2586989"/>
          <a:ext cx="559473" cy="379095"/>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57149</xdr:colOff>
      <xdr:row>0</xdr:row>
      <xdr:rowOff>142875</xdr:rowOff>
    </xdr:from>
    <xdr:to>
      <xdr:col>10</xdr:col>
      <xdr:colOff>752474</xdr:colOff>
      <xdr:row>3</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flipH="1">
          <a:off x="6896099" y="142875"/>
          <a:ext cx="695325" cy="75247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10</xdr:col>
          <xdr:colOff>19050</xdr:colOff>
          <xdr:row>3</xdr:row>
          <xdr:rowOff>95250</xdr:rowOff>
        </xdr:from>
        <xdr:to>
          <xdr:col>10</xdr:col>
          <xdr:colOff>781050</xdr:colOff>
          <xdr:row>6</xdr:row>
          <xdr:rowOff>85725</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Generar </a:t>
              </a:r>
            </a:p>
            <a:p>
              <a:pPr algn="ctr" rtl="0">
                <a:defRPr sz="1000"/>
              </a:pPr>
              <a:r>
                <a:rPr lang="es-ES" sz="1000" b="1" i="0" u="none" strike="noStrike" baseline="0">
                  <a:solidFill>
                    <a:srgbClr val="0000FF"/>
                  </a:solidFill>
                  <a:latin typeface="Arial"/>
                  <a:cs typeface="Arial"/>
                </a:rPr>
                <a:t>Archivo</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57149</xdr:colOff>
      <xdr:row>0</xdr:row>
      <xdr:rowOff>142875</xdr:rowOff>
    </xdr:from>
    <xdr:to>
      <xdr:col>7</xdr:col>
      <xdr:colOff>752474</xdr:colOff>
      <xdr:row>3</xdr:row>
      <xdr:rowOff>0</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flipH="1">
          <a:off x="6905624" y="142875"/>
          <a:ext cx="695325" cy="75247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7</xdr:col>
          <xdr:colOff>19050</xdr:colOff>
          <xdr:row>3</xdr:row>
          <xdr:rowOff>95250</xdr:rowOff>
        </xdr:from>
        <xdr:to>
          <xdr:col>7</xdr:col>
          <xdr:colOff>781050</xdr:colOff>
          <xdr:row>6</xdr:row>
          <xdr:rowOff>114300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Generar </a:t>
              </a:r>
            </a:p>
            <a:p>
              <a:pPr algn="ctr" rtl="0">
                <a:defRPr sz="1000"/>
              </a:pPr>
              <a:r>
                <a:rPr lang="es-ES" sz="1000" b="1" i="0" u="none" strike="noStrike" baseline="0">
                  <a:solidFill>
                    <a:srgbClr val="0000FF"/>
                  </a:solidFill>
                  <a:latin typeface="Arial"/>
                  <a:cs typeface="Arial"/>
                </a:rPr>
                <a:t>Archivo</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74083</xdr:colOff>
      <xdr:row>0</xdr:row>
      <xdr:rowOff>148167</xdr:rowOff>
    </xdr:from>
    <xdr:to>
      <xdr:col>6</xdr:col>
      <xdr:colOff>7408</xdr:colOff>
      <xdr:row>3</xdr:row>
      <xdr:rowOff>64559</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flipH="1">
          <a:off x="6805083" y="148167"/>
          <a:ext cx="695325" cy="752475"/>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4</xdr:col>
          <xdr:colOff>581025</xdr:colOff>
          <xdr:row>4</xdr:row>
          <xdr:rowOff>66675</xdr:rowOff>
        </xdr:from>
        <xdr:to>
          <xdr:col>6</xdr:col>
          <xdr:colOff>114300</xdr:colOff>
          <xdr:row>7</xdr:row>
          <xdr:rowOff>47625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Generar </a:t>
              </a:r>
            </a:p>
            <a:p>
              <a:pPr algn="ctr" rtl="0">
                <a:defRPr sz="1000"/>
              </a:pPr>
              <a:r>
                <a:rPr lang="es-ES" sz="1000" b="1" i="0" u="none" strike="noStrike" baseline="0">
                  <a:solidFill>
                    <a:srgbClr val="0000FF"/>
                  </a:solidFill>
                  <a:latin typeface="Arial"/>
                  <a:cs typeface="Arial"/>
                </a:rPr>
                <a:t>Archivo</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6</xdr:col>
      <xdr:colOff>509742</xdr:colOff>
      <xdr:row>0</xdr:row>
      <xdr:rowOff>150496</xdr:rowOff>
    </xdr:from>
    <xdr:to>
      <xdr:col>6</xdr:col>
      <xdr:colOff>1125853</xdr:colOff>
      <xdr:row>2</xdr:row>
      <xdr:rowOff>112396</xdr:rowOff>
    </xdr:to>
    <xdr:pic>
      <xdr:nvPicPr>
        <xdr:cNvPr id="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flipH="1">
          <a:off x="9348942" y="150496"/>
          <a:ext cx="616111" cy="66294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6</xdr:col>
          <xdr:colOff>466725</xdr:colOff>
          <xdr:row>3</xdr:row>
          <xdr:rowOff>142875</xdr:rowOff>
        </xdr:from>
        <xdr:to>
          <xdr:col>6</xdr:col>
          <xdr:colOff>1219200</xdr:colOff>
          <xdr:row>6</xdr:row>
          <xdr:rowOff>123825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Generar </a:t>
              </a:r>
            </a:p>
            <a:p>
              <a:pPr algn="ctr" rtl="0">
                <a:defRPr sz="1000"/>
              </a:pPr>
              <a:r>
                <a:rPr lang="es-ES" sz="1000" b="1" i="0" u="none" strike="noStrike" baseline="0">
                  <a:solidFill>
                    <a:srgbClr val="0000FF"/>
                  </a:solidFill>
                  <a:latin typeface="Arial"/>
                  <a:cs typeface="Arial"/>
                </a:rPr>
                <a:t>Archivo</a:t>
              </a:r>
            </a:p>
          </xdr:txBody>
        </xdr:sp>
        <xdr:clientData fLocksWithSheet="0"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Y999"/>
  <sheetViews>
    <sheetView showGridLines="0" showRowColHeaders="0" zoomScaleNormal="100" workbookViewId="0">
      <selection activeCell="E19" sqref="E19"/>
    </sheetView>
  </sheetViews>
  <sheetFormatPr baseColWidth="10" defaultColWidth="0" defaultRowHeight="12.75" zeroHeight="1" x14ac:dyDescent="0.2"/>
  <cols>
    <col min="1" max="1" width="2.5703125" customWidth="1"/>
    <col min="2" max="2" width="22.28515625" customWidth="1"/>
    <col min="3" max="3" width="7.5703125" customWidth="1"/>
    <col min="4" max="4" width="3.5703125" customWidth="1"/>
    <col min="5" max="5" width="28.28515625" customWidth="1"/>
    <col min="6" max="6" width="2.140625" customWidth="1"/>
    <col min="7" max="7" width="5" customWidth="1"/>
    <col min="8" max="8" width="1.42578125" customWidth="1"/>
    <col min="9" max="9" width="15" bestFit="1" customWidth="1"/>
    <col min="10" max="10" width="4.85546875" customWidth="1"/>
    <col min="11" max="11" width="7.28515625" customWidth="1"/>
    <col min="12" max="20" width="11.42578125" hidden="1" customWidth="1"/>
    <col min="21" max="25" width="11.42578125" customWidth="1"/>
    <col min="26" max="16384" width="11.42578125" hidden="1"/>
  </cols>
  <sheetData>
    <row r="1" spans="1:10" ht="7.15" customHeight="1" thickBot="1" x14ac:dyDescent="0.3">
      <c r="A1" s="94" t="s">
        <v>46</v>
      </c>
      <c r="B1" s="2"/>
      <c r="C1" s="2"/>
      <c r="D1" s="2"/>
      <c r="E1" s="3"/>
      <c r="F1" s="2"/>
      <c r="G1" s="4"/>
      <c r="H1" s="5"/>
      <c r="I1" s="5"/>
      <c r="J1" s="5"/>
    </row>
    <row r="2" spans="1:10" ht="18.75" thickBot="1" x14ac:dyDescent="0.3">
      <c r="A2" s="2"/>
      <c r="B2" s="6"/>
      <c r="C2" s="7"/>
      <c r="D2" s="7"/>
      <c r="E2" s="8"/>
      <c r="F2" s="7"/>
      <c r="G2" s="9"/>
      <c r="H2" s="29"/>
      <c r="I2" s="29"/>
      <c r="J2" s="30"/>
    </row>
    <row r="3" spans="1:10" ht="18" x14ac:dyDescent="0.25">
      <c r="A3" s="2"/>
      <c r="B3" s="6"/>
      <c r="C3" s="7"/>
      <c r="D3" s="7"/>
      <c r="E3" s="8"/>
      <c r="F3" s="7"/>
      <c r="G3" s="9"/>
      <c r="H3" s="29"/>
      <c r="I3" s="29"/>
      <c r="J3" s="30"/>
    </row>
    <row r="4" spans="1:10" ht="10.15" customHeight="1" thickBot="1" x14ac:dyDescent="0.3">
      <c r="A4" s="2"/>
      <c r="B4" s="10"/>
      <c r="C4" s="11"/>
      <c r="D4" s="11"/>
      <c r="E4" s="12"/>
      <c r="F4" s="11"/>
      <c r="G4" s="13"/>
      <c r="H4" s="15"/>
      <c r="I4" s="15"/>
      <c r="J4" s="31"/>
    </row>
    <row r="5" spans="1:10" ht="18.75" thickBot="1" x14ac:dyDescent="0.3">
      <c r="A5" s="2"/>
      <c r="B5" s="14" t="s">
        <v>4</v>
      </c>
      <c r="C5" s="15"/>
      <c r="D5" s="11"/>
      <c r="E5" s="42">
        <v>3004535222</v>
      </c>
      <c r="F5" s="99" t="s">
        <v>32</v>
      </c>
      <c r="G5" s="101"/>
      <c r="H5" s="15"/>
      <c r="I5" s="15"/>
      <c r="J5" s="31"/>
    </row>
    <row r="6" spans="1:10" ht="7.15" customHeight="1" thickBot="1" x14ac:dyDescent="0.3">
      <c r="A6" s="2"/>
      <c r="B6" s="14"/>
      <c r="C6" s="15"/>
      <c r="D6" s="11"/>
      <c r="E6" s="12"/>
      <c r="F6" s="11"/>
      <c r="G6" s="13"/>
      <c r="H6" s="15"/>
      <c r="I6" s="15"/>
      <c r="J6" s="31"/>
    </row>
    <row r="7" spans="1:10" ht="18.75" thickBot="1" x14ac:dyDescent="0.3">
      <c r="A7" s="2"/>
      <c r="B7" s="14" t="s">
        <v>15</v>
      </c>
      <c r="C7" s="15"/>
      <c r="D7" s="11"/>
      <c r="E7" s="202" t="s">
        <v>96</v>
      </c>
      <c r="F7" s="203"/>
      <c r="G7" s="203"/>
      <c r="H7" s="203"/>
      <c r="I7" s="204"/>
      <c r="J7" s="31"/>
    </row>
    <row r="8" spans="1:10" ht="6.6" customHeight="1" thickBot="1" x14ac:dyDescent="0.3">
      <c r="A8" s="2"/>
      <c r="B8" s="14"/>
      <c r="C8" s="15"/>
      <c r="D8" s="11"/>
      <c r="E8" s="12"/>
      <c r="F8" s="11"/>
      <c r="G8" s="13"/>
      <c r="H8" s="15"/>
      <c r="I8" s="15"/>
      <c r="J8" s="31"/>
    </row>
    <row r="9" spans="1:10" ht="18.75" thickBot="1" x14ac:dyDescent="0.3">
      <c r="A9" s="2"/>
      <c r="B9" s="89" t="s">
        <v>5</v>
      </c>
      <c r="C9" s="17"/>
      <c r="D9" s="11"/>
      <c r="E9" s="41" t="s">
        <v>33</v>
      </c>
      <c r="F9" s="18"/>
      <c r="G9" s="34">
        <v>359</v>
      </c>
      <c r="H9" s="27"/>
      <c r="I9" s="35">
        <v>3158</v>
      </c>
      <c r="J9" s="100" t="s">
        <v>32</v>
      </c>
    </row>
    <row r="10" spans="1:10" ht="6.6" customHeight="1" thickBot="1" x14ac:dyDescent="0.3">
      <c r="A10" s="2"/>
      <c r="B10" s="14"/>
      <c r="C10" s="15"/>
      <c r="D10" s="11"/>
      <c r="E10" s="20"/>
      <c r="F10" s="18"/>
      <c r="G10" s="19"/>
      <c r="H10" s="27"/>
      <c r="I10" s="27"/>
      <c r="J10" s="32"/>
    </row>
    <row r="11" spans="1:10" ht="18.75" thickBot="1" x14ac:dyDescent="0.3">
      <c r="A11" s="2"/>
      <c r="B11" s="89" t="s">
        <v>2</v>
      </c>
      <c r="C11" s="17"/>
      <c r="D11" s="11"/>
      <c r="E11" s="41" t="s">
        <v>45</v>
      </c>
      <c r="F11" s="99" t="s">
        <v>32</v>
      </c>
      <c r="G11" s="90"/>
      <c r="H11" s="27"/>
      <c r="I11" s="91"/>
      <c r="J11" s="32"/>
    </row>
    <row r="12" spans="1:10" ht="7.9" customHeight="1" thickBot="1" x14ac:dyDescent="0.3">
      <c r="A12" s="2"/>
      <c r="B12" s="14"/>
      <c r="C12" s="15"/>
      <c r="D12" s="11"/>
      <c r="E12" s="20"/>
      <c r="F12" s="18"/>
      <c r="G12" s="19"/>
      <c r="H12" s="27"/>
      <c r="I12" s="27"/>
      <c r="J12" s="32"/>
    </row>
    <row r="13" spans="1:10" ht="18.75" thickBot="1" x14ac:dyDescent="0.3">
      <c r="A13" s="2"/>
      <c r="B13" s="89" t="s">
        <v>19</v>
      </c>
      <c r="C13" s="21"/>
      <c r="D13" s="21"/>
      <c r="E13" s="202" t="s">
        <v>97</v>
      </c>
      <c r="F13" s="203"/>
      <c r="G13" s="203"/>
      <c r="H13" s="203"/>
      <c r="I13" s="204"/>
      <c r="J13" s="31"/>
    </row>
    <row r="14" spans="1:10" ht="7.9" customHeight="1" thickBot="1" x14ac:dyDescent="0.3">
      <c r="A14" s="2"/>
      <c r="B14" s="16"/>
      <c r="C14" s="21"/>
      <c r="D14" s="21"/>
      <c r="E14" s="22"/>
      <c r="F14" s="22"/>
      <c r="G14" s="19"/>
      <c r="H14" s="28"/>
      <c r="I14" s="28"/>
      <c r="J14" s="33"/>
    </row>
    <row r="15" spans="1:10" ht="18.75" thickBot="1" x14ac:dyDescent="0.3">
      <c r="A15" s="2"/>
      <c r="B15" s="205" t="s">
        <v>7</v>
      </c>
      <c r="C15" s="206"/>
      <c r="D15" s="21"/>
      <c r="E15" s="36">
        <v>5</v>
      </c>
      <c r="F15" s="99" t="s">
        <v>32</v>
      </c>
      <c r="G15" s="19"/>
      <c r="H15" s="207" t="s">
        <v>29</v>
      </c>
      <c r="I15" s="207"/>
      <c r="J15" s="208"/>
    </row>
    <row r="16" spans="1:10" ht="6.6" customHeight="1" thickBot="1" x14ac:dyDescent="0.3">
      <c r="A16" s="2"/>
      <c r="B16" s="16"/>
      <c r="C16" s="17"/>
      <c r="D16" s="11"/>
      <c r="E16" s="23"/>
      <c r="F16" s="18"/>
      <c r="G16" s="19"/>
      <c r="H16" s="91"/>
      <c r="I16" s="91"/>
      <c r="J16" s="32"/>
    </row>
    <row r="17" spans="1:10" ht="18.75" thickBot="1" x14ac:dyDescent="0.3">
      <c r="A17" s="2"/>
      <c r="B17" s="26" t="s">
        <v>9</v>
      </c>
      <c r="C17" s="17"/>
      <c r="D17" s="11"/>
      <c r="E17" s="209">
        <v>800870767</v>
      </c>
      <c r="F17" s="210"/>
      <c r="G17" s="211"/>
      <c r="H17" s="27"/>
      <c r="I17" s="27"/>
      <c r="J17" s="32"/>
    </row>
    <row r="18" spans="1:10" ht="7.15" customHeight="1" thickBot="1" x14ac:dyDescent="0.3">
      <c r="A18" s="2"/>
      <c r="B18" s="14"/>
      <c r="C18" s="15"/>
      <c r="D18" s="11"/>
      <c r="E18" s="23"/>
      <c r="F18" s="18"/>
      <c r="G18" s="19"/>
      <c r="H18" s="27"/>
      <c r="I18" s="91"/>
      <c r="J18" s="32"/>
    </row>
    <row r="19" spans="1:10" ht="18.75" thickBot="1" x14ac:dyDescent="0.3">
      <c r="A19" s="2"/>
      <c r="B19" s="89" t="s">
        <v>6</v>
      </c>
      <c r="C19" s="17"/>
      <c r="D19" s="11"/>
      <c r="E19" s="24">
        <v>42321</v>
      </c>
      <c r="F19" s="99" t="s">
        <v>32</v>
      </c>
      <c r="G19" s="92" t="s">
        <v>17</v>
      </c>
      <c r="H19" s="91"/>
      <c r="I19" s="37"/>
      <c r="J19" s="32"/>
    </row>
    <row r="20" spans="1:10" ht="12" customHeight="1" thickBot="1" x14ac:dyDescent="0.3">
      <c r="A20" s="2"/>
      <c r="B20" s="89"/>
      <c r="C20" s="17"/>
      <c r="D20" s="11"/>
      <c r="E20" s="102"/>
      <c r="F20" s="38"/>
      <c r="G20" s="39"/>
      <c r="H20" s="40"/>
      <c r="I20" s="93" t="str">
        <f>IF(E21="Definir_hora","hh:mm:ss","")</f>
        <v/>
      </c>
      <c r="J20" s="32"/>
    </row>
    <row r="21" spans="1:10" ht="18.75" thickBot="1" x14ac:dyDescent="0.3">
      <c r="A21" s="2"/>
      <c r="B21" s="89" t="s">
        <v>16</v>
      </c>
      <c r="C21" s="17"/>
      <c r="D21" s="11"/>
      <c r="E21" s="96" t="s">
        <v>47</v>
      </c>
      <c r="F21" s="95"/>
      <c r="G21" s="95"/>
      <c r="H21" s="40"/>
      <c r="I21" s="103"/>
      <c r="J21" s="32"/>
    </row>
    <row r="22" spans="1:10" ht="10.9" customHeight="1" x14ac:dyDescent="0.25">
      <c r="A22" s="2"/>
      <c r="B22" s="89"/>
      <c r="C22" s="17"/>
      <c r="D22" s="11"/>
      <c r="E22" s="102"/>
      <c r="F22" s="38"/>
      <c r="G22" s="39"/>
      <c r="H22" s="40"/>
      <c r="I22" s="91"/>
      <c r="J22" s="32"/>
    </row>
    <row r="23" spans="1:10" ht="18.75" thickBot="1" x14ac:dyDescent="0.3">
      <c r="A23" s="25"/>
      <c r="B23" s="199" t="s">
        <v>8</v>
      </c>
      <c r="C23" s="200"/>
      <c r="D23" s="200"/>
      <c r="E23" s="200"/>
      <c r="F23" s="200"/>
      <c r="G23" s="200"/>
      <c r="H23" s="200"/>
      <c r="I23" s="200"/>
      <c r="J23" s="201"/>
    </row>
    <row r="24" spans="1:10" x14ac:dyDescent="0.2"/>
    <row r="25" spans="1:10" x14ac:dyDescent="0.2"/>
    <row r="26" spans="1:10" hidden="1" x14ac:dyDescent="0.2"/>
    <row r="27" spans="1:10" hidden="1" x14ac:dyDescent="0.2"/>
    <row r="28" spans="1:10" hidden="1" x14ac:dyDescent="0.2"/>
    <row r="29" spans="1:10" hidden="1" x14ac:dyDescent="0.2"/>
    <row r="30" spans="1:10" hidden="1" x14ac:dyDescent="0.2"/>
    <row r="31" spans="1:10" hidden="1" x14ac:dyDescent="0.2"/>
    <row r="32" spans="1:10" hidden="1" x14ac:dyDescent="0.2"/>
    <row r="33" ht="13.5" hidden="1" customHeight="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row r="235" hidden="1" x14ac:dyDescent="0.2"/>
    <row r="236" hidden="1" x14ac:dyDescent="0.2"/>
    <row r="237" hidden="1" x14ac:dyDescent="0.2"/>
    <row r="238" hidden="1" x14ac:dyDescent="0.2"/>
    <row r="239" hidden="1" x14ac:dyDescent="0.2"/>
    <row r="240"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row r="253" hidden="1" x14ac:dyDescent="0.2"/>
    <row r="254" hidden="1" x14ac:dyDescent="0.2"/>
    <row r="255" hidden="1" x14ac:dyDescent="0.2"/>
    <row r="256" hidden="1" x14ac:dyDescent="0.2"/>
    <row r="257" hidden="1" x14ac:dyDescent="0.2"/>
    <row r="258" hidden="1" x14ac:dyDescent="0.2"/>
    <row r="259" hidden="1" x14ac:dyDescent="0.2"/>
    <row r="260" hidden="1" x14ac:dyDescent="0.2"/>
    <row r="261" hidden="1" x14ac:dyDescent="0.2"/>
    <row r="262" hidden="1" x14ac:dyDescent="0.2"/>
    <row r="263" hidden="1" x14ac:dyDescent="0.2"/>
    <row r="264" hidden="1" x14ac:dyDescent="0.2"/>
    <row r="265" hidden="1" x14ac:dyDescent="0.2"/>
    <row r="266" hidden="1" x14ac:dyDescent="0.2"/>
    <row r="267" hidden="1" x14ac:dyDescent="0.2"/>
    <row r="268" hidden="1" x14ac:dyDescent="0.2"/>
    <row r="269" hidden="1" x14ac:dyDescent="0.2"/>
    <row r="270" hidden="1" x14ac:dyDescent="0.2"/>
    <row r="271" hidden="1" x14ac:dyDescent="0.2"/>
    <row r="272" hidden="1" x14ac:dyDescent="0.2"/>
    <row r="273" hidden="1" x14ac:dyDescent="0.2"/>
    <row r="274" hidden="1" x14ac:dyDescent="0.2"/>
    <row r="275" hidden="1" x14ac:dyDescent="0.2"/>
    <row r="276" hidden="1" x14ac:dyDescent="0.2"/>
    <row r="277" hidden="1" x14ac:dyDescent="0.2"/>
    <row r="278" hidden="1" x14ac:dyDescent="0.2"/>
    <row r="279" hidden="1" x14ac:dyDescent="0.2"/>
    <row r="280" hidden="1" x14ac:dyDescent="0.2"/>
    <row r="281" hidden="1" x14ac:dyDescent="0.2"/>
    <row r="282" hidden="1" x14ac:dyDescent="0.2"/>
    <row r="283" hidden="1" x14ac:dyDescent="0.2"/>
    <row r="284" hidden="1" x14ac:dyDescent="0.2"/>
    <row r="285" hidden="1" x14ac:dyDescent="0.2"/>
    <row r="286" hidden="1" x14ac:dyDescent="0.2"/>
    <row r="287" hidden="1" x14ac:dyDescent="0.2"/>
    <row r="288" hidden="1" x14ac:dyDescent="0.2"/>
    <row r="289" hidden="1" x14ac:dyDescent="0.2"/>
    <row r="290" hidden="1" x14ac:dyDescent="0.2"/>
    <row r="291" hidden="1" x14ac:dyDescent="0.2"/>
    <row r="292" hidden="1" x14ac:dyDescent="0.2"/>
    <row r="293" hidden="1" x14ac:dyDescent="0.2"/>
    <row r="294" hidden="1" x14ac:dyDescent="0.2"/>
    <row r="295" hidden="1" x14ac:dyDescent="0.2"/>
    <row r="296" hidden="1" x14ac:dyDescent="0.2"/>
    <row r="297" hidden="1" x14ac:dyDescent="0.2"/>
    <row r="298" hidden="1" x14ac:dyDescent="0.2"/>
    <row r="299" hidden="1" x14ac:dyDescent="0.2"/>
    <row r="300" hidden="1" x14ac:dyDescent="0.2"/>
    <row r="301" hidden="1" x14ac:dyDescent="0.2"/>
    <row r="302" hidden="1" x14ac:dyDescent="0.2"/>
    <row r="303" hidden="1" x14ac:dyDescent="0.2"/>
    <row r="304" hidden="1" x14ac:dyDescent="0.2"/>
    <row r="305" hidden="1" x14ac:dyDescent="0.2"/>
    <row r="306" hidden="1" x14ac:dyDescent="0.2"/>
    <row r="307" hidden="1" x14ac:dyDescent="0.2"/>
    <row r="308" hidden="1" x14ac:dyDescent="0.2"/>
    <row r="309" hidden="1" x14ac:dyDescent="0.2"/>
    <row r="310" hidden="1" x14ac:dyDescent="0.2"/>
    <row r="311" hidden="1" x14ac:dyDescent="0.2"/>
    <row r="312" hidden="1" x14ac:dyDescent="0.2"/>
    <row r="313" hidden="1" x14ac:dyDescent="0.2"/>
    <row r="314" hidden="1" x14ac:dyDescent="0.2"/>
    <row r="315" hidden="1" x14ac:dyDescent="0.2"/>
    <row r="316" hidden="1" x14ac:dyDescent="0.2"/>
    <row r="317" hidden="1" x14ac:dyDescent="0.2"/>
    <row r="318" hidden="1" x14ac:dyDescent="0.2"/>
    <row r="319" hidden="1" x14ac:dyDescent="0.2"/>
    <row r="320"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row r="329" hidden="1" x14ac:dyDescent="0.2"/>
    <row r="330" hidden="1" x14ac:dyDescent="0.2"/>
    <row r="331" hidden="1" x14ac:dyDescent="0.2"/>
    <row r="332" hidden="1" x14ac:dyDescent="0.2"/>
    <row r="333" hidden="1" x14ac:dyDescent="0.2"/>
    <row r="334" hidden="1" x14ac:dyDescent="0.2"/>
    <row r="335" hidden="1" x14ac:dyDescent="0.2"/>
    <row r="336" hidden="1" x14ac:dyDescent="0.2"/>
    <row r="337" hidden="1" x14ac:dyDescent="0.2"/>
    <row r="338" hidden="1" x14ac:dyDescent="0.2"/>
    <row r="339" hidden="1" x14ac:dyDescent="0.2"/>
    <row r="340" hidden="1" x14ac:dyDescent="0.2"/>
    <row r="341" hidden="1" x14ac:dyDescent="0.2"/>
    <row r="342" hidden="1" x14ac:dyDescent="0.2"/>
    <row r="343" hidden="1" x14ac:dyDescent="0.2"/>
    <row r="344" hidden="1" x14ac:dyDescent="0.2"/>
    <row r="345" hidden="1" x14ac:dyDescent="0.2"/>
    <row r="346" hidden="1" x14ac:dyDescent="0.2"/>
    <row r="347" hidden="1" x14ac:dyDescent="0.2"/>
    <row r="348" hidden="1" x14ac:dyDescent="0.2"/>
    <row r="349" hidden="1" x14ac:dyDescent="0.2"/>
    <row r="350" hidden="1" x14ac:dyDescent="0.2"/>
    <row r="351" hidden="1" x14ac:dyDescent="0.2"/>
    <row r="352" hidden="1" x14ac:dyDescent="0.2"/>
    <row r="353" hidden="1" x14ac:dyDescent="0.2"/>
    <row r="354" hidden="1" x14ac:dyDescent="0.2"/>
    <row r="355" hidden="1" x14ac:dyDescent="0.2"/>
    <row r="356" hidden="1" x14ac:dyDescent="0.2"/>
    <row r="357" hidden="1" x14ac:dyDescent="0.2"/>
    <row r="358" hidden="1" x14ac:dyDescent="0.2"/>
    <row r="359" hidden="1" x14ac:dyDescent="0.2"/>
    <row r="360" hidden="1" x14ac:dyDescent="0.2"/>
    <row r="361" hidden="1" x14ac:dyDescent="0.2"/>
    <row r="362" hidden="1" x14ac:dyDescent="0.2"/>
    <row r="363" hidden="1" x14ac:dyDescent="0.2"/>
    <row r="364" hidden="1" x14ac:dyDescent="0.2"/>
    <row r="365" hidden="1" x14ac:dyDescent="0.2"/>
    <row r="366" hidden="1" x14ac:dyDescent="0.2"/>
    <row r="367" hidden="1" x14ac:dyDescent="0.2"/>
    <row r="368" hidden="1" x14ac:dyDescent="0.2"/>
    <row r="369" hidden="1" x14ac:dyDescent="0.2"/>
    <row r="370" hidden="1" x14ac:dyDescent="0.2"/>
    <row r="371" hidden="1" x14ac:dyDescent="0.2"/>
    <row r="372" hidden="1" x14ac:dyDescent="0.2"/>
    <row r="373" hidden="1" x14ac:dyDescent="0.2"/>
    <row r="374" hidden="1" x14ac:dyDescent="0.2"/>
    <row r="375" hidden="1" x14ac:dyDescent="0.2"/>
    <row r="376" hidden="1" x14ac:dyDescent="0.2"/>
    <row r="377" hidden="1" x14ac:dyDescent="0.2"/>
    <row r="378" hidden="1" x14ac:dyDescent="0.2"/>
    <row r="379" hidden="1" x14ac:dyDescent="0.2"/>
    <row r="380" hidden="1" x14ac:dyDescent="0.2"/>
    <row r="381" hidden="1" x14ac:dyDescent="0.2"/>
    <row r="382" hidden="1" x14ac:dyDescent="0.2"/>
    <row r="383" hidden="1" x14ac:dyDescent="0.2"/>
    <row r="384" hidden="1" x14ac:dyDescent="0.2"/>
    <row r="385" hidden="1" x14ac:dyDescent="0.2"/>
    <row r="386" hidden="1" x14ac:dyDescent="0.2"/>
    <row r="387" hidden="1" x14ac:dyDescent="0.2"/>
    <row r="388" hidden="1" x14ac:dyDescent="0.2"/>
    <row r="389" hidden="1" x14ac:dyDescent="0.2"/>
    <row r="390" hidden="1" x14ac:dyDescent="0.2"/>
    <row r="391" hidden="1" x14ac:dyDescent="0.2"/>
    <row r="392" hidden="1" x14ac:dyDescent="0.2"/>
    <row r="393" hidden="1" x14ac:dyDescent="0.2"/>
    <row r="394" hidden="1" x14ac:dyDescent="0.2"/>
    <row r="395" hidden="1" x14ac:dyDescent="0.2"/>
    <row r="396" hidden="1" x14ac:dyDescent="0.2"/>
    <row r="397" hidden="1" x14ac:dyDescent="0.2"/>
    <row r="398" hidden="1" x14ac:dyDescent="0.2"/>
    <row r="399" hidden="1" x14ac:dyDescent="0.2"/>
    <row r="400" hidden="1" x14ac:dyDescent="0.2"/>
    <row r="401" hidden="1" x14ac:dyDescent="0.2"/>
    <row r="402" hidden="1" x14ac:dyDescent="0.2"/>
    <row r="403" hidden="1" x14ac:dyDescent="0.2"/>
    <row r="404" hidden="1" x14ac:dyDescent="0.2"/>
    <row r="405" hidden="1" x14ac:dyDescent="0.2"/>
    <row r="406" hidden="1" x14ac:dyDescent="0.2"/>
    <row r="407" hidden="1" x14ac:dyDescent="0.2"/>
    <row r="408" hidden="1" x14ac:dyDescent="0.2"/>
    <row r="409" hidden="1" x14ac:dyDescent="0.2"/>
    <row r="410" hidden="1" x14ac:dyDescent="0.2"/>
    <row r="411" hidden="1" x14ac:dyDescent="0.2"/>
    <row r="412" hidden="1" x14ac:dyDescent="0.2"/>
    <row r="413" hidden="1" x14ac:dyDescent="0.2"/>
    <row r="414" hidden="1" x14ac:dyDescent="0.2"/>
    <row r="415" hidden="1" x14ac:dyDescent="0.2"/>
    <row r="416" hidden="1" x14ac:dyDescent="0.2"/>
    <row r="417" hidden="1" x14ac:dyDescent="0.2"/>
    <row r="418" hidden="1" x14ac:dyDescent="0.2"/>
    <row r="419" hidden="1" x14ac:dyDescent="0.2"/>
    <row r="420" hidden="1" x14ac:dyDescent="0.2"/>
    <row r="421" hidden="1" x14ac:dyDescent="0.2"/>
    <row r="422" hidden="1" x14ac:dyDescent="0.2"/>
    <row r="423" hidden="1" x14ac:dyDescent="0.2"/>
    <row r="424" hidden="1" x14ac:dyDescent="0.2"/>
    <row r="425" hidden="1" x14ac:dyDescent="0.2"/>
    <row r="426" hidden="1" x14ac:dyDescent="0.2"/>
    <row r="427" hidden="1" x14ac:dyDescent="0.2"/>
    <row r="428" hidden="1" x14ac:dyDescent="0.2"/>
    <row r="429" hidden="1" x14ac:dyDescent="0.2"/>
    <row r="430" hidden="1" x14ac:dyDescent="0.2"/>
    <row r="431" hidden="1" x14ac:dyDescent="0.2"/>
    <row r="432" hidden="1" x14ac:dyDescent="0.2"/>
    <row r="433" hidden="1" x14ac:dyDescent="0.2"/>
    <row r="434" hidden="1" x14ac:dyDescent="0.2"/>
    <row r="435" hidden="1" x14ac:dyDescent="0.2"/>
    <row r="436" hidden="1" x14ac:dyDescent="0.2"/>
    <row r="437" hidden="1" x14ac:dyDescent="0.2"/>
    <row r="438" hidden="1" x14ac:dyDescent="0.2"/>
    <row r="439" hidden="1" x14ac:dyDescent="0.2"/>
    <row r="440" hidden="1" x14ac:dyDescent="0.2"/>
    <row r="441" hidden="1" x14ac:dyDescent="0.2"/>
    <row r="442" hidden="1" x14ac:dyDescent="0.2"/>
    <row r="443" hidden="1" x14ac:dyDescent="0.2"/>
    <row r="444" hidden="1" x14ac:dyDescent="0.2"/>
    <row r="445" hidden="1" x14ac:dyDescent="0.2"/>
    <row r="446" hidden="1" x14ac:dyDescent="0.2"/>
    <row r="447" hidden="1" x14ac:dyDescent="0.2"/>
    <row r="448" hidden="1" x14ac:dyDescent="0.2"/>
    <row r="449" hidden="1" x14ac:dyDescent="0.2"/>
    <row r="450" hidden="1" x14ac:dyDescent="0.2"/>
    <row r="451" hidden="1" x14ac:dyDescent="0.2"/>
    <row r="452" hidden="1" x14ac:dyDescent="0.2"/>
    <row r="453" hidden="1" x14ac:dyDescent="0.2"/>
    <row r="454" hidden="1" x14ac:dyDescent="0.2"/>
    <row r="455" hidden="1" x14ac:dyDescent="0.2"/>
    <row r="456" hidden="1" x14ac:dyDescent="0.2"/>
    <row r="457" hidden="1" x14ac:dyDescent="0.2"/>
    <row r="458" hidden="1" x14ac:dyDescent="0.2"/>
    <row r="459" hidden="1" x14ac:dyDescent="0.2"/>
    <row r="460" hidden="1" x14ac:dyDescent="0.2"/>
    <row r="461" hidden="1" x14ac:dyDescent="0.2"/>
    <row r="462" hidden="1" x14ac:dyDescent="0.2"/>
    <row r="463" hidden="1" x14ac:dyDescent="0.2"/>
    <row r="464" hidden="1" x14ac:dyDescent="0.2"/>
    <row r="465" hidden="1" x14ac:dyDescent="0.2"/>
    <row r="466" hidden="1" x14ac:dyDescent="0.2"/>
    <row r="467" hidden="1" x14ac:dyDescent="0.2"/>
    <row r="468" hidden="1" x14ac:dyDescent="0.2"/>
    <row r="469" hidden="1" x14ac:dyDescent="0.2"/>
    <row r="470" hidden="1" x14ac:dyDescent="0.2"/>
    <row r="471" hidden="1" x14ac:dyDescent="0.2"/>
    <row r="472" hidden="1" x14ac:dyDescent="0.2"/>
    <row r="473" hidden="1" x14ac:dyDescent="0.2"/>
    <row r="474" hidden="1" x14ac:dyDescent="0.2"/>
    <row r="475" hidden="1" x14ac:dyDescent="0.2"/>
    <row r="476" hidden="1" x14ac:dyDescent="0.2"/>
    <row r="477" hidden="1" x14ac:dyDescent="0.2"/>
    <row r="478" hidden="1" x14ac:dyDescent="0.2"/>
    <row r="479" hidden="1" x14ac:dyDescent="0.2"/>
    <row r="480" hidden="1" x14ac:dyDescent="0.2"/>
    <row r="481" hidden="1" x14ac:dyDescent="0.2"/>
    <row r="482" hidden="1" x14ac:dyDescent="0.2"/>
    <row r="483" hidden="1" x14ac:dyDescent="0.2"/>
    <row r="484" hidden="1" x14ac:dyDescent="0.2"/>
    <row r="485" hidden="1" x14ac:dyDescent="0.2"/>
    <row r="486" hidden="1" x14ac:dyDescent="0.2"/>
    <row r="487" hidden="1" x14ac:dyDescent="0.2"/>
    <row r="488" hidden="1" x14ac:dyDescent="0.2"/>
    <row r="489" hidden="1" x14ac:dyDescent="0.2"/>
    <row r="490" hidden="1" x14ac:dyDescent="0.2"/>
    <row r="491" hidden="1" x14ac:dyDescent="0.2"/>
    <row r="492" hidden="1" x14ac:dyDescent="0.2"/>
    <row r="493" hidden="1" x14ac:dyDescent="0.2"/>
    <row r="494" hidden="1" x14ac:dyDescent="0.2"/>
    <row r="495" hidden="1" x14ac:dyDescent="0.2"/>
    <row r="496" hidden="1" x14ac:dyDescent="0.2"/>
    <row r="497" hidden="1" x14ac:dyDescent="0.2"/>
    <row r="498" hidden="1" x14ac:dyDescent="0.2"/>
    <row r="499" hidden="1" x14ac:dyDescent="0.2"/>
    <row r="500" hidden="1" x14ac:dyDescent="0.2"/>
    <row r="501" hidden="1" x14ac:dyDescent="0.2"/>
    <row r="502" hidden="1" x14ac:dyDescent="0.2"/>
    <row r="503" hidden="1" x14ac:dyDescent="0.2"/>
    <row r="504" hidden="1" x14ac:dyDescent="0.2"/>
    <row r="505" hidden="1" x14ac:dyDescent="0.2"/>
    <row r="506" hidden="1" x14ac:dyDescent="0.2"/>
    <row r="507" hidden="1" x14ac:dyDescent="0.2"/>
    <row r="508" hidden="1" x14ac:dyDescent="0.2"/>
    <row r="509" hidden="1" x14ac:dyDescent="0.2"/>
    <row r="510" hidden="1" x14ac:dyDescent="0.2"/>
    <row r="511" hidden="1" x14ac:dyDescent="0.2"/>
    <row r="512" hidden="1" x14ac:dyDescent="0.2"/>
    <row r="513" hidden="1" x14ac:dyDescent="0.2"/>
    <row r="514" hidden="1" x14ac:dyDescent="0.2"/>
    <row r="515" hidden="1" x14ac:dyDescent="0.2"/>
    <row r="516" hidden="1" x14ac:dyDescent="0.2"/>
    <row r="517" hidden="1" x14ac:dyDescent="0.2"/>
    <row r="518" hidden="1" x14ac:dyDescent="0.2"/>
    <row r="519" hidden="1" x14ac:dyDescent="0.2"/>
    <row r="520" hidden="1" x14ac:dyDescent="0.2"/>
    <row r="521" hidden="1" x14ac:dyDescent="0.2"/>
    <row r="522" hidden="1" x14ac:dyDescent="0.2"/>
    <row r="523" hidden="1" x14ac:dyDescent="0.2"/>
    <row r="524" hidden="1" x14ac:dyDescent="0.2"/>
    <row r="525" hidden="1" x14ac:dyDescent="0.2"/>
    <row r="526" hidden="1" x14ac:dyDescent="0.2"/>
    <row r="527" hidden="1" x14ac:dyDescent="0.2"/>
    <row r="528" hidden="1" x14ac:dyDescent="0.2"/>
    <row r="529" hidden="1" x14ac:dyDescent="0.2"/>
    <row r="530" hidden="1" x14ac:dyDescent="0.2"/>
    <row r="531" hidden="1" x14ac:dyDescent="0.2"/>
    <row r="532" hidden="1" x14ac:dyDescent="0.2"/>
    <row r="533" hidden="1" x14ac:dyDescent="0.2"/>
    <row r="534" hidden="1" x14ac:dyDescent="0.2"/>
    <row r="535" hidden="1" x14ac:dyDescent="0.2"/>
    <row r="536" hidden="1" x14ac:dyDescent="0.2"/>
    <row r="537" hidden="1" x14ac:dyDescent="0.2"/>
    <row r="538" hidden="1" x14ac:dyDescent="0.2"/>
    <row r="539" hidden="1" x14ac:dyDescent="0.2"/>
    <row r="540" hidden="1" x14ac:dyDescent="0.2"/>
    <row r="541" hidden="1" x14ac:dyDescent="0.2"/>
    <row r="542" hidden="1" x14ac:dyDescent="0.2"/>
    <row r="543" hidden="1" x14ac:dyDescent="0.2"/>
    <row r="544" hidden="1" x14ac:dyDescent="0.2"/>
    <row r="545" hidden="1" x14ac:dyDescent="0.2"/>
    <row r="546" hidden="1" x14ac:dyDescent="0.2"/>
    <row r="547" hidden="1" x14ac:dyDescent="0.2"/>
    <row r="548" hidden="1" x14ac:dyDescent="0.2"/>
    <row r="549" hidden="1" x14ac:dyDescent="0.2"/>
    <row r="550" hidden="1" x14ac:dyDescent="0.2"/>
    <row r="551" hidden="1" x14ac:dyDescent="0.2"/>
    <row r="552" hidden="1" x14ac:dyDescent="0.2"/>
    <row r="553" hidden="1" x14ac:dyDescent="0.2"/>
    <row r="554" hidden="1" x14ac:dyDescent="0.2"/>
    <row r="555" hidden="1" x14ac:dyDescent="0.2"/>
    <row r="556" hidden="1" x14ac:dyDescent="0.2"/>
    <row r="557" hidden="1" x14ac:dyDescent="0.2"/>
    <row r="558" hidden="1" x14ac:dyDescent="0.2"/>
    <row r="559" hidden="1" x14ac:dyDescent="0.2"/>
    <row r="560" hidden="1" x14ac:dyDescent="0.2"/>
    <row r="561" hidden="1" x14ac:dyDescent="0.2"/>
    <row r="562" hidden="1" x14ac:dyDescent="0.2"/>
    <row r="563" hidden="1" x14ac:dyDescent="0.2"/>
    <row r="564" hidden="1" x14ac:dyDescent="0.2"/>
    <row r="565" hidden="1" x14ac:dyDescent="0.2"/>
    <row r="566" hidden="1" x14ac:dyDescent="0.2"/>
    <row r="567" hidden="1" x14ac:dyDescent="0.2"/>
    <row r="568" hidden="1" x14ac:dyDescent="0.2"/>
    <row r="569" hidden="1" x14ac:dyDescent="0.2"/>
    <row r="570" hidden="1" x14ac:dyDescent="0.2"/>
    <row r="571" hidden="1" x14ac:dyDescent="0.2"/>
    <row r="572" hidden="1" x14ac:dyDescent="0.2"/>
    <row r="573" hidden="1" x14ac:dyDescent="0.2"/>
    <row r="574" hidden="1" x14ac:dyDescent="0.2"/>
    <row r="575" hidden="1" x14ac:dyDescent="0.2"/>
    <row r="576" hidden="1" x14ac:dyDescent="0.2"/>
    <row r="577" hidden="1" x14ac:dyDescent="0.2"/>
    <row r="578" hidden="1" x14ac:dyDescent="0.2"/>
    <row r="579" hidden="1" x14ac:dyDescent="0.2"/>
    <row r="580" hidden="1" x14ac:dyDescent="0.2"/>
    <row r="581" hidden="1" x14ac:dyDescent="0.2"/>
    <row r="582" hidden="1" x14ac:dyDescent="0.2"/>
    <row r="583" hidden="1" x14ac:dyDescent="0.2"/>
    <row r="584" hidden="1" x14ac:dyDescent="0.2"/>
    <row r="585" hidden="1" x14ac:dyDescent="0.2"/>
    <row r="586" hidden="1" x14ac:dyDescent="0.2"/>
    <row r="587" hidden="1" x14ac:dyDescent="0.2"/>
    <row r="588" hidden="1" x14ac:dyDescent="0.2"/>
    <row r="589" hidden="1" x14ac:dyDescent="0.2"/>
    <row r="590" hidden="1" x14ac:dyDescent="0.2"/>
    <row r="591" hidden="1" x14ac:dyDescent="0.2"/>
    <row r="592" hidden="1" x14ac:dyDescent="0.2"/>
    <row r="593" hidden="1" x14ac:dyDescent="0.2"/>
    <row r="594" hidden="1" x14ac:dyDescent="0.2"/>
    <row r="595" hidden="1" x14ac:dyDescent="0.2"/>
    <row r="596" hidden="1" x14ac:dyDescent="0.2"/>
    <row r="597" hidden="1" x14ac:dyDescent="0.2"/>
    <row r="598" hidden="1" x14ac:dyDescent="0.2"/>
    <row r="599" hidden="1" x14ac:dyDescent="0.2"/>
    <row r="600" hidden="1" x14ac:dyDescent="0.2"/>
    <row r="601" hidden="1" x14ac:dyDescent="0.2"/>
    <row r="602" hidden="1" x14ac:dyDescent="0.2"/>
    <row r="603" hidden="1" x14ac:dyDescent="0.2"/>
    <row r="604" hidden="1" x14ac:dyDescent="0.2"/>
    <row r="605" hidden="1" x14ac:dyDescent="0.2"/>
    <row r="606" hidden="1" x14ac:dyDescent="0.2"/>
    <row r="607" hidden="1" x14ac:dyDescent="0.2"/>
    <row r="608" hidden="1" x14ac:dyDescent="0.2"/>
    <row r="609" hidden="1" x14ac:dyDescent="0.2"/>
    <row r="610" hidden="1" x14ac:dyDescent="0.2"/>
    <row r="611" hidden="1" x14ac:dyDescent="0.2"/>
    <row r="612" hidden="1" x14ac:dyDescent="0.2"/>
    <row r="613" hidden="1" x14ac:dyDescent="0.2"/>
    <row r="614" hidden="1" x14ac:dyDescent="0.2"/>
    <row r="615" hidden="1" x14ac:dyDescent="0.2"/>
    <row r="616" hidden="1" x14ac:dyDescent="0.2"/>
    <row r="617" hidden="1" x14ac:dyDescent="0.2"/>
    <row r="618" hidden="1" x14ac:dyDescent="0.2"/>
    <row r="619" hidden="1" x14ac:dyDescent="0.2"/>
    <row r="620" hidden="1" x14ac:dyDescent="0.2"/>
    <row r="621" hidden="1" x14ac:dyDescent="0.2"/>
    <row r="622" hidden="1" x14ac:dyDescent="0.2"/>
    <row r="623" hidden="1" x14ac:dyDescent="0.2"/>
    <row r="624" hidden="1" x14ac:dyDescent="0.2"/>
    <row r="625" hidden="1" x14ac:dyDescent="0.2"/>
    <row r="626" hidden="1" x14ac:dyDescent="0.2"/>
    <row r="627" hidden="1" x14ac:dyDescent="0.2"/>
    <row r="628" hidden="1" x14ac:dyDescent="0.2"/>
    <row r="629" hidden="1" x14ac:dyDescent="0.2"/>
    <row r="630" hidden="1" x14ac:dyDescent="0.2"/>
    <row r="631" hidden="1" x14ac:dyDescent="0.2"/>
    <row r="632" hidden="1" x14ac:dyDescent="0.2"/>
    <row r="633" hidden="1" x14ac:dyDescent="0.2"/>
    <row r="634" hidden="1" x14ac:dyDescent="0.2"/>
    <row r="635" hidden="1" x14ac:dyDescent="0.2"/>
    <row r="636" hidden="1" x14ac:dyDescent="0.2"/>
    <row r="637" hidden="1" x14ac:dyDescent="0.2"/>
    <row r="638" hidden="1" x14ac:dyDescent="0.2"/>
    <row r="639" hidden="1" x14ac:dyDescent="0.2"/>
    <row r="640" hidden="1" x14ac:dyDescent="0.2"/>
    <row r="641" hidden="1" x14ac:dyDescent="0.2"/>
    <row r="642" hidden="1" x14ac:dyDescent="0.2"/>
    <row r="643" hidden="1" x14ac:dyDescent="0.2"/>
    <row r="644" hidden="1" x14ac:dyDescent="0.2"/>
    <row r="645" hidden="1" x14ac:dyDescent="0.2"/>
    <row r="646" hidden="1" x14ac:dyDescent="0.2"/>
    <row r="647" hidden="1" x14ac:dyDescent="0.2"/>
    <row r="648" hidden="1" x14ac:dyDescent="0.2"/>
    <row r="649" hidden="1" x14ac:dyDescent="0.2"/>
    <row r="650" hidden="1" x14ac:dyDescent="0.2"/>
    <row r="651" hidden="1" x14ac:dyDescent="0.2"/>
    <row r="652" hidden="1" x14ac:dyDescent="0.2"/>
    <row r="653" hidden="1" x14ac:dyDescent="0.2"/>
    <row r="654" hidden="1" x14ac:dyDescent="0.2"/>
    <row r="655" hidden="1" x14ac:dyDescent="0.2"/>
    <row r="656" hidden="1" x14ac:dyDescent="0.2"/>
    <row r="657" hidden="1" x14ac:dyDescent="0.2"/>
    <row r="658" hidden="1" x14ac:dyDescent="0.2"/>
    <row r="659" hidden="1" x14ac:dyDescent="0.2"/>
    <row r="660" hidden="1" x14ac:dyDescent="0.2"/>
    <row r="661" hidden="1" x14ac:dyDescent="0.2"/>
    <row r="662" hidden="1" x14ac:dyDescent="0.2"/>
    <row r="663" hidden="1" x14ac:dyDescent="0.2"/>
    <row r="664" hidden="1" x14ac:dyDescent="0.2"/>
    <row r="665" hidden="1" x14ac:dyDescent="0.2"/>
    <row r="666" hidden="1" x14ac:dyDescent="0.2"/>
    <row r="667" hidden="1" x14ac:dyDescent="0.2"/>
    <row r="668" hidden="1" x14ac:dyDescent="0.2"/>
    <row r="669" hidden="1" x14ac:dyDescent="0.2"/>
    <row r="670" hidden="1" x14ac:dyDescent="0.2"/>
    <row r="671" hidden="1" x14ac:dyDescent="0.2"/>
    <row r="672" hidden="1" x14ac:dyDescent="0.2"/>
    <row r="673" hidden="1" x14ac:dyDescent="0.2"/>
    <row r="674" hidden="1" x14ac:dyDescent="0.2"/>
    <row r="675" hidden="1" x14ac:dyDescent="0.2"/>
    <row r="676" hidden="1" x14ac:dyDescent="0.2"/>
    <row r="677" hidden="1" x14ac:dyDescent="0.2"/>
    <row r="678" hidden="1" x14ac:dyDescent="0.2"/>
    <row r="679" hidden="1" x14ac:dyDescent="0.2"/>
    <row r="680" hidden="1" x14ac:dyDescent="0.2"/>
    <row r="681" hidden="1" x14ac:dyDescent="0.2"/>
    <row r="682" hidden="1" x14ac:dyDescent="0.2"/>
    <row r="683" hidden="1" x14ac:dyDescent="0.2"/>
    <row r="684" hidden="1" x14ac:dyDescent="0.2"/>
    <row r="685" hidden="1" x14ac:dyDescent="0.2"/>
    <row r="686" hidden="1" x14ac:dyDescent="0.2"/>
    <row r="687" hidden="1" x14ac:dyDescent="0.2"/>
    <row r="688" hidden="1" x14ac:dyDescent="0.2"/>
    <row r="689" hidden="1" x14ac:dyDescent="0.2"/>
    <row r="690" hidden="1" x14ac:dyDescent="0.2"/>
    <row r="691" hidden="1" x14ac:dyDescent="0.2"/>
    <row r="692" hidden="1" x14ac:dyDescent="0.2"/>
    <row r="693" hidden="1" x14ac:dyDescent="0.2"/>
    <row r="694" hidden="1" x14ac:dyDescent="0.2"/>
    <row r="695" hidden="1" x14ac:dyDescent="0.2"/>
    <row r="696" hidden="1" x14ac:dyDescent="0.2"/>
    <row r="697" hidden="1" x14ac:dyDescent="0.2"/>
    <row r="698" hidden="1" x14ac:dyDescent="0.2"/>
    <row r="699" hidden="1" x14ac:dyDescent="0.2"/>
    <row r="700" hidden="1" x14ac:dyDescent="0.2"/>
    <row r="701" hidden="1" x14ac:dyDescent="0.2"/>
    <row r="702" hidden="1" x14ac:dyDescent="0.2"/>
    <row r="703" hidden="1" x14ac:dyDescent="0.2"/>
    <row r="704" hidden="1" x14ac:dyDescent="0.2"/>
    <row r="705" hidden="1" x14ac:dyDescent="0.2"/>
    <row r="706" hidden="1" x14ac:dyDescent="0.2"/>
    <row r="707" hidden="1" x14ac:dyDescent="0.2"/>
    <row r="708" hidden="1" x14ac:dyDescent="0.2"/>
    <row r="709" hidden="1" x14ac:dyDescent="0.2"/>
    <row r="710" hidden="1" x14ac:dyDescent="0.2"/>
    <row r="711" hidden="1" x14ac:dyDescent="0.2"/>
    <row r="712" hidden="1" x14ac:dyDescent="0.2"/>
    <row r="713" hidden="1" x14ac:dyDescent="0.2"/>
    <row r="714" hidden="1" x14ac:dyDescent="0.2"/>
    <row r="715" hidden="1" x14ac:dyDescent="0.2"/>
    <row r="716" hidden="1" x14ac:dyDescent="0.2"/>
    <row r="717" hidden="1" x14ac:dyDescent="0.2"/>
    <row r="718" hidden="1" x14ac:dyDescent="0.2"/>
    <row r="719" hidden="1" x14ac:dyDescent="0.2"/>
    <row r="720" hidden="1" x14ac:dyDescent="0.2"/>
    <row r="721" hidden="1" x14ac:dyDescent="0.2"/>
    <row r="722" hidden="1" x14ac:dyDescent="0.2"/>
    <row r="723" hidden="1" x14ac:dyDescent="0.2"/>
    <row r="724" hidden="1" x14ac:dyDescent="0.2"/>
    <row r="725" hidden="1" x14ac:dyDescent="0.2"/>
    <row r="726" hidden="1" x14ac:dyDescent="0.2"/>
    <row r="727" hidden="1" x14ac:dyDescent="0.2"/>
    <row r="728" hidden="1" x14ac:dyDescent="0.2"/>
    <row r="729" hidden="1" x14ac:dyDescent="0.2"/>
    <row r="730" hidden="1" x14ac:dyDescent="0.2"/>
    <row r="731" hidden="1" x14ac:dyDescent="0.2"/>
    <row r="732" hidden="1" x14ac:dyDescent="0.2"/>
    <row r="733" hidden="1" x14ac:dyDescent="0.2"/>
    <row r="734" hidden="1" x14ac:dyDescent="0.2"/>
    <row r="735" hidden="1" x14ac:dyDescent="0.2"/>
    <row r="736" hidden="1" x14ac:dyDescent="0.2"/>
    <row r="737" hidden="1" x14ac:dyDescent="0.2"/>
    <row r="738" hidden="1" x14ac:dyDescent="0.2"/>
    <row r="739" hidden="1" x14ac:dyDescent="0.2"/>
    <row r="740" hidden="1" x14ac:dyDescent="0.2"/>
    <row r="741" hidden="1" x14ac:dyDescent="0.2"/>
    <row r="742" hidden="1" x14ac:dyDescent="0.2"/>
    <row r="743" hidden="1" x14ac:dyDescent="0.2"/>
    <row r="744" hidden="1" x14ac:dyDescent="0.2"/>
    <row r="745" hidden="1" x14ac:dyDescent="0.2"/>
    <row r="746" hidden="1" x14ac:dyDescent="0.2"/>
    <row r="747" hidden="1" x14ac:dyDescent="0.2"/>
    <row r="748" hidden="1" x14ac:dyDescent="0.2"/>
    <row r="749" hidden="1" x14ac:dyDescent="0.2"/>
    <row r="750" hidden="1" x14ac:dyDescent="0.2"/>
    <row r="751" hidden="1" x14ac:dyDescent="0.2"/>
    <row r="752" hidden="1" x14ac:dyDescent="0.2"/>
    <row r="753" hidden="1" x14ac:dyDescent="0.2"/>
    <row r="754" hidden="1" x14ac:dyDescent="0.2"/>
    <row r="755" hidden="1" x14ac:dyDescent="0.2"/>
    <row r="756" hidden="1" x14ac:dyDescent="0.2"/>
    <row r="757" hidden="1" x14ac:dyDescent="0.2"/>
    <row r="758" hidden="1" x14ac:dyDescent="0.2"/>
    <row r="759" hidden="1" x14ac:dyDescent="0.2"/>
    <row r="760" hidden="1" x14ac:dyDescent="0.2"/>
    <row r="761" hidden="1" x14ac:dyDescent="0.2"/>
    <row r="762" hidden="1" x14ac:dyDescent="0.2"/>
    <row r="763" hidden="1" x14ac:dyDescent="0.2"/>
    <row r="764" hidden="1" x14ac:dyDescent="0.2"/>
    <row r="765" hidden="1" x14ac:dyDescent="0.2"/>
    <row r="766" hidden="1" x14ac:dyDescent="0.2"/>
    <row r="767" hidden="1" x14ac:dyDescent="0.2"/>
    <row r="768" hidden="1" x14ac:dyDescent="0.2"/>
    <row r="769" hidden="1" x14ac:dyDescent="0.2"/>
    <row r="770" hidden="1" x14ac:dyDescent="0.2"/>
    <row r="771" hidden="1" x14ac:dyDescent="0.2"/>
    <row r="772" hidden="1" x14ac:dyDescent="0.2"/>
    <row r="773" hidden="1" x14ac:dyDescent="0.2"/>
    <row r="774" hidden="1" x14ac:dyDescent="0.2"/>
    <row r="775" hidden="1" x14ac:dyDescent="0.2"/>
    <row r="776" hidden="1" x14ac:dyDescent="0.2"/>
    <row r="777" hidden="1" x14ac:dyDescent="0.2"/>
    <row r="778" hidden="1" x14ac:dyDescent="0.2"/>
    <row r="779" hidden="1" x14ac:dyDescent="0.2"/>
    <row r="780" hidden="1" x14ac:dyDescent="0.2"/>
    <row r="781" hidden="1" x14ac:dyDescent="0.2"/>
    <row r="782" hidden="1" x14ac:dyDescent="0.2"/>
    <row r="783" hidden="1" x14ac:dyDescent="0.2"/>
    <row r="784" hidden="1" x14ac:dyDescent="0.2"/>
    <row r="785" hidden="1" x14ac:dyDescent="0.2"/>
    <row r="786" hidden="1" x14ac:dyDescent="0.2"/>
    <row r="787" hidden="1" x14ac:dyDescent="0.2"/>
    <row r="788" hidden="1" x14ac:dyDescent="0.2"/>
    <row r="789" hidden="1" x14ac:dyDescent="0.2"/>
    <row r="790" hidden="1" x14ac:dyDescent="0.2"/>
    <row r="791" hidden="1" x14ac:dyDescent="0.2"/>
    <row r="792" hidden="1" x14ac:dyDescent="0.2"/>
    <row r="793" hidden="1" x14ac:dyDescent="0.2"/>
    <row r="794" hidden="1" x14ac:dyDescent="0.2"/>
    <row r="795" hidden="1" x14ac:dyDescent="0.2"/>
    <row r="796" hidden="1" x14ac:dyDescent="0.2"/>
    <row r="797" hidden="1" x14ac:dyDescent="0.2"/>
    <row r="798" hidden="1" x14ac:dyDescent="0.2"/>
    <row r="799" hidden="1" x14ac:dyDescent="0.2"/>
    <row r="800" hidden="1" x14ac:dyDescent="0.2"/>
    <row r="801" hidden="1" x14ac:dyDescent="0.2"/>
    <row r="802" hidden="1" x14ac:dyDescent="0.2"/>
    <row r="803" hidden="1" x14ac:dyDescent="0.2"/>
    <row r="804" hidden="1" x14ac:dyDescent="0.2"/>
    <row r="805" hidden="1" x14ac:dyDescent="0.2"/>
    <row r="806" hidden="1" x14ac:dyDescent="0.2"/>
    <row r="807" hidden="1" x14ac:dyDescent="0.2"/>
    <row r="808" hidden="1" x14ac:dyDescent="0.2"/>
    <row r="809" hidden="1" x14ac:dyDescent="0.2"/>
    <row r="810" hidden="1" x14ac:dyDescent="0.2"/>
    <row r="811" hidden="1" x14ac:dyDescent="0.2"/>
    <row r="812" hidden="1" x14ac:dyDescent="0.2"/>
    <row r="813" hidden="1" x14ac:dyDescent="0.2"/>
    <row r="814" hidden="1" x14ac:dyDescent="0.2"/>
    <row r="815" hidden="1" x14ac:dyDescent="0.2"/>
    <row r="816" hidden="1" x14ac:dyDescent="0.2"/>
    <row r="817" hidden="1" x14ac:dyDescent="0.2"/>
    <row r="818" hidden="1" x14ac:dyDescent="0.2"/>
    <row r="819" hidden="1" x14ac:dyDescent="0.2"/>
    <row r="820" hidden="1" x14ac:dyDescent="0.2"/>
    <row r="821" hidden="1" x14ac:dyDescent="0.2"/>
    <row r="822" hidden="1" x14ac:dyDescent="0.2"/>
    <row r="823" hidden="1" x14ac:dyDescent="0.2"/>
    <row r="824" hidden="1" x14ac:dyDescent="0.2"/>
    <row r="825" hidden="1" x14ac:dyDescent="0.2"/>
    <row r="826" hidden="1" x14ac:dyDescent="0.2"/>
    <row r="827" hidden="1" x14ac:dyDescent="0.2"/>
    <row r="828" hidden="1" x14ac:dyDescent="0.2"/>
    <row r="829" hidden="1" x14ac:dyDescent="0.2"/>
    <row r="830" hidden="1" x14ac:dyDescent="0.2"/>
    <row r="831" hidden="1" x14ac:dyDescent="0.2"/>
    <row r="832" hidden="1" x14ac:dyDescent="0.2"/>
    <row r="833" hidden="1" x14ac:dyDescent="0.2"/>
    <row r="834" hidden="1" x14ac:dyDescent="0.2"/>
    <row r="835" hidden="1" x14ac:dyDescent="0.2"/>
    <row r="836" hidden="1" x14ac:dyDescent="0.2"/>
    <row r="837" hidden="1" x14ac:dyDescent="0.2"/>
    <row r="838" hidden="1" x14ac:dyDescent="0.2"/>
    <row r="839" hidden="1" x14ac:dyDescent="0.2"/>
    <row r="840" hidden="1" x14ac:dyDescent="0.2"/>
    <row r="841" hidden="1" x14ac:dyDescent="0.2"/>
    <row r="842" hidden="1" x14ac:dyDescent="0.2"/>
    <row r="843" hidden="1" x14ac:dyDescent="0.2"/>
    <row r="844" hidden="1" x14ac:dyDescent="0.2"/>
    <row r="845" hidden="1" x14ac:dyDescent="0.2"/>
    <row r="846" hidden="1" x14ac:dyDescent="0.2"/>
    <row r="847" hidden="1" x14ac:dyDescent="0.2"/>
    <row r="848" hidden="1" x14ac:dyDescent="0.2"/>
    <row r="849" hidden="1" x14ac:dyDescent="0.2"/>
    <row r="850" hidden="1" x14ac:dyDescent="0.2"/>
    <row r="851" hidden="1" x14ac:dyDescent="0.2"/>
    <row r="852" hidden="1" x14ac:dyDescent="0.2"/>
    <row r="853" hidden="1" x14ac:dyDescent="0.2"/>
    <row r="854" hidden="1" x14ac:dyDescent="0.2"/>
    <row r="855" hidden="1" x14ac:dyDescent="0.2"/>
    <row r="856" hidden="1" x14ac:dyDescent="0.2"/>
    <row r="857" hidden="1" x14ac:dyDescent="0.2"/>
    <row r="858" hidden="1" x14ac:dyDescent="0.2"/>
    <row r="859" hidden="1" x14ac:dyDescent="0.2"/>
    <row r="860" hidden="1" x14ac:dyDescent="0.2"/>
    <row r="861" hidden="1" x14ac:dyDescent="0.2"/>
    <row r="862" hidden="1" x14ac:dyDescent="0.2"/>
    <row r="863" hidden="1" x14ac:dyDescent="0.2"/>
    <row r="864" hidden="1" x14ac:dyDescent="0.2"/>
    <row r="865" hidden="1" x14ac:dyDescent="0.2"/>
    <row r="866" hidden="1" x14ac:dyDescent="0.2"/>
    <row r="867" hidden="1" x14ac:dyDescent="0.2"/>
    <row r="868" hidden="1" x14ac:dyDescent="0.2"/>
    <row r="869" hidden="1" x14ac:dyDescent="0.2"/>
    <row r="870" hidden="1" x14ac:dyDescent="0.2"/>
    <row r="871" hidden="1" x14ac:dyDescent="0.2"/>
    <row r="872" hidden="1" x14ac:dyDescent="0.2"/>
    <row r="873" hidden="1" x14ac:dyDescent="0.2"/>
    <row r="874" hidden="1" x14ac:dyDescent="0.2"/>
    <row r="875" hidden="1" x14ac:dyDescent="0.2"/>
    <row r="876" hidden="1" x14ac:dyDescent="0.2"/>
    <row r="877" hidden="1" x14ac:dyDescent="0.2"/>
    <row r="878" hidden="1" x14ac:dyDescent="0.2"/>
    <row r="879" hidden="1" x14ac:dyDescent="0.2"/>
    <row r="880" hidden="1" x14ac:dyDescent="0.2"/>
    <row r="881" hidden="1" x14ac:dyDescent="0.2"/>
    <row r="882" hidden="1" x14ac:dyDescent="0.2"/>
    <row r="883" hidden="1" x14ac:dyDescent="0.2"/>
    <row r="884" hidden="1" x14ac:dyDescent="0.2"/>
    <row r="885" hidden="1" x14ac:dyDescent="0.2"/>
    <row r="886" hidden="1" x14ac:dyDescent="0.2"/>
    <row r="887" hidden="1" x14ac:dyDescent="0.2"/>
    <row r="888" hidden="1" x14ac:dyDescent="0.2"/>
    <row r="889" hidden="1" x14ac:dyDescent="0.2"/>
    <row r="890" hidden="1" x14ac:dyDescent="0.2"/>
    <row r="891" hidden="1" x14ac:dyDescent="0.2"/>
    <row r="892" hidden="1" x14ac:dyDescent="0.2"/>
    <row r="893" hidden="1" x14ac:dyDescent="0.2"/>
    <row r="894" hidden="1" x14ac:dyDescent="0.2"/>
    <row r="895" hidden="1" x14ac:dyDescent="0.2"/>
    <row r="896" hidden="1" x14ac:dyDescent="0.2"/>
    <row r="897" hidden="1" x14ac:dyDescent="0.2"/>
    <row r="898" hidden="1" x14ac:dyDescent="0.2"/>
    <row r="899" hidden="1" x14ac:dyDescent="0.2"/>
    <row r="900" hidden="1" x14ac:dyDescent="0.2"/>
    <row r="901" hidden="1" x14ac:dyDescent="0.2"/>
    <row r="902" hidden="1" x14ac:dyDescent="0.2"/>
    <row r="903" hidden="1" x14ac:dyDescent="0.2"/>
    <row r="904" hidden="1" x14ac:dyDescent="0.2"/>
    <row r="905" hidden="1" x14ac:dyDescent="0.2"/>
    <row r="906" hidden="1" x14ac:dyDescent="0.2"/>
    <row r="907" hidden="1" x14ac:dyDescent="0.2"/>
    <row r="908" hidden="1" x14ac:dyDescent="0.2"/>
    <row r="909" hidden="1" x14ac:dyDescent="0.2"/>
    <row r="910" hidden="1" x14ac:dyDescent="0.2"/>
    <row r="911" hidden="1" x14ac:dyDescent="0.2"/>
    <row r="912" hidden="1" x14ac:dyDescent="0.2"/>
    <row r="913" hidden="1" x14ac:dyDescent="0.2"/>
    <row r="914" hidden="1" x14ac:dyDescent="0.2"/>
    <row r="915" hidden="1" x14ac:dyDescent="0.2"/>
    <row r="916" hidden="1" x14ac:dyDescent="0.2"/>
    <row r="917" hidden="1" x14ac:dyDescent="0.2"/>
    <row r="918" hidden="1" x14ac:dyDescent="0.2"/>
    <row r="919" hidden="1" x14ac:dyDescent="0.2"/>
    <row r="920" hidden="1" x14ac:dyDescent="0.2"/>
    <row r="921" hidden="1" x14ac:dyDescent="0.2"/>
    <row r="922" hidden="1" x14ac:dyDescent="0.2"/>
    <row r="923" hidden="1" x14ac:dyDescent="0.2"/>
    <row r="924" hidden="1" x14ac:dyDescent="0.2"/>
    <row r="925" hidden="1" x14ac:dyDescent="0.2"/>
    <row r="926" hidden="1" x14ac:dyDescent="0.2"/>
    <row r="927" hidden="1" x14ac:dyDescent="0.2"/>
    <row r="928" hidden="1" x14ac:dyDescent="0.2"/>
    <row r="929" hidden="1" x14ac:dyDescent="0.2"/>
    <row r="930" hidden="1" x14ac:dyDescent="0.2"/>
    <row r="931" hidden="1" x14ac:dyDescent="0.2"/>
    <row r="932" hidden="1" x14ac:dyDescent="0.2"/>
    <row r="933" hidden="1" x14ac:dyDescent="0.2"/>
    <row r="934" hidden="1" x14ac:dyDescent="0.2"/>
    <row r="935" hidden="1" x14ac:dyDescent="0.2"/>
    <row r="936" hidden="1" x14ac:dyDescent="0.2"/>
    <row r="937" hidden="1" x14ac:dyDescent="0.2"/>
    <row r="938" hidden="1" x14ac:dyDescent="0.2"/>
    <row r="939" hidden="1" x14ac:dyDescent="0.2"/>
    <row r="940" hidden="1" x14ac:dyDescent="0.2"/>
    <row r="941" hidden="1" x14ac:dyDescent="0.2"/>
    <row r="942" hidden="1" x14ac:dyDescent="0.2"/>
    <row r="943" hidden="1" x14ac:dyDescent="0.2"/>
    <row r="944" hidden="1" x14ac:dyDescent="0.2"/>
    <row r="945" hidden="1" x14ac:dyDescent="0.2"/>
    <row r="946" hidden="1" x14ac:dyDescent="0.2"/>
    <row r="947" hidden="1" x14ac:dyDescent="0.2"/>
    <row r="948" hidden="1" x14ac:dyDescent="0.2"/>
    <row r="949" hidden="1" x14ac:dyDescent="0.2"/>
    <row r="950" hidden="1" x14ac:dyDescent="0.2"/>
    <row r="951" hidden="1" x14ac:dyDescent="0.2"/>
    <row r="952" hidden="1" x14ac:dyDescent="0.2"/>
    <row r="953" hidden="1" x14ac:dyDescent="0.2"/>
    <row r="954" hidden="1" x14ac:dyDescent="0.2"/>
    <row r="955" hidden="1" x14ac:dyDescent="0.2"/>
    <row r="956" hidden="1" x14ac:dyDescent="0.2"/>
    <row r="957" hidden="1" x14ac:dyDescent="0.2"/>
    <row r="958" hidden="1" x14ac:dyDescent="0.2"/>
    <row r="959" hidden="1" x14ac:dyDescent="0.2"/>
    <row r="960" hidden="1" x14ac:dyDescent="0.2"/>
    <row r="961" hidden="1" x14ac:dyDescent="0.2"/>
    <row r="962" hidden="1" x14ac:dyDescent="0.2"/>
    <row r="963" hidden="1" x14ac:dyDescent="0.2"/>
    <row r="964" hidden="1" x14ac:dyDescent="0.2"/>
    <row r="965" hidden="1" x14ac:dyDescent="0.2"/>
    <row r="966" hidden="1" x14ac:dyDescent="0.2"/>
    <row r="967" hidden="1" x14ac:dyDescent="0.2"/>
    <row r="968" hidden="1" x14ac:dyDescent="0.2"/>
    <row r="969" hidden="1" x14ac:dyDescent="0.2"/>
    <row r="970" hidden="1" x14ac:dyDescent="0.2"/>
    <row r="971" hidden="1" x14ac:dyDescent="0.2"/>
    <row r="972" hidden="1" x14ac:dyDescent="0.2"/>
    <row r="973" hidden="1" x14ac:dyDescent="0.2"/>
    <row r="974" hidden="1" x14ac:dyDescent="0.2"/>
    <row r="975" hidden="1" x14ac:dyDescent="0.2"/>
    <row r="976" hidden="1" x14ac:dyDescent="0.2"/>
    <row r="977" hidden="1" x14ac:dyDescent="0.2"/>
    <row r="978" hidden="1" x14ac:dyDescent="0.2"/>
    <row r="979" hidden="1" x14ac:dyDescent="0.2"/>
    <row r="980" hidden="1" x14ac:dyDescent="0.2"/>
    <row r="981" hidden="1" x14ac:dyDescent="0.2"/>
    <row r="982" hidden="1" x14ac:dyDescent="0.2"/>
    <row r="983" hidden="1" x14ac:dyDescent="0.2"/>
    <row r="984" hidden="1" x14ac:dyDescent="0.2"/>
    <row r="985" hidden="1" x14ac:dyDescent="0.2"/>
    <row r="986" hidden="1" x14ac:dyDescent="0.2"/>
    <row r="987" hidden="1" x14ac:dyDescent="0.2"/>
    <row r="988" hidden="1" x14ac:dyDescent="0.2"/>
    <row r="989" hidden="1" x14ac:dyDescent="0.2"/>
    <row r="990" hidden="1" x14ac:dyDescent="0.2"/>
    <row r="991" hidden="1" x14ac:dyDescent="0.2"/>
    <row r="992" hidden="1" x14ac:dyDescent="0.2"/>
    <row r="993" hidden="1" x14ac:dyDescent="0.2"/>
    <row r="994" hidden="1" x14ac:dyDescent="0.2"/>
    <row r="995" hidden="1" x14ac:dyDescent="0.2"/>
    <row r="996" hidden="1" x14ac:dyDescent="0.2"/>
    <row r="997" hidden="1" x14ac:dyDescent="0.2"/>
    <row r="998" hidden="1" x14ac:dyDescent="0.2"/>
    <row r="999" hidden="1" x14ac:dyDescent="0.2"/>
  </sheetData>
  <sheetProtection password="CCCB" sheet="1" objects="1" scenarios="1"/>
  <mergeCells count="6">
    <mergeCell ref="B23:J23"/>
    <mergeCell ref="E7:I7"/>
    <mergeCell ref="E13:I13"/>
    <mergeCell ref="B15:C15"/>
    <mergeCell ref="H15:J15"/>
    <mergeCell ref="E17:G17"/>
  </mergeCells>
  <conditionalFormatting sqref="I21">
    <cfRule type="expression" dxfId="6" priority="1">
      <formula>$E$21="Al_firmar_la_transferencia"</formula>
    </cfRule>
  </conditionalFormatting>
  <dataValidations count="10">
    <dataValidation type="textLength" showErrorMessage="1" errorTitle="Error en el nombre de la empresa" error="El nombre de la empresa no puede ser mayor de 30 campos." sqref="E7:I7">
      <formula1>1</formula1>
      <formula2>29</formula2>
    </dataValidation>
    <dataValidation type="textLength" operator="lessThan" showErrorMessage="1" errorTitle="Error en la descripción" error="La descipción no puede ser mayor de 30 campos." sqref="E13:I13">
      <formula1>31</formula1>
    </dataValidation>
    <dataValidation type="list" allowBlank="1" showInputMessage="1" showErrorMessage="1" sqref="E9">
      <formula1>"Cuenta Corriente, Cuenta Ahorros"</formula1>
    </dataValidation>
    <dataValidation type="list" allowBlank="1" showInputMessage="1" showErrorMessage="1" sqref="E21">
      <formula1>"Al_firmar_la_transferencia, Definir_hora"</formula1>
    </dataValidation>
    <dataValidation type="textLength" operator="lessThan" allowBlank="1" showInputMessage="1" showErrorMessage="1" errorTitle="Cédula incorrecta" error="El número de cédula del empleado no puede ser mayor de 12 campos.." sqref="E17:G17">
      <formula1>13</formula1>
    </dataValidation>
    <dataValidation type="textLength" operator="lessThan" allowBlank="1" showErrorMessage="1" errorTitle="Error en el consecutivo" error="El consecutivo no puede ser mayor de 3 campos." promptTitle="retret" prompt="rte" sqref="E15">
      <formula1>4</formula1>
    </dataValidation>
    <dataValidation type="list" allowBlank="1" showInputMessage="1" showErrorMessage="1" sqref="E11">
      <formula1>"Dólares, Colones"</formula1>
    </dataValidation>
    <dataValidation type="textLength" operator="lessThan" showInputMessage="1" showErrorMessage="1" errorTitle="Cédula Juridica incorrecta" error="El número de la cédula juridica no puede ser mayor de 12 campos." sqref="E5">
      <formula1>13</formula1>
    </dataValidation>
    <dataValidation type="textLength" showInputMessage="1" showErrorMessage="1" errorTitle="Oficina incorrecta" error="El número de oficina de la cuenta no puede ser mayor de 3 campos." sqref="G9">
      <formula1>1</formula1>
      <formula2>3</formula2>
    </dataValidation>
    <dataValidation type="textLength" operator="lessThan" allowBlank="1" showInputMessage="1" showErrorMessage="1" errorTitle="Cuenta incorrecta" error="El número de cuenta a debitar no puede ser mayor de 8 campos." sqref="I9">
      <formula1>9</formula1>
    </dataValidation>
  </dataValidations>
  <pageMargins left="0.7" right="0.7" top="0.75" bottom="0.75" header="0.3" footer="0.3"/>
  <pageSetup scale="8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3" tint="0.39997558519241921"/>
  </sheetPr>
  <dimension ref="A1:AZ1016"/>
  <sheetViews>
    <sheetView showGridLines="0" showRowColHeaders="0" tabSelected="1" workbookViewId="0">
      <selection activeCell="M11" sqref="M11"/>
    </sheetView>
  </sheetViews>
  <sheetFormatPr baseColWidth="10" defaultRowHeight="0" customHeight="1" zeroHeight="1" x14ac:dyDescent="0.2"/>
  <cols>
    <col min="1" max="1" width="4.140625" style="63" customWidth="1"/>
    <col min="2" max="2" width="10.28515625" style="166" customWidth="1"/>
    <col min="3" max="3" width="8.140625" style="144" customWidth="1"/>
    <col min="4" max="4" width="13.28515625" style="144" customWidth="1"/>
    <col min="5" max="5" width="27.5703125" style="144" customWidth="1"/>
    <col min="6" max="6" width="14.7109375" style="144" customWidth="1"/>
    <col min="7" max="7" width="13.5703125" style="144" customWidth="1"/>
    <col min="8" max="8" width="10.28515625" style="144" customWidth="1"/>
    <col min="9" max="9" width="17" style="145" customWidth="1"/>
    <col min="10" max="10" width="4.28515625" style="145" customWidth="1"/>
    <col min="11" max="11" width="17.7109375" style="144" customWidth="1"/>
    <col min="12" max="26" width="11.42578125" style="144" customWidth="1"/>
    <col min="27" max="41" width="11.42578125" style="144" hidden="1" customWidth="1"/>
    <col min="42" max="42" width="140.5703125" style="144" hidden="1" customWidth="1"/>
    <col min="43" max="52" width="11.42578125" style="144" hidden="1" customWidth="1"/>
    <col min="53" max="16384" width="11.42578125" style="144"/>
  </cols>
  <sheetData>
    <row r="1" spans="1:46" ht="16.5" thickBot="1" x14ac:dyDescent="0.3">
      <c r="K1" s="167" t="s">
        <v>27</v>
      </c>
      <c r="AA1" s="146" t="str">
        <f>IF('Datos Empresa'!E21="Definir_hora",TEXT('Datos Empresa'!I21,"hhmmss"),"")</f>
        <v/>
      </c>
      <c r="AB1" s="147" t="str">
        <f>CONCATENATE(REPT("0",12-LEN('Datos Empresa'!E5)),'Datos Empresa'!E5)</f>
        <v>003004535222</v>
      </c>
      <c r="AC1" s="148" t="str">
        <f>TEXT('Datos Empresa'!E19,"ddmme")</f>
        <v>13112015</v>
      </c>
      <c r="AD1" s="63"/>
      <c r="AE1" s="150"/>
      <c r="AF1" s="150"/>
      <c r="AG1" s="63"/>
      <c r="AH1" s="63"/>
      <c r="AI1" s="63"/>
      <c r="AJ1" s="63"/>
      <c r="AK1" s="154"/>
      <c r="AL1" s="155"/>
      <c r="AM1" s="155"/>
      <c r="AN1" s="63"/>
      <c r="AO1" s="63"/>
      <c r="AP1" s="63" t="str">
        <f>CONCATENATE("000",AB1,AB2,AC1,AC2,"            ",AA2,"                                                                                                                                          ")</f>
        <v xml:space="preserve">00000300453522200513112015000800870767                                                                                                                                                            </v>
      </c>
      <c r="AQ1" s="63" t="str">
        <f>"1234567891234567"</f>
        <v>1234567891234567</v>
      </c>
      <c r="AR1" s="63"/>
      <c r="AS1" s="63" t="s">
        <v>24</v>
      </c>
      <c r="AT1" s="63"/>
    </row>
    <row r="2" spans="1:46" s="162" customFormat="1" ht="39" customHeight="1" x14ac:dyDescent="0.2">
      <c r="A2" s="51"/>
      <c r="B2" s="52" t="s">
        <v>34</v>
      </c>
      <c r="C2" s="53" t="s">
        <v>0</v>
      </c>
      <c r="D2" s="53" t="s">
        <v>1</v>
      </c>
      <c r="E2" s="54" t="s">
        <v>20</v>
      </c>
      <c r="F2" s="54" t="s">
        <v>21</v>
      </c>
      <c r="G2" s="104" t="s">
        <v>35</v>
      </c>
      <c r="H2" s="55" t="s">
        <v>18</v>
      </c>
      <c r="I2" s="56" t="s">
        <v>3</v>
      </c>
      <c r="J2" s="57"/>
      <c r="AA2" s="109" t="str">
        <f>CONCATENATE(REPT(" ",6-LEN(AA1)),AA1)</f>
        <v xml:space="preserve">      </v>
      </c>
      <c r="AB2" s="149" t="str">
        <f>CONCATENATE(REPT("0",3-LEN('Datos Empresa'!E15)),'Datos Empresa'!E15)</f>
        <v>005</v>
      </c>
      <c r="AC2" s="156" t="str">
        <f>CONCATENATE(REPT("0",12-LEN('Datos Empresa'!E17)),'Datos Empresa'!E17)</f>
        <v>000800870767</v>
      </c>
      <c r="AD2" s="109" t="s">
        <v>26</v>
      </c>
      <c r="AE2" s="157" t="s">
        <v>10</v>
      </c>
      <c r="AF2" s="157" t="s">
        <v>11</v>
      </c>
      <c r="AG2" s="158" t="s">
        <v>12</v>
      </c>
      <c r="AH2" s="158" t="s">
        <v>13</v>
      </c>
      <c r="AI2" s="158" t="s">
        <v>11</v>
      </c>
      <c r="AJ2" s="158" t="s">
        <v>3</v>
      </c>
      <c r="AK2" s="152" t="s">
        <v>25</v>
      </c>
      <c r="AL2" s="159" t="s">
        <v>23</v>
      </c>
      <c r="AM2" s="160"/>
      <c r="AN2" s="109"/>
      <c r="AO2" s="109"/>
      <c r="AP2" s="161" t="str">
        <f>CONCATENATE("000",AS2,"0",H3,"4","    ",AD3,AJ3,"            ",AT3,AK3,"                                                                                     ")</f>
        <v xml:space="preserve">00015201359000031588014    00000000000000000000            3004535222          ANTICIPO DE EXCEDENTES                                                                                             </v>
      </c>
      <c r="AQ2" s="109" t="str">
        <f>CONCATENATE("1520",AA3,AB3,AC3)</f>
        <v>1520135900003158</v>
      </c>
      <c r="AR2" s="152">
        <f>MOD(SUM(VALUE(MID($AQ$1,1,1)) * VALUE(MID(AQ2,1,1)),VALUE(MID($AQ$1,2,1)) * VALUE(MID(AQ2,2,1)),VALUE(MID($AQ$1,3,1)) * VALUE(MID(AQ2,3,1)),VALUE(MID($AQ$1,4,1)) * VALUE(MID(AQ2,4,1)),VALUE(MID($AQ$1,5,1)) * VALUE(MID(AQ2,5,1)),VALUE(MID($AQ$1,6,1)) * VALUE(MID(AQ2,6,1)),VALUE(MID($AQ$1,7,1)) * VALUE(MID(AQ2,7,1)),VALUE(MID($AQ$1,8,1)) * VALUE(MID(AQ2,8,1)),VALUE(MID($AQ$1,9,1)) * VALUE(MID(AQ2,9,1)),VALUE(MID($AQ$1,10,1)) * VALUE(MID(AQ2,10,1)),VALUE(MID($AQ$1,11,1)) * VALUE(MID(AQ2,11,1)),VALUE(MID($AQ$1,12,1)) * VALUE(MID(AQ2,12,1)),VALUE(MID($AQ$1,13,1)) * VALUE(MID(AQ2,13,1)),VALUE(MID($AQ$1,14,1)) * VALUE(MID(AQ2,14,1)),VALUE(MID($AQ$1,15,1)) * VALUE(MID(AQ2,15,1)),VALUE(MID($AQ$1,16,1)) * VALUE(MID(AQ2,16,1))),11)</f>
        <v>8</v>
      </c>
      <c r="AS2" s="109" t="str">
        <f>CONCATENATE(AQ2,IF(AR2&gt;9,"1",AR2))</f>
        <v>15201359000031588</v>
      </c>
      <c r="AT2" s="109" t="s">
        <v>36</v>
      </c>
    </row>
    <row r="3" spans="1:46" s="63" customFormat="1" ht="15" x14ac:dyDescent="0.25">
      <c r="B3" s="177">
        <f>IF('Datos Empresa'!E9="Cuenta Ahorros",2,1)</f>
        <v>1</v>
      </c>
      <c r="C3" s="177">
        <f>'Datos Empresa'!G9</f>
        <v>359</v>
      </c>
      <c r="D3" s="177">
        <f>'Datos Empresa'!I9</f>
        <v>3158</v>
      </c>
      <c r="E3" s="176" t="str">
        <f>CONCATENATE('Datos Empresa'!E13,REPT(" ",30-LEN('Datos Empresa'!E13)))</f>
        <v xml:space="preserve">ANTICIPO DE EXCEDENTES        </v>
      </c>
      <c r="F3" s="188"/>
      <c r="G3" s="183">
        <f>'Datos Empresa'!E5</f>
        <v>3004535222</v>
      </c>
      <c r="H3" s="177">
        <f>IF('Datos Empresa'!E11="Colones",1,2)</f>
        <v>1</v>
      </c>
      <c r="I3" s="178">
        <f>AM3</f>
        <v>0</v>
      </c>
      <c r="J3" s="65"/>
      <c r="AA3" s="156">
        <f t="shared" ref="AA3:AA16" si="0">B3</f>
        <v>1</v>
      </c>
      <c r="AB3" s="163" t="str">
        <f t="shared" ref="AB3:AB16" si="1">CONCATENATE(REPT("0",3-LEN(C3)),C3)</f>
        <v>359</v>
      </c>
      <c r="AC3" s="164" t="str">
        <f t="shared" ref="AC3:AC16" si="2">CONCATENATE(REPT("0",8-LEN(D3)),D3)</f>
        <v>00003158</v>
      </c>
      <c r="AD3" s="97" t="str">
        <f t="shared" ref="AD3:AD16" si="3">CONCATENATE(REPT("0",8-LEN(F3)),F3)</f>
        <v>00000000</v>
      </c>
      <c r="AE3" s="150">
        <f t="shared" ref="AE3:AE16" si="4">INT(I3)</f>
        <v>0</v>
      </c>
      <c r="AF3" s="150">
        <f t="shared" ref="AF3:AF16" si="5">I3-AE3</f>
        <v>0</v>
      </c>
      <c r="AG3" s="98" t="str">
        <f>TEXT(AE3,"0000000000")</f>
        <v>0000000000</v>
      </c>
      <c r="AH3" s="151">
        <f>AF3*100</f>
        <v>0</v>
      </c>
      <c r="AI3" s="98" t="str">
        <f>TEXT(AH3,"00")</f>
        <v>00</v>
      </c>
      <c r="AJ3" s="97" t="str">
        <f>CONCATENATE(AG3,AI3)</f>
        <v>000000000000</v>
      </c>
      <c r="AK3" s="161" t="str">
        <f>E3</f>
        <v xml:space="preserve">ANTICIPO DE EXCEDENTES        </v>
      </c>
      <c r="AL3" s="154">
        <f>SUM(AL4:AL1000)</f>
        <v>0</v>
      </c>
      <c r="AM3" s="155">
        <f>SUM(AM4:AM1000)</f>
        <v>0</v>
      </c>
      <c r="AP3" s="63" t="str">
        <f>IF(D4&lt;&gt;"",CONCATENATE("000",AS3,"0",H4,"2","    ",AD4,AJ4,"            ",AT4,AK4,"                                                                                     "),"")</f>
        <v xml:space="preserve">00015202001149541090012    00000000000000000000            114730338           Adrian Marin Sosa                                                                                                  </v>
      </c>
      <c r="AQ3" s="63" t="str">
        <f t="shared" ref="AQ3:AQ17" si="6">IF(D4&lt;&gt;"",CONCATENATE("1520",AA4,AB4,AC4),"")</f>
        <v>1520200114954109</v>
      </c>
      <c r="AR3" s="152">
        <f t="shared" ref="AR3:AR17" si="7">IF(D4&lt;&gt;"",MOD(SUM(VALUE(MID($AQ$1,1,1)) * VALUE(MID(AQ3,1,1)),VALUE(MID($AQ$1,2,1)) * VALUE(MID(AQ3,2,1)),VALUE(MID($AQ$1,3,1)) * VALUE(MID(AQ3,3,1)),VALUE(MID($AQ$1,4,1)) * VALUE(MID(AQ3,4,1)),VALUE(MID($AQ$1,5,1)) * VALUE(MID(AQ3,5,1)),VALUE(MID($AQ$1,6,1)) * VALUE(MID(AQ3,6,1)),VALUE(MID($AQ$1,7,1)) * VALUE(MID(AQ3,7,1)),VALUE(MID($AQ$1,8,1)) * VALUE(MID(AQ3,8,1)),VALUE(MID($AQ$1,9,1)) * VALUE(MID(AQ3,9,1)),VALUE(MID($AQ$1,10,1)) * VALUE(MID(AQ3,10,1)),VALUE(MID($AQ$1,11,1)) * VALUE(MID(AQ3,11,1)),VALUE(MID($AQ$1,12,1)) * VALUE(MID(AQ3,12,1)),VALUE(MID($AQ$1,13,1)) * VALUE(MID(AQ3,13,1)),VALUE(MID($AQ$1,14,1)) * VALUE(MID(AQ3,14,1)),VALUE(MID($AQ$1,15,1)) * VALUE(MID(AQ3,15,1)),VALUE(MID($AQ$1,16,1)) * VALUE(MID(AQ3,16,1))),11),"")</f>
        <v>0</v>
      </c>
      <c r="AS3" s="109" t="str">
        <f t="shared" ref="AS3:AS17" si="8">IF(D4&lt;&gt;"",CONCATENATE(AQ3,IF(AR3&gt;9,"1",AR3)),"")</f>
        <v>15202001149541090</v>
      </c>
      <c r="AT3" s="63" t="str">
        <f>CONCATENATE(G3,REPT(" ",20-LEN(G3)))</f>
        <v xml:space="preserve">3004535222          </v>
      </c>
    </row>
    <row r="4" spans="1:46" ht="15" x14ac:dyDescent="0.2">
      <c r="A4" s="142">
        <f>IF(B4&lt;&gt;"",0+1,"")</f>
        <v>1</v>
      </c>
      <c r="B4" s="184">
        <v>2</v>
      </c>
      <c r="C4" s="195">
        <v>1</v>
      </c>
      <c r="D4" s="194">
        <v>14954109</v>
      </c>
      <c r="E4" s="191" t="s">
        <v>48</v>
      </c>
      <c r="F4" s="185"/>
      <c r="G4" s="196">
        <v>114730338</v>
      </c>
      <c r="H4" s="184">
        <v>1</v>
      </c>
      <c r="I4" s="186"/>
      <c r="J4" s="68"/>
      <c r="AA4" s="109">
        <f t="shared" si="0"/>
        <v>2</v>
      </c>
      <c r="AB4" s="153" t="str">
        <f t="shared" si="1"/>
        <v>001</v>
      </c>
      <c r="AC4" s="165" t="str">
        <f t="shared" si="2"/>
        <v>14954109</v>
      </c>
      <c r="AD4" s="98" t="str">
        <f t="shared" si="3"/>
        <v>00000000</v>
      </c>
      <c r="AE4" s="150">
        <f t="shared" si="4"/>
        <v>0</v>
      </c>
      <c r="AF4" s="150">
        <f t="shared" si="5"/>
        <v>0</v>
      </c>
      <c r="AG4" s="98" t="str">
        <f>TEXT(AE4,"0000000000")</f>
        <v>0000000000</v>
      </c>
      <c r="AH4" s="151">
        <f t="shared" ref="AH4:AH16" si="9">AF4*100</f>
        <v>0</v>
      </c>
      <c r="AI4" s="98" t="str">
        <f t="shared" ref="AI4:AI16" si="10">TEXT(AH4,"00")</f>
        <v>00</v>
      </c>
      <c r="AJ4" s="98" t="str">
        <f>CONCATENATE(AG4,AI4)</f>
        <v>000000000000</v>
      </c>
      <c r="AK4" s="161" t="str">
        <f>CONCATENATE(E4,REPT(" ",30-LEN(E4)))</f>
        <v xml:space="preserve">Adrian Marin Sosa             </v>
      </c>
      <c r="AL4" s="154">
        <f t="shared" ref="AL4:AL16" si="11">IF(H4&lt;&gt;"",IF(H4=$H$3,0,1),0)</f>
        <v>0</v>
      </c>
      <c r="AM4" s="155">
        <f t="shared" ref="AM4:AM16" si="12">IF(AL4=1,IF($H$3=1,I4*$K$14,I4/$K$14),I4)</f>
        <v>0</v>
      </c>
      <c r="AN4" s="63"/>
      <c r="AO4" s="63"/>
      <c r="AP4" s="63" t="str">
        <f>IF(D5&lt;&gt;"",CONCATENATE("000",AS4,"0",H5,"2","    ",AD5,AJ5,"            ",AT5,AK5,"                                                                                     "),"")</f>
        <v xml:space="preserve">00015202001066869233012    00000000000000000000            114370688           Alexander Morales                                                                                                  </v>
      </c>
      <c r="AQ4" s="63" t="str">
        <f t="shared" si="6"/>
        <v>1520200106686923</v>
      </c>
      <c r="AR4" s="152">
        <f t="shared" si="7"/>
        <v>3</v>
      </c>
      <c r="AS4" s="109" t="str">
        <f t="shared" si="8"/>
        <v>15202001066869233</v>
      </c>
      <c r="AT4" s="63" t="str">
        <f>CONCATENATE(G4,REPT(" ",20-LEN(G4)))</f>
        <v xml:space="preserve">114730338           </v>
      </c>
    </row>
    <row r="5" spans="1:46" ht="15" customHeight="1" x14ac:dyDescent="0.2">
      <c r="A5" s="142">
        <f>IF(B5&lt;&gt;"",A4+1,"")</f>
        <v>2</v>
      </c>
      <c r="B5" s="185">
        <v>2</v>
      </c>
      <c r="C5" s="195">
        <v>1</v>
      </c>
      <c r="D5" s="194">
        <v>6686923</v>
      </c>
      <c r="E5" s="191" t="s">
        <v>49</v>
      </c>
      <c r="F5" s="185"/>
      <c r="G5" s="196">
        <v>114370688</v>
      </c>
      <c r="H5" s="185">
        <v>1</v>
      </c>
      <c r="I5" s="186"/>
      <c r="J5" s="69"/>
      <c r="AA5" s="63">
        <f t="shared" si="0"/>
        <v>2</v>
      </c>
      <c r="AB5" s="153" t="str">
        <f t="shared" si="1"/>
        <v>001</v>
      </c>
      <c r="AC5" s="165" t="str">
        <f t="shared" si="2"/>
        <v>06686923</v>
      </c>
      <c r="AD5" s="98" t="str">
        <f t="shared" si="3"/>
        <v>00000000</v>
      </c>
      <c r="AE5" s="150">
        <f t="shared" si="4"/>
        <v>0</v>
      </c>
      <c r="AF5" s="150">
        <f t="shared" si="5"/>
        <v>0</v>
      </c>
      <c r="AG5" s="98" t="str">
        <f>TEXT(AE5,"0000000000")</f>
        <v>0000000000</v>
      </c>
      <c r="AH5" s="151">
        <f t="shared" si="9"/>
        <v>0</v>
      </c>
      <c r="AI5" s="98" t="str">
        <f t="shared" si="10"/>
        <v>00</v>
      </c>
      <c r="AJ5" s="98" t="str">
        <f>CONCATENATE(AG5,AI5)</f>
        <v>000000000000</v>
      </c>
      <c r="AK5" s="161" t="str">
        <f t="shared" ref="AK5:AK16" si="13">CONCATENATE(E5,REPT(" ",30-LEN(E5)))</f>
        <v xml:space="preserve">Alexander Morales             </v>
      </c>
      <c r="AL5" s="154">
        <f t="shared" si="11"/>
        <v>0</v>
      </c>
      <c r="AM5" s="155">
        <f t="shared" si="12"/>
        <v>0</v>
      </c>
      <c r="AN5" s="63"/>
      <c r="AO5" s="63"/>
      <c r="AP5" s="63" t="str">
        <f t="shared" ref="AP5:AP17" si="14">IF(D6&lt;&gt;"",CONCATENATE("000",AS5,"0",H6,"2","    ",AD6,AJ6,"            ",AT6,AK6,"                                                                                     "),"")</f>
        <v xml:space="preserve">00015202962000347627012    00000000000000000000            108180394           Arturo Clark Bustos                                                                                                </v>
      </c>
      <c r="AQ5" s="63" t="str">
        <f t="shared" si="6"/>
        <v>1520296200034762</v>
      </c>
      <c r="AR5" s="152">
        <f t="shared" si="7"/>
        <v>7</v>
      </c>
      <c r="AS5" s="109" t="str">
        <f t="shared" si="8"/>
        <v>15202962000347627</v>
      </c>
      <c r="AT5" s="63" t="str">
        <f t="shared" ref="AT5:AT17" si="15">CONCATENATE(G5,REPT(" ",20-LEN(G5)))</f>
        <v xml:space="preserve">114370688           </v>
      </c>
    </row>
    <row r="6" spans="1:46" ht="12.75" customHeight="1" x14ac:dyDescent="0.2">
      <c r="A6" s="142">
        <f t="shared" ref="A6:A7" si="16">IF(B6&lt;&gt;"",A5+1,"")</f>
        <v>3</v>
      </c>
      <c r="B6" s="184">
        <v>2</v>
      </c>
      <c r="C6" s="195">
        <v>962</v>
      </c>
      <c r="D6" s="194">
        <v>34762</v>
      </c>
      <c r="E6" s="191" t="s">
        <v>50</v>
      </c>
      <c r="F6" s="185"/>
      <c r="G6" s="196">
        <v>108180394</v>
      </c>
      <c r="H6" s="185">
        <v>1</v>
      </c>
      <c r="I6" s="187"/>
      <c r="J6" s="69"/>
      <c r="AA6" s="63">
        <f t="shared" si="0"/>
        <v>2</v>
      </c>
      <c r="AB6" s="153" t="str">
        <f t="shared" si="1"/>
        <v>962</v>
      </c>
      <c r="AC6" s="165" t="str">
        <f t="shared" si="2"/>
        <v>00034762</v>
      </c>
      <c r="AD6" s="98" t="str">
        <f t="shared" si="3"/>
        <v>00000000</v>
      </c>
      <c r="AE6" s="150">
        <f t="shared" si="4"/>
        <v>0</v>
      </c>
      <c r="AF6" s="150">
        <f t="shared" si="5"/>
        <v>0</v>
      </c>
      <c r="AG6" s="98" t="str">
        <f>TEXT(AE6,"0000000000")</f>
        <v>0000000000</v>
      </c>
      <c r="AH6" s="151">
        <f t="shared" si="9"/>
        <v>0</v>
      </c>
      <c r="AI6" s="98" t="str">
        <f t="shared" si="10"/>
        <v>00</v>
      </c>
      <c r="AJ6" s="98" t="str">
        <f>CONCATENATE(AG6,AI6)</f>
        <v>000000000000</v>
      </c>
      <c r="AK6" s="161" t="str">
        <f t="shared" si="13"/>
        <v xml:space="preserve">Arturo Clark Bustos           </v>
      </c>
      <c r="AL6" s="154">
        <f t="shared" si="11"/>
        <v>0</v>
      </c>
      <c r="AM6" s="155">
        <f t="shared" si="12"/>
        <v>0</v>
      </c>
      <c r="AN6" s="214" t="s">
        <v>22</v>
      </c>
      <c r="AO6" s="214"/>
      <c r="AP6" s="63" t="str">
        <f t="shared" si="14"/>
        <v xml:space="preserve">00015202001114762498012    00000000000000000000            206100860           Cheril Fonseca Picad                                                                                               </v>
      </c>
      <c r="AQ6" s="63" t="str">
        <f t="shared" si="6"/>
        <v>1520200111476249</v>
      </c>
      <c r="AR6" s="152">
        <f t="shared" si="7"/>
        <v>8</v>
      </c>
      <c r="AS6" s="109" t="str">
        <f t="shared" si="8"/>
        <v>15202001114762498</v>
      </c>
      <c r="AT6" s="63" t="str">
        <f t="shared" si="15"/>
        <v xml:space="preserve">108180394           </v>
      </c>
    </row>
    <row r="7" spans="1:46" ht="15" x14ac:dyDescent="0.2">
      <c r="A7" s="142">
        <f t="shared" si="16"/>
        <v>4</v>
      </c>
      <c r="B7" s="185">
        <v>2</v>
      </c>
      <c r="C7" s="195">
        <v>1</v>
      </c>
      <c r="D7" s="194">
        <v>11476249</v>
      </c>
      <c r="E7" s="192" t="s">
        <v>51</v>
      </c>
      <c r="F7" s="185"/>
      <c r="G7" s="196">
        <v>206100860</v>
      </c>
      <c r="H7" s="185">
        <v>1</v>
      </c>
      <c r="I7" s="186"/>
      <c r="J7" s="69"/>
      <c r="AA7" s="63">
        <f t="shared" si="0"/>
        <v>2</v>
      </c>
      <c r="AB7" s="153" t="str">
        <f t="shared" si="1"/>
        <v>001</v>
      </c>
      <c r="AC7" s="165" t="str">
        <f t="shared" si="2"/>
        <v>11476249</v>
      </c>
      <c r="AD7" s="98" t="str">
        <f t="shared" si="3"/>
        <v>00000000</v>
      </c>
      <c r="AE7" s="150">
        <f t="shared" si="4"/>
        <v>0</v>
      </c>
      <c r="AF7" s="150">
        <f t="shared" si="5"/>
        <v>0</v>
      </c>
      <c r="AG7" s="98" t="str">
        <f>TEXT(AE7,"0000000000")</f>
        <v>0000000000</v>
      </c>
      <c r="AH7" s="151">
        <f t="shared" si="9"/>
        <v>0</v>
      </c>
      <c r="AI7" s="98" t="str">
        <f t="shared" si="10"/>
        <v>00</v>
      </c>
      <c r="AJ7" s="98" t="str">
        <f>CONCATENATE(AG7,AI7)</f>
        <v>000000000000</v>
      </c>
      <c r="AK7" s="161" t="str">
        <f t="shared" si="13"/>
        <v xml:space="preserve">Cheril Fonseca Picad          </v>
      </c>
      <c r="AL7" s="154">
        <f t="shared" si="11"/>
        <v>0</v>
      </c>
      <c r="AM7" s="155">
        <f t="shared" si="12"/>
        <v>0</v>
      </c>
      <c r="AN7" s="214"/>
      <c r="AO7" s="214"/>
      <c r="AP7" s="63" t="str">
        <f t="shared" si="14"/>
        <v xml:space="preserve">00015202001125521601012    00000000000000000000            110190812           Danny Naranjo Obando                                                                                               </v>
      </c>
      <c r="AQ7" s="63" t="str">
        <f t="shared" si="6"/>
        <v>1520200112552160</v>
      </c>
      <c r="AR7" s="152">
        <f t="shared" si="7"/>
        <v>10</v>
      </c>
      <c r="AS7" s="109" t="str">
        <f t="shared" si="8"/>
        <v>15202001125521601</v>
      </c>
      <c r="AT7" s="63" t="str">
        <f t="shared" si="15"/>
        <v xml:space="preserve">206100860           </v>
      </c>
    </row>
    <row r="8" spans="1:46" ht="15" x14ac:dyDescent="0.2">
      <c r="A8" s="63">
        <f t="shared" ref="A8:A69" si="17">IF(B8&lt;&gt;"",A7+1,"")</f>
        <v>5</v>
      </c>
      <c r="B8" s="185">
        <v>2</v>
      </c>
      <c r="C8" s="195">
        <v>1</v>
      </c>
      <c r="D8" s="194">
        <v>12552160</v>
      </c>
      <c r="E8" s="191" t="s">
        <v>52</v>
      </c>
      <c r="F8" s="184"/>
      <c r="G8" s="196">
        <v>110190812</v>
      </c>
      <c r="H8" s="185">
        <v>1</v>
      </c>
      <c r="I8" s="187"/>
      <c r="J8" s="69"/>
      <c r="AA8" s="63">
        <f t="shared" si="0"/>
        <v>2</v>
      </c>
      <c r="AB8" s="153" t="str">
        <f t="shared" si="1"/>
        <v>001</v>
      </c>
      <c r="AC8" s="165" t="str">
        <f t="shared" si="2"/>
        <v>12552160</v>
      </c>
      <c r="AD8" s="98" t="str">
        <f t="shared" si="3"/>
        <v>00000000</v>
      </c>
      <c r="AE8" s="150">
        <f t="shared" si="4"/>
        <v>0</v>
      </c>
      <c r="AF8" s="150">
        <f t="shared" si="5"/>
        <v>0</v>
      </c>
      <c r="AG8" s="98" t="str">
        <f t="shared" ref="AG8:AG16" si="18">TEXT(AE8,"0000000000")</f>
        <v>0000000000</v>
      </c>
      <c r="AH8" s="151">
        <f t="shared" si="9"/>
        <v>0</v>
      </c>
      <c r="AI8" s="98" t="str">
        <f t="shared" si="10"/>
        <v>00</v>
      </c>
      <c r="AJ8" s="98" t="str">
        <f t="shared" ref="AJ8:AJ16" si="19">CONCATENATE(AG8,AI8)</f>
        <v>000000000000</v>
      </c>
      <c r="AK8" s="161" t="str">
        <f t="shared" si="13"/>
        <v xml:space="preserve">Danny Naranjo Obando          </v>
      </c>
      <c r="AL8" s="154">
        <f t="shared" si="11"/>
        <v>0</v>
      </c>
      <c r="AM8" s="155">
        <f t="shared" si="12"/>
        <v>0</v>
      </c>
      <c r="AN8" s="214"/>
      <c r="AO8" s="214"/>
      <c r="AP8" s="63" t="str">
        <f t="shared" si="14"/>
        <v xml:space="preserve">00015202001059402813012    00000000000000000000            113400556           Douglas Salazar Sa                                                                                                 </v>
      </c>
      <c r="AQ8" s="63" t="str">
        <f t="shared" si="6"/>
        <v>1520200105940281</v>
      </c>
      <c r="AR8" s="152">
        <f t="shared" si="7"/>
        <v>3</v>
      </c>
      <c r="AS8" s="109" t="str">
        <f t="shared" si="8"/>
        <v>15202001059402813</v>
      </c>
      <c r="AT8" s="63" t="str">
        <f t="shared" si="15"/>
        <v xml:space="preserve">110190812           </v>
      </c>
    </row>
    <row r="9" spans="1:46" ht="15" x14ac:dyDescent="0.2">
      <c r="A9" s="63">
        <f t="shared" si="17"/>
        <v>6</v>
      </c>
      <c r="B9" s="185">
        <v>2</v>
      </c>
      <c r="C9" s="195">
        <v>1</v>
      </c>
      <c r="D9" s="194">
        <v>5940281</v>
      </c>
      <c r="E9" s="192" t="s">
        <v>53</v>
      </c>
      <c r="F9" s="184"/>
      <c r="G9" s="196">
        <v>113400556</v>
      </c>
      <c r="H9" s="185">
        <v>1</v>
      </c>
      <c r="I9" s="186"/>
      <c r="J9" s="69"/>
      <c r="AA9" s="63">
        <f t="shared" si="0"/>
        <v>2</v>
      </c>
      <c r="AB9" s="153" t="str">
        <f t="shared" si="1"/>
        <v>001</v>
      </c>
      <c r="AC9" s="165" t="str">
        <f t="shared" si="2"/>
        <v>05940281</v>
      </c>
      <c r="AD9" s="98" t="str">
        <f t="shared" si="3"/>
        <v>00000000</v>
      </c>
      <c r="AE9" s="150">
        <f t="shared" si="4"/>
        <v>0</v>
      </c>
      <c r="AF9" s="150">
        <f t="shared" si="5"/>
        <v>0</v>
      </c>
      <c r="AG9" s="98" t="str">
        <f t="shared" si="18"/>
        <v>0000000000</v>
      </c>
      <c r="AH9" s="151">
        <f t="shared" si="9"/>
        <v>0</v>
      </c>
      <c r="AI9" s="98" t="str">
        <f t="shared" si="10"/>
        <v>00</v>
      </c>
      <c r="AJ9" s="98" t="str">
        <f t="shared" si="19"/>
        <v>000000000000</v>
      </c>
      <c r="AK9" s="161" t="str">
        <f t="shared" si="13"/>
        <v xml:space="preserve">Douglas Salazar Sa            </v>
      </c>
      <c r="AL9" s="154">
        <f t="shared" si="11"/>
        <v>0</v>
      </c>
      <c r="AM9" s="155">
        <f t="shared" si="12"/>
        <v>0</v>
      </c>
      <c r="AN9" s="214"/>
      <c r="AO9" s="214"/>
      <c r="AP9" s="63" t="str">
        <f t="shared" si="14"/>
        <v xml:space="preserve">00015202001054991609012    00000000000000000000            113270626           Ever Rivera Suarez                                                                                                 </v>
      </c>
      <c r="AQ9" s="63" t="str">
        <f t="shared" si="6"/>
        <v>1520200105499160</v>
      </c>
      <c r="AR9" s="152">
        <f t="shared" si="7"/>
        <v>9</v>
      </c>
      <c r="AS9" s="109" t="str">
        <f t="shared" si="8"/>
        <v>15202001054991609</v>
      </c>
      <c r="AT9" s="63" t="str">
        <f t="shared" si="15"/>
        <v xml:space="preserve">113400556           </v>
      </c>
    </row>
    <row r="10" spans="1:46" ht="12.75" customHeight="1" x14ac:dyDescent="0.2">
      <c r="A10" s="63">
        <f t="shared" si="17"/>
        <v>7</v>
      </c>
      <c r="B10" s="185">
        <v>2</v>
      </c>
      <c r="C10" s="195">
        <v>1</v>
      </c>
      <c r="D10" s="194">
        <v>5499160</v>
      </c>
      <c r="E10" s="191" t="s">
        <v>54</v>
      </c>
      <c r="F10" s="184"/>
      <c r="G10" s="196">
        <v>113270626</v>
      </c>
      <c r="H10" s="185">
        <v>1</v>
      </c>
      <c r="I10" s="186"/>
      <c r="J10" s="69"/>
      <c r="K10" s="212" t="str">
        <f>IF(AL3&gt;0,IF(G3=1,"Ingrese el tipo de cambio VENTA aquí:","Ingrese el tipo cambio COMPRA aquí:"),"")</f>
        <v/>
      </c>
      <c r="AA10" s="63">
        <f t="shared" si="0"/>
        <v>2</v>
      </c>
      <c r="AB10" s="153" t="str">
        <f t="shared" si="1"/>
        <v>001</v>
      </c>
      <c r="AC10" s="165" t="str">
        <f t="shared" si="2"/>
        <v>05499160</v>
      </c>
      <c r="AD10" s="98" t="str">
        <f t="shared" si="3"/>
        <v>00000000</v>
      </c>
      <c r="AE10" s="150">
        <f t="shared" si="4"/>
        <v>0</v>
      </c>
      <c r="AF10" s="150">
        <f t="shared" si="5"/>
        <v>0</v>
      </c>
      <c r="AG10" s="98" t="str">
        <f t="shared" si="18"/>
        <v>0000000000</v>
      </c>
      <c r="AH10" s="151">
        <f t="shared" si="9"/>
        <v>0</v>
      </c>
      <c r="AI10" s="98" t="str">
        <f t="shared" si="10"/>
        <v>00</v>
      </c>
      <c r="AJ10" s="98" t="str">
        <f t="shared" si="19"/>
        <v>000000000000</v>
      </c>
      <c r="AK10" s="161" t="str">
        <f t="shared" si="13"/>
        <v xml:space="preserve">Ever Rivera Suarez            </v>
      </c>
      <c r="AL10" s="154">
        <f t="shared" si="11"/>
        <v>0</v>
      </c>
      <c r="AM10" s="155">
        <f t="shared" si="12"/>
        <v>0</v>
      </c>
      <c r="AN10" s="214"/>
      <c r="AO10" s="214"/>
      <c r="AP10" s="63" t="str">
        <f t="shared" si="14"/>
        <v xml:space="preserve">00015202001045582007012    00000000000000000000            112500502           Fabian Arias Leiva                                                                                                 </v>
      </c>
      <c r="AQ10" s="63" t="str">
        <f t="shared" si="6"/>
        <v>1520200104558200</v>
      </c>
      <c r="AR10" s="152">
        <f t="shared" si="7"/>
        <v>7</v>
      </c>
      <c r="AS10" s="109" t="str">
        <f t="shared" si="8"/>
        <v>15202001045582007</v>
      </c>
      <c r="AT10" s="63" t="str">
        <f t="shared" si="15"/>
        <v xml:space="preserve">113270626           </v>
      </c>
    </row>
    <row r="11" spans="1:46" ht="12.75" customHeight="1" x14ac:dyDescent="0.2">
      <c r="A11" s="63">
        <f t="shared" si="17"/>
        <v>8</v>
      </c>
      <c r="B11" s="185">
        <v>2</v>
      </c>
      <c r="C11" s="195">
        <v>1</v>
      </c>
      <c r="D11" s="194">
        <v>4558200</v>
      </c>
      <c r="E11" s="191" t="s">
        <v>55</v>
      </c>
      <c r="F11" s="184"/>
      <c r="G11" s="196">
        <v>112500502</v>
      </c>
      <c r="H11" s="185">
        <v>1</v>
      </c>
      <c r="I11" s="186"/>
      <c r="J11" s="69"/>
      <c r="K11" s="212"/>
      <c r="AA11" s="63">
        <f t="shared" si="0"/>
        <v>2</v>
      </c>
      <c r="AB11" s="153" t="str">
        <f t="shared" si="1"/>
        <v>001</v>
      </c>
      <c r="AC11" s="165" t="str">
        <f t="shared" si="2"/>
        <v>04558200</v>
      </c>
      <c r="AD11" s="98" t="str">
        <f t="shared" si="3"/>
        <v>00000000</v>
      </c>
      <c r="AE11" s="150">
        <f t="shared" si="4"/>
        <v>0</v>
      </c>
      <c r="AF11" s="150">
        <f t="shared" si="5"/>
        <v>0</v>
      </c>
      <c r="AG11" s="98" t="str">
        <f t="shared" si="18"/>
        <v>0000000000</v>
      </c>
      <c r="AH11" s="151">
        <f t="shared" si="9"/>
        <v>0</v>
      </c>
      <c r="AI11" s="98" t="str">
        <f t="shared" si="10"/>
        <v>00</v>
      </c>
      <c r="AJ11" s="98" t="str">
        <f t="shared" si="19"/>
        <v>000000000000</v>
      </c>
      <c r="AK11" s="161" t="str">
        <f t="shared" si="13"/>
        <v xml:space="preserve">Fabian Arias Leiva            </v>
      </c>
      <c r="AL11" s="154">
        <f t="shared" si="11"/>
        <v>0</v>
      </c>
      <c r="AM11" s="155">
        <f t="shared" si="12"/>
        <v>0</v>
      </c>
      <c r="AN11" s="214"/>
      <c r="AO11" s="214"/>
      <c r="AP11" s="63" t="str">
        <f t="shared" si="14"/>
        <v xml:space="preserve">00015202001100781859012    00000000000000000000            116710714           Freddy Enriquez B                                                                                                  </v>
      </c>
      <c r="AQ11" s="63" t="str">
        <f t="shared" si="6"/>
        <v>1520200110078185</v>
      </c>
      <c r="AR11" s="152">
        <f t="shared" si="7"/>
        <v>9</v>
      </c>
      <c r="AS11" s="109" t="str">
        <f t="shared" si="8"/>
        <v>15202001100781859</v>
      </c>
      <c r="AT11" s="63" t="str">
        <f t="shared" si="15"/>
        <v xml:space="preserve">112500502           </v>
      </c>
    </row>
    <row r="12" spans="1:46" ht="12.75" customHeight="1" x14ac:dyDescent="0.2">
      <c r="A12" s="63">
        <f t="shared" si="17"/>
        <v>9</v>
      </c>
      <c r="B12" s="185">
        <v>2</v>
      </c>
      <c r="C12" s="195">
        <v>1</v>
      </c>
      <c r="D12" s="194">
        <v>10078185</v>
      </c>
      <c r="E12" s="191" t="s">
        <v>56</v>
      </c>
      <c r="F12" s="184"/>
      <c r="G12" s="196">
        <v>116710714</v>
      </c>
      <c r="H12" s="185">
        <v>1</v>
      </c>
      <c r="I12" s="186"/>
      <c r="J12" s="69"/>
      <c r="K12" s="212"/>
      <c r="AA12" s="63">
        <f t="shared" si="0"/>
        <v>2</v>
      </c>
      <c r="AB12" s="153" t="str">
        <f t="shared" si="1"/>
        <v>001</v>
      </c>
      <c r="AC12" s="165" t="str">
        <f t="shared" si="2"/>
        <v>10078185</v>
      </c>
      <c r="AD12" s="98" t="str">
        <f t="shared" si="3"/>
        <v>00000000</v>
      </c>
      <c r="AE12" s="150">
        <f t="shared" si="4"/>
        <v>0</v>
      </c>
      <c r="AF12" s="150">
        <f t="shared" si="5"/>
        <v>0</v>
      </c>
      <c r="AG12" s="98" t="str">
        <f t="shared" si="18"/>
        <v>0000000000</v>
      </c>
      <c r="AH12" s="151">
        <f t="shared" si="9"/>
        <v>0</v>
      </c>
      <c r="AI12" s="98" t="str">
        <f t="shared" si="10"/>
        <v>00</v>
      </c>
      <c r="AJ12" s="98" t="str">
        <f t="shared" si="19"/>
        <v>000000000000</v>
      </c>
      <c r="AK12" s="161" t="str">
        <f t="shared" si="13"/>
        <v xml:space="preserve">Freddy Enriquez B             </v>
      </c>
      <c r="AL12" s="154">
        <f t="shared" si="11"/>
        <v>0</v>
      </c>
      <c r="AM12" s="155">
        <f t="shared" si="12"/>
        <v>0</v>
      </c>
      <c r="AN12" s="214"/>
      <c r="AO12" s="214"/>
      <c r="AP12" s="63" t="str">
        <f t="shared" si="14"/>
        <v xml:space="preserve">00015202001082907171012    00000000000000000000            503180033           Freddy Mejias Gomez                                                                                                </v>
      </c>
      <c r="AQ12" s="63" t="str">
        <f t="shared" si="6"/>
        <v>1520200108290717</v>
      </c>
      <c r="AR12" s="152">
        <f t="shared" si="7"/>
        <v>10</v>
      </c>
      <c r="AS12" s="109" t="str">
        <f t="shared" si="8"/>
        <v>15202001082907171</v>
      </c>
      <c r="AT12" s="63" t="str">
        <f t="shared" si="15"/>
        <v xml:space="preserve">116710714           </v>
      </c>
    </row>
    <row r="13" spans="1:46" ht="15" x14ac:dyDescent="0.2">
      <c r="A13" s="63">
        <f t="shared" si="17"/>
        <v>10</v>
      </c>
      <c r="B13" s="185">
        <v>2</v>
      </c>
      <c r="C13" s="195">
        <v>1</v>
      </c>
      <c r="D13" s="194">
        <v>8290717</v>
      </c>
      <c r="E13" s="191" t="s">
        <v>57</v>
      </c>
      <c r="F13" s="184"/>
      <c r="G13" s="196">
        <v>503180033</v>
      </c>
      <c r="H13" s="185">
        <v>1</v>
      </c>
      <c r="I13" s="186"/>
      <c r="J13" s="69"/>
      <c r="K13" s="212"/>
      <c r="AA13" s="63">
        <f t="shared" si="0"/>
        <v>2</v>
      </c>
      <c r="AB13" s="153" t="str">
        <f t="shared" si="1"/>
        <v>001</v>
      </c>
      <c r="AC13" s="165" t="str">
        <f t="shared" si="2"/>
        <v>08290717</v>
      </c>
      <c r="AD13" s="98" t="str">
        <f t="shared" si="3"/>
        <v>00000000</v>
      </c>
      <c r="AE13" s="150">
        <f t="shared" si="4"/>
        <v>0</v>
      </c>
      <c r="AF13" s="150">
        <f t="shared" si="5"/>
        <v>0</v>
      </c>
      <c r="AG13" s="98" t="str">
        <f t="shared" si="18"/>
        <v>0000000000</v>
      </c>
      <c r="AH13" s="151">
        <f t="shared" si="9"/>
        <v>0</v>
      </c>
      <c r="AI13" s="98" t="str">
        <f t="shared" si="10"/>
        <v>00</v>
      </c>
      <c r="AJ13" s="98" t="str">
        <f t="shared" si="19"/>
        <v>000000000000</v>
      </c>
      <c r="AK13" s="161" t="str">
        <f t="shared" si="13"/>
        <v xml:space="preserve">Freddy Mejias Gomez           </v>
      </c>
      <c r="AL13" s="154">
        <f t="shared" si="11"/>
        <v>0</v>
      </c>
      <c r="AM13" s="155">
        <f t="shared" si="12"/>
        <v>0</v>
      </c>
      <c r="AN13" s="214"/>
      <c r="AO13" s="214"/>
      <c r="AP13" s="63" t="str">
        <f t="shared" si="14"/>
        <v xml:space="preserve">00015202001114762570012    00000000000000000000            503790644           Geovanny Ordonez                                                                                                   </v>
      </c>
      <c r="AQ13" s="63" t="str">
        <f t="shared" si="6"/>
        <v>1520200111476257</v>
      </c>
      <c r="AR13" s="152">
        <f t="shared" si="7"/>
        <v>0</v>
      </c>
      <c r="AS13" s="109" t="str">
        <f t="shared" si="8"/>
        <v>15202001114762570</v>
      </c>
      <c r="AT13" s="63" t="str">
        <f t="shared" si="15"/>
        <v xml:space="preserve">503180033           </v>
      </c>
    </row>
    <row r="14" spans="1:46" ht="15.75" x14ac:dyDescent="0.25">
      <c r="A14" s="63">
        <f t="shared" si="17"/>
        <v>11</v>
      </c>
      <c r="B14" s="185">
        <v>2</v>
      </c>
      <c r="C14" s="195">
        <v>1</v>
      </c>
      <c r="D14" s="194">
        <v>11476257</v>
      </c>
      <c r="E14" s="191" t="s">
        <v>58</v>
      </c>
      <c r="F14" s="184"/>
      <c r="G14" s="196">
        <v>503790644</v>
      </c>
      <c r="H14" s="185">
        <v>1</v>
      </c>
      <c r="I14" s="186"/>
      <c r="J14" s="69"/>
      <c r="K14" s="190"/>
      <c r="AA14" s="63">
        <f t="shared" si="0"/>
        <v>2</v>
      </c>
      <c r="AB14" s="153" t="str">
        <f t="shared" si="1"/>
        <v>001</v>
      </c>
      <c r="AC14" s="165" t="str">
        <f t="shared" si="2"/>
        <v>11476257</v>
      </c>
      <c r="AD14" s="98" t="str">
        <f t="shared" si="3"/>
        <v>00000000</v>
      </c>
      <c r="AE14" s="150">
        <f t="shared" si="4"/>
        <v>0</v>
      </c>
      <c r="AF14" s="150">
        <f t="shared" si="5"/>
        <v>0</v>
      </c>
      <c r="AG14" s="98" t="str">
        <f t="shared" si="18"/>
        <v>0000000000</v>
      </c>
      <c r="AH14" s="151">
        <f t="shared" si="9"/>
        <v>0</v>
      </c>
      <c r="AI14" s="98" t="str">
        <f t="shared" si="10"/>
        <v>00</v>
      </c>
      <c r="AJ14" s="98" t="str">
        <f t="shared" si="19"/>
        <v>000000000000</v>
      </c>
      <c r="AK14" s="161" t="str">
        <f t="shared" si="13"/>
        <v xml:space="preserve">Geovanny Ordonez              </v>
      </c>
      <c r="AL14" s="154">
        <f t="shared" si="11"/>
        <v>0</v>
      </c>
      <c r="AM14" s="155">
        <f t="shared" si="12"/>
        <v>0</v>
      </c>
      <c r="AN14" s="214"/>
      <c r="AO14" s="214"/>
      <c r="AP14" s="63" t="str">
        <f t="shared" si="14"/>
        <v xml:space="preserve">00015202001056910874012    00000000000000000000            402170742           Greivin Guido Bustos                                                                                               </v>
      </c>
      <c r="AQ14" s="63" t="str">
        <f t="shared" si="6"/>
        <v>1520200105691087</v>
      </c>
      <c r="AR14" s="152">
        <f t="shared" si="7"/>
        <v>4</v>
      </c>
      <c r="AS14" s="109" t="str">
        <f t="shared" si="8"/>
        <v>15202001056910874</v>
      </c>
      <c r="AT14" s="63" t="str">
        <f t="shared" si="15"/>
        <v xml:space="preserve">503790644           </v>
      </c>
    </row>
    <row r="15" spans="1:46" ht="15" x14ac:dyDescent="0.2">
      <c r="A15" s="63">
        <f t="shared" si="17"/>
        <v>12</v>
      </c>
      <c r="B15" s="185">
        <v>2</v>
      </c>
      <c r="C15" s="195">
        <v>1</v>
      </c>
      <c r="D15" s="194">
        <v>5691087</v>
      </c>
      <c r="E15" s="191" t="s">
        <v>59</v>
      </c>
      <c r="F15" s="184"/>
      <c r="G15" s="196">
        <v>402170742</v>
      </c>
      <c r="H15" s="185">
        <v>1</v>
      </c>
      <c r="I15" s="186"/>
      <c r="J15" s="69"/>
      <c r="AA15" s="63">
        <f t="shared" si="0"/>
        <v>2</v>
      </c>
      <c r="AB15" s="153" t="str">
        <f t="shared" si="1"/>
        <v>001</v>
      </c>
      <c r="AC15" s="165" t="str">
        <f t="shared" si="2"/>
        <v>05691087</v>
      </c>
      <c r="AD15" s="98" t="str">
        <f t="shared" si="3"/>
        <v>00000000</v>
      </c>
      <c r="AE15" s="150">
        <f t="shared" si="4"/>
        <v>0</v>
      </c>
      <c r="AF15" s="150">
        <f t="shared" si="5"/>
        <v>0</v>
      </c>
      <c r="AG15" s="98" t="str">
        <f t="shared" si="18"/>
        <v>0000000000</v>
      </c>
      <c r="AH15" s="151">
        <f t="shared" si="9"/>
        <v>0</v>
      </c>
      <c r="AI15" s="98" t="str">
        <f t="shared" si="10"/>
        <v>00</v>
      </c>
      <c r="AJ15" s="98" t="str">
        <f t="shared" si="19"/>
        <v>000000000000</v>
      </c>
      <c r="AK15" s="161" t="str">
        <f t="shared" si="13"/>
        <v xml:space="preserve">Greivin Guido Bustos          </v>
      </c>
      <c r="AL15" s="154">
        <f t="shared" si="11"/>
        <v>0</v>
      </c>
      <c r="AM15" s="155">
        <f t="shared" si="12"/>
        <v>0</v>
      </c>
      <c r="AN15" s="214"/>
      <c r="AO15" s="214"/>
      <c r="AP15" s="63" t="str">
        <f t="shared" si="14"/>
        <v xml:space="preserve">00015202001100781500012    00000000000000000000            112300627           Haidit Sibaja M                                                                                                    </v>
      </c>
      <c r="AQ15" s="63" t="str">
        <f t="shared" si="6"/>
        <v>1520200110078150</v>
      </c>
      <c r="AR15" s="152">
        <f t="shared" si="7"/>
        <v>0</v>
      </c>
      <c r="AS15" s="109" t="str">
        <f t="shared" si="8"/>
        <v>15202001100781500</v>
      </c>
      <c r="AT15" s="63" t="str">
        <f t="shared" si="15"/>
        <v xml:space="preserve">402170742           </v>
      </c>
    </row>
    <row r="16" spans="1:46" ht="15" x14ac:dyDescent="0.2">
      <c r="A16" s="63">
        <f t="shared" si="17"/>
        <v>13</v>
      </c>
      <c r="B16" s="185">
        <v>2</v>
      </c>
      <c r="C16" s="195">
        <v>1</v>
      </c>
      <c r="D16" s="194">
        <v>10078150</v>
      </c>
      <c r="E16" s="191" t="s">
        <v>60</v>
      </c>
      <c r="F16" s="184"/>
      <c r="G16" s="196">
        <v>112300627</v>
      </c>
      <c r="H16" s="185">
        <v>1</v>
      </c>
      <c r="I16" s="186"/>
      <c r="J16" s="69"/>
      <c r="K16" s="213" t="str">
        <f>IF(AL3&gt;0,CONCATENATE(AN6),"")</f>
        <v/>
      </c>
      <c r="L16" s="213"/>
      <c r="M16" s="213"/>
      <c r="N16" s="213"/>
      <c r="O16" s="213"/>
      <c r="AA16" s="63">
        <f t="shared" si="0"/>
        <v>2</v>
      </c>
      <c r="AB16" s="153" t="str">
        <f t="shared" si="1"/>
        <v>001</v>
      </c>
      <c r="AC16" s="165" t="str">
        <f t="shared" si="2"/>
        <v>10078150</v>
      </c>
      <c r="AD16" s="98" t="str">
        <f t="shared" si="3"/>
        <v>00000000</v>
      </c>
      <c r="AE16" s="150">
        <f t="shared" si="4"/>
        <v>0</v>
      </c>
      <c r="AF16" s="150">
        <f t="shared" si="5"/>
        <v>0</v>
      </c>
      <c r="AG16" s="98" t="str">
        <f t="shared" si="18"/>
        <v>0000000000</v>
      </c>
      <c r="AH16" s="151">
        <f t="shared" si="9"/>
        <v>0</v>
      </c>
      <c r="AI16" s="98" t="str">
        <f t="shared" si="10"/>
        <v>00</v>
      </c>
      <c r="AJ16" s="98" t="str">
        <f t="shared" si="19"/>
        <v>000000000000</v>
      </c>
      <c r="AK16" s="161" t="str">
        <f t="shared" si="13"/>
        <v xml:space="preserve">Haidit Sibaja M               </v>
      </c>
      <c r="AL16" s="154">
        <f t="shared" si="11"/>
        <v>0</v>
      </c>
      <c r="AM16" s="155">
        <f t="shared" si="12"/>
        <v>0</v>
      </c>
      <c r="AN16" s="214"/>
      <c r="AO16" s="214"/>
      <c r="AP16" s="63" t="str">
        <f t="shared" si="14"/>
        <v xml:space="preserve">00015202001114608225012    00000000000000000000            402020812           Haylen Sanchez                                                                                                     </v>
      </c>
      <c r="AQ16" s="63" t="str">
        <f t="shared" si="6"/>
        <v>1520200111460822</v>
      </c>
      <c r="AR16" s="152">
        <f t="shared" si="7"/>
        <v>5</v>
      </c>
      <c r="AS16" s="109" t="str">
        <f t="shared" si="8"/>
        <v>15202001114608225</v>
      </c>
      <c r="AT16" s="63" t="str">
        <f t="shared" si="15"/>
        <v xml:space="preserve">112300627           </v>
      </c>
    </row>
    <row r="17" spans="1:46" ht="15" x14ac:dyDescent="0.2">
      <c r="A17" s="63">
        <f t="shared" si="17"/>
        <v>14</v>
      </c>
      <c r="B17" s="185">
        <v>2</v>
      </c>
      <c r="C17" s="195">
        <v>1</v>
      </c>
      <c r="D17" s="194">
        <v>11460822</v>
      </c>
      <c r="E17" s="191" t="s">
        <v>61</v>
      </c>
      <c r="F17" s="184"/>
      <c r="G17" s="196">
        <v>402020812</v>
      </c>
      <c r="H17" s="185">
        <v>1</v>
      </c>
      <c r="I17" s="186"/>
      <c r="J17" s="69"/>
      <c r="K17" s="213"/>
      <c r="L17" s="213"/>
      <c r="M17" s="213"/>
      <c r="N17" s="213"/>
      <c r="O17" s="213"/>
      <c r="AA17" s="63">
        <f t="shared" ref="AA17:AA80" si="20">B17</f>
        <v>2</v>
      </c>
      <c r="AB17" s="153" t="str">
        <f t="shared" ref="AB17:AB80" si="21">CONCATENATE(REPT("0",3-LEN(C17)),C17)</f>
        <v>001</v>
      </c>
      <c r="AC17" s="165" t="str">
        <f t="shared" ref="AC17:AC80" si="22">CONCATENATE(REPT("0",8-LEN(D17)),D17)</f>
        <v>11460822</v>
      </c>
      <c r="AD17" s="98" t="str">
        <f t="shared" ref="AD17:AD80" si="23">CONCATENATE(REPT("0",8-LEN(F17)),F17)</f>
        <v>00000000</v>
      </c>
      <c r="AE17" s="150">
        <f t="shared" ref="AE17:AE80" si="24">INT(I17)</f>
        <v>0</v>
      </c>
      <c r="AF17" s="150">
        <f t="shared" ref="AF17:AF80" si="25">I17-AE17</f>
        <v>0</v>
      </c>
      <c r="AG17" s="98" t="str">
        <f t="shared" ref="AG17:AG80" si="26">TEXT(AE17,"0000000000")</f>
        <v>0000000000</v>
      </c>
      <c r="AH17" s="151">
        <f t="shared" ref="AH17:AH80" si="27">AF17*100</f>
        <v>0</v>
      </c>
      <c r="AI17" s="98" t="str">
        <f t="shared" ref="AI17:AI80" si="28">TEXT(AH17,"00")</f>
        <v>00</v>
      </c>
      <c r="AJ17" s="98" t="str">
        <f t="shared" ref="AJ17:AJ80" si="29">CONCATENATE(AG17,AI17)</f>
        <v>000000000000</v>
      </c>
      <c r="AK17" s="161" t="str">
        <f t="shared" ref="AK17:AK80" si="30">CONCATENATE(E17,REPT(" ",30-LEN(E17)))</f>
        <v xml:space="preserve">Haylen Sanchez                </v>
      </c>
      <c r="AL17" s="154">
        <f t="shared" ref="AL17:AL80" si="31">IF(H17&lt;&gt;"",IF(H17=$H$3,0,1),0)</f>
        <v>0</v>
      </c>
      <c r="AM17" s="155">
        <f t="shared" ref="AM17:AM80" si="32">IF(AL17=1,IF($H$3=1,I17*$K$14,I17/$K$14),I17)</f>
        <v>0</v>
      </c>
      <c r="AN17" s="214"/>
      <c r="AO17" s="214"/>
      <c r="AP17" s="63" t="str">
        <f t="shared" si="14"/>
        <v xml:space="preserve">00015202001126987848012    00000000000000000000            112970129           Haydee Delgado                                                                                                     </v>
      </c>
      <c r="AQ17" s="63" t="str">
        <f t="shared" si="6"/>
        <v>1520200112698784</v>
      </c>
      <c r="AR17" s="152">
        <f t="shared" si="7"/>
        <v>8</v>
      </c>
      <c r="AS17" s="109" t="str">
        <f t="shared" si="8"/>
        <v>15202001126987848</v>
      </c>
      <c r="AT17" s="63" t="str">
        <f t="shared" si="15"/>
        <v xml:space="preserve">402020812           </v>
      </c>
    </row>
    <row r="18" spans="1:46" ht="12.75" customHeight="1" x14ac:dyDescent="0.2">
      <c r="A18" s="63">
        <f t="shared" si="17"/>
        <v>15</v>
      </c>
      <c r="B18" s="185">
        <v>2</v>
      </c>
      <c r="C18" s="195">
        <v>1</v>
      </c>
      <c r="D18" s="194">
        <v>12698784</v>
      </c>
      <c r="E18" s="191" t="s">
        <v>62</v>
      </c>
      <c r="F18" s="184"/>
      <c r="G18" s="196">
        <v>112970129</v>
      </c>
      <c r="H18" s="185">
        <v>1</v>
      </c>
      <c r="I18" s="186"/>
      <c r="J18" s="69"/>
      <c r="K18" s="213"/>
      <c r="L18" s="213"/>
      <c r="M18" s="213"/>
      <c r="N18" s="213"/>
      <c r="O18" s="213"/>
      <c r="AA18" s="63">
        <f t="shared" si="20"/>
        <v>2</v>
      </c>
      <c r="AB18" s="153" t="str">
        <f t="shared" si="21"/>
        <v>001</v>
      </c>
      <c r="AC18" s="165" t="str">
        <f t="shared" si="22"/>
        <v>12698784</v>
      </c>
      <c r="AD18" s="98" t="str">
        <f t="shared" si="23"/>
        <v>00000000</v>
      </c>
      <c r="AE18" s="150">
        <f t="shared" si="24"/>
        <v>0</v>
      </c>
      <c r="AF18" s="150">
        <f t="shared" si="25"/>
        <v>0</v>
      </c>
      <c r="AG18" s="98" t="str">
        <f t="shared" si="26"/>
        <v>0000000000</v>
      </c>
      <c r="AH18" s="151">
        <f t="shared" si="27"/>
        <v>0</v>
      </c>
      <c r="AI18" s="98" t="str">
        <f t="shared" si="28"/>
        <v>00</v>
      </c>
      <c r="AJ18" s="98" t="str">
        <f t="shared" si="29"/>
        <v>000000000000</v>
      </c>
      <c r="AK18" s="161" t="str">
        <f t="shared" si="30"/>
        <v xml:space="preserve">Haydee Delgado                </v>
      </c>
      <c r="AL18" s="154">
        <f t="shared" si="31"/>
        <v>0</v>
      </c>
      <c r="AM18" s="155">
        <f t="shared" si="32"/>
        <v>0</v>
      </c>
      <c r="AN18" s="214"/>
      <c r="AO18" s="214"/>
      <c r="AP18" s="63" t="str">
        <f t="shared" ref="AP18:AP81" si="33">IF(D19&lt;&gt;"",CONCATENATE("000",AS18,"0",H19,"2","    ",AD19,AJ19,"            ",AT19,AK19,"                                                                                     "),"")</f>
        <v xml:space="preserve">00015202001173804309012    00000000000000000000            116370910           Hellen Mendoza Fernandez                                                                                           </v>
      </c>
      <c r="AQ18" s="63" t="str">
        <f t="shared" ref="AQ18:AQ81" si="34">IF(D19&lt;&gt;"",CONCATENATE("1520",AA19,AB19,AC19),"")</f>
        <v>1520200117380430</v>
      </c>
      <c r="AR18" s="152">
        <f t="shared" ref="AR18:AR81" si="35">IF(D19&lt;&gt;"",MOD(SUM(VALUE(MID($AQ$1,1,1)) * VALUE(MID(AQ18,1,1)),VALUE(MID($AQ$1,2,1)) * VALUE(MID(AQ18,2,1)),VALUE(MID($AQ$1,3,1)) * VALUE(MID(AQ18,3,1)),VALUE(MID($AQ$1,4,1)) * VALUE(MID(AQ18,4,1)),VALUE(MID($AQ$1,5,1)) * VALUE(MID(AQ18,5,1)),VALUE(MID($AQ$1,6,1)) * VALUE(MID(AQ18,6,1)),VALUE(MID($AQ$1,7,1)) * VALUE(MID(AQ18,7,1)),VALUE(MID($AQ$1,8,1)) * VALUE(MID(AQ18,8,1)),VALUE(MID($AQ$1,9,1)) * VALUE(MID(AQ18,9,1)),VALUE(MID($AQ$1,10,1)) * VALUE(MID(AQ18,10,1)),VALUE(MID($AQ$1,11,1)) * VALUE(MID(AQ18,11,1)),VALUE(MID($AQ$1,12,1)) * VALUE(MID(AQ18,12,1)),VALUE(MID($AQ$1,13,1)) * VALUE(MID(AQ18,13,1)),VALUE(MID($AQ$1,14,1)) * VALUE(MID(AQ18,14,1)),VALUE(MID($AQ$1,15,1)) * VALUE(MID(AQ18,15,1)),VALUE(MID($AQ$1,16,1)) * VALUE(MID(AQ18,16,1))),11),"")</f>
        <v>9</v>
      </c>
      <c r="AS18" s="109" t="str">
        <f t="shared" ref="AS18:AS81" si="36">IF(D19&lt;&gt;"",CONCATENATE(AQ18,IF(AR18&gt;9,"1",AR18)),"")</f>
        <v>15202001173804309</v>
      </c>
      <c r="AT18" s="63" t="str">
        <f t="shared" ref="AT18:AT81" si="37">CONCATENATE(G18,REPT(" ",20-LEN(G18)))</f>
        <v xml:space="preserve">112970129           </v>
      </c>
    </row>
    <row r="19" spans="1:46" ht="12.75" customHeight="1" x14ac:dyDescent="0.2">
      <c r="A19" s="63">
        <f t="shared" si="17"/>
        <v>16</v>
      </c>
      <c r="B19" s="185">
        <v>2</v>
      </c>
      <c r="C19" s="195">
        <v>1</v>
      </c>
      <c r="D19" s="194">
        <v>17380430</v>
      </c>
      <c r="E19" s="191" t="s">
        <v>63</v>
      </c>
      <c r="F19" s="184"/>
      <c r="G19" s="196">
        <v>116370910</v>
      </c>
      <c r="H19" s="185">
        <v>1</v>
      </c>
      <c r="I19" s="186"/>
      <c r="J19" s="69"/>
      <c r="K19" s="213"/>
      <c r="L19" s="213"/>
      <c r="M19" s="213"/>
      <c r="N19" s="213"/>
      <c r="O19" s="213"/>
      <c r="AA19" s="63">
        <f t="shared" si="20"/>
        <v>2</v>
      </c>
      <c r="AB19" s="153" t="str">
        <f t="shared" si="21"/>
        <v>001</v>
      </c>
      <c r="AC19" s="165" t="str">
        <f t="shared" si="22"/>
        <v>17380430</v>
      </c>
      <c r="AD19" s="98" t="str">
        <f t="shared" si="23"/>
        <v>00000000</v>
      </c>
      <c r="AE19" s="150">
        <f t="shared" si="24"/>
        <v>0</v>
      </c>
      <c r="AF19" s="150">
        <f t="shared" si="25"/>
        <v>0</v>
      </c>
      <c r="AG19" s="98" t="str">
        <f t="shared" si="26"/>
        <v>0000000000</v>
      </c>
      <c r="AH19" s="151">
        <f t="shared" si="27"/>
        <v>0</v>
      </c>
      <c r="AI19" s="98" t="str">
        <f t="shared" si="28"/>
        <v>00</v>
      </c>
      <c r="AJ19" s="98" t="str">
        <f t="shared" si="29"/>
        <v>000000000000</v>
      </c>
      <c r="AK19" s="161" t="str">
        <f t="shared" si="30"/>
        <v xml:space="preserve">Hellen Mendoza Fernandez      </v>
      </c>
      <c r="AL19" s="154">
        <f t="shared" si="31"/>
        <v>0</v>
      </c>
      <c r="AM19" s="155">
        <f t="shared" si="32"/>
        <v>0</v>
      </c>
      <c r="AN19" s="63"/>
      <c r="AO19" s="63"/>
      <c r="AP19" s="63" t="str">
        <f t="shared" si="33"/>
        <v xml:space="preserve">00015202001149275435012    00000000000000000000            603310318           Javier Quesada Cruz                                                                                                </v>
      </c>
      <c r="AQ19" s="63" t="str">
        <f t="shared" si="34"/>
        <v>1520200114927543</v>
      </c>
      <c r="AR19" s="152">
        <f t="shared" si="35"/>
        <v>5</v>
      </c>
      <c r="AS19" s="109" t="str">
        <f t="shared" si="36"/>
        <v>15202001149275435</v>
      </c>
      <c r="AT19" s="63" t="str">
        <f t="shared" si="37"/>
        <v xml:space="preserve">116370910           </v>
      </c>
    </row>
    <row r="20" spans="1:46" ht="12.75" customHeight="1" x14ac:dyDescent="0.2">
      <c r="A20" s="63">
        <f t="shared" si="17"/>
        <v>17</v>
      </c>
      <c r="B20" s="185">
        <v>2</v>
      </c>
      <c r="C20" s="195">
        <v>1</v>
      </c>
      <c r="D20" s="194">
        <v>14927543</v>
      </c>
      <c r="E20" s="191" t="s">
        <v>64</v>
      </c>
      <c r="F20" s="184"/>
      <c r="G20" s="196">
        <v>603310318</v>
      </c>
      <c r="H20" s="185">
        <v>1</v>
      </c>
      <c r="I20" s="186"/>
      <c r="J20" s="69"/>
      <c r="K20" s="213"/>
      <c r="L20" s="213"/>
      <c r="M20" s="213"/>
      <c r="N20" s="213"/>
      <c r="O20" s="213"/>
      <c r="AA20" s="63">
        <f t="shared" si="20"/>
        <v>2</v>
      </c>
      <c r="AB20" s="153" t="str">
        <f t="shared" si="21"/>
        <v>001</v>
      </c>
      <c r="AC20" s="165" t="str">
        <f t="shared" si="22"/>
        <v>14927543</v>
      </c>
      <c r="AD20" s="98" t="str">
        <f t="shared" si="23"/>
        <v>00000000</v>
      </c>
      <c r="AE20" s="150">
        <f t="shared" si="24"/>
        <v>0</v>
      </c>
      <c r="AF20" s="150">
        <f t="shared" si="25"/>
        <v>0</v>
      </c>
      <c r="AG20" s="98" t="str">
        <f t="shared" si="26"/>
        <v>0000000000</v>
      </c>
      <c r="AH20" s="151">
        <f t="shared" si="27"/>
        <v>0</v>
      </c>
      <c r="AI20" s="98" t="str">
        <f t="shared" si="28"/>
        <v>00</v>
      </c>
      <c r="AJ20" s="98" t="str">
        <f t="shared" si="29"/>
        <v>000000000000</v>
      </c>
      <c r="AK20" s="161" t="str">
        <f t="shared" si="30"/>
        <v xml:space="preserve">Javier Quesada Cruz           </v>
      </c>
      <c r="AL20" s="154">
        <f t="shared" si="31"/>
        <v>0</v>
      </c>
      <c r="AM20" s="155">
        <f t="shared" si="32"/>
        <v>0</v>
      </c>
      <c r="AP20" s="63" t="str">
        <f t="shared" si="33"/>
        <v xml:space="preserve">00015202001165986012012    00000000000000000000            111310525           Jeimy Picado Sanchez                                                                                               </v>
      </c>
      <c r="AQ20" s="63" t="str">
        <f t="shared" si="34"/>
        <v>1520200116598601</v>
      </c>
      <c r="AR20" s="152">
        <f t="shared" si="35"/>
        <v>2</v>
      </c>
      <c r="AS20" s="109" t="str">
        <f t="shared" si="36"/>
        <v>15202001165986012</v>
      </c>
      <c r="AT20" s="63" t="str">
        <f t="shared" si="37"/>
        <v xml:space="preserve">603310318           </v>
      </c>
    </row>
    <row r="21" spans="1:46" ht="15" x14ac:dyDescent="0.2">
      <c r="A21" s="63">
        <f t="shared" si="17"/>
        <v>18</v>
      </c>
      <c r="B21" s="185">
        <v>2</v>
      </c>
      <c r="C21" s="195">
        <v>1</v>
      </c>
      <c r="D21" s="194">
        <v>16598601</v>
      </c>
      <c r="E21" s="191" t="s">
        <v>65</v>
      </c>
      <c r="F21" s="184"/>
      <c r="G21" s="196">
        <v>111310525</v>
      </c>
      <c r="H21" s="185">
        <v>1</v>
      </c>
      <c r="I21" s="186"/>
      <c r="J21" s="69"/>
      <c r="K21" s="213"/>
      <c r="L21" s="213"/>
      <c r="M21" s="213"/>
      <c r="N21" s="213"/>
      <c r="O21" s="213"/>
      <c r="AA21" s="63">
        <f t="shared" si="20"/>
        <v>2</v>
      </c>
      <c r="AB21" s="153" t="str">
        <f t="shared" si="21"/>
        <v>001</v>
      </c>
      <c r="AC21" s="165" t="str">
        <f t="shared" si="22"/>
        <v>16598601</v>
      </c>
      <c r="AD21" s="98" t="str">
        <f t="shared" si="23"/>
        <v>00000000</v>
      </c>
      <c r="AE21" s="150">
        <f t="shared" si="24"/>
        <v>0</v>
      </c>
      <c r="AF21" s="150">
        <f t="shared" si="25"/>
        <v>0</v>
      </c>
      <c r="AG21" s="98" t="str">
        <f t="shared" si="26"/>
        <v>0000000000</v>
      </c>
      <c r="AH21" s="151">
        <f t="shared" si="27"/>
        <v>0</v>
      </c>
      <c r="AI21" s="98" t="str">
        <f t="shared" si="28"/>
        <v>00</v>
      </c>
      <c r="AJ21" s="98" t="str">
        <f t="shared" si="29"/>
        <v>000000000000</v>
      </c>
      <c r="AK21" s="161" t="str">
        <f t="shared" si="30"/>
        <v xml:space="preserve">Jeimy Picado Sanchez          </v>
      </c>
      <c r="AL21" s="154">
        <f t="shared" si="31"/>
        <v>0</v>
      </c>
      <c r="AM21" s="155">
        <f t="shared" si="32"/>
        <v>0</v>
      </c>
      <c r="AP21" s="63" t="str">
        <f t="shared" si="33"/>
        <v xml:space="preserve">00015202926000792863012    00000000000000000000            8069616             John Marquez Ch                                                                                                    </v>
      </c>
      <c r="AQ21" s="63" t="str">
        <f t="shared" si="34"/>
        <v>1520292600079286</v>
      </c>
      <c r="AR21" s="152">
        <f t="shared" si="35"/>
        <v>3</v>
      </c>
      <c r="AS21" s="109" t="str">
        <f t="shared" si="36"/>
        <v>15202926000792863</v>
      </c>
      <c r="AT21" s="63" t="str">
        <f t="shared" si="37"/>
        <v xml:space="preserve">111310525           </v>
      </c>
    </row>
    <row r="22" spans="1:46" ht="15" x14ac:dyDescent="0.2">
      <c r="A22" s="63">
        <f t="shared" si="17"/>
        <v>19</v>
      </c>
      <c r="B22" s="185">
        <v>2</v>
      </c>
      <c r="C22" s="195">
        <v>926</v>
      </c>
      <c r="D22" s="194">
        <v>79286</v>
      </c>
      <c r="E22" s="191" t="s">
        <v>66</v>
      </c>
      <c r="F22" s="184"/>
      <c r="G22" s="196">
        <v>8069616</v>
      </c>
      <c r="H22" s="185">
        <v>1</v>
      </c>
      <c r="I22" s="186"/>
      <c r="J22" s="69"/>
      <c r="K22" s="213"/>
      <c r="L22" s="213"/>
      <c r="M22" s="213"/>
      <c r="N22" s="213"/>
      <c r="O22" s="213"/>
      <c r="AA22" s="63">
        <f t="shared" si="20"/>
        <v>2</v>
      </c>
      <c r="AB22" s="153" t="str">
        <f t="shared" si="21"/>
        <v>926</v>
      </c>
      <c r="AC22" s="165" t="str">
        <f t="shared" si="22"/>
        <v>00079286</v>
      </c>
      <c r="AD22" s="98" t="str">
        <f t="shared" si="23"/>
        <v>00000000</v>
      </c>
      <c r="AE22" s="150">
        <f t="shared" si="24"/>
        <v>0</v>
      </c>
      <c r="AF22" s="150">
        <f t="shared" si="25"/>
        <v>0</v>
      </c>
      <c r="AG22" s="98" t="str">
        <f t="shared" si="26"/>
        <v>0000000000</v>
      </c>
      <c r="AH22" s="151">
        <f t="shared" si="27"/>
        <v>0</v>
      </c>
      <c r="AI22" s="98" t="str">
        <f t="shared" si="28"/>
        <v>00</v>
      </c>
      <c r="AJ22" s="98" t="str">
        <f t="shared" si="29"/>
        <v>000000000000</v>
      </c>
      <c r="AK22" s="161" t="str">
        <f t="shared" si="30"/>
        <v xml:space="preserve">John Marquez Ch               </v>
      </c>
      <c r="AL22" s="154">
        <f t="shared" si="31"/>
        <v>0</v>
      </c>
      <c r="AM22" s="155">
        <f t="shared" si="32"/>
        <v>0</v>
      </c>
      <c r="AP22" s="63" t="str">
        <f t="shared" si="33"/>
        <v xml:space="preserve">00015202001103924590012    00000000000000000000            111400658           Jorge Coto Ortega                                                                                                  </v>
      </c>
      <c r="AQ22" s="63" t="str">
        <f t="shared" si="34"/>
        <v>1520200110392459</v>
      </c>
      <c r="AR22" s="152">
        <f t="shared" si="35"/>
        <v>0</v>
      </c>
      <c r="AS22" s="109" t="str">
        <f t="shared" si="36"/>
        <v>15202001103924590</v>
      </c>
      <c r="AT22" s="63" t="str">
        <f t="shared" si="37"/>
        <v xml:space="preserve">8069616             </v>
      </c>
    </row>
    <row r="23" spans="1:46" ht="15" x14ac:dyDescent="0.2">
      <c r="A23" s="63">
        <f t="shared" si="17"/>
        <v>20</v>
      </c>
      <c r="B23" s="185">
        <v>2</v>
      </c>
      <c r="C23" s="195">
        <v>1</v>
      </c>
      <c r="D23" s="194">
        <v>10392459</v>
      </c>
      <c r="E23" s="192" t="s">
        <v>67</v>
      </c>
      <c r="F23" s="184"/>
      <c r="G23" s="196">
        <v>111400658</v>
      </c>
      <c r="H23" s="185">
        <v>1</v>
      </c>
      <c r="I23" s="186"/>
      <c r="J23" s="69"/>
      <c r="AA23" s="63">
        <f t="shared" si="20"/>
        <v>2</v>
      </c>
      <c r="AB23" s="153" t="str">
        <f t="shared" si="21"/>
        <v>001</v>
      </c>
      <c r="AC23" s="165" t="str">
        <f t="shared" si="22"/>
        <v>10392459</v>
      </c>
      <c r="AD23" s="98" t="str">
        <f t="shared" si="23"/>
        <v>00000000</v>
      </c>
      <c r="AE23" s="150">
        <f t="shared" si="24"/>
        <v>0</v>
      </c>
      <c r="AF23" s="150">
        <f t="shared" si="25"/>
        <v>0</v>
      </c>
      <c r="AG23" s="98" t="str">
        <f t="shared" si="26"/>
        <v>0000000000</v>
      </c>
      <c r="AH23" s="151">
        <f t="shared" si="27"/>
        <v>0</v>
      </c>
      <c r="AI23" s="98" t="str">
        <f t="shared" si="28"/>
        <v>00</v>
      </c>
      <c r="AJ23" s="98" t="str">
        <f t="shared" si="29"/>
        <v>000000000000</v>
      </c>
      <c r="AK23" s="161" t="str">
        <f t="shared" si="30"/>
        <v xml:space="preserve">Jorge Coto Ortega             </v>
      </c>
      <c r="AL23" s="154">
        <f t="shared" si="31"/>
        <v>0</v>
      </c>
      <c r="AM23" s="155">
        <f t="shared" si="32"/>
        <v>0</v>
      </c>
      <c r="AP23" s="63" t="str">
        <f t="shared" si="33"/>
        <v xml:space="preserve">00015202908000028443012    00000000000000000000            115160254           Jose Fallas Robles                                                                                                 </v>
      </c>
      <c r="AQ23" s="63" t="str">
        <f t="shared" si="34"/>
        <v>1520290800002844</v>
      </c>
      <c r="AR23" s="152">
        <f t="shared" si="35"/>
        <v>3</v>
      </c>
      <c r="AS23" s="109" t="str">
        <f t="shared" si="36"/>
        <v>15202908000028443</v>
      </c>
      <c r="AT23" s="63" t="str">
        <f t="shared" si="37"/>
        <v xml:space="preserve">111400658           </v>
      </c>
    </row>
    <row r="24" spans="1:46" ht="15" x14ac:dyDescent="0.2">
      <c r="A24" s="63">
        <f t="shared" si="17"/>
        <v>21</v>
      </c>
      <c r="B24" s="185">
        <v>2</v>
      </c>
      <c r="C24" s="195">
        <v>908</v>
      </c>
      <c r="D24" s="194">
        <v>2844</v>
      </c>
      <c r="E24" s="191" t="s">
        <v>68</v>
      </c>
      <c r="F24" s="184"/>
      <c r="G24" s="196">
        <v>115160254</v>
      </c>
      <c r="H24" s="185">
        <v>1</v>
      </c>
      <c r="I24" s="186"/>
      <c r="J24" s="69"/>
      <c r="AA24" s="63">
        <f t="shared" si="20"/>
        <v>2</v>
      </c>
      <c r="AB24" s="153" t="str">
        <f t="shared" si="21"/>
        <v>908</v>
      </c>
      <c r="AC24" s="165" t="str">
        <f t="shared" si="22"/>
        <v>00002844</v>
      </c>
      <c r="AD24" s="98" t="str">
        <f t="shared" si="23"/>
        <v>00000000</v>
      </c>
      <c r="AE24" s="150">
        <f t="shared" si="24"/>
        <v>0</v>
      </c>
      <c r="AF24" s="150">
        <f t="shared" si="25"/>
        <v>0</v>
      </c>
      <c r="AG24" s="98" t="str">
        <f t="shared" si="26"/>
        <v>0000000000</v>
      </c>
      <c r="AH24" s="151">
        <f t="shared" si="27"/>
        <v>0</v>
      </c>
      <c r="AI24" s="98" t="str">
        <f t="shared" si="28"/>
        <v>00</v>
      </c>
      <c r="AJ24" s="98" t="str">
        <f t="shared" si="29"/>
        <v>000000000000</v>
      </c>
      <c r="AK24" s="161" t="str">
        <f t="shared" si="30"/>
        <v xml:space="preserve">Jose Fallas Robles            </v>
      </c>
      <c r="AL24" s="154">
        <f t="shared" si="31"/>
        <v>0</v>
      </c>
      <c r="AM24" s="155">
        <f t="shared" si="32"/>
        <v>0</v>
      </c>
      <c r="AP24" s="63" t="str">
        <f t="shared" si="33"/>
        <v xml:space="preserve">00015202001038197601012    00000000000000000000            108390007           Jose Salas Rodriguez                                                                                               </v>
      </c>
      <c r="AQ24" s="63" t="str">
        <f t="shared" si="34"/>
        <v>1520200103819760</v>
      </c>
      <c r="AR24" s="152">
        <f t="shared" si="35"/>
        <v>10</v>
      </c>
      <c r="AS24" s="109" t="str">
        <f t="shared" si="36"/>
        <v>15202001038197601</v>
      </c>
      <c r="AT24" s="63" t="str">
        <f t="shared" si="37"/>
        <v xml:space="preserve">115160254           </v>
      </c>
    </row>
    <row r="25" spans="1:46" ht="15" x14ac:dyDescent="0.2">
      <c r="A25" s="63">
        <f t="shared" si="17"/>
        <v>22</v>
      </c>
      <c r="B25" s="185">
        <v>2</v>
      </c>
      <c r="C25" s="195">
        <v>1</v>
      </c>
      <c r="D25" s="194">
        <v>3819760</v>
      </c>
      <c r="E25" s="191" t="s">
        <v>69</v>
      </c>
      <c r="F25" s="184"/>
      <c r="G25" s="196">
        <v>108390007</v>
      </c>
      <c r="H25" s="185">
        <v>1</v>
      </c>
      <c r="I25" s="186"/>
      <c r="J25" s="69"/>
      <c r="AA25" s="63">
        <f t="shared" si="20"/>
        <v>2</v>
      </c>
      <c r="AB25" s="153" t="str">
        <f t="shared" si="21"/>
        <v>001</v>
      </c>
      <c r="AC25" s="165" t="str">
        <f t="shared" si="22"/>
        <v>03819760</v>
      </c>
      <c r="AD25" s="98" t="str">
        <f t="shared" si="23"/>
        <v>00000000</v>
      </c>
      <c r="AE25" s="150">
        <f t="shared" si="24"/>
        <v>0</v>
      </c>
      <c r="AF25" s="150">
        <f t="shared" si="25"/>
        <v>0</v>
      </c>
      <c r="AG25" s="98" t="str">
        <f t="shared" si="26"/>
        <v>0000000000</v>
      </c>
      <c r="AH25" s="151">
        <f t="shared" si="27"/>
        <v>0</v>
      </c>
      <c r="AI25" s="98" t="str">
        <f t="shared" si="28"/>
        <v>00</v>
      </c>
      <c r="AJ25" s="98" t="str">
        <f t="shared" si="29"/>
        <v>000000000000</v>
      </c>
      <c r="AK25" s="161" t="str">
        <f t="shared" si="30"/>
        <v xml:space="preserve">Jose Salas Rodriguez          </v>
      </c>
      <c r="AL25" s="154">
        <f t="shared" si="31"/>
        <v>0</v>
      </c>
      <c r="AM25" s="155">
        <f t="shared" si="32"/>
        <v>0</v>
      </c>
      <c r="AP25" s="63" t="str">
        <f t="shared" si="33"/>
        <v xml:space="preserve">00015202001042793608012    00000000000000000000            110080377           Jose Vega Fallas                                                                                                   </v>
      </c>
      <c r="AQ25" s="63" t="str">
        <f t="shared" si="34"/>
        <v>1520200104279360</v>
      </c>
      <c r="AR25" s="152">
        <f t="shared" si="35"/>
        <v>8</v>
      </c>
      <c r="AS25" s="109" t="str">
        <f t="shared" si="36"/>
        <v>15202001042793608</v>
      </c>
      <c r="AT25" s="63" t="str">
        <f t="shared" si="37"/>
        <v xml:space="preserve">108390007           </v>
      </c>
    </row>
    <row r="26" spans="1:46" ht="15" x14ac:dyDescent="0.2">
      <c r="A26" s="63">
        <f t="shared" si="17"/>
        <v>23</v>
      </c>
      <c r="B26" s="185">
        <v>2</v>
      </c>
      <c r="C26" s="195">
        <v>1</v>
      </c>
      <c r="D26" s="194">
        <v>4279360</v>
      </c>
      <c r="E26" s="191" t="s">
        <v>70</v>
      </c>
      <c r="F26" s="184"/>
      <c r="G26" s="196">
        <v>110080377</v>
      </c>
      <c r="H26" s="185">
        <v>1</v>
      </c>
      <c r="I26" s="186"/>
      <c r="J26" s="69"/>
      <c r="AA26" s="63">
        <f t="shared" si="20"/>
        <v>2</v>
      </c>
      <c r="AB26" s="153" t="str">
        <f t="shared" si="21"/>
        <v>001</v>
      </c>
      <c r="AC26" s="165" t="str">
        <f t="shared" si="22"/>
        <v>04279360</v>
      </c>
      <c r="AD26" s="98" t="str">
        <f t="shared" si="23"/>
        <v>00000000</v>
      </c>
      <c r="AE26" s="150">
        <f t="shared" si="24"/>
        <v>0</v>
      </c>
      <c r="AF26" s="150">
        <f t="shared" si="25"/>
        <v>0</v>
      </c>
      <c r="AG26" s="98" t="str">
        <f t="shared" si="26"/>
        <v>0000000000</v>
      </c>
      <c r="AH26" s="151">
        <f t="shared" si="27"/>
        <v>0</v>
      </c>
      <c r="AI26" s="98" t="str">
        <f t="shared" si="28"/>
        <v>00</v>
      </c>
      <c r="AJ26" s="98" t="str">
        <f t="shared" si="29"/>
        <v>000000000000</v>
      </c>
      <c r="AK26" s="161" t="str">
        <f t="shared" si="30"/>
        <v xml:space="preserve">Jose Vega Fallas              </v>
      </c>
      <c r="AL26" s="154">
        <f t="shared" si="31"/>
        <v>0</v>
      </c>
      <c r="AM26" s="155">
        <f t="shared" si="32"/>
        <v>0</v>
      </c>
      <c r="AP26" s="63" t="str">
        <f t="shared" si="33"/>
        <v xml:space="preserve">00015202001149042412012    00000000000000000000            701700182           Joslyn Vidaurre Bravo                                                                                              </v>
      </c>
      <c r="AQ26" s="63" t="str">
        <f t="shared" si="34"/>
        <v>1520200114904241</v>
      </c>
      <c r="AR26" s="152">
        <f t="shared" si="35"/>
        <v>2</v>
      </c>
      <c r="AS26" s="109" t="str">
        <f t="shared" si="36"/>
        <v>15202001149042412</v>
      </c>
      <c r="AT26" s="63" t="str">
        <f t="shared" si="37"/>
        <v xml:space="preserve">110080377           </v>
      </c>
    </row>
    <row r="27" spans="1:46" ht="15" x14ac:dyDescent="0.2">
      <c r="A27" s="63">
        <f t="shared" si="17"/>
        <v>24</v>
      </c>
      <c r="B27" s="185">
        <v>2</v>
      </c>
      <c r="C27" s="195">
        <v>1</v>
      </c>
      <c r="D27" s="194">
        <v>14904241</v>
      </c>
      <c r="E27" s="191" t="s">
        <v>71</v>
      </c>
      <c r="F27" s="184"/>
      <c r="G27" s="196">
        <v>701700182</v>
      </c>
      <c r="H27" s="185">
        <v>1</v>
      </c>
      <c r="I27" s="186"/>
      <c r="J27" s="69"/>
      <c r="AA27" s="63">
        <f t="shared" si="20"/>
        <v>2</v>
      </c>
      <c r="AB27" s="153" t="str">
        <f t="shared" si="21"/>
        <v>001</v>
      </c>
      <c r="AC27" s="165" t="str">
        <f t="shared" si="22"/>
        <v>14904241</v>
      </c>
      <c r="AD27" s="98" t="str">
        <f t="shared" si="23"/>
        <v>00000000</v>
      </c>
      <c r="AE27" s="150">
        <f t="shared" si="24"/>
        <v>0</v>
      </c>
      <c r="AF27" s="150">
        <f t="shared" si="25"/>
        <v>0</v>
      </c>
      <c r="AG27" s="98" t="str">
        <f t="shared" si="26"/>
        <v>0000000000</v>
      </c>
      <c r="AH27" s="151">
        <f t="shared" si="27"/>
        <v>0</v>
      </c>
      <c r="AI27" s="98" t="str">
        <f t="shared" si="28"/>
        <v>00</v>
      </c>
      <c r="AJ27" s="98" t="str">
        <f t="shared" si="29"/>
        <v>000000000000</v>
      </c>
      <c r="AK27" s="161" t="str">
        <f t="shared" si="30"/>
        <v xml:space="preserve">Joslyn Vidaurre Bravo         </v>
      </c>
      <c r="AL27" s="154">
        <f t="shared" si="31"/>
        <v>0</v>
      </c>
      <c r="AM27" s="155">
        <f t="shared" si="32"/>
        <v>0</v>
      </c>
      <c r="AP27" s="63" t="str">
        <f t="shared" si="33"/>
        <v xml:space="preserve">00015202001149051241012    00000000000000000000            206840920           Juan Mora Araya                                                                                                    </v>
      </c>
      <c r="AQ27" s="63" t="str">
        <f t="shared" si="34"/>
        <v>1520200114905124</v>
      </c>
      <c r="AR27" s="152">
        <f t="shared" si="35"/>
        <v>10</v>
      </c>
      <c r="AS27" s="109" t="str">
        <f t="shared" si="36"/>
        <v>15202001149051241</v>
      </c>
      <c r="AT27" s="63" t="str">
        <f t="shared" si="37"/>
        <v xml:space="preserve">701700182           </v>
      </c>
    </row>
    <row r="28" spans="1:46" ht="15" x14ac:dyDescent="0.2">
      <c r="A28" s="63">
        <f t="shared" si="17"/>
        <v>25</v>
      </c>
      <c r="B28" s="185">
        <v>2</v>
      </c>
      <c r="C28" s="195">
        <v>1</v>
      </c>
      <c r="D28" s="194">
        <v>14905124</v>
      </c>
      <c r="E28" s="191" t="s">
        <v>72</v>
      </c>
      <c r="F28" s="184"/>
      <c r="G28" s="196">
        <v>206840920</v>
      </c>
      <c r="H28" s="185">
        <v>1</v>
      </c>
      <c r="I28" s="186"/>
      <c r="J28" s="69"/>
      <c r="AA28" s="63">
        <f t="shared" si="20"/>
        <v>2</v>
      </c>
      <c r="AB28" s="153" t="str">
        <f t="shared" si="21"/>
        <v>001</v>
      </c>
      <c r="AC28" s="165" t="str">
        <f t="shared" si="22"/>
        <v>14905124</v>
      </c>
      <c r="AD28" s="98" t="str">
        <f t="shared" si="23"/>
        <v>00000000</v>
      </c>
      <c r="AE28" s="150">
        <f t="shared" si="24"/>
        <v>0</v>
      </c>
      <c r="AF28" s="150">
        <f t="shared" si="25"/>
        <v>0</v>
      </c>
      <c r="AG28" s="98" t="str">
        <f t="shared" si="26"/>
        <v>0000000000</v>
      </c>
      <c r="AH28" s="151">
        <f t="shared" si="27"/>
        <v>0</v>
      </c>
      <c r="AI28" s="98" t="str">
        <f t="shared" si="28"/>
        <v>00</v>
      </c>
      <c r="AJ28" s="98" t="str">
        <f t="shared" si="29"/>
        <v>000000000000</v>
      </c>
      <c r="AK28" s="161" t="str">
        <f t="shared" si="30"/>
        <v xml:space="preserve">Juan Mora Araya               </v>
      </c>
      <c r="AL28" s="154">
        <f t="shared" si="31"/>
        <v>0</v>
      </c>
      <c r="AM28" s="155">
        <f t="shared" si="32"/>
        <v>0</v>
      </c>
      <c r="AP28" s="63" t="str">
        <f t="shared" si="33"/>
        <v xml:space="preserve">00015202001149042091012    00000000000000000000            114040722           Karol Perez Abarca                                                                                                 </v>
      </c>
      <c r="AQ28" s="63" t="str">
        <f t="shared" si="34"/>
        <v>1520200114904209</v>
      </c>
      <c r="AR28" s="152">
        <f t="shared" si="35"/>
        <v>1</v>
      </c>
      <c r="AS28" s="109" t="str">
        <f t="shared" si="36"/>
        <v>15202001149042091</v>
      </c>
      <c r="AT28" s="63" t="str">
        <f t="shared" si="37"/>
        <v xml:space="preserve">206840920           </v>
      </c>
    </row>
    <row r="29" spans="1:46" ht="15" x14ac:dyDescent="0.2">
      <c r="A29" s="63">
        <f t="shared" si="17"/>
        <v>26</v>
      </c>
      <c r="B29" s="185">
        <v>2</v>
      </c>
      <c r="C29" s="195">
        <v>1</v>
      </c>
      <c r="D29" s="194">
        <v>14904209</v>
      </c>
      <c r="E29" s="191" t="s">
        <v>73</v>
      </c>
      <c r="F29" s="184"/>
      <c r="G29" s="196">
        <v>114040722</v>
      </c>
      <c r="H29" s="185">
        <v>1</v>
      </c>
      <c r="I29" s="186"/>
      <c r="J29" s="69"/>
      <c r="AA29" s="63">
        <f t="shared" si="20"/>
        <v>2</v>
      </c>
      <c r="AB29" s="153" t="str">
        <f t="shared" si="21"/>
        <v>001</v>
      </c>
      <c r="AC29" s="165" t="str">
        <f t="shared" si="22"/>
        <v>14904209</v>
      </c>
      <c r="AD29" s="98" t="str">
        <f t="shared" si="23"/>
        <v>00000000</v>
      </c>
      <c r="AE29" s="150">
        <f t="shared" si="24"/>
        <v>0</v>
      </c>
      <c r="AF29" s="150">
        <f t="shared" si="25"/>
        <v>0</v>
      </c>
      <c r="AG29" s="98" t="str">
        <f t="shared" si="26"/>
        <v>0000000000</v>
      </c>
      <c r="AH29" s="151">
        <f t="shared" si="27"/>
        <v>0</v>
      </c>
      <c r="AI29" s="98" t="str">
        <f t="shared" si="28"/>
        <v>00</v>
      </c>
      <c r="AJ29" s="98" t="str">
        <f t="shared" si="29"/>
        <v>000000000000</v>
      </c>
      <c r="AK29" s="161" t="str">
        <f t="shared" si="30"/>
        <v xml:space="preserve">Karol Perez Abarca            </v>
      </c>
      <c r="AL29" s="154">
        <f t="shared" si="31"/>
        <v>0</v>
      </c>
      <c r="AM29" s="155">
        <f t="shared" si="32"/>
        <v>0</v>
      </c>
      <c r="AP29" s="63" t="str">
        <f t="shared" si="33"/>
        <v xml:space="preserve">00015202001044679064012    00000000000000000000            112660130           Katherine Barrios V                                                                                                </v>
      </c>
      <c r="AQ29" s="63" t="str">
        <f t="shared" si="34"/>
        <v>1520200104467906</v>
      </c>
      <c r="AR29" s="152">
        <f t="shared" si="35"/>
        <v>4</v>
      </c>
      <c r="AS29" s="109" t="str">
        <f t="shared" si="36"/>
        <v>15202001044679064</v>
      </c>
      <c r="AT29" s="63" t="str">
        <f t="shared" si="37"/>
        <v xml:space="preserve">114040722           </v>
      </c>
    </row>
    <row r="30" spans="1:46" ht="15" x14ac:dyDescent="0.2">
      <c r="A30" s="63">
        <f t="shared" si="17"/>
        <v>27</v>
      </c>
      <c r="B30" s="185">
        <v>2</v>
      </c>
      <c r="C30" s="195">
        <v>1</v>
      </c>
      <c r="D30" s="194">
        <v>4467906</v>
      </c>
      <c r="E30" s="191" t="s">
        <v>74</v>
      </c>
      <c r="F30" s="184"/>
      <c r="G30" s="196">
        <v>112660130</v>
      </c>
      <c r="H30" s="185">
        <v>1</v>
      </c>
      <c r="I30" s="186"/>
      <c r="J30" s="69"/>
      <c r="AA30" s="63">
        <f t="shared" si="20"/>
        <v>2</v>
      </c>
      <c r="AB30" s="153" t="str">
        <f t="shared" si="21"/>
        <v>001</v>
      </c>
      <c r="AC30" s="165" t="str">
        <f t="shared" si="22"/>
        <v>04467906</v>
      </c>
      <c r="AD30" s="98" t="str">
        <f t="shared" si="23"/>
        <v>00000000</v>
      </c>
      <c r="AE30" s="150">
        <f t="shared" si="24"/>
        <v>0</v>
      </c>
      <c r="AF30" s="150">
        <f t="shared" si="25"/>
        <v>0</v>
      </c>
      <c r="AG30" s="98" t="str">
        <f t="shared" si="26"/>
        <v>0000000000</v>
      </c>
      <c r="AH30" s="151">
        <f t="shared" si="27"/>
        <v>0</v>
      </c>
      <c r="AI30" s="98" t="str">
        <f t="shared" si="28"/>
        <v>00</v>
      </c>
      <c r="AJ30" s="98" t="str">
        <f t="shared" si="29"/>
        <v>000000000000</v>
      </c>
      <c r="AK30" s="161" t="str">
        <f t="shared" si="30"/>
        <v xml:space="preserve">Katherine Barrios V           </v>
      </c>
      <c r="AL30" s="154">
        <f t="shared" si="31"/>
        <v>0</v>
      </c>
      <c r="AM30" s="155">
        <f t="shared" si="32"/>
        <v>0</v>
      </c>
      <c r="AP30" s="63" t="str">
        <f t="shared" si="33"/>
        <v xml:space="preserve">00015202001030906711012    00000000000000000000            800870767           Leonardo Rodriguez C                                                                                               </v>
      </c>
      <c r="AQ30" s="63" t="str">
        <f t="shared" si="34"/>
        <v>1520200103090671</v>
      </c>
      <c r="AR30" s="152">
        <f t="shared" si="35"/>
        <v>1</v>
      </c>
      <c r="AS30" s="109" t="str">
        <f t="shared" si="36"/>
        <v>15202001030906711</v>
      </c>
      <c r="AT30" s="63" t="str">
        <f t="shared" si="37"/>
        <v xml:space="preserve">112660130           </v>
      </c>
    </row>
    <row r="31" spans="1:46" ht="15" x14ac:dyDescent="0.2">
      <c r="A31" s="63">
        <f t="shared" si="17"/>
        <v>28</v>
      </c>
      <c r="B31" s="185">
        <v>2</v>
      </c>
      <c r="C31" s="195">
        <v>1</v>
      </c>
      <c r="D31" s="194">
        <v>3090671</v>
      </c>
      <c r="E31" s="191" t="s">
        <v>75</v>
      </c>
      <c r="F31" s="184"/>
      <c r="G31" s="196">
        <v>800870767</v>
      </c>
      <c r="H31" s="185">
        <v>1</v>
      </c>
      <c r="I31" s="186"/>
      <c r="J31" s="69"/>
      <c r="AA31" s="63">
        <f t="shared" si="20"/>
        <v>2</v>
      </c>
      <c r="AB31" s="153" t="str">
        <f t="shared" si="21"/>
        <v>001</v>
      </c>
      <c r="AC31" s="165" t="str">
        <f t="shared" si="22"/>
        <v>03090671</v>
      </c>
      <c r="AD31" s="98" t="str">
        <f t="shared" si="23"/>
        <v>00000000</v>
      </c>
      <c r="AE31" s="150">
        <f t="shared" si="24"/>
        <v>0</v>
      </c>
      <c r="AF31" s="150">
        <f t="shared" si="25"/>
        <v>0</v>
      </c>
      <c r="AG31" s="98" t="str">
        <f t="shared" si="26"/>
        <v>0000000000</v>
      </c>
      <c r="AH31" s="151">
        <f t="shared" si="27"/>
        <v>0</v>
      </c>
      <c r="AI31" s="98" t="str">
        <f t="shared" si="28"/>
        <v>00</v>
      </c>
      <c r="AJ31" s="98" t="str">
        <f t="shared" si="29"/>
        <v>000000000000</v>
      </c>
      <c r="AK31" s="161" t="str">
        <f t="shared" si="30"/>
        <v xml:space="preserve">Leonardo Rodriguez C          </v>
      </c>
      <c r="AL31" s="154">
        <f t="shared" si="31"/>
        <v>0</v>
      </c>
      <c r="AM31" s="155">
        <f t="shared" si="32"/>
        <v>0</v>
      </c>
      <c r="AP31" s="63" t="str">
        <f t="shared" si="33"/>
        <v xml:space="preserve">00015202001074567782012    00000000000000000000            112170982           Luis Zamora O                                                                                                      </v>
      </c>
      <c r="AQ31" s="63" t="str">
        <f t="shared" si="34"/>
        <v>1520200107456778</v>
      </c>
      <c r="AR31" s="152">
        <f t="shared" si="35"/>
        <v>2</v>
      </c>
      <c r="AS31" s="109" t="str">
        <f t="shared" si="36"/>
        <v>15202001074567782</v>
      </c>
      <c r="AT31" s="63" t="str">
        <f t="shared" si="37"/>
        <v xml:space="preserve">800870767           </v>
      </c>
    </row>
    <row r="32" spans="1:46" ht="15" x14ac:dyDescent="0.2">
      <c r="A32" s="63">
        <f t="shared" si="17"/>
        <v>29</v>
      </c>
      <c r="B32" s="185">
        <v>2</v>
      </c>
      <c r="C32" s="195">
        <v>1</v>
      </c>
      <c r="D32" s="194">
        <v>7456778</v>
      </c>
      <c r="E32" s="191" t="s">
        <v>76</v>
      </c>
      <c r="F32" s="184"/>
      <c r="G32" s="196">
        <v>112170982</v>
      </c>
      <c r="H32" s="185">
        <v>1</v>
      </c>
      <c r="I32" s="186"/>
      <c r="J32" s="69"/>
      <c r="AA32" s="63">
        <f t="shared" si="20"/>
        <v>2</v>
      </c>
      <c r="AB32" s="153" t="str">
        <f t="shared" si="21"/>
        <v>001</v>
      </c>
      <c r="AC32" s="165" t="str">
        <f t="shared" si="22"/>
        <v>07456778</v>
      </c>
      <c r="AD32" s="98" t="str">
        <f t="shared" si="23"/>
        <v>00000000</v>
      </c>
      <c r="AE32" s="150">
        <f t="shared" si="24"/>
        <v>0</v>
      </c>
      <c r="AF32" s="150">
        <f t="shared" si="25"/>
        <v>0</v>
      </c>
      <c r="AG32" s="98" t="str">
        <f t="shared" si="26"/>
        <v>0000000000</v>
      </c>
      <c r="AH32" s="151">
        <f t="shared" si="27"/>
        <v>0</v>
      </c>
      <c r="AI32" s="98" t="str">
        <f t="shared" si="28"/>
        <v>00</v>
      </c>
      <c r="AJ32" s="98" t="str">
        <f t="shared" si="29"/>
        <v>000000000000</v>
      </c>
      <c r="AK32" s="161" t="str">
        <f t="shared" si="30"/>
        <v xml:space="preserve">Luis Zamora O                 </v>
      </c>
      <c r="AL32" s="154">
        <f t="shared" si="31"/>
        <v>0</v>
      </c>
      <c r="AM32" s="155">
        <f t="shared" si="32"/>
        <v>0</v>
      </c>
      <c r="AP32" s="63" t="str">
        <f t="shared" si="33"/>
        <v xml:space="preserve">00015202001140387144012    00000000000000000000            112900696           Magaly Fernandez Trejos                                                                                            </v>
      </c>
      <c r="AQ32" s="63" t="str">
        <f t="shared" si="34"/>
        <v>1520200114038714</v>
      </c>
      <c r="AR32" s="152">
        <f t="shared" si="35"/>
        <v>4</v>
      </c>
      <c r="AS32" s="109" t="str">
        <f t="shared" si="36"/>
        <v>15202001140387144</v>
      </c>
      <c r="AT32" s="63" t="str">
        <f t="shared" si="37"/>
        <v xml:space="preserve">112170982           </v>
      </c>
    </row>
    <row r="33" spans="1:46" ht="15" x14ac:dyDescent="0.2">
      <c r="A33" s="63">
        <f t="shared" si="17"/>
        <v>30</v>
      </c>
      <c r="B33" s="185">
        <v>2</v>
      </c>
      <c r="C33" s="195">
        <v>1</v>
      </c>
      <c r="D33" s="194">
        <v>14038714</v>
      </c>
      <c r="E33" s="193" t="s">
        <v>77</v>
      </c>
      <c r="F33" s="184"/>
      <c r="G33" s="198">
        <v>112900696</v>
      </c>
      <c r="H33" s="185">
        <v>1</v>
      </c>
      <c r="I33" s="186"/>
      <c r="J33" s="69"/>
      <c r="AA33" s="63">
        <f t="shared" si="20"/>
        <v>2</v>
      </c>
      <c r="AB33" s="153" t="str">
        <f t="shared" si="21"/>
        <v>001</v>
      </c>
      <c r="AC33" s="165" t="str">
        <f t="shared" si="22"/>
        <v>14038714</v>
      </c>
      <c r="AD33" s="98" t="str">
        <f t="shared" si="23"/>
        <v>00000000</v>
      </c>
      <c r="AE33" s="150">
        <f t="shared" si="24"/>
        <v>0</v>
      </c>
      <c r="AF33" s="150">
        <f t="shared" si="25"/>
        <v>0</v>
      </c>
      <c r="AG33" s="98" t="str">
        <f t="shared" si="26"/>
        <v>0000000000</v>
      </c>
      <c r="AH33" s="151">
        <f t="shared" si="27"/>
        <v>0</v>
      </c>
      <c r="AI33" s="98" t="str">
        <f t="shared" si="28"/>
        <v>00</v>
      </c>
      <c r="AJ33" s="98" t="str">
        <f t="shared" si="29"/>
        <v>000000000000</v>
      </c>
      <c r="AK33" s="161" t="str">
        <f t="shared" si="30"/>
        <v xml:space="preserve">Magaly Fernandez Trejos       </v>
      </c>
      <c r="AL33" s="154">
        <f t="shared" si="31"/>
        <v>0</v>
      </c>
      <c r="AM33" s="155">
        <f t="shared" si="32"/>
        <v>0</v>
      </c>
      <c r="AP33" s="63" t="str">
        <f t="shared" si="33"/>
        <v xml:space="preserve">00015202001080179721012    00000000000000000000            113500037           Manuel Valverde Morales                                                                                            </v>
      </c>
      <c r="AQ33" s="63" t="str">
        <f t="shared" si="34"/>
        <v>1520200108017972</v>
      </c>
      <c r="AR33" s="152">
        <f t="shared" si="35"/>
        <v>10</v>
      </c>
      <c r="AS33" s="109" t="str">
        <f t="shared" si="36"/>
        <v>15202001080179721</v>
      </c>
      <c r="AT33" s="63" t="str">
        <f t="shared" si="37"/>
        <v xml:space="preserve">112900696           </v>
      </c>
    </row>
    <row r="34" spans="1:46" ht="15" x14ac:dyDescent="0.2">
      <c r="A34" s="63">
        <f t="shared" si="17"/>
        <v>31</v>
      </c>
      <c r="B34" s="185">
        <v>2</v>
      </c>
      <c r="C34" s="195">
        <v>1</v>
      </c>
      <c r="D34" s="194">
        <v>8017972</v>
      </c>
      <c r="E34" s="191" t="s">
        <v>78</v>
      </c>
      <c r="F34" s="184"/>
      <c r="G34" s="196">
        <v>113500037</v>
      </c>
      <c r="H34" s="185">
        <v>1</v>
      </c>
      <c r="I34" s="186"/>
      <c r="J34" s="69"/>
      <c r="AA34" s="63">
        <f t="shared" si="20"/>
        <v>2</v>
      </c>
      <c r="AB34" s="153" t="str">
        <f t="shared" si="21"/>
        <v>001</v>
      </c>
      <c r="AC34" s="165" t="str">
        <f t="shared" si="22"/>
        <v>08017972</v>
      </c>
      <c r="AD34" s="98" t="str">
        <f t="shared" si="23"/>
        <v>00000000</v>
      </c>
      <c r="AE34" s="150">
        <f t="shared" si="24"/>
        <v>0</v>
      </c>
      <c r="AF34" s="150">
        <f t="shared" si="25"/>
        <v>0</v>
      </c>
      <c r="AG34" s="98" t="str">
        <f t="shared" si="26"/>
        <v>0000000000</v>
      </c>
      <c r="AH34" s="151">
        <f t="shared" si="27"/>
        <v>0</v>
      </c>
      <c r="AI34" s="98" t="str">
        <f t="shared" si="28"/>
        <v>00</v>
      </c>
      <c r="AJ34" s="98" t="str">
        <f t="shared" si="29"/>
        <v>000000000000</v>
      </c>
      <c r="AK34" s="161" t="str">
        <f t="shared" si="30"/>
        <v xml:space="preserve">Manuel Valverde Morales       </v>
      </c>
      <c r="AL34" s="154">
        <f t="shared" si="31"/>
        <v>0</v>
      </c>
      <c r="AM34" s="155">
        <f t="shared" si="32"/>
        <v>0</v>
      </c>
      <c r="AP34" s="63" t="str">
        <f t="shared" si="33"/>
        <v xml:space="preserve">00015202001165577271012    00000000000000000000            206780817           Marcela Barrientos Castro                                                                                          </v>
      </c>
      <c r="AQ34" s="63" t="str">
        <f t="shared" si="34"/>
        <v>1520200116557727</v>
      </c>
      <c r="AR34" s="152">
        <f t="shared" si="35"/>
        <v>1</v>
      </c>
      <c r="AS34" s="109" t="str">
        <f t="shared" si="36"/>
        <v>15202001165577271</v>
      </c>
      <c r="AT34" s="63" t="str">
        <f t="shared" si="37"/>
        <v xml:space="preserve">113500037           </v>
      </c>
    </row>
    <row r="35" spans="1:46" ht="15" x14ac:dyDescent="0.2">
      <c r="A35" s="63">
        <f t="shared" si="17"/>
        <v>32</v>
      </c>
      <c r="B35" s="185">
        <v>2</v>
      </c>
      <c r="C35" s="195">
        <v>1</v>
      </c>
      <c r="D35" s="194">
        <v>16557727</v>
      </c>
      <c r="E35" s="191" t="s">
        <v>79</v>
      </c>
      <c r="F35" s="184"/>
      <c r="G35" s="196">
        <v>206780817</v>
      </c>
      <c r="H35" s="185">
        <v>1</v>
      </c>
      <c r="I35" s="186"/>
      <c r="J35" s="69"/>
      <c r="AA35" s="63">
        <f t="shared" si="20"/>
        <v>2</v>
      </c>
      <c r="AB35" s="153" t="str">
        <f t="shared" si="21"/>
        <v>001</v>
      </c>
      <c r="AC35" s="165" t="str">
        <f t="shared" si="22"/>
        <v>16557727</v>
      </c>
      <c r="AD35" s="98" t="str">
        <f t="shared" si="23"/>
        <v>00000000</v>
      </c>
      <c r="AE35" s="150">
        <f t="shared" si="24"/>
        <v>0</v>
      </c>
      <c r="AF35" s="150">
        <f t="shared" si="25"/>
        <v>0</v>
      </c>
      <c r="AG35" s="98" t="str">
        <f t="shared" si="26"/>
        <v>0000000000</v>
      </c>
      <c r="AH35" s="151">
        <f t="shared" si="27"/>
        <v>0</v>
      </c>
      <c r="AI35" s="98" t="str">
        <f t="shared" si="28"/>
        <v>00</v>
      </c>
      <c r="AJ35" s="98" t="str">
        <f t="shared" si="29"/>
        <v>000000000000</v>
      </c>
      <c r="AK35" s="161" t="str">
        <f t="shared" si="30"/>
        <v xml:space="preserve">Marcela Barrientos Castro     </v>
      </c>
      <c r="AL35" s="154">
        <f t="shared" si="31"/>
        <v>0</v>
      </c>
      <c r="AM35" s="155">
        <f t="shared" si="32"/>
        <v>0</v>
      </c>
      <c r="AP35" s="63" t="str">
        <f t="shared" si="33"/>
        <v xml:space="preserve">00015202001165589104012    00000000000000000000            114620341           Marcial Garcia Schmidt                                                                                             </v>
      </c>
      <c r="AQ35" s="63" t="str">
        <f t="shared" si="34"/>
        <v>1520200116558910</v>
      </c>
      <c r="AR35" s="152">
        <f t="shared" si="35"/>
        <v>4</v>
      </c>
      <c r="AS35" s="109" t="str">
        <f t="shared" si="36"/>
        <v>15202001165589104</v>
      </c>
      <c r="AT35" s="63" t="str">
        <f t="shared" si="37"/>
        <v xml:space="preserve">206780817           </v>
      </c>
    </row>
    <row r="36" spans="1:46" ht="15" x14ac:dyDescent="0.2">
      <c r="A36" s="63">
        <f t="shared" si="17"/>
        <v>33</v>
      </c>
      <c r="B36" s="185">
        <v>2</v>
      </c>
      <c r="C36" s="195">
        <v>1</v>
      </c>
      <c r="D36" s="194">
        <v>16558910</v>
      </c>
      <c r="E36" s="191" t="s">
        <v>80</v>
      </c>
      <c r="F36" s="184"/>
      <c r="G36" s="196">
        <v>114620341</v>
      </c>
      <c r="H36" s="185">
        <v>1</v>
      </c>
      <c r="I36" s="186"/>
      <c r="J36" s="69"/>
      <c r="AA36" s="63">
        <f t="shared" si="20"/>
        <v>2</v>
      </c>
      <c r="AB36" s="153" t="str">
        <f t="shared" si="21"/>
        <v>001</v>
      </c>
      <c r="AC36" s="165" t="str">
        <f t="shared" si="22"/>
        <v>16558910</v>
      </c>
      <c r="AD36" s="98" t="str">
        <f t="shared" si="23"/>
        <v>00000000</v>
      </c>
      <c r="AE36" s="150">
        <f t="shared" si="24"/>
        <v>0</v>
      </c>
      <c r="AF36" s="150">
        <f t="shared" si="25"/>
        <v>0</v>
      </c>
      <c r="AG36" s="98" t="str">
        <f t="shared" si="26"/>
        <v>0000000000</v>
      </c>
      <c r="AH36" s="151">
        <f t="shared" si="27"/>
        <v>0</v>
      </c>
      <c r="AI36" s="98" t="str">
        <f t="shared" si="28"/>
        <v>00</v>
      </c>
      <c r="AJ36" s="98" t="str">
        <f t="shared" si="29"/>
        <v>000000000000</v>
      </c>
      <c r="AK36" s="161" t="str">
        <f t="shared" si="30"/>
        <v xml:space="preserve">Marcial Garcia Schmidt        </v>
      </c>
      <c r="AL36" s="154">
        <f t="shared" si="31"/>
        <v>0</v>
      </c>
      <c r="AM36" s="155">
        <f t="shared" si="32"/>
        <v>0</v>
      </c>
      <c r="AP36" s="63" t="str">
        <f t="shared" si="33"/>
        <v xml:space="preserve">00015202956001022451012    00000000000000000000            112830671           Marco Vinicio Uribe                                                                                                </v>
      </c>
      <c r="AQ36" s="63" t="str">
        <f t="shared" si="34"/>
        <v>1520295600102245</v>
      </c>
      <c r="AR36" s="152">
        <f t="shared" si="35"/>
        <v>1</v>
      </c>
      <c r="AS36" s="109" t="str">
        <f t="shared" si="36"/>
        <v>15202956001022451</v>
      </c>
      <c r="AT36" s="63" t="str">
        <f t="shared" si="37"/>
        <v xml:space="preserve">114620341           </v>
      </c>
    </row>
    <row r="37" spans="1:46" ht="15" x14ac:dyDescent="0.2">
      <c r="A37" s="63">
        <f t="shared" si="17"/>
        <v>34</v>
      </c>
      <c r="B37" s="185">
        <v>2</v>
      </c>
      <c r="C37" s="195">
        <v>956</v>
      </c>
      <c r="D37" s="194">
        <v>102245</v>
      </c>
      <c r="E37" s="191" t="s">
        <v>81</v>
      </c>
      <c r="F37" s="184"/>
      <c r="G37" s="196">
        <v>112830671</v>
      </c>
      <c r="H37" s="185">
        <v>1</v>
      </c>
      <c r="I37" s="186"/>
      <c r="J37" s="69"/>
      <c r="AA37" s="63">
        <f t="shared" si="20"/>
        <v>2</v>
      </c>
      <c r="AB37" s="153" t="str">
        <f t="shared" si="21"/>
        <v>956</v>
      </c>
      <c r="AC37" s="165" t="str">
        <f t="shared" si="22"/>
        <v>00102245</v>
      </c>
      <c r="AD37" s="98" t="str">
        <f t="shared" si="23"/>
        <v>00000000</v>
      </c>
      <c r="AE37" s="150">
        <f t="shared" si="24"/>
        <v>0</v>
      </c>
      <c r="AF37" s="150">
        <f t="shared" si="25"/>
        <v>0</v>
      </c>
      <c r="AG37" s="98" t="str">
        <f t="shared" si="26"/>
        <v>0000000000</v>
      </c>
      <c r="AH37" s="151">
        <f t="shared" si="27"/>
        <v>0</v>
      </c>
      <c r="AI37" s="98" t="str">
        <f t="shared" si="28"/>
        <v>00</v>
      </c>
      <c r="AJ37" s="98" t="str">
        <f t="shared" si="29"/>
        <v>000000000000</v>
      </c>
      <c r="AK37" s="161" t="str">
        <f t="shared" si="30"/>
        <v xml:space="preserve">Marco Vinicio Uribe           </v>
      </c>
      <c r="AL37" s="154">
        <f t="shared" si="31"/>
        <v>0</v>
      </c>
      <c r="AM37" s="155">
        <f t="shared" si="32"/>
        <v>0</v>
      </c>
      <c r="AP37" s="63" t="str">
        <f t="shared" si="33"/>
        <v xml:space="preserve">00015202001015362739012    00000000000000000000            5220745             María Briceno Q                                                                                                    </v>
      </c>
      <c r="AQ37" s="63" t="str">
        <f t="shared" si="34"/>
        <v>1520200101536273</v>
      </c>
      <c r="AR37" s="152">
        <f t="shared" si="35"/>
        <v>9</v>
      </c>
      <c r="AS37" s="109" t="str">
        <f t="shared" si="36"/>
        <v>15202001015362739</v>
      </c>
      <c r="AT37" s="63" t="str">
        <f t="shared" si="37"/>
        <v xml:space="preserve">112830671           </v>
      </c>
    </row>
    <row r="38" spans="1:46" ht="15" x14ac:dyDescent="0.2">
      <c r="A38" s="63">
        <f t="shared" si="17"/>
        <v>35</v>
      </c>
      <c r="B38" s="185">
        <v>2</v>
      </c>
      <c r="C38" s="195">
        <v>1</v>
      </c>
      <c r="D38" s="194">
        <v>1536273</v>
      </c>
      <c r="E38" s="192" t="s">
        <v>82</v>
      </c>
      <c r="F38" s="184"/>
      <c r="G38" s="196">
        <v>5220745</v>
      </c>
      <c r="H38" s="185">
        <v>1</v>
      </c>
      <c r="I38" s="186"/>
      <c r="J38" s="69"/>
      <c r="AA38" s="63">
        <f t="shared" si="20"/>
        <v>2</v>
      </c>
      <c r="AB38" s="153" t="str">
        <f t="shared" si="21"/>
        <v>001</v>
      </c>
      <c r="AC38" s="165" t="str">
        <f t="shared" si="22"/>
        <v>01536273</v>
      </c>
      <c r="AD38" s="98" t="str">
        <f t="shared" si="23"/>
        <v>00000000</v>
      </c>
      <c r="AE38" s="150">
        <f t="shared" si="24"/>
        <v>0</v>
      </c>
      <c r="AF38" s="150">
        <f t="shared" si="25"/>
        <v>0</v>
      </c>
      <c r="AG38" s="98" t="str">
        <f t="shared" si="26"/>
        <v>0000000000</v>
      </c>
      <c r="AH38" s="151">
        <f t="shared" si="27"/>
        <v>0</v>
      </c>
      <c r="AI38" s="98" t="str">
        <f t="shared" si="28"/>
        <v>00</v>
      </c>
      <c r="AJ38" s="98" t="str">
        <f t="shared" si="29"/>
        <v>000000000000</v>
      </c>
      <c r="AK38" s="161" t="str">
        <f t="shared" si="30"/>
        <v xml:space="preserve">María Briceno Q               </v>
      </c>
      <c r="AL38" s="154">
        <f t="shared" si="31"/>
        <v>0</v>
      </c>
      <c r="AM38" s="155">
        <f t="shared" si="32"/>
        <v>0</v>
      </c>
      <c r="AP38" s="63" t="str">
        <f t="shared" si="33"/>
        <v xml:space="preserve">00015202001173285944012    00000000000000000000            1767112             Maria Castillo Ramirez                                                                                             </v>
      </c>
      <c r="AQ38" s="63" t="str">
        <f t="shared" si="34"/>
        <v>1520200117328594</v>
      </c>
      <c r="AR38" s="152">
        <f t="shared" si="35"/>
        <v>4</v>
      </c>
      <c r="AS38" s="109" t="str">
        <f t="shared" si="36"/>
        <v>15202001173285944</v>
      </c>
      <c r="AT38" s="63" t="str">
        <f t="shared" si="37"/>
        <v xml:space="preserve">5220745             </v>
      </c>
    </row>
    <row r="39" spans="1:46" ht="15" x14ac:dyDescent="0.2">
      <c r="A39" s="63">
        <f t="shared" si="17"/>
        <v>36</v>
      </c>
      <c r="B39" s="185">
        <v>2</v>
      </c>
      <c r="C39" s="195">
        <v>1</v>
      </c>
      <c r="D39" s="194">
        <v>17328594</v>
      </c>
      <c r="E39" s="191" t="s">
        <v>83</v>
      </c>
      <c r="F39" s="184"/>
      <c r="G39" s="196">
        <v>1767112</v>
      </c>
      <c r="H39" s="185">
        <v>1</v>
      </c>
      <c r="I39" s="186"/>
      <c r="J39" s="69"/>
      <c r="AA39" s="63">
        <f t="shared" si="20"/>
        <v>2</v>
      </c>
      <c r="AB39" s="153" t="str">
        <f t="shared" si="21"/>
        <v>001</v>
      </c>
      <c r="AC39" s="165" t="str">
        <f t="shared" si="22"/>
        <v>17328594</v>
      </c>
      <c r="AD39" s="98" t="str">
        <f t="shared" si="23"/>
        <v>00000000</v>
      </c>
      <c r="AE39" s="150">
        <f t="shared" si="24"/>
        <v>0</v>
      </c>
      <c r="AF39" s="150">
        <f t="shared" si="25"/>
        <v>0</v>
      </c>
      <c r="AG39" s="98" t="str">
        <f t="shared" si="26"/>
        <v>0000000000</v>
      </c>
      <c r="AH39" s="151">
        <f t="shared" si="27"/>
        <v>0</v>
      </c>
      <c r="AI39" s="98" t="str">
        <f t="shared" si="28"/>
        <v>00</v>
      </c>
      <c r="AJ39" s="98" t="str">
        <f t="shared" si="29"/>
        <v>000000000000</v>
      </c>
      <c r="AK39" s="161" t="str">
        <f t="shared" si="30"/>
        <v xml:space="preserve">Maria Castillo Ramirez        </v>
      </c>
      <c r="AL39" s="154">
        <f t="shared" si="31"/>
        <v>0</v>
      </c>
      <c r="AM39" s="155">
        <f t="shared" si="32"/>
        <v>0</v>
      </c>
      <c r="AP39" s="63" t="str">
        <f t="shared" si="33"/>
        <v xml:space="preserve">00015202001149509361012    00000000000000000000            5293659             Mario Botto Sibaja                                                                                                 </v>
      </c>
      <c r="AQ39" s="63" t="str">
        <f t="shared" si="34"/>
        <v>1520200114950936</v>
      </c>
      <c r="AR39" s="152">
        <f t="shared" si="35"/>
        <v>10</v>
      </c>
      <c r="AS39" s="109" t="str">
        <f t="shared" si="36"/>
        <v>15202001149509361</v>
      </c>
      <c r="AT39" s="63" t="str">
        <f t="shared" si="37"/>
        <v xml:space="preserve">1767112             </v>
      </c>
    </row>
    <row r="40" spans="1:46" ht="15" x14ac:dyDescent="0.2">
      <c r="A40" s="63">
        <f t="shared" si="17"/>
        <v>37</v>
      </c>
      <c r="B40" s="185">
        <v>2</v>
      </c>
      <c r="C40" s="195">
        <v>1</v>
      </c>
      <c r="D40" s="194">
        <v>14950936</v>
      </c>
      <c r="E40" s="191" t="s">
        <v>84</v>
      </c>
      <c r="F40" s="184"/>
      <c r="G40" s="196">
        <v>5293659</v>
      </c>
      <c r="H40" s="185">
        <v>1</v>
      </c>
      <c r="I40" s="186"/>
      <c r="J40" s="69"/>
      <c r="AA40" s="63">
        <f t="shared" si="20"/>
        <v>2</v>
      </c>
      <c r="AB40" s="153" t="str">
        <f t="shared" si="21"/>
        <v>001</v>
      </c>
      <c r="AC40" s="165" t="str">
        <f t="shared" si="22"/>
        <v>14950936</v>
      </c>
      <c r="AD40" s="98" t="str">
        <f t="shared" si="23"/>
        <v>00000000</v>
      </c>
      <c r="AE40" s="150">
        <f t="shared" si="24"/>
        <v>0</v>
      </c>
      <c r="AF40" s="150">
        <f t="shared" si="25"/>
        <v>0</v>
      </c>
      <c r="AG40" s="98" t="str">
        <f t="shared" si="26"/>
        <v>0000000000</v>
      </c>
      <c r="AH40" s="151">
        <f t="shared" si="27"/>
        <v>0</v>
      </c>
      <c r="AI40" s="98" t="str">
        <f t="shared" si="28"/>
        <v>00</v>
      </c>
      <c r="AJ40" s="98" t="str">
        <f t="shared" si="29"/>
        <v>000000000000</v>
      </c>
      <c r="AK40" s="161" t="str">
        <f t="shared" si="30"/>
        <v xml:space="preserve">Mario Botto Sibaja            </v>
      </c>
      <c r="AL40" s="154">
        <f t="shared" si="31"/>
        <v>0</v>
      </c>
      <c r="AM40" s="155">
        <f t="shared" si="32"/>
        <v>0</v>
      </c>
      <c r="AP40" s="63" t="str">
        <f t="shared" si="33"/>
        <v xml:space="preserve">00015202960001035190012    00000000000000000000            107620063           Marvin Leiton S                                                                                                    </v>
      </c>
      <c r="AQ40" s="63" t="str">
        <f t="shared" si="34"/>
        <v>1520296000103519</v>
      </c>
      <c r="AR40" s="152">
        <f t="shared" si="35"/>
        <v>0</v>
      </c>
      <c r="AS40" s="109" t="str">
        <f t="shared" si="36"/>
        <v>15202960001035190</v>
      </c>
      <c r="AT40" s="63" t="str">
        <f t="shared" si="37"/>
        <v xml:space="preserve">5293659             </v>
      </c>
    </row>
    <row r="41" spans="1:46" ht="15" x14ac:dyDescent="0.2">
      <c r="A41" s="63">
        <f t="shared" si="17"/>
        <v>38</v>
      </c>
      <c r="B41" s="185">
        <v>2</v>
      </c>
      <c r="C41" s="195">
        <v>960</v>
      </c>
      <c r="D41" s="194">
        <v>103519</v>
      </c>
      <c r="E41" s="191" t="s">
        <v>85</v>
      </c>
      <c r="F41" s="184"/>
      <c r="G41" s="196">
        <v>107620063</v>
      </c>
      <c r="H41" s="185">
        <v>1</v>
      </c>
      <c r="I41" s="186"/>
      <c r="J41" s="69"/>
      <c r="AA41" s="63">
        <f t="shared" si="20"/>
        <v>2</v>
      </c>
      <c r="AB41" s="153" t="str">
        <f t="shared" si="21"/>
        <v>960</v>
      </c>
      <c r="AC41" s="165" t="str">
        <f t="shared" si="22"/>
        <v>00103519</v>
      </c>
      <c r="AD41" s="98" t="str">
        <f t="shared" si="23"/>
        <v>00000000</v>
      </c>
      <c r="AE41" s="150">
        <f t="shared" si="24"/>
        <v>0</v>
      </c>
      <c r="AF41" s="150">
        <f t="shared" si="25"/>
        <v>0</v>
      </c>
      <c r="AG41" s="98" t="str">
        <f t="shared" si="26"/>
        <v>0000000000</v>
      </c>
      <c r="AH41" s="151">
        <f t="shared" si="27"/>
        <v>0</v>
      </c>
      <c r="AI41" s="98" t="str">
        <f t="shared" si="28"/>
        <v>00</v>
      </c>
      <c r="AJ41" s="98" t="str">
        <f t="shared" si="29"/>
        <v>000000000000</v>
      </c>
      <c r="AK41" s="161" t="str">
        <f t="shared" si="30"/>
        <v xml:space="preserve">Marvin Leiton S               </v>
      </c>
      <c r="AL41" s="154">
        <f t="shared" si="31"/>
        <v>0</v>
      </c>
      <c r="AM41" s="155">
        <f t="shared" si="32"/>
        <v>0</v>
      </c>
      <c r="AP41" s="63" t="str">
        <f t="shared" si="33"/>
        <v xml:space="preserve">00015202001057316400012    00000000000000000000            112220657           Michael Vasquez                                                                                                    </v>
      </c>
      <c r="AQ41" s="63" t="str">
        <f t="shared" si="34"/>
        <v>1520200105731640</v>
      </c>
      <c r="AR41" s="152">
        <f t="shared" si="35"/>
        <v>0</v>
      </c>
      <c r="AS41" s="109" t="str">
        <f t="shared" si="36"/>
        <v>15202001057316400</v>
      </c>
      <c r="AT41" s="63" t="str">
        <f t="shared" si="37"/>
        <v xml:space="preserve">107620063           </v>
      </c>
    </row>
    <row r="42" spans="1:46" ht="15" x14ac:dyDescent="0.2">
      <c r="A42" s="63">
        <f t="shared" si="17"/>
        <v>39</v>
      </c>
      <c r="B42" s="185">
        <v>2</v>
      </c>
      <c r="C42" s="195">
        <v>1</v>
      </c>
      <c r="D42" s="194">
        <v>5731640</v>
      </c>
      <c r="E42" s="191" t="s">
        <v>86</v>
      </c>
      <c r="F42" s="184"/>
      <c r="G42" s="196">
        <v>112220657</v>
      </c>
      <c r="H42" s="185">
        <v>1</v>
      </c>
      <c r="I42" s="186"/>
      <c r="J42" s="69"/>
      <c r="AA42" s="63">
        <f t="shared" si="20"/>
        <v>2</v>
      </c>
      <c r="AB42" s="153" t="str">
        <f t="shared" si="21"/>
        <v>001</v>
      </c>
      <c r="AC42" s="165" t="str">
        <f t="shared" si="22"/>
        <v>05731640</v>
      </c>
      <c r="AD42" s="98" t="str">
        <f t="shared" si="23"/>
        <v>00000000</v>
      </c>
      <c r="AE42" s="150">
        <f t="shared" si="24"/>
        <v>0</v>
      </c>
      <c r="AF42" s="150">
        <f t="shared" si="25"/>
        <v>0</v>
      </c>
      <c r="AG42" s="98" t="str">
        <f t="shared" si="26"/>
        <v>0000000000</v>
      </c>
      <c r="AH42" s="151">
        <f t="shared" si="27"/>
        <v>0</v>
      </c>
      <c r="AI42" s="98" t="str">
        <f t="shared" si="28"/>
        <v>00</v>
      </c>
      <c r="AJ42" s="98" t="str">
        <f t="shared" si="29"/>
        <v>000000000000</v>
      </c>
      <c r="AK42" s="161" t="str">
        <f t="shared" si="30"/>
        <v xml:space="preserve">Michael Vasquez               </v>
      </c>
      <c r="AL42" s="154">
        <f t="shared" si="31"/>
        <v>0</v>
      </c>
      <c r="AM42" s="155">
        <f t="shared" si="32"/>
        <v>0</v>
      </c>
      <c r="AP42" s="63" t="str">
        <f t="shared" si="33"/>
        <v xml:space="preserve">00015202001165752886012    00000000000000000000            206580363           Miguel Diaz Gutierrez                                                                                              </v>
      </c>
      <c r="AQ42" s="63" t="str">
        <f t="shared" si="34"/>
        <v>1520200116575288</v>
      </c>
      <c r="AR42" s="152">
        <f t="shared" si="35"/>
        <v>6</v>
      </c>
      <c r="AS42" s="109" t="str">
        <f t="shared" si="36"/>
        <v>15202001165752886</v>
      </c>
      <c r="AT42" s="63" t="str">
        <f t="shared" si="37"/>
        <v xml:space="preserve">112220657           </v>
      </c>
    </row>
    <row r="43" spans="1:46" ht="15" x14ac:dyDescent="0.2">
      <c r="A43" s="63">
        <f t="shared" si="17"/>
        <v>40</v>
      </c>
      <c r="B43" s="185">
        <v>2</v>
      </c>
      <c r="C43" s="195">
        <v>1</v>
      </c>
      <c r="D43" s="194">
        <v>16575288</v>
      </c>
      <c r="E43" s="191" t="s">
        <v>87</v>
      </c>
      <c r="F43" s="184"/>
      <c r="G43" s="196">
        <v>206580363</v>
      </c>
      <c r="H43" s="185">
        <v>1</v>
      </c>
      <c r="I43" s="186"/>
      <c r="J43" s="69"/>
      <c r="AA43" s="63">
        <f t="shared" si="20"/>
        <v>2</v>
      </c>
      <c r="AB43" s="153" t="str">
        <f t="shared" si="21"/>
        <v>001</v>
      </c>
      <c r="AC43" s="165" t="str">
        <f t="shared" si="22"/>
        <v>16575288</v>
      </c>
      <c r="AD43" s="98" t="str">
        <f t="shared" si="23"/>
        <v>00000000</v>
      </c>
      <c r="AE43" s="150">
        <f t="shared" si="24"/>
        <v>0</v>
      </c>
      <c r="AF43" s="150">
        <f t="shared" si="25"/>
        <v>0</v>
      </c>
      <c r="AG43" s="98" t="str">
        <f t="shared" si="26"/>
        <v>0000000000</v>
      </c>
      <c r="AH43" s="151">
        <f t="shared" si="27"/>
        <v>0</v>
      </c>
      <c r="AI43" s="98" t="str">
        <f t="shared" si="28"/>
        <v>00</v>
      </c>
      <c r="AJ43" s="98" t="str">
        <f t="shared" si="29"/>
        <v>000000000000</v>
      </c>
      <c r="AK43" s="161" t="str">
        <f t="shared" si="30"/>
        <v xml:space="preserve">Miguel Diaz Gutierrez         </v>
      </c>
      <c r="AL43" s="154">
        <f t="shared" si="31"/>
        <v>0</v>
      </c>
      <c r="AM43" s="155">
        <f t="shared" si="32"/>
        <v>0</v>
      </c>
      <c r="AP43" s="63" t="str">
        <f t="shared" si="33"/>
        <v xml:space="preserve">00015202485000252409012    00000000000000000000            122200557831        Oscar Alvarenga T                                                                                                  </v>
      </c>
      <c r="AQ43" s="63" t="str">
        <f t="shared" si="34"/>
        <v>1520248500025240</v>
      </c>
      <c r="AR43" s="152">
        <f t="shared" si="35"/>
        <v>9</v>
      </c>
      <c r="AS43" s="109" t="str">
        <f t="shared" si="36"/>
        <v>15202485000252409</v>
      </c>
      <c r="AT43" s="63" t="str">
        <f t="shared" si="37"/>
        <v xml:space="preserve">206580363           </v>
      </c>
    </row>
    <row r="44" spans="1:46" ht="15" x14ac:dyDescent="0.2">
      <c r="A44" s="63">
        <f t="shared" si="17"/>
        <v>41</v>
      </c>
      <c r="B44" s="185">
        <v>2</v>
      </c>
      <c r="C44" s="195">
        <v>485</v>
      </c>
      <c r="D44" s="194">
        <v>25240</v>
      </c>
      <c r="E44" s="191" t="s">
        <v>88</v>
      </c>
      <c r="F44" s="184"/>
      <c r="G44" s="197">
        <v>122200557831</v>
      </c>
      <c r="H44" s="185">
        <v>1</v>
      </c>
      <c r="I44" s="186"/>
      <c r="J44" s="69"/>
      <c r="AA44" s="63">
        <f t="shared" si="20"/>
        <v>2</v>
      </c>
      <c r="AB44" s="153" t="str">
        <f t="shared" si="21"/>
        <v>485</v>
      </c>
      <c r="AC44" s="165" t="str">
        <f t="shared" si="22"/>
        <v>00025240</v>
      </c>
      <c r="AD44" s="98" t="str">
        <f t="shared" si="23"/>
        <v>00000000</v>
      </c>
      <c r="AE44" s="150">
        <f t="shared" si="24"/>
        <v>0</v>
      </c>
      <c r="AF44" s="150">
        <f t="shared" si="25"/>
        <v>0</v>
      </c>
      <c r="AG44" s="98" t="str">
        <f t="shared" si="26"/>
        <v>0000000000</v>
      </c>
      <c r="AH44" s="151">
        <f t="shared" si="27"/>
        <v>0</v>
      </c>
      <c r="AI44" s="98" t="str">
        <f t="shared" si="28"/>
        <v>00</v>
      </c>
      <c r="AJ44" s="98" t="str">
        <f t="shared" si="29"/>
        <v>000000000000</v>
      </c>
      <c r="AK44" s="161" t="str">
        <f t="shared" si="30"/>
        <v xml:space="preserve">Oscar Alvarenga T             </v>
      </c>
      <c r="AL44" s="154">
        <f t="shared" si="31"/>
        <v>0</v>
      </c>
      <c r="AM44" s="155">
        <f t="shared" si="32"/>
        <v>0</v>
      </c>
      <c r="AP44" s="63" t="str">
        <f t="shared" si="33"/>
        <v xml:space="preserve">00015202001114608900012    00000000000000000000            112590969           Paola Vargas Carvaja                                                                                               </v>
      </c>
      <c r="AQ44" s="63" t="str">
        <f t="shared" si="34"/>
        <v>1520200111460890</v>
      </c>
      <c r="AR44" s="152">
        <f t="shared" si="35"/>
        <v>0</v>
      </c>
      <c r="AS44" s="109" t="str">
        <f t="shared" si="36"/>
        <v>15202001114608900</v>
      </c>
      <c r="AT44" s="63" t="str">
        <f t="shared" si="37"/>
        <v xml:space="preserve">122200557831        </v>
      </c>
    </row>
    <row r="45" spans="1:46" ht="15" x14ac:dyDescent="0.2">
      <c r="A45" s="63">
        <f t="shared" si="17"/>
        <v>42</v>
      </c>
      <c r="B45" s="185">
        <v>2</v>
      </c>
      <c r="C45" s="195">
        <v>1</v>
      </c>
      <c r="D45" s="194">
        <v>11460890</v>
      </c>
      <c r="E45" s="191" t="s">
        <v>89</v>
      </c>
      <c r="F45" s="184"/>
      <c r="G45" s="196">
        <v>112590969</v>
      </c>
      <c r="H45" s="185">
        <v>1</v>
      </c>
      <c r="I45" s="186"/>
      <c r="J45" s="69"/>
      <c r="AA45" s="63">
        <f t="shared" si="20"/>
        <v>2</v>
      </c>
      <c r="AB45" s="153" t="str">
        <f t="shared" si="21"/>
        <v>001</v>
      </c>
      <c r="AC45" s="165" t="str">
        <f t="shared" si="22"/>
        <v>11460890</v>
      </c>
      <c r="AD45" s="98" t="str">
        <f t="shared" si="23"/>
        <v>00000000</v>
      </c>
      <c r="AE45" s="150">
        <f t="shared" si="24"/>
        <v>0</v>
      </c>
      <c r="AF45" s="150">
        <f t="shared" si="25"/>
        <v>0</v>
      </c>
      <c r="AG45" s="98" t="str">
        <f t="shared" si="26"/>
        <v>0000000000</v>
      </c>
      <c r="AH45" s="151">
        <f t="shared" si="27"/>
        <v>0</v>
      </c>
      <c r="AI45" s="98" t="str">
        <f t="shared" si="28"/>
        <v>00</v>
      </c>
      <c r="AJ45" s="98" t="str">
        <f t="shared" si="29"/>
        <v>000000000000</v>
      </c>
      <c r="AK45" s="161" t="str">
        <f t="shared" si="30"/>
        <v xml:space="preserve">Paola Vargas Carvaja          </v>
      </c>
      <c r="AL45" s="154">
        <f t="shared" si="31"/>
        <v>0</v>
      </c>
      <c r="AM45" s="155">
        <f t="shared" si="32"/>
        <v>0</v>
      </c>
      <c r="AP45" s="63" t="str">
        <f t="shared" si="33"/>
        <v xml:space="preserve">00015202001048588080012    00000000000000000000            205280848           Pedro Hansey Rojas                                                                                                 </v>
      </c>
      <c r="AQ45" s="63" t="str">
        <f t="shared" si="34"/>
        <v>1520200104858808</v>
      </c>
      <c r="AR45" s="152">
        <f t="shared" si="35"/>
        <v>0</v>
      </c>
      <c r="AS45" s="109" t="str">
        <f t="shared" si="36"/>
        <v>15202001048588080</v>
      </c>
      <c r="AT45" s="63" t="str">
        <f t="shared" si="37"/>
        <v xml:space="preserve">112590969           </v>
      </c>
    </row>
    <row r="46" spans="1:46" ht="15" x14ac:dyDescent="0.2">
      <c r="A46" s="63">
        <f t="shared" si="17"/>
        <v>43</v>
      </c>
      <c r="B46" s="185">
        <v>2</v>
      </c>
      <c r="C46" s="195">
        <v>1</v>
      </c>
      <c r="D46" s="194">
        <v>4858808</v>
      </c>
      <c r="E46" s="191" t="s">
        <v>90</v>
      </c>
      <c r="F46" s="184"/>
      <c r="G46" s="196">
        <v>205280848</v>
      </c>
      <c r="H46" s="185">
        <v>1</v>
      </c>
      <c r="I46" s="186"/>
      <c r="J46" s="69"/>
      <c r="AA46" s="63">
        <f t="shared" si="20"/>
        <v>2</v>
      </c>
      <c r="AB46" s="153" t="str">
        <f t="shared" si="21"/>
        <v>001</v>
      </c>
      <c r="AC46" s="165" t="str">
        <f t="shared" si="22"/>
        <v>04858808</v>
      </c>
      <c r="AD46" s="98" t="str">
        <f t="shared" si="23"/>
        <v>00000000</v>
      </c>
      <c r="AE46" s="150">
        <f t="shared" si="24"/>
        <v>0</v>
      </c>
      <c r="AF46" s="150">
        <f t="shared" si="25"/>
        <v>0</v>
      </c>
      <c r="AG46" s="98" t="str">
        <f t="shared" si="26"/>
        <v>0000000000</v>
      </c>
      <c r="AH46" s="151">
        <f t="shared" si="27"/>
        <v>0</v>
      </c>
      <c r="AI46" s="98" t="str">
        <f t="shared" si="28"/>
        <v>00</v>
      </c>
      <c r="AJ46" s="98" t="str">
        <f t="shared" si="29"/>
        <v>000000000000</v>
      </c>
      <c r="AK46" s="161" t="str">
        <f t="shared" si="30"/>
        <v xml:space="preserve">Pedro Hansey Rojas            </v>
      </c>
      <c r="AL46" s="154">
        <f t="shared" si="31"/>
        <v>0</v>
      </c>
      <c r="AM46" s="155">
        <f t="shared" si="32"/>
        <v>0</v>
      </c>
      <c r="AP46" s="63" t="str">
        <f t="shared" si="33"/>
        <v xml:space="preserve">00015202285003580610012    00000000000000000000            112540130           Priscila Sibaja                                                                                                    </v>
      </c>
      <c r="AQ46" s="63" t="str">
        <f t="shared" si="34"/>
        <v>1520228500358061</v>
      </c>
      <c r="AR46" s="152">
        <f t="shared" si="35"/>
        <v>0</v>
      </c>
      <c r="AS46" s="109" t="str">
        <f t="shared" si="36"/>
        <v>15202285003580610</v>
      </c>
      <c r="AT46" s="63" t="str">
        <f t="shared" si="37"/>
        <v xml:space="preserve">205280848           </v>
      </c>
    </row>
    <row r="47" spans="1:46" ht="15" x14ac:dyDescent="0.2">
      <c r="A47" s="63">
        <f t="shared" si="17"/>
        <v>44</v>
      </c>
      <c r="B47" s="185">
        <v>2</v>
      </c>
      <c r="C47" s="195">
        <v>285</v>
      </c>
      <c r="D47" s="194">
        <v>358061</v>
      </c>
      <c r="E47" s="191" t="s">
        <v>91</v>
      </c>
      <c r="F47" s="184"/>
      <c r="G47" s="196">
        <v>112540130</v>
      </c>
      <c r="H47" s="185">
        <v>1</v>
      </c>
      <c r="I47" s="186"/>
      <c r="J47" s="69"/>
      <c r="AA47" s="63">
        <f t="shared" si="20"/>
        <v>2</v>
      </c>
      <c r="AB47" s="153" t="str">
        <f t="shared" si="21"/>
        <v>285</v>
      </c>
      <c r="AC47" s="165" t="str">
        <f t="shared" si="22"/>
        <v>00358061</v>
      </c>
      <c r="AD47" s="98" t="str">
        <f t="shared" si="23"/>
        <v>00000000</v>
      </c>
      <c r="AE47" s="150">
        <f t="shared" si="24"/>
        <v>0</v>
      </c>
      <c r="AF47" s="150">
        <f t="shared" si="25"/>
        <v>0</v>
      </c>
      <c r="AG47" s="98" t="str">
        <f t="shared" si="26"/>
        <v>0000000000</v>
      </c>
      <c r="AH47" s="151">
        <f t="shared" si="27"/>
        <v>0</v>
      </c>
      <c r="AI47" s="98" t="str">
        <f t="shared" si="28"/>
        <v>00</v>
      </c>
      <c r="AJ47" s="98" t="str">
        <f t="shared" si="29"/>
        <v>000000000000</v>
      </c>
      <c r="AK47" s="161" t="str">
        <f t="shared" si="30"/>
        <v xml:space="preserve">Priscila Sibaja               </v>
      </c>
      <c r="AL47" s="154">
        <f t="shared" si="31"/>
        <v>0</v>
      </c>
      <c r="AM47" s="155">
        <f t="shared" si="32"/>
        <v>0</v>
      </c>
      <c r="AP47" s="63" t="str">
        <f t="shared" si="33"/>
        <v xml:space="preserve">00015202366000193999012    00000000000000000000            401840992           Randall Abarca Hernanadez                                                                                          </v>
      </c>
      <c r="AQ47" s="63" t="str">
        <f t="shared" si="34"/>
        <v>1520236600019399</v>
      </c>
      <c r="AR47" s="152">
        <f t="shared" si="35"/>
        <v>9</v>
      </c>
      <c r="AS47" s="109" t="str">
        <f t="shared" si="36"/>
        <v>15202366000193999</v>
      </c>
      <c r="AT47" s="63" t="str">
        <f t="shared" si="37"/>
        <v xml:space="preserve">112540130           </v>
      </c>
    </row>
    <row r="48" spans="1:46" ht="15" x14ac:dyDescent="0.2">
      <c r="A48" s="63">
        <f t="shared" si="17"/>
        <v>45</v>
      </c>
      <c r="B48" s="185">
        <v>2</v>
      </c>
      <c r="C48" s="195">
        <v>366</v>
      </c>
      <c r="D48" s="194">
        <v>19399</v>
      </c>
      <c r="E48" s="191" t="s">
        <v>92</v>
      </c>
      <c r="F48" s="184"/>
      <c r="G48" s="196">
        <v>401840992</v>
      </c>
      <c r="H48" s="185">
        <v>1</v>
      </c>
      <c r="I48" s="186"/>
      <c r="J48" s="69"/>
      <c r="AA48" s="63">
        <f t="shared" si="20"/>
        <v>2</v>
      </c>
      <c r="AB48" s="153" t="str">
        <f t="shared" si="21"/>
        <v>366</v>
      </c>
      <c r="AC48" s="165" t="str">
        <f t="shared" si="22"/>
        <v>00019399</v>
      </c>
      <c r="AD48" s="98" t="str">
        <f t="shared" si="23"/>
        <v>00000000</v>
      </c>
      <c r="AE48" s="150">
        <f t="shared" si="24"/>
        <v>0</v>
      </c>
      <c r="AF48" s="150">
        <f t="shared" si="25"/>
        <v>0</v>
      </c>
      <c r="AG48" s="98" t="str">
        <f t="shared" si="26"/>
        <v>0000000000</v>
      </c>
      <c r="AH48" s="151">
        <f t="shared" si="27"/>
        <v>0</v>
      </c>
      <c r="AI48" s="98" t="str">
        <f t="shared" si="28"/>
        <v>00</v>
      </c>
      <c r="AJ48" s="98" t="str">
        <f t="shared" si="29"/>
        <v>000000000000</v>
      </c>
      <c r="AK48" s="161" t="str">
        <f t="shared" si="30"/>
        <v xml:space="preserve">Randall Abarca Hernanadez     </v>
      </c>
      <c r="AL48" s="154">
        <f t="shared" si="31"/>
        <v>0</v>
      </c>
      <c r="AM48" s="155">
        <f t="shared" si="32"/>
        <v>0</v>
      </c>
      <c r="AP48" s="63" t="str">
        <f t="shared" si="33"/>
        <v xml:space="preserve">00015202001103946054012    00000000000000000000            112620423           Raymond Sandoval                                                                                                   </v>
      </c>
      <c r="AQ48" s="63" t="str">
        <f t="shared" si="34"/>
        <v>1520200110394605</v>
      </c>
      <c r="AR48" s="152">
        <f t="shared" si="35"/>
        <v>4</v>
      </c>
      <c r="AS48" s="109" t="str">
        <f t="shared" si="36"/>
        <v>15202001103946054</v>
      </c>
      <c r="AT48" s="63" t="str">
        <f t="shared" si="37"/>
        <v xml:space="preserve">401840992           </v>
      </c>
    </row>
    <row r="49" spans="1:46" ht="15" x14ac:dyDescent="0.2">
      <c r="A49" s="63">
        <f t="shared" si="17"/>
        <v>46</v>
      </c>
      <c r="B49" s="185">
        <v>2</v>
      </c>
      <c r="C49" s="195">
        <v>1</v>
      </c>
      <c r="D49" s="194">
        <v>10394605</v>
      </c>
      <c r="E49" s="191" t="s">
        <v>93</v>
      </c>
      <c r="F49" s="184"/>
      <c r="G49" s="196">
        <v>112620423</v>
      </c>
      <c r="H49" s="185">
        <v>1</v>
      </c>
      <c r="I49" s="186"/>
      <c r="J49" s="69"/>
      <c r="AA49" s="63">
        <f t="shared" si="20"/>
        <v>2</v>
      </c>
      <c r="AB49" s="153" t="str">
        <f t="shared" si="21"/>
        <v>001</v>
      </c>
      <c r="AC49" s="165" t="str">
        <f t="shared" si="22"/>
        <v>10394605</v>
      </c>
      <c r="AD49" s="98" t="str">
        <f t="shared" si="23"/>
        <v>00000000</v>
      </c>
      <c r="AE49" s="150">
        <f t="shared" si="24"/>
        <v>0</v>
      </c>
      <c r="AF49" s="150">
        <f t="shared" si="25"/>
        <v>0</v>
      </c>
      <c r="AG49" s="98" t="str">
        <f t="shared" si="26"/>
        <v>0000000000</v>
      </c>
      <c r="AH49" s="151">
        <f t="shared" si="27"/>
        <v>0</v>
      </c>
      <c r="AI49" s="98" t="str">
        <f t="shared" si="28"/>
        <v>00</v>
      </c>
      <c r="AJ49" s="98" t="str">
        <f t="shared" si="29"/>
        <v>000000000000</v>
      </c>
      <c r="AK49" s="161" t="str">
        <f t="shared" si="30"/>
        <v xml:space="preserve">Raymond Sandoval              </v>
      </c>
      <c r="AL49" s="154">
        <f t="shared" si="31"/>
        <v>0</v>
      </c>
      <c r="AM49" s="155">
        <f t="shared" si="32"/>
        <v>0</v>
      </c>
      <c r="AP49" s="63" t="str">
        <f t="shared" si="33"/>
        <v xml:space="preserve">00015202001114856555012    00000000000000000000            114650856           Ronny Duran Santande                                                                                               </v>
      </c>
      <c r="AQ49" s="63" t="str">
        <f t="shared" si="34"/>
        <v>1520200111485655</v>
      </c>
      <c r="AR49" s="152">
        <f t="shared" si="35"/>
        <v>5</v>
      </c>
      <c r="AS49" s="109" t="str">
        <f t="shared" si="36"/>
        <v>15202001114856555</v>
      </c>
      <c r="AT49" s="63" t="str">
        <f t="shared" si="37"/>
        <v xml:space="preserve">112620423           </v>
      </c>
    </row>
    <row r="50" spans="1:46" ht="15" x14ac:dyDescent="0.2">
      <c r="A50" s="63">
        <f t="shared" si="17"/>
        <v>47</v>
      </c>
      <c r="B50" s="185">
        <v>2</v>
      </c>
      <c r="C50" s="195">
        <v>1</v>
      </c>
      <c r="D50" s="194">
        <v>11485655</v>
      </c>
      <c r="E50" s="191" t="s">
        <v>94</v>
      </c>
      <c r="F50" s="184"/>
      <c r="G50" s="196">
        <v>114650856</v>
      </c>
      <c r="H50" s="185">
        <v>1</v>
      </c>
      <c r="I50" s="186"/>
      <c r="J50" s="69"/>
      <c r="AA50" s="63">
        <f t="shared" si="20"/>
        <v>2</v>
      </c>
      <c r="AB50" s="153" t="str">
        <f t="shared" si="21"/>
        <v>001</v>
      </c>
      <c r="AC50" s="165" t="str">
        <f t="shared" si="22"/>
        <v>11485655</v>
      </c>
      <c r="AD50" s="98" t="str">
        <f t="shared" si="23"/>
        <v>00000000</v>
      </c>
      <c r="AE50" s="150">
        <f t="shared" si="24"/>
        <v>0</v>
      </c>
      <c r="AF50" s="150">
        <f t="shared" si="25"/>
        <v>0</v>
      </c>
      <c r="AG50" s="98" t="str">
        <f t="shared" si="26"/>
        <v>0000000000</v>
      </c>
      <c r="AH50" s="151">
        <f t="shared" si="27"/>
        <v>0</v>
      </c>
      <c r="AI50" s="98" t="str">
        <f t="shared" si="28"/>
        <v>00</v>
      </c>
      <c r="AJ50" s="98" t="str">
        <f t="shared" si="29"/>
        <v>000000000000</v>
      </c>
      <c r="AK50" s="161" t="str">
        <f t="shared" si="30"/>
        <v xml:space="preserve">Ronny Duran Santande          </v>
      </c>
      <c r="AL50" s="154">
        <f t="shared" si="31"/>
        <v>0</v>
      </c>
      <c r="AM50" s="155">
        <f t="shared" si="32"/>
        <v>0</v>
      </c>
      <c r="AP50" s="63" t="str">
        <f t="shared" si="33"/>
        <v xml:space="preserve">00015202001128738374012    00000000000000000000            702090625           Scarleth Porras Jimenez                                                                                            </v>
      </c>
      <c r="AQ50" s="63" t="str">
        <f t="shared" si="34"/>
        <v>1520200112873837</v>
      </c>
      <c r="AR50" s="152">
        <f t="shared" si="35"/>
        <v>4</v>
      </c>
      <c r="AS50" s="109" t="str">
        <f t="shared" si="36"/>
        <v>15202001128738374</v>
      </c>
      <c r="AT50" s="63" t="str">
        <f t="shared" si="37"/>
        <v xml:space="preserve">114650856           </v>
      </c>
    </row>
    <row r="51" spans="1:46" ht="15" x14ac:dyDescent="0.2">
      <c r="A51" s="63">
        <f t="shared" si="17"/>
        <v>48</v>
      </c>
      <c r="B51" s="185">
        <v>2</v>
      </c>
      <c r="C51" s="195">
        <v>1</v>
      </c>
      <c r="D51" s="194">
        <v>12873837</v>
      </c>
      <c r="E51" s="191" t="s">
        <v>95</v>
      </c>
      <c r="F51" s="184"/>
      <c r="G51" s="196">
        <v>702090625</v>
      </c>
      <c r="H51" s="185">
        <v>1</v>
      </c>
      <c r="I51" s="186"/>
      <c r="J51" s="69"/>
      <c r="AA51" s="63">
        <f t="shared" si="20"/>
        <v>2</v>
      </c>
      <c r="AB51" s="153" t="str">
        <f t="shared" si="21"/>
        <v>001</v>
      </c>
      <c r="AC51" s="165" t="str">
        <f t="shared" si="22"/>
        <v>12873837</v>
      </c>
      <c r="AD51" s="98" t="str">
        <f t="shared" si="23"/>
        <v>00000000</v>
      </c>
      <c r="AE51" s="150">
        <f t="shared" si="24"/>
        <v>0</v>
      </c>
      <c r="AF51" s="150">
        <f t="shared" si="25"/>
        <v>0</v>
      </c>
      <c r="AG51" s="98" t="str">
        <f t="shared" si="26"/>
        <v>0000000000</v>
      </c>
      <c r="AH51" s="151">
        <f t="shared" si="27"/>
        <v>0</v>
      </c>
      <c r="AI51" s="98" t="str">
        <f t="shared" si="28"/>
        <v>00</v>
      </c>
      <c r="AJ51" s="98" t="str">
        <f t="shared" si="29"/>
        <v>000000000000</v>
      </c>
      <c r="AK51" s="161" t="str">
        <f t="shared" si="30"/>
        <v xml:space="preserve">Scarleth Porras Jimenez       </v>
      </c>
      <c r="AL51" s="154">
        <f t="shared" si="31"/>
        <v>0</v>
      </c>
      <c r="AM51" s="155">
        <f t="shared" si="32"/>
        <v>0</v>
      </c>
      <c r="AP51" s="63" t="str">
        <f t="shared" si="33"/>
        <v/>
      </c>
      <c r="AQ51" s="63" t="str">
        <f t="shared" si="34"/>
        <v/>
      </c>
      <c r="AR51" s="152" t="str">
        <f t="shared" si="35"/>
        <v/>
      </c>
      <c r="AS51" s="109" t="str">
        <f t="shared" si="36"/>
        <v/>
      </c>
      <c r="AT51" s="63" t="str">
        <f t="shared" si="37"/>
        <v xml:space="preserve">702090625           </v>
      </c>
    </row>
    <row r="52" spans="1:46" ht="12.75" x14ac:dyDescent="0.2">
      <c r="A52" s="63" t="str">
        <f t="shared" si="17"/>
        <v/>
      </c>
      <c r="B52" s="185"/>
      <c r="C52" s="184"/>
      <c r="D52" s="184"/>
      <c r="E52" s="184"/>
      <c r="F52" s="184"/>
      <c r="G52" s="185"/>
      <c r="H52" s="185"/>
      <c r="I52" s="186"/>
      <c r="J52" s="69"/>
      <c r="AA52" s="63">
        <f t="shared" si="20"/>
        <v>0</v>
      </c>
      <c r="AB52" s="153" t="str">
        <f t="shared" si="21"/>
        <v>000</v>
      </c>
      <c r="AC52" s="165" t="str">
        <f t="shared" si="22"/>
        <v>00000000</v>
      </c>
      <c r="AD52" s="98" t="str">
        <f t="shared" si="23"/>
        <v>00000000</v>
      </c>
      <c r="AE52" s="150">
        <f t="shared" si="24"/>
        <v>0</v>
      </c>
      <c r="AF52" s="150">
        <f t="shared" si="25"/>
        <v>0</v>
      </c>
      <c r="AG52" s="98" t="str">
        <f t="shared" si="26"/>
        <v>0000000000</v>
      </c>
      <c r="AH52" s="151">
        <f t="shared" si="27"/>
        <v>0</v>
      </c>
      <c r="AI52" s="98" t="str">
        <f t="shared" si="28"/>
        <v>00</v>
      </c>
      <c r="AJ52" s="98" t="str">
        <f t="shared" si="29"/>
        <v>000000000000</v>
      </c>
      <c r="AK52" s="161" t="str">
        <f t="shared" si="30"/>
        <v xml:space="preserve">                              </v>
      </c>
      <c r="AL52" s="154">
        <f t="shared" si="31"/>
        <v>0</v>
      </c>
      <c r="AM52" s="155">
        <f t="shared" si="32"/>
        <v>0</v>
      </c>
      <c r="AP52" s="63" t="str">
        <f t="shared" si="33"/>
        <v/>
      </c>
      <c r="AQ52" s="63" t="str">
        <f t="shared" si="34"/>
        <v/>
      </c>
      <c r="AR52" s="152" t="str">
        <f t="shared" si="35"/>
        <v/>
      </c>
      <c r="AS52" s="109" t="str">
        <f t="shared" si="36"/>
        <v/>
      </c>
      <c r="AT52" s="63" t="str">
        <f t="shared" si="37"/>
        <v xml:space="preserve">                    </v>
      </c>
    </row>
    <row r="53" spans="1:46" ht="12.75" x14ac:dyDescent="0.2">
      <c r="A53" s="63" t="str">
        <f t="shared" si="17"/>
        <v/>
      </c>
      <c r="B53" s="185"/>
      <c r="C53" s="184"/>
      <c r="D53" s="184"/>
      <c r="E53" s="184"/>
      <c r="F53" s="184"/>
      <c r="G53" s="185"/>
      <c r="H53" s="185"/>
      <c r="I53" s="186"/>
      <c r="J53" s="69"/>
      <c r="AA53" s="63">
        <f t="shared" si="20"/>
        <v>0</v>
      </c>
      <c r="AB53" s="153" t="str">
        <f t="shared" si="21"/>
        <v>000</v>
      </c>
      <c r="AC53" s="165" t="str">
        <f t="shared" si="22"/>
        <v>00000000</v>
      </c>
      <c r="AD53" s="98" t="str">
        <f t="shared" si="23"/>
        <v>00000000</v>
      </c>
      <c r="AE53" s="150">
        <f t="shared" si="24"/>
        <v>0</v>
      </c>
      <c r="AF53" s="150">
        <f t="shared" si="25"/>
        <v>0</v>
      </c>
      <c r="AG53" s="98" t="str">
        <f t="shared" si="26"/>
        <v>0000000000</v>
      </c>
      <c r="AH53" s="151">
        <f t="shared" si="27"/>
        <v>0</v>
      </c>
      <c r="AI53" s="98" t="str">
        <f t="shared" si="28"/>
        <v>00</v>
      </c>
      <c r="AJ53" s="98" t="str">
        <f t="shared" si="29"/>
        <v>000000000000</v>
      </c>
      <c r="AK53" s="161" t="str">
        <f t="shared" si="30"/>
        <v xml:space="preserve">                              </v>
      </c>
      <c r="AL53" s="154">
        <f t="shared" si="31"/>
        <v>0</v>
      </c>
      <c r="AM53" s="155">
        <f t="shared" si="32"/>
        <v>0</v>
      </c>
      <c r="AP53" s="63" t="str">
        <f t="shared" si="33"/>
        <v/>
      </c>
      <c r="AQ53" s="63" t="str">
        <f t="shared" si="34"/>
        <v/>
      </c>
      <c r="AR53" s="152" t="str">
        <f t="shared" si="35"/>
        <v/>
      </c>
      <c r="AS53" s="109" t="str">
        <f t="shared" si="36"/>
        <v/>
      </c>
      <c r="AT53" s="63" t="str">
        <f t="shared" si="37"/>
        <v xml:space="preserve">                    </v>
      </c>
    </row>
    <row r="54" spans="1:46" ht="12.75" x14ac:dyDescent="0.2">
      <c r="A54" s="63" t="str">
        <f t="shared" si="17"/>
        <v/>
      </c>
      <c r="B54" s="185"/>
      <c r="C54" s="184"/>
      <c r="D54" s="184"/>
      <c r="E54" s="184"/>
      <c r="F54" s="184"/>
      <c r="G54" s="185"/>
      <c r="H54" s="185"/>
      <c r="I54" s="186"/>
      <c r="J54" s="69"/>
      <c r="AA54" s="63">
        <f t="shared" si="20"/>
        <v>0</v>
      </c>
      <c r="AB54" s="153" t="str">
        <f t="shared" si="21"/>
        <v>000</v>
      </c>
      <c r="AC54" s="165" t="str">
        <f t="shared" si="22"/>
        <v>00000000</v>
      </c>
      <c r="AD54" s="98" t="str">
        <f t="shared" si="23"/>
        <v>00000000</v>
      </c>
      <c r="AE54" s="150">
        <f t="shared" si="24"/>
        <v>0</v>
      </c>
      <c r="AF54" s="150">
        <f t="shared" si="25"/>
        <v>0</v>
      </c>
      <c r="AG54" s="98" t="str">
        <f t="shared" si="26"/>
        <v>0000000000</v>
      </c>
      <c r="AH54" s="151">
        <f t="shared" si="27"/>
        <v>0</v>
      </c>
      <c r="AI54" s="98" t="str">
        <f t="shared" si="28"/>
        <v>00</v>
      </c>
      <c r="AJ54" s="98" t="str">
        <f t="shared" si="29"/>
        <v>000000000000</v>
      </c>
      <c r="AK54" s="161" t="str">
        <f t="shared" si="30"/>
        <v xml:space="preserve">                              </v>
      </c>
      <c r="AL54" s="154">
        <f t="shared" si="31"/>
        <v>0</v>
      </c>
      <c r="AM54" s="155">
        <f t="shared" si="32"/>
        <v>0</v>
      </c>
      <c r="AP54" s="63" t="str">
        <f t="shared" si="33"/>
        <v/>
      </c>
      <c r="AQ54" s="63" t="str">
        <f t="shared" si="34"/>
        <v/>
      </c>
      <c r="AR54" s="152" t="str">
        <f t="shared" si="35"/>
        <v/>
      </c>
      <c r="AS54" s="109" t="str">
        <f t="shared" si="36"/>
        <v/>
      </c>
      <c r="AT54" s="63" t="str">
        <f t="shared" si="37"/>
        <v xml:space="preserve">                    </v>
      </c>
    </row>
    <row r="55" spans="1:46" ht="12.75" x14ac:dyDescent="0.2">
      <c r="A55" s="63" t="str">
        <f t="shared" si="17"/>
        <v/>
      </c>
      <c r="B55" s="185"/>
      <c r="C55" s="184"/>
      <c r="D55" s="184"/>
      <c r="E55" s="184"/>
      <c r="F55" s="184"/>
      <c r="G55" s="185"/>
      <c r="H55" s="185"/>
      <c r="I55" s="186"/>
      <c r="J55" s="69"/>
      <c r="AA55" s="63">
        <f t="shared" si="20"/>
        <v>0</v>
      </c>
      <c r="AB55" s="153" t="str">
        <f t="shared" si="21"/>
        <v>000</v>
      </c>
      <c r="AC55" s="165" t="str">
        <f t="shared" si="22"/>
        <v>00000000</v>
      </c>
      <c r="AD55" s="98" t="str">
        <f t="shared" si="23"/>
        <v>00000000</v>
      </c>
      <c r="AE55" s="150">
        <f t="shared" si="24"/>
        <v>0</v>
      </c>
      <c r="AF55" s="150">
        <f t="shared" si="25"/>
        <v>0</v>
      </c>
      <c r="AG55" s="98" t="str">
        <f t="shared" si="26"/>
        <v>0000000000</v>
      </c>
      <c r="AH55" s="151">
        <f t="shared" si="27"/>
        <v>0</v>
      </c>
      <c r="AI55" s="98" t="str">
        <f t="shared" si="28"/>
        <v>00</v>
      </c>
      <c r="AJ55" s="98" t="str">
        <f t="shared" si="29"/>
        <v>000000000000</v>
      </c>
      <c r="AK55" s="161" t="str">
        <f t="shared" si="30"/>
        <v xml:space="preserve">                              </v>
      </c>
      <c r="AL55" s="154">
        <f t="shared" si="31"/>
        <v>0</v>
      </c>
      <c r="AM55" s="155">
        <f t="shared" si="32"/>
        <v>0</v>
      </c>
      <c r="AP55" s="63" t="str">
        <f t="shared" si="33"/>
        <v/>
      </c>
      <c r="AQ55" s="63" t="str">
        <f t="shared" si="34"/>
        <v/>
      </c>
      <c r="AR55" s="152" t="str">
        <f t="shared" si="35"/>
        <v/>
      </c>
      <c r="AS55" s="109" t="str">
        <f t="shared" si="36"/>
        <v/>
      </c>
      <c r="AT55" s="63" t="str">
        <f t="shared" si="37"/>
        <v xml:space="preserve">                    </v>
      </c>
    </row>
    <row r="56" spans="1:46" ht="12.75" x14ac:dyDescent="0.2">
      <c r="A56" s="63" t="str">
        <f t="shared" si="17"/>
        <v/>
      </c>
      <c r="B56" s="185"/>
      <c r="C56" s="184"/>
      <c r="D56" s="184"/>
      <c r="E56" s="184"/>
      <c r="F56" s="184"/>
      <c r="G56" s="185"/>
      <c r="H56" s="185"/>
      <c r="I56" s="186"/>
      <c r="J56" s="69"/>
      <c r="AA56" s="63">
        <f t="shared" si="20"/>
        <v>0</v>
      </c>
      <c r="AB56" s="153" t="str">
        <f t="shared" si="21"/>
        <v>000</v>
      </c>
      <c r="AC56" s="165" t="str">
        <f t="shared" si="22"/>
        <v>00000000</v>
      </c>
      <c r="AD56" s="98" t="str">
        <f t="shared" si="23"/>
        <v>00000000</v>
      </c>
      <c r="AE56" s="150">
        <f t="shared" si="24"/>
        <v>0</v>
      </c>
      <c r="AF56" s="150">
        <f t="shared" si="25"/>
        <v>0</v>
      </c>
      <c r="AG56" s="98" t="str">
        <f t="shared" si="26"/>
        <v>0000000000</v>
      </c>
      <c r="AH56" s="151">
        <f t="shared" si="27"/>
        <v>0</v>
      </c>
      <c r="AI56" s="98" t="str">
        <f t="shared" si="28"/>
        <v>00</v>
      </c>
      <c r="AJ56" s="98" t="str">
        <f t="shared" si="29"/>
        <v>000000000000</v>
      </c>
      <c r="AK56" s="161" t="str">
        <f t="shared" si="30"/>
        <v xml:space="preserve">                              </v>
      </c>
      <c r="AL56" s="154">
        <f t="shared" si="31"/>
        <v>0</v>
      </c>
      <c r="AM56" s="155">
        <f t="shared" si="32"/>
        <v>0</v>
      </c>
      <c r="AP56" s="63" t="str">
        <f t="shared" si="33"/>
        <v/>
      </c>
      <c r="AQ56" s="63" t="str">
        <f t="shared" si="34"/>
        <v/>
      </c>
      <c r="AR56" s="152" t="str">
        <f t="shared" si="35"/>
        <v/>
      </c>
      <c r="AS56" s="109" t="str">
        <f t="shared" si="36"/>
        <v/>
      </c>
      <c r="AT56" s="63" t="str">
        <f t="shared" si="37"/>
        <v xml:space="preserve">                    </v>
      </c>
    </row>
    <row r="57" spans="1:46" ht="12.75" x14ac:dyDescent="0.2">
      <c r="A57" s="63" t="str">
        <f t="shared" si="17"/>
        <v/>
      </c>
      <c r="B57" s="185"/>
      <c r="C57" s="184"/>
      <c r="D57" s="184"/>
      <c r="E57" s="184"/>
      <c r="F57" s="184"/>
      <c r="G57" s="185"/>
      <c r="H57" s="185"/>
      <c r="I57" s="186"/>
      <c r="J57" s="69"/>
      <c r="AA57" s="63">
        <f t="shared" si="20"/>
        <v>0</v>
      </c>
      <c r="AB57" s="153" t="str">
        <f t="shared" si="21"/>
        <v>000</v>
      </c>
      <c r="AC57" s="165" t="str">
        <f t="shared" si="22"/>
        <v>00000000</v>
      </c>
      <c r="AD57" s="98" t="str">
        <f t="shared" si="23"/>
        <v>00000000</v>
      </c>
      <c r="AE57" s="150">
        <f t="shared" si="24"/>
        <v>0</v>
      </c>
      <c r="AF57" s="150">
        <f t="shared" si="25"/>
        <v>0</v>
      </c>
      <c r="AG57" s="98" t="str">
        <f t="shared" si="26"/>
        <v>0000000000</v>
      </c>
      <c r="AH57" s="151">
        <f t="shared" si="27"/>
        <v>0</v>
      </c>
      <c r="AI57" s="98" t="str">
        <f t="shared" si="28"/>
        <v>00</v>
      </c>
      <c r="AJ57" s="98" t="str">
        <f t="shared" si="29"/>
        <v>000000000000</v>
      </c>
      <c r="AK57" s="161" t="str">
        <f t="shared" si="30"/>
        <v xml:space="preserve">                              </v>
      </c>
      <c r="AL57" s="154">
        <f t="shared" si="31"/>
        <v>0</v>
      </c>
      <c r="AM57" s="155">
        <f t="shared" si="32"/>
        <v>0</v>
      </c>
      <c r="AP57" s="63" t="str">
        <f t="shared" si="33"/>
        <v/>
      </c>
      <c r="AQ57" s="63" t="str">
        <f t="shared" si="34"/>
        <v/>
      </c>
      <c r="AR57" s="152" t="str">
        <f t="shared" si="35"/>
        <v/>
      </c>
      <c r="AS57" s="109" t="str">
        <f t="shared" si="36"/>
        <v/>
      </c>
      <c r="AT57" s="63" t="str">
        <f t="shared" si="37"/>
        <v xml:space="preserve">                    </v>
      </c>
    </row>
    <row r="58" spans="1:46" ht="12.75" x14ac:dyDescent="0.2">
      <c r="A58" s="63" t="str">
        <f t="shared" si="17"/>
        <v/>
      </c>
      <c r="B58" s="185"/>
      <c r="C58" s="184"/>
      <c r="D58" s="184"/>
      <c r="E58" s="184"/>
      <c r="F58" s="184"/>
      <c r="G58" s="185"/>
      <c r="H58" s="185"/>
      <c r="I58" s="186"/>
      <c r="J58" s="69"/>
      <c r="AA58" s="63">
        <f t="shared" si="20"/>
        <v>0</v>
      </c>
      <c r="AB58" s="153" t="str">
        <f t="shared" si="21"/>
        <v>000</v>
      </c>
      <c r="AC58" s="165" t="str">
        <f t="shared" si="22"/>
        <v>00000000</v>
      </c>
      <c r="AD58" s="98" t="str">
        <f t="shared" si="23"/>
        <v>00000000</v>
      </c>
      <c r="AE58" s="150">
        <f t="shared" si="24"/>
        <v>0</v>
      </c>
      <c r="AF58" s="150">
        <f t="shared" si="25"/>
        <v>0</v>
      </c>
      <c r="AG58" s="98" t="str">
        <f t="shared" si="26"/>
        <v>0000000000</v>
      </c>
      <c r="AH58" s="151">
        <f t="shared" si="27"/>
        <v>0</v>
      </c>
      <c r="AI58" s="98" t="str">
        <f t="shared" si="28"/>
        <v>00</v>
      </c>
      <c r="AJ58" s="98" t="str">
        <f t="shared" si="29"/>
        <v>000000000000</v>
      </c>
      <c r="AK58" s="161" t="str">
        <f t="shared" si="30"/>
        <v xml:space="preserve">                              </v>
      </c>
      <c r="AL58" s="154">
        <f t="shared" si="31"/>
        <v>0</v>
      </c>
      <c r="AM58" s="155">
        <f t="shared" si="32"/>
        <v>0</v>
      </c>
      <c r="AP58" s="63" t="str">
        <f t="shared" si="33"/>
        <v/>
      </c>
      <c r="AQ58" s="63" t="str">
        <f t="shared" si="34"/>
        <v/>
      </c>
      <c r="AR58" s="152" t="str">
        <f t="shared" si="35"/>
        <v/>
      </c>
      <c r="AS58" s="109" t="str">
        <f t="shared" si="36"/>
        <v/>
      </c>
      <c r="AT58" s="63" t="str">
        <f t="shared" si="37"/>
        <v xml:space="preserve">                    </v>
      </c>
    </row>
    <row r="59" spans="1:46" ht="12.75" x14ac:dyDescent="0.2">
      <c r="A59" s="63" t="str">
        <f t="shared" si="17"/>
        <v/>
      </c>
      <c r="B59" s="185"/>
      <c r="C59" s="184"/>
      <c r="D59" s="184"/>
      <c r="E59" s="184"/>
      <c r="F59" s="184"/>
      <c r="G59" s="185"/>
      <c r="H59" s="185"/>
      <c r="I59" s="186"/>
      <c r="J59" s="69"/>
      <c r="AA59" s="63">
        <f t="shared" si="20"/>
        <v>0</v>
      </c>
      <c r="AB59" s="153" t="str">
        <f t="shared" si="21"/>
        <v>000</v>
      </c>
      <c r="AC59" s="165" t="str">
        <f t="shared" si="22"/>
        <v>00000000</v>
      </c>
      <c r="AD59" s="98" t="str">
        <f t="shared" si="23"/>
        <v>00000000</v>
      </c>
      <c r="AE59" s="150">
        <f t="shared" si="24"/>
        <v>0</v>
      </c>
      <c r="AF59" s="150">
        <f t="shared" si="25"/>
        <v>0</v>
      </c>
      <c r="AG59" s="98" t="str">
        <f t="shared" si="26"/>
        <v>0000000000</v>
      </c>
      <c r="AH59" s="151">
        <f t="shared" si="27"/>
        <v>0</v>
      </c>
      <c r="AI59" s="98" t="str">
        <f t="shared" si="28"/>
        <v>00</v>
      </c>
      <c r="AJ59" s="98" t="str">
        <f t="shared" si="29"/>
        <v>000000000000</v>
      </c>
      <c r="AK59" s="161" t="str">
        <f t="shared" si="30"/>
        <v xml:space="preserve">                              </v>
      </c>
      <c r="AL59" s="154">
        <f t="shared" si="31"/>
        <v>0</v>
      </c>
      <c r="AM59" s="155">
        <f t="shared" si="32"/>
        <v>0</v>
      </c>
      <c r="AP59" s="63" t="str">
        <f t="shared" si="33"/>
        <v/>
      </c>
      <c r="AQ59" s="63" t="str">
        <f t="shared" si="34"/>
        <v/>
      </c>
      <c r="AR59" s="152" t="str">
        <f t="shared" si="35"/>
        <v/>
      </c>
      <c r="AS59" s="109" t="str">
        <f t="shared" si="36"/>
        <v/>
      </c>
      <c r="AT59" s="63" t="str">
        <f t="shared" si="37"/>
        <v xml:space="preserve">                    </v>
      </c>
    </row>
    <row r="60" spans="1:46" ht="12.75" x14ac:dyDescent="0.2">
      <c r="A60" s="63" t="str">
        <f t="shared" si="17"/>
        <v/>
      </c>
      <c r="B60" s="185"/>
      <c r="C60" s="184"/>
      <c r="D60" s="184"/>
      <c r="E60" s="184"/>
      <c r="F60" s="184"/>
      <c r="G60" s="185"/>
      <c r="H60" s="185"/>
      <c r="I60" s="186"/>
      <c r="J60" s="69"/>
      <c r="AA60" s="63">
        <f t="shared" si="20"/>
        <v>0</v>
      </c>
      <c r="AB60" s="153" t="str">
        <f t="shared" si="21"/>
        <v>000</v>
      </c>
      <c r="AC60" s="165" t="str">
        <f t="shared" si="22"/>
        <v>00000000</v>
      </c>
      <c r="AD60" s="98" t="str">
        <f t="shared" si="23"/>
        <v>00000000</v>
      </c>
      <c r="AE60" s="150">
        <f t="shared" si="24"/>
        <v>0</v>
      </c>
      <c r="AF60" s="150">
        <f t="shared" si="25"/>
        <v>0</v>
      </c>
      <c r="AG60" s="98" t="str">
        <f t="shared" si="26"/>
        <v>0000000000</v>
      </c>
      <c r="AH60" s="151">
        <f t="shared" si="27"/>
        <v>0</v>
      </c>
      <c r="AI60" s="98" t="str">
        <f t="shared" si="28"/>
        <v>00</v>
      </c>
      <c r="AJ60" s="98" t="str">
        <f t="shared" si="29"/>
        <v>000000000000</v>
      </c>
      <c r="AK60" s="161" t="str">
        <f t="shared" si="30"/>
        <v xml:space="preserve">                              </v>
      </c>
      <c r="AL60" s="154">
        <f t="shared" si="31"/>
        <v>0</v>
      </c>
      <c r="AM60" s="155">
        <f t="shared" si="32"/>
        <v>0</v>
      </c>
      <c r="AP60" s="63" t="str">
        <f t="shared" si="33"/>
        <v/>
      </c>
      <c r="AQ60" s="63" t="str">
        <f t="shared" si="34"/>
        <v/>
      </c>
      <c r="AR60" s="152" t="str">
        <f t="shared" si="35"/>
        <v/>
      </c>
      <c r="AS60" s="109" t="str">
        <f t="shared" si="36"/>
        <v/>
      </c>
      <c r="AT60" s="63" t="str">
        <f t="shared" si="37"/>
        <v xml:space="preserve">                    </v>
      </c>
    </row>
    <row r="61" spans="1:46" ht="12.75" x14ac:dyDescent="0.2">
      <c r="A61" s="63" t="str">
        <f t="shared" si="17"/>
        <v/>
      </c>
      <c r="B61" s="185"/>
      <c r="C61" s="184"/>
      <c r="D61" s="184"/>
      <c r="E61" s="184"/>
      <c r="F61" s="184"/>
      <c r="G61" s="185"/>
      <c r="H61" s="185"/>
      <c r="I61" s="186"/>
      <c r="J61" s="69"/>
      <c r="AA61" s="63">
        <f t="shared" si="20"/>
        <v>0</v>
      </c>
      <c r="AB61" s="153" t="str">
        <f t="shared" si="21"/>
        <v>000</v>
      </c>
      <c r="AC61" s="165" t="str">
        <f t="shared" si="22"/>
        <v>00000000</v>
      </c>
      <c r="AD61" s="98" t="str">
        <f t="shared" si="23"/>
        <v>00000000</v>
      </c>
      <c r="AE61" s="150">
        <f t="shared" si="24"/>
        <v>0</v>
      </c>
      <c r="AF61" s="150">
        <f t="shared" si="25"/>
        <v>0</v>
      </c>
      <c r="AG61" s="98" t="str">
        <f t="shared" si="26"/>
        <v>0000000000</v>
      </c>
      <c r="AH61" s="151">
        <f t="shared" si="27"/>
        <v>0</v>
      </c>
      <c r="AI61" s="98" t="str">
        <f t="shared" si="28"/>
        <v>00</v>
      </c>
      <c r="AJ61" s="98" t="str">
        <f t="shared" si="29"/>
        <v>000000000000</v>
      </c>
      <c r="AK61" s="161" t="str">
        <f t="shared" si="30"/>
        <v xml:space="preserve">                              </v>
      </c>
      <c r="AL61" s="154">
        <f t="shared" si="31"/>
        <v>0</v>
      </c>
      <c r="AM61" s="155">
        <f t="shared" si="32"/>
        <v>0</v>
      </c>
      <c r="AP61" s="63" t="str">
        <f t="shared" si="33"/>
        <v/>
      </c>
      <c r="AQ61" s="63" t="str">
        <f t="shared" si="34"/>
        <v/>
      </c>
      <c r="AR61" s="152" t="str">
        <f t="shared" si="35"/>
        <v/>
      </c>
      <c r="AS61" s="109" t="str">
        <f t="shared" si="36"/>
        <v/>
      </c>
      <c r="AT61" s="63" t="str">
        <f t="shared" si="37"/>
        <v xml:space="preserve">                    </v>
      </c>
    </row>
    <row r="62" spans="1:46" ht="12.75" x14ac:dyDescent="0.2">
      <c r="A62" s="63" t="str">
        <f t="shared" si="17"/>
        <v/>
      </c>
      <c r="B62" s="185"/>
      <c r="C62" s="184"/>
      <c r="D62" s="184"/>
      <c r="E62" s="184"/>
      <c r="F62" s="184"/>
      <c r="G62" s="185"/>
      <c r="H62" s="185"/>
      <c r="I62" s="186"/>
      <c r="J62" s="69"/>
      <c r="AA62" s="63">
        <f t="shared" si="20"/>
        <v>0</v>
      </c>
      <c r="AB62" s="153" t="str">
        <f t="shared" si="21"/>
        <v>000</v>
      </c>
      <c r="AC62" s="165" t="str">
        <f t="shared" si="22"/>
        <v>00000000</v>
      </c>
      <c r="AD62" s="98" t="str">
        <f t="shared" si="23"/>
        <v>00000000</v>
      </c>
      <c r="AE62" s="150">
        <f t="shared" si="24"/>
        <v>0</v>
      </c>
      <c r="AF62" s="150">
        <f t="shared" si="25"/>
        <v>0</v>
      </c>
      <c r="AG62" s="98" t="str">
        <f t="shared" si="26"/>
        <v>0000000000</v>
      </c>
      <c r="AH62" s="151">
        <f t="shared" si="27"/>
        <v>0</v>
      </c>
      <c r="AI62" s="98" t="str">
        <f t="shared" si="28"/>
        <v>00</v>
      </c>
      <c r="AJ62" s="98" t="str">
        <f t="shared" si="29"/>
        <v>000000000000</v>
      </c>
      <c r="AK62" s="161" t="str">
        <f t="shared" si="30"/>
        <v xml:space="preserve">                              </v>
      </c>
      <c r="AL62" s="154">
        <f t="shared" si="31"/>
        <v>0</v>
      </c>
      <c r="AM62" s="155">
        <f t="shared" si="32"/>
        <v>0</v>
      </c>
      <c r="AP62" s="63" t="str">
        <f t="shared" si="33"/>
        <v/>
      </c>
      <c r="AQ62" s="63" t="str">
        <f t="shared" si="34"/>
        <v/>
      </c>
      <c r="AR62" s="152" t="str">
        <f t="shared" si="35"/>
        <v/>
      </c>
      <c r="AS62" s="109" t="str">
        <f t="shared" si="36"/>
        <v/>
      </c>
      <c r="AT62" s="63" t="str">
        <f t="shared" si="37"/>
        <v xml:space="preserve">                    </v>
      </c>
    </row>
    <row r="63" spans="1:46" ht="12.75" x14ac:dyDescent="0.2">
      <c r="A63" s="63" t="str">
        <f t="shared" si="17"/>
        <v/>
      </c>
      <c r="B63" s="185"/>
      <c r="C63" s="184"/>
      <c r="D63" s="184"/>
      <c r="E63" s="184"/>
      <c r="F63" s="184"/>
      <c r="G63" s="185"/>
      <c r="H63" s="185"/>
      <c r="I63" s="186"/>
      <c r="J63" s="69"/>
      <c r="AA63" s="63">
        <f t="shared" si="20"/>
        <v>0</v>
      </c>
      <c r="AB63" s="153" t="str">
        <f t="shared" si="21"/>
        <v>000</v>
      </c>
      <c r="AC63" s="165" t="str">
        <f t="shared" si="22"/>
        <v>00000000</v>
      </c>
      <c r="AD63" s="98" t="str">
        <f t="shared" si="23"/>
        <v>00000000</v>
      </c>
      <c r="AE63" s="150">
        <f t="shared" si="24"/>
        <v>0</v>
      </c>
      <c r="AF63" s="150">
        <f t="shared" si="25"/>
        <v>0</v>
      </c>
      <c r="AG63" s="98" t="str">
        <f t="shared" si="26"/>
        <v>0000000000</v>
      </c>
      <c r="AH63" s="151">
        <f t="shared" si="27"/>
        <v>0</v>
      </c>
      <c r="AI63" s="98" t="str">
        <f t="shared" si="28"/>
        <v>00</v>
      </c>
      <c r="AJ63" s="98" t="str">
        <f t="shared" si="29"/>
        <v>000000000000</v>
      </c>
      <c r="AK63" s="161" t="str">
        <f t="shared" si="30"/>
        <v xml:space="preserve">                              </v>
      </c>
      <c r="AL63" s="154">
        <f t="shared" si="31"/>
        <v>0</v>
      </c>
      <c r="AM63" s="155">
        <f t="shared" si="32"/>
        <v>0</v>
      </c>
      <c r="AP63" s="63" t="str">
        <f t="shared" si="33"/>
        <v/>
      </c>
      <c r="AQ63" s="63" t="str">
        <f t="shared" si="34"/>
        <v/>
      </c>
      <c r="AR63" s="152" t="str">
        <f t="shared" si="35"/>
        <v/>
      </c>
      <c r="AS63" s="109" t="str">
        <f t="shared" si="36"/>
        <v/>
      </c>
      <c r="AT63" s="63" t="str">
        <f t="shared" si="37"/>
        <v xml:space="preserve">                    </v>
      </c>
    </row>
    <row r="64" spans="1:46" ht="12.75" x14ac:dyDescent="0.2">
      <c r="A64" s="63" t="str">
        <f t="shared" si="17"/>
        <v/>
      </c>
      <c r="B64" s="185"/>
      <c r="C64" s="184"/>
      <c r="D64" s="184"/>
      <c r="E64" s="184"/>
      <c r="F64" s="184"/>
      <c r="G64" s="185"/>
      <c r="H64" s="185"/>
      <c r="I64" s="186"/>
      <c r="J64" s="69"/>
      <c r="AA64" s="63">
        <f t="shared" si="20"/>
        <v>0</v>
      </c>
      <c r="AB64" s="153" t="str">
        <f t="shared" si="21"/>
        <v>000</v>
      </c>
      <c r="AC64" s="165" t="str">
        <f t="shared" si="22"/>
        <v>00000000</v>
      </c>
      <c r="AD64" s="98" t="str">
        <f t="shared" si="23"/>
        <v>00000000</v>
      </c>
      <c r="AE64" s="150">
        <f t="shared" si="24"/>
        <v>0</v>
      </c>
      <c r="AF64" s="150">
        <f t="shared" si="25"/>
        <v>0</v>
      </c>
      <c r="AG64" s="98" t="str">
        <f t="shared" si="26"/>
        <v>0000000000</v>
      </c>
      <c r="AH64" s="151">
        <f t="shared" si="27"/>
        <v>0</v>
      </c>
      <c r="AI64" s="98" t="str">
        <f t="shared" si="28"/>
        <v>00</v>
      </c>
      <c r="AJ64" s="98" t="str">
        <f t="shared" si="29"/>
        <v>000000000000</v>
      </c>
      <c r="AK64" s="161" t="str">
        <f t="shared" si="30"/>
        <v xml:space="preserve">                              </v>
      </c>
      <c r="AL64" s="154">
        <f t="shared" si="31"/>
        <v>0</v>
      </c>
      <c r="AM64" s="155">
        <f t="shared" si="32"/>
        <v>0</v>
      </c>
      <c r="AP64" s="63" t="str">
        <f t="shared" si="33"/>
        <v/>
      </c>
      <c r="AQ64" s="63" t="str">
        <f t="shared" si="34"/>
        <v/>
      </c>
      <c r="AR64" s="152" t="str">
        <f t="shared" si="35"/>
        <v/>
      </c>
      <c r="AS64" s="109" t="str">
        <f t="shared" si="36"/>
        <v/>
      </c>
      <c r="AT64" s="63" t="str">
        <f t="shared" si="37"/>
        <v xml:space="preserve">                    </v>
      </c>
    </row>
    <row r="65" spans="1:46" ht="12.75" x14ac:dyDescent="0.2">
      <c r="A65" s="63" t="str">
        <f t="shared" si="17"/>
        <v/>
      </c>
      <c r="B65" s="185"/>
      <c r="C65" s="184"/>
      <c r="D65" s="184"/>
      <c r="E65" s="184"/>
      <c r="F65" s="184"/>
      <c r="G65" s="185"/>
      <c r="H65" s="185"/>
      <c r="I65" s="186"/>
      <c r="J65" s="69"/>
      <c r="AA65" s="63">
        <f t="shared" si="20"/>
        <v>0</v>
      </c>
      <c r="AB65" s="153" t="str">
        <f t="shared" si="21"/>
        <v>000</v>
      </c>
      <c r="AC65" s="165" t="str">
        <f t="shared" si="22"/>
        <v>00000000</v>
      </c>
      <c r="AD65" s="98" t="str">
        <f t="shared" si="23"/>
        <v>00000000</v>
      </c>
      <c r="AE65" s="150">
        <f t="shared" si="24"/>
        <v>0</v>
      </c>
      <c r="AF65" s="150">
        <f t="shared" si="25"/>
        <v>0</v>
      </c>
      <c r="AG65" s="98" t="str">
        <f t="shared" si="26"/>
        <v>0000000000</v>
      </c>
      <c r="AH65" s="151">
        <f t="shared" si="27"/>
        <v>0</v>
      </c>
      <c r="AI65" s="98" t="str">
        <f t="shared" si="28"/>
        <v>00</v>
      </c>
      <c r="AJ65" s="98" t="str">
        <f t="shared" si="29"/>
        <v>000000000000</v>
      </c>
      <c r="AK65" s="161" t="str">
        <f t="shared" si="30"/>
        <v xml:space="preserve">                              </v>
      </c>
      <c r="AL65" s="154">
        <f t="shared" si="31"/>
        <v>0</v>
      </c>
      <c r="AM65" s="155">
        <f t="shared" si="32"/>
        <v>0</v>
      </c>
      <c r="AP65" s="63" t="str">
        <f t="shared" si="33"/>
        <v/>
      </c>
      <c r="AQ65" s="63" t="str">
        <f t="shared" si="34"/>
        <v/>
      </c>
      <c r="AR65" s="152" t="str">
        <f t="shared" si="35"/>
        <v/>
      </c>
      <c r="AS65" s="109" t="str">
        <f t="shared" si="36"/>
        <v/>
      </c>
      <c r="AT65" s="63" t="str">
        <f t="shared" si="37"/>
        <v xml:space="preserve">                    </v>
      </c>
    </row>
    <row r="66" spans="1:46" ht="12.75" x14ac:dyDescent="0.2">
      <c r="A66" s="63" t="str">
        <f t="shared" si="17"/>
        <v/>
      </c>
      <c r="B66" s="185"/>
      <c r="C66" s="184"/>
      <c r="D66" s="184"/>
      <c r="E66" s="184"/>
      <c r="F66" s="184"/>
      <c r="G66" s="185"/>
      <c r="H66" s="185"/>
      <c r="I66" s="186"/>
      <c r="J66" s="69"/>
      <c r="AA66" s="63">
        <f t="shared" si="20"/>
        <v>0</v>
      </c>
      <c r="AB66" s="153" t="str">
        <f t="shared" si="21"/>
        <v>000</v>
      </c>
      <c r="AC66" s="165" t="str">
        <f t="shared" si="22"/>
        <v>00000000</v>
      </c>
      <c r="AD66" s="98" t="str">
        <f t="shared" si="23"/>
        <v>00000000</v>
      </c>
      <c r="AE66" s="150">
        <f t="shared" si="24"/>
        <v>0</v>
      </c>
      <c r="AF66" s="150">
        <f t="shared" si="25"/>
        <v>0</v>
      </c>
      <c r="AG66" s="98" t="str">
        <f t="shared" si="26"/>
        <v>0000000000</v>
      </c>
      <c r="AH66" s="151">
        <f t="shared" si="27"/>
        <v>0</v>
      </c>
      <c r="AI66" s="98" t="str">
        <f t="shared" si="28"/>
        <v>00</v>
      </c>
      <c r="AJ66" s="98" t="str">
        <f t="shared" si="29"/>
        <v>000000000000</v>
      </c>
      <c r="AK66" s="161" t="str">
        <f t="shared" si="30"/>
        <v xml:space="preserve">                              </v>
      </c>
      <c r="AL66" s="154">
        <f t="shared" si="31"/>
        <v>0</v>
      </c>
      <c r="AM66" s="155">
        <f t="shared" si="32"/>
        <v>0</v>
      </c>
      <c r="AP66" s="63" t="str">
        <f t="shared" si="33"/>
        <v/>
      </c>
      <c r="AQ66" s="63" t="str">
        <f t="shared" si="34"/>
        <v/>
      </c>
      <c r="AR66" s="152" t="str">
        <f t="shared" si="35"/>
        <v/>
      </c>
      <c r="AS66" s="109" t="str">
        <f t="shared" si="36"/>
        <v/>
      </c>
      <c r="AT66" s="63" t="str">
        <f t="shared" si="37"/>
        <v xml:space="preserve">                    </v>
      </c>
    </row>
    <row r="67" spans="1:46" ht="12.75" x14ac:dyDescent="0.2">
      <c r="A67" s="63" t="str">
        <f t="shared" si="17"/>
        <v/>
      </c>
      <c r="B67" s="185"/>
      <c r="C67" s="184"/>
      <c r="D67" s="184"/>
      <c r="E67" s="184"/>
      <c r="F67" s="184"/>
      <c r="G67" s="185"/>
      <c r="H67" s="185"/>
      <c r="I67" s="186"/>
      <c r="J67" s="69"/>
      <c r="AA67" s="63">
        <f t="shared" si="20"/>
        <v>0</v>
      </c>
      <c r="AB67" s="153" t="str">
        <f t="shared" si="21"/>
        <v>000</v>
      </c>
      <c r="AC67" s="165" t="str">
        <f t="shared" si="22"/>
        <v>00000000</v>
      </c>
      <c r="AD67" s="98" t="str">
        <f t="shared" si="23"/>
        <v>00000000</v>
      </c>
      <c r="AE67" s="150">
        <f t="shared" si="24"/>
        <v>0</v>
      </c>
      <c r="AF67" s="150">
        <f t="shared" si="25"/>
        <v>0</v>
      </c>
      <c r="AG67" s="98" t="str">
        <f t="shared" si="26"/>
        <v>0000000000</v>
      </c>
      <c r="AH67" s="151">
        <f t="shared" si="27"/>
        <v>0</v>
      </c>
      <c r="AI67" s="98" t="str">
        <f t="shared" si="28"/>
        <v>00</v>
      </c>
      <c r="AJ67" s="98" t="str">
        <f t="shared" si="29"/>
        <v>000000000000</v>
      </c>
      <c r="AK67" s="161" t="str">
        <f t="shared" si="30"/>
        <v xml:space="preserve">                              </v>
      </c>
      <c r="AL67" s="154">
        <f t="shared" si="31"/>
        <v>0</v>
      </c>
      <c r="AM67" s="155">
        <f t="shared" si="32"/>
        <v>0</v>
      </c>
      <c r="AP67" s="63" t="str">
        <f t="shared" si="33"/>
        <v/>
      </c>
      <c r="AQ67" s="63" t="str">
        <f t="shared" si="34"/>
        <v/>
      </c>
      <c r="AR67" s="152" t="str">
        <f t="shared" si="35"/>
        <v/>
      </c>
      <c r="AS67" s="109" t="str">
        <f t="shared" si="36"/>
        <v/>
      </c>
      <c r="AT67" s="63" t="str">
        <f t="shared" si="37"/>
        <v xml:space="preserve">                    </v>
      </c>
    </row>
    <row r="68" spans="1:46" ht="12.75" x14ac:dyDescent="0.2">
      <c r="A68" s="63" t="str">
        <f t="shared" si="17"/>
        <v/>
      </c>
      <c r="B68" s="185"/>
      <c r="C68" s="184"/>
      <c r="D68" s="184"/>
      <c r="E68" s="184"/>
      <c r="F68" s="184"/>
      <c r="G68" s="185"/>
      <c r="H68" s="185"/>
      <c r="I68" s="186"/>
      <c r="J68" s="69"/>
      <c r="AA68" s="63">
        <f t="shared" si="20"/>
        <v>0</v>
      </c>
      <c r="AB68" s="153" t="str">
        <f t="shared" si="21"/>
        <v>000</v>
      </c>
      <c r="AC68" s="165" t="str">
        <f t="shared" si="22"/>
        <v>00000000</v>
      </c>
      <c r="AD68" s="98" t="str">
        <f t="shared" si="23"/>
        <v>00000000</v>
      </c>
      <c r="AE68" s="150">
        <f t="shared" si="24"/>
        <v>0</v>
      </c>
      <c r="AF68" s="150">
        <f t="shared" si="25"/>
        <v>0</v>
      </c>
      <c r="AG68" s="98" t="str">
        <f t="shared" si="26"/>
        <v>0000000000</v>
      </c>
      <c r="AH68" s="151">
        <f t="shared" si="27"/>
        <v>0</v>
      </c>
      <c r="AI68" s="98" t="str">
        <f t="shared" si="28"/>
        <v>00</v>
      </c>
      <c r="AJ68" s="98" t="str">
        <f t="shared" si="29"/>
        <v>000000000000</v>
      </c>
      <c r="AK68" s="161" t="str">
        <f t="shared" si="30"/>
        <v xml:space="preserve">                              </v>
      </c>
      <c r="AL68" s="154">
        <f t="shared" si="31"/>
        <v>0</v>
      </c>
      <c r="AM68" s="155">
        <f t="shared" si="32"/>
        <v>0</v>
      </c>
      <c r="AP68" s="63" t="str">
        <f t="shared" si="33"/>
        <v/>
      </c>
      <c r="AQ68" s="63" t="str">
        <f t="shared" si="34"/>
        <v/>
      </c>
      <c r="AR68" s="152" t="str">
        <f t="shared" si="35"/>
        <v/>
      </c>
      <c r="AS68" s="109" t="str">
        <f t="shared" si="36"/>
        <v/>
      </c>
      <c r="AT68" s="63" t="str">
        <f t="shared" si="37"/>
        <v xml:space="preserve">                    </v>
      </c>
    </row>
    <row r="69" spans="1:46" ht="12.75" x14ac:dyDescent="0.2">
      <c r="A69" s="63" t="str">
        <f t="shared" si="17"/>
        <v/>
      </c>
      <c r="B69" s="185"/>
      <c r="C69" s="184"/>
      <c r="D69" s="184"/>
      <c r="E69" s="184"/>
      <c r="F69" s="184"/>
      <c r="G69" s="185"/>
      <c r="H69" s="185"/>
      <c r="I69" s="186"/>
      <c r="J69" s="69"/>
      <c r="AA69" s="63">
        <f t="shared" si="20"/>
        <v>0</v>
      </c>
      <c r="AB69" s="153" t="str">
        <f t="shared" si="21"/>
        <v>000</v>
      </c>
      <c r="AC69" s="165" t="str">
        <f t="shared" si="22"/>
        <v>00000000</v>
      </c>
      <c r="AD69" s="98" t="str">
        <f t="shared" si="23"/>
        <v>00000000</v>
      </c>
      <c r="AE69" s="150">
        <f t="shared" si="24"/>
        <v>0</v>
      </c>
      <c r="AF69" s="150">
        <f t="shared" si="25"/>
        <v>0</v>
      </c>
      <c r="AG69" s="98" t="str">
        <f t="shared" si="26"/>
        <v>0000000000</v>
      </c>
      <c r="AH69" s="151">
        <f t="shared" si="27"/>
        <v>0</v>
      </c>
      <c r="AI69" s="98" t="str">
        <f t="shared" si="28"/>
        <v>00</v>
      </c>
      <c r="AJ69" s="98" t="str">
        <f t="shared" si="29"/>
        <v>000000000000</v>
      </c>
      <c r="AK69" s="161" t="str">
        <f t="shared" si="30"/>
        <v xml:space="preserve">                              </v>
      </c>
      <c r="AL69" s="154">
        <f t="shared" si="31"/>
        <v>0</v>
      </c>
      <c r="AM69" s="155">
        <f t="shared" si="32"/>
        <v>0</v>
      </c>
      <c r="AP69" s="63" t="str">
        <f t="shared" si="33"/>
        <v/>
      </c>
      <c r="AQ69" s="63" t="str">
        <f t="shared" si="34"/>
        <v/>
      </c>
      <c r="AR69" s="152" t="str">
        <f t="shared" si="35"/>
        <v/>
      </c>
      <c r="AS69" s="109" t="str">
        <f t="shared" si="36"/>
        <v/>
      </c>
      <c r="AT69" s="63" t="str">
        <f t="shared" si="37"/>
        <v xml:space="preserve">                    </v>
      </c>
    </row>
    <row r="70" spans="1:46" ht="12.75" x14ac:dyDescent="0.2">
      <c r="A70" s="63" t="str">
        <f t="shared" ref="A70:A133" si="38">IF(B70&lt;&gt;"",A69+1,"")</f>
        <v/>
      </c>
      <c r="B70" s="185"/>
      <c r="C70" s="184"/>
      <c r="D70" s="184"/>
      <c r="E70" s="184"/>
      <c r="F70" s="184"/>
      <c r="G70" s="185"/>
      <c r="H70" s="185"/>
      <c r="I70" s="186"/>
      <c r="J70" s="69"/>
      <c r="AA70" s="63">
        <f t="shared" si="20"/>
        <v>0</v>
      </c>
      <c r="AB70" s="153" t="str">
        <f t="shared" si="21"/>
        <v>000</v>
      </c>
      <c r="AC70" s="165" t="str">
        <f t="shared" si="22"/>
        <v>00000000</v>
      </c>
      <c r="AD70" s="98" t="str">
        <f t="shared" si="23"/>
        <v>00000000</v>
      </c>
      <c r="AE70" s="150">
        <f t="shared" si="24"/>
        <v>0</v>
      </c>
      <c r="AF70" s="150">
        <f t="shared" si="25"/>
        <v>0</v>
      </c>
      <c r="AG70" s="98" t="str">
        <f t="shared" si="26"/>
        <v>0000000000</v>
      </c>
      <c r="AH70" s="151">
        <f t="shared" si="27"/>
        <v>0</v>
      </c>
      <c r="AI70" s="98" t="str">
        <f t="shared" si="28"/>
        <v>00</v>
      </c>
      <c r="AJ70" s="98" t="str">
        <f t="shared" si="29"/>
        <v>000000000000</v>
      </c>
      <c r="AK70" s="161" t="str">
        <f t="shared" si="30"/>
        <v xml:space="preserve">                              </v>
      </c>
      <c r="AL70" s="154">
        <f t="shared" si="31"/>
        <v>0</v>
      </c>
      <c r="AM70" s="155">
        <f t="shared" si="32"/>
        <v>0</v>
      </c>
      <c r="AP70" s="63" t="str">
        <f t="shared" si="33"/>
        <v/>
      </c>
      <c r="AQ70" s="63" t="str">
        <f t="shared" si="34"/>
        <v/>
      </c>
      <c r="AR70" s="152" t="str">
        <f t="shared" si="35"/>
        <v/>
      </c>
      <c r="AS70" s="109" t="str">
        <f t="shared" si="36"/>
        <v/>
      </c>
      <c r="AT70" s="63" t="str">
        <f t="shared" si="37"/>
        <v xml:space="preserve">                    </v>
      </c>
    </row>
    <row r="71" spans="1:46" ht="12.75" x14ac:dyDescent="0.2">
      <c r="A71" s="63" t="str">
        <f t="shared" si="38"/>
        <v/>
      </c>
      <c r="B71" s="185"/>
      <c r="C71" s="184"/>
      <c r="D71" s="184"/>
      <c r="E71" s="184"/>
      <c r="F71" s="184"/>
      <c r="G71" s="185"/>
      <c r="H71" s="185"/>
      <c r="I71" s="186"/>
      <c r="J71" s="69"/>
      <c r="AA71" s="63">
        <f t="shared" si="20"/>
        <v>0</v>
      </c>
      <c r="AB71" s="153" t="str">
        <f t="shared" si="21"/>
        <v>000</v>
      </c>
      <c r="AC71" s="165" t="str">
        <f t="shared" si="22"/>
        <v>00000000</v>
      </c>
      <c r="AD71" s="98" t="str">
        <f t="shared" si="23"/>
        <v>00000000</v>
      </c>
      <c r="AE71" s="150">
        <f t="shared" si="24"/>
        <v>0</v>
      </c>
      <c r="AF71" s="150">
        <f t="shared" si="25"/>
        <v>0</v>
      </c>
      <c r="AG71" s="98" t="str">
        <f t="shared" si="26"/>
        <v>0000000000</v>
      </c>
      <c r="AH71" s="151">
        <f t="shared" si="27"/>
        <v>0</v>
      </c>
      <c r="AI71" s="98" t="str">
        <f t="shared" si="28"/>
        <v>00</v>
      </c>
      <c r="AJ71" s="98" t="str">
        <f t="shared" si="29"/>
        <v>000000000000</v>
      </c>
      <c r="AK71" s="161" t="str">
        <f t="shared" si="30"/>
        <v xml:space="preserve">                              </v>
      </c>
      <c r="AL71" s="154">
        <f t="shared" si="31"/>
        <v>0</v>
      </c>
      <c r="AM71" s="155">
        <f t="shared" si="32"/>
        <v>0</v>
      </c>
      <c r="AP71" s="63" t="str">
        <f t="shared" si="33"/>
        <v/>
      </c>
      <c r="AQ71" s="63" t="str">
        <f t="shared" si="34"/>
        <v/>
      </c>
      <c r="AR71" s="152" t="str">
        <f t="shared" si="35"/>
        <v/>
      </c>
      <c r="AS71" s="109" t="str">
        <f t="shared" si="36"/>
        <v/>
      </c>
      <c r="AT71" s="63" t="str">
        <f t="shared" si="37"/>
        <v xml:space="preserve">                    </v>
      </c>
    </row>
    <row r="72" spans="1:46" ht="12.75" x14ac:dyDescent="0.2">
      <c r="A72" s="63" t="str">
        <f t="shared" si="38"/>
        <v/>
      </c>
      <c r="B72" s="185"/>
      <c r="C72" s="184"/>
      <c r="D72" s="184"/>
      <c r="E72" s="184"/>
      <c r="F72" s="184"/>
      <c r="G72" s="185"/>
      <c r="H72" s="185"/>
      <c r="I72" s="186"/>
      <c r="J72" s="69"/>
      <c r="AA72" s="63">
        <f t="shared" si="20"/>
        <v>0</v>
      </c>
      <c r="AB72" s="153" t="str">
        <f t="shared" si="21"/>
        <v>000</v>
      </c>
      <c r="AC72" s="165" t="str">
        <f t="shared" si="22"/>
        <v>00000000</v>
      </c>
      <c r="AD72" s="98" t="str">
        <f t="shared" si="23"/>
        <v>00000000</v>
      </c>
      <c r="AE72" s="150">
        <f t="shared" si="24"/>
        <v>0</v>
      </c>
      <c r="AF72" s="150">
        <f t="shared" si="25"/>
        <v>0</v>
      </c>
      <c r="AG72" s="98" t="str">
        <f t="shared" si="26"/>
        <v>0000000000</v>
      </c>
      <c r="AH72" s="151">
        <f t="shared" si="27"/>
        <v>0</v>
      </c>
      <c r="AI72" s="98" t="str">
        <f t="shared" si="28"/>
        <v>00</v>
      </c>
      <c r="AJ72" s="98" t="str">
        <f t="shared" si="29"/>
        <v>000000000000</v>
      </c>
      <c r="AK72" s="161" t="str">
        <f t="shared" si="30"/>
        <v xml:space="preserve">                              </v>
      </c>
      <c r="AL72" s="154">
        <f t="shared" si="31"/>
        <v>0</v>
      </c>
      <c r="AM72" s="155">
        <f t="shared" si="32"/>
        <v>0</v>
      </c>
      <c r="AP72" s="63" t="str">
        <f t="shared" si="33"/>
        <v/>
      </c>
      <c r="AQ72" s="63" t="str">
        <f t="shared" si="34"/>
        <v/>
      </c>
      <c r="AR72" s="152" t="str">
        <f t="shared" si="35"/>
        <v/>
      </c>
      <c r="AS72" s="109" t="str">
        <f t="shared" si="36"/>
        <v/>
      </c>
      <c r="AT72" s="63" t="str">
        <f t="shared" si="37"/>
        <v xml:space="preserve">                    </v>
      </c>
    </row>
    <row r="73" spans="1:46" ht="12.75" x14ac:dyDescent="0.2">
      <c r="A73" s="63" t="str">
        <f t="shared" si="38"/>
        <v/>
      </c>
      <c r="B73" s="185"/>
      <c r="C73" s="184"/>
      <c r="D73" s="184"/>
      <c r="E73" s="184"/>
      <c r="F73" s="184"/>
      <c r="G73" s="185"/>
      <c r="H73" s="185"/>
      <c r="I73" s="186"/>
      <c r="J73" s="69"/>
      <c r="AA73" s="63">
        <f t="shared" si="20"/>
        <v>0</v>
      </c>
      <c r="AB73" s="153" t="str">
        <f t="shared" si="21"/>
        <v>000</v>
      </c>
      <c r="AC73" s="165" t="str">
        <f t="shared" si="22"/>
        <v>00000000</v>
      </c>
      <c r="AD73" s="98" t="str">
        <f t="shared" si="23"/>
        <v>00000000</v>
      </c>
      <c r="AE73" s="150">
        <f t="shared" si="24"/>
        <v>0</v>
      </c>
      <c r="AF73" s="150">
        <f t="shared" si="25"/>
        <v>0</v>
      </c>
      <c r="AG73" s="98" t="str">
        <f t="shared" si="26"/>
        <v>0000000000</v>
      </c>
      <c r="AH73" s="151">
        <f t="shared" si="27"/>
        <v>0</v>
      </c>
      <c r="AI73" s="98" t="str">
        <f t="shared" si="28"/>
        <v>00</v>
      </c>
      <c r="AJ73" s="98" t="str">
        <f t="shared" si="29"/>
        <v>000000000000</v>
      </c>
      <c r="AK73" s="161" t="str">
        <f t="shared" si="30"/>
        <v xml:space="preserve">                              </v>
      </c>
      <c r="AL73" s="154">
        <f t="shared" si="31"/>
        <v>0</v>
      </c>
      <c r="AM73" s="155">
        <f t="shared" si="32"/>
        <v>0</v>
      </c>
      <c r="AP73" s="63" t="str">
        <f t="shared" si="33"/>
        <v/>
      </c>
      <c r="AQ73" s="63" t="str">
        <f t="shared" si="34"/>
        <v/>
      </c>
      <c r="AR73" s="152" t="str">
        <f t="shared" si="35"/>
        <v/>
      </c>
      <c r="AS73" s="109" t="str">
        <f t="shared" si="36"/>
        <v/>
      </c>
      <c r="AT73" s="63" t="str">
        <f t="shared" si="37"/>
        <v xml:space="preserve">                    </v>
      </c>
    </row>
    <row r="74" spans="1:46" ht="12.75" x14ac:dyDescent="0.2">
      <c r="A74" s="63" t="str">
        <f t="shared" si="38"/>
        <v/>
      </c>
      <c r="B74" s="185"/>
      <c r="C74" s="184"/>
      <c r="D74" s="184"/>
      <c r="E74" s="184"/>
      <c r="F74" s="184"/>
      <c r="G74" s="185"/>
      <c r="H74" s="185"/>
      <c r="I74" s="186"/>
      <c r="J74" s="69"/>
      <c r="AA74" s="63">
        <f t="shared" si="20"/>
        <v>0</v>
      </c>
      <c r="AB74" s="153" t="str">
        <f t="shared" si="21"/>
        <v>000</v>
      </c>
      <c r="AC74" s="165" t="str">
        <f t="shared" si="22"/>
        <v>00000000</v>
      </c>
      <c r="AD74" s="98" t="str">
        <f t="shared" si="23"/>
        <v>00000000</v>
      </c>
      <c r="AE74" s="150">
        <f t="shared" si="24"/>
        <v>0</v>
      </c>
      <c r="AF74" s="150">
        <f t="shared" si="25"/>
        <v>0</v>
      </c>
      <c r="AG74" s="98" t="str">
        <f t="shared" si="26"/>
        <v>0000000000</v>
      </c>
      <c r="AH74" s="151">
        <f t="shared" si="27"/>
        <v>0</v>
      </c>
      <c r="AI74" s="98" t="str">
        <f t="shared" si="28"/>
        <v>00</v>
      </c>
      <c r="AJ74" s="98" t="str">
        <f t="shared" si="29"/>
        <v>000000000000</v>
      </c>
      <c r="AK74" s="161" t="str">
        <f t="shared" si="30"/>
        <v xml:space="preserve">                              </v>
      </c>
      <c r="AL74" s="154">
        <f t="shared" si="31"/>
        <v>0</v>
      </c>
      <c r="AM74" s="155">
        <f t="shared" si="32"/>
        <v>0</v>
      </c>
      <c r="AP74" s="63" t="str">
        <f t="shared" si="33"/>
        <v/>
      </c>
      <c r="AQ74" s="63" t="str">
        <f t="shared" si="34"/>
        <v/>
      </c>
      <c r="AR74" s="152" t="str">
        <f t="shared" si="35"/>
        <v/>
      </c>
      <c r="AS74" s="109" t="str">
        <f t="shared" si="36"/>
        <v/>
      </c>
      <c r="AT74" s="63" t="str">
        <f t="shared" si="37"/>
        <v xml:space="preserve">                    </v>
      </c>
    </row>
    <row r="75" spans="1:46" ht="12.75" x14ac:dyDescent="0.2">
      <c r="A75" s="63" t="str">
        <f t="shared" si="38"/>
        <v/>
      </c>
      <c r="B75" s="185"/>
      <c r="C75" s="184"/>
      <c r="D75" s="184"/>
      <c r="E75" s="184"/>
      <c r="F75" s="184"/>
      <c r="G75" s="185"/>
      <c r="H75" s="185"/>
      <c r="I75" s="186"/>
      <c r="J75" s="69"/>
      <c r="AA75" s="63">
        <f t="shared" si="20"/>
        <v>0</v>
      </c>
      <c r="AB75" s="153" t="str">
        <f t="shared" si="21"/>
        <v>000</v>
      </c>
      <c r="AC75" s="165" t="str">
        <f t="shared" si="22"/>
        <v>00000000</v>
      </c>
      <c r="AD75" s="98" t="str">
        <f t="shared" si="23"/>
        <v>00000000</v>
      </c>
      <c r="AE75" s="150">
        <f t="shared" si="24"/>
        <v>0</v>
      </c>
      <c r="AF75" s="150">
        <f t="shared" si="25"/>
        <v>0</v>
      </c>
      <c r="AG75" s="98" t="str">
        <f t="shared" si="26"/>
        <v>0000000000</v>
      </c>
      <c r="AH75" s="151">
        <f t="shared" si="27"/>
        <v>0</v>
      </c>
      <c r="AI75" s="98" t="str">
        <f t="shared" si="28"/>
        <v>00</v>
      </c>
      <c r="AJ75" s="98" t="str">
        <f t="shared" si="29"/>
        <v>000000000000</v>
      </c>
      <c r="AK75" s="161" t="str">
        <f t="shared" si="30"/>
        <v xml:space="preserve">                              </v>
      </c>
      <c r="AL75" s="154">
        <f t="shared" si="31"/>
        <v>0</v>
      </c>
      <c r="AM75" s="155">
        <f t="shared" si="32"/>
        <v>0</v>
      </c>
      <c r="AP75" s="63" t="str">
        <f t="shared" si="33"/>
        <v/>
      </c>
      <c r="AQ75" s="63" t="str">
        <f t="shared" si="34"/>
        <v/>
      </c>
      <c r="AR75" s="152" t="str">
        <f t="shared" si="35"/>
        <v/>
      </c>
      <c r="AS75" s="109" t="str">
        <f t="shared" si="36"/>
        <v/>
      </c>
      <c r="AT75" s="63" t="str">
        <f t="shared" si="37"/>
        <v xml:space="preserve">                    </v>
      </c>
    </row>
    <row r="76" spans="1:46" ht="12.75" x14ac:dyDescent="0.2">
      <c r="A76" s="63" t="str">
        <f t="shared" si="38"/>
        <v/>
      </c>
      <c r="B76" s="185"/>
      <c r="C76" s="184"/>
      <c r="D76" s="184"/>
      <c r="E76" s="184"/>
      <c r="F76" s="184"/>
      <c r="G76" s="185"/>
      <c r="H76" s="185"/>
      <c r="I76" s="186"/>
      <c r="J76" s="69"/>
      <c r="AA76" s="63">
        <f t="shared" si="20"/>
        <v>0</v>
      </c>
      <c r="AB76" s="153" t="str">
        <f t="shared" si="21"/>
        <v>000</v>
      </c>
      <c r="AC76" s="165" t="str">
        <f t="shared" si="22"/>
        <v>00000000</v>
      </c>
      <c r="AD76" s="98" t="str">
        <f t="shared" si="23"/>
        <v>00000000</v>
      </c>
      <c r="AE76" s="150">
        <f t="shared" si="24"/>
        <v>0</v>
      </c>
      <c r="AF76" s="150">
        <f t="shared" si="25"/>
        <v>0</v>
      </c>
      <c r="AG76" s="98" t="str">
        <f t="shared" si="26"/>
        <v>0000000000</v>
      </c>
      <c r="AH76" s="151">
        <f t="shared" si="27"/>
        <v>0</v>
      </c>
      <c r="AI76" s="98" t="str">
        <f t="shared" si="28"/>
        <v>00</v>
      </c>
      <c r="AJ76" s="98" t="str">
        <f t="shared" si="29"/>
        <v>000000000000</v>
      </c>
      <c r="AK76" s="161" t="str">
        <f t="shared" si="30"/>
        <v xml:space="preserve">                              </v>
      </c>
      <c r="AL76" s="154">
        <f t="shared" si="31"/>
        <v>0</v>
      </c>
      <c r="AM76" s="155">
        <f t="shared" si="32"/>
        <v>0</v>
      </c>
      <c r="AP76" s="63" t="str">
        <f t="shared" si="33"/>
        <v/>
      </c>
      <c r="AQ76" s="63" t="str">
        <f t="shared" si="34"/>
        <v/>
      </c>
      <c r="AR76" s="152" t="str">
        <f t="shared" si="35"/>
        <v/>
      </c>
      <c r="AS76" s="109" t="str">
        <f t="shared" si="36"/>
        <v/>
      </c>
      <c r="AT76" s="63" t="str">
        <f t="shared" si="37"/>
        <v xml:space="preserve">                    </v>
      </c>
    </row>
    <row r="77" spans="1:46" ht="12.75" x14ac:dyDescent="0.2">
      <c r="A77" s="63" t="str">
        <f t="shared" si="38"/>
        <v/>
      </c>
      <c r="B77" s="185"/>
      <c r="C77" s="184"/>
      <c r="D77" s="184"/>
      <c r="E77" s="184"/>
      <c r="F77" s="184"/>
      <c r="G77" s="185"/>
      <c r="H77" s="185"/>
      <c r="I77" s="186"/>
      <c r="J77" s="69"/>
      <c r="AA77" s="63">
        <f t="shared" si="20"/>
        <v>0</v>
      </c>
      <c r="AB77" s="153" t="str">
        <f t="shared" si="21"/>
        <v>000</v>
      </c>
      <c r="AC77" s="165" t="str">
        <f t="shared" si="22"/>
        <v>00000000</v>
      </c>
      <c r="AD77" s="98" t="str">
        <f t="shared" si="23"/>
        <v>00000000</v>
      </c>
      <c r="AE77" s="150">
        <f t="shared" si="24"/>
        <v>0</v>
      </c>
      <c r="AF77" s="150">
        <f t="shared" si="25"/>
        <v>0</v>
      </c>
      <c r="AG77" s="98" t="str">
        <f t="shared" si="26"/>
        <v>0000000000</v>
      </c>
      <c r="AH77" s="151">
        <f t="shared" si="27"/>
        <v>0</v>
      </c>
      <c r="AI77" s="98" t="str">
        <f t="shared" si="28"/>
        <v>00</v>
      </c>
      <c r="AJ77" s="98" t="str">
        <f t="shared" si="29"/>
        <v>000000000000</v>
      </c>
      <c r="AK77" s="161" t="str">
        <f t="shared" si="30"/>
        <v xml:space="preserve">                              </v>
      </c>
      <c r="AL77" s="154">
        <f t="shared" si="31"/>
        <v>0</v>
      </c>
      <c r="AM77" s="155">
        <f t="shared" si="32"/>
        <v>0</v>
      </c>
      <c r="AP77" s="63" t="str">
        <f t="shared" si="33"/>
        <v/>
      </c>
      <c r="AQ77" s="63" t="str">
        <f t="shared" si="34"/>
        <v/>
      </c>
      <c r="AR77" s="152" t="str">
        <f t="shared" si="35"/>
        <v/>
      </c>
      <c r="AS77" s="109" t="str">
        <f t="shared" si="36"/>
        <v/>
      </c>
      <c r="AT77" s="63" t="str">
        <f t="shared" si="37"/>
        <v xml:space="preserve">                    </v>
      </c>
    </row>
    <row r="78" spans="1:46" ht="12.75" x14ac:dyDescent="0.2">
      <c r="A78" s="63" t="str">
        <f t="shared" si="38"/>
        <v/>
      </c>
      <c r="B78" s="185"/>
      <c r="C78" s="184"/>
      <c r="D78" s="184"/>
      <c r="E78" s="184"/>
      <c r="F78" s="184"/>
      <c r="G78" s="185"/>
      <c r="H78" s="185"/>
      <c r="I78" s="186"/>
      <c r="J78" s="69"/>
      <c r="AA78" s="63">
        <f t="shared" si="20"/>
        <v>0</v>
      </c>
      <c r="AB78" s="153" t="str">
        <f t="shared" si="21"/>
        <v>000</v>
      </c>
      <c r="AC78" s="165" t="str">
        <f t="shared" si="22"/>
        <v>00000000</v>
      </c>
      <c r="AD78" s="98" t="str">
        <f t="shared" si="23"/>
        <v>00000000</v>
      </c>
      <c r="AE78" s="150">
        <f t="shared" si="24"/>
        <v>0</v>
      </c>
      <c r="AF78" s="150">
        <f t="shared" si="25"/>
        <v>0</v>
      </c>
      <c r="AG78" s="98" t="str">
        <f t="shared" si="26"/>
        <v>0000000000</v>
      </c>
      <c r="AH78" s="151">
        <f t="shared" si="27"/>
        <v>0</v>
      </c>
      <c r="AI78" s="98" t="str">
        <f t="shared" si="28"/>
        <v>00</v>
      </c>
      <c r="AJ78" s="98" t="str">
        <f t="shared" si="29"/>
        <v>000000000000</v>
      </c>
      <c r="AK78" s="161" t="str">
        <f t="shared" si="30"/>
        <v xml:space="preserve">                              </v>
      </c>
      <c r="AL78" s="154">
        <f t="shared" si="31"/>
        <v>0</v>
      </c>
      <c r="AM78" s="155">
        <f t="shared" si="32"/>
        <v>0</v>
      </c>
      <c r="AP78" s="63" t="str">
        <f t="shared" si="33"/>
        <v/>
      </c>
      <c r="AQ78" s="63" t="str">
        <f t="shared" si="34"/>
        <v/>
      </c>
      <c r="AR78" s="152" t="str">
        <f t="shared" si="35"/>
        <v/>
      </c>
      <c r="AS78" s="109" t="str">
        <f t="shared" si="36"/>
        <v/>
      </c>
      <c r="AT78" s="63" t="str">
        <f t="shared" si="37"/>
        <v xml:space="preserve">                    </v>
      </c>
    </row>
    <row r="79" spans="1:46" ht="12.75" x14ac:dyDescent="0.2">
      <c r="A79" s="63" t="str">
        <f t="shared" si="38"/>
        <v/>
      </c>
      <c r="B79" s="185"/>
      <c r="C79" s="184"/>
      <c r="D79" s="184"/>
      <c r="E79" s="184"/>
      <c r="F79" s="184"/>
      <c r="G79" s="185"/>
      <c r="H79" s="185"/>
      <c r="I79" s="186"/>
      <c r="J79" s="69"/>
      <c r="AA79" s="63">
        <f t="shared" si="20"/>
        <v>0</v>
      </c>
      <c r="AB79" s="153" t="str">
        <f t="shared" si="21"/>
        <v>000</v>
      </c>
      <c r="AC79" s="165" t="str">
        <f t="shared" si="22"/>
        <v>00000000</v>
      </c>
      <c r="AD79" s="98" t="str">
        <f t="shared" si="23"/>
        <v>00000000</v>
      </c>
      <c r="AE79" s="150">
        <f t="shared" si="24"/>
        <v>0</v>
      </c>
      <c r="AF79" s="150">
        <f t="shared" si="25"/>
        <v>0</v>
      </c>
      <c r="AG79" s="98" t="str">
        <f t="shared" si="26"/>
        <v>0000000000</v>
      </c>
      <c r="AH79" s="151">
        <f t="shared" si="27"/>
        <v>0</v>
      </c>
      <c r="AI79" s="98" t="str">
        <f t="shared" si="28"/>
        <v>00</v>
      </c>
      <c r="AJ79" s="98" t="str">
        <f t="shared" si="29"/>
        <v>000000000000</v>
      </c>
      <c r="AK79" s="161" t="str">
        <f t="shared" si="30"/>
        <v xml:space="preserve">                              </v>
      </c>
      <c r="AL79" s="154">
        <f t="shared" si="31"/>
        <v>0</v>
      </c>
      <c r="AM79" s="155">
        <f t="shared" si="32"/>
        <v>0</v>
      </c>
      <c r="AP79" s="63" t="str">
        <f t="shared" si="33"/>
        <v/>
      </c>
      <c r="AQ79" s="63" t="str">
        <f t="shared" si="34"/>
        <v/>
      </c>
      <c r="AR79" s="152" t="str">
        <f t="shared" si="35"/>
        <v/>
      </c>
      <c r="AS79" s="109" t="str">
        <f t="shared" si="36"/>
        <v/>
      </c>
      <c r="AT79" s="63" t="str">
        <f t="shared" si="37"/>
        <v xml:space="preserve">                    </v>
      </c>
    </row>
    <row r="80" spans="1:46" ht="12.75" x14ac:dyDescent="0.2">
      <c r="A80" s="63" t="str">
        <f t="shared" si="38"/>
        <v/>
      </c>
      <c r="B80" s="185"/>
      <c r="C80" s="184"/>
      <c r="D80" s="184"/>
      <c r="E80" s="184"/>
      <c r="F80" s="184"/>
      <c r="G80" s="185"/>
      <c r="H80" s="185"/>
      <c r="I80" s="186"/>
      <c r="J80" s="69"/>
      <c r="AA80" s="63">
        <f t="shared" si="20"/>
        <v>0</v>
      </c>
      <c r="AB80" s="153" t="str">
        <f t="shared" si="21"/>
        <v>000</v>
      </c>
      <c r="AC80" s="165" t="str">
        <f t="shared" si="22"/>
        <v>00000000</v>
      </c>
      <c r="AD80" s="98" t="str">
        <f t="shared" si="23"/>
        <v>00000000</v>
      </c>
      <c r="AE80" s="150">
        <f t="shared" si="24"/>
        <v>0</v>
      </c>
      <c r="AF80" s="150">
        <f t="shared" si="25"/>
        <v>0</v>
      </c>
      <c r="AG80" s="98" t="str">
        <f t="shared" si="26"/>
        <v>0000000000</v>
      </c>
      <c r="AH80" s="151">
        <f t="shared" si="27"/>
        <v>0</v>
      </c>
      <c r="AI80" s="98" t="str">
        <f t="shared" si="28"/>
        <v>00</v>
      </c>
      <c r="AJ80" s="98" t="str">
        <f t="shared" si="29"/>
        <v>000000000000</v>
      </c>
      <c r="AK80" s="161" t="str">
        <f t="shared" si="30"/>
        <v xml:space="preserve">                              </v>
      </c>
      <c r="AL80" s="154">
        <f t="shared" si="31"/>
        <v>0</v>
      </c>
      <c r="AM80" s="155">
        <f t="shared" si="32"/>
        <v>0</v>
      </c>
      <c r="AP80" s="63" t="str">
        <f t="shared" si="33"/>
        <v/>
      </c>
      <c r="AQ80" s="63" t="str">
        <f t="shared" si="34"/>
        <v/>
      </c>
      <c r="AR80" s="152" t="str">
        <f t="shared" si="35"/>
        <v/>
      </c>
      <c r="AS80" s="109" t="str">
        <f t="shared" si="36"/>
        <v/>
      </c>
      <c r="AT80" s="63" t="str">
        <f t="shared" si="37"/>
        <v xml:space="preserve">                    </v>
      </c>
    </row>
    <row r="81" spans="1:46" ht="12.75" x14ac:dyDescent="0.2">
      <c r="A81" s="63" t="str">
        <f t="shared" si="38"/>
        <v/>
      </c>
      <c r="B81" s="185"/>
      <c r="C81" s="184"/>
      <c r="D81" s="184"/>
      <c r="E81" s="184"/>
      <c r="F81" s="184"/>
      <c r="G81" s="185"/>
      <c r="H81" s="185"/>
      <c r="I81" s="186"/>
      <c r="J81" s="69"/>
      <c r="AA81" s="63">
        <f t="shared" ref="AA81:AA144" si="39">B81</f>
        <v>0</v>
      </c>
      <c r="AB81" s="153" t="str">
        <f t="shared" ref="AB81:AB144" si="40">CONCATENATE(REPT("0",3-LEN(C81)),C81)</f>
        <v>000</v>
      </c>
      <c r="AC81" s="165" t="str">
        <f t="shared" ref="AC81:AC144" si="41">CONCATENATE(REPT("0",8-LEN(D81)),D81)</f>
        <v>00000000</v>
      </c>
      <c r="AD81" s="98" t="str">
        <f t="shared" ref="AD81:AD144" si="42">CONCATENATE(REPT("0",8-LEN(F81)),F81)</f>
        <v>00000000</v>
      </c>
      <c r="AE81" s="150">
        <f t="shared" ref="AE81:AE144" si="43">INT(I81)</f>
        <v>0</v>
      </c>
      <c r="AF81" s="150">
        <f t="shared" ref="AF81:AF144" si="44">I81-AE81</f>
        <v>0</v>
      </c>
      <c r="AG81" s="98" t="str">
        <f t="shared" ref="AG81:AG144" si="45">TEXT(AE81,"0000000000")</f>
        <v>0000000000</v>
      </c>
      <c r="AH81" s="151">
        <f t="shared" ref="AH81:AH144" si="46">AF81*100</f>
        <v>0</v>
      </c>
      <c r="AI81" s="98" t="str">
        <f t="shared" ref="AI81:AI144" si="47">TEXT(AH81,"00")</f>
        <v>00</v>
      </c>
      <c r="AJ81" s="98" t="str">
        <f t="shared" ref="AJ81:AJ144" si="48">CONCATENATE(AG81,AI81)</f>
        <v>000000000000</v>
      </c>
      <c r="AK81" s="161" t="str">
        <f t="shared" ref="AK81:AK144" si="49">CONCATENATE(E81,REPT(" ",30-LEN(E81)))</f>
        <v xml:space="preserve">                              </v>
      </c>
      <c r="AL81" s="154">
        <f t="shared" ref="AL81:AL144" si="50">IF(H81&lt;&gt;"",IF(H81=$H$3,0,1),0)</f>
        <v>0</v>
      </c>
      <c r="AM81" s="155">
        <f t="shared" ref="AM81:AM144" si="51">IF(AL81=1,IF($H$3=1,I81*$K$14,I81/$K$14),I81)</f>
        <v>0</v>
      </c>
      <c r="AP81" s="63" t="str">
        <f t="shared" si="33"/>
        <v/>
      </c>
      <c r="AQ81" s="63" t="str">
        <f t="shared" si="34"/>
        <v/>
      </c>
      <c r="AR81" s="152" t="str">
        <f t="shared" si="35"/>
        <v/>
      </c>
      <c r="AS81" s="109" t="str">
        <f t="shared" si="36"/>
        <v/>
      </c>
      <c r="AT81" s="63" t="str">
        <f t="shared" si="37"/>
        <v xml:space="preserve">                    </v>
      </c>
    </row>
    <row r="82" spans="1:46" ht="12.75" x14ac:dyDescent="0.2">
      <c r="A82" s="63" t="str">
        <f t="shared" si="38"/>
        <v/>
      </c>
      <c r="B82" s="185"/>
      <c r="C82" s="184"/>
      <c r="D82" s="184"/>
      <c r="E82" s="184"/>
      <c r="F82" s="184"/>
      <c r="G82" s="185"/>
      <c r="H82" s="185"/>
      <c r="I82" s="186"/>
      <c r="J82" s="69"/>
      <c r="AA82" s="63">
        <f t="shared" si="39"/>
        <v>0</v>
      </c>
      <c r="AB82" s="153" t="str">
        <f t="shared" si="40"/>
        <v>000</v>
      </c>
      <c r="AC82" s="165" t="str">
        <f t="shared" si="41"/>
        <v>00000000</v>
      </c>
      <c r="AD82" s="98" t="str">
        <f t="shared" si="42"/>
        <v>00000000</v>
      </c>
      <c r="AE82" s="150">
        <f t="shared" si="43"/>
        <v>0</v>
      </c>
      <c r="AF82" s="150">
        <f t="shared" si="44"/>
        <v>0</v>
      </c>
      <c r="AG82" s="98" t="str">
        <f t="shared" si="45"/>
        <v>0000000000</v>
      </c>
      <c r="AH82" s="151">
        <f t="shared" si="46"/>
        <v>0</v>
      </c>
      <c r="AI82" s="98" t="str">
        <f t="shared" si="47"/>
        <v>00</v>
      </c>
      <c r="AJ82" s="98" t="str">
        <f t="shared" si="48"/>
        <v>000000000000</v>
      </c>
      <c r="AK82" s="161" t="str">
        <f t="shared" si="49"/>
        <v xml:space="preserve">                              </v>
      </c>
      <c r="AL82" s="154">
        <f t="shared" si="50"/>
        <v>0</v>
      </c>
      <c r="AM82" s="155">
        <f t="shared" si="51"/>
        <v>0</v>
      </c>
      <c r="AP82" s="63" t="str">
        <f t="shared" ref="AP82:AP145" si="52">IF(D83&lt;&gt;"",CONCATENATE("000",AS82,"0",H83,"2","    ",AD83,AJ83,"            ",AT83,AK83,"                                                                                     "),"")</f>
        <v/>
      </c>
      <c r="AQ82" s="63" t="str">
        <f t="shared" ref="AQ82:AQ145" si="53">IF(D83&lt;&gt;"",CONCATENATE("1520",AA83,AB83,AC83),"")</f>
        <v/>
      </c>
      <c r="AR82" s="152" t="str">
        <f t="shared" ref="AR82:AR145" si="54">IF(D83&lt;&gt;"",MOD(SUM(VALUE(MID($AQ$1,1,1)) * VALUE(MID(AQ82,1,1)),VALUE(MID($AQ$1,2,1)) * VALUE(MID(AQ82,2,1)),VALUE(MID($AQ$1,3,1)) * VALUE(MID(AQ82,3,1)),VALUE(MID($AQ$1,4,1)) * VALUE(MID(AQ82,4,1)),VALUE(MID($AQ$1,5,1)) * VALUE(MID(AQ82,5,1)),VALUE(MID($AQ$1,6,1)) * VALUE(MID(AQ82,6,1)),VALUE(MID($AQ$1,7,1)) * VALUE(MID(AQ82,7,1)),VALUE(MID($AQ$1,8,1)) * VALUE(MID(AQ82,8,1)),VALUE(MID($AQ$1,9,1)) * VALUE(MID(AQ82,9,1)),VALUE(MID($AQ$1,10,1)) * VALUE(MID(AQ82,10,1)),VALUE(MID($AQ$1,11,1)) * VALUE(MID(AQ82,11,1)),VALUE(MID($AQ$1,12,1)) * VALUE(MID(AQ82,12,1)),VALUE(MID($AQ$1,13,1)) * VALUE(MID(AQ82,13,1)),VALUE(MID($AQ$1,14,1)) * VALUE(MID(AQ82,14,1)),VALUE(MID($AQ$1,15,1)) * VALUE(MID(AQ82,15,1)),VALUE(MID($AQ$1,16,1)) * VALUE(MID(AQ82,16,1))),11),"")</f>
        <v/>
      </c>
      <c r="AS82" s="109" t="str">
        <f t="shared" ref="AS82:AS145" si="55">IF(D83&lt;&gt;"",CONCATENATE(AQ82,IF(AR82&gt;9,"1",AR82)),"")</f>
        <v/>
      </c>
      <c r="AT82" s="63" t="str">
        <f t="shared" ref="AT82:AT145" si="56">CONCATENATE(G82,REPT(" ",20-LEN(G82)))</f>
        <v xml:space="preserve">                    </v>
      </c>
    </row>
    <row r="83" spans="1:46" ht="12.75" x14ac:dyDescent="0.2">
      <c r="A83" s="63" t="str">
        <f t="shared" si="38"/>
        <v/>
      </c>
      <c r="B83" s="185"/>
      <c r="C83" s="184"/>
      <c r="D83" s="184"/>
      <c r="E83" s="184"/>
      <c r="F83" s="184"/>
      <c r="G83" s="185"/>
      <c r="H83" s="185"/>
      <c r="I83" s="186"/>
      <c r="J83" s="69"/>
      <c r="AA83" s="63">
        <f t="shared" si="39"/>
        <v>0</v>
      </c>
      <c r="AB83" s="153" t="str">
        <f t="shared" si="40"/>
        <v>000</v>
      </c>
      <c r="AC83" s="165" t="str">
        <f t="shared" si="41"/>
        <v>00000000</v>
      </c>
      <c r="AD83" s="98" t="str">
        <f t="shared" si="42"/>
        <v>00000000</v>
      </c>
      <c r="AE83" s="150">
        <f t="shared" si="43"/>
        <v>0</v>
      </c>
      <c r="AF83" s="150">
        <f t="shared" si="44"/>
        <v>0</v>
      </c>
      <c r="AG83" s="98" t="str">
        <f t="shared" si="45"/>
        <v>0000000000</v>
      </c>
      <c r="AH83" s="151">
        <f t="shared" si="46"/>
        <v>0</v>
      </c>
      <c r="AI83" s="98" t="str">
        <f t="shared" si="47"/>
        <v>00</v>
      </c>
      <c r="AJ83" s="98" t="str">
        <f t="shared" si="48"/>
        <v>000000000000</v>
      </c>
      <c r="AK83" s="161" t="str">
        <f t="shared" si="49"/>
        <v xml:space="preserve">                              </v>
      </c>
      <c r="AL83" s="154">
        <f t="shared" si="50"/>
        <v>0</v>
      </c>
      <c r="AM83" s="155">
        <f t="shared" si="51"/>
        <v>0</v>
      </c>
      <c r="AP83" s="63" t="str">
        <f t="shared" si="52"/>
        <v/>
      </c>
      <c r="AQ83" s="63" t="str">
        <f t="shared" si="53"/>
        <v/>
      </c>
      <c r="AR83" s="152" t="str">
        <f t="shared" si="54"/>
        <v/>
      </c>
      <c r="AS83" s="109" t="str">
        <f t="shared" si="55"/>
        <v/>
      </c>
      <c r="AT83" s="63" t="str">
        <f t="shared" si="56"/>
        <v xml:space="preserve">                    </v>
      </c>
    </row>
    <row r="84" spans="1:46" ht="12.75" x14ac:dyDescent="0.2">
      <c r="A84" s="63" t="str">
        <f t="shared" si="38"/>
        <v/>
      </c>
      <c r="B84" s="185"/>
      <c r="C84" s="184"/>
      <c r="D84" s="184"/>
      <c r="E84" s="184"/>
      <c r="F84" s="184"/>
      <c r="G84" s="185"/>
      <c r="H84" s="185"/>
      <c r="I84" s="186"/>
      <c r="J84" s="69"/>
      <c r="AA84" s="63">
        <f t="shared" si="39"/>
        <v>0</v>
      </c>
      <c r="AB84" s="153" t="str">
        <f t="shared" si="40"/>
        <v>000</v>
      </c>
      <c r="AC84" s="165" t="str">
        <f t="shared" si="41"/>
        <v>00000000</v>
      </c>
      <c r="AD84" s="98" t="str">
        <f t="shared" si="42"/>
        <v>00000000</v>
      </c>
      <c r="AE84" s="150">
        <f t="shared" si="43"/>
        <v>0</v>
      </c>
      <c r="AF84" s="150">
        <f t="shared" si="44"/>
        <v>0</v>
      </c>
      <c r="AG84" s="98" t="str">
        <f t="shared" si="45"/>
        <v>0000000000</v>
      </c>
      <c r="AH84" s="151">
        <f t="shared" si="46"/>
        <v>0</v>
      </c>
      <c r="AI84" s="98" t="str">
        <f t="shared" si="47"/>
        <v>00</v>
      </c>
      <c r="AJ84" s="98" t="str">
        <f t="shared" si="48"/>
        <v>000000000000</v>
      </c>
      <c r="AK84" s="161" t="str">
        <f t="shared" si="49"/>
        <v xml:space="preserve">                              </v>
      </c>
      <c r="AL84" s="154">
        <f t="shared" si="50"/>
        <v>0</v>
      </c>
      <c r="AM84" s="155">
        <f t="shared" si="51"/>
        <v>0</v>
      </c>
      <c r="AP84" s="63" t="str">
        <f t="shared" si="52"/>
        <v/>
      </c>
      <c r="AQ84" s="63" t="str">
        <f t="shared" si="53"/>
        <v/>
      </c>
      <c r="AR84" s="152" t="str">
        <f t="shared" si="54"/>
        <v/>
      </c>
      <c r="AS84" s="109" t="str">
        <f t="shared" si="55"/>
        <v/>
      </c>
      <c r="AT84" s="63" t="str">
        <f t="shared" si="56"/>
        <v xml:space="preserve">                    </v>
      </c>
    </row>
    <row r="85" spans="1:46" ht="12.75" x14ac:dyDescent="0.2">
      <c r="A85" s="63" t="str">
        <f t="shared" si="38"/>
        <v/>
      </c>
      <c r="B85" s="185"/>
      <c r="C85" s="184"/>
      <c r="D85" s="184"/>
      <c r="E85" s="184"/>
      <c r="F85" s="184"/>
      <c r="G85" s="185"/>
      <c r="H85" s="185"/>
      <c r="I85" s="186"/>
      <c r="J85" s="69"/>
      <c r="AA85" s="63">
        <f t="shared" si="39"/>
        <v>0</v>
      </c>
      <c r="AB85" s="153" t="str">
        <f t="shared" si="40"/>
        <v>000</v>
      </c>
      <c r="AC85" s="165" t="str">
        <f t="shared" si="41"/>
        <v>00000000</v>
      </c>
      <c r="AD85" s="98" t="str">
        <f t="shared" si="42"/>
        <v>00000000</v>
      </c>
      <c r="AE85" s="150">
        <f t="shared" si="43"/>
        <v>0</v>
      </c>
      <c r="AF85" s="150">
        <f t="shared" si="44"/>
        <v>0</v>
      </c>
      <c r="AG85" s="98" t="str">
        <f t="shared" si="45"/>
        <v>0000000000</v>
      </c>
      <c r="AH85" s="151">
        <f t="shared" si="46"/>
        <v>0</v>
      </c>
      <c r="AI85" s="98" t="str">
        <f t="shared" si="47"/>
        <v>00</v>
      </c>
      <c r="AJ85" s="98" t="str">
        <f t="shared" si="48"/>
        <v>000000000000</v>
      </c>
      <c r="AK85" s="161" t="str">
        <f t="shared" si="49"/>
        <v xml:space="preserve">                              </v>
      </c>
      <c r="AL85" s="154">
        <f t="shared" si="50"/>
        <v>0</v>
      </c>
      <c r="AM85" s="155">
        <f t="shared" si="51"/>
        <v>0</v>
      </c>
      <c r="AP85" s="63" t="str">
        <f t="shared" si="52"/>
        <v/>
      </c>
      <c r="AQ85" s="63" t="str">
        <f t="shared" si="53"/>
        <v/>
      </c>
      <c r="AR85" s="152" t="str">
        <f t="shared" si="54"/>
        <v/>
      </c>
      <c r="AS85" s="109" t="str">
        <f t="shared" si="55"/>
        <v/>
      </c>
      <c r="AT85" s="63" t="str">
        <f t="shared" si="56"/>
        <v xml:space="preserve">                    </v>
      </c>
    </row>
    <row r="86" spans="1:46" ht="12.75" x14ac:dyDescent="0.2">
      <c r="A86" s="63" t="str">
        <f t="shared" si="38"/>
        <v/>
      </c>
      <c r="B86" s="185"/>
      <c r="C86" s="184"/>
      <c r="D86" s="184"/>
      <c r="E86" s="184"/>
      <c r="F86" s="184"/>
      <c r="G86" s="185"/>
      <c r="H86" s="185"/>
      <c r="I86" s="186"/>
      <c r="J86" s="69"/>
      <c r="AA86" s="63">
        <f t="shared" si="39"/>
        <v>0</v>
      </c>
      <c r="AB86" s="153" t="str">
        <f t="shared" si="40"/>
        <v>000</v>
      </c>
      <c r="AC86" s="165" t="str">
        <f t="shared" si="41"/>
        <v>00000000</v>
      </c>
      <c r="AD86" s="98" t="str">
        <f t="shared" si="42"/>
        <v>00000000</v>
      </c>
      <c r="AE86" s="150">
        <f t="shared" si="43"/>
        <v>0</v>
      </c>
      <c r="AF86" s="150">
        <f t="shared" si="44"/>
        <v>0</v>
      </c>
      <c r="AG86" s="98" t="str">
        <f t="shared" si="45"/>
        <v>0000000000</v>
      </c>
      <c r="AH86" s="151">
        <f t="shared" si="46"/>
        <v>0</v>
      </c>
      <c r="AI86" s="98" t="str">
        <f t="shared" si="47"/>
        <v>00</v>
      </c>
      <c r="AJ86" s="98" t="str">
        <f t="shared" si="48"/>
        <v>000000000000</v>
      </c>
      <c r="AK86" s="161" t="str">
        <f t="shared" si="49"/>
        <v xml:space="preserve">                              </v>
      </c>
      <c r="AL86" s="154">
        <f t="shared" si="50"/>
        <v>0</v>
      </c>
      <c r="AM86" s="155">
        <f t="shared" si="51"/>
        <v>0</v>
      </c>
      <c r="AP86" s="63" t="str">
        <f t="shared" si="52"/>
        <v/>
      </c>
      <c r="AQ86" s="63" t="str">
        <f t="shared" si="53"/>
        <v/>
      </c>
      <c r="AR86" s="152" t="str">
        <f t="shared" si="54"/>
        <v/>
      </c>
      <c r="AS86" s="109" t="str">
        <f t="shared" si="55"/>
        <v/>
      </c>
      <c r="AT86" s="63" t="str">
        <f t="shared" si="56"/>
        <v xml:space="preserve">                    </v>
      </c>
    </row>
    <row r="87" spans="1:46" ht="12.75" x14ac:dyDescent="0.2">
      <c r="A87" s="63" t="str">
        <f t="shared" si="38"/>
        <v/>
      </c>
      <c r="B87" s="185"/>
      <c r="C87" s="184"/>
      <c r="D87" s="184"/>
      <c r="E87" s="184"/>
      <c r="F87" s="184"/>
      <c r="G87" s="185"/>
      <c r="H87" s="185"/>
      <c r="I87" s="186"/>
      <c r="J87" s="69"/>
      <c r="AA87" s="63">
        <f t="shared" si="39"/>
        <v>0</v>
      </c>
      <c r="AB87" s="153" t="str">
        <f t="shared" si="40"/>
        <v>000</v>
      </c>
      <c r="AC87" s="165" t="str">
        <f t="shared" si="41"/>
        <v>00000000</v>
      </c>
      <c r="AD87" s="98" t="str">
        <f t="shared" si="42"/>
        <v>00000000</v>
      </c>
      <c r="AE87" s="150">
        <f t="shared" si="43"/>
        <v>0</v>
      </c>
      <c r="AF87" s="150">
        <f t="shared" si="44"/>
        <v>0</v>
      </c>
      <c r="AG87" s="98" t="str">
        <f t="shared" si="45"/>
        <v>0000000000</v>
      </c>
      <c r="AH87" s="151">
        <f t="shared" si="46"/>
        <v>0</v>
      </c>
      <c r="AI87" s="98" t="str">
        <f t="shared" si="47"/>
        <v>00</v>
      </c>
      <c r="AJ87" s="98" t="str">
        <f t="shared" si="48"/>
        <v>000000000000</v>
      </c>
      <c r="AK87" s="161" t="str">
        <f t="shared" si="49"/>
        <v xml:space="preserve">                              </v>
      </c>
      <c r="AL87" s="154">
        <f t="shared" si="50"/>
        <v>0</v>
      </c>
      <c r="AM87" s="155">
        <f t="shared" si="51"/>
        <v>0</v>
      </c>
      <c r="AP87" s="63" t="str">
        <f t="shared" si="52"/>
        <v/>
      </c>
      <c r="AQ87" s="63" t="str">
        <f t="shared" si="53"/>
        <v/>
      </c>
      <c r="AR87" s="152" t="str">
        <f t="shared" si="54"/>
        <v/>
      </c>
      <c r="AS87" s="109" t="str">
        <f t="shared" si="55"/>
        <v/>
      </c>
      <c r="AT87" s="63" t="str">
        <f t="shared" si="56"/>
        <v xml:space="preserve">                    </v>
      </c>
    </row>
    <row r="88" spans="1:46" ht="12.75" x14ac:dyDescent="0.2">
      <c r="A88" s="63" t="str">
        <f t="shared" si="38"/>
        <v/>
      </c>
      <c r="B88" s="185"/>
      <c r="C88" s="184"/>
      <c r="D88" s="184"/>
      <c r="E88" s="184"/>
      <c r="F88" s="184"/>
      <c r="G88" s="185"/>
      <c r="H88" s="185"/>
      <c r="I88" s="186"/>
      <c r="J88" s="69"/>
      <c r="AA88" s="63">
        <f t="shared" si="39"/>
        <v>0</v>
      </c>
      <c r="AB88" s="153" t="str">
        <f t="shared" si="40"/>
        <v>000</v>
      </c>
      <c r="AC88" s="165" t="str">
        <f t="shared" si="41"/>
        <v>00000000</v>
      </c>
      <c r="AD88" s="98" t="str">
        <f t="shared" si="42"/>
        <v>00000000</v>
      </c>
      <c r="AE88" s="150">
        <f t="shared" si="43"/>
        <v>0</v>
      </c>
      <c r="AF88" s="150">
        <f t="shared" si="44"/>
        <v>0</v>
      </c>
      <c r="AG88" s="98" t="str">
        <f t="shared" si="45"/>
        <v>0000000000</v>
      </c>
      <c r="AH88" s="151">
        <f t="shared" si="46"/>
        <v>0</v>
      </c>
      <c r="AI88" s="98" t="str">
        <f t="shared" si="47"/>
        <v>00</v>
      </c>
      <c r="AJ88" s="98" t="str">
        <f t="shared" si="48"/>
        <v>000000000000</v>
      </c>
      <c r="AK88" s="161" t="str">
        <f t="shared" si="49"/>
        <v xml:space="preserve">                              </v>
      </c>
      <c r="AL88" s="154">
        <f t="shared" si="50"/>
        <v>0</v>
      </c>
      <c r="AM88" s="155">
        <f t="shared" si="51"/>
        <v>0</v>
      </c>
      <c r="AP88" s="63" t="str">
        <f t="shared" si="52"/>
        <v/>
      </c>
      <c r="AQ88" s="63" t="str">
        <f t="shared" si="53"/>
        <v/>
      </c>
      <c r="AR88" s="152" t="str">
        <f t="shared" si="54"/>
        <v/>
      </c>
      <c r="AS88" s="109" t="str">
        <f t="shared" si="55"/>
        <v/>
      </c>
      <c r="AT88" s="63" t="str">
        <f t="shared" si="56"/>
        <v xml:space="preserve">                    </v>
      </c>
    </row>
    <row r="89" spans="1:46" ht="12.75" x14ac:dyDescent="0.2">
      <c r="A89" s="63" t="str">
        <f t="shared" si="38"/>
        <v/>
      </c>
      <c r="B89" s="185"/>
      <c r="C89" s="184"/>
      <c r="D89" s="184"/>
      <c r="E89" s="184"/>
      <c r="F89" s="184"/>
      <c r="G89" s="185"/>
      <c r="H89" s="185"/>
      <c r="I89" s="186"/>
      <c r="J89" s="69"/>
      <c r="AA89" s="63">
        <f t="shared" si="39"/>
        <v>0</v>
      </c>
      <c r="AB89" s="153" t="str">
        <f t="shared" si="40"/>
        <v>000</v>
      </c>
      <c r="AC89" s="165" t="str">
        <f t="shared" si="41"/>
        <v>00000000</v>
      </c>
      <c r="AD89" s="98" t="str">
        <f t="shared" si="42"/>
        <v>00000000</v>
      </c>
      <c r="AE89" s="150">
        <f t="shared" si="43"/>
        <v>0</v>
      </c>
      <c r="AF89" s="150">
        <f t="shared" si="44"/>
        <v>0</v>
      </c>
      <c r="AG89" s="98" t="str">
        <f t="shared" si="45"/>
        <v>0000000000</v>
      </c>
      <c r="AH89" s="151">
        <f t="shared" si="46"/>
        <v>0</v>
      </c>
      <c r="AI89" s="98" t="str">
        <f t="shared" si="47"/>
        <v>00</v>
      </c>
      <c r="AJ89" s="98" t="str">
        <f t="shared" si="48"/>
        <v>000000000000</v>
      </c>
      <c r="AK89" s="161" t="str">
        <f t="shared" si="49"/>
        <v xml:space="preserve">                              </v>
      </c>
      <c r="AL89" s="154">
        <f t="shared" si="50"/>
        <v>0</v>
      </c>
      <c r="AM89" s="155">
        <f t="shared" si="51"/>
        <v>0</v>
      </c>
      <c r="AP89" s="63" t="str">
        <f t="shared" si="52"/>
        <v/>
      </c>
      <c r="AQ89" s="63" t="str">
        <f t="shared" si="53"/>
        <v/>
      </c>
      <c r="AR89" s="152" t="str">
        <f t="shared" si="54"/>
        <v/>
      </c>
      <c r="AS89" s="109" t="str">
        <f t="shared" si="55"/>
        <v/>
      </c>
      <c r="AT89" s="63" t="str">
        <f t="shared" si="56"/>
        <v xml:space="preserve">                    </v>
      </c>
    </row>
    <row r="90" spans="1:46" ht="12.75" x14ac:dyDescent="0.2">
      <c r="A90" s="63" t="str">
        <f t="shared" si="38"/>
        <v/>
      </c>
      <c r="B90" s="185"/>
      <c r="C90" s="184"/>
      <c r="D90" s="184"/>
      <c r="E90" s="184"/>
      <c r="F90" s="184"/>
      <c r="G90" s="185"/>
      <c r="H90" s="185"/>
      <c r="I90" s="186"/>
      <c r="J90" s="69"/>
      <c r="AA90" s="63">
        <f t="shared" si="39"/>
        <v>0</v>
      </c>
      <c r="AB90" s="153" t="str">
        <f t="shared" si="40"/>
        <v>000</v>
      </c>
      <c r="AC90" s="165" t="str">
        <f t="shared" si="41"/>
        <v>00000000</v>
      </c>
      <c r="AD90" s="98" t="str">
        <f t="shared" si="42"/>
        <v>00000000</v>
      </c>
      <c r="AE90" s="150">
        <f t="shared" si="43"/>
        <v>0</v>
      </c>
      <c r="AF90" s="150">
        <f t="shared" si="44"/>
        <v>0</v>
      </c>
      <c r="AG90" s="98" t="str">
        <f t="shared" si="45"/>
        <v>0000000000</v>
      </c>
      <c r="AH90" s="151">
        <f t="shared" si="46"/>
        <v>0</v>
      </c>
      <c r="AI90" s="98" t="str">
        <f t="shared" si="47"/>
        <v>00</v>
      </c>
      <c r="AJ90" s="98" t="str">
        <f t="shared" si="48"/>
        <v>000000000000</v>
      </c>
      <c r="AK90" s="161" t="str">
        <f t="shared" si="49"/>
        <v xml:space="preserve">                              </v>
      </c>
      <c r="AL90" s="154">
        <f t="shared" si="50"/>
        <v>0</v>
      </c>
      <c r="AM90" s="155">
        <f t="shared" si="51"/>
        <v>0</v>
      </c>
      <c r="AP90" s="63" t="str">
        <f t="shared" si="52"/>
        <v/>
      </c>
      <c r="AQ90" s="63" t="str">
        <f t="shared" si="53"/>
        <v/>
      </c>
      <c r="AR90" s="152" t="str">
        <f t="shared" si="54"/>
        <v/>
      </c>
      <c r="AS90" s="109" t="str">
        <f t="shared" si="55"/>
        <v/>
      </c>
      <c r="AT90" s="63" t="str">
        <f t="shared" si="56"/>
        <v xml:space="preserve">                    </v>
      </c>
    </row>
    <row r="91" spans="1:46" ht="12.75" x14ac:dyDescent="0.2">
      <c r="A91" s="63" t="str">
        <f t="shared" si="38"/>
        <v/>
      </c>
      <c r="B91" s="185"/>
      <c r="C91" s="184"/>
      <c r="D91" s="184"/>
      <c r="E91" s="184"/>
      <c r="F91" s="184"/>
      <c r="G91" s="185"/>
      <c r="H91" s="185"/>
      <c r="I91" s="186"/>
      <c r="J91" s="69"/>
      <c r="AA91" s="63">
        <f t="shared" si="39"/>
        <v>0</v>
      </c>
      <c r="AB91" s="153" t="str">
        <f t="shared" si="40"/>
        <v>000</v>
      </c>
      <c r="AC91" s="165" t="str">
        <f t="shared" si="41"/>
        <v>00000000</v>
      </c>
      <c r="AD91" s="98" t="str">
        <f t="shared" si="42"/>
        <v>00000000</v>
      </c>
      <c r="AE91" s="150">
        <f t="shared" si="43"/>
        <v>0</v>
      </c>
      <c r="AF91" s="150">
        <f t="shared" si="44"/>
        <v>0</v>
      </c>
      <c r="AG91" s="98" t="str">
        <f t="shared" si="45"/>
        <v>0000000000</v>
      </c>
      <c r="AH91" s="151">
        <f t="shared" si="46"/>
        <v>0</v>
      </c>
      <c r="AI91" s="98" t="str">
        <f t="shared" si="47"/>
        <v>00</v>
      </c>
      <c r="AJ91" s="98" t="str">
        <f t="shared" si="48"/>
        <v>000000000000</v>
      </c>
      <c r="AK91" s="161" t="str">
        <f t="shared" si="49"/>
        <v xml:space="preserve">                              </v>
      </c>
      <c r="AL91" s="154">
        <f t="shared" si="50"/>
        <v>0</v>
      </c>
      <c r="AM91" s="155">
        <f t="shared" si="51"/>
        <v>0</v>
      </c>
      <c r="AP91" s="63" t="str">
        <f t="shared" si="52"/>
        <v/>
      </c>
      <c r="AQ91" s="63" t="str">
        <f t="shared" si="53"/>
        <v/>
      </c>
      <c r="AR91" s="152" t="str">
        <f t="shared" si="54"/>
        <v/>
      </c>
      <c r="AS91" s="109" t="str">
        <f t="shared" si="55"/>
        <v/>
      </c>
      <c r="AT91" s="63" t="str">
        <f t="shared" si="56"/>
        <v xml:space="preserve">                    </v>
      </c>
    </row>
    <row r="92" spans="1:46" ht="12.75" x14ac:dyDescent="0.2">
      <c r="A92" s="63" t="str">
        <f t="shared" si="38"/>
        <v/>
      </c>
      <c r="B92" s="185"/>
      <c r="C92" s="184"/>
      <c r="D92" s="184"/>
      <c r="E92" s="184"/>
      <c r="F92" s="184"/>
      <c r="G92" s="185"/>
      <c r="H92" s="185"/>
      <c r="I92" s="186"/>
      <c r="J92" s="69"/>
      <c r="AA92" s="63">
        <f t="shared" si="39"/>
        <v>0</v>
      </c>
      <c r="AB92" s="153" t="str">
        <f t="shared" si="40"/>
        <v>000</v>
      </c>
      <c r="AC92" s="165" t="str">
        <f t="shared" si="41"/>
        <v>00000000</v>
      </c>
      <c r="AD92" s="98" t="str">
        <f t="shared" si="42"/>
        <v>00000000</v>
      </c>
      <c r="AE92" s="150">
        <f t="shared" si="43"/>
        <v>0</v>
      </c>
      <c r="AF92" s="150">
        <f t="shared" si="44"/>
        <v>0</v>
      </c>
      <c r="AG92" s="98" t="str">
        <f t="shared" si="45"/>
        <v>0000000000</v>
      </c>
      <c r="AH92" s="151">
        <f t="shared" si="46"/>
        <v>0</v>
      </c>
      <c r="AI92" s="98" t="str">
        <f t="shared" si="47"/>
        <v>00</v>
      </c>
      <c r="AJ92" s="98" t="str">
        <f t="shared" si="48"/>
        <v>000000000000</v>
      </c>
      <c r="AK92" s="161" t="str">
        <f t="shared" si="49"/>
        <v xml:space="preserve">                              </v>
      </c>
      <c r="AL92" s="154">
        <f t="shared" si="50"/>
        <v>0</v>
      </c>
      <c r="AM92" s="155">
        <f t="shared" si="51"/>
        <v>0</v>
      </c>
      <c r="AP92" s="63" t="str">
        <f t="shared" si="52"/>
        <v/>
      </c>
      <c r="AQ92" s="63" t="str">
        <f t="shared" si="53"/>
        <v/>
      </c>
      <c r="AR92" s="152" t="str">
        <f t="shared" si="54"/>
        <v/>
      </c>
      <c r="AS92" s="109" t="str">
        <f t="shared" si="55"/>
        <v/>
      </c>
      <c r="AT92" s="63" t="str">
        <f t="shared" si="56"/>
        <v xml:space="preserve">                    </v>
      </c>
    </row>
    <row r="93" spans="1:46" ht="12.75" x14ac:dyDescent="0.2">
      <c r="A93" s="63" t="str">
        <f t="shared" si="38"/>
        <v/>
      </c>
      <c r="B93" s="185"/>
      <c r="C93" s="184"/>
      <c r="D93" s="184"/>
      <c r="E93" s="184"/>
      <c r="F93" s="184"/>
      <c r="G93" s="185"/>
      <c r="H93" s="185"/>
      <c r="I93" s="186"/>
      <c r="J93" s="69"/>
      <c r="AA93" s="63">
        <f t="shared" si="39"/>
        <v>0</v>
      </c>
      <c r="AB93" s="153" t="str">
        <f t="shared" si="40"/>
        <v>000</v>
      </c>
      <c r="AC93" s="165" t="str">
        <f t="shared" si="41"/>
        <v>00000000</v>
      </c>
      <c r="AD93" s="98" t="str">
        <f t="shared" si="42"/>
        <v>00000000</v>
      </c>
      <c r="AE93" s="150">
        <f t="shared" si="43"/>
        <v>0</v>
      </c>
      <c r="AF93" s="150">
        <f t="shared" si="44"/>
        <v>0</v>
      </c>
      <c r="AG93" s="98" t="str">
        <f t="shared" si="45"/>
        <v>0000000000</v>
      </c>
      <c r="AH93" s="151">
        <f t="shared" si="46"/>
        <v>0</v>
      </c>
      <c r="AI93" s="98" t="str">
        <f t="shared" si="47"/>
        <v>00</v>
      </c>
      <c r="AJ93" s="98" t="str">
        <f t="shared" si="48"/>
        <v>000000000000</v>
      </c>
      <c r="AK93" s="161" t="str">
        <f t="shared" si="49"/>
        <v xml:space="preserve">                              </v>
      </c>
      <c r="AL93" s="154">
        <f t="shared" si="50"/>
        <v>0</v>
      </c>
      <c r="AM93" s="155">
        <f t="shared" si="51"/>
        <v>0</v>
      </c>
      <c r="AP93" s="63" t="str">
        <f t="shared" si="52"/>
        <v/>
      </c>
      <c r="AQ93" s="63" t="str">
        <f t="shared" si="53"/>
        <v/>
      </c>
      <c r="AR93" s="152" t="str">
        <f t="shared" si="54"/>
        <v/>
      </c>
      <c r="AS93" s="109" t="str">
        <f t="shared" si="55"/>
        <v/>
      </c>
      <c r="AT93" s="63" t="str">
        <f t="shared" si="56"/>
        <v xml:space="preserve">                    </v>
      </c>
    </row>
    <row r="94" spans="1:46" ht="12.75" x14ac:dyDescent="0.2">
      <c r="A94" s="63" t="str">
        <f t="shared" si="38"/>
        <v/>
      </c>
      <c r="B94" s="185"/>
      <c r="C94" s="184"/>
      <c r="D94" s="184"/>
      <c r="E94" s="184"/>
      <c r="F94" s="184"/>
      <c r="G94" s="185"/>
      <c r="H94" s="185"/>
      <c r="I94" s="186"/>
      <c r="J94" s="69"/>
      <c r="AA94" s="63">
        <f t="shared" si="39"/>
        <v>0</v>
      </c>
      <c r="AB94" s="153" t="str">
        <f t="shared" si="40"/>
        <v>000</v>
      </c>
      <c r="AC94" s="165" t="str">
        <f t="shared" si="41"/>
        <v>00000000</v>
      </c>
      <c r="AD94" s="98" t="str">
        <f t="shared" si="42"/>
        <v>00000000</v>
      </c>
      <c r="AE94" s="150">
        <f t="shared" si="43"/>
        <v>0</v>
      </c>
      <c r="AF94" s="150">
        <f t="shared" si="44"/>
        <v>0</v>
      </c>
      <c r="AG94" s="98" t="str">
        <f t="shared" si="45"/>
        <v>0000000000</v>
      </c>
      <c r="AH94" s="151">
        <f t="shared" si="46"/>
        <v>0</v>
      </c>
      <c r="AI94" s="98" t="str">
        <f t="shared" si="47"/>
        <v>00</v>
      </c>
      <c r="AJ94" s="98" t="str">
        <f t="shared" si="48"/>
        <v>000000000000</v>
      </c>
      <c r="AK94" s="161" t="str">
        <f t="shared" si="49"/>
        <v xml:space="preserve">                              </v>
      </c>
      <c r="AL94" s="154">
        <f t="shared" si="50"/>
        <v>0</v>
      </c>
      <c r="AM94" s="155">
        <f t="shared" si="51"/>
        <v>0</v>
      </c>
      <c r="AP94" s="63" t="str">
        <f t="shared" si="52"/>
        <v/>
      </c>
      <c r="AQ94" s="63" t="str">
        <f t="shared" si="53"/>
        <v/>
      </c>
      <c r="AR94" s="152" t="str">
        <f t="shared" si="54"/>
        <v/>
      </c>
      <c r="AS94" s="109" t="str">
        <f t="shared" si="55"/>
        <v/>
      </c>
      <c r="AT94" s="63" t="str">
        <f t="shared" si="56"/>
        <v xml:space="preserve">                    </v>
      </c>
    </row>
    <row r="95" spans="1:46" ht="12.75" x14ac:dyDescent="0.2">
      <c r="A95" s="63" t="str">
        <f t="shared" si="38"/>
        <v/>
      </c>
      <c r="B95" s="185"/>
      <c r="C95" s="184"/>
      <c r="D95" s="184"/>
      <c r="E95" s="184"/>
      <c r="F95" s="184"/>
      <c r="G95" s="185"/>
      <c r="H95" s="185"/>
      <c r="I95" s="186"/>
      <c r="J95" s="69"/>
      <c r="AA95" s="63">
        <f t="shared" si="39"/>
        <v>0</v>
      </c>
      <c r="AB95" s="153" t="str">
        <f t="shared" si="40"/>
        <v>000</v>
      </c>
      <c r="AC95" s="165" t="str">
        <f t="shared" si="41"/>
        <v>00000000</v>
      </c>
      <c r="AD95" s="98" t="str">
        <f t="shared" si="42"/>
        <v>00000000</v>
      </c>
      <c r="AE95" s="150">
        <f t="shared" si="43"/>
        <v>0</v>
      </c>
      <c r="AF95" s="150">
        <f t="shared" si="44"/>
        <v>0</v>
      </c>
      <c r="AG95" s="98" t="str">
        <f t="shared" si="45"/>
        <v>0000000000</v>
      </c>
      <c r="AH95" s="151">
        <f t="shared" si="46"/>
        <v>0</v>
      </c>
      <c r="AI95" s="98" t="str">
        <f t="shared" si="47"/>
        <v>00</v>
      </c>
      <c r="AJ95" s="98" t="str">
        <f t="shared" si="48"/>
        <v>000000000000</v>
      </c>
      <c r="AK95" s="161" t="str">
        <f t="shared" si="49"/>
        <v xml:space="preserve">                              </v>
      </c>
      <c r="AL95" s="154">
        <f t="shared" si="50"/>
        <v>0</v>
      </c>
      <c r="AM95" s="155">
        <f t="shared" si="51"/>
        <v>0</v>
      </c>
      <c r="AP95" s="63" t="str">
        <f t="shared" si="52"/>
        <v/>
      </c>
      <c r="AQ95" s="63" t="str">
        <f t="shared" si="53"/>
        <v/>
      </c>
      <c r="AR95" s="152" t="str">
        <f t="shared" si="54"/>
        <v/>
      </c>
      <c r="AS95" s="109" t="str">
        <f t="shared" si="55"/>
        <v/>
      </c>
      <c r="AT95" s="63" t="str">
        <f t="shared" si="56"/>
        <v xml:space="preserve">                    </v>
      </c>
    </row>
    <row r="96" spans="1:46" ht="12.75" x14ac:dyDescent="0.2">
      <c r="A96" s="63" t="str">
        <f t="shared" si="38"/>
        <v/>
      </c>
      <c r="B96" s="185"/>
      <c r="C96" s="184"/>
      <c r="D96" s="184"/>
      <c r="E96" s="184"/>
      <c r="F96" s="184"/>
      <c r="G96" s="185"/>
      <c r="H96" s="185"/>
      <c r="I96" s="186"/>
      <c r="J96" s="69"/>
      <c r="AA96" s="63">
        <f t="shared" si="39"/>
        <v>0</v>
      </c>
      <c r="AB96" s="153" t="str">
        <f t="shared" si="40"/>
        <v>000</v>
      </c>
      <c r="AC96" s="165" t="str">
        <f t="shared" si="41"/>
        <v>00000000</v>
      </c>
      <c r="AD96" s="98" t="str">
        <f t="shared" si="42"/>
        <v>00000000</v>
      </c>
      <c r="AE96" s="150">
        <f t="shared" si="43"/>
        <v>0</v>
      </c>
      <c r="AF96" s="150">
        <f t="shared" si="44"/>
        <v>0</v>
      </c>
      <c r="AG96" s="98" t="str">
        <f t="shared" si="45"/>
        <v>0000000000</v>
      </c>
      <c r="AH96" s="151">
        <f t="shared" si="46"/>
        <v>0</v>
      </c>
      <c r="AI96" s="98" t="str">
        <f t="shared" si="47"/>
        <v>00</v>
      </c>
      <c r="AJ96" s="98" t="str">
        <f t="shared" si="48"/>
        <v>000000000000</v>
      </c>
      <c r="AK96" s="161" t="str">
        <f t="shared" si="49"/>
        <v xml:space="preserve">                              </v>
      </c>
      <c r="AL96" s="154">
        <f t="shared" si="50"/>
        <v>0</v>
      </c>
      <c r="AM96" s="155">
        <f t="shared" si="51"/>
        <v>0</v>
      </c>
      <c r="AP96" s="63" t="str">
        <f t="shared" si="52"/>
        <v/>
      </c>
      <c r="AQ96" s="63" t="str">
        <f t="shared" si="53"/>
        <v/>
      </c>
      <c r="AR96" s="152" t="str">
        <f t="shared" si="54"/>
        <v/>
      </c>
      <c r="AS96" s="109" t="str">
        <f t="shared" si="55"/>
        <v/>
      </c>
      <c r="AT96" s="63" t="str">
        <f t="shared" si="56"/>
        <v xml:space="preserve">                    </v>
      </c>
    </row>
    <row r="97" spans="1:46" ht="12.75" x14ac:dyDescent="0.2">
      <c r="A97" s="63" t="str">
        <f t="shared" si="38"/>
        <v/>
      </c>
      <c r="B97" s="185"/>
      <c r="C97" s="184"/>
      <c r="D97" s="184"/>
      <c r="E97" s="184"/>
      <c r="F97" s="184"/>
      <c r="G97" s="185"/>
      <c r="H97" s="185"/>
      <c r="I97" s="186"/>
      <c r="J97" s="69"/>
      <c r="AA97" s="63">
        <f t="shared" si="39"/>
        <v>0</v>
      </c>
      <c r="AB97" s="153" t="str">
        <f t="shared" si="40"/>
        <v>000</v>
      </c>
      <c r="AC97" s="165" t="str">
        <f t="shared" si="41"/>
        <v>00000000</v>
      </c>
      <c r="AD97" s="98" t="str">
        <f t="shared" si="42"/>
        <v>00000000</v>
      </c>
      <c r="AE97" s="150">
        <f t="shared" si="43"/>
        <v>0</v>
      </c>
      <c r="AF97" s="150">
        <f t="shared" si="44"/>
        <v>0</v>
      </c>
      <c r="AG97" s="98" t="str">
        <f t="shared" si="45"/>
        <v>0000000000</v>
      </c>
      <c r="AH97" s="151">
        <f t="shared" si="46"/>
        <v>0</v>
      </c>
      <c r="AI97" s="98" t="str">
        <f t="shared" si="47"/>
        <v>00</v>
      </c>
      <c r="AJ97" s="98" t="str">
        <f t="shared" si="48"/>
        <v>000000000000</v>
      </c>
      <c r="AK97" s="161" t="str">
        <f t="shared" si="49"/>
        <v xml:space="preserve">                              </v>
      </c>
      <c r="AL97" s="154">
        <f t="shared" si="50"/>
        <v>0</v>
      </c>
      <c r="AM97" s="155">
        <f t="shared" si="51"/>
        <v>0</v>
      </c>
      <c r="AP97" s="63" t="str">
        <f t="shared" si="52"/>
        <v/>
      </c>
      <c r="AQ97" s="63" t="str">
        <f t="shared" si="53"/>
        <v/>
      </c>
      <c r="AR97" s="152" t="str">
        <f t="shared" si="54"/>
        <v/>
      </c>
      <c r="AS97" s="109" t="str">
        <f t="shared" si="55"/>
        <v/>
      </c>
      <c r="AT97" s="63" t="str">
        <f t="shared" si="56"/>
        <v xml:space="preserve">                    </v>
      </c>
    </row>
    <row r="98" spans="1:46" ht="12.75" x14ac:dyDescent="0.2">
      <c r="A98" s="63" t="str">
        <f t="shared" si="38"/>
        <v/>
      </c>
      <c r="B98" s="185"/>
      <c r="C98" s="184"/>
      <c r="D98" s="184"/>
      <c r="E98" s="184"/>
      <c r="F98" s="184"/>
      <c r="G98" s="185"/>
      <c r="H98" s="185"/>
      <c r="I98" s="186"/>
      <c r="J98" s="69"/>
      <c r="AA98" s="63">
        <f t="shared" si="39"/>
        <v>0</v>
      </c>
      <c r="AB98" s="153" t="str">
        <f t="shared" si="40"/>
        <v>000</v>
      </c>
      <c r="AC98" s="165" t="str">
        <f t="shared" si="41"/>
        <v>00000000</v>
      </c>
      <c r="AD98" s="98" t="str">
        <f t="shared" si="42"/>
        <v>00000000</v>
      </c>
      <c r="AE98" s="150">
        <f t="shared" si="43"/>
        <v>0</v>
      </c>
      <c r="AF98" s="150">
        <f t="shared" si="44"/>
        <v>0</v>
      </c>
      <c r="AG98" s="98" t="str">
        <f t="shared" si="45"/>
        <v>0000000000</v>
      </c>
      <c r="AH98" s="151">
        <f t="shared" si="46"/>
        <v>0</v>
      </c>
      <c r="AI98" s="98" t="str">
        <f t="shared" si="47"/>
        <v>00</v>
      </c>
      <c r="AJ98" s="98" t="str">
        <f t="shared" si="48"/>
        <v>000000000000</v>
      </c>
      <c r="AK98" s="161" t="str">
        <f t="shared" si="49"/>
        <v xml:space="preserve">                              </v>
      </c>
      <c r="AL98" s="154">
        <f t="shared" si="50"/>
        <v>0</v>
      </c>
      <c r="AM98" s="155">
        <f t="shared" si="51"/>
        <v>0</v>
      </c>
      <c r="AP98" s="63" t="str">
        <f t="shared" si="52"/>
        <v/>
      </c>
      <c r="AQ98" s="63" t="str">
        <f t="shared" si="53"/>
        <v/>
      </c>
      <c r="AR98" s="152" t="str">
        <f t="shared" si="54"/>
        <v/>
      </c>
      <c r="AS98" s="109" t="str">
        <f t="shared" si="55"/>
        <v/>
      </c>
      <c r="AT98" s="63" t="str">
        <f t="shared" si="56"/>
        <v xml:space="preserve">                    </v>
      </c>
    </row>
    <row r="99" spans="1:46" ht="12.75" x14ac:dyDescent="0.2">
      <c r="A99" s="63" t="str">
        <f t="shared" si="38"/>
        <v/>
      </c>
      <c r="B99" s="185"/>
      <c r="C99" s="184"/>
      <c r="D99" s="184"/>
      <c r="E99" s="184"/>
      <c r="F99" s="184"/>
      <c r="G99" s="185"/>
      <c r="H99" s="185"/>
      <c r="I99" s="186"/>
      <c r="J99" s="69"/>
      <c r="AA99" s="63">
        <f t="shared" si="39"/>
        <v>0</v>
      </c>
      <c r="AB99" s="153" t="str">
        <f t="shared" si="40"/>
        <v>000</v>
      </c>
      <c r="AC99" s="165" t="str">
        <f t="shared" si="41"/>
        <v>00000000</v>
      </c>
      <c r="AD99" s="98" t="str">
        <f t="shared" si="42"/>
        <v>00000000</v>
      </c>
      <c r="AE99" s="150">
        <f t="shared" si="43"/>
        <v>0</v>
      </c>
      <c r="AF99" s="150">
        <f t="shared" si="44"/>
        <v>0</v>
      </c>
      <c r="AG99" s="98" t="str">
        <f t="shared" si="45"/>
        <v>0000000000</v>
      </c>
      <c r="AH99" s="151">
        <f t="shared" si="46"/>
        <v>0</v>
      </c>
      <c r="AI99" s="98" t="str">
        <f t="shared" si="47"/>
        <v>00</v>
      </c>
      <c r="AJ99" s="98" t="str">
        <f t="shared" si="48"/>
        <v>000000000000</v>
      </c>
      <c r="AK99" s="161" t="str">
        <f t="shared" si="49"/>
        <v xml:space="preserve">                              </v>
      </c>
      <c r="AL99" s="154">
        <f t="shared" si="50"/>
        <v>0</v>
      </c>
      <c r="AM99" s="155">
        <f t="shared" si="51"/>
        <v>0</v>
      </c>
      <c r="AP99" s="63" t="str">
        <f t="shared" si="52"/>
        <v/>
      </c>
      <c r="AQ99" s="63" t="str">
        <f t="shared" si="53"/>
        <v/>
      </c>
      <c r="AR99" s="152" t="str">
        <f t="shared" si="54"/>
        <v/>
      </c>
      <c r="AS99" s="109" t="str">
        <f t="shared" si="55"/>
        <v/>
      </c>
      <c r="AT99" s="63" t="str">
        <f t="shared" si="56"/>
        <v xml:space="preserve">                    </v>
      </c>
    </row>
    <row r="100" spans="1:46" ht="12.75" x14ac:dyDescent="0.2">
      <c r="A100" s="63" t="str">
        <f t="shared" si="38"/>
        <v/>
      </c>
      <c r="B100" s="185"/>
      <c r="C100" s="184"/>
      <c r="D100" s="184"/>
      <c r="E100" s="184"/>
      <c r="F100" s="184"/>
      <c r="G100" s="185"/>
      <c r="H100" s="185"/>
      <c r="I100" s="186"/>
      <c r="J100" s="69"/>
      <c r="AA100" s="63">
        <f t="shared" si="39"/>
        <v>0</v>
      </c>
      <c r="AB100" s="153" t="str">
        <f t="shared" si="40"/>
        <v>000</v>
      </c>
      <c r="AC100" s="165" t="str">
        <f t="shared" si="41"/>
        <v>00000000</v>
      </c>
      <c r="AD100" s="98" t="str">
        <f t="shared" si="42"/>
        <v>00000000</v>
      </c>
      <c r="AE100" s="150">
        <f t="shared" si="43"/>
        <v>0</v>
      </c>
      <c r="AF100" s="150">
        <f t="shared" si="44"/>
        <v>0</v>
      </c>
      <c r="AG100" s="98" t="str">
        <f t="shared" si="45"/>
        <v>0000000000</v>
      </c>
      <c r="AH100" s="151">
        <f t="shared" si="46"/>
        <v>0</v>
      </c>
      <c r="AI100" s="98" t="str">
        <f t="shared" si="47"/>
        <v>00</v>
      </c>
      <c r="AJ100" s="98" t="str">
        <f t="shared" si="48"/>
        <v>000000000000</v>
      </c>
      <c r="AK100" s="161" t="str">
        <f t="shared" si="49"/>
        <v xml:space="preserve">                              </v>
      </c>
      <c r="AL100" s="154">
        <f t="shared" si="50"/>
        <v>0</v>
      </c>
      <c r="AM100" s="155">
        <f t="shared" si="51"/>
        <v>0</v>
      </c>
      <c r="AP100" s="63" t="str">
        <f t="shared" si="52"/>
        <v/>
      </c>
      <c r="AQ100" s="63" t="str">
        <f t="shared" si="53"/>
        <v/>
      </c>
      <c r="AR100" s="152" t="str">
        <f t="shared" si="54"/>
        <v/>
      </c>
      <c r="AS100" s="109" t="str">
        <f t="shared" si="55"/>
        <v/>
      </c>
      <c r="AT100" s="63" t="str">
        <f t="shared" si="56"/>
        <v xml:space="preserve">                    </v>
      </c>
    </row>
    <row r="101" spans="1:46" ht="12.75" x14ac:dyDescent="0.2">
      <c r="A101" s="63" t="str">
        <f t="shared" si="38"/>
        <v/>
      </c>
      <c r="B101" s="185"/>
      <c r="C101" s="184"/>
      <c r="D101" s="184"/>
      <c r="E101" s="184"/>
      <c r="F101" s="184"/>
      <c r="G101" s="185"/>
      <c r="H101" s="185"/>
      <c r="I101" s="186"/>
      <c r="J101" s="69"/>
      <c r="AA101" s="63">
        <f t="shared" si="39"/>
        <v>0</v>
      </c>
      <c r="AB101" s="153" t="str">
        <f t="shared" si="40"/>
        <v>000</v>
      </c>
      <c r="AC101" s="165" t="str">
        <f t="shared" si="41"/>
        <v>00000000</v>
      </c>
      <c r="AD101" s="98" t="str">
        <f t="shared" si="42"/>
        <v>00000000</v>
      </c>
      <c r="AE101" s="150">
        <f t="shared" si="43"/>
        <v>0</v>
      </c>
      <c r="AF101" s="150">
        <f t="shared" si="44"/>
        <v>0</v>
      </c>
      <c r="AG101" s="98" t="str">
        <f t="shared" si="45"/>
        <v>0000000000</v>
      </c>
      <c r="AH101" s="151">
        <f t="shared" si="46"/>
        <v>0</v>
      </c>
      <c r="AI101" s="98" t="str">
        <f t="shared" si="47"/>
        <v>00</v>
      </c>
      <c r="AJ101" s="98" t="str">
        <f t="shared" si="48"/>
        <v>000000000000</v>
      </c>
      <c r="AK101" s="161" t="str">
        <f t="shared" si="49"/>
        <v xml:space="preserve">                              </v>
      </c>
      <c r="AL101" s="154">
        <f t="shared" si="50"/>
        <v>0</v>
      </c>
      <c r="AM101" s="155">
        <f t="shared" si="51"/>
        <v>0</v>
      </c>
      <c r="AP101" s="63" t="str">
        <f t="shared" si="52"/>
        <v/>
      </c>
      <c r="AQ101" s="63" t="str">
        <f t="shared" si="53"/>
        <v/>
      </c>
      <c r="AR101" s="152" t="str">
        <f t="shared" si="54"/>
        <v/>
      </c>
      <c r="AS101" s="109" t="str">
        <f t="shared" si="55"/>
        <v/>
      </c>
      <c r="AT101" s="63" t="str">
        <f t="shared" si="56"/>
        <v xml:space="preserve">                    </v>
      </c>
    </row>
    <row r="102" spans="1:46" ht="12.75" x14ac:dyDescent="0.2">
      <c r="A102" s="63" t="str">
        <f t="shared" si="38"/>
        <v/>
      </c>
      <c r="B102" s="185"/>
      <c r="C102" s="184"/>
      <c r="D102" s="184"/>
      <c r="E102" s="184"/>
      <c r="F102" s="184"/>
      <c r="G102" s="185"/>
      <c r="H102" s="185"/>
      <c r="I102" s="186"/>
      <c r="J102" s="69"/>
      <c r="AA102" s="63">
        <f t="shared" si="39"/>
        <v>0</v>
      </c>
      <c r="AB102" s="153" t="str">
        <f t="shared" si="40"/>
        <v>000</v>
      </c>
      <c r="AC102" s="165" t="str">
        <f t="shared" si="41"/>
        <v>00000000</v>
      </c>
      <c r="AD102" s="98" t="str">
        <f t="shared" si="42"/>
        <v>00000000</v>
      </c>
      <c r="AE102" s="150">
        <f t="shared" si="43"/>
        <v>0</v>
      </c>
      <c r="AF102" s="150">
        <f t="shared" si="44"/>
        <v>0</v>
      </c>
      <c r="AG102" s="98" t="str">
        <f t="shared" si="45"/>
        <v>0000000000</v>
      </c>
      <c r="AH102" s="151">
        <f t="shared" si="46"/>
        <v>0</v>
      </c>
      <c r="AI102" s="98" t="str">
        <f t="shared" si="47"/>
        <v>00</v>
      </c>
      <c r="AJ102" s="98" t="str">
        <f t="shared" si="48"/>
        <v>000000000000</v>
      </c>
      <c r="AK102" s="161" t="str">
        <f t="shared" si="49"/>
        <v xml:space="preserve">                              </v>
      </c>
      <c r="AL102" s="154">
        <f t="shared" si="50"/>
        <v>0</v>
      </c>
      <c r="AM102" s="155">
        <f t="shared" si="51"/>
        <v>0</v>
      </c>
      <c r="AP102" s="63" t="str">
        <f t="shared" si="52"/>
        <v/>
      </c>
      <c r="AQ102" s="63" t="str">
        <f t="shared" si="53"/>
        <v/>
      </c>
      <c r="AR102" s="152" t="str">
        <f t="shared" si="54"/>
        <v/>
      </c>
      <c r="AS102" s="109" t="str">
        <f t="shared" si="55"/>
        <v/>
      </c>
      <c r="AT102" s="63" t="str">
        <f t="shared" si="56"/>
        <v xml:space="preserve">                    </v>
      </c>
    </row>
    <row r="103" spans="1:46" ht="12.75" x14ac:dyDescent="0.2">
      <c r="A103" s="63" t="str">
        <f t="shared" si="38"/>
        <v/>
      </c>
      <c r="B103" s="185"/>
      <c r="C103" s="184"/>
      <c r="D103" s="184"/>
      <c r="E103" s="184"/>
      <c r="F103" s="184"/>
      <c r="G103" s="185"/>
      <c r="H103" s="185"/>
      <c r="I103" s="186"/>
      <c r="J103" s="69"/>
      <c r="AA103" s="63">
        <f t="shared" si="39"/>
        <v>0</v>
      </c>
      <c r="AB103" s="153" t="str">
        <f t="shared" si="40"/>
        <v>000</v>
      </c>
      <c r="AC103" s="165" t="str">
        <f t="shared" si="41"/>
        <v>00000000</v>
      </c>
      <c r="AD103" s="98" t="str">
        <f t="shared" si="42"/>
        <v>00000000</v>
      </c>
      <c r="AE103" s="150">
        <f t="shared" si="43"/>
        <v>0</v>
      </c>
      <c r="AF103" s="150">
        <f t="shared" si="44"/>
        <v>0</v>
      </c>
      <c r="AG103" s="98" t="str">
        <f t="shared" si="45"/>
        <v>0000000000</v>
      </c>
      <c r="AH103" s="151">
        <f t="shared" si="46"/>
        <v>0</v>
      </c>
      <c r="AI103" s="98" t="str">
        <f t="shared" si="47"/>
        <v>00</v>
      </c>
      <c r="AJ103" s="98" t="str">
        <f t="shared" si="48"/>
        <v>000000000000</v>
      </c>
      <c r="AK103" s="161" t="str">
        <f t="shared" si="49"/>
        <v xml:space="preserve">                              </v>
      </c>
      <c r="AL103" s="154">
        <f t="shared" si="50"/>
        <v>0</v>
      </c>
      <c r="AM103" s="155">
        <f t="shared" si="51"/>
        <v>0</v>
      </c>
      <c r="AP103" s="63" t="str">
        <f t="shared" si="52"/>
        <v/>
      </c>
      <c r="AQ103" s="63" t="str">
        <f t="shared" si="53"/>
        <v/>
      </c>
      <c r="AR103" s="152" t="str">
        <f t="shared" si="54"/>
        <v/>
      </c>
      <c r="AS103" s="109" t="str">
        <f t="shared" si="55"/>
        <v/>
      </c>
      <c r="AT103" s="63" t="str">
        <f t="shared" si="56"/>
        <v xml:space="preserve">                    </v>
      </c>
    </row>
    <row r="104" spans="1:46" ht="12.75" x14ac:dyDescent="0.2">
      <c r="A104" s="63" t="str">
        <f t="shared" si="38"/>
        <v/>
      </c>
      <c r="B104" s="185"/>
      <c r="C104" s="184"/>
      <c r="D104" s="184"/>
      <c r="E104" s="184"/>
      <c r="F104" s="184"/>
      <c r="G104" s="185"/>
      <c r="H104" s="185"/>
      <c r="I104" s="186"/>
      <c r="J104" s="69"/>
      <c r="AA104" s="63">
        <f t="shared" si="39"/>
        <v>0</v>
      </c>
      <c r="AB104" s="153" t="str">
        <f t="shared" si="40"/>
        <v>000</v>
      </c>
      <c r="AC104" s="165" t="str">
        <f t="shared" si="41"/>
        <v>00000000</v>
      </c>
      <c r="AD104" s="98" t="str">
        <f t="shared" si="42"/>
        <v>00000000</v>
      </c>
      <c r="AE104" s="150">
        <f t="shared" si="43"/>
        <v>0</v>
      </c>
      <c r="AF104" s="150">
        <f t="shared" si="44"/>
        <v>0</v>
      </c>
      <c r="AG104" s="98" t="str">
        <f t="shared" si="45"/>
        <v>0000000000</v>
      </c>
      <c r="AH104" s="151">
        <f t="shared" si="46"/>
        <v>0</v>
      </c>
      <c r="AI104" s="98" t="str">
        <f t="shared" si="47"/>
        <v>00</v>
      </c>
      <c r="AJ104" s="98" t="str">
        <f t="shared" si="48"/>
        <v>000000000000</v>
      </c>
      <c r="AK104" s="161" t="str">
        <f t="shared" si="49"/>
        <v xml:space="preserve">                              </v>
      </c>
      <c r="AL104" s="154">
        <f t="shared" si="50"/>
        <v>0</v>
      </c>
      <c r="AM104" s="155">
        <f t="shared" si="51"/>
        <v>0</v>
      </c>
      <c r="AP104" s="63" t="str">
        <f t="shared" si="52"/>
        <v/>
      </c>
      <c r="AQ104" s="63" t="str">
        <f t="shared" si="53"/>
        <v/>
      </c>
      <c r="AR104" s="152" t="str">
        <f t="shared" si="54"/>
        <v/>
      </c>
      <c r="AS104" s="109" t="str">
        <f t="shared" si="55"/>
        <v/>
      </c>
      <c r="AT104" s="63" t="str">
        <f t="shared" si="56"/>
        <v xml:space="preserve">                    </v>
      </c>
    </row>
    <row r="105" spans="1:46" ht="12.75" x14ac:dyDescent="0.2">
      <c r="A105" s="63" t="str">
        <f t="shared" si="38"/>
        <v/>
      </c>
      <c r="B105" s="185"/>
      <c r="C105" s="184"/>
      <c r="D105" s="184"/>
      <c r="E105" s="184"/>
      <c r="F105" s="184"/>
      <c r="G105" s="185"/>
      <c r="H105" s="185"/>
      <c r="I105" s="186"/>
      <c r="J105" s="69"/>
      <c r="AA105" s="63">
        <f t="shared" si="39"/>
        <v>0</v>
      </c>
      <c r="AB105" s="153" t="str">
        <f t="shared" si="40"/>
        <v>000</v>
      </c>
      <c r="AC105" s="165" t="str">
        <f t="shared" si="41"/>
        <v>00000000</v>
      </c>
      <c r="AD105" s="98" t="str">
        <f t="shared" si="42"/>
        <v>00000000</v>
      </c>
      <c r="AE105" s="150">
        <f t="shared" si="43"/>
        <v>0</v>
      </c>
      <c r="AF105" s="150">
        <f t="shared" si="44"/>
        <v>0</v>
      </c>
      <c r="AG105" s="98" t="str">
        <f t="shared" si="45"/>
        <v>0000000000</v>
      </c>
      <c r="AH105" s="151">
        <f t="shared" si="46"/>
        <v>0</v>
      </c>
      <c r="AI105" s="98" t="str">
        <f t="shared" si="47"/>
        <v>00</v>
      </c>
      <c r="AJ105" s="98" t="str">
        <f t="shared" si="48"/>
        <v>000000000000</v>
      </c>
      <c r="AK105" s="161" t="str">
        <f t="shared" si="49"/>
        <v xml:space="preserve">                              </v>
      </c>
      <c r="AL105" s="154">
        <f t="shared" si="50"/>
        <v>0</v>
      </c>
      <c r="AM105" s="155">
        <f t="shared" si="51"/>
        <v>0</v>
      </c>
      <c r="AP105" s="63" t="str">
        <f t="shared" si="52"/>
        <v/>
      </c>
      <c r="AQ105" s="63" t="str">
        <f t="shared" si="53"/>
        <v/>
      </c>
      <c r="AR105" s="152" t="str">
        <f t="shared" si="54"/>
        <v/>
      </c>
      <c r="AS105" s="109" t="str">
        <f t="shared" si="55"/>
        <v/>
      </c>
      <c r="AT105" s="63" t="str">
        <f t="shared" si="56"/>
        <v xml:space="preserve">                    </v>
      </c>
    </row>
    <row r="106" spans="1:46" ht="12.75" x14ac:dyDescent="0.2">
      <c r="A106" s="63" t="str">
        <f t="shared" si="38"/>
        <v/>
      </c>
      <c r="B106" s="185"/>
      <c r="C106" s="184"/>
      <c r="D106" s="184"/>
      <c r="E106" s="184"/>
      <c r="F106" s="184"/>
      <c r="G106" s="185"/>
      <c r="H106" s="185"/>
      <c r="I106" s="186"/>
      <c r="J106" s="69"/>
      <c r="AA106" s="63">
        <f t="shared" si="39"/>
        <v>0</v>
      </c>
      <c r="AB106" s="153" t="str">
        <f t="shared" si="40"/>
        <v>000</v>
      </c>
      <c r="AC106" s="165" t="str">
        <f t="shared" si="41"/>
        <v>00000000</v>
      </c>
      <c r="AD106" s="98" t="str">
        <f t="shared" si="42"/>
        <v>00000000</v>
      </c>
      <c r="AE106" s="150">
        <f t="shared" si="43"/>
        <v>0</v>
      </c>
      <c r="AF106" s="150">
        <f t="shared" si="44"/>
        <v>0</v>
      </c>
      <c r="AG106" s="98" t="str">
        <f t="shared" si="45"/>
        <v>0000000000</v>
      </c>
      <c r="AH106" s="151">
        <f t="shared" si="46"/>
        <v>0</v>
      </c>
      <c r="AI106" s="98" t="str">
        <f t="shared" si="47"/>
        <v>00</v>
      </c>
      <c r="AJ106" s="98" t="str">
        <f t="shared" si="48"/>
        <v>000000000000</v>
      </c>
      <c r="AK106" s="161" t="str">
        <f t="shared" si="49"/>
        <v xml:space="preserve">                              </v>
      </c>
      <c r="AL106" s="154">
        <f t="shared" si="50"/>
        <v>0</v>
      </c>
      <c r="AM106" s="155">
        <f t="shared" si="51"/>
        <v>0</v>
      </c>
      <c r="AP106" s="63" t="str">
        <f t="shared" si="52"/>
        <v/>
      </c>
      <c r="AQ106" s="63" t="str">
        <f t="shared" si="53"/>
        <v/>
      </c>
      <c r="AR106" s="152" t="str">
        <f t="shared" si="54"/>
        <v/>
      </c>
      <c r="AS106" s="109" t="str">
        <f t="shared" si="55"/>
        <v/>
      </c>
      <c r="AT106" s="63" t="str">
        <f t="shared" si="56"/>
        <v xml:space="preserve">                    </v>
      </c>
    </row>
    <row r="107" spans="1:46" ht="12.75" x14ac:dyDescent="0.2">
      <c r="A107" s="63" t="str">
        <f t="shared" si="38"/>
        <v/>
      </c>
      <c r="B107" s="185"/>
      <c r="C107" s="184"/>
      <c r="D107" s="184"/>
      <c r="E107" s="184"/>
      <c r="F107" s="184"/>
      <c r="G107" s="185"/>
      <c r="H107" s="185"/>
      <c r="I107" s="186"/>
      <c r="J107" s="69"/>
      <c r="AA107" s="63">
        <f t="shared" si="39"/>
        <v>0</v>
      </c>
      <c r="AB107" s="153" t="str">
        <f t="shared" si="40"/>
        <v>000</v>
      </c>
      <c r="AC107" s="165" t="str">
        <f t="shared" si="41"/>
        <v>00000000</v>
      </c>
      <c r="AD107" s="98" t="str">
        <f t="shared" si="42"/>
        <v>00000000</v>
      </c>
      <c r="AE107" s="150">
        <f t="shared" si="43"/>
        <v>0</v>
      </c>
      <c r="AF107" s="150">
        <f t="shared" si="44"/>
        <v>0</v>
      </c>
      <c r="AG107" s="98" t="str">
        <f t="shared" si="45"/>
        <v>0000000000</v>
      </c>
      <c r="AH107" s="151">
        <f t="shared" si="46"/>
        <v>0</v>
      </c>
      <c r="AI107" s="98" t="str">
        <f t="shared" si="47"/>
        <v>00</v>
      </c>
      <c r="AJ107" s="98" t="str">
        <f t="shared" si="48"/>
        <v>000000000000</v>
      </c>
      <c r="AK107" s="161" t="str">
        <f t="shared" si="49"/>
        <v xml:space="preserve">                              </v>
      </c>
      <c r="AL107" s="154">
        <f t="shared" si="50"/>
        <v>0</v>
      </c>
      <c r="AM107" s="155">
        <f t="shared" si="51"/>
        <v>0</v>
      </c>
      <c r="AP107" s="63" t="str">
        <f t="shared" si="52"/>
        <v/>
      </c>
      <c r="AQ107" s="63" t="str">
        <f t="shared" si="53"/>
        <v/>
      </c>
      <c r="AR107" s="152" t="str">
        <f t="shared" si="54"/>
        <v/>
      </c>
      <c r="AS107" s="109" t="str">
        <f t="shared" si="55"/>
        <v/>
      </c>
      <c r="AT107" s="63" t="str">
        <f t="shared" si="56"/>
        <v xml:space="preserve">                    </v>
      </c>
    </row>
    <row r="108" spans="1:46" ht="12.75" x14ac:dyDescent="0.2">
      <c r="A108" s="63" t="str">
        <f t="shared" si="38"/>
        <v/>
      </c>
      <c r="B108" s="185"/>
      <c r="C108" s="184"/>
      <c r="D108" s="184"/>
      <c r="E108" s="184"/>
      <c r="F108" s="184"/>
      <c r="G108" s="185"/>
      <c r="H108" s="185"/>
      <c r="I108" s="186"/>
      <c r="J108" s="69"/>
      <c r="AA108" s="63">
        <f t="shared" si="39"/>
        <v>0</v>
      </c>
      <c r="AB108" s="153" t="str">
        <f t="shared" si="40"/>
        <v>000</v>
      </c>
      <c r="AC108" s="165" t="str">
        <f t="shared" si="41"/>
        <v>00000000</v>
      </c>
      <c r="AD108" s="98" t="str">
        <f t="shared" si="42"/>
        <v>00000000</v>
      </c>
      <c r="AE108" s="150">
        <f t="shared" si="43"/>
        <v>0</v>
      </c>
      <c r="AF108" s="150">
        <f t="shared" si="44"/>
        <v>0</v>
      </c>
      <c r="AG108" s="98" t="str">
        <f t="shared" si="45"/>
        <v>0000000000</v>
      </c>
      <c r="AH108" s="151">
        <f t="shared" si="46"/>
        <v>0</v>
      </c>
      <c r="AI108" s="98" t="str">
        <f t="shared" si="47"/>
        <v>00</v>
      </c>
      <c r="AJ108" s="98" t="str">
        <f t="shared" si="48"/>
        <v>000000000000</v>
      </c>
      <c r="AK108" s="161" t="str">
        <f t="shared" si="49"/>
        <v xml:space="preserve">                              </v>
      </c>
      <c r="AL108" s="154">
        <f t="shared" si="50"/>
        <v>0</v>
      </c>
      <c r="AM108" s="155">
        <f t="shared" si="51"/>
        <v>0</v>
      </c>
      <c r="AP108" s="63" t="str">
        <f t="shared" si="52"/>
        <v/>
      </c>
      <c r="AQ108" s="63" t="str">
        <f t="shared" si="53"/>
        <v/>
      </c>
      <c r="AR108" s="152" t="str">
        <f t="shared" si="54"/>
        <v/>
      </c>
      <c r="AS108" s="109" t="str">
        <f t="shared" si="55"/>
        <v/>
      </c>
      <c r="AT108" s="63" t="str">
        <f t="shared" si="56"/>
        <v xml:space="preserve">                    </v>
      </c>
    </row>
    <row r="109" spans="1:46" ht="12.75" x14ac:dyDescent="0.2">
      <c r="A109" s="63" t="str">
        <f t="shared" si="38"/>
        <v/>
      </c>
      <c r="B109" s="185"/>
      <c r="C109" s="184"/>
      <c r="D109" s="184"/>
      <c r="E109" s="184"/>
      <c r="F109" s="184"/>
      <c r="G109" s="185"/>
      <c r="H109" s="185"/>
      <c r="I109" s="186"/>
      <c r="J109" s="69"/>
      <c r="AA109" s="63">
        <f t="shared" si="39"/>
        <v>0</v>
      </c>
      <c r="AB109" s="153" t="str">
        <f t="shared" si="40"/>
        <v>000</v>
      </c>
      <c r="AC109" s="165" t="str">
        <f t="shared" si="41"/>
        <v>00000000</v>
      </c>
      <c r="AD109" s="98" t="str">
        <f t="shared" si="42"/>
        <v>00000000</v>
      </c>
      <c r="AE109" s="150">
        <f t="shared" si="43"/>
        <v>0</v>
      </c>
      <c r="AF109" s="150">
        <f t="shared" si="44"/>
        <v>0</v>
      </c>
      <c r="AG109" s="98" t="str">
        <f t="shared" si="45"/>
        <v>0000000000</v>
      </c>
      <c r="AH109" s="151">
        <f t="shared" si="46"/>
        <v>0</v>
      </c>
      <c r="AI109" s="98" t="str">
        <f t="shared" si="47"/>
        <v>00</v>
      </c>
      <c r="AJ109" s="98" t="str">
        <f t="shared" si="48"/>
        <v>000000000000</v>
      </c>
      <c r="AK109" s="161" t="str">
        <f t="shared" si="49"/>
        <v xml:space="preserve">                              </v>
      </c>
      <c r="AL109" s="154">
        <f t="shared" si="50"/>
        <v>0</v>
      </c>
      <c r="AM109" s="155">
        <f t="shared" si="51"/>
        <v>0</v>
      </c>
      <c r="AP109" s="63" t="str">
        <f t="shared" si="52"/>
        <v/>
      </c>
      <c r="AQ109" s="63" t="str">
        <f t="shared" si="53"/>
        <v/>
      </c>
      <c r="AR109" s="152" t="str">
        <f t="shared" si="54"/>
        <v/>
      </c>
      <c r="AS109" s="109" t="str">
        <f t="shared" si="55"/>
        <v/>
      </c>
      <c r="AT109" s="63" t="str">
        <f t="shared" si="56"/>
        <v xml:space="preserve">                    </v>
      </c>
    </row>
    <row r="110" spans="1:46" ht="12.75" x14ac:dyDescent="0.2">
      <c r="A110" s="63" t="str">
        <f t="shared" si="38"/>
        <v/>
      </c>
      <c r="B110" s="185"/>
      <c r="C110" s="184"/>
      <c r="D110" s="184"/>
      <c r="E110" s="184"/>
      <c r="F110" s="184"/>
      <c r="G110" s="185"/>
      <c r="H110" s="185"/>
      <c r="I110" s="186"/>
      <c r="J110" s="69"/>
      <c r="AA110" s="63">
        <f t="shared" si="39"/>
        <v>0</v>
      </c>
      <c r="AB110" s="153" t="str">
        <f t="shared" si="40"/>
        <v>000</v>
      </c>
      <c r="AC110" s="165" t="str">
        <f t="shared" si="41"/>
        <v>00000000</v>
      </c>
      <c r="AD110" s="98" t="str">
        <f t="shared" si="42"/>
        <v>00000000</v>
      </c>
      <c r="AE110" s="150">
        <f t="shared" si="43"/>
        <v>0</v>
      </c>
      <c r="AF110" s="150">
        <f t="shared" si="44"/>
        <v>0</v>
      </c>
      <c r="AG110" s="98" t="str">
        <f t="shared" si="45"/>
        <v>0000000000</v>
      </c>
      <c r="AH110" s="151">
        <f t="shared" si="46"/>
        <v>0</v>
      </c>
      <c r="AI110" s="98" t="str">
        <f t="shared" si="47"/>
        <v>00</v>
      </c>
      <c r="AJ110" s="98" t="str">
        <f t="shared" si="48"/>
        <v>000000000000</v>
      </c>
      <c r="AK110" s="161" t="str">
        <f t="shared" si="49"/>
        <v xml:space="preserve">                              </v>
      </c>
      <c r="AL110" s="154">
        <f t="shared" si="50"/>
        <v>0</v>
      </c>
      <c r="AM110" s="155">
        <f t="shared" si="51"/>
        <v>0</v>
      </c>
      <c r="AP110" s="63" t="str">
        <f t="shared" si="52"/>
        <v/>
      </c>
      <c r="AQ110" s="63" t="str">
        <f t="shared" si="53"/>
        <v/>
      </c>
      <c r="AR110" s="152" t="str">
        <f t="shared" si="54"/>
        <v/>
      </c>
      <c r="AS110" s="109" t="str">
        <f t="shared" si="55"/>
        <v/>
      </c>
      <c r="AT110" s="63" t="str">
        <f t="shared" si="56"/>
        <v xml:space="preserve">                    </v>
      </c>
    </row>
    <row r="111" spans="1:46" ht="12.75" x14ac:dyDescent="0.2">
      <c r="A111" s="63" t="str">
        <f t="shared" si="38"/>
        <v/>
      </c>
      <c r="B111" s="185"/>
      <c r="C111" s="184"/>
      <c r="D111" s="184"/>
      <c r="E111" s="184"/>
      <c r="F111" s="184"/>
      <c r="G111" s="185"/>
      <c r="H111" s="185"/>
      <c r="I111" s="186"/>
      <c r="J111" s="69"/>
      <c r="AA111" s="63">
        <f t="shared" si="39"/>
        <v>0</v>
      </c>
      <c r="AB111" s="153" t="str">
        <f t="shared" si="40"/>
        <v>000</v>
      </c>
      <c r="AC111" s="165" t="str">
        <f t="shared" si="41"/>
        <v>00000000</v>
      </c>
      <c r="AD111" s="98" t="str">
        <f t="shared" si="42"/>
        <v>00000000</v>
      </c>
      <c r="AE111" s="150">
        <f t="shared" si="43"/>
        <v>0</v>
      </c>
      <c r="AF111" s="150">
        <f t="shared" si="44"/>
        <v>0</v>
      </c>
      <c r="AG111" s="98" t="str">
        <f t="shared" si="45"/>
        <v>0000000000</v>
      </c>
      <c r="AH111" s="151">
        <f t="shared" si="46"/>
        <v>0</v>
      </c>
      <c r="AI111" s="98" t="str">
        <f t="shared" si="47"/>
        <v>00</v>
      </c>
      <c r="AJ111" s="98" t="str">
        <f t="shared" si="48"/>
        <v>000000000000</v>
      </c>
      <c r="AK111" s="161" t="str">
        <f t="shared" si="49"/>
        <v xml:space="preserve">                              </v>
      </c>
      <c r="AL111" s="154">
        <f t="shared" si="50"/>
        <v>0</v>
      </c>
      <c r="AM111" s="155">
        <f t="shared" si="51"/>
        <v>0</v>
      </c>
      <c r="AP111" s="63" t="str">
        <f t="shared" si="52"/>
        <v/>
      </c>
      <c r="AQ111" s="63" t="str">
        <f t="shared" si="53"/>
        <v/>
      </c>
      <c r="AR111" s="152" t="str">
        <f t="shared" si="54"/>
        <v/>
      </c>
      <c r="AS111" s="109" t="str">
        <f t="shared" si="55"/>
        <v/>
      </c>
      <c r="AT111" s="63" t="str">
        <f t="shared" si="56"/>
        <v xml:space="preserve">                    </v>
      </c>
    </row>
    <row r="112" spans="1:46" ht="12.75" x14ac:dyDescent="0.2">
      <c r="A112" s="63" t="str">
        <f t="shared" si="38"/>
        <v/>
      </c>
      <c r="B112" s="185"/>
      <c r="C112" s="184"/>
      <c r="D112" s="184"/>
      <c r="E112" s="184"/>
      <c r="F112" s="184"/>
      <c r="G112" s="185"/>
      <c r="H112" s="185"/>
      <c r="I112" s="186"/>
      <c r="J112" s="69"/>
      <c r="AA112" s="63">
        <f t="shared" si="39"/>
        <v>0</v>
      </c>
      <c r="AB112" s="153" t="str">
        <f t="shared" si="40"/>
        <v>000</v>
      </c>
      <c r="AC112" s="165" t="str">
        <f t="shared" si="41"/>
        <v>00000000</v>
      </c>
      <c r="AD112" s="98" t="str">
        <f t="shared" si="42"/>
        <v>00000000</v>
      </c>
      <c r="AE112" s="150">
        <f t="shared" si="43"/>
        <v>0</v>
      </c>
      <c r="AF112" s="150">
        <f t="shared" si="44"/>
        <v>0</v>
      </c>
      <c r="AG112" s="98" t="str">
        <f t="shared" si="45"/>
        <v>0000000000</v>
      </c>
      <c r="AH112" s="151">
        <f t="shared" si="46"/>
        <v>0</v>
      </c>
      <c r="AI112" s="98" t="str">
        <f t="shared" si="47"/>
        <v>00</v>
      </c>
      <c r="AJ112" s="98" t="str">
        <f t="shared" si="48"/>
        <v>000000000000</v>
      </c>
      <c r="AK112" s="161" t="str">
        <f t="shared" si="49"/>
        <v xml:space="preserve">                              </v>
      </c>
      <c r="AL112" s="154">
        <f t="shared" si="50"/>
        <v>0</v>
      </c>
      <c r="AM112" s="155">
        <f t="shared" si="51"/>
        <v>0</v>
      </c>
      <c r="AP112" s="63" t="str">
        <f t="shared" si="52"/>
        <v/>
      </c>
      <c r="AQ112" s="63" t="str">
        <f t="shared" si="53"/>
        <v/>
      </c>
      <c r="AR112" s="152" t="str">
        <f t="shared" si="54"/>
        <v/>
      </c>
      <c r="AS112" s="109" t="str">
        <f t="shared" si="55"/>
        <v/>
      </c>
      <c r="AT112" s="63" t="str">
        <f t="shared" si="56"/>
        <v xml:space="preserve">                    </v>
      </c>
    </row>
    <row r="113" spans="1:46" ht="12.75" x14ac:dyDescent="0.2">
      <c r="A113" s="63" t="str">
        <f t="shared" si="38"/>
        <v/>
      </c>
      <c r="B113" s="185"/>
      <c r="C113" s="184"/>
      <c r="D113" s="184"/>
      <c r="E113" s="184"/>
      <c r="F113" s="184"/>
      <c r="G113" s="185"/>
      <c r="H113" s="185"/>
      <c r="I113" s="186"/>
      <c r="J113" s="69"/>
      <c r="AA113" s="63">
        <f t="shared" si="39"/>
        <v>0</v>
      </c>
      <c r="AB113" s="153" t="str">
        <f t="shared" si="40"/>
        <v>000</v>
      </c>
      <c r="AC113" s="165" t="str">
        <f t="shared" si="41"/>
        <v>00000000</v>
      </c>
      <c r="AD113" s="98" t="str">
        <f t="shared" si="42"/>
        <v>00000000</v>
      </c>
      <c r="AE113" s="150">
        <f t="shared" si="43"/>
        <v>0</v>
      </c>
      <c r="AF113" s="150">
        <f t="shared" si="44"/>
        <v>0</v>
      </c>
      <c r="AG113" s="98" t="str">
        <f t="shared" si="45"/>
        <v>0000000000</v>
      </c>
      <c r="AH113" s="151">
        <f t="shared" si="46"/>
        <v>0</v>
      </c>
      <c r="AI113" s="98" t="str">
        <f t="shared" si="47"/>
        <v>00</v>
      </c>
      <c r="AJ113" s="98" t="str">
        <f t="shared" si="48"/>
        <v>000000000000</v>
      </c>
      <c r="AK113" s="161" t="str">
        <f t="shared" si="49"/>
        <v xml:space="preserve">                              </v>
      </c>
      <c r="AL113" s="154">
        <f t="shared" si="50"/>
        <v>0</v>
      </c>
      <c r="AM113" s="155">
        <f t="shared" si="51"/>
        <v>0</v>
      </c>
      <c r="AP113" s="63" t="str">
        <f t="shared" si="52"/>
        <v/>
      </c>
      <c r="AQ113" s="63" t="str">
        <f t="shared" si="53"/>
        <v/>
      </c>
      <c r="AR113" s="152" t="str">
        <f t="shared" si="54"/>
        <v/>
      </c>
      <c r="AS113" s="109" t="str">
        <f t="shared" si="55"/>
        <v/>
      </c>
      <c r="AT113" s="63" t="str">
        <f t="shared" si="56"/>
        <v xml:space="preserve">                    </v>
      </c>
    </row>
    <row r="114" spans="1:46" ht="12.75" x14ac:dyDescent="0.2">
      <c r="A114" s="63" t="str">
        <f t="shared" si="38"/>
        <v/>
      </c>
      <c r="B114" s="185"/>
      <c r="C114" s="184"/>
      <c r="D114" s="184"/>
      <c r="E114" s="184"/>
      <c r="F114" s="184"/>
      <c r="G114" s="185"/>
      <c r="H114" s="185"/>
      <c r="I114" s="186"/>
      <c r="J114" s="69"/>
      <c r="AA114" s="63">
        <f t="shared" si="39"/>
        <v>0</v>
      </c>
      <c r="AB114" s="153" t="str">
        <f t="shared" si="40"/>
        <v>000</v>
      </c>
      <c r="AC114" s="165" t="str">
        <f t="shared" si="41"/>
        <v>00000000</v>
      </c>
      <c r="AD114" s="98" t="str">
        <f t="shared" si="42"/>
        <v>00000000</v>
      </c>
      <c r="AE114" s="150">
        <f t="shared" si="43"/>
        <v>0</v>
      </c>
      <c r="AF114" s="150">
        <f t="shared" si="44"/>
        <v>0</v>
      </c>
      <c r="AG114" s="98" t="str">
        <f t="shared" si="45"/>
        <v>0000000000</v>
      </c>
      <c r="AH114" s="151">
        <f t="shared" si="46"/>
        <v>0</v>
      </c>
      <c r="AI114" s="98" t="str">
        <f t="shared" si="47"/>
        <v>00</v>
      </c>
      <c r="AJ114" s="98" t="str">
        <f t="shared" si="48"/>
        <v>000000000000</v>
      </c>
      <c r="AK114" s="161" t="str">
        <f t="shared" si="49"/>
        <v xml:space="preserve">                              </v>
      </c>
      <c r="AL114" s="154">
        <f t="shared" si="50"/>
        <v>0</v>
      </c>
      <c r="AM114" s="155">
        <f t="shared" si="51"/>
        <v>0</v>
      </c>
      <c r="AP114" s="63" t="str">
        <f t="shared" si="52"/>
        <v/>
      </c>
      <c r="AQ114" s="63" t="str">
        <f t="shared" si="53"/>
        <v/>
      </c>
      <c r="AR114" s="152" t="str">
        <f t="shared" si="54"/>
        <v/>
      </c>
      <c r="AS114" s="109" t="str">
        <f t="shared" si="55"/>
        <v/>
      </c>
      <c r="AT114" s="63" t="str">
        <f t="shared" si="56"/>
        <v xml:space="preserve">                    </v>
      </c>
    </row>
    <row r="115" spans="1:46" ht="12.75" x14ac:dyDescent="0.2">
      <c r="A115" s="63" t="str">
        <f t="shared" si="38"/>
        <v/>
      </c>
      <c r="B115" s="185"/>
      <c r="C115" s="184"/>
      <c r="D115" s="184"/>
      <c r="E115" s="184"/>
      <c r="F115" s="184"/>
      <c r="G115" s="185"/>
      <c r="H115" s="185"/>
      <c r="I115" s="186"/>
      <c r="J115" s="69"/>
      <c r="AA115" s="63">
        <f t="shared" si="39"/>
        <v>0</v>
      </c>
      <c r="AB115" s="153" t="str">
        <f t="shared" si="40"/>
        <v>000</v>
      </c>
      <c r="AC115" s="165" t="str">
        <f t="shared" si="41"/>
        <v>00000000</v>
      </c>
      <c r="AD115" s="98" t="str">
        <f t="shared" si="42"/>
        <v>00000000</v>
      </c>
      <c r="AE115" s="150">
        <f t="shared" si="43"/>
        <v>0</v>
      </c>
      <c r="AF115" s="150">
        <f t="shared" si="44"/>
        <v>0</v>
      </c>
      <c r="AG115" s="98" t="str">
        <f t="shared" si="45"/>
        <v>0000000000</v>
      </c>
      <c r="AH115" s="151">
        <f t="shared" si="46"/>
        <v>0</v>
      </c>
      <c r="AI115" s="98" t="str">
        <f t="shared" si="47"/>
        <v>00</v>
      </c>
      <c r="AJ115" s="98" t="str">
        <f t="shared" si="48"/>
        <v>000000000000</v>
      </c>
      <c r="AK115" s="161" t="str">
        <f t="shared" si="49"/>
        <v xml:space="preserve">                              </v>
      </c>
      <c r="AL115" s="154">
        <f t="shared" si="50"/>
        <v>0</v>
      </c>
      <c r="AM115" s="155">
        <f t="shared" si="51"/>
        <v>0</v>
      </c>
      <c r="AP115" s="63" t="str">
        <f t="shared" si="52"/>
        <v/>
      </c>
      <c r="AQ115" s="63" t="str">
        <f t="shared" si="53"/>
        <v/>
      </c>
      <c r="AR115" s="152" t="str">
        <f t="shared" si="54"/>
        <v/>
      </c>
      <c r="AS115" s="109" t="str">
        <f t="shared" si="55"/>
        <v/>
      </c>
      <c r="AT115" s="63" t="str">
        <f t="shared" si="56"/>
        <v xml:space="preserve">                    </v>
      </c>
    </row>
    <row r="116" spans="1:46" ht="12.75" x14ac:dyDescent="0.2">
      <c r="A116" s="63" t="str">
        <f t="shared" si="38"/>
        <v/>
      </c>
      <c r="B116" s="185"/>
      <c r="C116" s="184"/>
      <c r="D116" s="184"/>
      <c r="E116" s="184"/>
      <c r="F116" s="184"/>
      <c r="G116" s="185"/>
      <c r="H116" s="185"/>
      <c r="I116" s="186"/>
      <c r="J116" s="69"/>
      <c r="AA116" s="63">
        <f t="shared" si="39"/>
        <v>0</v>
      </c>
      <c r="AB116" s="153" t="str">
        <f t="shared" si="40"/>
        <v>000</v>
      </c>
      <c r="AC116" s="165" t="str">
        <f t="shared" si="41"/>
        <v>00000000</v>
      </c>
      <c r="AD116" s="98" t="str">
        <f t="shared" si="42"/>
        <v>00000000</v>
      </c>
      <c r="AE116" s="150">
        <f t="shared" si="43"/>
        <v>0</v>
      </c>
      <c r="AF116" s="150">
        <f t="shared" si="44"/>
        <v>0</v>
      </c>
      <c r="AG116" s="98" t="str">
        <f t="shared" si="45"/>
        <v>0000000000</v>
      </c>
      <c r="AH116" s="151">
        <f t="shared" si="46"/>
        <v>0</v>
      </c>
      <c r="AI116" s="98" t="str">
        <f t="shared" si="47"/>
        <v>00</v>
      </c>
      <c r="AJ116" s="98" t="str">
        <f t="shared" si="48"/>
        <v>000000000000</v>
      </c>
      <c r="AK116" s="161" t="str">
        <f t="shared" si="49"/>
        <v xml:space="preserve">                              </v>
      </c>
      <c r="AL116" s="154">
        <f t="shared" si="50"/>
        <v>0</v>
      </c>
      <c r="AM116" s="155">
        <f t="shared" si="51"/>
        <v>0</v>
      </c>
      <c r="AP116" s="63" t="str">
        <f t="shared" si="52"/>
        <v/>
      </c>
      <c r="AQ116" s="63" t="str">
        <f t="shared" si="53"/>
        <v/>
      </c>
      <c r="AR116" s="152" t="str">
        <f t="shared" si="54"/>
        <v/>
      </c>
      <c r="AS116" s="109" t="str">
        <f t="shared" si="55"/>
        <v/>
      </c>
      <c r="AT116" s="63" t="str">
        <f t="shared" si="56"/>
        <v xml:space="preserve">                    </v>
      </c>
    </row>
    <row r="117" spans="1:46" ht="12.75" x14ac:dyDescent="0.2">
      <c r="A117" s="63" t="str">
        <f t="shared" si="38"/>
        <v/>
      </c>
      <c r="B117" s="185"/>
      <c r="C117" s="184"/>
      <c r="D117" s="184"/>
      <c r="E117" s="184"/>
      <c r="F117" s="184"/>
      <c r="G117" s="185"/>
      <c r="H117" s="185"/>
      <c r="I117" s="186"/>
      <c r="J117" s="69"/>
      <c r="AA117" s="63">
        <f t="shared" si="39"/>
        <v>0</v>
      </c>
      <c r="AB117" s="153" t="str">
        <f t="shared" si="40"/>
        <v>000</v>
      </c>
      <c r="AC117" s="165" t="str">
        <f t="shared" si="41"/>
        <v>00000000</v>
      </c>
      <c r="AD117" s="98" t="str">
        <f t="shared" si="42"/>
        <v>00000000</v>
      </c>
      <c r="AE117" s="150">
        <f t="shared" si="43"/>
        <v>0</v>
      </c>
      <c r="AF117" s="150">
        <f t="shared" si="44"/>
        <v>0</v>
      </c>
      <c r="AG117" s="98" t="str">
        <f t="shared" si="45"/>
        <v>0000000000</v>
      </c>
      <c r="AH117" s="151">
        <f t="shared" si="46"/>
        <v>0</v>
      </c>
      <c r="AI117" s="98" t="str">
        <f t="shared" si="47"/>
        <v>00</v>
      </c>
      <c r="AJ117" s="98" t="str">
        <f t="shared" si="48"/>
        <v>000000000000</v>
      </c>
      <c r="AK117" s="161" t="str">
        <f t="shared" si="49"/>
        <v xml:space="preserve">                              </v>
      </c>
      <c r="AL117" s="154">
        <f t="shared" si="50"/>
        <v>0</v>
      </c>
      <c r="AM117" s="155">
        <f t="shared" si="51"/>
        <v>0</v>
      </c>
      <c r="AP117" s="63" t="str">
        <f t="shared" si="52"/>
        <v/>
      </c>
      <c r="AQ117" s="63" t="str">
        <f t="shared" si="53"/>
        <v/>
      </c>
      <c r="AR117" s="152" t="str">
        <f t="shared" si="54"/>
        <v/>
      </c>
      <c r="AS117" s="109" t="str">
        <f t="shared" si="55"/>
        <v/>
      </c>
      <c r="AT117" s="63" t="str">
        <f t="shared" si="56"/>
        <v xml:space="preserve">                    </v>
      </c>
    </row>
    <row r="118" spans="1:46" ht="12.75" x14ac:dyDescent="0.2">
      <c r="A118" s="63" t="str">
        <f t="shared" si="38"/>
        <v/>
      </c>
      <c r="B118" s="185"/>
      <c r="C118" s="184"/>
      <c r="D118" s="184"/>
      <c r="E118" s="184"/>
      <c r="F118" s="184"/>
      <c r="G118" s="185"/>
      <c r="H118" s="185"/>
      <c r="I118" s="186"/>
      <c r="J118" s="69"/>
      <c r="AA118" s="63">
        <f t="shared" si="39"/>
        <v>0</v>
      </c>
      <c r="AB118" s="153" t="str">
        <f t="shared" si="40"/>
        <v>000</v>
      </c>
      <c r="AC118" s="165" t="str">
        <f t="shared" si="41"/>
        <v>00000000</v>
      </c>
      <c r="AD118" s="98" t="str">
        <f t="shared" si="42"/>
        <v>00000000</v>
      </c>
      <c r="AE118" s="150">
        <f t="shared" si="43"/>
        <v>0</v>
      </c>
      <c r="AF118" s="150">
        <f t="shared" si="44"/>
        <v>0</v>
      </c>
      <c r="AG118" s="98" t="str">
        <f t="shared" si="45"/>
        <v>0000000000</v>
      </c>
      <c r="AH118" s="151">
        <f t="shared" si="46"/>
        <v>0</v>
      </c>
      <c r="AI118" s="98" t="str">
        <f t="shared" si="47"/>
        <v>00</v>
      </c>
      <c r="AJ118" s="98" t="str">
        <f t="shared" si="48"/>
        <v>000000000000</v>
      </c>
      <c r="AK118" s="161" t="str">
        <f t="shared" si="49"/>
        <v xml:space="preserve">                              </v>
      </c>
      <c r="AL118" s="154">
        <f t="shared" si="50"/>
        <v>0</v>
      </c>
      <c r="AM118" s="155">
        <f t="shared" si="51"/>
        <v>0</v>
      </c>
      <c r="AP118" s="63" t="str">
        <f t="shared" si="52"/>
        <v/>
      </c>
      <c r="AQ118" s="63" t="str">
        <f t="shared" si="53"/>
        <v/>
      </c>
      <c r="AR118" s="152" t="str">
        <f t="shared" si="54"/>
        <v/>
      </c>
      <c r="AS118" s="109" t="str">
        <f t="shared" si="55"/>
        <v/>
      </c>
      <c r="AT118" s="63" t="str">
        <f t="shared" si="56"/>
        <v xml:space="preserve">                    </v>
      </c>
    </row>
    <row r="119" spans="1:46" ht="12.75" x14ac:dyDescent="0.2">
      <c r="A119" s="63" t="str">
        <f t="shared" si="38"/>
        <v/>
      </c>
      <c r="B119" s="185"/>
      <c r="C119" s="184"/>
      <c r="D119" s="184"/>
      <c r="E119" s="184"/>
      <c r="F119" s="184"/>
      <c r="G119" s="185"/>
      <c r="H119" s="185"/>
      <c r="I119" s="186"/>
      <c r="J119" s="69"/>
      <c r="AA119" s="63">
        <f t="shared" si="39"/>
        <v>0</v>
      </c>
      <c r="AB119" s="153" t="str">
        <f t="shared" si="40"/>
        <v>000</v>
      </c>
      <c r="AC119" s="165" t="str">
        <f t="shared" si="41"/>
        <v>00000000</v>
      </c>
      <c r="AD119" s="98" t="str">
        <f t="shared" si="42"/>
        <v>00000000</v>
      </c>
      <c r="AE119" s="150">
        <f t="shared" si="43"/>
        <v>0</v>
      </c>
      <c r="AF119" s="150">
        <f t="shared" si="44"/>
        <v>0</v>
      </c>
      <c r="AG119" s="98" t="str">
        <f t="shared" si="45"/>
        <v>0000000000</v>
      </c>
      <c r="AH119" s="151">
        <f t="shared" si="46"/>
        <v>0</v>
      </c>
      <c r="AI119" s="98" t="str">
        <f t="shared" si="47"/>
        <v>00</v>
      </c>
      <c r="AJ119" s="98" t="str">
        <f t="shared" si="48"/>
        <v>000000000000</v>
      </c>
      <c r="AK119" s="161" t="str">
        <f t="shared" si="49"/>
        <v xml:space="preserve">                              </v>
      </c>
      <c r="AL119" s="154">
        <f t="shared" si="50"/>
        <v>0</v>
      </c>
      <c r="AM119" s="155">
        <f t="shared" si="51"/>
        <v>0</v>
      </c>
      <c r="AP119" s="63" t="str">
        <f t="shared" si="52"/>
        <v/>
      </c>
      <c r="AQ119" s="63" t="str">
        <f t="shared" si="53"/>
        <v/>
      </c>
      <c r="AR119" s="152" t="str">
        <f t="shared" si="54"/>
        <v/>
      </c>
      <c r="AS119" s="109" t="str">
        <f t="shared" si="55"/>
        <v/>
      </c>
      <c r="AT119" s="63" t="str">
        <f t="shared" si="56"/>
        <v xml:space="preserve">                    </v>
      </c>
    </row>
    <row r="120" spans="1:46" ht="12.75" x14ac:dyDescent="0.2">
      <c r="A120" s="63" t="str">
        <f t="shared" si="38"/>
        <v/>
      </c>
      <c r="B120" s="185"/>
      <c r="C120" s="184"/>
      <c r="D120" s="184"/>
      <c r="E120" s="184"/>
      <c r="F120" s="184"/>
      <c r="G120" s="185"/>
      <c r="H120" s="185"/>
      <c r="I120" s="186"/>
      <c r="J120" s="69"/>
      <c r="AA120" s="63">
        <f t="shared" si="39"/>
        <v>0</v>
      </c>
      <c r="AB120" s="153" t="str">
        <f t="shared" si="40"/>
        <v>000</v>
      </c>
      <c r="AC120" s="165" t="str">
        <f t="shared" si="41"/>
        <v>00000000</v>
      </c>
      <c r="AD120" s="98" t="str">
        <f t="shared" si="42"/>
        <v>00000000</v>
      </c>
      <c r="AE120" s="150">
        <f t="shared" si="43"/>
        <v>0</v>
      </c>
      <c r="AF120" s="150">
        <f t="shared" si="44"/>
        <v>0</v>
      </c>
      <c r="AG120" s="98" t="str">
        <f t="shared" si="45"/>
        <v>0000000000</v>
      </c>
      <c r="AH120" s="151">
        <f t="shared" si="46"/>
        <v>0</v>
      </c>
      <c r="AI120" s="98" t="str">
        <f t="shared" si="47"/>
        <v>00</v>
      </c>
      <c r="AJ120" s="98" t="str">
        <f t="shared" si="48"/>
        <v>000000000000</v>
      </c>
      <c r="AK120" s="161" t="str">
        <f t="shared" si="49"/>
        <v xml:space="preserve">                              </v>
      </c>
      <c r="AL120" s="154">
        <f t="shared" si="50"/>
        <v>0</v>
      </c>
      <c r="AM120" s="155">
        <f t="shared" si="51"/>
        <v>0</v>
      </c>
      <c r="AP120" s="63" t="str">
        <f t="shared" si="52"/>
        <v/>
      </c>
      <c r="AQ120" s="63" t="str">
        <f t="shared" si="53"/>
        <v/>
      </c>
      <c r="AR120" s="152" t="str">
        <f t="shared" si="54"/>
        <v/>
      </c>
      <c r="AS120" s="109" t="str">
        <f t="shared" si="55"/>
        <v/>
      </c>
      <c r="AT120" s="63" t="str">
        <f t="shared" si="56"/>
        <v xml:space="preserve">                    </v>
      </c>
    </row>
    <row r="121" spans="1:46" ht="12.75" x14ac:dyDescent="0.2">
      <c r="A121" s="63" t="str">
        <f t="shared" si="38"/>
        <v/>
      </c>
      <c r="B121" s="185"/>
      <c r="C121" s="184"/>
      <c r="D121" s="184"/>
      <c r="E121" s="184"/>
      <c r="F121" s="184"/>
      <c r="G121" s="185"/>
      <c r="H121" s="185"/>
      <c r="I121" s="186"/>
      <c r="J121" s="69"/>
      <c r="AA121" s="63">
        <f t="shared" si="39"/>
        <v>0</v>
      </c>
      <c r="AB121" s="153" t="str">
        <f t="shared" si="40"/>
        <v>000</v>
      </c>
      <c r="AC121" s="165" t="str">
        <f t="shared" si="41"/>
        <v>00000000</v>
      </c>
      <c r="AD121" s="98" t="str">
        <f t="shared" si="42"/>
        <v>00000000</v>
      </c>
      <c r="AE121" s="150">
        <f t="shared" si="43"/>
        <v>0</v>
      </c>
      <c r="AF121" s="150">
        <f t="shared" si="44"/>
        <v>0</v>
      </c>
      <c r="AG121" s="98" t="str">
        <f t="shared" si="45"/>
        <v>0000000000</v>
      </c>
      <c r="AH121" s="151">
        <f t="shared" si="46"/>
        <v>0</v>
      </c>
      <c r="AI121" s="98" t="str">
        <f t="shared" si="47"/>
        <v>00</v>
      </c>
      <c r="AJ121" s="98" t="str">
        <f t="shared" si="48"/>
        <v>000000000000</v>
      </c>
      <c r="AK121" s="161" t="str">
        <f t="shared" si="49"/>
        <v xml:space="preserve">                              </v>
      </c>
      <c r="AL121" s="154">
        <f t="shared" si="50"/>
        <v>0</v>
      </c>
      <c r="AM121" s="155">
        <f t="shared" si="51"/>
        <v>0</v>
      </c>
      <c r="AP121" s="63" t="str">
        <f t="shared" si="52"/>
        <v/>
      </c>
      <c r="AQ121" s="63" t="str">
        <f t="shared" si="53"/>
        <v/>
      </c>
      <c r="AR121" s="152" t="str">
        <f t="shared" si="54"/>
        <v/>
      </c>
      <c r="AS121" s="109" t="str">
        <f t="shared" si="55"/>
        <v/>
      </c>
      <c r="AT121" s="63" t="str">
        <f t="shared" si="56"/>
        <v xml:space="preserve">                    </v>
      </c>
    </row>
    <row r="122" spans="1:46" ht="12.75" x14ac:dyDescent="0.2">
      <c r="A122" s="63" t="str">
        <f t="shared" si="38"/>
        <v/>
      </c>
      <c r="B122" s="185"/>
      <c r="C122" s="184"/>
      <c r="D122" s="184"/>
      <c r="E122" s="184"/>
      <c r="F122" s="184"/>
      <c r="G122" s="185"/>
      <c r="H122" s="185"/>
      <c r="I122" s="186"/>
      <c r="J122" s="69"/>
      <c r="AA122" s="63">
        <f t="shared" si="39"/>
        <v>0</v>
      </c>
      <c r="AB122" s="153" t="str">
        <f t="shared" si="40"/>
        <v>000</v>
      </c>
      <c r="AC122" s="165" t="str">
        <f t="shared" si="41"/>
        <v>00000000</v>
      </c>
      <c r="AD122" s="98" t="str">
        <f t="shared" si="42"/>
        <v>00000000</v>
      </c>
      <c r="AE122" s="150">
        <f t="shared" si="43"/>
        <v>0</v>
      </c>
      <c r="AF122" s="150">
        <f t="shared" si="44"/>
        <v>0</v>
      </c>
      <c r="AG122" s="98" t="str">
        <f t="shared" si="45"/>
        <v>0000000000</v>
      </c>
      <c r="AH122" s="151">
        <f t="shared" si="46"/>
        <v>0</v>
      </c>
      <c r="AI122" s="98" t="str">
        <f t="shared" si="47"/>
        <v>00</v>
      </c>
      <c r="AJ122" s="98" t="str">
        <f t="shared" si="48"/>
        <v>000000000000</v>
      </c>
      <c r="AK122" s="161" t="str">
        <f t="shared" si="49"/>
        <v xml:space="preserve">                              </v>
      </c>
      <c r="AL122" s="154">
        <f t="shared" si="50"/>
        <v>0</v>
      </c>
      <c r="AM122" s="155">
        <f t="shared" si="51"/>
        <v>0</v>
      </c>
      <c r="AP122" s="63" t="str">
        <f t="shared" si="52"/>
        <v/>
      </c>
      <c r="AQ122" s="63" t="str">
        <f t="shared" si="53"/>
        <v/>
      </c>
      <c r="AR122" s="152" t="str">
        <f t="shared" si="54"/>
        <v/>
      </c>
      <c r="AS122" s="109" t="str">
        <f t="shared" si="55"/>
        <v/>
      </c>
      <c r="AT122" s="63" t="str">
        <f t="shared" si="56"/>
        <v xml:space="preserve">                    </v>
      </c>
    </row>
    <row r="123" spans="1:46" ht="12.75" x14ac:dyDescent="0.2">
      <c r="A123" s="63" t="str">
        <f t="shared" si="38"/>
        <v/>
      </c>
      <c r="B123" s="185"/>
      <c r="C123" s="184"/>
      <c r="D123" s="184"/>
      <c r="E123" s="184"/>
      <c r="F123" s="184"/>
      <c r="G123" s="185"/>
      <c r="H123" s="185"/>
      <c r="I123" s="186"/>
      <c r="J123" s="69"/>
      <c r="AA123" s="63">
        <f t="shared" si="39"/>
        <v>0</v>
      </c>
      <c r="AB123" s="153" t="str">
        <f t="shared" si="40"/>
        <v>000</v>
      </c>
      <c r="AC123" s="165" t="str">
        <f t="shared" si="41"/>
        <v>00000000</v>
      </c>
      <c r="AD123" s="98" t="str">
        <f t="shared" si="42"/>
        <v>00000000</v>
      </c>
      <c r="AE123" s="150">
        <f t="shared" si="43"/>
        <v>0</v>
      </c>
      <c r="AF123" s="150">
        <f t="shared" si="44"/>
        <v>0</v>
      </c>
      <c r="AG123" s="98" t="str">
        <f t="shared" si="45"/>
        <v>0000000000</v>
      </c>
      <c r="AH123" s="151">
        <f t="shared" si="46"/>
        <v>0</v>
      </c>
      <c r="AI123" s="98" t="str">
        <f t="shared" si="47"/>
        <v>00</v>
      </c>
      <c r="AJ123" s="98" t="str">
        <f t="shared" si="48"/>
        <v>000000000000</v>
      </c>
      <c r="AK123" s="161" t="str">
        <f t="shared" si="49"/>
        <v xml:space="preserve">                              </v>
      </c>
      <c r="AL123" s="154">
        <f t="shared" si="50"/>
        <v>0</v>
      </c>
      <c r="AM123" s="155">
        <f t="shared" si="51"/>
        <v>0</v>
      </c>
      <c r="AP123" s="63" t="str">
        <f t="shared" si="52"/>
        <v/>
      </c>
      <c r="AQ123" s="63" t="str">
        <f t="shared" si="53"/>
        <v/>
      </c>
      <c r="AR123" s="152" t="str">
        <f t="shared" si="54"/>
        <v/>
      </c>
      <c r="AS123" s="109" t="str">
        <f t="shared" si="55"/>
        <v/>
      </c>
      <c r="AT123" s="63" t="str">
        <f t="shared" si="56"/>
        <v xml:space="preserve">                    </v>
      </c>
    </row>
    <row r="124" spans="1:46" ht="12.75" x14ac:dyDescent="0.2">
      <c r="A124" s="63" t="str">
        <f t="shared" si="38"/>
        <v/>
      </c>
      <c r="B124" s="185"/>
      <c r="C124" s="184"/>
      <c r="D124" s="184"/>
      <c r="E124" s="184"/>
      <c r="F124" s="184"/>
      <c r="G124" s="185"/>
      <c r="H124" s="185"/>
      <c r="I124" s="186"/>
      <c r="J124" s="69"/>
      <c r="AA124" s="63">
        <f t="shared" si="39"/>
        <v>0</v>
      </c>
      <c r="AB124" s="153" t="str">
        <f t="shared" si="40"/>
        <v>000</v>
      </c>
      <c r="AC124" s="165" t="str">
        <f t="shared" si="41"/>
        <v>00000000</v>
      </c>
      <c r="AD124" s="98" t="str">
        <f t="shared" si="42"/>
        <v>00000000</v>
      </c>
      <c r="AE124" s="150">
        <f t="shared" si="43"/>
        <v>0</v>
      </c>
      <c r="AF124" s="150">
        <f t="shared" si="44"/>
        <v>0</v>
      </c>
      <c r="AG124" s="98" t="str">
        <f t="shared" si="45"/>
        <v>0000000000</v>
      </c>
      <c r="AH124" s="151">
        <f t="shared" si="46"/>
        <v>0</v>
      </c>
      <c r="AI124" s="98" t="str">
        <f t="shared" si="47"/>
        <v>00</v>
      </c>
      <c r="AJ124" s="98" t="str">
        <f t="shared" si="48"/>
        <v>000000000000</v>
      </c>
      <c r="AK124" s="161" t="str">
        <f t="shared" si="49"/>
        <v xml:space="preserve">                              </v>
      </c>
      <c r="AL124" s="154">
        <f t="shared" si="50"/>
        <v>0</v>
      </c>
      <c r="AM124" s="155">
        <f t="shared" si="51"/>
        <v>0</v>
      </c>
      <c r="AP124" s="63" t="str">
        <f t="shared" si="52"/>
        <v/>
      </c>
      <c r="AQ124" s="63" t="str">
        <f t="shared" si="53"/>
        <v/>
      </c>
      <c r="AR124" s="152" t="str">
        <f t="shared" si="54"/>
        <v/>
      </c>
      <c r="AS124" s="109" t="str">
        <f t="shared" si="55"/>
        <v/>
      </c>
      <c r="AT124" s="63" t="str">
        <f t="shared" si="56"/>
        <v xml:space="preserve">                    </v>
      </c>
    </row>
    <row r="125" spans="1:46" ht="12.75" x14ac:dyDescent="0.2">
      <c r="A125" s="63" t="str">
        <f t="shared" si="38"/>
        <v/>
      </c>
      <c r="B125" s="185"/>
      <c r="C125" s="184"/>
      <c r="D125" s="184"/>
      <c r="E125" s="184"/>
      <c r="F125" s="184"/>
      <c r="G125" s="185"/>
      <c r="H125" s="185"/>
      <c r="I125" s="186"/>
      <c r="J125" s="69"/>
      <c r="AA125" s="63">
        <f t="shared" si="39"/>
        <v>0</v>
      </c>
      <c r="AB125" s="153" t="str">
        <f t="shared" si="40"/>
        <v>000</v>
      </c>
      <c r="AC125" s="165" t="str">
        <f t="shared" si="41"/>
        <v>00000000</v>
      </c>
      <c r="AD125" s="98" t="str">
        <f t="shared" si="42"/>
        <v>00000000</v>
      </c>
      <c r="AE125" s="150">
        <f t="shared" si="43"/>
        <v>0</v>
      </c>
      <c r="AF125" s="150">
        <f t="shared" si="44"/>
        <v>0</v>
      </c>
      <c r="AG125" s="98" t="str">
        <f t="shared" si="45"/>
        <v>0000000000</v>
      </c>
      <c r="AH125" s="151">
        <f t="shared" si="46"/>
        <v>0</v>
      </c>
      <c r="AI125" s="98" t="str">
        <f t="shared" si="47"/>
        <v>00</v>
      </c>
      <c r="AJ125" s="98" t="str">
        <f t="shared" si="48"/>
        <v>000000000000</v>
      </c>
      <c r="AK125" s="161" t="str">
        <f t="shared" si="49"/>
        <v xml:space="preserve">                              </v>
      </c>
      <c r="AL125" s="154">
        <f t="shared" si="50"/>
        <v>0</v>
      </c>
      <c r="AM125" s="155">
        <f t="shared" si="51"/>
        <v>0</v>
      </c>
      <c r="AP125" s="63" t="str">
        <f t="shared" si="52"/>
        <v/>
      </c>
      <c r="AQ125" s="63" t="str">
        <f t="shared" si="53"/>
        <v/>
      </c>
      <c r="AR125" s="152" t="str">
        <f t="shared" si="54"/>
        <v/>
      </c>
      <c r="AS125" s="109" t="str">
        <f t="shared" si="55"/>
        <v/>
      </c>
      <c r="AT125" s="63" t="str">
        <f t="shared" si="56"/>
        <v xml:space="preserve">                    </v>
      </c>
    </row>
    <row r="126" spans="1:46" ht="12.75" x14ac:dyDescent="0.2">
      <c r="A126" s="63" t="str">
        <f t="shared" si="38"/>
        <v/>
      </c>
      <c r="B126" s="185"/>
      <c r="C126" s="184"/>
      <c r="D126" s="184"/>
      <c r="E126" s="184"/>
      <c r="F126" s="184"/>
      <c r="G126" s="185"/>
      <c r="H126" s="185"/>
      <c r="I126" s="186"/>
      <c r="J126" s="69"/>
      <c r="AA126" s="63">
        <f t="shared" si="39"/>
        <v>0</v>
      </c>
      <c r="AB126" s="153" t="str">
        <f t="shared" si="40"/>
        <v>000</v>
      </c>
      <c r="AC126" s="165" t="str">
        <f t="shared" si="41"/>
        <v>00000000</v>
      </c>
      <c r="AD126" s="98" t="str">
        <f t="shared" si="42"/>
        <v>00000000</v>
      </c>
      <c r="AE126" s="150">
        <f t="shared" si="43"/>
        <v>0</v>
      </c>
      <c r="AF126" s="150">
        <f t="shared" si="44"/>
        <v>0</v>
      </c>
      <c r="AG126" s="98" t="str">
        <f t="shared" si="45"/>
        <v>0000000000</v>
      </c>
      <c r="AH126" s="151">
        <f t="shared" si="46"/>
        <v>0</v>
      </c>
      <c r="AI126" s="98" t="str">
        <f t="shared" si="47"/>
        <v>00</v>
      </c>
      <c r="AJ126" s="98" t="str">
        <f t="shared" si="48"/>
        <v>000000000000</v>
      </c>
      <c r="AK126" s="161" t="str">
        <f t="shared" si="49"/>
        <v xml:space="preserve">                              </v>
      </c>
      <c r="AL126" s="154">
        <f t="shared" si="50"/>
        <v>0</v>
      </c>
      <c r="AM126" s="155">
        <f t="shared" si="51"/>
        <v>0</v>
      </c>
      <c r="AP126" s="63" t="str">
        <f t="shared" si="52"/>
        <v/>
      </c>
      <c r="AQ126" s="63" t="str">
        <f t="shared" si="53"/>
        <v/>
      </c>
      <c r="AR126" s="152" t="str">
        <f t="shared" si="54"/>
        <v/>
      </c>
      <c r="AS126" s="109" t="str">
        <f t="shared" si="55"/>
        <v/>
      </c>
      <c r="AT126" s="63" t="str">
        <f t="shared" si="56"/>
        <v xml:space="preserve">                    </v>
      </c>
    </row>
    <row r="127" spans="1:46" ht="12.75" x14ac:dyDescent="0.2">
      <c r="A127" s="63" t="str">
        <f t="shared" si="38"/>
        <v/>
      </c>
      <c r="B127" s="185"/>
      <c r="C127" s="184"/>
      <c r="D127" s="184"/>
      <c r="E127" s="184"/>
      <c r="F127" s="184"/>
      <c r="G127" s="185"/>
      <c r="H127" s="185"/>
      <c r="I127" s="186"/>
      <c r="J127" s="69"/>
      <c r="AA127" s="63">
        <f t="shared" si="39"/>
        <v>0</v>
      </c>
      <c r="AB127" s="153" t="str">
        <f t="shared" si="40"/>
        <v>000</v>
      </c>
      <c r="AC127" s="165" t="str">
        <f t="shared" si="41"/>
        <v>00000000</v>
      </c>
      <c r="AD127" s="98" t="str">
        <f t="shared" si="42"/>
        <v>00000000</v>
      </c>
      <c r="AE127" s="150">
        <f t="shared" si="43"/>
        <v>0</v>
      </c>
      <c r="AF127" s="150">
        <f t="shared" si="44"/>
        <v>0</v>
      </c>
      <c r="AG127" s="98" t="str">
        <f t="shared" si="45"/>
        <v>0000000000</v>
      </c>
      <c r="AH127" s="151">
        <f t="shared" si="46"/>
        <v>0</v>
      </c>
      <c r="AI127" s="98" t="str">
        <f t="shared" si="47"/>
        <v>00</v>
      </c>
      <c r="AJ127" s="98" t="str">
        <f t="shared" si="48"/>
        <v>000000000000</v>
      </c>
      <c r="AK127" s="161" t="str">
        <f t="shared" si="49"/>
        <v xml:space="preserve">                              </v>
      </c>
      <c r="AL127" s="154">
        <f t="shared" si="50"/>
        <v>0</v>
      </c>
      <c r="AM127" s="155">
        <f t="shared" si="51"/>
        <v>0</v>
      </c>
      <c r="AP127" s="63" t="str">
        <f t="shared" si="52"/>
        <v/>
      </c>
      <c r="AQ127" s="63" t="str">
        <f t="shared" si="53"/>
        <v/>
      </c>
      <c r="AR127" s="152" t="str">
        <f t="shared" si="54"/>
        <v/>
      </c>
      <c r="AS127" s="109" t="str">
        <f t="shared" si="55"/>
        <v/>
      </c>
      <c r="AT127" s="63" t="str">
        <f t="shared" si="56"/>
        <v xml:space="preserve">                    </v>
      </c>
    </row>
    <row r="128" spans="1:46" ht="12.75" x14ac:dyDescent="0.2">
      <c r="A128" s="63" t="str">
        <f t="shared" si="38"/>
        <v/>
      </c>
      <c r="B128" s="185"/>
      <c r="C128" s="184"/>
      <c r="D128" s="184"/>
      <c r="E128" s="184"/>
      <c r="F128" s="184"/>
      <c r="G128" s="185"/>
      <c r="H128" s="185"/>
      <c r="I128" s="186"/>
      <c r="J128" s="69"/>
      <c r="AA128" s="63">
        <f t="shared" si="39"/>
        <v>0</v>
      </c>
      <c r="AB128" s="153" t="str">
        <f t="shared" si="40"/>
        <v>000</v>
      </c>
      <c r="AC128" s="165" t="str">
        <f t="shared" si="41"/>
        <v>00000000</v>
      </c>
      <c r="AD128" s="98" t="str">
        <f t="shared" si="42"/>
        <v>00000000</v>
      </c>
      <c r="AE128" s="150">
        <f t="shared" si="43"/>
        <v>0</v>
      </c>
      <c r="AF128" s="150">
        <f t="shared" si="44"/>
        <v>0</v>
      </c>
      <c r="AG128" s="98" t="str">
        <f t="shared" si="45"/>
        <v>0000000000</v>
      </c>
      <c r="AH128" s="151">
        <f t="shared" si="46"/>
        <v>0</v>
      </c>
      <c r="AI128" s="98" t="str">
        <f t="shared" si="47"/>
        <v>00</v>
      </c>
      <c r="AJ128" s="98" t="str">
        <f t="shared" si="48"/>
        <v>000000000000</v>
      </c>
      <c r="AK128" s="161" t="str">
        <f t="shared" si="49"/>
        <v xml:space="preserve">                              </v>
      </c>
      <c r="AL128" s="154">
        <f t="shared" si="50"/>
        <v>0</v>
      </c>
      <c r="AM128" s="155">
        <f t="shared" si="51"/>
        <v>0</v>
      </c>
      <c r="AP128" s="63" t="str">
        <f t="shared" si="52"/>
        <v/>
      </c>
      <c r="AQ128" s="63" t="str">
        <f t="shared" si="53"/>
        <v/>
      </c>
      <c r="AR128" s="152" t="str">
        <f t="shared" si="54"/>
        <v/>
      </c>
      <c r="AS128" s="109" t="str">
        <f t="shared" si="55"/>
        <v/>
      </c>
      <c r="AT128" s="63" t="str">
        <f t="shared" si="56"/>
        <v xml:space="preserve">                    </v>
      </c>
    </row>
    <row r="129" spans="1:46" ht="12.75" x14ac:dyDescent="0.2">
      <c r="A129" s="63" t="str">
        <f t="shared" si="38"/>
        <v/>
      </c>
      <c r="B129" s="185"/>
      <c r="C129" s="184"/>
      <c r="D129" s="184"/>
      <c r="E129" s="184"/>
      <c r="F129" s="184"/>
      <c r="G129" s="185"/>
      <c r="H129" s="185"/>
      <c r="I129" s="186"/>
      <c r="J129" s="69"/>
      <c r="AA129" s="63">
        <f t="shared" si="39"/>
        <v>0</v>
      </c>
      <c r="AB129" s="153" t="str">
        <f t="shared" si="40"/>
        <v>000</v>
      </c>
      <c r="AC129" s="165" t="str">
        <f t="shared" si="41"/>
        <v>00000000</v>
      </c>
      <c r="AD129" s="98" t="str">
        <f t="shared" si="42"/>
        <v>00000000</v>
      </c>
      <c r="AE129" s="150">
        <f t="shared" si="43"/>
        <v>0</v>
      </c>
      <c r="AF129" s="150">
        <f t="shared" si="44"/>
        <v>0</v>
      </c>
      <c r="AG129" s="98" t="str">
        <f t="shared" si="45"/>
        <v>0000000000</v>
      </c>
      <c r="AH129" s="151">
        <f t="shared" si="46"/>
        <v>0</v>
      </c>
      <c r="AI129" s="98" t="str">
        <f t="shared" si="47"/>
        <v>00</v>
      </c>
      <c r="AJ129" s="98" t="str">
        <f t="shared" si="48"/>
        <v>000000000000</v>
      </c>
      <c r="AK129" s="161" t="str">
        <f t="shared" si="49"/>
        <v xml:space="preserve">                              </v>
      </c>
      <c r="AL129" s="154">
        <f t="shared" si="50"/>
        <v>0</v>
      </c>
      <c r="AM129" s="155">
        <f t="shared" si="51"/>
        <v>0</v>
      </c>
      <c r="AP129" s="63" t="str">
        <f t="shared" si="52"/>
        <v/>
      </c>
      <c r="AQ129" s="63" t="str">
        <f t="shared" si="53"/>
        <v/>
      </c>
      <c r="AR129" s="152" t="str">
        <f t="shared" si="54"/>
        <v/>
      </c>
      <c r="AS129" s="109" t="str">
        <f t="shared" si="55"/>
        <v/>
      </c>
      <c r="AT129" s="63" t="str">
        <f t="shared" si="56"/>
        <v xml:space="preserve">                    </v>
      </c>
    </row>
    <row r="130" spans="1:46" ht="12.75" x14ac:dyDescent="0.2">
      <c r="A130" s="63" t="str">
        <f t="shared" si="38"/>
        <v/>
      </c>
      <c r="B130" s="185"/>
      <c r="C130" s="184"/>
      <c r="D130" s="184"/>
      <c r="E130" s="184"/>
      <c r="F130" s="184"/>
      <c r="G130" s="185"/>
      <c r="H130" s="185"/>
      <c r="I130" s="186"/>
      <c r="J130" s="69"/>
      <c r="AA130" s="63">
        <f t="shared" si="39"/>
        <v>0</v>
      </c>
      <c r="AB130" s="153" t="str">
        <f t="shared" si="40"/>
        <v>000</v>
      </c>
      <c r="AC130" s="165" t="str">
        <f t="shared" si="41"/>
        <v>00000000</v>
      </c>
      <c r="AD130" s="98" t="str">
        <f t="shared" si="42"/>
        <v>00000000</v>
      </c>
      <c r="AE130" s="150">
        <f t="shared" si="43"/>
        <v>0</v>
      </c>
      <c r="AF130" s="150">
        <f t="shared" si="44"/>
        <v>0</v>
      </c>
      <c r="AG130" s="98" t="str">
        <f t="shared" si="45"/>
        <v>0000000000</v>
      </c>
      <c r="AH130" s="151">
        <f t="shared" si="46"/>
        <v>0</v>
      </c>
      <c r="AI130" s="98" t="str">
        <f t="shared" si="47"/>
        <v>00</v>
      </c>
      <c r="AJ130" s="98" t="str">
        <f t="shared" si="48"/>
        <v>000000000000</v>
      </c>
      <c r="AK130" s="161" t="str">
        <f t="shared" si="49"/>
        <v xml:space="preserve">                              </v>
      </c>
      <c r="AL130" s="154">
        <f t="shared" si="50"/>
        <v>0</v>
      </c>
      <c r="AM130" s="155">
        <f t="shared" si="51"/>
        <v>0</v>
      </c>
      <c r="AP130" s="63" t="str">
        <f t="shared" si="52"/>
        <v/>
      </c>
      <c r="AQ130" s="63" t="str">
        <f t="shared" si="53"/>
        <v/>
      </c>
      <c r="AR130" s="152" t="str">
        <f t="shared" si="54"/>
        <v/>
      </c>
      <c r="AS130" s="109" t="str">
        <f t="shared" si="55"/>
        <v/>
      </c>
      <c r="AT130" s="63" t="str">
        <f t="shared" si="56"/>
        <v xml:space="preserve">                    </v>
      </c>
    </row>
    <row r="131" spans="1:46" ht="12.75" x14ac:dyDescent="0.2">
      <c r="A131" s="63" t="str">
        <f t="shared" si="38"/>
        <v/>
      </c>
      <c r="B131" s="185"/>
      <c r="C131" s="184"/>
      <c r="D131" s="184"/>
      <c r="E131" s="184"/>
      <c r="F131" s="184"/>
      <c r="G131" s="185"/>
      <c r="H131" s="185"/>
      <c r="I131" s="186"/>
      <c r="J131" s="69"/>
      <c r="AA131" s="63">
        <f t="shared" si="39"/>
        <v>0</v>
      </c>
      <c r="AB131" s="153" t="str">
        <f t="shared" si="40"/>
        <v>000</v>
      </c>
      <c r="AC131" s="165" t="str">
        <f t="shared" si="41"/>
        <v>00000000</v>
      </c>
      <c r="AD131" s="98" t="str">
        <f t="shared" si="42"/>
        <v>00000000</v>
      </c>
      <c r="AE131" s="150">
        <f t="shared" si="43"/>
        <v>0</v>
      </c>
      <c r="AF131" s="150">
        <f t="shared" si="44"/>
        <v>0</v>
      </c>
      <c r="AG131" s="98" t="str">
        <f t="shared" si="45"/>
        <v>0000000000</v>
      </c>
      <c r="AH131" s="151">
        <f t="shared" si="46"/>
        <v>0</v>
      </c>
      <c r="AI131" s="98" t="str">
        <f t="shared" si="47"/>
        <v>00</v>
      </c>
      <c r="AJ131" s="98" t="str">
        <f t="shared" si="48"/>
        <v>000000000000</v>
      </c>
      <c r="AK131" s="161" t="str">
        <f t="shared" si="49"/>
        <v xml:space="preserve">                              </v>
      </c>
      <c r="AL131" s="154">
        <f t="shared" si="50"/>
        <v>0</v>
      </c>
      <c r="AM131" s="155">
        <f t="shared" si="51"/>
        <v>0</v>
      </c>
      <c r="AP131" s="63" t="str">
        <f t="shared" si="52"/>
        <v/>
      </c>
      <c r="AQ131" s="63" t="str">
        <f t="shared" si="53"/>
        <v/>
      </c>
      <c r="AR131" s="152" t="str">
        <f t="shared" si="54"/>
        <v/>
      </c>
      <c r="AS131" s="109" t="str">
        <f t="shared" si="55"/>
        <v/>
      </c>
      <c r="AT131" s="63" t="str">
        <f t="shared" si="56"/>
        <v xml:space="preserve">                    </v>
      </c>
    </row>
    <row r="132" spans="1:46" ht="12.75" x14ac:dyDescent="0.2">
      <c r="A132" s="63" t="str">
        <f t="shared" si="38"/>
        <v/>
      </c>
      <c r="B132" s="185"/>
      <c r="C132" s="184"/>
      <c r="D132" s="184"/>
      <c r="E132" s="184"/>
      <c r="F132" s="184"/>
      <c r="G132" s="185"/>
      <c r="H132" s="185"/>
      <c r="I132" s="186"/>
      <c r="J132" s="69"/>
      <c r="AA132" s="63">
        <f t="shared" si="39"/>
        <v>0</v>
      </c>
      <c r="AB132" s="153" t="str">
        <f t="shared" si="40"/>
        <v>000</v>
      </c>
      <c r="AC132" s="165" t="str">
        <f t="shared" si="41"/>
        <v>00000000</v>
      </c>
      <c r="AD132" s="98" t="str">
        <f t="shared" si="42"/>
        <v>00000000</v>
      </c>
      <c r="AE132" s="150">
        <f t="shared" si="43"/>
        <v>0</v>
      </c>
      <c r="AF132" s="150">
        <f t="shared" si="44"/>
        <v>0</v>
      </c>
      <c r="AG132" s="98" t="str">
        <f t="shared" si="45"/>
        <v>0000000000</v>
      </c>
      <c r="AH132" s="151">
        <f t="shared" si="46"/>
        <v>0</v>
      </c>
      <c r="AI132" s="98" t="str">
        <f t="shared" si="47"/>
        <v>00</v>
      </c>
      <c r="AJ132" s="98" t="str">
        <f t="shared" si="48"/>
        <v>000000000000</v>
      </c>
      <c r="AK132" s="161" t="str">
        <f t="shared" si="49"/>
        <v xml:space="preserve">                              </v>
      </c>
      <c r="AL132" s="154">
        <f t="shared" si="50"/>
        <v>0</v>
      </c>
      <c r="AM132" s="155">
        <f t="shared" si="51"/>
        <v>0</v>
      </c>
      <c r="AP132" s="63" t="str">
        <f t="shared" si="52"/>
        <v/>
      </c>
      <c r="AQ132" s="63" t="str">
        <f t="shared" si="53"/>
        <v/>
      </c>
      <c r="AR132" s="152" t="str">
        <f t="shared" si="54"/>
        <v/>
      </c>
      <c r="AS132" s="109" t="str">
        <f t="shared" si="55"/>
        <v/>
      </c>
      <c r="AT132" s="63" t="str">
        <f t="shared" si="56"/>
        <v xml:space="preserve">                    </v>
      </c>
    </row>
    <row r="133" spans="1:46" ht="12.75" x14ac:dyDescent="0.2">
      <c r="A133" s="63" t="str">
        <f t="shared" si="38"/>
        <v/>
      </c>
      <c r="B133" s="185"/>
      <c r="C133" s="184"/>
      <c r="D133" s="184"/>
      <c r="E133" s="184"/>
      <c r="F133" s="184"/>
      <c r="G133" s="185"/>
      <c r="H133" s="185"/>
      <c r="I133" s="186"/>
      <c r="J133" s="69"/>
      <c r="AA133" s="63">
        <f t="shared" si="39"/>
        <v>0</v>
      </c>
      <c r="AB133" s="153" t="str">
        <f t="shared" si="40"/>
        <v>000</v>
      </c>
      <c r="AC133" s="165" t="str">
        <f t="shared" si="41"/>
        <v>00000000</v>
      </c>
      <c r="AD133" s="98" t="str">
        <f t="shared" si="42"/>
        <v>00000000</v>
      </c>
      <c r="AE133" s="150">
        <f t="shared" si="43"/>
        <v>0</v>
      </c>
      <c r="AF133" s="150">
        <f t="shared" si="44"/>
        <v>0</v>
      </c>
      <c r="AG133" s="98" t="str">
        <f t="shared" si="45"/>
        <v>0000000000</v>
      </c>
      <c r="AH133" s="151">
        <f t="shared" si="46"/>
        <v>0</v>
      </c>
      <c r="AI133" s="98" t="str">
        <f t="shared" si="47"/>
        <v>00</v>
      </c>
      <c r="AJ133" s="98" t="str">
        <f t="shared" si="48"/>
        <v>000000000000</v>
      </c>
      <c r="AK133" s="161" t="str">
        <f t="shared" si="49"/>
        <v xml:space="preserve">                              </v>
      </c>
      <c r="AL133" s="154">
        <f t="shared" si="50"/>
        <v>0</v>
      </c>
      <c r="AM133" s="155">
        <f t="shared" si="51"/>
        <v>0</v>
      </c>
      <c r="AP133" s="63" t="str">
        <f t="shared" si="52"/>
        <v/>
      </c>
      <c r="AQ133" s="63" t="str">
        <f t="shared" si="53"/>
        <v/>
      </c>
      <c r="AR133" s="152" t="str">
        <f t="shared" si="54"/>
        <v/>
      </c>
      <c r="AS133" s="109" t="str">
        <f t="shared" si="55"/>
        <v/>
      </c>
      <c r="AT133" s="63" t="str">
        <f t="shared" si="56"/>
        <v xml:space="preserve">                    </v>
      </c>
    </row>
    <row r="134" spans="1:46" ht="12.75" x14ac:dyDescent="0.2">
      <c r="A134" s="63" t="str">
        <f t="shared" ref="A134:A197" si="57">IF(B134&lt;&gt;"",A133+1,"")</f>
        <v/>
      </c>
      <c r="B134" s="185"/>
      <c r="C134" s="184"/>
      <c r="D134" s="184"/>
      <c r="E134" s="184"/>
      <c r="F134" s="184"/>
      <c r="G134" s="185"/>
      <c r="H134" s="185"/>
      <c r="I134" s="186"/>
      <c r="J134" s="69"/>
      <c r="AA134" s="63">
        <f t="shared" si="39"/>
        <v>0</v>
      </c>
      <c r="AB134" s="153" t="str">
        <f t="shared" si="40"/>
        <v>000</v>
      </c>
      <c r="AC134" s="165" t="str">
        <f t="shared" si="41"/>
        <v>00000000</v>
      </c>
      <c r="AD134" s="98" t="str">
        <f t="shared" si="42"/>
        <v>00000000</v>
      </c>
      <c r="AE134" s="150">
        <f t="shared" si="43"/>
        <v>0</v>
      </c>
      <c r="AF134" s="150">
        <f t="shared" si="44"/>
        <v>0</v>
      </c>
      <c r="AG134" s="98" t="str">
        <f t="shared" si="45"/>
        <v>0000000000</v>
      </c>
      <c r="AH134" s="151">
        <f t="shared" si="46"/>
        <v>0</v>
      </c>
      <c r="AI134" s="98" t="str">
        <f t="shared" si="47"/>
        <v>00</v>
      </c>
      <c r="AJ134" s="98" t="str">
        <f t="shared" si="48"/>
        <v>000000000000</v>
      </c>
      <c r="AK134" s="161" t="str">
        <f t="shared" si="49"/>
        <v xml:space="preserve">                              </v>
      </c>
      <c r="AL134" s="154">
        <f t="shared" si="50"/>
        <v>0</v>
      </c>
      <c r="AM134" s="155">
        <f t="shared" si="51"/>
        <v>0</v>
      </c>
      <c r="AP134" s="63" t="str">
        <f t="shared" si="52"/>
        <v/>
      </c>
      <c r="AQ134" s="63" t="str">
        <f t="shared" si="53"/>
        <v/>
      </c>
      <c r="AR134" s="152" t="str">
        <f t="shared" si="54"/>
        <v/>
      </c>
      <c r="AS134" s="109" t="str">
        <f t="shared" si="55"/>
        <v/>
      </c>
      <c r="AT134" s="63" t="str">
        <f t="shared" si="56"/>
        <v xml:space="preserve">                    </v>
      </c>
    </row>
    <row r="135" spans="1:46" ht="12.75" x14ac:dyDescent="0.2">
      <c r="A135" s="63" t="str">
        <f t="shared" si="57"/>
        <v/>
      </c>
      <c r="B135" s="185"/>
      <c r="C135" s="184"/>
      <c r="D135" s="184"/>
      <c r="E135" s="184"/>
      <c r="F135" s="184"/>
      <c r="G135" s="185"/>
      <c r="H135" s="185"/>
      <c r="I135" s="186"/>
      <c r="J135" s="69"/>
      <c r="AA135" s="63">
        <f t="shared" si="39"/>
        <v>0</v>
      </c>
      <c r="AB135" s="153" t="str">
        <f t="shared" si="40"/>
        <v>000</v>
      </c>
      <c r="AC135" s="165" t="str">
        <f t="shared" si="41"/>
        <v>00000000</v>
      </c>
      <c r="AD135" s="98" t="str">
        <f t="shared" si="42"/>
        <v>00000000</v>
      </c>
      <c r="AE135" s="150">
        <f t="shared" si="43"/>
        <v>0</v>
      </c>
      <c r="AF135" s="150">
        <f t="shared" si="44"/>
        <v>0</v>
      </c>
      <c r="AG135" s="98" t="str">
        <f t="shared" si="45"/>
        <v>0000000000</v>
      </c>
      <c r="AH135" s="151">
        <f t="shared" si="46"/>
        <v>0</v>
      </c>
      <c r="AI135" s="98" t="str">
        <f t="shared" si="47"/>
        <v>00</v>
      </c>
      <c r="AJ135" s="98" t="str">
        <f t="shared" si="48"/>
        <v>000000000000</v>
      </c>
      <c r="AK135" s="161" t="str">
        <f t="shared" si="49"/>
        <v xml:space="preserve">                              </v>
      </c>
      <c r="AL135" s="154">
        <f t="shared" si="50"/>
        <v>0</v>
      </c>
      <c r="AM135" s="155">
        <f t="shared" si="51"/>
        <v>0</v>
      </c>
      <c r="AP135" s="63" t="str">
        <f t="shared" si="52"/>
        <v/>
      </c>
      <c r="AQ135" s="63" t="str">
        <f t="shared" si="53"/>
        <v/>
      </c>
      <c r="AR135" s="152" t="str">
        <f t="shared" si="54"/>
        <v/>
      </c>
      <c r="AS135" s="109" t="str">
        <f t="shared" si="55"/>
        <v/>
      </c>
      <c r="AT135" s="63" t="str">
        <f t="shared" si="56"/>
        <v xml:space="preserve">                    </v>
      </c>
    </row>
    <row r="136" spans="1:46" ht="12.75" x14ac:dyDescent="0.2">
      <c r="A136" s="63" t="str">
        <f t="shared" si="57"/>
        <v/>
      </c>
      <c r="B136" s="185"/>
      <c r="C136" s="184"/>
      <c r="D136" s="184"/>
      <c r="E136" s="184"/>
      <c r="F136" s="184"/>
      <c r="G136" s="185"/>
      <c r="H136" s="185"/>
      <c r="I136" s="186"/>
      <c r="J136" s="69"/>
      <c r="AA136" s="63">
        <f t="shared" si="39"/>
        <v>0</v>
      </c>
      <c r="AB136" s="153" t="str">
        <f t="shared" si="40"/>
        <v>000</v>
      </c>
      <c r="AC136" s="165" t="str">
        <f t="shared" si="41"/>
        <v>00000000</v>
      </c>
      <c r="AD136" s="98" t="str">
        <f t="shared" si="42"/>
        <v>00000000</v>
      </c>
      <c r="AE136" s="150">
        <f t="shared" si="43"/>
        <v>0</v>
      </c>
      <c r="AF136" s="150">
        <f t="shared" si="44"/>
        <v>0</v>
      </c>
      <c r="AG136" s="98" t="str">
        <f t="shared" si="45"/>
        <v>0000000000</v>
      </c>
      <c r="AH136" s="151">
        <f t="shared" si="46"/>
        <v>0</v>
      </c>
      <c r="AI136" s="98" t="str">
        <f t="shared" si="47"/>
        <v>00</v>
      </c>
      <c r="AJ136" s="98" t="str">
        <f t="shared" si="48"/>
        <v>000000000000</v>
      </c>
      <c r="AK136" s="161" t="str">
        <f t="shared" si="49"/>
        <v xml:space="preserve">                              </v>
      </c>
      <c r="AL136" s="154">
        <f t="shared" si="50"/>
        <v>0</v>
      </c>
      <c r="AM136" s="155">
        <f t="shared" si="51"/>
        <v>0</v>
      </c>
      <c r="AP136" s="63" t="str">
        <f t="shared" si="52"/>
        <v/>
      </c>
      <c r="AQ136" s="63" t="str">
        <f t="shared" si="53"/>
        <v/>
      </c>
      <c r="AR136" s="152" t="str">
        <f t="shared" si="54"/>
        <v/>
      </c>
      <c r="AS136" s="109" t="str">
        <f t="shared" si="55"/>
        <v/>
      </c>
      <c r="AT136" s="63" t="str">
        <f t="shared" si="56"/>
        <v xml:space="preserve">                    </v>
      </c>
    </row>
    <row r="137" spans="1:46" ht="12.75" x14ac:dyDescent="0.2">
      <c r="A137" s="63" t="str">
        <f t="shared" si="57"/>
        <v/>
      </c>
      <c r="B137" s="185"/>
      <c r="C137" s="184"/>
      <c r="D137" s="184"/>
      <c r="E137" s="184"/>
      <c r="F137" s="184"/>
      <c r="G137" s="185"/>
      <c r="H137" s="185"/>
      <c r="I137" s="186"/>
      <c r="J137" s="69"/>
      <c r="AA137" s="63">
        <f t="shared" si="39"/>
        <v>0</v>
      </c>
      <c r="AB137" s="153" t="str">
        <f t="shared" si="40"/>
        <v>000</v>
      </c>
      <c r="AC137" s="165" t="str">
        <f t="shared" si="41"/>
        <v>00000000</v>
      </c>
      <c r="AD137" s="98" t="str">
        <f t="shared" si="42"/>
        <v>00000000</v>
      </c>
      <c r="AE137" s="150">
        <f t="shared" si="43"/>
        <v>0</v>
      </c>
      <c r="AF137" s="150">
        <f t="shared" si="44"/>
        <v>0</v>
      </c>
      <c r="AG137" s="98" t="str">
        <f t="shared" si="45"/>
        <v>0000000000</v>
      </c>
      <c r="AH137" s="151">
        <f t="shared" si="46"/>
        <v>0</v>
      </c>
      <c r="AI137" s="98" t="str">
        <f t="shared" si="47"/>
        <v>00</v>
      </c>
      <c r="AJ137" s="98" t="str">
        <f t="shared" si="48"/>
        <v>000000000000</v>
      </c>
      <c r="AK137" s="161" t="str">
        <f t="shared" si="49"/>
        <v xml:space="preserve">                              </v>
      </c>
      <c r="AL137" s="154">
        <f t="shared" si="50"/>
        <v>0</v>
      </c>
      <c r="AM137" s="155">
        <f t="shared" si="51"/>
        <v>0</v>
      </c>
      <c r="AP137" s="63" t="str">
        <f t="shared" si="52"/>
        <v/>
      </c>
      <c r="AQ137" s="63" t="str">
        <f t="shared" si="53"/>
        <v/>
      </c>
      <c r="AR137" s="152" t="str">
        <f t="shared" si="54"/>
        <v/>
      </c>
      <c r="AS137" s="109" t="str">
        <f t="shared" si="55"/>
        <v/>
      </c>
      <c r="AT137" s="63" t="str">
        <f t="shared" si="56"/>
        <v xml:space="preserve">                    </v>
      </c>
    </row>
    <row r="138" spans="1:46" ht="12.75" x14ac:dyDescent="0.2">
      <c r="A138" s="63" t="str">
        <f t="shared" si="57"/>
        <v/>
      </c>
      <c r="B138" s="185"/>
      <c r="C138" s="184"/>
      <c r="D138" s="184"/>
      <c r="E138" s="184"/>
      <c r="F138" s="184"/>
      <c r="G138" s="185"/>
      <c r="H138" s="185"/>
      <c r="I138" s="186"/>
      <c r="J138" s="69"/>
      <c r="AA138" s="63">
        <f t="shared" si="39"/>
        <v>0</v>
      </c>
      <c r="AB138" s="153" t="str">
        <f t="shared" si="40"/>
        <v>000</v>
      </c>
      <c r="AC138" s="165" t="str">
        <f t="shared" si="41"/>
        <v>00000000</v>
      </c>
      <c r="AD138" s="98" t="str">
        <f t="shared" si="42"/>
        <v>00000000</v>
      </c>
      <c r="AE138" s="150">
        <f t="shared" si="43"/>
        <v>0</v>
      </c>
      <c r="AF138" s="150">
        <f t="shared" si="44"/>
        <v>0</v>
      </c>
      <c r="AG138" s="98" t="str">
        <f t="shared" si="45"/>
        <v>0000000000</v>
      </c>
      <c r="AH138" s="151">
        <f t="shared" si="46"/>
        <v>0</v>
      </c>
      <c r="AI138" s="98" t="str">
        <f t="shared" si="47"/>
        <v>00</v>
      </c>
      <c r="AJ138" s="98" t="str">
        <f t="shared" si="48"/>
        <v>000000000000</v>
      </c>
      <c r="AK138" s="161" t="str">
        <f t="shared" si="49"/>
        <v xml:space="preserve">                              </v>
      </c>
      <c r="AL138" s="154">
        <f t="shared" si="50"/>
        <v>0</v>
      </c>
      <c r="AM138" s="155">
        <f t="shared" si="51"/>
        <v>0</v>
      </c>
      <c r="AP138" s="63" t="str">
        <f t="shared" si="52"/>
        <v/>
      </c>
      <c r="AQ138" s="63" t="str">
        <f t="shared" si="53"/>
        <v/>
      </c>
      <c r="AR138" s="152" t="str">
        <f t="shared" si="54"/>
        <v/>
      </c>
      <c r="AS138" s="109" t="str">
        <f t="shared" si="55"/>
        <v/>
      </c>
      <c r="AT138" s="63" t="str">
        <f t="shared" si="56"/>
        <v xml:space="preserve">                    </v>
      </c>
    </row>
    <row r="139" spans="1:46" ht="12.75" x14ac:dyDescent="0.2">
      <c r="A139" s="63" t="str">
        <f t="shared" si="57"/>
        <v/>
      </c>
      <c r="B139" s="185"/>
      <c r="C139" s="184"/>
      <c r="D139" s="184"/>
      <c r="E139" s="184"/>
      <c r="F139" s="184"/>
      <c r="G139" s="185"/>
      <c r="H139" s="185"/>
      <c r="I139" s="186"/>
      <c r="J139" s="69"/>
      <c r="AA139" s="63">
        <f t="shared" si="39"/>
        <v>0</v>
      </c>
      <c r="AB139" s="153" t="str">
        <f t="shared" si="40"/>
        <v>000</v>
      </c>
      <c r="AC139" s="165" t="str">
        <f t="shared" si="41"/>
        <v>00000000</v>
      </c>
      <c r="AD139" s="98" t="str">
        <f t="shared" si="42"/>
        <v>00000000</v>
      </c>
      <c r="AE139" s="150">
        <f t="shared" si="43"/>
        <v>0</v>
      </c>
      <c r="AF139" s="150">
        <f t="shared" si="44"/>
        <v>0</v>
      </c>
      <c r="AG139" s="98" t="str">
        <f t="shared" si="45"/>
        <v>0000000000</v>
      </c>
      <c r="AH139" s="151">
        <f t="shared" si="46"/>
        <v>0</v>
      </c>
      <c r="AI139" s="98" t="str">
        <f t="shared" si="47"/>
        <v>00</v>
      </c>
      <c r="AJ139" s="98" t="str">
        <f t="shared" si="48"/>
        <v>000000000000</v>
      </c>
      <c r="AK139" s="161" t="str">
        <f t="shared" si="49"/>
        <v xml:space="preserve">                              </v>
      </c>
      <c r="AL139" s="154">
        <f t="shared" si="50"/>
        <v>0</v>
      </c>
      <c r="AM139" s="155">
        <f t="shared" si="51"/>
        <v>0</v>
      </c>
      <c r="AP139" s="63" t="str">
        <f t="shared" si="52"/>
        <v/>
      </c>
      <c r="AQ139" s="63" t="str">
        <f t="shared" si="53"/>
        <v/>
      </c>
      <c r="AR139" s="152" t="str">
        <f t="shared" si="54"/>
        <v/>
      </c>
      <c r="AS139" s="109" t="str">
        <f t="shared" si="55"/>
        <v/>
      </c>
      <c r="AT139" s="63" t="str">
        <f t="shared" si="56"/>
        <v xml:space="preserve">                    </v>
      </c>
    </row>
    <row r="140" spans="1:46" ht="12.75" x14ac:dyDescent="0.2">
      <c r="A140" s="63" t="str">
        <f t="shared" si="57"/>
        <v/>
      </c>
      <c r="B140" s="185"/>
      <c r="C140" s="184"/>
      <c r="D140" s="184"/>
      <c r="E140" s="184"/>
      <c r="F140" s="184"/>
      <c r="G140" s="185"/>
      <c r="H140" s="185"/>
      <c r="I140" s="186"/>
      <c r="J140" s="69"/>
      <c r="AA140" s="63">
        <f t="shared" si="39"/>
        <v>0</v>
      </c>
      <c r="AB140" s="153" t="str">
        <f t="shared" si="40"/>
        <v>000</v>
      </c>
      <c r="AC140" s="165" t="str">
        <f t="shared" si="41"/>
        <v>00000000</v>
      </c>
      <c r="AD140" s="98" t="str">
        <f t="shared" si="42"/>
        <v>00000000</v>
      </c>
      <c r="AE140" s="150">
        <f t="shared" si="43"/>
        <v>0</v>
      </c>
      <c r="AF140" s="150">
        <f t="shared" si="44"/>
        <v>0</v>
      </c>
      <c r="AG140" s="98" t="str">
        <f t="shared" si="45"/>
        <v>0000000000</v>
      </c>
      <c r="AH140" s="151">
        <f t="shared" si="46"/>
        <v>0</v>
      </c>
      <c r="AI140" s="98" t="str">
        <f t="shared" si="47"/>
        <v>00</v>
      </c>
      <c r="AJ140" s="98" t="str">
        <f t="shared" si="48"/>
        <v>000000000000</v>
      </c>
      <c r="AK140" s="161" t="str">
        <f t="shared" si="49"/>
        <v xml:space="preserve">                              </v>
      </c>
      <c r="AL140" s="154">
        <f t="shared" si="50"/>
        <v>0</v>
      </c>
      <c r="AM140" s="155">
        <f t="shared" si="51"/>
        <v>0</v>
      </c>
      <c r="AP140" s="63" t="str">
        <f t="shared" si="52"/>
        <v/>
      </c>
      <c r="AQ140" s="63" t="str">
        <f t="shared" si="53"/>
        <v/>
      </c>
      <c r="AR140" s="152" t="str">
        <f t="shared" si="54"/>
        <v/>
      </c>
      <c r="AS140" s="109" t="str">
        <f t="shared" si="55"/>
        <v/>
      </c>
      <c r="AT140" s="63" t="str">
        <f t="shared" si="56"/>
        <v xml:space="preserve">                    </v>
      </c>
    </row>
    <row r="141" spans="1:46" ht="12.75" x14ac:dyDescent="0.2">
      <c r="A141" s="63" t="str">
        <f t="shared" si="57"/>
        <v/>
      </c>
      <c r="B141" s="185"/>
      <c r="C141" s="184"/>
      <c r="D141" s="184"/>
      <c r="E141" s="184"/>
      <c r="F141" s="184"/>
      <c r="G141" s="185"/>
      <c r="H141" s="185"/>
      <c r="I141" s="186"/>
      <c r="J141" s="69"/>
      <c r="AA141" s="63">
        <f t="shared" si="39"/>
        <v>0</v>
      </c>
      <c r="AB141" s="153" t="str">
        <f t="shared" si="40"/>
        <v>000</v>
      </c>
      <c r="AC141" s="165" t="str">
        <f t="shared" si="41"/>
        <v>00000000</v>
      </c>
      <c r="AD141" s="98" t="str">
        <f t="shared" si="42"/>
        <v>00000000</v>
      </c>
      <c r="AE141" s="150">
        <f t="shared" si="43"/>
        <v>0</v>
      </c>
      <c r="AF141" s="150">
        <f t="shared" si="44"/>
        <v>0</v>
      </c>
      <c r="AG141" s="98" t="str">
        <f t="shared" si="45"/>
        <v>0000000000</v>
      </c>
      <c r="AH141" s="151">
        <f t="shared" si="46"/>
        <v>0</v>
      </c>
      <c r="AI141" s="98" t="str">
        <f t="shared" si="47"/>
        <v>00</v>
      </c>
      <c r="AJ141" s="98" t="str">
        <f t="shared" si="48"/>
        <v>000000000000</v>
      </c>
      <c r="AK141" s="161" t="str">
        <f t="shared" si="49"/>
        <v xml:space="preserve">                              </v>
      </c>
      <c r="AL141" s="154">
        <f t="shared" si="50"/>
        <v>0</v>
      </c>
      <c r="AM141" s="155">
        <f t="shared" si="51"/>
        <v>0</v>
      </c>
      <c r="AP141" s="63" t="str">
        <f t="shared" si="52"/>
        <v/>
      </c>
      <c r="AQ141" s="63" t="str">
        <f t="shared" si="53"/>
        <v/>
      </c>
      <c r="AR141" s="152" t="str">
        <f t="shared" si="54"/>
        <v/>
      </c>
      <c r="AS141" s="109" t="str">
        <f t="shared" si="55"/>
        <v/>
      </c>
      <c r="AT141" s="63" t="str">
        <f t="shared" si="56"/>
        <v xml:space="preserve">                    </v>
      </c>
    </row>
    <row r="142" spans="1:46" ht="12.75" x14ac:dyDescent="0.2">
      <c r="A142" s="63" t="str">
        <f t="shared" si="57"/>
        <v/>
      </c>
      <c r="B142" s="185"/>
      <c r="C142" s="184"/>
      <c r="D142" s="184"/>
      <c r="E142" s="184"/>
      <c r="F142" s="184"/>
      <c r="G142" s="185"/>
      <c r="H142" s="185"/>
      <c r="I142" s="186"/>
      <c r="J142" s="69"/>
      <c r="AA142" s="63">
        <f t="shared" si="39"/>
        <v>0</v>
      </c>
      <c r="AB142" s="153" t="str">
        <f t="shared" si="40"/>
        <v>000</v>
      </c>
      <c r="AC142" s="165" t="str">
        <f t="shared" si="41"/>
        <v>00000000</v>
      </c>
      <c r="AD142" s="98" t="str">
        <f t="shared" si="42"/>
        <v>00000000</v>
      </c>
      <c r="AE142" s="150">
        <f t="shared" si="43"/>
        <v>0</v>
      </c>
      <c r="AF142" s="150">
        <f t="shared" si="44"/>
        <v>0</v>
      </c>
      <c r="AG142" s="98" t="str">
        <f t="shared" si="45"/>
        <v>0000000000</v>
      </c>
      <c r="AH142" s="151">
        <f t="shared" si="46"/>
        <v>0</v>
      </c>
      <c r="AI142" s="98" t="str">
        <f t="shared" si="47"/>
        <v>00</v>
      </c>
      <c r="AJ142" s="98" t="str">
        <f t="shared" si="48"/>
        <v>000000000000</v>
      </c>
      <c r="AK142" s="161" t="str">
        <f t="shared" si="49"/>
        <v xml:space="preserve">                              </v>
      </c>
      <c r="AL142" s="154">
        <f t="shared" si="50"/>
        <v>0</v>
      </c>
      <c r="AM142" s="155">
        <f t="shared" si="51"/>
        <v>0</v>
      </c>
      <c r="AP142" s="63" t="str">
        <f t="shared" si="52"/>
        <v/>
      </c>
      <c r="AQ142" s="63" t="str">
        <f t="shared" si="53"/>
        <v/>
      </c>
      <c r="AR142" s="152" t="str">
        <f t="shared" si="54"/>
        <v/>
      </c>
      <c r="AS142" s="109" t="str">
        <f t="shared" si="55"/>
        <v/>
      </c>
      <c r="AT142" s="63" t="str">
        <f t="shared" si="56"/>
        <v xml:space="preserve">                    </v>
      </c>
    </row>
    <row r="143" spans="1:46" ht="12.75" x14ac:dyDescent="0.2">
      <c r="A143" s="63" t="str">
        <f t="shared" si="57"/>
        <v/>
      </c>
      <c r="B143" s="185"/>
      <c r="C143" s="184"/>
      <c r="D143" s="184"/>
      <c r="E143" s="184"/>
      <c r="F143" s="184"/>
      <c r="G143" s="185"/>
      <c r="H143" s="185"/>
      <c r="I143" s="186"/>
      <c r="J143" s="69"/>
      <c r="AA143" s="63">
        <f t="shared" si="39"/>
        <v>0</v>
      </c>
      <c r="AB143" s="153" t="str">
        <f t="shared" si="40"/>
        <v>000</v>
      </c>
      <c r="AC143" s="165" t="str">
        <f t="shared" si="41"/>
        <v>00000000</v>
      </c>
      <c r="AD143" s="98" t="str">
        <f t="shared" si="42"/>
        <v>00000000</v>
      </c>
      <c r="AE143" s="150">
        <f t="shared" si="43"/>
        <v>0</v>
      </c>
      <c r="AF143" s="150">
        <f t="shared" si="44"/>
        <v>0</v>
      </c>
      <c r="AG143" s="98" t="str">
        <f t="shared" si="45"/>
        <v>0000000000</v>
      </c>
      <c r="AH143" s="151">
        <f t="shared" si="46"/>
        <v>0</v>
      </c>
      <c r="AI143" s="98" t="str">
        <f t="shared" si="47"/>
        <v>00</v>
      </c>
      <c r="AJ143" s="98" t="str">
        <f t="shared" si="48"/>
        <v>000000000000</v>
      </c>
      <c r="AK143" s="161" t="str">
        <f t="shared" si="49"/>
        <v xml:space="preserve">                              </v>
      </c>
      <c r="AL143" s="154">
        <f t="shared" si="50"/>
        <v>0</v>
      </c>
      <c r="AM143" s="155">
        <f t="shared" si="51"/>
        <v>0</v>
      </c>
      <c r="AP143" s="63" t="str">
        <f t="shared" si="52"/>
        <v/>
      </c>
      <c r="AQ143" s="63" t="str">
        <f t="shared" si="53"/>
        <v/>
      </c>
      <c r="AR143" s="152" t="str">
        <f t="shared" si="54"/>
        <v/>
      </c>
      <c r="AS143" s="109" t="str">
        <f t="shared" si="55"/>
        <v/>
      </c>
      <c r="AT143" s="63" t="str">
        <f t="shared" si="56"/>
        <v xml:space="preserve">                    </v>
      </c>
    </row>
    <row r="144" spans="1:46" ht="12.75" x14ac:dyDescent="0.2">
      <c r="A144" s="63" t="str">
        <f t="shared" si="57"/>
        <v/>
      </c>
      <c r="B144" s="185"/>
      <c r="C144" s="184"/>
      <c r="D144" s="184"/>
      <c r="E144" s="184"/>
      <c r="F144" s="184"/>
      <c r="G144" s="185"/>
      <c r="H144" s="185"/>
      <c r="I144" s="186"/>
      <c r="J144" s="69"/>
      <c r="AA144" s="63">
        <f t="shared" si="39"/>
        <v>0</v>
      </c>
      <c r="AB144" s="153" t="str">
        <f t="shared" si="40"/>
        <v>000</v>
      </c>
      <c r="AC144" s="165" t="str">
        <f t="shared" si="41"/>
        <v>00000000</v>
      </c>
      <c r="AD144" s="98" t="str">
        <f t="shared" si="42"/>
        <v>00000000</v>
      </c>
      <c r="AE144" s="150">
        <f t="shared" si="43"/>
        <v>0</v>
      </c>
      <c r="AF144" s="150">
        <f t="shared" si="44"/>
        <v>0</v>
      </c>
      <c r="AG144" s="98" t="str">
        <f t="shared" si="45"/>
        <v>0000000000</v>
      </c>
      <c r="AH144" s="151">
        <f t="shared" si="46"/>
        <v>0</v>
      </c>
      <c r="AI144" s="98" t="str">
        <f t="shared" si="47"/>
        <v>00</v>
      </c>
      <c r="AJ144" s="98" t="str">
        <f t="shared" si="48"/>
        <v>000000000000</v>
      </c>
      <c r="AK144" s="161" t="str">
        <f t="shared" si="49"/>
        <v xml:space="preserve">                              </v>
      </c>
      <c r="AL144" s="154">
        <f t="shared" si="50"/>
        <v>0</v>
      </c>
      <c r="AM144" s="155">
        <f t="shared" si="51"/>
        <v>0</v>
      </c>
      <c r="AP144" s="63" t="str">
        <f t="shared" si="52"/>
        <v/>
      </c>
      <c r="AQ144" s="63" t="str">
        <f t="shared" si="53"/>
        <v/>
      </c>
      <c r="AR144" s="152" t="str">
        <f t="shared" si="54"/>
        <v/>
      </c>
      <c r="AS144" s="109" t="str">
        <f t="shared" si="55"/>
        <v/>
      </c>
      <c r="AT144" s="63" t="str">
        <f t="shared" si="56"/>
        <v xml:space="preserve">                    </v>
      </c>
    </row>
    <row r="145" spans="1:46" ht="12.75" x14ac:dyDescent="0.2">
      <c r="A145" s="63" t="str">
        <f t="shared" si="57"/>
        <v/>
      </c>
      <c r="B145" s="185"/>
      <c r="C145" s="184"/>
      <c r="D145" s="184"/>
      <c r="E145" s="184"/>
      <c r="F145" s="184"/>
      <c r="G145" s="185"/>
      <c r="H145" s="185"/>
      <c r="I145" s="186"/>
      <c r="J145" s="69"/>
      <c r="AA145" s="63">
        <f t="shared" ref="AA145:AA208" si="58">B145</f>
        <v>0</v>
      </c>
      <c r="AB145" s="153" t="str">
        <f t="shared" ref="AB145:AB208" si="59">CONCATENATE(REPT("0",3-LEN(C145)),C145)</f>
        <v>000</v>
      </c>
      <c r="AC145" s="165" t="str">
        <f t="shared" ref="AC145:AC208" si="60">CONCATENATE(REPT("0",8-LEN(D145)),D145)</f>
        <v>00000000</v>
      </c>
      <c r="AD145" s="98" t="str">
        <f t="shared" ref="AD145:AD208" si="61">CONCATENATE(REPT("0",8-LEN(F145)),F145)</f>
        <v>00000000</v>
      </c>
      <c r="AE145" s="150">
        <f t="shared" ref="AE145:AE208" si="62">INT(I145)</f>
        <v>0</v>
      </c>
      <c r="AF145" s="150">
        <f t="shared" ref="AF145:AF208" si="63">I145-AE145</f>
        <v>0</v>
      </c>
      <c r="AG145" s="98" t="str">
        <f t="shared" ref="AG145:AG208" si="64">TEXT(AE145,"0000000000")</f>
        <v>0000000000</v>
      </c>
      <c r="AH145" s="151">
        <f t="shared" ref="AH145:AH208" si="65">AF145*100</f>
        <v>0</v>
      </c>
      <c r="AI145" s="98" t="str">
        <f t="shared" ref="AI145:AI208" si="66">TEXT(AH145,"00")</f>
        <v>00</v>
      </c>
      <c r="AJ145" s="98" t="str">
        <f t="shared" ref="AJ145:AJ208" si="67">CONCATENATE(AG145,AI145)</f>
        <v>000000000000</v>
      </c>
      <c r="AK145" s="161" t="str">
        <f t="shared" ref="AK145:AK208" si="68">CONCATENATE(E145,REPT(" ",30-LEN(E145)))</f>
        <v xml:space="preserve">                              </v>
      </c>
      <c r="AL145" s="154">
        <f t="shared" ref="AL145:AL208" si="69">IF(H145&lt;&gt;"",IF(H145=$H$3,0,1),0)</f>
        <v>0</v>
      </c>
      <c r="AM145" s="155">
        <f t="shared" ref="AM145:AM208" si="70">IF(AL145=1,IF($H$3=1,I145*$K$14,I145/$K$14),I145)</f>
        <v>0</v>
      </c>
      <c r="AP145" s="63" t="str">
        <f t="shared" si="52"/>
        <v/>
      </c>
      <c r="AQ145" s="63" t="str">
        <f t="shared" si="53"/>
        <v/>
      </c>
      <c r="AR145" s="152" t="str">
        <f t="shared" si="54"/>
        <v/>
      </c>
      <c r="AS145" s="109" t="str">
        <f t="shared" si="55"/>
        <v/>
      </c>
      <c r="AT145" s="63" t="str">
        <f t="shared" si="56"/>
        <v xml:space="preserve">                    </v>
      </c>
    </row>
    <row r="146" spans="1:46" ht="12.75" x14ac:dyDescent="0.2">
      <c r="A146" s="63" t="str">
        <f t="shared" si="57"/>
        <v/>
      </c>
      <c r="B146" s="185"/>
      <c r="C146" s="184"/>
      <c r="D146" s="184"/>
      <c r="E146" s="184"/>
      <c r="F146" s="184"/>
      <c r="G146" s="185"/>
      <c r="H146" s="185"/>
      <c r="I146" s="186"/>
      <c r="J146" s="69"/>
      <c r="AA146" s="63">
        <f t="shared" si="58"/>
        <v>0</v>
      </c>
      <c r="AB146" s="153" t="str">
        <f t="shared" si="59"/>
        <v>000</v>
      </c>
      <c r="AC146" s="165" t="str">
        <f t="shared" si="60"/>
        <v>00000000</v>
      </c>
      <c r="AD146" s="98" t="str">
        <f t="shared" si="61"/>
        <v>00000000</v>
      </c>
      <c r="AE146" s="150">
        <f t="shared" si="62"/>
        <v>0</v>
      </c>
      <c r="AF146" s="150">
        <f t="shared" si="63"/>
        <v>0</v>
      </c>
      <c r="AG146" s="98" t="str">
        <f t="shared" si="64"/>
        <v>0000000000</v>
      </c>
      <c r="AH146" s="151">
        <f t="shared" si="65"/>
        <v>0</v>
      </c>
      <c r="AI146" s="98" t="str">
        <f t="shared" si="66"/>
        <v>00</v>
      </c>
      <c r="AJ146" s="98" t="str">
        <f t="shared" si="67"/>
        <v>000000000000</v>
      </c>
      <c r="AK146" s="161" t="str">
        <f t="shared" si="68"/>
        <v xml:space="preserve">                              </v>
      </c>
      <c r="AL146" s="154">
        <f t="shared" si="69"/>
        <v>0</v>
      </c>
      <c r="AM146" s="155">
        <f t="shared" si="70"/>
        <v>0</v>
      </c>
      <c r="AP146" s="63" t="str">
        <f t="shared" ref="AP146:AP209" si="71">IF(D147&lt;&gt;"",CONCATENATE("000",AS146,"0",H147,"2","    ",AD147,AJ147,"            ",AT147,AK147,"                                                                                     "),"")</f>
        <v/>
      </c>
      <c r="AQ146" s="63" t="str">
        <f t="shared" ref="AQ146:AQ209" si="72">IF(D147&lt;&gt;"",CONCATENATE("1520",AA147,AB147,AC147),"")</f>
        <v/>
      </c>
      <c r="AR146" s="152" t="str">
        <f t="shared" ref="AR146:AR209" si="73">IF(D147&lt;&gt;"",MOD(SUM(VALUE(MID($AQ$1,1,1)) * VALUE(MID(AQ146,1,1)),VALUE(MID($AQ$1,2,1)) * VALUE(MID(AQ146,2,1)),VALUE(MID($AQ$1,3,1)) * VALUE(MID(AQ146,3,1)),VALUE(MID($AQ$1,4,1)) * VALUE(MID(AQ146,4,1)),VALUE(MID($AQ$1,5,1)) * VALUE(MID(AQ146,5,1)),VALUE(MID($AQ$1,6,1)) * VALUE(MID(AQ146,6,1)),VALUE(MID($AQ$1,7,1)) * VALUE(MID(AQ146,7,1)),VALUE(MID($AQ$1,8,1)) * VALUE(MID(AQ146,8,1)),VALUE(MID($AQ$1,9,1)) * VALUE(MID(AQ146,9,1)),VALUE(MID($AQ$1,10,1)) * VALUE(MID(AQ146,10,1)),VALUE(MID($AQ$1,11,1)) * VALUE(MID(AQ146,11,1)),VALUE(MID($AQ$1,12,1)) * VALUE(MID(AQ146,12,1)),VALUE(MID($AQ$1,13,1)) * VALUE(MID(AQ146,13,1)),VALUE(MID($AQ$1,14,1)) * VALUE(MID(AQ146,14,1)),VALUE(MID($AQ$1,15,1)) * VALUE(MID(AQ146,15,1)),VALUE(MID($AQ$1,16,1)) * VALUE(MID(AQ146,16,1))),11),"")</f>
        <v/>
      </c>
      <c r="AS146" s="109" t="str">
        <f t="shared" ref="AS146:AS209" si="74">IF(D147&lt;&gt;"",CONCATENATE(AQ146,IF(AR146&gt;9,"1",AR146)),"")</f>
        <v/>
      </c>
      <c r="AT146" s="63" t="str">
        <f t="shared" ref="AT146:AT209" si="75">CONCATENATE(G146,REPT(" ",20-LEN(G146)))</f>
        <v xml:space="preserve">                    </v>
      </c>
    </row>
    <row r="147" spans="1:46" ht="12.75" x14ac:dyDescent="0.2">
      <c r="A147" s="63" t="str">
        <f t="shared" si="57"/>
        <v/>
      </c>
      <c r="B147" s="185"/>
      <c r="C147" s="184"/>
      <c r="D147" s="184"/>
      <c r="E147" s="184"/>
      <c r="F147" s="184"/>
      <c r="G147" s="185"/>
      <c r="H147" s="185"/>
      <c r="I147" s="186"/>
      <c r="J147" s="69"/>
      <c r="AA147" s="63">
        <f t="shared" si="58"/>
        <v>0</v>
      </c>
      <c r="AB147" s="153" t="str">
        <f t="shared" si="59"/>
        <v>000</v>
      </c>
      <c r="AC147" s="165" t="str">
        <f t="shared" si="60"/>
        <v>00000000</v>
      </c>
      <c r="AD147" s="98" t="str">
        <f t="shared" si="61"/>
        <v>00000000</v>
      </c>
      <c r="AE147" s="150">
        <f t="shared" si="62"/>
        <v>0</v>
      </c>
      <c r="AF147" s="150">
        <f t="shared" si="63"/>
        <v>0</v>
      </c>
      <c r="AG147" s="98" t="str">
        <f t="shared" si="64"/>
        <v>0000000000</v>
      </c>
      <c r="AH147" s="151">
        <f t="shared" si="65"/>
        <v>0</v>
      </c>
      <c r="AI147" s="98" t="str">
        <f t="shared" si="66"/>
        <v>00</v>
      </c>
      <c r="AJ147" s="98" t="str">
        <f t="shared" si="67"/>
        <v>000000000000</v>
      </c>
      <c r="AK147" s="161" t="str">
        <f t="shared" si="68"/>
        <v xml:space="preserve">                              </v>
      </c>
      <c r="AL147" s="154">
        <f t="shared" si="69"/>
        <v>0</v>
      </c>
      <c r="AM147" s="155">
        <f t="shared" si="70"/>
        <v>0</v>
      </c>
      <c r="AP147" s="63" t="str">
        <f t="shared" si="71"/>
        <v/>
      </c>
      <c r="AQ147" s="63" t="str">
        <f t="shared" si="72"/>
        <v/>
      </c>
      <c r="AR147" s="152" t="str">
        <f t="shared" si="73"/>
        <v/>
      </c>
      <c r="AS147" s="109" t="str">
        <f t="shared" si="74"/>
        <v/>
      </c>
      <c r="AT147" s="63" t="str">
        <f t="shared" si="75"/>
        <v xml:space="preserve">                    </v>
      </c>
    </row>
    <row r="148" spans="1:46" ht="12.75" x14ac:dyDescent="0.2">
      <c r="A148" s="63" t="str">
        <f t="shared" si="57"/>
        <v/>
      </c>
      <c r="B148" s="185"/>
      <c r="C148" s="184"/>
      <c r="D148" s="184"/>
      <c r="E148" s="184"/>
      <c r="F148" s="184"/>
      <c r="G148" s="185"/>
      <c r="H148" s="185"/>
      <c r="I148" s="186"/>
      <c r="J148" s="69"/>
      <c r="AA148" s="63">
        <f t="shared" si="58"/>
        <v>0</v>
      </c>
      <c r="AB148" s="153" t="str">
        <f t="shared" si="59"/>
        <v>000</v>
      </c>
      <c r="AC148" s="165" t="str">
        <f t="shared" si="60"/>
        <v>00000000</v>
      </c>
      <c r="AD148" s="98" t="str">
        <f t="shared" si="61"/>
        <v>00000000</v>
      </c>
      <c r="AE148" s="150">
        <f t="shared" si="62"/>
        <v>0</v>
      </c>
      <c r="AF148" s="150">
        <f t="shared" si="63"/>
        <v>0</v>
      </c>
      <c r="AG148" s="98" t="str">
        <f t="shared" si="64"/>
        <v>0000000000</v>
      </c>
      <c r="AH148" s="151">
        <f t="shared" si="65"/>
        <v>0</v>
      </c>
      <c r="AI148" s="98" t="str">
        <f t="shared" si="66"/>
        <v>00</v>
      </c>
      <c r="AJ148" s="98" t="str">
        <f t="shared" si="67"/>
        <v>000000000000</v>
      </c>
      <c r="AK148" s="161" t="str">
        <f t="shared" si="68"/>
        <v xml:space="preserve">                              </v>
      </c>
      <c r="AL148" s="154">
        <f t="shared" si="69"/>
        <v>0</v>
      </c>
      <c r="AM148" s="155">
        <f t="shared" si="70"/>
        <v>0</v>
      </c>
      <c r="AP148" s="63" t="str">
        <f t="shared" si="71"/>
        <v/>
      </c>
      <c r="AQ148" s="63" t="str">
        <f t="shared" si="72"/>
        <v/>
      </c>
      <c r="AR148" s="152" t="str">
        <f t="shared" si="73"/>
        <v/>
      </c>
      <c r="AS148" s="109" t="str">
        <f t="shared" si="74"/>
        <v/>
      </c>
      <c r="AT148" s="63" t="str">
        <f t="shared" si="75"/>
        <v xml:space="preserve">                    </v>
      </c>
    </row>
    <row r="149" spans="1:46" ht="12.75" x14ac:dyDescent="0.2">
      <c r="A149" s="63" t="str">
        <f t="shared" si="57"/>
        <v/>
      </c>
      <c r="B149" s="185"/>
      <c r="C149" s="184"/>
      <c r="D149" s="184"/>
      <c r="E149" s="184"/>
      <c r="F149" s="184"/>
      <c r="G149" s="185"/>
      <c r="H149" s="185"/>
      <c r="I149" s="186"/>
      <c r="J149" s="69"/>
      <c r="AA149" s="63">
        <f t="shared" si="58"/>
        <v>0</v>
      </c>
      <c r="AB149" s="153" t="str">
        <f t="shared" si="59"/>
        <v>000</v>
      </c>
      <c r="AC149" s="165" t="str">
        <f t="shared" si="60"/>
        <v>00000000</v>
      </c>
      <c r="AD149" s="98" t="str">
        <f t="shared" si="61"/>
        <v>00000000</v>
      </c>
      <c r="AE149" s="150">
        <f t="shared" si="62"/>
        <v>0</v>
      </c>
      <c r="AF149" s="150">
        <f t="shared" si="63"/>
        <v>0</v>
      </c>
      <c r="AG149" s="98" t="str">
        <f t="shared" si="64"/>
        <v>0000000000</v>
      </c>
      <c r="AH149" s="151">
        <f t="shared" si="65"/>
        <v>0</v>
      </c>
      <c r="AI149" s="98" t="str">
        <f t="shared" si="66"/>
        <v>00</v>
      </c>
      <c r="AJ149" s="98" t="str">
        <f t="shared" si="67"/>
        <v>000000000000</v>
      </c>
      <c r="AK149" s="161" t="str">
        <f t="shared" si="68"/>
        <v xml:space="preserve">                              </v>
      </c>
      <c r="AL149" s="154">
        <f t="shared" si="69"/>
        <v>0</v>
      </c>
      <c r="AM149" s="155">
        <f t="shared" si="70"/>
        <v>0</v>
      </c>
      <c r="AP149" s="63" t="str">
        <f t="shared" si="71"/>
        <v/>
      </c>
      <c r="AQ149" s="63" t="str">
        <f t="shared" si="72"/>
        <v/>
      </c>
      <c r="AR149" s="152" t="str">
        <f t="shared" si="73"/>
        <v/>
      </c>
      <c r="AS149" s="109" t="str">
        <f t="shared" si="74"/>
        <v/>
      </c>
      <c r="AT149" s="63" t="str">
        <f t="shared" si="75"/>
        <v xml:space="preserve">                    </v>
      </c>
    </row>
    <row r="150" spans="1:46" ht="12.75" x14ac:dyDescent="0.2">
      <c r="A150" s="63" t="str">
        <f t="shared" si="57"/>
        <v/>
      </c>
      <c r="B150" s="185"/>
      <c r="C150" s="184"/>
      <c r="D150" s="184"/>
      <c r="E150" s="184"/>
      <c r="F150" s="184"/>
      <c r="G150" s="185"/>
      <c r="H150" s="185"/>
      <c r="I150" s="186"/>
      <c r="J150" s="69"/>
      <c r="AA150" s="63">
        <f t="shared" si="58"/>
        <v>0</v>
      </c>
      <c r="AB150" s="153" t="str">
        <f t="shared" si="59"/>
        <v>000</v>
      </c>
      <c r="AC150" s="165" t="str">
        <f t="shared" si="60"/>
        <v>00000000</v>
      </c>
      <c r="AD150" s="98" t="str">
        <f t="shared" si="61"/>
        <v>00000000</v>
      </c>
      <c r="AE150" s="150">
        <f t="shared" si="62"/>
        <v>0</v>
      </c>
      <c r="AF150" s="150">
        <f t="shared" si="63"/>
        <v>0</v>
      </c>
      <c r="AG150" s="98" t="str">
        <f t="shared" si="64"/>
        <v>0000000000</v>
      </c>
      <c r="AH150" s="151">
        <f t="shared" si="65"/>
        <v>0</v>
      </c>
      <c r="AI150" s="98" t="str">
        <f t="shared" si="66"/>
        <v>00</v>
      </c>
      <c r="AJ150" s="98" t="str">
        <f t="shared" si="67"/>
        <v>000000000000</v>
      </c>
      <c r="AK150" s="161" t="str">
        <f t="shared" si="68"/>
        <v xml:space="preserve">                              </v>
      </c>
      <c r="AL150" s="154">
        <f t="shared" si="69"/>
        <v>0</v>
      </c>
      <c r="AM150" s="155">
        <f t="shared" si="70"/>
        <v>0</v>
      </c>
      <c r="AP150" s="63" t="str">
        <f t="shared" si="71"/>
        <v/>
      </c>
      <c r="AQ150" s="63" t="str">
        <f t="shared" si="72"/>
        <v/>
      </c>
      <c r="AR150" s="152" t="str">
        <f t="shared" si="73"/>
        <v/>
      </c>
      <c r="AS150" s="109" t="str">
        <f t="shared" si="74"/>
        <v/>
      </c>
      <c r="AT150" s="63" t="str">
        <f t="shared" si="75"/>
        <v xml:space="preserve">                    </v>
      </c>
    </row>
    <row r="151" spans="1:46" ht="12.75" x14ac:dyDescent="0.2">
      <c r="A151" s="63" t="str">
        <f t="shared" si="57"/>
        <v/>
      </c>
      <c r="B151" s="185"/>
      <c r="C151" s="184"/>
      <c r="D151" s="184"/>
      <c r="E151" s="184"/>
      <c r="F151" s="184"/>
      <c r="G151" s="185"/>
      <c r="H151" s="185"/>
      <c r="I151" s="186"/>
      <c r="J151" s="69"/>
      <c r="AA151" s="63">
        <f t="shared" si="58"/>
        <v>0</v>
      </c>
      <c r="AB151" s="153" t="str">
        <f t="shared" si="59"/>
        <v>000</v>
      </c>
      <c r="AC151" s="165" t="str">
        <f t="shared" si="60"/>
        <v>00000000</v>
      </c>
      <c r="AD151" s="98" t="str">
        <f t="shared" si="61"/>
        <v>00000000</v>
      </c>
      <c r="AE151" s="150">
        <f t="shared" si="62"/>
        <v>0</v>
      </c>
      <c r="AF151" s="150">
        <f t="shared" si="63"/>
        <v>0</v>
      </c>
      <c r="AG151" s="98" t="str">
        <f t="shared" si="64"/>
        <v>0000000000</v>
      </c>
      <c r="AH151" s="151">
        <f t="shared" si="65"/>
        <v>0</v>
      </c>
      <c r="AI151" s="98" t="str">
        <f t="shared" si="66"/>
        <v>00</v>
      </c>
      <c r="AJ151" s="98" t="str">
        <f t="shared" si="67"/>
        <v>000000000000</v>
      </c>
      <c r="AK151" s="161" t="str">
        <f t="shared" si="68"/>
        <v xml:space="preserve">                              </v>
      </c>
      <c r="AL151" s="154">
        <f t="shared" si="69"/>
        <v>0</v>
      </c>
      <c r="AM151" s="155">
        <f t="shared" si="70"/>
        <v>0</v>
      </c>
      <c r="AP151" s="63" t="str">
        <f t="shared" si="71"/>
        <v/>
      </c>
      <c r="AQ151" s="63" t="str">
        <f t="shared" si="72"/>
        <v/>
      </c>
      <c r="AR151" s="152" t="str">
        <f t="shared" si="73"/>
        <v/>
      </c>
      <c r="AS151" s="109" t="str">
        <f t="shared" si="74"/>
        <v/>
      </c>
      <c r="AT151" s="63" t="str">
        <f t="shared" si="75"/>
        <v xml:space="preserve">                    </v>
      </c>
    </row>
    <row r="152" spans="1:46" ht="12.75" x14ac:dyDescent="0.2">
      <c r="A152" s="63" t="str">
        <f t="shared" si="57"/>
        <v/>
      </c>
      <c r="B152" s="185"/>
      <c r="C152" s="184"/>
      <c r="D152" s="184"/>
      <c r="E152" s="184"/>
      <c r="F152" s="184"/>
      <c r="G152" s="185"/>
      <c r="H152" s="185"/>
      <c r="I152" s="186"/>
      <c r="J152" s="69"/>
      <c r="AA152" s="63">
        <f t="shared" si="58"/>
        <v>0</v>
      </c>
      <c r="AB152" s="153" t="str">
        <f t="shared" si="59"/>
        <v>000</v>
      </c>
      <c r="AC152" s="165" t="str">
        <f t="shared" si="60"/>
        <v>00000000</v>
      </c>
      <c r="AD152" s="98" t="str">
        <f t="shared" si="61"/>
        <v>00000000</v>
      </c>
      <c r="AE152" s="150">
        <f t="shared" si="62"/>
        <v>0</v>
      </c>
      <c r="AF152" s="150">
        <f t="shared" si="63"/>
        <v>0</v>
      </c>
      <c r="AG152" s="98" t="str">
        <f t="shared" si="64"/>
        <v>0000000000</v>
      </c>
      <c r="AH152" s="151">
        <f t="shared" si="65"/>
        <v>0</v>
      </c>
      <c r="AI152" s="98" t="str">
        <f t="shared" si="66"/>
        <v>00</v>
      </c>
      <c r="AJ152" s="98" t="str">
        <f t="shared" si="67"/>
        <v>000000000000</v>
      </c>
      <c r="AK152" s="161" t="str">
        <f t="shared" si="68"/>
        <v xml:space="preserve">                              </v>
      </c>
      <c r="AL152" s="154">
        <f t="shared" si="69"/>
        <v>0</v>
      </c>
      <c r="AM152" s="155">
        <f t="shared" si="70"/>
        <v>0</v>
      </c>
      <c r="AP152" s="63" t="str">
        <f t="shared" si="71"/>
        <v/>
      </c>
      <c r="AQ152" s="63" t="str">
        <f t="shared" si="72"/>
        <v/>
      </c>
      <c r="AR152" s="152" t="str">
        <f t="shared" si="73"/>
        <v/>
      </c>
      <c r="AS152" s="109" t="str">
        <f t="shared" si="74"/>
        <v/>
      </c>
      <c r="AT152" s="63" t="str">
        <f t="shared" si="75"/>
        <v xml:space="preserve">                    </v>
      </c>
    </row>
    <row r="153" spans="1:46" ht="12.75" x14ac:dyDescent="0.2">
      <c r="A153" s="63" t="str">
        <f t="shared" si="57"/>
        <v/>
      </c>
      <c r="B153" s="185"/>
      <c r="C153" s="184"/>
      <c r="D153" s="184"/>
      <c r="E153" s="184"/>
      <c r="F153" s="184"/>
      <c r="G153" s="185"/>
      <c r="H153" s="185"/>
      <c r="I153" s="186"/>
      <c r="J153" s="69"/>
      <c r="AA153" s="63">
        <f t="shared" si="58"/>
        <v>0</v>
      </c>
      <c r="AB153" s="153" t="str">
        <f t="shared" si="59"/>
        <v>000</v>
      </c>
      <c r="AC153" s="165" t="str">
        <f t="shared" si="60"/>
        <v>00000000</v>
      </c>
      <c r="AD153" s="98" t="str">
        <f t="shared" si="61"/>
        <v>00000000</v>
      </c>
      <c r="AE153" s="150">
        <f t="shared" si="62"/>
        <v>0</v>
      </c>
      <c r="AF153" s="150">
        <f t="shared" si="63"/>
        <v>0</v>
      </c>
      <c r="AG153" s="98" t="str">
        <f t="shared" si="64"/>
        <v>0000000000</v>
      </c>
      <c r="AH153" s="151">
        <f t="shared" si="65"/>
        <v>0</v>
      </c>
      <c r="AI153" s="98" t="str">
        <f t="shared" si="66"/>
        <v>00</v>
      </c>
      <c r="AJ153" s="98" t="str">
        <f t="shared" si="67"/>
        <v>000000000000</v>
      </c>
      <c r="AK153" s="161" t="str">
        <f t="shared" si="68"/>
        <v xml:space="preserve">                              </v>
      </c>
      <c r="AL153" s="154">
        <f t="shared" si="69"/>
        <v>0</v>
      </c>
      <c r="AM153" s="155">
        <f t="shared" si="70"/>
        <v>0</v>
      </c>
      <c r="AP153" s="63" t="str">
        <f t="shared" si="71"/>
        <v/>
      </c>
      <c r="AQ153" s="63" t="str">
        <f t="shared" si="72"/>
        <v/>
      </c>
      <c r="AR153" s="152" t="str">
        <f t="shared" si="73"/>
        <v/>
      </c>
      <c r="AS153" s="109" t="str">
        <f t="shared" si="74"/>
        <v/>
      </c>
      <c r="AT153" s="63" t="str">
        <f t="shared" si="75"/>
        <v xml:space="preserve">                    </v>
      </c>
    </row>
    <row r="154" spans="1:46" ht="12.75" x14ac:dyDescent="0.2">
      <c r="A154" s="63" t="str">
        <f t="shared" si="57"/>
        <v/>
      </c>
      <c r="B154" s="185"/>
      <c r="C154" s="184"/>
      <c r="D154" s="184"/>
      <c r="E154" s="184"/>
      <c r="F154" s="184"/>
      <c r="G154" s="185"/>
      <c r="H154" s="185"/>
      <c r="I154" s="186"/>
      <c r="J154" s="69"/>
      <c r="AA154" s="63">
        <f t="shared" si="58"/>
        <v>0</v>
      </c>
      <c r="AB154" s="153" t="str">
        <f t="shared" si="59"/>
        <v>000</v>
      </c>
      <c r="AC154" s="165" t="str">
        <f t="shared" si="60"/>
        <v>00000000</v>
      </c>
      <c r="AD154" s="98" t="str">
        <f t="shared" si="61"/>
        <v>00000000</v>
      </c>
      <c r="AE154" s="150">
        <f t="shared" si="62"/>
        <v>0</v>
      </c>
      <c r="AF154" s="150">
        <f t="shared" si="63"/>
        <v>0</v>
      </c>
      <c r="AG154" s="98" t="str">
        <f t="shared" si="64"/>
        <v>0000000000</v>
      </c>
      <c r="AH154" s="151">
        <f t="shared" si="65"/>
        <v>0</v>
      </c>
      <c r="AI154" s="98" t="str">
        <f t="shared" si="66"/>
        <v>00</v>
      </c>
      <c r="AJ154" s="98" t="str">
        <f t="shared" si="67"/>
        <v>000000000000</v>
      </c>
      <c r="AK154" s="161" t="str">
        <f t="shared" si="68"/>
        <v xml:space="preserve">                              </v>
      </c>
      <c r="AL154" s="154">
        <f t="shared" si="69"/>
        <v>0</v>
      </c>
      <c r="AM154" s="155">
        <f t="shared" si="70"/>
        <v>0</v>
      </c>
      <c r="AP154" s="63" t="str">
        <f t="shared" si="71"/>
        <v/>
      </c>
      <c r="AQ154" s="63" t="str">
        <f t="shared" si="72"/>
        <v/>
      </c>
      <c r="AR154" s="152" t="str">
        <f t="shared" si="73"/>
        <v/>
      </c>
      <c r="AS154" s="109" t="str">
        <f t="shared" si="74"/>
        <v/>
      </c>
      <c r="AT154" s="63" t="str">
        <f t="shared" si="75"/>
        <v xml:space="preserve">                    </v>
      </c>
    </row>
    <row r="155" spans="1:46" ht="12.75" x14ac:dyDescent="0.2">
      <c r="A155" s="63" t="str">
        <f t="shared" si="57"/>
        <v/>
      </c>
      <c r="B155" s="185"/>
      <c r="C155" s="184"/>
      <c r="D155" s="184"/>
      <c r="E155" s="184"/>
      <c r="F155" s="184"/>
      <c r="G155" s="185"/>
      <c r="H155" s="185"/>
      <c r="I155" s="186"/>
      <c r="J155" s="69"/>
      <c r="AA155" s="63">
        <f t="shared" si="58"/>
        <v>0</v>
      </c>
      <c r="AB155" s="153" t="str">
        <f t="shared" si="59"/>
        <v>000</v>
      </c>
      <c r="AC155" s="165" t="str">
        <f t="shared" si="60"/>
        <v>00000000</v>
      </c>
      <c r="AD155" s="98" t="str">
        <f t="shared" si="61"/>
        <v>00000000</v>
      </c>
      <c r="AE155" s="150">
        <f t="shared" si="62"/>
        <v>0</v>
      </c>
      <c r="AF155" s="150">
        <f t="shared" si="63"/>
        <v>0</v>
      </c>
      <c r="AG155" s="98" t="str">
        <f t="shared" si="64"/>
        <v>0000000000</v>
      </c>
      <c r="AH155" s="151">
        <f t="shared" si="65"/>
        <v>0</v>
      </c>
      <c r="AI155" s="98" t="str">
        <f t="shared" si="66"/>
        <v>00</v>
      </c>
      <c r="AJ155" s="98" t="str">
        <f t="shared" si="67"/>
        <v>000000000000</v>
      </c>
      <c r="AK155" s="161" t="str">
        <f t="shared" si="68"/>
        <v xml:space="preserve">                              </v>
      </c>
      <c r="AL155" s="154">
        <f t="shared" si="69"/>
        <v>0</v>
      </c>
      <c r="AM155" s="155">
        <f t="shared" si="70"/>
        <v>0</v>
      </c>
      <c r="AP155" s="63" t="str">
        <f t="shared" si="71"/>
        <v/>
      </c>
      <c r="AQ155" s="63" t="str">
        <f t="shared" si="72"/>
        <v/>
      </c>
      <c r="AR155" s="152" t="str">
        <f t="shared" si="73"/>
        <v/>
      </c>
      <c r="AS155" s="109" t="str">
        <f t="shared" si="74"/>
        <v/>
      </c>
      <c r="AT155" s="63" t="str">
        <f t="shared" si="75"/>
        <v xml:space="preserve">                    </v>
      </c>
    </row>
    <row r="156" spans="1:46" ht="12.75" x14ac:dyDescent="0.2">
      <c r="A156" s="63" t="str">
        <f t="shared" si="57"/>
        <v/>
      </c>
      <c r="B156" s="185"/>
      <c r="C156" s="184"/>
      <c r="D156" s="184"/>
      <c r="E156" s="184"/>
      <c r="F156" s="184"/>
      <c r="G156" s="185"/>
      <c r="H156" s="185"/>
      <c r="I156" s="186"/>
      <c r="J156" s="69"/>
      <c r="AA156" s="63">
        <f t="shared" si="58"/>
        <v>0</v>
      </c>
      <c r="AB156" s="153" t="str">
        <f t="shared" si="59"/>
        <v>000</v>
      </c>
      <c r="AC156" s="165" t="str">
        <f t="shared" si="60"/>
        <v>00000000</v>
      </c>
      <c r="AD156" s="98" t="str">
        <f t="shared" si="61"/>
        <v>00000000</v>
      </c>
      <c r="AE156" s="150">
        <f t="shared" si="62"/>
        <v>0</v>
      </c>
      <c r="AF156" s="150">
        <f t="shared" si="63"/>
        <v>0</v>
      </c>
      <c r="AG156" s="98" t="str">
        <f t="shared" si="64"/>
        <v>0000000000</v>
      </c>
      <c r="AH156" s="151">
        <f t="shared" si="65"/>
        <v>0</v>
      </c>
      <c r="AI156" s="98" t="str">
        <f t="shared" si="66"/>
        <v>00</v>
      </c>
      <c r="AJ156" s="98" t="str">
        <f t="shared" si="67"/>
        <v>000000000000</v>
      </c>
      <c r="AK156" s="161" t="str">
        <f t="shared" si="68"/>
        <v xml:space="preserve">                              </v>
      </c>
      <c r="AL156" s="154">
        <f t="shared" si="69"/>
        <v>0</v>
      </c>
      <c r="AM156" s="155">
        <f t="shared" si="70"/>
        <v>0</v>
      </c>
      <c r="AP156" s="63" t="str">
        <f t="shared" si="71"/>
        <v/>
      </c>
      <c r="AQ156" s="63" t="str">
        <f t="shared" si="72"/>
        <v/>
      </c>
      <c r="AR156" s="152" t="str">
        <f t="shared" si="73"/>
        <v/>
      </c>
      <c r="AS156" s="109" t="str">
        <f t="shared" si="74"/>
        <v/>
      </c>
      <c r="AT156" s="63" t="str">
        <f t="shared" si="75"/>
        <v xml:space="preserve">                    </v>
      </c>
    </row>
    <row r="157" spans="1:46" ht="12.75" x14ac:dyDescent="0.2">
      <c r="A157" s="63" t="str">
        <f t="shared" si="57"/>
        <v/>
      </c>
      <c r="B157" s="185"/>
      <c r="C157" s="184"/>
      <c r="D157" s="184"/>
      <c r="E157" s="184"/>
      <c r="F157" s="184"/>
      <c r="G157" s="185"/>
      <c r="H157" s="185"/>
      <c r="I157" s="186"/>
      <c r="J157" s="69"/>
      <c r="AA157" s="63">
        <f t="shared" si="58"/>
        <v>0</v>
      </c>
      <c r="AB157" s="153" t="str">
        <f t="shared" si="59"/>
        <v>000</v>
      </c>
      <c r="AC157" s="165" t="str">
        <f t="shared" si="60"/>
        <v>00000000</v>
      </c>
      <c r="AD157" s="98" t="str">
        <f t="shared" si="61"/>
        <v>00000000</v>
      </c>
      <c r="AE157" s="150">
        <f t="shared" si="62"/>
        <v>0</v>
      </c>
      <c r="AF157" s="150">
        <f t="shared" si="63"/>
        <v>0</v>
      </c>
      <c r="AG157" s="98" t="str">
        <f t="shared" si="64"/>
        <v>0000000000</v>
      </c>
      <c r="AH157" s="151">
        <f t="shared" si="65"/>
        <v>0</v>
      </c>
      <c r="AI157" s="98" t="str">
        <f t="shared" si="66"/>
        <v>00</v>
      </c>
      <c r="AJ157" s="98" t="str">
        <f t="shared" si="67"/>
        <v>000000000000</v>
      </c>
      <c r="AK157" s="161" t="str">
        <f t="shared" si="68"/>
        <v xml:space="preserve">                              </v>
      </c>
      <c r="AL157" s="154">
        <f t="shared" si="69"/>
        <v>0</v>
      </c>
      <c r="AM157" s="155">
        <f t="shared" si="70"/>
        <v>0</v>
      </c>
      <c r="AP157" s="63" t="str">
        <f t="shared" si="71"/>
        <v/>
      </c>
      <c r="AQ157" s="63" t="str">
        <f t="shared" si="72"/>
        <v/>
      </c>
      <c r="AR157" s="152" t="str">
        <f t="shared" si="73"/>
        <v/>
      </c>
      <c r="AS157" s="109" t="str">
        <f t="shared" si="74"/>
        <v/>
      </c>
      <c r="AT157" s="63" t="str">
        <f t="shared" si="75"/>
        <v xml:space="preserve">                    </v>
      </c>
    </row>
    <row r="158" spans="1:46" ht="12.75" x14ac:dyDescent="0.2">
      <c r="A158" s="63" t="str">
        <f t="shared" si="57"/>
        <v/>
      </c>
      <c r="B158" s="185"/>
      <c r="C158" s="184"/>
      <c r="D158" s="184"/>
      <c r="E158" s="184"/>
      <c r="F158" s="184"/>
      <c r="G158" s="185"/>
      <c r="H158" s="185"/>
      <c r="I158" s="186"/>
      <c r="J158" s="69"/>
      <c r="AA158" s="63">
        <f t="shared" si="58"/>
        <v>0</v>
      </c>
      <c r="AB158" s="153" t="str">
        <f t="shared" si="59"/>
        <v>000</v>
      </c>
      <c r="AC158" s="165" t="str">
        <f t="shared" si="60"/>
        <v>00000000</v>
      </c>
      <c r="AD158" s="98" t="str">
        <f t="shared" si="61"/>
        <v>00000000</v>
      </c>
      <c r="AE158" s="150">
        <f t="shared" si="62"/>
        <v>0</v>
      </c>
      <c r="AF158" s="150">
        <f t="shared" si="63"/>
        <v>0</v>
      </c>
      <c r="AG158" s="98" t="str">
        <f t="shared" si="64"/>
        <v>0000000000</v>
      </c>
      <c r="AH158" s="151">
        <f t="shared" si="65"/>
        <v>0</v>
      </c>
      <c r="AI158" s="98" t="str">
        <f t="shared" si="66"/>
        <v>00</v>
      </c>
      <c r="AJ158" s="98" t="str">
        <f t="shared" si="67"/>
        <v>000000000000</v>
      </c>
      <c r="AK158" s="161" t="str">
        <f t="shared" si="68"/>
        <v xml:space="preserve">                              </v>
      </c>
      <c r="AL158" s="154">
        <f t="shared" si="69"/>
        <v>0</v>
      </c>
      <c r="AM158" s="155">
        <f t="shared" si="70"/>
        <v>0</v>
      </c>
      <c r="AP158" s="63" t="str">
        <f t="shared" si="71"/>
        <v/>
      </c>
      <c r="AQ158" s="63" t="str">
        <f t="shared" si="72"/>
        <v/>
      </c>
      <c r="AR158" s="152" t="str">
        <f t="shared" si="73"/>
        <v/>
      </c>
      <c r="AS158" s="109" t="str">
        <f t="shared" si="74"/>
        <v/>
      </c>
      <c r="AT158" s="63" t="str">
        <f t="shared" si="75"/>
        <v xml:space="preserve">                    </v>
      </c>
    </row>
    <row r="159" spans="1:46" ht="12.75" x14ac:dyDescent="0.2">
      <c r="A159" s="63" t="str">
        <f t="shared" si="57"/>
        <v/>
      </c>
      <c r="B159" s="185"/>
      <c r="C159" s="184"/>
      <c r="D159" s="184"/>
      <c r="E159" s="184"/>
      <c r="F159" s="184"/>
      <c r="G159" s="185"/>
      <c r="H159" s="185"/>
      <c r="I159" s="186"/>
      <c r="J159" s="69"/>
      <c r="AA159" s="63">
        <f t="shared" si="58"/>
        <v>0</v>
      </c>
      <c r="AB159" s="153" t="str">
        <f t="shared" si="59"/>
        <v>000</v>
      </c>
      <c r="AC159" s="165" t="str">
        <f t="shared" si="60"/>
        <v>00000000</v>
      </c>
      <c r="AD159" s="98" t="str">
        <f t="shared" si="61"/>
        <v>00000000</v>
      </c>
      <c r="AE159" s="150">
        <f t="shared" si="62"/>
        <v>0</v>
      </c>
      <c r="AF159" s="150">
        <f t="shared" si="63"/>
        <v>0</v>
      </c>
      <c r="AG159" s="98" t="str">
        <f t="shared" si="64"/>
        <v>0000000000</v>
      </c>
      <c r="AH159" s="151">
        <f t="shared" si="65"/>
        <v>0</v>
      </c>
      <c r="AI159" s="98" t="str">
        <f t="shared" si="66"/>
        <v>00</v>
      </c>
      <c r="AJ159" s="98" t="str">
        <f t="shared" si="67"/>
        <v>000000000000</v>
      </c>
      <c r="AK159" s="161" t="str">
        <f t="shared" si="68"/>
        <v xml:space="preserve">                              </v>
      </c>
      <c r="AL159" s="154">
        <f t="shared" si="69"/>
        <v>0</v>
      </c>
      <c r="AM159" s="155">
        <f t="shared" si="70"/>
        <v>0</v>
      </c>
      <c r="AP159" s="63" t="str">
        <f t="shared" si="71"/>
        <v/>
      </c>
      <c r="AQ159" s="63" t="str">
        <f t="shared" si="72"/>
        <v/>
      </c>
      <c r="AR159" s="152" t="str">
        <f t="shared" si="73"/>
        <v/>
      </c>
      <c r="AS159" s="109" t="str">
        <f t="shared" si="74"/>
        <v/>
      </c>
      <c r="AT159" s="63" t="str">
        <f t="shared" si="75"/>
        <v xml:space="preserve">                    </v>
      </c>
    </row>
    <row r="160" spans="1:46" ht="12.75" x14ac:dyDescent="0.2">
      <c r="A160" s="63" t="str">
        <f t="shared" si="57"/>
        <v/>
      </c>
      <c r="B160" s="185"/>
      <c r="C160" s="184"/>
      <c r="D160" s="184"/>
      <c r="E160" s="184"/>
      <c r="F160" s="184"/>
      <c r="G160" s="185"/>
      <c r="H160" s="185"/>
      <c r="I160" s="186"/>
      <c r="J160" s="69"/>
      <c r="AA160" s="63">
        <f t="shared" si="58"/>
        <v>0</v>
      </c>
      <c r="AB160" s="153" t="str">
        <f t="shared" si="59"/>
        <v>000</v>
      </c>
      <c r="AC160" s="165" t="str">
        <f t="shared" si="60"/>
        <v>00000000</v>
      </c>
      <c r="AD160" s="98" t="str">
        <f t="shared" si="61"/>
        <v>00000000</v>
      </c>
      <c r="AE160" s="150">
        <f t="shared" si="62"/>
        <v>0</v>
      </c>
      <c r="AF160" s="150">
        <f t="shared" si="63"/>
        <v>0</v>
      </c>
      <c r="AG160" s="98" t="str">
        <f t="shared" si="64"/>
        <v>0000000000</v>
      </c>
      <c r="AH160" s="151">
        <f t="shared" si="65"/>
        <v>0</v>
      </c>
      <c r="AI160" s="98" t="str">
        <f t="shared" si="66"/>
        <v>00</v>
      </c>
      <c r="AJ160" s="98" t="str">
        <f t="shared" si="67"/>
        <v>000000000000</v>
      </c>
      <c r="AK160" s="161" t="str">
        <f t="shared" si="68"/>
        <v xml:space="preserve">                              </v>
      </c>
      <c r="AL160" s="154">
        <f t="shared" si="69"/>
        <v>0</v>
      </c>
      <c r="AM160" s="155">
        <f t="shared" si="70"/>
        <v>0</v>
      </c>
      <c r="AP160" s="63" t="str">
        <f t="shared" si="71"/>
        <v/>
      </c>
      <c r="AQ160" s="63" t="str">
        <f t="shared" si="72"/>
        <v/>
      </c>
      <c r="AR160" s="152" t="str">
        <f t="shared" si="73"/>
        <v/>
      </c>
      <c r="AS160" s="109" t="str">
        <f t="shared" si="74"/>
        <v/>
      </c>
      <c r="AT160" s="63" t="str">
        <f t="shared" si="75"/>
        <v xml:space="preserve">                    </v>
      </c>
    </row>
    <row r="161" spans="1:46" ht="12.75" x14ac:dyDescent="0.2">
      <c r="A161" s="63" t="str">
        <f t="shared" si="57"/>
        <v/>
      </c>
      <c r="B161" s="185"/>
      <c r="C161" s="184"/>
      <c r="D161" s="184"/>
      <c r="E161" s="184"/>
      <c r="F161" s="184"/>
      <c r="G161" s="185"/>
      <c r="H161" s="185"/>
      <c r="I161" s="186"/>
      <c r="J161" s="69"/>
      <c r="AA161" s="63">
        <f t="shared" si="58"/>
        <v>0</v>
      </c>
      <c r="AB161" s="153" t="str">
        <f t="shared" si="59"/>
        <v>000</v>
      </c>
      <c r="AC161" s="165" t="str">
        <f t="shared" si="60"/>
        <v>00000000</v>
      </c>
      <c r="AD161" s="98" t="str">
        <f t="shared" si="61"/>
        <v>00000000</v>
      </c>
      <c r="AE161" s="150">
        <f t="shared" si="62"/>
        <v>0</v>
      </c>
      <c r="AF161" s="150">
        <f t="shared" si="63"/>
        <v>0</v>
      </c>
      <c r="AG161" s="98" t="str">
        <f t="shared" si="64"/>
        <v>0000000000</v>
      </c>
      <c r="AH161" s="151">
        <f t="shared" si="65"/>
        <v>0</v>
      </c>
      <c r="AI161" s="98" t="str">
        <f t="shared" si="66"/>
        <v>00</v>
      </c>
      <c r="AJ161" s="98" t="str">
        <f t="shared" si="67"/>
        <v>000000000000</v>
      </c>
      <c r="AK161" s="161" t="str">
        <f t="shared" si="68"/>
        <v xml:space="preserve">                              </v>
      </c>
      <c r="AL161" s="154">
        <f t="shared" si="69"/>
        <v>0</v>
      </c>
      <c r="AM161" s="155">
        <f t="shared" si="70"/>
        <v>0</v>
      </c>
      <c r="AP161" s="63" t="str">
        <f t="shared" si="71"/>
        <v/>
      </c>
      <c r="AQ161" s="63" t="str">
        <f t="shared" si="72"/>
        <v/>
      </c>
      <c r="AR161" s="152" t="str">
        <f t="shared" si="73"/>
        <v/>
      </c>
      <c r="AS161" s="109" t="str">
        <f t="shared" si="74"/>
        <v/>
      </c>
      <c r="AT161" s="63" t="str">
        <f t="shared" si="75"/>
        <v xml:space="preserve">                    </v>
      </c>
    </row>
    <row r="162" spans="1:46" ht="12.75" x14ac:dyDescent="0.2">
      <c r="A162" s="63" t="str">
        <f t="shared" si="57"/>
        <v/>
      </c>
      <c r="B162" s="185"/>
      <c r="C162" s="184"/>
      <c r="D162" s="184"/>
      <c r="E162" s="184"/>
      <c r="F162" s="184"/>
      <c r="G162" s="185"/>
      <c r="H162" s="185"/>
      <c r="I162" s="186"/>
      <c r="J162" s="69"/>
      <c r="AA162" s="63">
        <f t="shared" si="58"/>
        <v>0</v>
      </c>
      <c r="AB162" s="153" t="str">
        <f t="shared" si="59"/>
        <v>000</v>
      </c>
      <c r="AC162" s="165" t="str">
        <f t="shared" si="60"/>
        <v>00000000</v>
      </c>
      <c r="AD162" s="98" t="str">
        <f t="shared" si="61"/>
        <v>00000000</v>
      </c>
      <c r="AE162" s="150">
        <f t="shared" si="62"/>
        <v>0</v>
      </c>
      <c r="AF162" s="150">
        <f t="shared" si="63"/>
        <v>0</v>
      </c>
      <c r="AG162" s="98" t="str">
        <f t="shared" si="64"/>
        <v>0000000000</v>
      </c>
      <c r="AH162" s="151">
        <f t="shared" si="65"/>
        <v>0</v>
      </c>
      <c r="AI162" s="98" t="str">
        <f t="shared" si="66"/>
        <v>00</v>
      </c>
      <c r="AJ162" s="98" t="str">
        <f t="shared" si="67"/>
        <v>000000000000</v>
      </c>
      <c r="AK162" s="161" t="str">
        <f t="shared" si="68"/>
        <v xml:space="preserve">                              </v>
      </c>
      <c r="AL162" s="154">
        <f t="shared" si="69"/>
        <v>0</v>
      </c>
      <c r="AM162" s="155">
        <f t="shared" si="70"/>
        <v>0</v>
      </c>
      <c r="AP162" s="63" t="str">
        <f t="shared" si="71"/>
        <v/>
      </c>
      <c r="AQ162" s="63" t="str">
        <f t="shared" si="72"/>
        <v/>
      </c>
      <c r="AR162" s="152" t="str">
        <f t="shared" si="73"/>
        <v/>
      </c>
      <c r="AS162" s="109" t="str">
        <f t="shared" si="74"/>
        <v/>
      </c>
      <c r="AT162" s="63" t="str">
        <f t="shared" si="75"/>
        <v xml:space="preserve">                    </v>
      </c>
    </row>
    <row r="163" spans="1:46" ht="12.75" x14ac:dyDescent="0.2">
      <c r="A163" s="63" t="str">
        <f t="shared" si="57"/>
        <v/>
      </c>
      <c r="B163" s="185"/>
      <c r="C163" s="184"/>
      <c r="D163" s="184"/>
      <c r="E163" s="184"/>
      <c r="F163" s="184"/>
      <c r="G163" s="185"/>
      <c r="H163" s="185"/>
      <c r="I163" s="186"/>
      <c r="J163" s="69"/>
      <c r="AA163" s="63">
        <f t="shared" si="58"/>
        <v>0</v>
      </c>
      <c r="AB163" s="153" t="str">
        <f t="shared" si="59"/>
        <v>000</v>
      </c>
      <c r="AC163" s="165" t="str">
        <f t="shared" si="60"/>
        <v>00000000</v>
      </c>
      <c r="AD163" s="98" t="str">
        <f t="shared" si="61"/>
        <v>00000000</v>
      </c>
      <c r="AE163" s="150">
        <f t="shared" si="62"/>
        <v>0</v>
      </c>
      <c r="AF163" s="150">
        <f t="shared" si="63"/>
        <v>0</v>
      </c>
      <c r="AG163" s="98" t="str">
        <f t="shared" si="64"/>
        <v>0000000000</v>
      </c>
      <c r="AH163" s="151">
        <f t="shared" si="65"/>
        <v>0</v>
      </c>
      <c r="AI163" s="98" t="str">
        <f t="shared" si="66"/>
        <v>00</v>
      </c>
      <c r="AJ163" s="98" t="str">
        <f t="shared" si="67"/>
        <v>000000000000</v>
      </c>
      <c r="AK163" s="161" t="str">
        <f t="shared" si="68"/>
        <v xml:space="preserve">                              </v>
      </c>
      <c r="AL163" s="154">
        <f t="shared" si="69"/>
        <v>0</v>
      </c>
      <c r="AM163" s="155">
        <f t="shared" si="70"/>
        <v>0</v>
      </c>
      <c r="AP163" s="63" t="str">
        <f t="shared" si="71"/>
        <v/>
      </c>
      <c r="AQ163" s="63" t="str">
        <f t="shared" si="72"/>
        <v/>
      </c>
      <c r="AR163" s="152" t="str">
        <f t="shared" si="73"/>
        <v/>
      </c>
      <c r="AS163" s="109" t="str">
        <f t="shared" si="74"/>
        <v/>
      </c>
      <c r="AT163" s="63" t="str">
        <f t="shared" si="75"/>
        <v xml:space="preserve">                    </v>
      </c>
    </row>
    <row r="164" spans="1:46" ht="12.75" x14ac:dyDescent="0.2">
      <c r="A164" s="63" t="str">
        <f t="shared" si="57"/>
        <v/>
      </c>
      <c r="B164" s="185"/>
      <c r="C164" s="184"/>
      <c r="D164" s="184"/>
      <c r="E164" s="184"/>
      <c r="F164" s="184"/>
      <c r="G164" s="185"/>
      <c r="H164" s="185"/>
      <c r="I164" s="186"/>
      <c r="J164" s="69"/>
      <c r="AA164" s="63">
        <f t="shared" si="58"/>
        <v>0</v>
      </c>
      <c r="AB164" s="153" t="str">
        <f t="shared" si="59"/>
        <v>000</v>
      </c>
      <c r="AC164" s="165" t="str">
        <f t="shared" si="60"/>
        <v>00000000</v>
      </c>
      <c r="AD164" s="98" t="str">
        <f t="shared" si="61"/>
        <v>00000000</v>
      </c>
      <c r="AE164" s="150">
        <f t="shared" si="62"/>
        <v>0</v>
      </c>
      <c r="AF164" s="150">
        <f t="shared" si="63"/>
        <v>0</v>
      </c>
      <c r="AG164" s="98" t="str">
        <f t="shared" si="64"/>
        <v>0000000000</v>
      </c>
      <c r="AH164" s="151">
        <f t="shared" si="65"/>
        <v>0</v>
      </c>
      <c r="AI164" s="98" t="str">
        <f t="shared" si="66"/>
        <v>00</v>
      </c>
      <c r="AJ164" s="98" t="str">
        <f t="shared" si="67"/>
        <v>000000000000</v>
      </c>
      <c r="AK164" s="161" t="str">
        <f t="shared" si="68"/>
        <v xml:space="preserve">                              </v>
      </c>
      <c r="AL164" s="154">
        <f t="shared" si="69"/>
        <v>0</v>
      </c>
      <c r="AM164" s="155">
        <f t="shared" si="70"/>
        <v>0</v>
      </c>
      <c r="AP164" s="63" t="str">
        <f t="shared" si="71"/>
        <v/>
      </c>
      <c r="AQ164" s="63" t="str">
        <f t="shared" si="72"/>
        <v/>
      </c>
      <c r="AR164" s="152" t="str">
        <f t="shared" si="73"/>
        <v/>
      </c>
      <c r="AS164" s="109" t="str">
        <f t="shared" si="74"/>
        <v/>
      </c>
      <c r="AT164" s="63" t="str">
        <f t="shared" si="75"/>
        <v xml:space="preserve">                    </v>
      </c>
    </row>
    <row r="165" spans="1:46" ht="12.75" x14ac:dyDescent="0.2">
      <c r="A165" s="63" t="str">
        <f t="shared" si="57"/>
        <v/>
      </c>
      <c r="B165" s="185"/>
      <c r="C165" s="184"/>
      <c r="D165" s="184"/>
      <c r="E165" s="184"/>
      <c r="F165" s="184"/>
      <c r="G165" s="185"/>
      <c r="H165" s="185"/>
      <c r="I165" s="186"/>
      <c r="J165" s="69"/>
      <c r="AA165" s="63">
        <f t="shared" si="58"/>
        <v>0</v>
      </c>
      <c r="AB165" s="153" t="str">
        <f t="shared" si="59"/>
        <v>000</v>
      </c>
      <c r="AC165" s="165" t="str">
        <f t="shared" si="60"/>
        <v>00000000</v>
      </c>
      <c r="AD165" s="98" t="str">
        <f t="shared" si="61"/>
        <v>00000000</v>
      </c>
      <c r="AE165" s="150">
        <f t="shared" si="62"/>
        <v>0</v>
      </c>
      <c r="AF165" s="150">
        <f t="shared" si="63"/>
        <v>0</v>
      </c>
      <c r="AG165" s="98" t="str">
        <f t="shared" si="64"/>
        <v>0000000000</v>
      </c>
      <c r="AH165" s="151">
        <f t="shared" si="65"/>
        <v>0</v>
      </c>
      <c r="AI165" s="98" t="str">
        <f t="shared" si="66"/>
        <v>00</v>
      </c>
      <c r="AJ165" s="98" t="str">
        <f t="shared" si="67"/>
        <v>000000000000</v>
      </c>
      <c r="AK165" s="161" t="str">
        <f t="shared" si="68"/>
        <v xml:space="preserve">                              </v>
      </c>
      <c r="AL165" s="154">
        <f t="shared" si="69"/>
        <v>0</v>
      </c>
      <c r="AM165" s="155">
        <f t="shared" si="70"/>
        <v>0</v>
      </c>
      <c r="AP165" s="63" t="str">
        <f t="shared" si="71"/>
        <v/>
      </c>
      <c r="AQ165" s="63" t="str">
        <f t="shared" si="72"/>
        <v/>
      </c>
      <c r="AR165" s="152" t="str">
        <f t="shared" si="73"/>
        <v/>
      </c>
      <c r="AS165" s="109" t="str">
        <f t="shared" si="74"/>
        <v/>
      </c>
      <c r="AT165" s="63" t="str">
        <f t="shared" si="75"/>
        <v xml:space="preserve">                    </v>
      </c>
    </row>
    <row r="166" spans="1:46" ht="12.75" x14ac:dyDescent="0.2">
      <c r="A166" s="63" t="str">
        <f t="shared" si="57"/>
        <v/>
      </c>
      <c r="B166" s="185"/>
      <c r="C166" s="184"/>
      <c r="D166" s="184"/>
      <c r="E166" s="184"/>
      <c r="F166" s="184"/>
      <c r="G166" s="185"/>
      <c r="H166" s="185"/>
      <c r="I166" s="186"/>
      <c r="J166" s="69"/>
      <c r="AA166" s="63">
        <f t="shared" si="58"/>
        <v>0</v>
      </c>
      <c r="AB166" s="153" t="str">
        <f t="shared" si="59"/>
        <v>000</v>
      </c>
      <c r="AC166" s="165" t="str">
        <f t="shared" si="60"/>
        <v>00000000</v>
      </c>
      <c r="AD166" s="98" t="str">
        <f t="shared" si="61"/>
        <v>00000000</v>
      </c>
      <c r="AE166" s="150">
        <f t="shared" si="62"/>
        <v>0</v>
      </c>
      <c r="AF166" s="150">
        <f t="shared" si="63"/>
        <v>0</v>
      </c>
      <c r="AG166" s="98" t="str">
        <f t="shared" si="64"/>
        <v>0000000000</v>
      </c>
      <c r="AH166" s="151">
        <f t="shared" si="65"/>
        <v>0</v>
      </c>
      <c r="AI166" s="98" t="str">
        <f t="shared" si="66"/>
        <v>00</v>
      </c>
      <c r="AJ166" s="98" t="str">
        <f t="shared" si="67"/>
        <v>000000000000</v>
      </c>
      <c r="AK166" s="161" t="str">
        <f t="shared" si="68"/>
        <v xml:space="preserve">                              </v>
      </c>
      <c r="AL166" s="154">
        <f t="shared" si="69"/>
        <v>0</v>
      </c>
      <c r="AM166" s="155">
        <f t="shared" si="70"/>
        <v>0</v>
      </c>
      <c r="AP166" s="63" t="str">
        <f t="shared" si="71"/>
        <v/>
      </c>
      <c r="AQ166" s="63" t="str">
        <f t="shared" si="72"/>
        <v/>
      </c>
      <c r="AR166" s="152" t="str">
        <f t="shared" si="73"/>
        <v/>
      </c>
      <c r="AS166" s="109" t="str">
        <f t="shared" si="74"/>
        <v/>
      </c>
      <c r="AT166" s="63" t="str">
        <f t="shared" si="75"/>
        <v xml:space="preserve">                    </v>
      </c>
    </row>
    <row r="167" spans="1:46" ht="12.75" x14ac:dyDescent="0.2">
      <c r="A167" s="63" t="str">
        <f t="shared" si="57"/>
        <v/>
      </c>
      <c r="B167" s="185"/>
      <c r="C167" s="184"/>
      <c r="D167" s="184"/>
      <c r="E167" s="184"/>
      <c r="F167" s="184"/>
      <c r="G167" s="185"/>
      <c r="H167" s="185"/>
      <c r="I167" s="186"/>
      <c r="J167" s="69"/>
      <c r="AA167" s="63">
        <f t="shared" si="58"/>
        <v>0</v>
      </c>
      <c r="AB167" s="153" t="str">
        <f t="shared" si="59"/>
        <v>000</v>
      </c>
      <c r="AC167" s="165" t="str">
        <f t="shared" si="60"/>
        <v>00000000</v>
      </c>
      <c r="AD167" s="98" t="str">
        <f t="shared" si="61"/>
        <v>00000000</v>
      </c>
      <c r="AE167" s="150">
        <f t="shared" si="62"/>
        <v>0</v>
      </c>
      <c r="AF167" s="150">
        <f t="shared" si="63"/>
        <v>0</v>
      </c>
      <c r="AG167" s="98" t="str">
        <f t="shared" si="64"/>
        <v>0000000000</v>
      </c>
      <c r="AH167" s="151">
        <f t="shared" si="65"/>
        <v>0</v>
      </c>
      <c r="AI167" s="98" t="str">
        <f t="shared" si="66"/>
        <v>00</v>
      </c>
      <c r="AJ167" s="98" t="str">
        <f t="shared" si="67"/>
        <v>000000000000</v>
      </c>
      <c r="AK167" s="161" t="str">
        <f t="shared" si="68"/>
        <v xml:space="preserve">                              </v>
      </c>
      <c r="AL167" s="154">
        <f t="shared" si="69"/>
        <v>0</v>
      </c>
      <c r="AM167" s="155">
        <f t="shared" si="70"/>
        <v>0</v>
      </c>
      <c r="AP167" s="63" t="str">
        <f t="shared" si="71"/>
        <v/>
      </c>
      <c r="AQ167" s="63" t="str">
        <f t="shared" si="72"/>
        <v/>
      </c>
      <c r="AR167" s="152" t="str">
        <f t="shared" si="73"/>
        <v/>
      </c>
      <c r="AS167" s="109" t="str">
        <f t="shared" si="74"/>
        <v/>
      </c>
      <c r="AT167" s="63" t="str">
        <f t="shared" si="75"/>
        <v xml:space="preserve">                    </v>
      </c>
    </row>
    <row r="168" spans="1:46" ht="12.75" x14ac:dyDescent="0.2">
      <c r="A168" s="63" t="str">
        <f t="shared" si="57"/>
        <v/>
      </c>
      <c r="B168" s="185"/>
      <c r="C168" s="184"/>
      <c r="D168" s="184"/>
      <c r="E168" s="184"/>
      <c r="F168" s="184"/>
      <c r="G168" s="185"/>
      <c r="H168" s="185"/>
      <c r="I168" s="186"/>
      <c r="J168" s="69"/>
      <c r="AA168" s="63">
        <f t="shared" si="58"/>
        <v>0</v>
      </c>
      <c r="AB168" s="153" t="str">
        <f t="shared" si="59"/>
        <v>000</v>
      </c>
      <c r="AC168" s="165" t="str">
        <f t="shared" si="60"/>
        <v>00000000</v>
      </c>
      <c r="AD168" s="98" t="str">
        <f t="shared" si="61"/>
        <v>00000000</v>
      </c>
      <c r="AE168" s="150">
        <f t="shared" si="62"/>
        <v>0</v>
      </c>
      <c r="AF168" s="150">
        <f t="shared" si="63"/>
        <v>0</v>
      </c>
      <c r="AG168" s="98" t="str">
        <f t="shared" si="64"/>
        <v>0000000000</v>
      </c>
      <c r="AH168" s="151">
        <f t="shared" si="65"/>
        <v>0</v>
      </c>
      <c r="AI168" s="98" t="str">
        <f t="shared" si="66"/>
        <v>00</v>
      </c>
      <c r="AJ168" s="98" t="str">
        <f t="shared" si="67"/>
        <v>000000000000</v>
      </c>
      <c r="AK168" s="161" t="str">
        <f t="shared" si="68"/>
        <v xml:space="preserve">                              </v>
      </c>
      <c r="AL168" s="154">
        <f t="shared" si="69"/>
        <v>0</v>
      </c>
      <c r="AM168" s="155">
        <f t="shared" si="70"/>
        <v>0</v>
      </c>
      <c r="AP168" s="63" t="str">
        <f t="shared" si="71"/>
        <v/>
      </c>
      <c r="AQ168" s="63" t="str">
        <f t="shared" si="72"/>
        <v/>
      </c>
      <c r="AR168" s="152" t="str">
        <f t="shared" si="73"/>
        <v/>
      </c>
      <c r="AS168" s="109" t="str">
        <f t="shared" si="74"/>
        <v/>
      </c>
      <c r="AT168" s="63" t="str">
        <f t="shared" si="75"/>
        <v xml:space="preserve">                    </v>
      </c>
    </row>
    <row r="169" spans="1:46" ht="12.75" x14ac:dyDescent="0.2">
      <c r="A169" s="63" t="str">
        <f t="shared" si="57"/>
        <v/>
      </c>
      <c r="B169" s="185"/>
      <c r="C169" s="184"/>
      <c r="D169" s="184"/>
      <c r="E169" s="184"/>
      <c r="F169" s="184"/>
      <c r="G169" s="185"/>
      <c r="H169" s="185"/>
      <c r="I169" s="186"/>
      <c r="J169" s="69"/>
      <c r="AA169" s="63">
        <f t="shared" si="58"/>
        <v>0</v>
      </c>
      <c r="AB169" s="153" t="str">
        <f t="shared" si="59"/>
        <v>000</v>
      </c>
      <c r="AC169" s="165" t="str">
        <f t="shared" si="60"/>
        <v>00000000</v>
      </c>
      <c r="AD169" s="98" t="str">
        <f t="shared" si="61"/>
        <v>00000000</v>
      </c>
      <c r="AE169" s="150">
        <f t="shared" si="62"/>
        <v>0</v>
      </c>
      <c r="AF169" s="150">
        <f t="shared" si="63"/>
        <v>0</v>
      </c>
      <c r="AG169" s="98" t="str">
        <f t="shared" si="64"/>
        <v>0000000000</v>
      </c>
      <c r="AH169" s="151">
        <f t="shared" si="65"/>
        <v>0</v>
      </c>
      <c r="AI169" s="98" t="str">
        <f t="shared" si="66"/>
        <v>00</v>
      </c>
      <c r="AJ169" s="98" t="str">
        <f t="shared" si="67"/>
        <v>000000000000</v>
      </c>
      <c r="AK169" s="161" t="str">
        <f t="shared" si="68"/>
        <v xml:space="preserve">                              </v>
      </c>
      <c r="AL169" s="154">
        <f t="shared" si="69"/>
        <v>0</v>
      </c>
      <c r="AM169" s="155">
        <f t="shared" si="70"/>
        <v>0</v>
      </c>
      <c r="AP169" s="63" t="str">
        <f t="shared" si="71"/>
        <v/>
      </c>
      <c r="AQ169" s="63" t="str">
        <f t="shared" si="72"/>
        <v/>
      </c>
      <c r="AR169" s="152" t="str">
        <f t="shared" si="73"/>
        <v/>
      </c>
      <c r="AS169" s="109" t="str">
        <f t="shared" si="74"/>
        <v/>
      </c>
      <c r="AT169" s="63" t="str">
        <f t="shared" si="75"/>
        <v xml:space="preserve">                    </v>
      </c>
    </row>
    <row r="170" spans="1:46" ht="12.75" x14ac:dyDescent="0.2">
      <c r="A170" s="63" t="str">
        <f t="shared" si="57"/>
        <v/>
      </c>
      <c r="B170" s="185"/>
      <c r="C170" s="184"/>
      <c r="D170" s="184"/>
      <c r="E170" s="184"/>
      <c r="F170" s="184"/>
      <c r="G170" s="185"/>
      <c r="H170" s="185"/>
      <c r="I170" s="186"/>
      <c r="J170" s="69"/>
      <c r="AA170" s="63">
        <f t="shared" si="58"/>
        <v>0</v>
      </c>
      <c r="AB170" s="153" t="str">
        <f t="shared" si="59"/>
        <v>000</v>
      </c>
      <c r="AC170" s="165" t="str">
        <f t="shared" si="60"/>
        <v>00000000</v>
      </c>
      <c r="AD170" s="98" t="str">
        <f t="shared" si="61"/>
        <v>00000000</v>
      </c>
      <c r="AE170" s="150">
        <f t="shared" si="62"/>
        <v>0</v>
      </c>
      <c r="AF170" s="150">
        <f t="shared" si="63"/>
        <v>0</v>
      </c>
      <c r="AG170" s="98" t="str">
        <f t="shared" si="64"/>
        <v>0000000000</v>
      </c>
      <c r="AH170" s="151">
        <f t="shared" si="65"/>
        <v>0</v>
      </c>
      <c r="AI170" s="98" t="str">
        <f t="shared" si="66"/>
        <v>00</v>
      </c>
      <c r="AJ170" s="98" t="str">
        <f t="shared" si="67"/>
        <v>000000000000</v>
      </c>
      <c r="AK170" s="161" t="str">
        <f t="shared" si="68"/>
        <v xml:space="preserve">                              </v>
      </c>
      <c r="AL170" s="154">
        <f t="shared" si="69"/>
        <v>0</v>
      </c>
      <c r="AM170" s="155">
        <f t="shared" si="70"/>
        <v>0</v>
      </c>
      <c r="AP170" s="63" t="str">
        <f t="shared" si="71"/>
        <v/>
      </c>
      <c r="AQ170" s="63" t="str">
        <f t="shared" si="72"/>
        <v/>
      </c>
      <c r="AR170" s="152" t="str">
        <f t="shared" si="73"/>
        <v/>
      </c>
      <c r="AS170" s="109" t="str">
        <f t="shared" si="74"/>
        <v/>
      </c>
      <c r="AT170" s="63" t="str">
        <f t="shared" si="75"/>
        <v xml:space="preserve">                    </v>
      </c>
    </row>
    <row r="171" spans="1:46" ht="12.75" x14ac:dyDescent="0.2">
      <c r="A171" s="63" t="str">
        <f t="shared" si="57"/>
        <v/>
      </c>
      <c r="B171" s="185"/>
      <c r="C171" s="184"/>
      <c r="D171" s="184"/>
      <c r="E171" s="184"/>
      <c r="F171" s="184"/>
      <c r="G171" s="185"/>
      <c r="H171" s="185"/>
      <c r="I171" s="186"/>
      <c r="J171" s="69"/>
      <c r="AA171" s="63">
        <f t="shared" si="58"/>
        <v>0</v>
      </c>
      <c r="AB171" s="153" t="str">
        <f t="shared" si="59"/>
        <v>000</v>
      </c>
      <c r="AC171" s="165" t="str">
        <f t="shared" si="60"/>
        <v>00000000</v>
      </c>
      <c r="AD171" s="98" t="str">
        <f t="shared" si="61"/>
        <v>00000000</v>
      </c>
      <c r="AE171" s="150">
        <f t="shared" si="62"/>
        <v>0</v>
      </c>
      <c r="AF171" s="150">
        <f t="shared" si="63"/>
        <v>0</v>
      </c>
      <c r="AG171" s="98" t="str">
        <f t="shared" si="64"/>
        <v>0000000000</v>
      </c>
      <c r="AH171" s="151">
        <f t="shared" si="65"/>
        <v>0</v>
      </c>
      <c r="AI171" s="98" t="str">
        <f t="shared" si="66"/>
        <v>00</v>
      </c>
      <c r="AJ171" s="98" t="str">
        <f t="shared" si="67"/>
        <v>000000000000</v>
      </c>
      <c r="AK171" s="161" t="str">
        <f t="shared" si="68"/>
        <v xml:space="preserve">                              </v>
      </c>
      <c r="AL171" s="154">
        <f t="shared" si="69"/>
        <v>0</v>
      </c>
      <c r="AM171" s="155">
        <f t="shared" si="70"/>
        <v>0</v>
      </c>
      <c r="AP171" s="63" t="str">
        <f t="shared" si="71"/>
        <v/>
      </c>
      <c r="AQ171" s="63" t="str">
        <f t="shared" si="72"/>
        <v/>
      </c>
      <c r="AR171" s="152" t="str">
        <f t="shared" si="73"/>
        <v/>
      </c>
      <c r="AS171" s="109" t="str">
        <f t="shared" si="74"/>
        <v/>
      </c>
      <c r="AT171" s="63" t="str">
        <f t="shared" si="75"/>
        <v xml:space="preserve">                    </v>
      </c>
    </row>
    <row r="172" spans="1:46" ht="12.75" x14ac:dyDescent="0.2">
      <c r="A172" s="63" t="str">
        <f t="shared" si="57"/>
        <v/>
      </c>
      <c r="B172" s="185"/>
      <c r="C172" s="184"/>
      <c r="D172" s="184"/>
      <c r="E172" s="184"/>
      <c r="F172" s="184"/>
      <c r="G172" s="185"/>
      <c r="H172" s="185"/>
      <c r="I172" s="186"/>
      <c r="J172" s="69"/>
      <c r="AA172" s="63">
        <f t="shared" si="58"/>
        <v>0</v>
      </c>
      <c r="AB172" s="153" t="str">
        <f t="shared" si="59"/>
        <v>000</v>
      </c>
      <c r="AC172" s="165" t="str">
        <f t="shared" si="60"/>
        <v>00000000</v>
      </c>
      <c r="AD172" s="98" t="str">
        <f t="shared" si="61"/>
        <v>00000000</v>
      </c>
      <c r="AE172" s="150">
        <f t="shared" si="62"/>
        <v>0</v>
      </c>
      <c r="AF172" s="150">
        <f t="shared" si="63"/>
        <v>0</v>
      </c>
      <c r="AG172" s="98" t="str">
        <f t="shared" si="64"/>
        <v>0000000000</v>
      </c>
      <c r="AH172" s="151">
        <f t="shared" si="65"/>
        <v>0</v>
      </c>
      <c r="AI172" s="98" t="str">
        <f t="shared" si="66"/>
        <v>00</v>
      </c>
      <c r="AJ172" s="98" t="str">
        <f t="shared" si="67"/>
        <v>000000000000</v>
      </c>
      <c r="AK172" s="161" t="str">
        <f t="shared" si="68"/>
        <v xml:space="preserve">                              </v>
      </c>
      <c r="AL172" s="154">
        <f t="shared" si="69"/>
        <v>0</v>
      </c>
      <c r="AM172" s="155">
        <f t="shared" si="70"/>
        <v>0</v>
      </c>
      <c r="AP172" s="63" t="str">
        <f t="shared" si="71"/>
        <v/>
      </c>
      <c r="AQ172" s="63" t="str">
        <f t="shared" si="72"/>
        <v/>
      </c>
      <c r="AR172" s="152" t="str">
        <f t="shared" si="73"/>
        <v/>
      </c>
      <c r="AS172" s="109" t="str">
        <f t="shared" si="74"/>
        <v/>
      </c>
      <c r="AT172" s="63" t="str">
        <f t="shared" si="75"/>
        <v xml:space="preserve">                    </v>
      </c>
    </row>
    <row r="173" spans="1:46" ht="12.75" x14ac:dyDescent="0.2">
      <c r="A173" s="63" t="str">
        <f t="shared" si="57"/>
        <v/>
      </c>
      <c r="B173" s="185"/>
      <c r="C173" s="184"/>
      <c r="D173" s="184"/>
      <c r="E173" s="184"/>
      <c r="F173" s="184"/>
      <c r="G173" s="185"/>
      <c r="H173" s="185"/>
      <c r="I173" s="186"/>
      <c r="J173" s="69"/>
      <c r="AA173" s="63">
        <f t="shared" si="58"/>
        <v>0</v>
      </c>
      <c r="AB173" s="153" t="str">
        <f t="shared" si="59"/>
        <v>000</v>
      </c>
      <c r="AC173" s="165" t="str">
        <f t="shared" si="60"/>
        <v>00000000</v>
      </c>
      <c r="AD173" s="98" t="str">
        <f t="shared" si="61"/>
        <v>00000000</v>
      </c>
      <c r="AE173" s="150">
        <f t="shared" si="62"/>
        <v>0</v>
      </c>
      <c r="AF173" s="150">
        <f t="shared" si="63"/>
        <v>0</v>
      </c>
      <c r="AG173" s="98" t="str">
        <f t="shared" si="64"/>
        <v>0000000000</v>
      </c>
      <c r="AH173" s="151">
        <f t="shared" si="65"/>
        <v>0</v>
      </c>
      <c r="AI173" s="98" t="str">
        <f t="shared" si="66"/>
        <v>00</v>
      </c>
      <c r="AJ173" s="98" t="str">
        <f t="shared" si="67"/>
        <v>000000000000</v>
      </c>
      <c r="AK173" s="161" t="str">
        <f t="shared" si="68"/>
        <v xml:space="preserve">                              </v>
      </c>
      <c r="AL173" s="154">
        <f t="shared" si="69"/>
        <v>0</v>
      </c>
      <c r="AM173" s="155">
        <f t="shared" si="70"/>
        <v>0</v>
      </c>
      <c r="AP173" s="63" t="str">
        <f t="shared" si="71"/>
        <v/>
      </c>
      <c r="AQ173" s="63" t="str">
        <f t="shared" si="72"/>
        <v/>
      </c>
      <c r="AR173" s="152" t="str">
        <f t="shared" si="73"/>
        <v/>
      </c>
      <c r="AS173" s="109" t="str">
        <f t="shared" si="74"/>
        <v/>
      </c>
      <c r="AT173" s="63" t="str">
        <f t="shared" si="75"/>
        <v xml:space="preserve">                    </v>
      </c>
    </row>
    <row r="174" spans="1:46" ht="12.75" x14ac:dyDescent="0.2">
      <c r="A174" s="63" t="str">
        <f t="shared" si="57"/>
        <v/>
      </c>
      <c r="B174" s="185"/>
      <c r="C174" s="184"/>
      <c r="D174" s="184"/>
      <c r="E174" s="184"/>
      <c r="F174" s="184"/>
      <c r="G174" s="185"/>
      <c r="H174" s="185"/>
      <c r="I174" s="186"/>
      <c r="J174" s="69"/>
      <c r="AA174" s="63">
        <f t="shared" si="58"/>
        <v>0</v>
      </c>
      <c r="AB174" s="153" t="str">
        <f t="shared" si="59"/>
        <v>000</v>
      </c>
      <c r="AC174" s="165" t="str">
        <f t="shared" si="60"/>
        <v>00000000</v>
      </c>
      <c r="AD174" s="98" t="str">
        <f t="shared" si="61"/>
        <v>00000000</v>
      </c>
      <c r="AE174" s="150">
        <f t="shared" si="62"/>
        <v>0</v>
      </c>
      <c r="AF174" s="150">
        <f t="shared" si="63"/>
        <v>0</v>
      </c>
      <c r="AG174" s="98" t="str">
        <f t="shared" si="64"/>
        <v>0000000000</v>
      </c>
      <c r="AH174" s="151">
        <f t="shared" si="65"/>
        <v>0</v>
      </c>
      <c r="AI174" s="98" t="str">
        <f t="shared" si="66"/>
        <v>00</v>
      </c>
      <c r="AJ174" s="98" t="str">
        <f t="shared" si="67"/>
        <v>000000000000</v>
      </c>
      <c r="AK174" s="161" t="str">
        <f t="shared" si="68"/>
        <v xml:space="preserve">                              </v>
      </c>
      <c r="AL174" s="154">
        <f t="shared" si="69"/>
        <v>0</v>
      </c>
      <c r="AM174" s="155">
        <f t="shared" si="70"/>
        <v>0</v>
      </c>
      <c r="AP174" s="63" t="str">
        <f t="shared" si="71"/>
        <v/>
      </c>
      <c r="AQ174" s="63" t="str">
        <f t="shared" si="72"/>
        <v/>
      </c>
      <c r="AR174" s="152" t="str">
        <f t="shared" si="73"/>
        <v/>
      </c>
      <c r="AS174" s="109" t="str">
        <f t="shared" si="74"/>
        <v/>
      </c>
      <c r="AT174" s="63" t="str">
        <f t="shared" si="75"/>
        <v xml:space="preserve">                    </v>
      </c>
    </row>
    <row r="175" spans="1:46" ht="12.75" x14ac:dyDescent="0.2">
      <c r="A175" s="63" t="str">
        <f t="shared" si="57"/>
        <v/>
      </c>
      <c r="B175" s="185"/>
      <c r="C175" s="184"/>
      <c r="D175" s="184"/>
      <c r="E175" s="184"/>
      <c r="F175" s="184"/>
      <c r="G175" s="185"/>
      <c r="H175" s="185"/>
      <c r="I175" s="186"/>
      <c r="J175" s="69"/>
      <c r="AA175" s="63">
        <f t="shared" si="58"/>
        <v>0</v>
      </c>
      <c r="AB175" s="153" t="str">
        <f t="shared" si="59"/>
        <v>000</v>
      </c>
      <c r="AC175" s="165" t="str">
        <f t="shared" si="60"/>
        <v>00000000</v>
      </c>
      <c r="AD175" s="98" t="str">
        <f t="shared" si="61"/>
        <v>00000000</v>
      </c>
      <c r="AE175" s="150">
        <f t="shared" si="62"/>
        <v>0</v>
      </c>
      <c r="AF175" s="150">
        <f t="shared" si="63"/>
        <v>0</v>
      </c>
      <c r="AG175" s="98" t="str">
        <f t="shared" si="64"/>
        <v>0000000000</v>
      </c>
      <c r="AH175" s="151">
        <f t="shared" si="65"/>
        <v>0</v>
      </c>
      <c r="AI175" s="98" t="str">
        <f t="shared" si="66"/>
        <v>00</v>
      </c>
      <c r="AJ175" s="98" t="str">
        <f t="shared" si="67"/>
        <v>000000000000</v>
      </c>
      <c r="AK175" s="161" t="str">
        <f t="shared" si="68"/>
        <v xml:space="preserve">                              </v>
      </c>
      <c r="AL175" s="154">
        <f t="shared" si="69"/>
        <v>0</v>
      </c>
      <c r="AM175" s="155">
        <f t="shared" si="70"/>
        <v>0</v>
      </c>
      <c r="AP175" s="63" t="str">
        <f t="shared" si="71"/>
        <v/>
      </c>
      <c r="AQ175" s="63" t="str">
        <f t="shared" si="72"/>
        <v/>
      </c>
      <c r="AR175" s="152" t="str">
        <f t="shared" si="73"/>
        <v/>
      </c>
      <c r="AS175" s="109" t="str">
        <f t="shared" si="74"/>
        <v/>
      </c>
      <c r="AT175" s="63" t="str">
        <f t="shared" si="75"/>
        <v xml:space="preserve">                    </v>
      </c>
    </row>
    <row r="176" spans="1:46" ht="12.75" x14ac:dyDescent="0.2">
      <c r="A176" s="63" t="str">
        <f t="shared" si="57"/>
        <v/>
      </c>
      <c r="B176" s="185"/>
      <c r="C176" s="184"/>
      <c r="D176" s="184"/>
      <c r="E176" s="184"/>
      <c r="F176" s="184"/>
      <c r="G176" s="185"/>
      <c r="H176" s="185"/>
      <c r="I176" s="186"/>
      <c r="J176" s="69"/>
      <c r="AA176" s="63">
        <f t="shared" si="58"/>
        <v>0</v>
      </c>
      <c r="AB176" s="153" t="str">
        <f t="shared" si="59"/>
        <v>000</v>
      </c>
      <c r="AC176" s="165" t="str">
        <f t="shared" si="60"/>
        <v>00000000</v>
      </c>
      <c r="AD176" s="98" t="str">
        <f t="shared" si="61"/>
        <v>00000000</v>
      </c>
      <c r="AE176" s="150">
        <f t="shared" si="62"/>
        <v>0</v>
      </c>
      <c r="AF176" s="150">
        <f t="shared" si="63"/>
        <v>0</v>
      </c>
      <c r="AG176" s="98" t="str">
        <f t="shared" si="64"/>
        <v>0000000000</v>
      </c>
      <c r="AH176" s="151">
        <f t="shared" si="65"/>
        <v>0</v>
      </c>
      <c r="AI176" s="98" t="str">
        <f t="shared" si="66"/>
        <v>00</v>
      </c>
      <c r="AJ176" s="98" t="str">
        <f t="shared" si="67"/>
        <v>000000000000</v>
      </c>
      <c r="AK176" s="161" t="str">
        <f t="shared" si="68"/>
        <v xml:space="preserve">                              </v>
      </c>
      <c r="AL176" s="154">
        <f t="shared" si="69"/>
        <v>0</v>
      </c>
      <c r="AM176" s="155">
        <f t="shared" si="70"/>
        <v>0</v>
      </c>
      <c r="AP176" s="63" t="str">
        <f t="shared" si="71"/>
        <v/>
      </c>
      <c r="AQ176" s="63" t="str">
        <f t="shared" si="72"/>
        <v/>
      </c>
      <c r="AR176" s="152" t="str">
        <f t="shared" si="73"/>
        <v/>
      </c>
      <c r="AS176" s="109" t="str">
        <f t="shared" si="74"/>
        <v/>
      </c>
      <c r="AT176" s="63" t="str">
        <f t="shared" si="75"/>
        <v xml:space="preserve">                    </v>
      </c>
    </row>
    <row r="177" spans="1:46" ht="12.75" x14ac:dyDescent="0.2">
      <c r="A177" s="63" t="str">
        <f t="shared" si="57"/>
        <v/>
      </c>
      <c r="B177" s="185"/>
      <c r="C177" s="184"/>
      <c r="D177" s="184"/>
      <c r="E177" s="184"/>
      <c r="F177" s="184"/>
      <c r="G177" s="185"/>
      <c r="H177" s="185"/>
      <c r="I177" s="186"/>
      <c r="J177" s="69"/>
      <c r="AA177" s="63">
        <f t="shared" si="58"/>
        <v>0</v>
      </c>
      <c r="AB177" s="153" t="str">
        <f t="shared" si="59"/>
        <v>000</v>
      </c>
      <c r="AC177" s="165" t="str">
        <f t="shared" si="60"/>
        <v>00000000</v>
      </c>
      <c r="AD177" s="98" t="str">
        <f t="shared" si="61"/>
        <v>00000000</v>
      </c>
      <c r="AE177" s="150">
        <f t="shared" si="62"/>
        <v>0</v>
      </c>
      <c r="AF177" s="150">
        <f t="shared" si="63"/>
        <v>0</v>
      </c>
      <c r="AG177" s="98" t="str">
        <f t="shared" si="64"/>
        <v>0000000000</v>
      </c>
      <c r="AH177" s="151">
        <f t="shared" si="65"/>
        <v>0</v>
      </c>
      <c r="AI177" s="98" t="str">
        <f t="shared" si="66"/>
        <v>00</v>
      </c>
      <c r="AJ177" s="98" t="str">
        <f t="shared" si="67"/>
        <v>000000000000</v>
      </c>
      <c r="AK177" s="161" t="str">
        <f t="shared" si="68"/>
        <v xml:space="preserve">                              </v>
      </c>
      <c r="AL177" s="154">
        <f t="shared" si="69"/>
        <v>0</v>
      </c>
      <c r="AM177" s="155">
        <f t="shared" si="70"/>
        <v>0</v>
      </c>
      <c r="AP177" s="63" t="str">
        <f t="shared" si="71"/>
        <v/>
      </c>
      <c r="AQ177" s="63" t="str">
        <f t="shared" si="72"/>
        <v/>
      </c>
      <c r="AR177" s="152" t="str">
        <f t="shared" si="73"/>
        <v/>
      </c>
      <c r="AS177" s="109" t="str">
        <f t="shared" si="74"/>
        <v/>
      </c>
      <c r="AT177" s="63" t="str">
        <f t="shared" si="75"/>
        <v xml:space="preserve">                    </v>
      </c>
    </row>
    <row r="178" spans="1:46" ht="12.75" x14ac:dyDescent="0.2">
      <c r="A178" s="63" t="str">
        <f t="shared" si="57"/>
        <v/>
      </c>
      <c r="B178" s="185"/>
      <c r="C178" s="184"/>
      <c r="D178" s="184"/>
      <c r="E178" s="184"/>
      <c r="F178" s="184"/>
      <c r="G178" s="185"/>
      <c r="H178" s="185"/>
      <c r="I178" s="186"/>
      <c r="J178" s="69"/>
      <c r="AA178" s="63">
        <f t="shared" si="58"/>
        <v>0</v>
      </c>
      <c r="AB178" s="153" t="str">
        <f t="shared" si="59"/>
        <v>000</v>
      </c>
      <c r="AC178" s="165" t="str">
        <f t="shared" si="60"/>
        <v>00000000</v>
      </c>
      <c r="AD178" s="98" t="str">
        <f t="shared" si="61"/>
        <v>00000000</v>
      </c>
      <c r="AE178" s="150">
        <f t="shared" si="62"/>
        <v>0</v>
      </c>
      <c r="AF178" s="150">
        <f t="shared" si="63"/>
        <v>0</v>
      </c>
      <c r="AG178" s="98" t="str">
        <f t="shared" si="64"/>
        <v>0000000000</v>
      </c>
      <c r="AH178" s="151">
        <f t="shared" si="65"/>
        <v>0</v>
      </c>
      <c r="AI178" s="98" t="str">
        <f t="shared" si="66"/>
        <v>00</v>
      </c>
      <c r="AJ178" s="98" t="str">
        <f t="shared" si="67"/>
        <v>000000000000</v>
      </c>
      <c r="AK178" s="161" t="str">
        <f t="shared" si="68"/>
        <v xml:space="preserve">                              </v>
      </c>
      <c r="AL178" s="154">
        <f t="shared" si="69"/>
        <v>0</v>
      </c>
      <c r="AM178" s="155">
        <f t="shared" si="70"/>
        <v>0</v>
      </c>
      <c r="AP178" s="63" t="str">
        <f t="shared" si="71"/>
        <v/>
      </c>
      <c r="AQ178" s="63" t="str">
        <f t="shared" si="72"/>
        <v/>
      </c>
      <c r="AR178" s="152" t="str">
        <f t="shared" si="73"/>
        <v/>
      </c>
      <c r="AS178" s="109" t="str">
        <f t="shared" si="74"/>
        <v/>
      </c>
      <c r="AT178" s="63" t="str">
        <f t="shared" si="75"/>
        <v xml:space="preserve">                    </v>
      </c>
    </row>
    <row r="179" spans="1:46" ht="12.75" x14ac:dyDescent="0.2">
      <c r="A179" s="63" t="str">
        <f t="shared" si="57"/>
        <v/>
      </c>
      <c r="B179" s="185"/>
      <c r="C179" s="184"/>
      <c r="D179" s="184"/>
      <c r="E179" s="184"/>
      <c r="F179" s="184"/>
      <c r="G179" s="185"/>
      <c r="H179" s="185"/>
      <c r="I179" s="186"/>
      <c r="J179" s="69"/>
      <c r="AA179" s="63">
        <f t="shared" si="58"/>
        <v>0</v>
      </c>
      <c r="AB179" s="153" t="str">
        <f t="shared" si="59"/>
        <v>000</v>
      </c>
      <c r="AC179" s="165" t="str">
        <f t="shared" si="60"/>
        <v>00000000</v>
      </c>
      <c r="AD179" s="98" t="str">
        <f t="shared" si="61"/>
        <v>00000000</v>
      </c>
      <c r="AE179" s="150">
        <f t="shared" si="62"/>
        <v>0</v>
      </c>
      <c r="AF179" s="150">
        <f t="shared" si="63"/>
        <v>0</v>
      </c>
      <c r="AG179" s="98" t="str">
        <f t="shared" si="64"/>
        <v>0000000000</v>
      </c>
      <c r="AH179" s="151">
        <f t="shared" si="65"/>
        <v>0</v>
      </c>
      <c r="AI179" s="98" t="str">
        <f t="shared" si="66"/>
        <v>00</v>
      </c>
      <c r="AJ179" s="98" t="str">
        <f t="shared" si="67"/>
        <v>000000000000</v>
      </c>
      <c r="AK179" s="161" t="str">
        <f t="shared" si="68"/>
        <v xml:space="preserve">                              </v>
      </c>
      <c r="AL179" s="154">
        <f t="shared" si="69"/>
        <v>0</v>
      </c>
      <c r="AM179" s="155">
        <f t="shared" si="70"/>
        <v>0</v>
      </c>
      <c r="AP179" s="63" t="str">
        <f t="shared" si="71"/>
        <v/>
      </c>
      <c r="AQ179" s="63" t="str">
        <f t="shared" si="72"/>
        <v/>
      </c>
      <c r="AR179" s="152" t="str">
        <f t="shared" si="73"/>
        <v/>
      </c>
      <c r="AS179" s="109" t="str">
        <f t="shared" si="74"/>
        <v/>
      </c>
      <c r="AT179" s="63" t="str">
        <f t="shared" si="75"/>
        <v xml:space="preserve">                    </v>
      </c>
    </row>
    <row r="180" spans="1:46" ht="12.75" x14ac:dyDescent="0.2">
      <c r="A180" s="63" t="str">
        <f t="shared" si="57"/>
        <v/>
      </c>
      <c r="B180" s="185"/>
      <c r="C180" s="184"/>
      <c r="D180" s="184"/>
      <c r="E180" s="184"/>
      <c r="F180" s="184"/>
      <c r="G180" s="185"/>
      <c r="H180" s="185"/>
      <c r="I180" s="186"/>
      <c r="J180" s="69"/>
      <c r="AA180" s="63">
        <f t="shared" si="58"/>
        <v>0</v>
      </c>
      <c r="AB180" s="153" t="str">
        <f t="shared" si="59"/>
        <v>000</v>
      </c>
      <c r="AC180" s="165" t="str">
        <f t="shared" si="60"/>
        <v>00000000</v>
      </c>
      <c r="AD180" s="98" t="str">
        <f t="shared" si="61"/>
        <v>00000000</v>
      </c>
      <c r="AE180" s="150">
        <f t="shared" si="62"/>
        <v>0</v>
      </c>
      <c r="AF180" s="150">
        <f t="shared" si="63"/>
        <v>0</v>
      </c>
      <c r="AG180" s="98" t="str">
        <f t="shared" si="64"/>
        <v>0000000000</v>
      </c>
      <c r="AH180" s="151">
        <f t="shared" si="65"/>
        <v>0</v>
      </c>
      <c r="AI180" s="98" t="str">
        <f t="shared" si="66"/>
        <v>00</v>
      </c>
      <c r="AJ180" s="98" t="str">
        <f t="shared" si="67"/>
        <v>000000000000</v>
      </c>
      <c r="AK180" s="161" t="str">
        <f t="shared" si="68"/>
        <v xml:space="preserve">                              </v>
      </c>
      <c r="AL180" s="154">
        <f t="shared" si="69"/>
        <v>0</v>
      </c>
      <c r="AM180" s="155">
        <f t="shared" si="70"/>
        <v>0</v>
      </c>
      <c r="AP180" s="63" t="str">
        <f t="shared" si="71"/>
        <v/>
      </c>
      <c r="AQ180" s="63" t="str">
        <f t="shared" si="72"/>
        <v/>
      </c>
      <c r="AR180" s="152" t="str">
        <f t="shared" si="73"/>
        <v/>
      </c>
      <c r="AS180" s="109" t="str">
        <f t="shared" si="74"/>
        <v/>
      </c>
      <c r="AT180" s="63" t="str">
        <f t="shared" si="75"/>
        <v xml:space="preserve">                    </v>
      </c>
    </row>
    <row r="181" spans="1:46" ht="12.75" x14ac:dyDescent="0.2">
      <c r="A181" s="63" t="str">
        <f t="shared" si="57"/>
        <v/>
      </c>
      <c r="B181" s="185"/>
      <c r="C181" s="184"/>
      <c r="D181" s="184"/>
      <c r="E181" s="184"/>
      <c r="F181" s="184"/>
      <c r="G181" s="185"/>
      <c r="H181" s="185"/>
      <c r="I181" s="186"/>
      <c r="J181" s="69"/>
      <c r="AA181" s="63">
        <f t="shared" si="58"/>
        <v>0</v>
      </c>
      <c r="AB181" s="153" t="str">
        <f t="shared" si="59"/>
        <v>000</v>
      </c>
      <c r="AC181" s="165" t="str">
        <f t="shared" si="60"/>
        <v>00000000</v>
      </c>
      <c r="AD181" s="98" t="str">
        <f t="shared" si="61"/>
        <v>00000000</v>
      </c>
      <c r="AE181" s="150">
        <f t="shared" si="62"/>
        <v>0</v>
      </c>
      <c r="AF181" s="150">
        <f t="shared" si="63"/>
        <v>0</v>
      </c>
      <c r="AG181" s="98" t="str">
        <f t="shared" si="64"/>
        <v>0000000000</v>
      </c>
      <c r="AH181" s="151">
        <f t="shared" si="65"/>
        <v>0</v>
      </c>
      <c r="AI181" s="98" t="str">
        <f t="shared" si="66"/>
        <v>00</v>
      </c>
      <c r="AJ181" s="98" t="str">
        <f t="shared" si="67"/>
        <v>000000000000</v>
      </c>
      <c r="AK181" s="161" t="str">
        <f t="shared" si="68"/>
        <v xml:space="preserve">                              </v>
      </c>
      <c r="AL181" s="154">
        <f t="shared" si="69"/>
        <v>0</v>
      </c>
      <c r="AM181" s="155">
        <f t="shared" si="70"/>
        <v>0</v>
      </c>
      <c r="AP181" s="63" t="str">
        <f t="shared" si="71"/>
        <v/>
      </c>
      <c r="AQ181" s="63" t="str">
        <f t="shared" si="72"/>
        <v/>
      </c>
      <c r="AR181" s="152" t="str">
        <f t="shared" si="73"/>
        <v/>
      </c>
      <c r="AS181" s="109" t="str">
        <f t="shared" si="74"/>
        <v/>
      </c>
      <c r="AT181" s="63" t="str">
        <f t="shared" si="75"/>
        <v xml:space="preserve">                    </v>
      </c>
    </row>
    <row r="182" spans="1:46" ht="12.75" x14ac:dyDescent="0.2">
      <c r="A182" s="63" t="str">
        <f t="shared" si="57"/>
        <v/>
      </c>
      <c r="B182" s="185"/>
      <c r="C182" s="184"/>
      <c r="D182" s="184"/>
      <c r="E182" s="184"/>
      <c r="F182" s="184"/>
      <c r="G182" s="185"/>
      <c r="H182" s="185"/>
      <c r="I182" s="186"/>
      <c r="J182" s="69"/>
      <c r="AA182" s="63">
        <f t="shared" si="58"/>
        <v>0</v>
      </c>
      <c r="AB182" s="153" t="str">
        <f t="shared" si="59"/>
        <v>000</v>
      </c>
      <c r="AC182" s="165" t="str">
        <f t="shared" si="60"/>
        <v>00000000</v>
      </c>
      <c r="AD182" s="98" t="str">
        <f t="shared" si="61"/>
        <v>00000000</v>
      </c>
      <c r="AE182" s="150">
        <f t="shared" si="62"/>
        <v>0</v>
      </c>
      <c r="AF182" s="150">
        <f t="shared" si="63"/>
        <v>0</v>
      </c>
      <c r="AG182" s="98" t="str">
        <f t="shared" si="64"/>
        <v>0000000000</v>
      </c>
      <c r="AH182" s="151">
        <f t="shared" si="65"/>
        <v>0</v>
      </c>
      <c r="AI182" s="98" t="str">
        <f t="shared" si="66"/>
        <v>00</v>
      </c>
      <c r="AJ182" s="98" t="str">
        <f t="shared" si="67"/>
        <v>000000000000</v>
      </c>
      <c r="AK182" s="161" t="str">
        <f t="shared" si="68"/>
        <v xml:space="preserve">                              </v>
      </c>
      <c r="AL182" s="154">
        <f t="shared" si="69"/>
        <v>0</v>
      </c>
      <c r="AM182" s="155">
        <f t="shared" si="70"/>
        <v>0</v>
      </c>
      <c r="AP182" s="63" t="str">
        <f t="shared" si="71"/>
        <v/>
      </c>
      <c r="AQ182" s="63" t="str">
        <f t="shared" si="72"/>
        <v/>
      </c>
      <c r="AR182" s="152" t="str">
        <f t="shared" si="73"/>
        <v/>
      </c>
      <c r="AS182" s="109" t="str">
        <f t="shared" si="74"/>
        <v/>
      </c>
      <c r="AT182" s="63" t="str">
        <f t="shared" si="75"/>
        <v xml:space="preserve">                    </v>
      </c>
    </row>
    <row r="183" spans="1:46" ht="12.75" x14ac:dyDescent="0.2">
      <c r="A183" s="63" t="str">
        <f t="shared" si="57"/>
        <v/>
      </c>
      <c r="B183" s="185"/>
      <c r="C183" s="184"/>
      <c r="D183" s="184"/>
      <c r="E183" s="184"/>
      <c r="F183" s="184"/>
      <c r="G183" s="185"/>
      <c r="H183" s="185"/>
      <c r="I183" s="186"/>
      <c r="J183" s="69"/>
      <c r="AA183" s="63">
        <f t="shared" si="58"/>
        <v>0</v>
      </c>
      <c r="AB183" s="153" t="str">
        <f t="shared" si="59"/>
        <v>000</v>
      </c>
      <c r="AC183" s="165" t="str">
        <f t="shared" si="60"/>
        <v>00000000</v>
      </c>
      <c r="AD183" s="98" t="str">
        <f t="shared" si="61"/>
        <v>00000000</v>
      </c>
      <c r="AE183" s="150">
        <f t="shared" si="62"/>
        <v>0</v>
      </c>
      <c r="AF183" s="150">
        <f t="shared" si="63"/>
        <v>0</v>
      </c>
      <c r="AG183" s="98" t="str">
        <f t="shared" si="64"/>
        <v>0000000000</v>
      </c>
      <c r="AH183" s="151">
        <f t="shared" si="65"/>
        <v>0</v>
      </c>
      <c r="AI183" s="98" t="str">
        <f t="shared" si="66"/>
        <v>00</v>
      </c>
      <c r="AJ183" s="98" t="str">
        <f t="shared" si="67"/>
        <v>000000000000</v>
      </c>
      <c r="AK183" s="161" t="str">
        <f t="shared" si="68"/>
        <v xml:space="preserve">                              </v>
      </c>
      <c r="AL183" s="154">
        <f t="shared" si="69"/>
        <v>0</v>
      </c>
      <c r="AM183" s="155">
        <f t="shared" si="70"/>
        <v>0</v>
      </c>
      <c r="AP183" s="63" t="str">
        <f t="shared" si="71"/>
        <v/>
      </c>
      <c r="AQ183" s="63" t="str">
        <f t="shared" si="72"/>
        <v/>
      </c>
      <c r="AR183" s="152" t="str">
        <f t="shared" si="73"/>
        <v/>
      </c>
      <c r="AS183" s="109" t="str">
        <f t="shared" si="74"/>
        <v/>
      </c>
      <c r="AT183" s="63" t="str">
        <f t="shared" si="75"/>
        <v xml:space="preserve">                    </v>
      </c>
    </row>
    <row r="184" spans="1:46" ht="12.75" x14ac:dyDescent="0.2">
      <c r="A184" s="63" t="str">
        <f t="shared" si="57"/>
        <v/>
      </c>
      <c r="B184" s="185"/>
      <c r="C184" s="184"/>
      <c r="D184" s="184"/>
      <c r="E184" s="184"/>
      <c r="F184" s="184"/>
      <c r="G184" s="185"/>
      <c r="H184" s="185"/>
      <c r="I184" s="186"/>
      <c r="J184" s="69"/>
      <c r="AA184" s="63">
        <f t="shared" si="58"/>
        <v>0</v>
      </c>
      <c r="AB184" s="153" t="str">
        <f t="shared" si="59"/>
        <v>000</v>
      </c>
      <c r="AC184" s="165" t="str">
        <f t="shared" si="60"/>
        <v>00000000</v>
      </c>
      <c r="AD184" s="98" t="str">
        <f t="shared" si="61"/>
        <v>00000000</v>
      </c>
      <c r="AE184" s="150">
        <f t="shared" si="62"/>
        <v>0</v>
      </c>
      <c r="AF184" s="150">
        <f t="shared" si="63"/>
        <v>0</v>
      </c>
      <c r="AG184" s="98" t="str">
        <f t="shared" si="64"/>
        <v>0000000000</v>
      </c>
      <c r="AH184" s="151">
        <f t="shared" si="65"/>
        <v>0</v>
      </c>
      <c r="AI184" s="98" t="str">
        <f t="shared" si="66"/>
        <v>00</v>
      </c>
      <c r="AJ184" s="98" t="str">
        <f t="shared" si="67"/>
        <v>000000000000</v>
      </c>
      <c r="AK184" s="161" t="str">
        <f t="shared" si="68"/>
        <v xml:space="preserve">                              </v>
      </c>
      <c r="AL184" s="154">
        <f t="shared" si="69"/>
        <v>0</v>
      </c>
      <c r="AM184" s="155">
        <f t="shared" si="70"/>
        <v>0</v>
      </c>
      <c r="AP184" s="63" t="str">
        <f t="shared" si="71"/>
        <v/>
      </c>
      <c r="AQ184" s="63" t="str">
        <f t="shared" si="72"/>
        <v/>
      </c>
      <c r="AR184" s="152" t="str">
        <f t="shared" si="73"/>
        <v/>
      </c>
      <c r="AS184" s="109" t="str">
        <f t="shared" si="74"/>
        <v/>
      </c>
      <c r="AT184" s="63" t="str">
        <f t="shared" si="75"/>
        <v xml:space="preserve">                    </v>
      </c>
    </row>
    <row r="185" spans="1:46" ht="12.75" x14ac:dyDescent="0.2">
      <c r="A185" s="63" t="str">
        <f t="shared" si="57"/>
        <v/>
      </c>
      <c r="B185" s="185"/>
      <c r="C185" s="184"/>
      <c r="D185" s="184"/>
      <c r="E185" s="184"/>
      <c r="F185" s="184"/>
      <c r="G185" s="185"/>
      <c r="H185" s="185"/>
      <c r="I185" s="186"/>
      <c r="J185" s="69"/>
      <c r="AA185" s="63">
        <f t="shared" si="58"/>
        <v>0</v>
      </c>
      <c r="AB185" s="153" t="str">
        <f t="shared" si="59"/>
        <v>000</v>
      </c>
      <c r="AC185" s="165" t="str">
        <f t="shared" si="60"/>
        <v>00000000</v>
      </c>
      <c r="AD185" s="98" t="str">
        <f t="shared" si="61"/>
        <v>00000000</v>
      </c>
      <c r="AE185" s="150">
        <f t="shared" si="62"/>
        <v>0</v>
      </c>
      <c r="AF185" s="150">
        <f t="shared" si="63"/>
        <v>0</v>
      </c>
      <c r="AG185" s="98" t="str">
        <f t="shared" si="64"/>
        <v>0000000000</v>
      </c>
      <c r="AH185" s="151">
        <f t="shared" si="65"/>
        <v>0</v>
      </c>
      <c r="AI185" s="98" t="str">
        <f t="shared" si="66"/>
        <v>00</v>
      </c>
      <c r="AJ185" s="98" t="str">
        <f t="shared" si="67"/>
        <v>000000000000</v>
      </c>
      <c r="AK185" s="161" t="str">
        <f t="shared" si="68"/>
        <v xml:space="preserve">                              </v>
      </c>
      <c r="AL185" s="154">
        <f t="shared" si="69"/>
        <v>0</v>
      </c>
      <c r="AM185" s="155">
        <f t="shared" si="70"/>
        <v>0</v>
      </c>
      <c r="AP185" s="63" t="str">
        <f t="shared" si="71"/>
        <v/>
      </c>
      <c r="AQ185" s="63" t="str">
        <f t="shared" si="72"/>
        <v/>
      </c>
      <c r="AR185" s="152" t="str">
        <f t="shared" si="73"/>
        <v/>
      </c>
      <c r="AS185" s="109" t="str">
        <f t="shared" si="74"/>
        <v/>
      </c>
      <c r="AT185" s="63" t="str">
        <f t="shared" si="75"/>
        <v xml:space="preserve">                    </v>
      </c>
    </row>
    <row r="186" spans="1:46" ht="12.75" x14ac:dyDescent="0.2">
      <c r="A186" s="63" t="str">
        <f t="shared" si="57"/>
        <v/>
      </c>
      <c r="B186" s="185"/>
      <c r="C186" s="184"/>
      <c r="D186" s="184"/>
      <c r="E186" s="184"/>
      <c r="F186" s="184"/>
      <c r="G186" s="185"/>
      <c r="H186" s="185"/>
      <c r="I186" s="186"/>
      <c r="J186" s="69"/>
      <c r="AA186" s="63">
        <f t="shared" si="58"/>
        <v>0</v>
      </c>
      <c r="AB186" s="153" t="str">
        <f t="shared" si="59"/>
        <v>000</v>
      </c>
      <c r="AC186" s="165" t="str">
        <f t="shared" si="60"/>
        <v>00000000</v>
      </c>
      <c r="AD186" s="98" t="str">
        <f t="shared" si="61"/>
        <v>00000000</v>
      </c>
      <c r="AE186" s="150">
        <f t="shared" si="62"/>
        <v>0</v>
      </c>
      <c r="AF186" s="150">
        <f t="shared" si="63"/>
        <v>0</v>
      </c>
      <c r="AG186" s="98" t="str">
        <f t="shared" si="64"/>
        <v>0000000000</v>
      </c>
      <c r="AH186" s="151">
        <f t="shared" si="65"/>
        <v>0</v>
      </c>
      <c r="AI186" s="98" t="str">
        <f t="shared" si="66"/>
        <v>00</v>
      </c>
      <c r="AJ186" s="98" t="str">
        <f t="shared" si="67"/>
        <v>000000000000</v>
      </c>
      <c r="AK186" s="161" t="str">
        <f t="shared" si="68"/>
        <v xml:space="preserve">                              </v>
      </c>
      <c r="AL186" s="154">
        <f t="shared" si="69"/>
        <v>0</v>
      </c>
      <c r="AM186" s="155">
        <f t="shared" si="70"/>
        <v>0</v>
      </c>
      <c r="AP186" s="63" t="str">
        <f t="shared" si="71"/>
        <v/>
      </c>
      <c r="AQ186" s="63" t="str">
        <f t="shared" si="72"/>
        <v/>
      </c>
      <c r="AR186" s="152" t="str">
        <f t="shared" si="73"/>
        <v/>
      </c>
      <c r="AS186" s="109" t="str">
        <f t="shared" si="74"/>
        <v/>
      </c>
      <c r="AT186" s="63" t="str">
        <f t="shared" si="75"/>
        <v xml:space="preserve">                    </v>
      </c>
    </row>
    <row r="187" spans="1:46" ht="12.75" x14ac:dyDescent="0.2">
      <c r="A187" s="63" t="str">
        <f t="shared" si="57"/>
        <v/>
      </c>
      <c r="B187" s="185"/>
      <c r="C187" s="184"/>
      <c r="D187" s="184"/>
      <c r="E187" s="184"/>
      <c r="F187" s="184"/>
      <c r="G187" s="185"/>
      <c r="H187" s="185"/>
      <c r="I187" s="186"/>
      <c r="J187" s="69"/>
      <c r="AA187" s="63">
        <f t="shared" si="58"/>
        <v>0</v>
      </c>
      <c r="AB187" s="153" t="str">
        <f t="shared" si="59"/>
        <v>000</v>
      </c>
      <c r="AC187" s="165" t="str">
        <f t="shared" si="60"/>
        <v>00000000</v>
      </c>
      <c r="AD187" s="98" t="str">
        <f t="shared" si="61"/>
        <v>00000000</v>
      </c>
      <c r="AE187" s="150">
        <f t="shared" si="62"/>
        <v>0</v>
      </c>
      <c r="AF187" s="150">
        <f t="shared" si="63"/>
        <v>0</v>
      </c>
      <c r="AG187" s="98" t="str">
        <f t="shared" si="64"/>
        <v>0000000000</v>
      </c>
      <c r="AH187" s="151">
        <f t="shared" si="65"/>
        <v>0</v>
      </c>
      <c r="AI187" s="98" t="str">
        <f t="shared" si="66"/>
        <v>00</v>
      </c>
      <c r="AJ187" s="98" t="str">
        <f t="shared" si="67"/>
        <v>000000000000</v>
      </c>
      <c r="AK187" s="161" t="str">
        <f t="shared" si="68"/>
        <v xml:space="preserve">                              </v>
      </c>
      <c r="AL187" s="154">
        <f t="shared" si="69"/>
        <v>0</v>
      </c>
      <c r="AM187" s="155">
        <f t="shared" si="70"/>
        <v>0</v>
      </c>
      <c r="AP187" s="63" t="str">
        <f t="shared" si="71"/>
        <v/>
      </c>
      <c r="AQ187" s="63" t="str">
        <f t="shared" si="72"/>
        <v/>
      </c>
      <c r="AR187" s="152" t="str">
        <f t="shared" si="73"/>
        <v/>
      </c>
      <c r="AS187" s="109" t="str">
        <f t="shared" si="74"/>
        <v/>
      </c>
      <c r="AT187" s="63" t="str">
        <f t="shared" si="75"/>
        <v xml:space="preserve">                    </v>
      </c>
    </row>
    <row r="188" spans="1:46" ht="12.75" x14ac:dyDescent="0.2">
      <c r="A188" s="63" t="str">
        <f t="shared" si="57"/>
        <v/>
      </c>
      <c r="B188" s="185"/>
      <c r="C188" s="184"/>
      <c r="D188" s="184"/>
      <c r="E188" s="184"/>
      <c r="F188" s="184"/>
      <c r="G188" s="185"/>
      <c r="H188" s="185"/>
      <c r="I188" s="186"/>
      <c r="J188" s="69"/>
      <c r="AA188" s="63">
        <f t="shared" si="58"/>
        <v>0</v>
      </c>
      <c r="AB188" s="153" t="str">
        <f t="shared" si="59"/>
        <v>000</v>
      </c>
      <c r="AC188" s="165" t="str">
        <f t="shared" si="60"/>
        <v>00000000</v>
      </c>
      <c r="AD188" s="98" t="str">
        <f t="shared" si="61"/>
        <v>00000000</v>
      </c>
      <c r="AE188" s="150">
        <f t="shared" si="62"/>
        <v>0</v>
      </c>
      <c r="AF188" s="150">
        <f t="shared" si="63"/>
        <v>0</v>
      </c>
      <c r="AG188" s="98" t="str">
        <f t="shared" si="64"/>
        <v>0000000000</v>
      </c>
      <c r="AH188" s="151">
        <f t="shared" si="65"/>
        <v>0</v>
      </c>
      <c r="AI188" s="98" t="str">
        <f t="shared" si="66"/>
        <v>00</v>
      </c>
      <c r="AJ188" s="98" t="str">
        <f t="shared" si="67"/>
        <v>000000000000</v>
      </c>
      <c r="AK188" s="161" t="str">
        <f t="shared" si="68"/>
        <v xml:space="preserve">                              </v>
      </c>
      <c r="AL188" s="154">
        <f t="shared" si="69"/>
        <v>0</v>
      </c>
      <c r="AM188" s="155">
        <f t="shared" si="70"/>
        <v>0</v>
      </c>
      <c r="AP188" s="63" t="str">
        <f t="shared" si="71"/>
        <v/>
      </c>
      <c r="AQ188" s="63" t="str">
        <f t="shared" si="72"/>
        <v/>
      </c>
      <c r="AR188" s="152" t="str">
        <f t="shared" si="73"/>
        <v/>
      </c>
      <c r="AS188" s="109" t="str">
        <f t="shared" si="74"/>
        <v/>
      </c>
      <c r="AT188" s="63" t="str">
        <f t="shared" si="75"/>
        <v xml:space="preserve">                    </v>
      </c>
    </row>
    <row r="189" spans="1:46" ht="12.75" x14ac:dyDescent="0.2">
      <c r="A189" s="63" t="str">
        <f t="shared" si="57"/>
        <v/>
      </c>
      <c r="B189" s="185"/>
      <c r="C189" s="184"/>
      <c r="D189" s="184"/>
      <c r="E189" s="184"/>
      <c r="F189" s="184"/>
      <c r="G189" s="185"/>
      <c r="H189" s="185"/>
      <c r="I189" s="186"/>
      <c r="J189" s="69"/>
      <c r="AA189" s="63">
        <f t="shared" si="58"/>
        <v>0</v>
      </c>
      <c r="AB189" s="153" t="str">
        <f t="shared" si="59"/>
        <v>000</v>
      </c>
      <c r="AC189" s="165" t="str">
        <f t="shared" si="60"/>
        <v>00000000</v>
      </c>
      <c r="AD189" s="98" t="str">
        <f t="shared" si="61"/>
        <v>00000000</v>
      </c>
      <c r="AE189" s="150">
        <f t="shared" si="62"/>
        <v>0</v>
      </c>
      <c r="AF189" s="150">
        <f t="shared" si="63"/>
        <v>0</v>
      </c>
      <c r="AG189" s="98" t="str">
        <f t="shared" si="64"/>
        <v>0000000000</v>
      </c>
      <c r="AH189" s="151">
        <f t="shared" si="65"/>
        <v>0</v>
      </c>
      <c r="AI189" s="98" t="str">
        <f t="shared" si="66"/>
        <v>00</v>
      </c>
      <c r="AJ189" s="98" t="str">
        <f t="shared" si="67"/>
        <v>000000000000</v>
      </c>
      <c r="AK189" s="161" t="str">
        <f t="shared" si="68"/>
        <v xml:space="preserve">                              </v>
      </c>
      <c r="AL189" s="154">
        <f t="shared" si="69"/>
        <v>0</v>
      </c>
      <c r="AM189" s="155">
        <f t="shared" si="70"/>
        <v>0</v>
      </c>
      <c r="AP189" s="63" t="str">
        <f t="shared" si="71"/>
        <v/>
      </c>
      <c r="AQ189" s="63" t="str">
        <f t="shared" si="72"/>
        <v/>
      </c>
      <c r="AR189" s="152" t="str">
        <f t="shared" si="73"/>
        <v/>
      </c>
      <c r="AS189" s="109" t="str">
        <f t="shared" si="74"/>
        <v/>
      </c>
      <c r="AT189" s="63" t="str">
        <f t="shared" si="75"/>
        <v xml:space="preserve">                    </v>
      </c>
    </row>
    <row r="190" spans="1:46" ht="12.75" x14ac:dyDescent="0.2">
      <c r="A190" s="63" t="str">
        <f t="shared" si="57"/>
        <v/>
      </c>
      <c r="B190" s="185"/>
      <c r="C190" s="184"/>
      <c r="D190" s="184"/>
      <c r="E190" s="184"/>
      <c r="F190" s="184"/>
      <c r="G190" s="185"/>
      <c r="H190" s="185"/>
      <c r="I190" s="186"/>
      <c r="J190" s="69"/>
      <c r="AA190" s="63">
        <f t="shared" si="58"/>
        <v>0</v>
      </c>
      <c r="AB190" s="153" t="str">
        <f t="shared" si="59"/>
        <v>000</v>
      </c>
      <c r="AC190" s="165" t="str">
        <f t="shared" si="60"/>
        <v>00000000</v>
      </c>
      <c r="AD190" s="98" t="str">
        <f t="shared" si="61"/>
        <v>00000000</v>
      </c>
      <c r="AE190" s="150">
        <f t="shared" si="62"/>
        <v>0</v>
      </c>
      <c r="AF190" s="150">
        <f t="shared" si="63"/>
        <v>0</v>
      </c>
      <c r="AG190" s="98" t="str">
        <f t="shared" si="64"/>
        <v>0000000000</v>
      </c>
      <c r="AH190" s="151">
        <f t="shared" si="65"/>
        <v>0</v>
      </c>
      <c r="AI190" s="98" t="str">
        <f t="shared" si="66"/>
        <v>00</v>
      </c>
      <c r="AJ190" s="98" t="str">
        <f t="shared" si="67"/>
        <v>000000000000</v>
      </c>
      <c r="AK190" s="161" t="str">
        <f t="shared" si="68"/>
        <v xml:space="preserve">                              </v>
      </c>
      <c r="AL190" s="154">
        <f t="shared" si="69"/>
        <v>0</v>
      </c>
      <c r="AM190" s="155">
        <f t="shared" si="70"/>
        <v>0</v>
      </c>
      <c r="AP190" s="63" t="str">
        <f t="shared" si="71"/>
        <v/>
      </c>
      <c r="AQ190" s="63" t="str">
        <f t="shared" si="72"/>
        <v/>
      </c>
      <c r="AR190" s="152" t="str">
        <f t="shared" si="73"/>
        <v/>
      </c>
      <c r="AS190" s="109" t="str">
        <f t="shared" si="74"/>
        <v/>
      </c>
      <c r="AT190" s="63" t="str">
        <f t="shared" si="75"/>
        <v xml:space="preserve">                    </v>
      </c>
    </row>
    <row r="191" spans="1:46" ht="12.75" x14ac:dyDescent="0.2">
      <c r="A191" s="63" t="str">
        <f t="shared" si="57"/>
        <v/>
      </c>
      <c r="B191" s="185"/>
      <c r="C191" s="184"/>
      <c r="D191" s="184"/>
      <c r="E191" s="184"/>
      <c r="F191" s="184"/>
      <c r="G191" s="185"/>
      <c r="H191" s="185"/>
      <c r="I191" s="186"/>
      <c r="J191" s="69"/>
      <c r="AA191" s="63">
        <f t="shared" si="58"/>
        <v>0</v>
      </c>
      <c r="AB191" s="153" t="str">
        <f t="shared" si="59"/>
        <v>000</v>
      </c>
      <c r="AC191" s="165" t="str">
        <f t="shared" si="60"/>
        <v>00000000</v>
      </c>
      <c r="AD191" s="98" t="str">
        <f t="shared" si="61"/>
        <v>00000000</v>
      </c>
      <c r="AE191" s="150">
        <f t="shared" si="62"/>
        <v>0</v>
      </c>
      <c r="AF191" s="150">
        <f t="shared" si="63"/>
        <v>0</v>
      </c>
      <c r="AG191" s="98" t="str">
        <f t="shared" si="64"/>
        <v>0000000000</v>
      </c>
      <c r="AH191" s="151">
        <f t="shared" si="65"/>
        <v>0</v>
      </c>
      <c r="AI191" s="98" t="str">
        <f t="shared" si="66"/>
        <v>00</v>
      </c>
      <c r="AJ191" s="98" t="str">
        <f t="shared" si="67"/>
        <v>000000000000</v>
      </c>
      <c r="AK191" s="161" t="str">
        <f t="shared" si="68"/>
        <v xml:space="preserve">                              </v>
      </c>
      <c r="AL191" s="154">
        <f t="shared" si="69"/>
        <v>0</v>
      </c>
      <c r="AM191" s="155">
        <f t="shared" si="70"/>
        <v>0</v>
      </c>
      <c r="AP191" s="63" t="str">
        <f t="shared" si="71"/>
        <v/>
      </c>
      <c r="AQ191" s="63" t="str">
        <f t="shared" si="72"/>
        <v/>
      </c>
      <c r="AR191" s="152" t="str">
        <f t="shared" si="73"/>
        <v/>
      </c>
      <c r="AS191" s="109" t="str">
        <f t="shared" si="74"/>
        <v/>
      </c>
      <c r="AT191" s="63" t="str">
        <f t="shared" si="75"/>
        <v xml:space="preserve">                    </v>
      </c>
    </row>
    <row r="192" spans="1:46" ht="12.75" x14ac:dyDescent="0.2">
      <c r="A192" s="63" t="str">
        <f t="shared" si="57"/>
        <v/>
      </c>
      <c r="B192" s="185"/>
      <c r="C192" s="184"/>
      <c r="D192" s="184"/>
      <c r="E192" s="184"/>
      <c r="F192" s="184"/>
      <c r="G192" s="185"/>
      <c r="H192" s="185"/>
      <c r="I192" s="186"/>
      <c r="J192" s="69"/>
      <c r="AA192" s="63">
        <f t="shared" si="58"/>
        <v>0</v>
      </c>
      <c r="AB192" s="153" t="str">
        <f t="shared" si="59"/>
        <v>000</v>
      </c>
      <c r="AC192" s="165" t="str">
        <f t="shared" si="60"/>
        <v>00000000</v>
      </c>
      <c r="AD192" s="98" t="str">
        <f t="shared" si="61"/>
        <v>00000000</v>
      </c>
      <c r="AE192" s="150">
        <f t="shared" si="62"/>
        <v>0</v>
      </c>
      <c r="AF192" s="150">
        <f t="shared" si="63"/>
        <v>0</v>
      </c>
      <c r="AG192" s="98" t="str">
        <f t="shared" si="64"/>
        <v>0000000000</v>
      </c>
      <c r="AH192" s="151">
        <f t="shared" si="65"/>
        <v>0</v>
      </c>
      <c r="AI192" s="98" t="str">
        <f t="shared" si="66"/>
        <v>00</v>
      </c>
      <c r="AJ192" s="98" t="str">
        <f t="shared" si="67"/>
        <v>000000000000</v>
      </c>
      <c r="AK192" s="161" t="str">
        <f t="shared" si="68"/>
        <v xml:space="preserve">                              </v>
      </c>
      <c r="AL192" s="154">
        <f t="shared" si="69"/>
        <v>0</v>
      </c>
      <c r="AM192" s="155">
        <f t="shared" si="70"/>
        <v>0</v>
      </c>
      <c r="AP192" s="63" t="str">
        <f t="shared" si="71"/>
        <v/>
      </c>
      <c r="AQ192" s="63" t="str">
        <f t="shared" si="72"/>
        <v/>
      </c>
      <c r="AR192" s="152" t="str">
        <f t="shared" si="73"/>
        <v/>
      </c>
      <c r="AS192" s="109" t="str">
        <f t="shared" si="74"/>
        <v/>
      </c>
      <c r="AT192" s="63" t="str">
        <f t="shared" si="75"/>
        <v xml:space="preserve">                    </v>
      </c>
    </row>
    <row r="193" spans="1:46" ht="12.75" x14ac:dyDescent="0.2">
      <c r="A193" s="63" t="str">
        <f t="shared" si="57"/>
        <v/>
      </c>
      <c r="B193" s="185"/>
      <c r="C193" s="184"/>
      <c r="D193" s="184"/>
      <c r="E193" s="184"/>
      <c r="F193" s="184"/>
      <c r="G193" s="185"/>
      <c r="H193" s="185"/>
      <c r="I193" s="186"/>
      <c r="J193" s="69"/>
      <c r="AA193" s="63">
        <f t="shared" si="58"/>
        <v>0</v>
      </c>
      <c r="AB193" s="153" t="str">
        <f t="shared" si="59"/>
        <v>000</v>
      </c>
      <c r="AC193" s="165" t="str">
        <f t="shared" si="60"/>
        <v>00000000</v>
      </c>
      <c r="AD193" s="98" t="str">
        <f t="shared" si="61"/>
        <v>00000000</v>
      </c>
      <c r="AE193" s="150">
        <f t="shared" si="62"/>
        <v>0</v>
      </c>
      <c r="AF193" s="150">
        <f t="shared" si="63"/>
        <v>0</v>
      </c>
      <c r="AG193" s="98" t="str">
        <f t="shared" si="64"/>
        <v>0000000000</v>
      </c>
      <c r="AH193" s="151">
        <f t="shared" si="65"/>
        <v>0</v>
      </c>
      <c r="AI193" s="98" t="str">
        <f t="shared" si="66"/>
        <v>00</v>
      </c>
      <c r="AJ193" s="98" t="str">
        <f t="shared" si="67"/>
        <v>000000000000</v>
      </c>
      <c r="AK193" s="161" t="str">
        <f t="shared" si="68"/>
        <v xml:space="preserve">                              </v>
      </c>
      <c r="AL193" s="154">
        <f t="shared" si="69"/>
        <v>0</v>
      </c>
      <c r="AM193" s="155">
        <f t="shared" si="70"/>
        <v>0</v>
      </c>
      <c r="AP193" s="63" t="str">
        <f t="shared" si="71"/>
        <v/>
      </c>
      <c r="AQ193" s="63" t="str">
        <f t="shared" si="72"/>
        <v/>
      </c>
      <c r="AR193" s="152" t="str">
        <f t="shared" si="73"/>
        <v/>
      </c>
      <c r="AS193" s="109" t="str">
        <f t="shared" si="74"/>
        <v/>
      </c>
      <c r="AT193" s="63" t="str">
        <f t="shared" si="75"/>
        <v xml:space="preserve">                    </v>
      </c>
    </row>
    <row r="194" spans="1:46" ht="12.75" x14ac:dyDescent="0.2">
      <c r="A194" s="63" t="str">
        <f t="shared" si="57"/>
        <v/>
      </c>
      <c r="B194" s="185"/>
      <c r="C194" s="184"/>
      <c r="D194" s="184"/>
      <c r="E194" s="184"/>
      <c r="F194" s="184"/>
      <c r="G194" s="185"/>
      <c r="H194" s="185"/>
      <c r="I194" s="186"/>
      <c r="J194" s="69"/>
      <c r="AA194" s="63">
        <f t="shared" si="58"/>
        <v>0</v>
      </c>
      <c r="AB194" s="153" t="str">
        <f t="shared" si="59"/>
        <v>000</v>
      </c>
      <c r="AC194" s="165" t="str">
        <f t="shared" si="60"/>
        <v>00000000</v>
      </c>
      <c r="AD194" s="98" t="str">
        <f t="shared" si="61"/>
        <v>00000000</v>
      </c>
      <c r="AE194" s="150">
        <f t="shared" si="62"/>
        <v>0</v>
      </c>
      <c r="AF194" s="150">
        <f t="shared" si="63"/>
        <v>0</v>
      </c>
      <c r="AG194" s="98" t="str">
        <f t="shared" si="64"/>
        <v>0000000000</v>
      </c>
      <c r="AH194" s="151">
        <f t="shared" si="65"/>
        <v>0</v>
      </c>
      <c r="AI194" s="98" t="str">
        <f t="shared" si="66"/>
        <v>00</v>
      </c>
      <c r="AJ194" s="98" t="str">
        <f t="shared" si="67"/>
        <v>000000000000</v>
      </c>
      <c r="AK194" s="161" t="str">
        <f t="shared" si="68"/>
        <v xml:space="preserve">                              </v>
      </c>
      <c r="AL194" s="154">
        <f t="shared" si="69"/>
        <v>0</v>
      </c>
      <c r="AM194" s="155">
        <f t="shared" si="70"/>
        <v>0</v>
      </c>
      <c r="AP194" s="63" t="str">
        <f t="shared" si="71"/>
        <v/>
      </c>
      <c r="AQ194" s="63" t="str">
        <f t="shared" si="72"/>
        <v/>
      </c>
      <c r="AR194" s="152" t="str">
        <f t="shared" si="73"/>
        <v/>
      </c>
      <c r="AS194" s="109" t="str">
        <f t="shared" si="74"/>
        <v/>
      </c>
      <c r="AT194" s="63" t="str">
        <f t="shared" si="75"/>
        <v xml:space="preserve">                    </v>
      </c>
    </row>
    <row r="195" spans="1:46" ht="12.75" x14ac:dyDescent="0.2">
      <c r="A195" s="63" t="str">
        <f t="shared" si="57"/>
        <v/>
      </c>
      <c r="B195" s="185"/>
      <c r="C195" s="184"/>
      <c r="D195" s="184"/>
      <c r="E195" s="184"/>
      <c r="F195" s="184"/>
      <c r="G195" s="185"/>
      <c r="H195" s="185"/>
      <c r="I195" s="186"/>
      <c r="J195" s="69"/>
      <c r="AA195" s="63">
        <f t="shared" si="58"/>
        <v>0</v>
      </c>
      <c r="AB195" s="153" t="str">
        <f t="shared" si="59"/>
        <v>000</v>
      </c>
      <c r="AC195" s="165" t="str">
        <f t="shared" si="60"/>
        <v>00000000</v>
      </c>
      <c r="AD195" s="98" t="str">
        <f t="shared" si="61"/>
        <v>00000000</v>
      </c>
      <c r="AE195" s="150">
        <f t="shared" si="62"/>
        <v>0</v>
      </c>
      <c r="AF195" s="150">
        <f t="shared" si="63"/>
        <v>0</v>
      </c>
      <c r="AG195" s="98" t="str">
        <f t="shared" si="64"/>
        <v>0000000000</v>
      </c>
      <c r="AH195" s="151">
        <f t="shared" si="65"/>
        <v>0</v>
      </c>
      <c r="AI195" s="98" t="str">
        <f t="shared" si="66"/>
        <v>00</v>
      </c>
      <c r="AJ195" s="98" t="str">
        <f t="shared" si="67"/>
        <v>000000000000</v>
      </c>
      <c r="AK195" s="161" t="str">
        <f t="shared" si="68"/>
        <v xml:space="preserve">                              </v>
      </c>
      <c r="AL195" s="154">
        <f t="shared" si="69"/>
        <v>0</v>
      </c>
      <c r="AM195" s="155">
        <f t="shared" si="70"/>
        <v>0</v>
      </c>
      <c r="AP195" s="63" t="str">
        <f t="shared" si="71"/>
        <v/>
      </c>
      <c r="AQ195" s="63" t="str">
        <f t="shared" si="72"/>
        <v/>
      </c>
      <c r="AR195" s="152" t="str">
        <f t="shared" si="73"/>
        <v/>
      </c>
      <c r="AS195" s="109" t="str">
        <f t="shared" si="74"/>
        <v/>
      </c>
      <c r="AT195" s="63" t="str">
        <f t="shared" si="75"/>
        <v xml:space="preserve">                    </v>
      </c>
    </row>
    <row r="196" spans="1:46" ht="12.75" x14ac:dyDescent="0.2">
      <c r="A196" s="63" t="str">
        <f t="shared" si="57"/>
        <v/>
      </c>
      <c r="B196" s="185"/>
      <c r="C196" s="184"/>
      <c r="D196" s="184"/>
      <c r="E196" s="184"/>
      <c r="F196" s="184"/>
      <c r="G196" s="185"/>
      <c r="H196" s="185"/>
      <c r="I196" s="186"/>
      <c r="J196" s="69"/>
      <c r="AA196" s="63">
        <f t="shared" si="58"/>
        <v>0</v>
      </c>
      <c r="AB196" s="153" t="str">
        <f t="shared" si="59"/>
        <v>000</v>
      </c>
      <c r="AC196" s="165" t="str">
        <f t="shared" si="60"/>
        <v>00000000</v>
      </c>
      <c r="AD196" s="98" t="str">
        <f t="shared" si="61"/>
        <v>00000000</v>
      </c>
      <c r="AE196" s="150">
        <f t="shared" si="62"/>
        <v>0</v>
      </c>
      <c r="AF196" s="150">
        <f t="shared" si="63"/>
        <v>0</v>
      </c>
      <c r="AG196" s="98" t="str">
        <f t="shared" si="64"/>
        <v>0000000000</v>
      </c>
      <c r="AH196" s="151">
        <f t="shared" si="65"/>
        <v>0</v>
      </c>
      <c r="AI196" s="98" t="str">
        <f t="shared" si="66"/>
        <v>00</v>
      </c>
      <c r="AJ196" s="98" t="str">
        <f t="shared" si="67"/>
        <v>000000000000</v>
      </c>
      <c r="AK196" s="161" t="str">
        <f t="shared" si="68"/>
        <v xml:space="preserve">                              </v>
      </c>
      <c r="AL196" s="154">
        <f t="shared" si="69"/>
        <v>0</v>
      </c>
      <c r="AM196" s="155">
        <f t="shared" si="70"/>
        <v>0</v>
      </c>
      <c r="AP196" s="63" t="str">
        <f t="shared" si="71"/>
        <v/>
      </c>
      <c r="AQ196" s="63" t="str">
        <f t="shared" si="72"/>
        <v/>
      </c>
      <c r="AR196" s="152" t="str">
        <f t="shared" si="73"/>
        <v/>
      </c>
      <c r="AS196" s="109" t="str">
        <f t="shared" si="74"/>
        <v/>
      </c>
      <c r="AT196" s="63" t="str">
        <f t="shared" si="75"/>
        <v xml:space="preserve">                    </v>
      </c>
    </row>
    <row r="197" spans="1:46" ht="12.75" x14ac:dyDescent="0.2">
      <c r="A197" s="63" t="str">
        <f t="shared" si="57"/>
        <v/>
      </c>
      <c r="B197" s="185"/>
      <c r="C197" s="184"/>
      <c r="D197" s="184"/>
      <c r="E197" s="184"/>
      <c r="F197" s="184"/>
      <c r="G197" s="185"/>
      <c r="H197" s="185"/>
      <c r="I197" s="186"/>
      <c r="J197" s="69"/>
      <c r="AA197" s="63">
        <f t="shared" si="58"/>
        <v>0</v>
      </c>
      <c r="AB197" s="153" t="str">
        <f t="shared" si="59"/>
        <v>000</v>
      </c>
      <c r="AC197" s="165" t="str">
        <f t="shared" si="60"/>
        <v>00000000</v>
      </c>
      <c r="AD197" s="98" t="str">
        <f t="shared" si="61"/>
        <v>00000000</v>
      </c>
      <c r="AE197" s="150">
        <f t="shared" si="62"/>
        <v>0</v>
      </c>
      <c r="AF197" s="150">
        <f t="shared" si="63"/>
        <v>0</v>
      </c>
      <c r="AG197" s="98" t="str">
        <f t="shared" si="64"/>
        <v>0000000000</v>
      </c>
      <c r="AH197" s="151">
        <f t="shared" si="65"/>
        <v>0</v>
      </c>
      <c r="AI197" s="98" t="str">
        <f t="shared" si="66"/>
        <v>00</v>
      </c>
      <c r="AJ197" s="98" t="str">
        <f t="shared" si="67"/>
        <v>000000000000</v>
      </c>
      <c r="AK197" s="161" t="str">
        <f t="shared" si="68"/>
        <v xml:space="preserve">                              </v>
      </c>
      <c r="AL197" s="154">
        <f t="shared" si="69"/>
        <v>0</v>
      </c>
      <c r="AM197" s="155">
        <f t="shared" si="70"/>
        <v>0</v>
      </c>
      <c r="AP197" s="63" t="str">
        <f t="shared" si="71"/>
        <v/>
      </c>
      <c r="AQ197" s="63" t="str">
        <f t="shared" si="72"/>
        <v/>
      </c>
      <c r="AR197" s="152" t="str">
        <f t="shared" si="73"/>
        <v/>
      </c>
      <c r="AS197" s="109" t="str">
        <f t="shared" si="74"/>
        <v/>
      </c>
      <c r="AT197" s="63" t="str">
        <f t="shared" si="75"/>
        <v xml:space="preserve">                    </v>
      </c>
    </row>
    <row r="198" spans="1:46" ht="12.75" x14ac:dyDescent="0.2">
      <c r="A198" s="63" t="str">
        <f t="shared" ref="A198:A261" si="76">IF(B198&lt;&gt;"",A197+1,"")</f>
        <v/>
      </c>
      <c r="B198" s="185"/>
      <c r="C198" s="184"/>
      <c r="D198" s="184"/>
      <c r="E198" s="184"/>
      <c r="F198" s="184"/>
      <c r="G198" s="185"/>
      <c r="H198" s="185"/>
      <c r="I198" s="186"/>
      <c r="J198" s="69"/>
      <c r="AA198" s="63">
        <f t="shared" si="58"/>
        <v>0</v>
      </c>
      <c r="AB198" s="153" t="str">
        <f t="shared" si="59"/>
        <v>000</v>
      </c>
      <c r="AC198" s="165" t="str">
        <f t="shared" si="60"/>
        <v>00000000</v>
      </c>
      <c r="AD198" s="98" t="str">
        <f t="shared" si="61"/>
        <v>00000000</v>
      </c>
      <c r="AE198" s="150">
        <f t="shared" si="62"/>
        <v>0</v>
      </c>
      <c r="AF198" s="150">
        <f t="shared" si="63"/>
        <v>0</v>
      </c>
      <c r="AG198" s="98" t="str">
        <f t="shared" si="64"/>
        <v>0000000000</v>
      </c>
      <c r="AH198" s="151">
        <f t="shared" si="65"/>
        <v>0</v>
      </c>
      <c r="AI198" s="98" t="str">
        <f t="shared" si="66"/>
        <v>00</v>
      </c>
      <c r="AJ198" s="98" t="str">
        <f t="shared" si="67"/>
        <v>000000000000</v>
      </c>
      <c r="AK198" s="161" t="str">
        <f t="shared" si="68"/>
        <v xml:space="preserve">                              </v>
      </c>
      <c r="AL198" s="154">
        <f t="shared" si="69"/>
        <v>0</v>
      </c>
      <c r="AM198" s="155">
        <f t="shared" si="70"/>
        <v>0</v>
      </c>
      <c r="AP198" s="63" t="str">
        <f t="shared" si="71"/>
        <v/>
      </c>
      <c r="AQ198" s="63" t="str">
        <f t="shared" si="72"/>
        <v/>
      </c>
      <c r="AR198" s="152" t="str">
        <f t="shared" si="73"/>
        <v/>
      </c>
      <c r="AS198" s="109" t="str">
        <f t="shared" si="74"/>
        <v/>
      </c>
      <c r="AT198" s="63" t="str">
        <f t="shared" si="75"/>
        <v xml:space="preserve">                    </v>
      </c>
    </row>
    <row r="199" spans="1:46" ht="12.75" x14ac:dyDescent="0.2">
      <c r="A199" s="63" t="str">
        <f t="shared" si="76"/>
        <v/>
      </c>
      <c r="B199" s="185"/>
      <c r="C199" s="184"/>
      <c r="D199" s="184"/>
      <c r="E199" s="184"/>
      <c r="F199" s="184"/>
      <c r="G199" s="185"/>
      <c r="H199" s="185"/>
      <c r="I199" s="186"/>
      <c r="J199" s="69"/>
      <c r="AA199" s="63">
        <f t="shared" si="58"/>
        <v>0</v>
      </c>
      <c r="AB199" s="153" t="str">
        <f t="shared" si="59"/>
        <v>000</v>
      </c>
      <c r="AC199" s="165" t="str">
        <f t="shared" si="60"/>
        <v>00000000</v>
      </c>
      <c r="AD199" s="98" t="str">
        <f t="shared" si="61"/>
        <v>00000000</v>
      </c>
      <c r="AE199" s="150">
        <f t="shared" si="62"/>
        <v>0</v>
      </c>
      <c r="AF199" s="150">
        <f t="shared" si="63"/>
        <v>0</v>
      </c>
      <c r="AG199" s="98" t="str">
        <f t="shared" si="64"/>
        <v>0000000000</v>
      </c>
      <c r="AH199" s="151">
        <f t="shared" si="65"/>
        <v>0</v>
      </c>
      <c r="AI199" s="98" t="str">
        <f t="shared" si="66"/>
        <v>00</v>
      </c>
      <c r="AJ199" s="98" t="str">
        <f t="shared" si="67"/>
        <v>000000000000</v>
      </c>
      <c r="AK199" s="161" t="str">
        <f t="shared" si="68"/>
        <v xml:space="preserve">                              </v>
      </c>
      <c r="AL199" s="154">
        <f t="shared" si="69"/>
        <v>0</v>
      </c>
      <c r="AM199" s="155">
        <f t="shared" si="70"/>
        <v>0</v>
      </c>
      <c r="AP199" s="63" t="str">
        <f t="shared" si="71"/>
        <v/>
      </c>
      <c r="AQ199" s="63" t="str">
        <f t="shared" si="72"/>
        <v/>
      </c>
      <c r="AR199" s="152" t="str">
        <f t="shared" si="73"/>
        <v/>
      </c>
      <c r="AS199" s="109" t="str">
        <f t="shared" si="74"/>
        <v/>
      </c>
      <c r="AT199" s="63" t="str">
        <f t="shared" si="75"/>
        <v xml:space="preserve">                    </v>
      </c>
    </row>
    <row r="200" spans="1:46" ht="12.75" x14ac:dyDescent="0.2">
      <c r="A200" s="63" t="str">
        <f t="shared" si="76"/>
        <v/>
      </c>
      <c r="B200" s="185"/>
      <c r="C200" s="184"/>
      <c r="D200" s="184"/>
      <c r="E200" s="184"/>
      <c r="F200" s="184"/>
      <c r="G200" s="185"/>
      <c r="H200" s="185"/>
      <c r="I200" s="186"/>
      <c r="J200" s="69"/>
      <c r="AA200" s="63">
        <f t="shared" si="58"/>
        <v>0</v>
      </c>
      <c r="AB200" s="153" t="str">
        <f t="shared" si="59"/>
        <v>000</v>
      </c>
      <c r="AC200" s="165" t="str">
        <f t="shared" si="60"/>
        <v>00000000</v>
      </c>
      <c r="AD200" s="98" t="str">
        <f t="shared" si="61"/>
        <v>00000000</v>
      </c>
      <c r="AE200" s="150">
        <f t="shared" si="62"/>
        <v>0</v>
      </c>
      <c r="AF200" s="150">
        <f t="shared" si="63"/>
        <v>0</v>
      </c>
      <c r="AG200" s="98" t="str">
        <f t="shared" si="64"/>
        <v>0000000000</v>
      </c>
      <c r="AH200" s="151">
        <f t="shared" si="65"/>
        <v>0</v>
      </c>
      <c r="AI200" s="98" t="str">
        <f t="shared" si="66"/>
        <v>00</v>
      </c>
      <c r="AJ200" s="98" t="str">
        <f t="shared" si="67"/>
        <v>000000000000</v>
      </c>
      <c r="AK200" s="161" t="str">
        <f t="shared" si="68"/>
        <v xml:space="preserve">                              </v>
      </c>
      <c r="AL200" s="154">
        <f t="shared" si="69"/>
        <v>0</v>
      </c>
      <c r="AM200" s="155">
        <f t="shared" si="70"/>
        <v>0</v>
      </c>
      <c r="AP200" s="63" t="str">
        <f t="shared" si="71"/>
        <v/>
      </c>
      <c r="AQ200" s="63" t="str">
        <f t="shared" si="72"/>
        <v/>
      </c>
      <c r="AR200" s="152" t="str">
        <f t="shared" si="73"/>
        <v/>
      </c>
      <c r="AS200" s="109" t="str">
        <f t="shared" si="74"/>
        <v/>
      </c>
      <c r="AT200" s="63" t="str">
        <f t="shared" si="75"/>
        <v xml:space="preserve">                    </v>
      </c>
    </row>
    <row r="201" spans="1:46" ht="12.75" x14ac:dyDescent="0.2">
      <c r="A201" s="63" t="str">
        <f t="shared" si="76"/>
        <v/>
      </c>
      <c r="B201" s="185"/>
      <c r="C201" s="184"/>
      <c r="D201" s="184"/>
      <c r="E201" s="184"/>
      <c r="F201" s="184"/>
      <c r="G201" s="185"/>
      <c r="H201" s="185"/>
      <c r="I201" s="186"/>
      <c r="J201" s="69"/>
      <c r="AA201" s="63">
        <f t="shared" si="58"/>
        <v>0</v>
      </c>
      <c r="AB201" s="153" t="str">
        <f t="shared" si="59"/>
        <v>000</v>
      </c>
      <c r="AC201" s="165" t="str">
        <f t="shared" si="60"/>
        <v>00000000</v>
      </c>
      <c r="AD201" s="98" t="str">
        <f t="shared" si="61"/>
        <v>00000000</v>
      </c>
      <c r="AE201" s="150">
        <f t="shared" si="62"/>
        <v>0</v>
      </c>
      <c r="AF201" s="150">
        <f t="shared" si="63"/>
        <v>0</v>
      </c>
      <c r="AG201" s="98" t="str">
        <f t="shared" si="64"/>
        <v>0000000000</v>
      </c>
      <c r="AH201" s="151">
        <f t="shared" si="65"/>
        <v>0</v>
      </c>
      <c r="AI201" s="98" t="str">
        <f t="shared" si="66"/>
        <v>00</v>
      </c>
      <c r="AJ201" s="98" t="str">
        <f t="shared" si="67"/>
        <v>000000000000</v>
      </c>
      <c r="AK201" s="161" t="str">
        <f t="shared" si="68"/>
        <v xml:space="preserve">                              </v>
      </c>
      <c r="AL201" s="154">
        <f t="shared" si="69"/>
        <v>0</v>
      </c>
      <c r="AM201" s="155">
        <f t="shared" si="70"/>
        <v>0</v>
      </c>
      <c r="AP201" s="63" t="str">
        <f t="shared" si="71"/>
        <v/>
      </c>
      <c r="AQ201" s="63" t="str">
        <f t="shared" si="72"/>
        <v/>
      </c>
      <c r="AR201" s="152" t="str">
        <f t="shared" si="73"/>
        <v/>
      </c>
      <c r="AS201" s="109" t="str">
        <f t="shared" si="74"/>
        <v/>
      </c>
      <c r="AT201" s="63" t="str">
        <f t="shared" si="75"/>
        <v xml:space="preserve">                    </v>
      </c>
    </row>
    <row r="202" spans="1:46" ht="12.75" x14ac:dyDescent="0.2">
      <c r="A202" s="63" t="str">
        <f t="shared" si="76"/>
        <v/>
      </c>
      <c r="B202" s="185"/>
      <c r="C202" s="184"/>
      <c r="D202" s="184"/>
      <c r="E202" s="184"/>
      <c r="F202" s="184"/>
      <c r="G202" s="185"/>
      <c r="H202" s="185"/>
      <c r="I202" s="186"/>
      <c r="J202" s="69"/>
      <c r="AA202" s="63">
        <f t="shared" si="58"/>
        <v>0</v>
      </c>
      <c r="AB202" s="153" t="str">
        <f t="shared" si="59"/>
        <v>000</v>
      </c>
      <c r="AC202" s="165" t="str">
        <f t="shared" si="60"/>
        <v>00000000</v>
      </c>
      <c r="AD202" s="98" t="str">
        <f t="shared" si="61"/>
        <v>00000000</v>
      </c>
      <c r="AE202" s="150">
        <f t="shared" si="62"/>
        <v>0</v>
      </c>
      <c r="AF202" s="150">
        <f t="shared" si="63"/>
        <v>0</v>
      </c>
      <c r="AG202" s="98" t="str">
        <f t="shared" si="64"/>
        <v>0000000000</v>
      </c>
      <c r="AH202" s="151">
        <f t="shared" si="65"/>
        <v>0</v>
      </c>
      <c r="AI202" s="98" t="str">
        <f t="shared" si="66"/>
        <v>00</v>
      </c>
      <c r="AJ202" s="98" t="str">
        <f t="shared" si="67"/>
        <v>000000000000</v>
      </c>
      <c r="AK202" s="161" t="str">
        <f t="shared" si="68"/>
        <v xml:space="preserve">                              </v>
      </c>
      <c r="AL202" s="154">
        <f t="shared" si="69"/>
        <v>0</v>
      </c>
      <c r="AM202" s="155">
        <f t="shared" si="70"/>
        <v>0</v>
      </c>
      <c r="AP202" s="63" t="str">
        <f t="shared" si="71"/>
        <v/>
      </c>
      <c r="AQ202" s="63" t="str">
        <f t="shared" si="72"/>
        <v/>
      </c>
      <c r="AR202" s="152" t="str">
        <f t="shared" si="73"/>
        <v/>
      </c>
      <c r="AS202" s="109" t="str">
        <f t="shared" si="74"/>
        <v/>
      </c>
      <c r="AT202" s="63" t="str">
        <f t="shared" si="75"/>
        <v xml:space="preserve">                    </v>
      </c>
    </row>
    <row r="203" spans="1:46" ht="12.75" x14ac:dyDescent="0.2">
      <c r="A203" s="63" t="str">
        <f t="shared" si="76"/>
        <v/>
      </c>
      <c r="B203" s="185"/>
      <c r="C203" s="184"/>
      <c r="D203" s="184"/>
      <c r="E203" s="184"/>
      <c r="F203" s="184"/>
      <c r="G203" s="185"/>
      <c r="H203" s="185"/>
      <c r="I203" s="186"/>
      <c r="J203" s="69"/>
      <c r="AA203" s="63">
        <f t="shared" si="58"/>
        <v>0</v>
      </c>
      <c r="AB203" s="153" t="str">
        <f t="shared" si="59"/>
        <v>000</v>
      </c>
      <c r="AC203" s="165" t="str">
        <f t="shared" si="60"/>
        <v>00000000</v>
      </c>
      <c r="AD203" s="98" t="str">
        <f t="shared" si="61"/>
        <v>00000000</v>
      </c>
      <c r="AE203" s="150">
        <f t="shared" si="62"/>
        <v>0</v>
      </c>
      <c r="AF203" s="150">
        <f t="shared" si="63"/>
        <v>0</v>
      </c>
      <c r="AG203" s="98" t="str">
        <f t="shared" si="64"/>
        <v>0000000000</v>
      </c>
      <c r="AH203" s="151">
        <f t="shared" si="65"/>
        <v>0</v>
      </c>
      <c r="AI203" s="98" t="str">
        <f t="shared" si="66"/>
        <v>00</v>
      </c>
      <c r="AJ203" s="98" t="str">
        <f t="shared" si="67"/>
        <v>000000000000</v>
      </c>
      <c r="AK203" s="161" t="str">
        <f t="shared" si="68"/>
        <v xml:space="preserve">                              </v>
      </c>
      <c r="AL203" s="154">
        <f t="shared" si="69"/>
        <v>0</v>
      </c>
      <c r="AM203" s="155">
        <f t="shared" si="70"/>
        <v>0</v>
      </c>
      <c r="AP203" s="63" t="str">
        <f t="shared" si="71"/>
        <v/>
      </c>
      <c r="AQ203" s="63" t="str">
        <f t="shared" si="72"/>
        <v/>
      </c>
      <c r="AR203" s="152" t="str">
        <f t="shared" si="73"/>
        <v/>
      </c>
      <c r="AS203" s="109" t="str">
        <f t="shared" si="74"/>
        <v/>
      </c>
      <c r="AT203" s="63" t="str">
        <f t="shared" si="75"/>
        <v xml:space="preserve">                    </v>
      </c>
    </row>
    <row r="204" spans="1:46" ht="12.75" x14ac:dyDescent="0.2">
      <c r="A204" s="63" t="str">
        <f t="shared" si="76"/>
        <v/>
      </c>
      <c r="B204" s="185"/>
      <c r="C204" s="184"/>
      <c r="D204" s="184"/>
      <c r="E204" s="184"/>
      <c r="F204" s="184"/>
      <c r="G204" s="185"/>
      <c r="H204" s="185"/>
      <c r="I204" s="186"/>
      <c r="J204" s="69"/>
      <c r="AA204" s="63">
        <f t="shared" si="58"/>
        <v>0</v>
      </c>
      <c r="AB204" s="153" t="str">
        <f t="shared" si="59"/>
        <v>000</v>
      </c>
      <c r="AC204" s="165" t="str">
        <f t="shared" si="60"/>
        <v>00000000</v>
      </c>
      <c r="AD204" s="98" t="str">
        <f t="shared" si="61"/>
        <v>00000000</v>
      </c>
      <c r="AE204" s="150">
        <f t="shared" si="62"/>
        <v>0</v>
      </c>
      <c r="AF204" s="150">
        <f t="shared" si="63"/>
        <v>0</v>
      </c>
      <c r="AG204" s="98" t="str">
        <f t="shared" si="64"/>
        <v>0000000000</v>
      </c>
      <c r="AH204" s="151">
        <f t="shared" si="65"/>
        <v>0</v>
      </c>
      <c r="AI204" s="98" t="str">
        <f t="shared" si="66"/>
        <v>00</v>
      </c>
      <c r="AJ204" s="98" t="str">
        <f t="shared" si="67"/>
        <v>000000000000</v>
      </c>
      <c r="AK204" s="161" t="str">
        <f t="shared" si="68"/>
        <v xml:space="preserve">                              </v>
      </c>
      <c r="AL204" s="154">
        <f t="shared" si="69"/>
        <v>0</v>
      </c>
      <c r="AM204" s="155">
        <f t="shared" si="70"/>
        <v>0</v>
      </c>
      <c r="AP204" s="63" t="str">
        <f t="shared" si="71"/>
        <v/>
      </c>
      <c r="AQ204" s="63" t="str">
        <f t="shared" si="72"/>
        <v/>
      </c>
      <c r="AR204" s="152" t="str">
        <f t="shared" si="73"/>
        <v/>
      </c>
      <c r="AS204" s="109" t="str">
        <f t="shared" si="74"/>
        <v/>
      </c>
      <c r="AT204" s="63" t="str">
        <f t="shared" si="75"/>
        <v xml:space="preserve">                    </v>
      </c>
    </row>
    <row r="205" spans="1:46" ht="12.75" x14ac:dyDescent="0.2">
      <c r="A205" s="63" t="str">
        <f t="shared" si="76"/>
        <v/>
      </c>
      <c r="B205" s="185"/>
      <c r="C205" s="184"/>
      <c r="D205" s="184"/>
      <c r="E205" s="184"/>
      <c r="F205" s="184"/>
      <c r="G205" s="185"/>
      <c r="H205" s="185"/>
      <c r="I205" s="186"/>
      <c r="J205" s="69"/>
      <c r="AA205" s="63">
        <f t="shared" si="58"/>
        <v>0</v>
      </c>
      <c r="AB205" s="153" t="str">
        <f t="shared" si="59"/>
        <v>000</v>
      </c>
      <c r="AC205" s="165" t="str">
        <f t="shared" si="60"/>
        <v>00000000</v>
      </c>
      <c r="AD205" s="98" t="str">
        <f t="shared" si="61"/>
        <v>00000000</v>
      </c>
      <c r="AE205" s="150">
        <f t="shared" si="62"/>
        <v>0</v>
      </c>
      <c r="AF205" s="150">
        <f t="shared" si="63"/>
        <v>0</v>
      </c>
      <c r="AG205" s="98" t="str">
        <f t="shared" si="64"/>
        <v>0000000000</v>
      </c>
      <c r="AH205" s="151">
        <f t="shared" si="65"/>
        <v>0</v>
      </c>
      <c r="AI205" s="98" t="str">
        <f t="shared" si="66"/>
        <v>00</v>
      </c>
      <c r="AJ205" s="98" t="str">
        <f t="shared" si="67"/>
        <v>000000000000</v>
      </c>
      <c r="AK205" s="161" t="str">
        <f t="shared" si="68"/>
        <v xml:space="preserve">                              </v>
      </c>
      <c r="AL205" s="154">
        <f t="shared" si="69"/>
        <v>0</v>
      </c>
      <c r="AM205" s="155">
        <f t="shared" si="70"/>
        <v>0</v>
      </c>
      <c r="AP205" s="63" t="str">
        <f t="shared" si="71"/>
        <v/>
      </c>
      <c r="AQ205" s="63" t="str">
        <f t="shared" si="72"/>
        <v/>
      </c>
      <c r="AR205" s="152" t="str">
        <f t="shared" si="73"/>
        <v/>
      </c>
      <c r="AS205" s="109" t="str">
        <f t="shared" si="74"/>
        <v/>
      </c>
      <c r="AT205" s="63" t="str">
        <f t="shared" si="75"/>
        <v xml:space="preserve">                    </v>
      </c>
    </row>
    <row r="206" spans="1:46" ht="12.75" x14ac:dyDescent="0.2">
      <c r="A206" s="63" t="str">
        <f t="shared" si="76"/>
        <v/>
      </c>
      <c r="B206" s="185"/>
      <c r="C206" s="184"/>
      <c r="D206" s="184"/>
      <c r="E206" s="184"/>
      <c r="F206" s="184"/>
      <c r="G206" s="185"/>
      <c r="H206" s="185"/>
      <c r="I206" s="186"/>
      <c r="J206" s="69"/>
      <c r="AA206" s="63">
        <f t="shared" si="58"/>
        <v>0</v>
      </c>
      <c r="AB206" s="153" t="str">
        <f t="shared" si="59"/>
        <v>000</v>
      </c>
      <c r="AC206" s="165" t="str">
        <f t="shared" si="60"/>
        <v>00000000</v>
      </c>
      <c r="AD206" s="98" t="str">
        <f t="shared" si="61"/>
        <v>00000000</v>
      </c>
      <c r="AE206" s="150">
        <f t="shared" si="62"/>
        <v>0</v>
      </c>
      <c r="AF206" s="150">
        <f t="shared" si="63"/>
        <v>0</v>
      </c>
      <c r="AG206" s="98" t="str">
        <f t="shared" si="64"/>
        <v>0000000000</v>
      </c>
      <c r="AH206" s="151">
        <f t="shared" si="65"/>
        <v>0</v>
      </c>
      <c r="AI206" s="98" t="str">
        <f t="shared" si="66"/>
        <v>00</v>
      </c>
      <c r="AJ206" s="98" t="str">
        <f t="shared" si="67"/>
        <v>000000000000</v>
      </c>
      <c r="AK206" s="161" t="str">
        <f t="shared" si="68"/>
        <v xml:space="preserve">                              </v>
      </c>
      <c r="AL206" s="154">
        <f t="shared" si="69"/>
        <v>0</v>
      </c>
      <c r="AM206" s="155">
        <f t="shared" si="70"/>
        <v>0</v>
      </c>
      <c r="AP206" s="63" t="str">
        <f t="shared" si="71"/>
        <v/>
      </c>
      <c r="AQ206" s="63" t="str">
        <f t="shared" si="72"/>
        <v/>
      </c>
      <c r="AR206" s="152" t="str">
        <f t="shared" si="73"/>
        <v/>
      </c>
      <c r="AS206" s="109" t="str">
        <f t="shared" si="74"/>
        <v/>
      </c>
      <c r="AT206" s="63" t="str">
        <f t="shared" si="75"/>
        <v xml:space="preserve">                    </v>
      </c>
    </row>
    <row r="207" spans="1:46" ht="12.75" x14ac:dyDescent="0.2">
      <c r="A207" s="63" t="str">
        <f t="shared" si="76"/>
        <v/>
      </c>
      <c r="B207" s="185"/>
      <c r="C207" s="184"/>
      <c r="D207" s="184"/>
      <c r="E207" s="184"/>
      <c r="F207" s="184"/>
      <c r="G207" s="185"/>
      <c r="H207" s="185"/>
      <c r="I207" s="186"/>
      <c r="J207" s="69"/>
      <c r="AA207" s="63">
        <f t="shared" si="58"/>
        <v>0</v>
      </c>
      <c r="AB207" s="153" t="str">
        <f t="shared" si="59"/>
        <v>000</v>
      </c>
      <c r="AC207" s="165" t="str">
        <f t="shared" si="60"/>
        <v>00000000</v>
      </c>
      <c r="AD207" s="98" t="str">
        <f t="shared" si="61"/>
        <v>00000000</v>
      </c>
      <c r="AE207" s="150">
        <f t="shared" si="62"/>
        <v>0</v>
      </c>
      <c r="AF207" s="150">
        <f t="shared" si="63"/>
        <v>0</v>
      </c>
      <c r="AG207" s="98" t="str">
        <f t="shared" si="64"/>
        <v>0000000000</v>
      </c>
      <c r="AH207" s="151">
        <f t="shared" si="65"/>
        <v>0</v>
      </c>
      <c r="AI207" s="98" t="str">
        <f t="shared" si="66"/>
        <v>00</v>
      </c>
      <c r="AJ207" s="98" t="str">
        <f t="shared" si="67"/>
        <v>000000000000</v>
      </c>
      <c r="AK207" s="161" t="str">
        <f t="shared" si="68"/>
        <v xml:space="preserve">                              </v>
      </c>
      <c r="AL207" s="154">
        <f t="shared" si="69"/>
        <v>0</v>
      </c>
      <c r="AM207" s="155">
        <f t="shared" si="70"/>
        <v>0</v>
      </c>
      <c r="AP207" s="63" t="str">
        <f t="shared" si="71"/>
        <v/>
      </c>
      <c r="AQ207" s="63" t="str">
        <f t="shared" si="72"/>
        <v/>
      </c>
      <c r="AR207" s="152" t="str">
        <f t="shared" si="73"/>
        <v/>
      </c>
      <c r="AS207" s="109" t="str">
        <f t="shared" si="74"/>
        <v/>
      </c>
      <c r="AT207" s="63" t="str">
        <f t="shared" si="75"/>
        <v xml:space="preserve">                    </v>
      </c>
    </row>
    <row r="208" spans="1:46" ht="12.75" x14ac:dyDescent="0.2">
      <c r="A208" s="63" t="str">
        <f t="shared" si="76"/>
        <v/>
      </c>
      <c r="B208" s="185"/>
      <c r="C208" s="184"/>
      <c r="D208" s="184"/>
      <c r="E208" s="184"/>
      <c r="F208" s="184"/>
      <c r="G208" s="185"/>
      <c r="H208" s="185"/>
      <c r="I208" s="186"/>
      <c r="J208" s="69"/>
      <c r="AA208" s="63">
        <f t="shared" si="58"/>
        <v>0</v>
      </c>
      <c r="AB208" s="153" t="str">
        <f t="shared" si="59"/>
        <v>000</v>
      </c>
      <c r="AC208" s="165" t="str">
        <f t="shared" si="60"/>
        <v>00000000</v>
      </c>
      <c r="AD208" s="98" t="str">
        <f t="shared" si="61"/>
        <v>00000000</v>
      </c>
      <c r="AE208" s="150">
        <f t="shared" si="62"/>
        <v>0</v>
      </c>
      <c r="AF208" s="150">
        <f t="shared" si="63"/>
        <v>0</v>
      </c>
      <c r="AG208" s="98" t="str">
        <f t="shared" si="64"/>
        <v>0000000000</v>
      </c>
      <c r="AH208" s="151">
        <f t="shared" si="65"/>
        <v>0</v>
      </c>
      <c r="AI208" s="98" t="str">
        <f t="shared" si="66"/>
        <v>00</v>
      </c>
      <c r="AJ208" s="98" t="str">
        <f t="shared" si="67"/>
        <v>000000000000</v>
      </c>
      <c r="AK208" s="161" t="str">
        <f t="shared" si="68"/>
        <v xml:space="preserve">                              </v>
      </c>
      <c r="AL208" s="154">
        <f t="shared" si="69"/>
        <v>0</v>
      </c>
      <c r="AM208" s="155">
        <f t="shared" si="70"/>
        <v>0</v>
      </c>
      <c r="AP208" s="63" t="str">
        <f t="shared" si="71"/>
        <v/>
      </c>
      <c r="AQ208" s="63" t="str">
        <f t="shared" si="72"/>
        <v/>
      </c>
      <c r="AR208" s="152" t="str">
        <f t="shared" si="73"/>
        <v/>
      </c>
      <c r="AS208" s="109" t="str">
        <f t="shared" si="74"/>
        <v/>
      </c>
      <c r="AT208" s="63" t="str">
        <f t="shared" si="75"/>
        <v xml:space="preserve">                    </v>
      </c>
    </row>
    <row r="209" spans="1:46" ht="12.75" x14ac:dyDescent="0.2">
      <c r="A209" s="63" t="str">
        <f t="shared" si="76"/>
        <v/>
      </c>
      <c r="B209" s="185"/>
      <c r="C209" s="184"/>
      <c r="D209" s="184"/>
      <c r="E209" s="184"/>
      <c r="F209" s="184"/>
      <c r="G209" s="185"/>
      <c r="H209" s="185"/>
      <c r="I209" s="186"/>
      <c r="J209" s="69"/>
      <c r="AA209" s="63">
        <f t="shared" ref="AA209:AA272" si="77">B209</f>
        <v>0</v>
      </c>
      <c r="AB209" s="153" t="str">
        <f t="shared" ref="AB209:AB272" si="78">CONCATENATE(REPT("0",3-LEN(C209)),C209)</f>
        <v>000</v>
      </c>
      <c r="AC209" s="165" t="str">
        <f t="shared" ref="AC209:AC272" si="79">CONCATENATE(REPT("0",8-LEN(D209)),D209)</f>
        <v>00000000</v>
      </c>
      <c r="AD209" s="98" t="str">
        <f t="shared" ref="AD209:AD272" si="80">CONCATENATE(REPT("0",8-LEN(F209)),F209)</f>
        <v>00000000</v>
      </c>
      <c r="AE209" s="150">
        <f t="shared" ref="AE209:AE272" si="81">INT(I209)</f>
        <v>0</v>
      </c>
      <c r="AF209" s="150">
        <f t="shared" ref="AF209:AF272" si="82">I209-AE209</f>
        <v>0</v>
      </c>
      <c r="AG209" s="98" t="str">
        <f t="shared" ref="AG209:AG272" si="83">TEXT(AE209,"0000000000")</f>
        <v>0000000000</v>
      </c>
      <c r="AH209" s="151">
        <f t="shared" ref="AH209:AH272" si="84">AF209*100</f>
        <v>0</v>
      </c>
      <c r="AI209" s="98" t="str">
        <f t="shared" ref="AI209:AI272" si="85">TEXT(AH209,"00")</f>
        <v>00</v>
      </c>
      <c r="AJ209" s="98" t="str">
        <f t="shared" ref="AJ209:AJ272" si="86">CONCATENATE(AG209,AI209)</f>
        <v>000000000000</v>
      </c>
      <c r="AK209" s="161" t="str">
        <f t="shared" ref="AK209:AK272" si="87">CONCATENATE(E209,REPT(" ",30-LEN(E209)))</f>
        <v xml:space="preserve">                              </v>
      </c>
      <c r="AL209" s="154">
        <f t="shared" ref="AL209:AL272" si="88">IF(H209&lt;&gt;"",IF(H209=$H$3,0,1),0)</f>
        <v>0</v>
      </c>
      <c r="AM209" s="155">
        <f t="shared" ref="AM209:AM272" si="89">IF(AL209=1,IF($H$3=1,I209*$K$14,I209/$K$14),I209)</f>
        <v>0</v>
      </c>
      <c r="AP209" s="63" t="str">
        <f t="shared" si="71"/>
        <v/>
      </c>
      <c r="AQ209" s="63" t="str">
        <f t="shared" si="72"/>
        <v/>
      </c>
      <c r="AR209" s="152" t="str">
        <f t="shared" si="73"/>
        <v/>
      </c>
      <c r="AS209" s="109" t="str">
        <f t="shared" si="74"/>
        <v/>
      </c>
      <c r="AT209" s="63" t="str">
        <f t="shared" si="75"/>
        <v xml:space="preserve">                    </v>
      </c>
    </row>
    <row r="210" spans="1:46" ht="12.75" x14ac:dyDescent="0.2">
      <c r="A210" s="63" t="str">
        <f t="shared" si="76"/>
        <v/>
      </c>
      <c r="B210" s="185"/>
      <c r="C210" s="184"/>
      <c r="D210" s="184"/>
      <c r="E210" s="184"/>
      <c r="F210" s="184"/>
      <c r="G210" s="185"/>
      <c r="H210" s="185"/>
      <c r="I210" s="186"/>
      <c r="J210" s="69"/>
      <c r="AA210" s="63">
        <f t="shared" si="77"/>
        <v>0</v>
      </c>
      <c r="AB210" s="153" t="str">
        <f t="shared" si="78"/>
        <v>000</v>
      </c>
      <c r="AC210" s="165" t="str">
        <f t="shared" si="79"/>
        <v>00000000</v>
      </c>
      <c r="AD210" s="98" t="str">
        <f t="shared" si="80"/>
        <v>00000000</v>
      </c>
      <c r="AE210" s="150">
        <f t="shared" si="81"/>
        <v>0</v>
      </c>
      <c r="AF210" s="150">
        <f t="shared" si="82"/>
        <v>0</v>
      </c>
      <c r="AG210" s="98" t="str">
        <f t="shared" si="83"/>
        <v>0000000000</v>
      </c>
      <c r="AH210" s="151">
        <f t="shared" si="84"/>
        <v>0</v>
      </c>
      <c r="AI210" s="98" t="str">
        <f t="shared" si="85"/>
        <v>00</v>
      </c>
      <c r="AJ210" s="98" t="str">
        <f t="shared" si="86"/>
        <v>000000000000</v>
      </c>
      <c r="AK210" s="161" t="str">
        <f t="shared" si="87"/>
        <v xml:space="preserve">                              </v>
      </c>
      <c r="AL210" s="154">
        <f t="shared" si="88"/>
        <v>0</v>
      </c>
      <c r="AM210" s="155">
        <f t="shared" si="89"/>
        <v>0</v>
      </c>
      <c r="AP210" s="63" t="str">
        <f t="shared" ref="AP210:AP273" si="90">IF(D211&lt;&gt;"",CONCATENATE("000",AS210,"0",H211,"2","    ",AD211,AJ211,"            ",AT211,AK211,"                                                                                     "),"")</f>
        <v/>
      </c>
      <c r="AQ210" s="63" t="str">
        <f t="shared" ref="AQ210:AQ273" si="91">IF(D211&lt;&gt;"",CONCATENATE("1520",AA211,AB211,AC211),"")</f>
        <v/>
      </c>
      <c r="AR210" s="152" t="str">
        <f t="shared" ref="AR210:AR273" si="92">IF(D211&lt;&gt;"",MOD(SUM(VALUE(MID($AQ$1,1,1)) * VALUE(MID(AQ210,1,1)),VALUE(MID($AQ$1,2,1)) * VALUE(MID(AQ210,2,1)),VALUE(MID($AQ$1,3,1)) * VALUE(MID(AQ210,3,1)),VALUE(MID($AQ$1,4,1)) * VALUE(MID(AQ210,4,1)),VALUE(MID($AQ$1,5,1)) * VALUE(MID(AQ210,5,1)),VALUE(MID($AQ$1,6,1)) * VALUE(MID(AQ210,6,1)),VALUE(MID($AQ$1,7,1)) * VALUE(MID(AQ210,7,1)),VALUE(MID($AQ$1,8,1)) * VALUE(MID(AQ210,8,1)),VALUE(MID($AQ$1,9,1)) * VALUE(MID(AQ210,9,1)),VALUE(MID($AQ$1,10,1)) * VALUE(MID(AQ210,10,1)),VALUE(MID($AQ$1,11,1)) * VALUE(MID(AQ210,11,1)),VALUE(MID($AQ$1,12,1)) * VALUE(MID(AQ210,12,1)),VALUE(MID($AQ$1,13,1)) * VALUE(MID(AQ210,13,1)),VALUE(MID($AQ$1,14,1)) * VALUE(MID(AQ210,14,1)),VALUE(MID($AQ$1,15,1)) * VALUE(MID(AQ210,15,1)),VALUE(MID($AQ$1,16,1)) * VALUE(MID(AQ210,16,1))),11),"")</f>
        <v/>
      </c>
      <c r="AS210" s="109" t="str">
        <f t="shared" ref="AS210:AS273" si="93">IF(D211&lt;&gt;"",CONCATENATE(AQ210,IF(AR210&gt;9,"1",AR210)),"")</f>
        <v/>
      </c>
      <c r="AT210" s="63" t="str">
        <f t="shared" ref="AT210:AT273" si="94">CONCATENATE(G210,REPT(" ",20-LEN(G210)))</f>
        <v xml:space="preserve">                    </v>
      </c>
    </row>
    <row r="211" spans="1:46" ht="12.75" x14ac:dyDescent="0.2">
      <c r="A211" s="63" t="str">
        <f t="shared" si="76"/>
        <v/>
      </c>
      <c r="B211" s="185"/>
      <c r="C211" s="184"/>
      <c r="D211" s="184"/>
      <c r="E211" s="184"/>
      <c r="F211" s="184"/>
      <c r="G211" s="185"/>
      <c r="H211" s="185"/>
      <c r="I211" s="186"/>
      <c r="J211" s="69"/>
      <c r="AA211" s="63">
        <f t="shared" si="77"/>
        <v>0</v>
      </c>
      <c r="AB211" s="153" t="str">
        <f t="shared" si="78"/>
        <v>000</v>
      </c>
      <c r="AC211" s="165" t="str">
        <f t="shared" si="79"/>
        <v>00000000</v>
      </c>
      <c r="AD211" s="98" t="str">
        <f t="shared" si="80"/>
        <v>00000000</v>
      </c>
      <c r="AE211" s="150">
        <f t="shared" si="81"/>
        <v>0</v>
      </c>
      <c r="AF211" s="150">
        <f t="shared" si="82"/>
        <v>0</v>
      </c>
      <c r="AG211" s="98" t="str">
        <f t="shared" si="83"/>
        <v>0000000000</v>
      </c>
      <c r="AH211" s="151">
        <f t="shared" si="84"/>
        <v>0</v>
      </c>
      <c r="AI211" s="98" t="str">
        <f t="shared" si="85"/>
        <v>00</v>
      </c>
      <c r="AJ211" s="98" t="str">
        <f t="shared" si="86"/>
        <v>000000000000</v>
      </c>
      <c r="AK211" s="161" t="str">
        <f t="shared" si="87"/>
        <v xml:space="preserve">                              </v>
      </c>
      <c r="AL211" s="154">
        <f t="shared" si="88"/>
        <v>0</v>
      </c>
      <c r="AM211" s="155">
        <f t="shared" si="89"/>
        <v>0</v>
      </c>
      <c r="AP211" s="63" t="str">
        <f t="shared" si="90"/>
        <v/>
      </c>
      <c r="AQ211" s="63" t="str">
        <f t="shared" si="91"/>
        <v/>
      </c>
      <c r="AR211" s="152" t="str">
        <f t="shared" si="92"/>
        <v/>
      </c>
      <c r="AS211" s="109" t="str">
        <f t="shared" si="93"/>
        <v/>
      </c>
      <c r="AT211" s="63" t="str">
        <f t="shared" si="94"/>
        <v xml:space="preserve">                    </v>
      </c>
    </row>
    <row r="212" spans="1:46" ht="12.75" x14ac:dyDescent="0.2">
      <c r="A212" s="63" t="str">
        <f t="shared" si="76"/>
        <v/>
      </c>
      <c r="B212" s="185"/>
      <c r="C212" s="184"/>
      <c r="D212" s="184"/>
      <c r="E212" s="184"/>
      <c r="F212" s="184"/>
      <c r="G212" s="185"/>
      <c r="H212" s="185"/>
      <c r="I212" s="186"/>
      <c r="J212" s="69"/>
      <c r="AA212" s="63">
        <f t="shared" si="77"/>
        <v>0</v>
      </c>
      <c r="AB212" s="153" t="str">
        <f t="shared" si="78"/>
        <v>000</v>
      </c>
      <c r="AC212" s="165" t="str">
        <f t="shared" si="79"/>
        <v>00000000</v>
      </c>
      <c r="AD212" s="98" t="str">
        <f t="shared" si="80"/>
        <v>00000000</v>
      </c>
      <c r="AE212" s="150">
        <f t="shared" si="81"/>
        <v>0</v>
      </c>
      <c r="AF212" s="150">
        <f t="shared" si="82"/>
        <v>0</v>
      </c>
      <c r="AG212" s="98" t="str">
        <f t="shared" si="83"/>
        <v>0000000000</v>
      </c>
      <c r="AH212" s="151">
        <f t="shared" si="84"/>
        <v>0</v>
      </c>
      <c r="AI212" s="98" t="str">
        <f t="shared" si="85"/>
        <v>00</v>
      </c>
      <c r="AJ212" s="98" t="str">
        <f t="shared" si="86"/>
        <v>000000000000</v>
      </c>
      <c r="AK212" s="161" t="str">
        <f t="shared" si="87"/>
        <v xml:space="preserve">                              </v>
      </c>
      <c r="AL212" s="154">
        <f t="shared" si="88"/>
        <v>0</v>
      </c>
      <c r="AM212" s="155">
        <f t="shared" si="89"/>
        <v>0</v>
      </c>
      <c r="AP212" s="63" t="str">
        <f t="shared" si="90"/>
        <v/>
      </c>
      <c r="AQ212" s="63" t="str">
        <f t="shared" si="91"/>
        <v/>
      </c>
      <c r="AR212" s="152" t="str">
        <f t="shared" si="92"/>
        <v/>
      </c>
      <c r="AS212" s="109" t="str">
        <f t="shared" si="93"/>
        <v/>
      </c>
      <c r="AT212" s="63" t="str">
        <f t="shared" si="94"/>
        <v xml:space="preserve">                    </v>
      </c>
    </row>
    <row r="213" spans="1:46" ht="12.75" x14ac:dyDescent="0.2">
      <c r="A213" s="63" t="str">
        <f t="shared" si="76"/>
        <v/>
      </c>
      <c r="B213" s="185"/>
      <c r="C213" s="184"/>
      <c r="D213" s="184"/>
      <c r="E213" s="184"/>
      <c r="F213" s="184"/>
      <c r="G213" s="185"/>
      <c r="H213" s="185"/>
      <c r="I213" s="186"/>
      <c r="J213" s="69"/>
      <c r="AA213" s="63">
        <f t="shared" si="77"/>
        <v>0</v>
      </c>
      <c r="AB213" s="153" t="str">
        <f t="shared" si="78"/>
        <v>000</v>
      </c>
      <c r="AC213" s="165" t="str">
        <f t="shared" si="79"/>
        <v>00000000</v>
      </c>
      <c r="AD213" s="98" t="str">
        <f t="shared" si="80"/>
        <v>00000000</v>
      </c>
      <c r="AE213" s="150">
        <f t="shared" si="81"/>
        <v>0</v>
      </c>
      <c r="AF213" s="150">
        <f t="shared" si="82"/>
        <v>0</v>
      </c>
      <c r="AG213" s="98" t="str">
        <f t="shared" si="83"/>
        <v>0000000000</v>
      </c>
      <c r="AH213" s="151">
        <f t="shared" si="84"/>
        <v>0</v>
      </c>
      <c r="AI213" s="98" t="str">
        <f t="shared" si="85"/>
        <v>00</v>
      </c>
      <c r="AJ213" s="98" t="str">
        <f t="shared" si="86"/>
        <v>000000000000</v>
      </c>
      <c r="AK213" s="161" t="str">
        <f t="shared" si="87"/>
        <v xml:space="preserve">                              </v>
      </c>
      <c r="AL213" s="154">
        <f t="shared" si="88"/>
        <v>0</v>
      </c>
      <c r="AM213" s="155">
        <f t="shared" si="89"/>
        <v>0</v>
      </c>
      <c r="AP213" s="63" t="str">
        <f t="shared" si="90"/>
        <v/>
      </c>
      <c r="AQ213" s="63" t="str">
        <f t="shared" si="91"/>
        <v/>
      </c>
      <c r="AR213" s="152" t="str">
        <f t="shared" si="92"/>
        <v/>
      </c>
      <c r="AS213" s="109" t="str">
        <f t="shared" si="93"/>
        <v/>
      </c>
      <c r="AT213" s="63" t="str">
        <f t="shared" si="94"/>
        <v xml:space="preserve">                    </v>
      </c>
    </row>
    <row r="214" spans="1:46" ht="12.75" x14ac:dyDescent="0.2">
      <c r="A214" s="63" t="str">
        <f t="shared" si="76"/>
        <v/>
      </c>
      <c r="B214" s="185"/>
      <c r="C214" s="184"/>
      <c r="D214" s="184"/>
      <c r="E214" s="184"/>
      <c r="F214" s="184"/>
      <c r="G214" s="185"/>
      <c r="H214" s="185"/>
      <c r="I214" s="186"/>
      <c r="J214" s="69"/>
      <c r="AA214" s="63">
        <f t="shared" si="77"/>
        <v>0</v>
      </c>
      <c r="AB214" s="153" t="str">
        <f t="shared" si="78"/>
        <v>000</v>
      </c>
      <c r="AC214" s="165" t="str">
        <f t="shared" si="79"/>
        <v>00000000</v>
      </c>
      <c r="AD214" s="98" t="str">
        <f t="shared" si="80"/>
        <v>00000000</v>
      </c>
      <c r="AE214" s="150">
        <f t="shared" si="81"/>
        <v>0</v>
      </c>
      <c r="AF214" s="150">
        <f t="shared" si="82"/>
        <v>0</v>
      </c>
      <c r="AG214" s="98" t="str">
        <f t="shared" si="83"/>
        <v>0000000000</v>
      </c>
      <c r="AH214" s="151">
        <f t="shared" si="84"/>
        <v>0</v>
      </c>
      <c r="AI214" s="98" t="str">
        <f t="shared" si="85"/>
        <v>00</v>
      </c>
      <c r="AJ214" s="98" t="str">
        <f t="shared" si="86"/>
        <v>000000000000</v>
      </c>
      <c r="AK214" s="161" t="str">
        <f t="shared" si="87"/>
        <v xml:space="preserve">                              </v>
      </c>
      <c r="AL214" s="154">
        <f t="shared" si="88"/>
        <v>0</v>
      </c>
      <c r="AM214" s="155">
        <f t="shared" si="89"/>
        <v>0</v>
      </c>
      <c r="AP214" s="63" t="str">
        <f t="shared" si="90"/>
        <v/>
      </c>
      <c r="AQ214" s="63" t="str">
        <f t="shared" si="91"/>
        <v/>
      </c>
      <c r="AR214" s="152" t="str">
        <f t="shared" si="92"/>
        <v/>
      </c>
      <c r="AS214" s="109" t="str">
        <f t="shared" si="93"/>
        <v/>
      </c>
      <c r="AT214" s="63" t="str">
        <f t="shared" si="94"/>
        <v xml:space="preserve">                    </v>
      </c>
    </row>
    <row r="215" spans="1:46" ht="12.75" x14ac:dyDescent="0.2">
      <c r="A215" s="63" t="str">
        <f t="shared" si="76"/>
        <v/>
      </c>
      <c r="B215" s="185"/>
      <c r="C215" s="184"/>
      <c r="D215" s="184"/>
      <c r="E215" s="184"/>
      <c r="F215" s="184"/>
      <c r="G215" s="185"/>
      <c r="H215" s="185"/>
      <c r="I215" s="186"/>
      <c r="J215" s="69"/>
      <c r="AA215" s="63">
        <f t="shared" si="77"/>
        <v>0</v>
      </c>
      <c r="AB215" s="153" t="str">
        <f t="shared" si="78"/>
        <v>000</v>
      </c>
      <c r="AC215" s="165" t="str">
        <f t="shared" si="79"/>
        <v>00000000</v>
      </c>
      <c r="AD215" s="98" t="str">
        <f t="shared" si="80"/>
        <v>00000000</v>
      </c>
      <c r="AE215" s="150">
        <f t="shared" si="81"/>
        <v>0</v>
      </c>
      <c r="AF215" s="150">
        <f t="shared" si="82"/>
        <v>0</v>
      </c>
      <c r="AG215" s="98" t="str">
        <f t="shared" si="83"/>
        <v>0000000000</v>
      </c>
      <c r="AH215" s="151">
        <f t="shared" si="84"/>
        <v>0</v>
      </c>
      <c r="AI215" s="98" t="str">
        <f t="shared" si="85"/>
        <v>00</v>
      </c>
      <c r="AJ215" s="98" t="str">
        <f t="shared" si="86"/>
        <v>000000000000</v>
      </c>
      <c r="AK215" s="161" t="str">
        <f t="shared" si="87"/>
        <v xml:space="preserve">                              </v>
      </c>
      <c r="AL215" s="154">
        <f t="shared" si="88"/>
        <v>0</v>
      </c>
      <c r="AM215" s="155">
        <f t="shared" si="89"/>
        <v>0</v>
      </c>
      <c r="AP215" s="63" t="str">
        <f t="shared" si="90"/>
        <v/>
      </c>
      <c r="AQ215" s="63" t="str">
        <f t="shared" si="91"/>
        <v/>
      </c>
      <c r="AR215" s="152" t="str">
        <f t="shared" si="92"/>
        <v/>
      </c>
      <c r="AS215" s="109" t="str">
        <f t="shared" si="93"/>
        <v/>
      </c>
      <c r="AT215" s="63" t="str">
        <f t="shared" si="94"/>
        <v xml:space="preserve">                    </v>
      </c>
    </row>
    <row r="216" spans="1:46" ht="12.75" x14ac:dyDescent="0.2">
      <c r="A216" s="63" t="str">
        <f t="shared" si="76"/>
        <v/>
      </c>
      <c r="B216" s="185"/>
      <c r="C216" s="184"/>
      <c r="D216" s="184"/>
      <c r="E216" s="184"/>
      <c r="F216" s="184"/>
      <c r="G216" s="185"/>
      <c r="H216" s="185"/>
      <c r="I216" s="186"/>
      <c r="J216" s="69"/>
      <c r="AA216" s="63">
        <f t="shared" si="77"/>
        <v>0</v>
      </c>
      <c r="AB216" s="153" t="str">
        <f t="shared" si="78"/>
        <v>000</v>
      </c>
      <c r="AC216" s="165" t="str">
        <f t="shared" si="79"/>
        <v>00000000</v>
      </c>
      <c r="AD216" s="98" t="str">
        <f t="shared" si="80"/>
        <v>00000000</v>
      </c>
      <c r="AE216" s="150">
        <f t="shared" si="81"/>
        <v>0</v>
      </c>
      <c r="AF216" s="150">
        <f t="shared" si="82"/>
        <v>0</v>
      </c>
      <c r="AG216" s="98" t="str">
        <f t="shared" si="83"/>
        <v>0000000000</v>
      </c>
      <c r="AH216" s="151">
        <f t="shared" si="84"/>
        <v>0</v>
      </c>
      <c r="AI216" s="98" t="str">
        <f t="shared" si="85"/>
        <v>00</v>
      </c>
      <c r="AJ216" s="98" t="str">
        <f t="shared" si="86"/>
        <v>000000000000</v>
      </c>
      <c r="AK216" s="161" t="str">
        <f t="shared" si="87"/>
        <v xml:space="preserve">                              </v>
      </c>
      <c r="AL216" s="154">
        <f t="shared" si="88"/>
        <v>0</v>
      </c>
      <c r="AM216" s="155">
        <f t="shared" si="89"/>
        <v>0</v>
      </c>
      <c r="AP216" s="63" t="str">
        <f t="shared" si="90"/>
        <v/>
      </c>
      <c r="AQ216" s="63" t="str">
        <f t="shared" si="91"/>
        <v/>
      </c>
      <c r="AR216" s="152" t="str">
        <f t="shared" si="92"/>
        <v/>
      </c>
      <c r="AS216" s="109" t="str">
        <f t="shared" si="93"/>
        <v/>
      </c>
      <c r="AT216" s="63" t="str">
        <f t="shared" si="94"/>
        <v xml:space="preserve">                    </v>
      </c>
    </row>
    <row r="217" spans="1:46" ht="12.75" x14ac:dyDescent="0.2">
      <c r="A217" s="63" t="str">
        <f t="shared" si="76"/>
        <v/>
      </c>
      <c r="B217" s="185"/>
      <c r="C217" s="184"/>
      <c r="D217" s="184"/>
      <c r="E217" s="184"/>
      <c r="F217" s="184"/>
      <c r="G217" s="185"/>
      <c r="H217" s="185"/>
      <c r="I217" s="186"/>
      <c r="J217" s="69"/>
      <c r="AA217" s="63">
        <f t="shared" si="77"/>
        <v>0</v>
      </c>
      <c r="AB217" s="153" t="str">
        <f t="shared" si="78"/>
        <v>000</v>
      </c>
      <c r="AC217" s="165" t="str">
        <f t="shared" si="79"/>
        <v>00000000</v>
      </c>
      <c r="AD217" s="98" t="str">
        <f t="shared" si="80"/>
        <v>00000000</v>
      </c>
      <c r="AE217" s="150">
        <f t="shared" si="81"/>
        <v>0</v>
      </c>
      <c r="AF217" s="150">
        <f t="shared" si="82"/>
        <v>0</v>
      </c>
      <c r="AG217" s="98" t="str">
        <f t="shared" si="83"/>
        <v>0000000000</v>
      </c>
      <c r="AH217" s="151">
        <f t="shared" si="84"/>
        <v>0</v>
      </c>
      <c r="AI217" s="98" t="str">
        <f t="shared" si="85"/>
        <v>00</v>
      </c>
      <c r="AJ217" s="98" t="str">
        <f t="shared" si="86"/>
        <v>000000000000</v>
      </c>
      <c r="AK217" s="161" t="str">
        <f t="shared" si="87"/>
        <v xml:space="preserve">                              </v>
      </c>
      <c r="AL217" s="154">
        <f t="shared" si="88"/>
        <v>0</v>
      </c>
      <c r="AM217" s="155">
        <f t="shared" si="89"/>
        <v>0</v>
      </c>
      <c r="AP217" s="63" t="str">
        <f t="shared" si="90"/>
        <v/>
      </c>
      <c r="AQ217" s="63" t="str">
        <f t="shared" si="91"/>
        <v/>
      </c>
      <c r="AR217" s="152" t="str">
        <f t="shared" si="92"/>
        <v/>
      </c>
      <c r="AS217" s="109" t="str">
        <f t="shared" si="93"/>
        <v/>
      </c>
      <c r="AT217" s="63" t="str">
        <f t="shared" si="94"/>
        <v xml:space="preserve">                    </v>
      </c>
    </row>
    <row r="218" spans="1:46" ht="12.75" x14ac:dyDescent="0.2">
      <c r="A218" s="63" t="str">
        <f t="shared" si="76"/>
        <v/>
      </c>
      <c r="B218" s="185"/>
      <c r="C218" s="184"/>
      <c r="D218" s="184"/>
      <c r="E218" s="184"/>
      <c r="F218" s="184"/>
      <c r="G218" s="185"/>
      <c r="H218" s="185"/>
      <c r="I218" s="186"/>
      <c r="J218" s="69"/>
      <c r="AA218" s="63">
        <f t="shared" si="77"/>
        <v>0</v>
      </c>
      <c r="AB218" s="153" t="str">
        <f t="shared" si="78"/>
        <v>000</v>
      </c>
      <c r="AC218" s="165" t="str">
        <f t="shared" si="79"/>
        <v>00000000</v>
      </c>
      <c r="AD218" s="98" t="str">
        <f t="shared" si="80"/>
        <v>00000000</v>
      </c>
      <c r="AE218" s="150">
        <f t="shared" si="81"/>
        <v>0</v>
      </c>
      <c r="AF218" s="150">
        <f t="shared" si="82"/>
        <v>0</v>
      </c>
      <c r="AG218" s="98" t="str">
        <f t="shared" si="83"/>
        <v>0000000000</v>
      </c>
      <c r="AH218" s="151">
        <f t="shared" si="84"/>
        <v>0</v>
      </c>
      <c r="AI218" s="98" t="str">
        <f t="shared" si="85"/>
        <v>00</v>
      </c>
      <c r="AJ218" s="98" t="str">
        <f t="shared" si="86"/>
        <v>000000000000</v>
      </c>
      <c r="AK218" s="161" t="str">
        <f t="shared" si="87"/>
        <v xml:space="preserve">                              </v>
      </c>
      <c r="AL218" s="154">
        <f t="shared" si="88"/>
        <v>0</v>
      </c>
      <c r="AM218" s="155">
        <f t="shared" si="89"/>
        <v>0</v>
      </c>
      <c r="AP218" s="63" t="str">
        <f t="shared" si="90"/>
        <v/>
      </c>
      <c r="AQ218" s="63" t="str">
        <f t="shared" si="91"/>
        <v/>
      </c>
      <c r="AR218" s="152" t="str">
        <f t="shared" si="92"/>
        <v/>
      </c>
      <c r="AS218" s="109" t="str">
        <f t="shared" si="93"/>
        <v/>
      </c>
      <c r="AT218" s="63" t="str">
        <f t="shared" si="94"/>
        <v xml:space="preserve">                    </v>
      </c>
    </row>
    <row r="219" spans="1:46" ht="12.75" x14ac:dyDescent="0.2">
      <c r="A219" s="63" t="str">
        <f t="shared" si="76"/>
        <v/>
      </c>
      <c r="B219" s="185"/>
      <c r="C219" s="184"/>
      <c r="D219" s="184"/>
      <c r="E219" s="184"/>
      <c r="F219" s="184"/>
      <c r="G219" s="185"/>
      <c r="H219" s="185"/>
      <c r="I219" s="186"/>
      <c r="J219" s="69"/>
      <c r="AA219" s="63">
        <f t="shared" si="77"/>
        <v>0</v>
      </c>
      <c r="AB219" s="153" t="str">
        <f t="shared" si="78"/>
        <v>000</v>
      </c>
      <c r="AC219" s="165" t="str">
        <f t="shared" si="79"/>
        <v>00000000</v>
      </c>
      <c r="AD219" s="98" t="str">
        <f t="shared" si="80"/>
        <v>00000000</v>
      </c>
      <c r="AE219" s="150">
        <f t="shared" si="81"/>
        <v>0</v>
      </c>
      <c r="AF219" s="150">
        <f t="shared" si="82"/>
        <v>0</v>
      </c>
      <c r="AG219" s="98" t="str">
        <f t="shared" si="83"/>
        <v>0000000000</v>
      </c>
      <c r="AH219" s="151">
        <f t="shared" si="84"/>
        <v>0</v>
      </c>
      <c r="AI219" s="98" t="str">
        <f t="shared" si="85"/>
        <v>00</v>
      </c>
      <c r="AJ219" s="98" t="str">
        <f t="shared" si="86"/>
        <v>000000000000</v>
      </c>
      <c r="AK219" s="161" t="str">
        <f t="shared" si="87"/>
        <v xml:space="preserve">                              </v>
      </c>
      <c r="AL219" s="154">
        <f t="shared" si="88"/>
        <v>0</v>
      </c>
      <c r="AM219" s="155">
        <f t="shared" si="89"/>
        <v>0</v>
      </c>
      <c r="AP219" s="63" t="str">
        <f t="shared" si="90"/>
        <v/>
      </c>
      <c r="AQ219" s="63" t="str">
        <f t="shared" si="91"/>
        <v/>
      </c>
      <c r="AR219" s="152" t="str">
        <f t="shared" si="92"/>
        <v/>
      </c>
      <c r="AS219" s="109" t="str">
        <f t="shared" si="93"/>
        <v/>
      </c>
      <c r="AT219" s="63" t="str">
        <f t="shared" si="94"/>
        <v xml:space="preserve">                    </v>
      </c>
    </row>
    <row r="220" spans="1:46" ht="12.75" x14ac:dyDescent="0.2">
      <c r="A220" s="63" t="str">
        <f t="shared" si="76"/>
        <v/>
      </c>
      <c r="B220" s="185"/>
      <c r="C220" s="184"/>
      <c r="D220" s="184"/>
      <c r="E220" s="184"/>
      <c r="F220" s="184"/>
      <c r="G220" s="185"/>
      <c r="H220" s="185"/>
      <c r="I220" s="186"/>
      <c r="J220" s="69"/>
      <c r="AA220" s="63">
        <f t="shared" si="77"/>
        <v>0</v>
      </c>
      <c r="AB220" s="153" t="str">
        <f t="shared" si="78"/>
        <v>000</v>
      </c>
      <c r="AC220" s="165" t="str">
        <f t="shared" si="79"/>
        <v>00000000</v>
      </c>
      <c r="AD220" s="98" t="str">
        <f t="shared" si="80"/>
        <v>00000000</v>
      </c>
      <c r="AE220" s="150">
        <f t="shared" si="81"/>
        <v>0</v>
      </c>
      <c r="AF220" s="150">
        <f t="shared" si="82"/>
        <v>0</v>
      </c>
      <c r="AG220" s="98" t="str">
        <f t="shared" si="83"/>
        <v>0000000000</v>
      </c>
      <c r="AH220" s="151">
        <f t="shared" si="84"/>
        <v>0</v>
      </c>
      <c r="AI220" s="98" t="str">
        <f t="shared" si="85"/>
        <v>00</v>
      </c>
      <c r="AJ220" s="98" t="str">
        <f t="shared" si="86"/>
        <v>000000000000</v>
      </c>
      <c r="AK220" s="161" t="str">
        <f t="shared" si="87"/>
        <v xml:space="preserve">                              </v>
      </c>
      <c r="AL220" s="154">
        <f t="shared" si="88"/>
        <v>0</v>
      </c>
      <c r="AM220" s="155">
        <f t="shared" si="89"/>
        <v>0</v>
      </c>
      <c r="AP220" s="63" t="str">
        <f t="shared" si="90"/>
        <v/>
      </c>
      <c r="AQ220" s="63" t="str">
        <f t="shared" si="91"/>
        <v/>
      </c>
      <c r="AR220" s="152" t="str">
        <f t="shared" si="92"/>
        <v/>
      </c>
      <c r="AS220" s="109" t="str">
        <f t="shared" si="93"/>
        <v/>
      </c>
      <c r="AT220" s="63" t="str">
        <f t="shared" si="94"/>
        <v xml:space="preserve">                    </v>
      </c>
    </row>
    <row r="221" spans="1:46" ht="12.75" x14ac:dyDescent="0.2">
      <c r="A221" s="63" t="str">
        <f t="shared" si="76"/>
        <v/>
      </c>
      <c r="B221" s="185"/>
      <c r="C221" s="184"/>
      <c r="D221" s="184"/>
      <c r="E221" s="184"/>
      <c r="F221" s="184"/>
      <c r="G221" s="185"/>
      <c r="H221" s="185"/>
      <c r="I221" s="186"/>
      <c r="J221" s="69"/>
      <c r="AA221" s="63">
        <f t="shared" si="77"/>
        <v>0</v>
      </c>
      <c r="AB221" s="153" t="str">
        <f t="shared" si="78"/>
        <v>000</v>
      </c>
      <c r="AC221" s="165" t="str">
        <f t="shared" si="79"/>
        <v>00000000</v>
      </c>
      <c r="AD221" s="98" t="str">
        <f t="shared" si="80"/>
        <v>00000000</v>
      </c>
      <c r="AE221" s="150">
        <f t="shared" si="81"/>
        <v>0</v>
      </c>
      <c r="AF221" s="150">
        <f t="shared" si="82"/>
        <v>0</v>
      </c>
      <c r="AG221" s="98" t="str">
        <f t="shared" si="83"/>
        <v>0000000000</v>
      </c>
      <c r="AH221" s="151">
        <f t="shared" si="84"/>
        <v>0</v>
      </c>
      <c r="AI221" s="98" t="str">
        <f t="shared" si="85"/>
        <v>00</v>
      </c>
      <c r="AJ221" s="98" t="str">
        <f t="shared" si="86"/>
        <v>000000000000</v>
      </c>
      <c r="AK221" s="161" t="str">
        <f t="shared" si="87"/>
        <v xml:space="preserve">                              </v>
      </c>
      <c r="AL221" s="154">
        <f t="shared" si="88"/>
        <v>0</v>
      </c>
      <c r="AM221" s="155">
        <f t="shared" si="89"/>
        <v>0</v>
      </c>
      <c r="AP221" s="63" t="str">
        <f t="shared" si="90"/>
        <v/>
      </c>
      <c r="AQ221" s="63" t="str">
        <f t="shared" si="91"/>
        <v/>
      </c>
      <c r="AR221" s="152" t="str">
        <f t="shared" si="92"/>
        <v/>
      </c>
      <c r="AS221" s="109" t="str">
        <f t="shared" si="93"/>
        <v/>
      </c>
      <c r="AT221" s="63" t="str">
        <f t="shared" si="94"/>
        <v xml:space="preserve">                    </v>
      </c>
    </row>
    <row r="222" spans="1:46" ht="12.75" x14ac:dyDescent="0.2">
      <c r="A222" s="63" t="str">
        <f t="shared" si="76"/>
        <v/>
      </c>
      <c r="B222" s="185"/>
      <c r="C222" s="184"/>
      <c r="D222" s="184"/>
      <c r="E222" s="184"/>
      <c r="F222" s="184"/>
      <c r="G222" s="185"/>
      <c r="H222" s="185"/>
      <c r="I222" s="186"/>
      <c r="J222" s="69"/>
      <c r="AA222" s="63">
        <f t="shared" si="77"/>
        <v>0</v>
      </c>
      <c r="AB222" s="153" t="str">
        <f t="shared" si="78"/>
        <v>000</v>
      </c>
      <c r="AC222" s="165" t="str">
        <f t="shared" si="79"/>
        <v>00000000</v>
      </c>
      <c r="AD222" s="98" t="str">
        <f t="shared" si="80"/>
        <v>00000000</v>
      </c>
      <c r="AE222" s="150">
        <f t="shared" si="81"/>
        <v>0</v>
      </c>
      <c r="AF222" s="150">
        <f t="shared" si="82"/>
        <v>0</v>
      </c>
      <c r="AG222" s="98" t="str">
        <f t="shared" si="83"/>
        <v>0000000000</v>
      </c>
      <c r="AH222" s="151">
        <f t="shared" si="84"/>
        <v>0</v>
      </c>
      <c r="AI222" s="98" t="str">
        <f t="shared" si="85"/>
        <v>00</v>
      </c>
      <c r="AJ222" s="98" t="str">
        <f t="shared" si="86"/>
        <v>000000000000</v>
      </c>
      <c r="AK222" s="161" t="str">
        <f t="shared" si="87"/>
        <v xml:space="preserve">                              </v>
      </c>
      <c r="AL222" s="154">
        <f t="shared" si="88"/>
        <v>0</v>
      </c>
      <c r="AM222" s="155">
        <f t="shared" si="89"/>
        <v>0</v>
      </c>
      <c r="AP222" s="63" t="str">
        <f t="shared" si="90"/>
        <v/>
      </c>
      <c r="AQ222" s="63" t="str">
        <f t="shared" si="91"/>
        <v/>
      </c>
      <c r="AR222" s="152" t="str">
        <f t="shared" si="92"/>
        <v/>
      </c>
      <c r="AS222" s="109" t="str">
        <f t="shared" si="93"/>
        <v/>
      </c>
      <c r="AT222" s="63" t="str">
        <f t="shared" si="94"/>
        <v xml:space="preserve">                    </v>
      </c>
    </row>
    <row r="223" spans="1:46" ht="12.75" x14ac:dyDescent="0.2">
      <c r="A223" s="63" t="str">
        <f t="shared" si="76"/>
        <v/>
      </c>
      <c r="B223" s="185"/>
      <c r="C223" s="184"/>
      <c r="D223" s="184"/>
      <c r="E223" s="184"/>
      <c r="F223" s="184"/>
      <c r="G223" s="185"/>
      <c r="H223" s="185"/>
      <c r="I223" s="186"/>
      <c r="J223" s="69"/>
      <c r="AA223" s="63">
        <f t="shared" si="77"/>
        <v>0</v>
      </c>
      <c r="AB223" s="153" t="str">
        <f t="shared" si="78"/>
        <v>000</v>
      </c>
      <c r="AC223" s="165" t="str">
        <f t="shared" si="79"/>
        <v>00000000</v>
      </c>
      <c r="AD223" s="98" t="str">
        <f t="shared" si="80"/>
        <v>00000000</v>
      </c>
      <c r="AE223" s="150">
        <f t="shared" si="81"/>
        <v>0</v>
      </c>
      <c r="AF223" s="150">
        <f t="shared" si="82"/>
        <v>0</v>
      </c>
      <c r="AG223" s="98" t="str">
        <f t="shared" si="83"/>
        <v>0000000000</v>
      </c>
      <c r="AH223" s="151">
        <f t="shared" si="84"/>
        <v>0</v>
      </c>
      <c r="AI223" s="98" t="str">
        <f t="shared" si="85"/>
        <v>00</v>
      </c>
      <c r="AJ223" s="98" t="str">
        <f t="shared" si="86"/>
        <v>000000000000</v>
      </c>
      <c r="AK223" s="161" t="str">
        <f t="shared" si="87"/>
        <v xml:space="preserve">                              </v>
      </c>
      <c r="AL223" s="154">
        <f t="shared" si="88"/>
        <v>0</v>
      </c>
      <c r="AM223" s="155">
        <f t="shared" si="89"/>
        <v>0</v>
      </c>
      <c r="AP223" s="63" t="str">
        <f t="shared" si="90"/>
        <v/>
      </c>
      <c r="AQ223" s="63" t="str">
        <f t="shared" si="91"/>
        <v/>
      </c>
      <c r="AR223" s="152" t="str">
        <f t="shared" si="92"/>
        <v/>
      </c>
      <c r="AS223" s="109" t="str">
        <f t="shared" si="93"/>
        <v/>
      </c>
      <c r="AT223" s="63" t="str">
        <f t="shared" si="94"/>
        <v xml:space="preserve">                    </v>
      </c>
    </row>
    <row r="224" spans="1:46" ht="12.75" x14ac:dyDescent="0.2">
      <c r="A224" s="63" t="str">
        <f t="shared" si="76"/>
        <v/>
      </c>
      <c r="B224" s="185"/>
      <c r="C224" s="184"/>
      <c r="D224" s="184"/>
      <c r="E224" s="184"/>
      <c r="F224" s="184"/>
      <c r="G224" s="185"/>
      <c r="H224" s="185"/>
      <c r="I224" s="186"/>
      <c r="J224" s="69"/>
      <c r="AA224" s="63">
        <f t="shared" si="77"/>
        <v>0</v>
      </c>
      <c r="AB224" s="153" t="str">
        <f t="shared" si="78"/>
        <v>000</v>
      </c>
      <c r="AC224" s="165" t="str">
        <f t="shared" si="79"/>
        <v>00000000</v>
      </c>
      <c r="AD224" s="98" t="str">
        <f t="shared" si="80"/>
        <v>00000000</v>
      </c>
      <c r="AE224" s="150">
        <f t="shared" si="81"/>
        <v>0</v>
      </c>
      <c r="AF224" s="150">
        <f t="shared" si="82"/>
        <v>0</v>
      </c>
      <c r="AG224" s="98" t="str">
        <f t="shared" si="83"/>
        <v>0000000000</v>
      </c>
      <c r="AH224" s="151">
        <f t="shared" si="84"/>
        <v>0</v>
      </c>
      <c r="AI224" s="98" t="str">
        <f t="shared" si="85"/>
        <v>00</v>
      </c>
      <c r="AJ224" s="98" t="str">
        <f t="shared" si="86"/>
        <v>000000000000</v>
      </c>
      <c r="AK224" s="161" t="str">
        <f t="shared" si="87"/>
        <v xml:space="preserve">                              </v>
      </c>
      <c r="AL224" s="154">
        <f t="shared" si="88"/>
        <v>0</v>
      </c>
      <c r="AM224" s="155">
        <f t="shared" si="89"/>
        <v>0</v>
      </c>
      <c r="AP224" s="63" t="str">
        <f t="shared" si="90"/>
        <v/>
      </c>
      <c r="AQ224" s="63" t="str">
        <f t="shared" si="91"/>
        <v/>
      </c>
      <c r="AR224" s="152" t="str">
        <f t="shared" si="92"/>
        <v/>
      </c>
      <c r="AS224" s="109" t="str">
        <f t="shared" si="93"/>
        <v/>
      </c>
      <c r="AT224" s="63" t="str">
        <f t="shared" si="94"/>
        <v xml:space="preserve">                    </v>
      </c>
    </row>
    <row r="225" spans="1:46" ht="12.75" x14ac:dyDescent="0.2">
      <c r="A225" s="63" t="str">
        <f t="shared" si="76"/>
        <v/>
      </c>
      <c r="B225" s="185"/>
      <c r="C225" s="184"/>
      <c r="D225" s="184"/>
      <c r="E225" s="184"/>
      <c r="F225" s="184"/>
      <c r="G225" s="185"/>
      <c r="H225" s="185"/>
      <c r="I225" s="186"/>
      <c r="J225" s="69"/>
      <c r="AA225" s="63">
        <f t="shared" si="77"/>
        <v>0</v>
      </c>
      <c r="AB225" s="153" t="str">
        <f t="shared" si="78"/>
        <v>000</v>
      </c>
      <c r="AC225" s="165" t="str">
        <f t="shared" si="79"/>
        <v>00000000</v>
      </c>
      <c r="AD225" s="98" t="str">
        <f t="shared" si="80"/>
        <v>00000000</v>
      </c>
      <c r="AE225" s="150">
        <f t="shared" si="81"/>
        <v>0</v>
      </c>
      <c r="AF225" s="150">
        <f t="shared" si="82"/>
        <v>0</v>
      </c>
      <c r="AG225" s="98" t="str">
        <f t="shared" si="83"/>
        <v>0000000000</v>
      </c>
      <c r="AH225" s="151">
        <f t="shared" si="84"/>
        <v>0</v>
      </c>
      <c r="AI225" s="98" t="str">
        <f t="shared" si="85"/>
        <v>00</v>
      </c>
      <c r="AJ225" s="98" t="str">
        <f t="shared" si="86"/>
        <v>000000000000</v>
      </c>
      <c r="AK225" s="161" t="str">
        <f t="shared" si="87"/>
        <v xml:space="preserve">                              </v>
      </c>
      <c r="AL225" s="154">
        <f t="shared" si="88"/>
        <v>0</v>
      </c>
      <c r="AM225" s="155">
        <f t="shared" si="89"/>
        <v>0</v>
      </c>
      <c r="AP225" s="63" t="str">
        <f t="shared" si="90"/>
        <v/>
      </c>
      <c r="AQ225" s="63" t="str">
        <f t="shared" si="91"/>
        <v/>
      </c>
      <c r="AR225" s="152" t="str">
        <f t="shared" si="92"/>
        <v/>
      </c>
      <c r="AS225" s="109" t="str">
        <f t="shared" si="93"/>
        <v/>
      </c>
      <c r="AT225" s="63" t="str">
        <f t="shared" si="94"/>
        <v xml:space="preserve">                    </v>
      </c>
    </row>
    <row r="226" spans="1:46" ht="12.75" x14ac:dyDescent="0.2">
      <c r="A226" s="63" t="str">
        <f t="shared" si="76"/>
        <v/>
      </c>
      <c r="B226" s="185"/>
      <c r="C226" s="184"/>
      <c r="D226" s="184"/>
      <c r="E226" s="184"/>
      <c r="F226" s="184"/>
      <c r="G226" s="185"/>
      <c r="H226" s="185"/>
      <c r="I226" s="186"/>
      <c r="J226" s="69"/>
      <c r="AA226" s="63">
        <f t="shared" si="77"/>
        <v>0</v>
      </c>
      <c r="AB226" s="153" t="str">
        <f t="shared" si="78"/>
        <v>000</v>
      </c>
      <c r="AC226" s="165" t="str">
        <f t="shared" si="79"/>
        <v>00000000</v>
      </c>
      <c r="AD226" s="98" t="str">
        <f t="shared" si="80"/>
        <v>00000000</v>
      </c>
      <c r="AE226" s="150">
        <f t="shared" si="81"/>
        <v>0</v>
      </c>
      <c r="AF226" s="150">
        <f t="shared" si="82"/>
        <v>0</v>
      </c>
      <c r="AG226" s="98" t="str">
        <f t="shared" si="83"/>
        <v>0000000000</v>
      </c>
      <c r="AH226" s="151">
        <f t="shared" si="84"/>
        <v>0</v>
      </c>
      <c r="AI226" s="98" t="str">
        <f t="shared" si="85"/>
        <v>00</v>
      </c>
      <c r="AJ226" s="98" t="str">
        <f t="shared" si="86"/>
        <v>000000000000</v>
      </c>
      <c r="AK226" s="161" t="str">
        <f t="shared" si="87"/>
        <v xml:space="preserve">                              </v>
      </c>
      <c r="AL226" s="154">
        <f t="shared" si="88"/>
        <v>0</v>
      </c>
      <c r="AM226" s="155">
        <f t="shared" si="89"/>
        <v>0</v>
      </c>
      <c r="AP226" s="63" t="str">
        <f t="shared" si="90"/>
        <v/>
      </c>
      <c r="AQ226" s="63" t="str">
        <f t="shared" si="91"/>
        <v/>
      </c>
      <c r="AR226" s="152" t="str">
        <f t="shared" si="92"/>
        <v/>
      </c>
      <c r="AS226" s="109" t="str">
        <f t="shared" si="93"/>
        <v/>
      </c>
      <c r="AT226" s="63" t="str">
        <f t="shared" si="94"/>
        <v xml:space="preserve">                    </v>
      </c>
    </row>
    <row r="227" spans="1:46" ht="12.75" x14ac:dyDescent="0.2">
      <c r="A227" s="63" t="str">
        <f t="shared" si="76"/>
        <v/>
      </c>
      <c r="B227" s="185"/>
      <c r="C227" s="184"/>
      <c r="D227" s="184"/>
      <c r="E227" s="184"/>
      <c r="F227" s="184"/>
      <c r="G227" s="185"/>
      <c r="H227" s="185"/>
      <c r="I227" s="186"/>
      <c r="J227" s="69"/>
      <c r="AA227" s="63">
        <f t="shared" si="77"/>
        <v>0</v>
      </c>
      <c r="AB227" s="153" t="str">
        <f t="shared" si="78"/>
        <v>000</v>
      </c>
      <c r="AC227" s="165" t="str">
        <f t="shared" si="79"/>
        <v>00000000</v>
      </c>
      <c r="AD227" s="98" t="str">
        <f t="shared" si="80"/>
        <v>00000000</v>
      </c>
      <c r="AE227" s="150">
        <f t="shared" si="81"/>
        <v>0</v>
      </c>
      <c r="AF227" s="150">
        <f t="shared" si="82"/>
        <v>0</v>
      </c>
      <c r="AG227" s="98" t="str">
        <f t="shared" si="83"/>
        <v>0000000000</v>
      </c>
      <c r="AH227" s="151">
        <f t="shared" si="84"/>
        <v>0</v>
      </c>
      <c r="AI227" s="98" t="str">
        <f t="shared" si="85"/>
        <v>00</v>
      </c>
      <c r="AJ227" s="98" t="str">
        <f t="shared" si="86"/>
        <v>000000000000</v>
      </c>
      <c r="AK227" s="161" t="str">
        <f t="shared" si="87"/>
        <v xml:space="preserve">                              </v>
      </c>
      <c r="AL227" s="154">
        <f t="shared" si="88"/>
        <v>0</v>
      </c>
      <c r="AM227" s="155">
        <f t="shared" si="89"/>
        <v>0</v>
      </c>
      <c r="AP227" s="63" t="str">
        <f t="shared" si="90"/>
        <v/>
      </c>
      <c r="AQ227" s="63" t="str">
        <f t="shared" si="91"/>
        <v/>
      </c>
      <c r="AR227" s="152" t="str">
        <f t="shared" si="92"/>
        <v/>
      </c>
      <c r="AS227" s="109" t="str">
        <f t="shared" si="93"/>
        <v/>
      </c>
      <c r="AT227" s="63" t="str">
        <f t="shared" si="94"/>
        <v xml:space="preserve">                    </v>
      </c>
    </row>
    <row r="228" spans="1:46" ht="12.75" x14ac:dyDescent="0.2">
      <c r="A228" s="63" t="str">
        <f t="shared" si="76"/>
        <v/>
      </c>
      <c r="B228" s="185"/>
      <c r="C228" s="184"/>
      <c r="D228" s="184"/>
      <c r="E228" s="184"/>
      <c r="F228" s="184"/>
      <c r="G228" s="185"/>
      <c r="H228" s="185"/>
      <c r="I228" s="186"/>
      <c r="J228" s="69"/>
      <c r="AA228" s="63">
        <f t="shared" si="77"/>
        <v>0</v>
      </c>
      <c r="AB228" s="153" t="str">
        <f t="shared" si="78"/>
        <v>000</v>
      </c>
      <c r="AC228" s="165" t="str">
        <f t="shared" si="79"/>
        <v>00000000</v>
      </c>
      <c r="AD228" s="98" t="str">
        <f t="shared" si="80"/>
        <v>00000000</v>
      </c>
      <c r="AE228" s="150">
        <f t="shared" si="81"/>
        <v>0</v>
      </c>
      <c r="AF228" s="150">
        <f t="shared" si="82"/>
        <v>0</v>
      </c>
      <c r="AG228" s="98" t="str">
        <f t="shared" si="83"/>
        <v>0000000000</v>
      </c>
      <c r="AH228" s="151">
        <f t="shared" si="84"/>
        <v>0</v>
      </c>
      <c r="AI228" s="98" t="str">
        <f t="shared" si="85"/>
        <v>00</v>
      </c>
      <c r="AJ228" s="98" t="str">
        <f t="shared" si="86"/>
        <v>000000000000</v>
      </c>
      <c r="AK228" s="161" t="str">
        <f t="shared" si="87"/>
        <v xml:space="preserve">                              </v>
      </c>
      <c r="AL228" s="154">
        <f t="shared" si="88"/>
        <v>0</v>
      </c>
      <c r="AM228" s="155">
        <f t="shared" si="89"/>
        <v>0</v>
      </c>
      <c r="AP228" s="63" t="str">
        <f t="shared" si="90"/>
        <v/>
      </c>
      <c r="AQ228" s="63" t="str">
        <f t="shared" si="91"/>
        <v/>
      </c>
      <c r="AR228" s="152" t="str">
        <f t="shared" si="92"/>
        <v/>
      </c>
      <c r="AS228" s="109" t="str">
        <f t="shared" si="93"/>
        <v/>
      </c>
      <c r="AT228" s="63" t="str">
        <f t="shared" si="94"/>
        <v xml:space="preserve">                    </v>
      </c>
    </row>
    <row r="229" spans="1:46" ht="12.75" x14ac:dyDescent="0.2">
      <c r="A229" s="63" t="str">
        <f t="shared" si="76"/>
        <v/>
      </c>
      <c r="B229" s="185"/>
      <c r="C229" s="184"/>
      <c r="D229" s="184"/>
      <c r="E229" s="184"/>
      <c r="F229" s="184"/>
      <c r="G229" s="185"/>
      <c r="H229" s="185"/>
      <c r="I229" s="186"/>
      <c r="J229" s="69"/>
      <c r="AA229" s="63">
        <f t="shared" si="77"/>
        <v>0</v>
      </c>
      <c r="AB229" s="153" t="str">
        <f t="shared" si="78"/>
        <v>000</v>
      </c>
      <c r="AC229" s="165" t="str">
        <f t="shared" si="79"/>
        <v>00000000</v>
      </c>
      <c r="AD229" s="98" t="str">
        <f t="shared" si="80"/>
        <v>00000000</v>
      </c>
      <c r="AE229" s="150">
        <f t="shared" si="81"/>
        <v>0</v>
      </c>
      <c r="AF229" s="150">
        <f t="shared" si="82"/>
        <v>0</v>
      </c>
      <c r="AG229" s="98" t="str">
        <f t="shared" si="83"/>
        <v>0000000000</v>
      </c>
      <c r="AH229" s="151">
        <f t="shared" si="84"/>
        <v>0</v>
      </c>
      <c r="AI229" s="98" t="str">
        <f t="shared" si="85"/>
        <v>00</v>
      </c>
      <c r="AJ229" s="98" t="str">
        <f t="shared" si="86"/>
        <v>000000000000</v>
      </c>
      <c r="AK229" s="161" t="str">
        <f t="shared" si="87"/>
        <v xml:space="preserve">                              </v>
      </c>
      <c r="AL229" s="154">
        <f t="shared" si="88"/>
        <v>0</v>
      </c>
      <c r="AM229" s="155">
        <f t="shared" si="89"/>
        <v>0</v>
      </c>
      <c r="AP229" s="63" t="str">
        <f t="shared" si="90"/>
        <v/>
      </c>
      <c r="AQ229" s="63" t="str">
        <f t="shared" si="91"/>
        <v/>
      </c>
      <c r="AR229" s="152" t="str">
        <f t="shared" si="92"/>
        <v/>
      </c>
      <c r="AS229" s="109" t="str">
        <f t="shared" si="93"/>
        <v/>
      </c>
      <c r="AT229" s="63" t="str">
        <f t="shared" si="94"/>
        <v xml:space="preserve">                    </v>
      </c>
    </row>
    <row r="230" spans="1:46" ht="12.75" x14ac:dyDescent="0.2">
      <c r="A230" s="63" t="str">
        <f t="shared" si="76"/>
        <v/>
      </c>
      <c r="B230" s="185"/>
      <c r="C230" s="184"/>
      <c r="D230" s="184"/>
      <c r="E230" s="184"/>
      <c r="F230" s="184"/>
      <c r="G230" s="185"/>
      <c r="H230" s="185"/>
      <c r="I230" s="186"/>
      <c r="J230" s="69"/>
      <c r="AA230" s="63">
        <f t="shared" si="77"/>
        <v>0</v>
      </c>
      <c r="AB230" s="153" t="str">
        <f t="shared" si="78"/>
        <v>000</v>
      </c>
      <c r="AC230" s="165" t="str">
        <f t="shared" si="79"/>
        <v>00000000</v>
      </c>
      <c r="AD230" s="98" t="str">
        <f t="shared" si="80"/>
        <v>00000000</v>
      </c>
      <c r="AE230" s="150">
        <f t="shared" si="81"/>
        <v>0</v>
      </c>
      <c r="AF230" s="150">
        <f t="shared" si="82"/>
        <v>0</v>
      </c>
      <c r="AG230" s="98" t="str">
        <f t="shared" si="83"/>
        <v>0000000000</v>
      </c>
      <c r="AH230" s="151">
        <f t="shared" si="84"/>
        <v>0</v>
      </c>
      <c r="AI230" s="98" t="str">
        <f t="shared" si="85"/>
        <v>00</v>
      </c>
      <c r="AJ230" s="98" t="str">
        <f t="shared" si="86"/>
        <v>000000000000</v>
      </c>
      <c r="AK230" s="161" t="str">
        <f t="shared" si="87"/>
        <v xml:space="preserve">                              </v>
      </c>
      <c r="AL230" s="154">
        <f t="shared" si="88"/>
        <v>0</v>
      </c>
      <c r="AM230" s="155">
        <f t="shared" si="89"/>
        <v>0</v>
      </c>
      <c r="AP230" s="63" t="str">
        <f t="shared" si="90"/>
        <v/>
      </c>
      <c r="AQ230" s="63" t="str">
        <f t="shared" si="91"/>
        <v/>
      </c>
      <c r="AR230" s="152" t="str">
        <f t="shared" si="92"/>
        <v/>
      </c>
      <c r="AS230" s="109" t="str">
        <f t="shared" si="93"/>
        <v/>
      </c>
      <c r="AT230" s="63" t="str">
        <f t="shared" si="94"/>
        <v xml:space="preserve">                    </v>
      </c>
    </row>
    <row r="231" spans="1:46" ht="12.75" x14ac:dyDescent="0.2">
      <c r="A231" s="63" t="str">
        <f t="shared" si="76"/>
        <v/>
      </c>
      <c r="B231" s="185"/>
      <c r="C231" s="184"/>
      <c r="D231" s="184"/>
      <c r="E231" s="184"/>
      <c r="F231" s="184"/>
      <c r="G231" s="185"/>
      <c r="H231" s="185"/>
      <c r="I231" s="186"/>
      <c r="J231" s="69"/>
      <c r="AA231" s="63">
        <f t="shared" si="77"/>
        <v>0</v>
      </c>
      <c r="AB231" s="153" t="str">
        <f t="shared" si="78"/>
        <v>000</v>
      </c>
      <c r="AC231" s="165" t="str">
        <f t="shared" si="79"/>
        <v>00000000</v>
      </c>
      <c r="AD231" s="98" t="str">
        <f t="shared" si="80"/>
        <v>00000000</v>
      </c>
      <c r="AE231" s="150">
        <f t="shared" si="81"/>
        <v>0</v>
      </c>
      <c r="AF231" s="150">
        <f t="shared" si="82"/>
        <v>0</v>
      </c>
      <c r="AG231" s="98" t="str">
        <f t="shared" si="83"/>
        <v>0000000000</v>
      </c>
      <c r="AH231" s="151">
        <f t="shared" si="84"/>
        <v>0</v>
      </c>
      <c r="AI231" s="98" t="str">
        <f t="shared" si="85"/>
        <v>00</v>
      </c>
      <c r="AJ231" s="98" t="str">
        <f t="shared" si="86"/>
        <v>000000000000</v>
      </c>
      <c r="AK231" s="161" t="str">
        <f t="shared" si="87"/>
        <v xml:space="preserve">                              </v>
      </c>
      <c r="AL231" s="154">
        <f t="shared" si="88"/>
        <v>0</v>
      </c>
      <c r="AM231" s="155">
        <f t="shared" si="89"/>
        <v>0</v>
      </c>
      <c r="AP231" s="63" t="str">
        <f t="shared" si="90"/>
        <v/>
      </c>
      <c r="AQ231" s="63" t="str">
        <f t="shared" si="91"/>
        <v/>
      </c>
      <c r="AR231" s="152" t="str">
        <f t="shared" si="92"/>
        <v/>
      </c>
      <c r="AS231" s="109" t="str">
        <f t="shared" si="93"/>
        <v/>
      </c>
      <c r="AT231" s="63" t="str">
        <f t="shared" si="94"/>
        <v xml:space="preserve">                    </v>
      </c>
    </row>
    <row r="232" spans="1:46" ht="12.75" x14ac:dyDescent="0.2">
      <c r="A232" s="63" t="str">
        <f t="shared" si="76"/>
        <v/>
      </c>
      <c r="B232" s="185"/>
      <c r="C232" s="184"/>
      <c r="D232" s="184"/>
      <c r="E232" s="184"/>
      <c r="F232" s="184"/>
      <c r="G232" s="185"/>
      <c r="H232" s="185"/>
      <c r="I232" s="186"/>
      <c r="J232" s="69"/>
      <c r="AA232" s="63">
        <f t="shared" si="77"/>
        <v>0</v>
      </c>
      <c r="AB232" s="153" t="str">
        <f t="shared" si="78"/>
        <v>000</v>
      </c>
      <c r="AC232" s="165" t="str">
        <f t="shared" si="79"/>
        <v>00000000</v>
      </c>
      <c r="AD232" s="98" t="str">
        <f t="shared" si="80"/>
        <v>00000000</v>
      </c>
      <c r="AE232" s="150">
        <f t="shared" si="81"/>
        <v>0</v>
      </c>
      <c r="AF232" s="150">
        <f t="shared" si="82"/>
        <v>0</v>
      </c>
      <c r="AG232" s="98" t="str">
        <f t="shared" si="83"/>
        <v>0000000000</v>
      </c>
      <c r="AH232" s="151">
        <f t="shared" si="84"/>
        <v>0</v>
      </c>
      <c r="AI232" s="98" t="str">
        <f t="shared" si="85"/>
        <v>00</v>
      </c>
      <c r="AJ232" s="98" t="str">
        <f t="shared" si="86"/>
        <v>000000000000</v>
      </c>
      <c r="AK232" s="161" t="str">
        <f t="shared" si="87"/>
        <v xml:space="preserve">                              </v>
      </c>
      <c r="AL232" s="154">
        <f t="shared" si="88"/>
        <v>0</v>
      </c>
      <c r="AM232" s="155">
        <f t="shared" si="89"/>
        <v>0</v>
      </c>
      <c r="AP232" s="63" t="str">
        <f t="shared" si="90"/>
        <v/>
      </c>
      <c r="AQ232" s="63" t="str">
        <f t="shared" si="91"/>
        <v/>
      </c>
      <c r="AR232" s="152" t="str">
        <f t="shared" si="92"/>
        <v/>
      </c>
      <c r="AS232" s="109" t="str">
        <f t="shared" si="93"/>
        <v/>
      </c>
      <c r="AT232" s="63" t="str">
        <f t="shared" si="94"/>
        <v xml:space="preserve">                    </v>
      </c>
    </row>
    <row r="233" spans="1:46" ht="12.75" x14ac:dyDescent="0.2">
      <c r="A233" s="63" t="str">
        <f t="shared" si="76"/>
        <v/>
      </c>
      <c r="B233" s="185"/>
      <c r="C233" s="184"/>
      <c r="D233" s="184"/>
      <c r="E233" s="184"/>
      <c r="F233" s="184"/>
      <c r="G233" s="185"/>
      <c r="H233" s="185"/>
      <c r="I233" s="186"/>
      <c r="J233" s="69"/>
      <c r="AA233" s="63">
        <f t="shared" si="77"/>
        <v>0</v>
      </c>
      <c r="AB233" s="153" t="str">
        <f t="shared" si="78"/>
        <v>000</v>
      </c>
      <c r="AC233" s="165" t="str">
        <f t="shared" si="79"/>
        <v>00000000</v>
      </c>
      <c r="AD233" s="98" t="str">
        <f t="shared" si="80"/>
        <v>00000000</v>
      </c>
      <c r="AE233" s="150">
        <f t="shared" si="81"/>
        <v>0</v>
      </c>
      <c r="AF233" s="150">
        <f t="shared" si="82"/>
        <v>0</v>
      </c>
      <c r="AG233" s="98" t="str">
        <f t="shared" si="83"/>
        <v>0000000000</v>
      </c>
      <c r="AH233" s="151">
        <f t="shared" si="84"/>
        <v>0</v>
      </c>
      <c r="AI233" s="98" t="str">
        <f t="shared" si="85"/>
        <v>00</v>
      </c>
      <c r="AJ233" s="98" t="str">
        <f t="shared" si="86"/>
        <v>000000000000</v>
      </c>
      <c r="AK233" s="161" t="str">
        <f t="shared" si="87"/>
        <v xml:space="preserve">                              </v>
      </c>
      <c r="AL233" s="154">
        <f t="shared" si="88"/>
        <v>0</v>
      </c>
      <c r="AM233" s="155">
        <f t="shared" si="89"/>
        <v>0</v>
      </c>
      <c r="AP233" s="63" t="str">
        <f t="shared" si="90"/>
        <v/>
      </c>
      <c r="AQ233" s="63" t="str">
        <f t="shared" si="91"/>
        <v/>
      </c>
      <c r="AR233" s="152" t="str">
        <f t="shared" si="92"/>
        <v/>
      </c>
      <c r="AS233" s="109" t="str">
        <f t="shared" si="93"/>
        <v/>
      </c>
      <c r="AT233" s="63" t="str">
        <f t="shared" si="94"/>
        <v xml:space="preserve">                    </v>
      </c>
    </row>
    <row r="234" spans="1:46" ht="12.75" x14ac:dyDescent="0.2">
      <c r="A234" s="63" t="str">
        <f t="shared" si="76"/>
        <v/>
      </c>
      <c r="B234" s="185"/>
      <c r="C234" s="184"/>
      <c r="D234" s="184"/>
      <c r="E234" s="184"/>
      <c r="F234" s="184"/>
      <c r="G234" s="185"/>
      <c r="H234" s="185"/>
      <c r="I234" s="186"/>
      <c r="J234" s="69"/>
      <c r="AA234" s="63">
        <f t="shared" si="77"/>
        <v>0</v>
      </c>
      <c r="AB234" s="153" t="str">
        <f t="shared" si="78"/>
        <v>000</v>
      </c>
      <c r="AC234" s="165" t="str">
        <f t="shared" si="79"/>
        <v>00000000</v>
      </c>
      <c r="AD234" s="98" t="str">
        <f t="shared" si="80"/>
        <v>00000000</v>
      </c>
      <c r="AE234" s="150">
        <f t="shared" si="81"/>
        <v>0</v>
      </c>
      <c r="AF234" s="150">
        <f t="shared" si="82"/>
        <v>0</v>
      </c>
      <c r="AG234" s="98" t="str">
        <f t="shared" si="83"/>
        <v>0000000000</v>
      </c>
      <c r="AH234" s="151">
        <f t="shared" si="84"/>
        <v>0</v>
      </c>
      <c r="AI234" s="98" t="str">
        <f t="shared" si="85"/>
        <v>00</v>
      </c>
      <c r="AJ234" s="98" t="str">
        <f t="shared" si="86"/>
        <v>000000000000</v>
      </c>
      <c r="AK234" s="161" t="str">
        <f t="shared" si="87"/>
        <v xml:space="preserve">                              </v>
      </c>
      <c r="AL234" s="154">
        <f t="shared" si="88"/>
        <v>0</v>
      </c>
      <c r="AM234" s="155">
        <f t="shared" si="89"/>
        <v>0</v>
      </c>
      <c r="AP234" s="63" t="str">
        <f t="shared" si="90"/>
        <v/>
      </c>
      <c r="AQ234" s="63" t="str">
        <f t="shared" si="91"/>
        <v/>
      </c>
      <c r="AR234" s="152" t="str">
        <f t="shared" si="92"/>
        <v/>
      </c>
      <c r="AS234" s="109" t="str">
        <f t="shared" si="93"/>
        <v/>
      </c>
      <c r="AT234" s="63" t="str">
        <f t="shared" si="94"/>
        <v xml:space="preserve">                    </v>
      </c>
    </row>
    <row r="235" spans="1:46" ht="12.75" x14ac:dyDescent="0.2">
      <c r="A235" s="63" t="str">
        <f t="shared" si="76"/>
        <v/>
      </c>
      <c r="B235" s="185"/>
      <c r="C235" s="184"/>
      <c r="D235" s="184"/>
      <c r="E235" s="184"/>
      <c r="F235" s="184"/>
      <c r="G235" s="185"/>
      <c r="H235" s="185"/>
      <c r="I235" s="186"/>
      <c r="J235" s="69"/>
      <c r="AA235" s="63">
        <f t="shared" si="77"/>
        <v>0</v>
      </c>
      <c r="AB235" s="153" t="str">
        <f t="shared" si="78"/>
        <v>000</v>
      </c>
      <c r="AC235" s="165" t="str">
        <f t="shared" si="79"/>
        <v>00000000</v>
      </c>
      <c r="AD235" s="98" t="str">
        <f t="shared" si="80"/>
        <v>00000000</v>
      </c>
      <c r="AE235" s="150">
        <f t="shared" si="81"/>
        <v>0</v>
      </c>
      <c r="AF235" s="150">
        <f t="shared" si="82"/>
        <v>0</v>
      </c>
      <c r="AG235" s="98" t="str">
        <f t="shared" si="83"/>
        <v>0000000000</v>
      </c>
      <c r="AH235" s="151">
        <f t="shared" si="84"/>
        <v>0</v>
      </c>
      <c r="AI235" s="98" t="str">
        <f t="shared" si="85"/>
        <v>00</v>
      </c>
      <c r="AJ235" s="98" t="str">
        <f t="shared" si="86"/>
        <v>000000000000</v>
      </c>
      <c r="AK235" s="161" t="str">
        <f t="shared" si="87"/>
        <v xml:space="preserve">                              </v>
      </c>
      <c r="AL235" s="154">
        <f t="shared" si="88"/>
        <v>0</v>
      </c>
      <c r="AM235" s="155">
        <f t="shared" si="89"/>
        <v>0</v>
      </c>
      <c r="AP235" s="63" t="str">
        <f t="shared" si="90"/>
        <v/>
      </c>
      <c r="AQ235" s="63" t="str">
        <f t="shared" si="91"/>
        <v/>
      </c>
      <c r="AR235" s="152" t="str">
        <f t="shared" si="92"/>
        <v/>
      </c>
      <c r="AS235" s="109" t="str">
        <f t="shared" si="93"/>
        <v/>
      </c>
      <c r="AT235" s="63" t="str">
        <f t="shared" si="94"/>
        <v xml:space="preserve">                    </v>
      </c>
    </row>
    <row r="236" spans="1:46" ht="12.75" x14ac:dyDescent="0.2">
      <c r="A236" s="63" t="str">
        <f t="shared" si="76"/>
        <v/>
      </c>
      <c r="B236" s="185"/>
      <c r="C236" s="184"/>
      <c r="D236" s="184"/>
      <c r="E236" s="184"/>
      <c r="F236" s="184"/>
      <c r="G236" s="185"/>
      <c r="H236" s="185"/>
      <c r="I236" s="186"/>
      <c r="J236" s="69"/>
      <c r="AA236" s="63">
        <f t="shared" si="77"/>
        <v>0</v>
      </c>
      <c r="AB236" s="153" t="str">
        <f t="shared" si="78"/>
        <v>000</v>
      </c>
      <c r="AC236" s="165" t="str">
        <f t="shared" si="79"/>
        <v>00000000</v>
      </c>
      <c r="AD236" s="98" t="str">
        <f t="shared" si="80"/>
        <v>00000000</v>
      </c>
      <c r="AE236" s="150">
        <f t="shared" si="81"/>
        <v>0</v>
      </c>
      <c r="AF236" s="150">
        <f t="shared" si="82"/>
        <v>0</v>
      </c>
      <c r="AG236" s="98" t="str">
        <f t="shared" si="83"/>
        <v>0000000000</v>
      </c>
      <c r="AH236" s="151">
        <f t="shared" si="84"/>
        <v>0</v>
      </c>
      <c r="AI236" s="98" t="str">
        <f t="shared" si="85"/>
        <v>00</v>
      </c>
      <c r="AJ236" s="98" t="str">
        <f t="shared" si="86"/>
        <v>000000000000</v>
      </c>
      <c r="AK236" s="161" t="str">
        <f t="shared" si="87"/>
        <v xml:space="preserve">                              </v>
      </c>
      <c r="AL236" s="154">
        <f t="shared" si="88"/>
        <v>0</v>
      </c>
      <c r="AM236" s="155">
        <f t="shared" si="89"/>
        <v>0</v>
      </c>
      <c r="AP236" s="63" t="str">
        <f t="shared" si="90"/>
        <v/>
      </c>
      <c r="AQ236" s="63" t="str">
        <f t="shared" si="91"/>
        <v/>
      </c>
      <c r="AR236" s="152" t="str">
        <f t="shared" si="92"/>
        <v/>
      </c>
      <c r="AS236" s="109" t="str">
        <f t="shared" si="93"/>
        <v/>
      </c>
      <c r="AT236" s="63" t="str">
        <f t="shared" si="94"/>
        <v xml:space="preserve">                    </v>
      </c>
    </row>
    <row r="237" spans="1:46" ht="12.75" x14ac:dyDescent="0.2">
      <c r="A237" s="63" t="str">
        <f t="shared" si="76"/>
        <v/>
      </c>
      <c r="B237" s="185"/>
      <c r="C237" s="184"/>
      <c r="D237" s="184"/>
      <c r="E237" s="184"/>
      <c r="F237" s="184"/>
      <c r="G237" s="185"/>
      <c r="H237" s="185"/>
      <c r="I237" s="186"/>
      <c r="J237" s="69"/>
      <c r="AA237" s="63">
        <f t="shared" si="77"/>
        <v>0</v>
      </c>
      <c r="AB237" s="153" t="str">
        <f t="shared" si="78"/>
        <v>000</v>
      </c>
      <c r="AC237" s="165" t="str">
        <f t="shared" si="79"/>
        <v>00000000</v>
      </c>
      <c r="AD237" s="98" t="str">
        <f t="shared" si="80"/>
        <v>00000000</v>
      </c>
      <c r="AE237" s="150">
        <f t="shared" si="81"/>
        <v>0</v>
      </c>
      <c r="AF237" s="150">
        <f t="shared" si="82"/>
        <v>0</v>
      </c>
      <c r="AG237" s="98" t="str">
        <f t="shared" si="83"/>
        <v>0000000000</v>
      </c>
      <c r="AH237" s="151">
        <f t="shared" si="84"/>
        <v>0</v>
      </c>
      <c r="AI237" s="98" t="str">
        <f t="shared" si="85"/>
        <v>00</v>
      </c>
      <c r="AJ237" s="98" t="str">
        <f t="shared" si="86"/>
        <v>000000000000</v>
      </c>
      <c r="AK237" s="161" t="str">
        <f t="shared" si="87"/>
        <v xml:space="preserve">                              </v>
      </c>
      <c r="AL237" s="154">
        <f t="shared" si="88"/>
        <v>0</v>
      </c>
      <c r="AM237" s="155">
        <f t="shared" si="89"/>
        <v>0</v>
      </c>
      <c r="AP237" s="63" t="str">
        <f t="shared" si="90"/>
        <v/>
      </c>
      <c r="AQ237" s="63" t="str">
        <f t="shared" si="91"/>
        <v/>
      </c>
      <c r="AR237" s="152" t="str">
        <f t="shared" si="92"/>
        <v/>
      </c>
      <c r="AS237" s="109" t="str">
        <f t="shared" si="93"/>
        <v/>
      </c>
      <c r="AT237" s="63" t="str">
        <f t="shared" si="94"/>
        <v xml:space="preserve">                    </v>
      </c>
    </row>
    <row r="238" spans="1:46" ht="12.75" x14ac:dyDescent="0.2">
      <c r="A238" s="63" t="str">
        <f t="shared" si="76"/>
        <v/>
      </c>
      <c r="B238" s="185"/>
      <c r="C238" s="184"/>
      <c r="D238" s="184"/>
      <c r="E238" s="184"/>
      <c r="F238" s="184"/>
      <c r="G238" s="185"/>
      <c r="H238" s="185"/>
      <c r="I238" s="186"/>
      <c r="J238" s="69"/>
      <c r="AA238" s="63">
        <f t="shared" si="77"/>
        <v>0</v>
      </c>
      <c r="AB238" s="153" t="str">
        <f t="shared" si="78"/>
        <v>000</v>
      </c>
      <c r="AC238" s="165" t="str">
        <f t="shared" si="79"/>
        <v>00000000</v>
      </c>
      <c r="AD238" s="98" t="str">
        <f t="shared" si="80"/>
        <v>00000000</v>
      </c>
      <c r="AE238" s="150">
        <f t="shared" si="81"/>
        <v>0</v>
      </c>
      <c r="AF238" s="150">
        <f t="shared" si="82"/>
        <v>0</v>
      </c>
      <c r="AG238" s="98" t="str">
        <f t="shared" si="83"/>
        <v>0000000000</v>
      </c>
      <c r="AH238" s="151">
        <f t="shared" si="84"/>
        <v>0</v>
      </c>
      <c r="AI238" s="98" t="str">
        <f t="shared" si="85"/>
        <v>00</v>
      </c>
      <c r="AJ238" s="98" t="str">
        <f t="shared" si="86"/>
        <v>000000000000</v>
      </c>
      <c r="AK238" s="161" t="str">
        <f t="shared" si="87"/>
        <v xml:space="preserve">                              </v>
      </c>
      <c r="AL238" s="154">
        <f t="shared" si="88"/>
        <v>0</v>
      </c>
      <c r="AM238" s="155">
        <f t="shared" si="89"/>
        <v>0</v>
      </c>
      <c r="AP238" s="63" t="str">
        <f t="shared" si="90"/>
        <v/>
      </c>
      <c r="AQ238" s="63" t="str">
        <f t="shared" si="91"/>
        <v/>
      </c>
      <c r="AR238" s="152" t="str">
        <f t="shared" si="92"/>
        <v/>
      </c>
      <c r="AS238" s="109" t="str">
        <f t="shared" si="93"/>
        <v/>
      </c>
      <c r="AT238" s="63" t="str">
        <f t="shared" si="94"/>
        <v xml:space="preserve">                    </v>
      </c>
    </row>
    <row r="239" spans="1:46" ht="12.75" x14ac:dyDescent="0.2">
      <c r="A239" s="63" t="str">
        <f t="shared" si="76"/>
        <v/>
      </c>
      <c r="B239" s="185"/>
      <c r="C239" s="184"/>
      <c r="D239" s="184"/>
      <c r="E239" s="184"/>
      <c r="F239" s="184"/>
      <c r="G239" s="185"/>
      <c r="H239" s="185"/>
      <c r="I239" s="186"/>
      <c r="J239" s="69"/>
      <c r="AA239" s="63">
        <f t="shared" si="77"/>
        <v>0</v>
      </c>
      <c r="AB239" s="153" t="str">
        <f t="shared" si="78"/>
        <v>000</v>
      </c>
      <c r="AC239" s="165" t="str">
        <f t="shared" si="79"/>
        <v>00000000</v>
      </c>
      <c r="AD239" s="98" t="str">
        <f t="shared" si="80"/>
        <v>00000000</v>
      </c>
      <c r="AE239" s="150">
        <f t="shared" si="81"/>
        <v>0</v>
      </c>
      <c r="AF239" s="150">
        <f t="shared" si="82"/>
        <v>0</v>
      </c>
      <c r="AG239" s="98" t="str">
        <f t="shared" si="83"/>
        <v>0000000000</v>
      </c>
      <c r="AH239" s="151">
        <f t="shared" si="84"/>
        <v>0</v>
      </c>
      <c r="AI239" s="98" t="str">
        <f t="shared" si="85"/>
        <v>00</v>
      </c>
      <c r="AJ239" s="98" t="str">
        <f t="shared" si="86"/>
        <v>000000000000</v>
      </c>
      <c r="AK239" s="161" t="str">
        <f t="shared" si="87"/>
        <v xml:space="preserve">                              </v>
      </c>
      <c r="AL239" s="154">
        <f t="shared" si="88"/>
        <v>0</v>
      </c>
      <c r="AM239" s="155">
        <f t="shared" si="89"/>
        <v>0</v>
      </c>
      <c r="AP239" s="63" t="str">
        <f t="shared" si="90"/>
        <v/>
      </c>
      <c r="AQ239" s="63" t="str">
        <f t="shared" si="91"/>
        <v/>
      </c>
      <c r="AR239" s="152" t="str">
        <f t="shared" si="92"/>
        <v/>
      </c>
      <c r="AS239" s="109" t="str">
        <f t="shared" si="93"/>
        <v/>
      </c>
      <c r="AT239" s="63" t="str">
        <f t="shared" si="94"/>
        <v xml:space="preserve">                    </v>
      </c>
    </row>
    <row r="240" spans="1:46" ht="12.75" x14ac:dyDescent="0.2">
      <c r="A240" s="63" t="str">
        <f t="shared" si="76"/>
        <v/>
      </c>
      <c r="B240" s="185"/>
      <c r="C240" s="184"/>
      <c r="D240" s="184"/>
      <c r="E240" s="184"/>
      <c r="F240" s="184"/>
      <c r="G240" s="185"/>
      <c r="H240" s="185"/>
      <c r="I240" s="186"/>
      <c r="J240" s="69"/>
      <c r="AA240" s="63">
        <f t="shared" si="77"/>
        <v>0</v>
      </c>
      <c r="AB240" s="153" t="str">
        <f t="shared" si="78"/>
        <v>000</v>
      </c>
      <c r="AC240" s="165" t="str">
        <f t="shared" si="79"/>
        <v>00000000</v>
      </c>
      <c r="AD240" s="98" t="str">
        <f t="shared" si="80"/>
        <v>00000000</v>
      </c>
      <c r="AE240" s="150">
        <f t="shared" si="81"/>
        <v>0</v>
      </c>
      <c r="AF240" s="150">
        <f t="shared" si="82"/>
        <v>0</v>
      </c>
      <c r="AG240" s="98" t="str">
        <f t="shared" si="83"/>
        <v>0000000000</v>
      </c>
      <c r="AH240" s="151">
        <f t="shared" si="84"/>
        <v>0</v>
      </c>
      <c r="AI240" s="98" t="str">
        <f t="shared" si="85"/>
        <v>00</v>
      </c>
      <c r="AJ240" s="98" t="str">
        <f t="shared" si="86"/>
        <v>000000000000</v>
      </c>
      <c r="AK240" s="161" t="str">
        <f t="shared" si="87"/>
        <v xml:space="preserve">                              </v>
      </c>
      <c r="AL240" s="154">
        <f t="shared" si="88"/>
        <v>0</v>
      </c>
      <c r="AM240" s="155">
        <f t="shared" si="89"/>
        <v>0</v>
      </c>
      <c r="AP240" s="63" t="str">
        <f t="shared" si="90"/>
        <v/>
      </c>
      <c r="AQ240" s="63" t="str">
        <f t="shared" si="91"/>
        <v/>
      </c>
      <c r="AR240" s="152" t="str">
        <f t="shared" si="92"/>
        <v/>
      </c>
      <c r="AS240" s="109" t="str">
        <f t="shared" si="93"/>
        <v/>
      </c>
      <c r="AT240" s="63" t="str">
        <f t="shared" si="94"/>
        <v xml:space="preserve">                    </v>
      </c>
    </row>
    <row r="241" spans="1:46" ht="12.75" x14ac:dyDescent="0.2">
      <c r="A241" s="63" t="str">
        <f t="shared" si="76"/>
        <v/>
      </c>
      <c r="B241" s="185"/>
      <c r="C241" s="184"/>
      <c r="D241" s="184"/>
      <c r="E241" s="184"/>
      <c r="F241" s="184"/>
      <c r="G241" s="185"/>
      <c r="H241" s="185"/>
      <c r="I241" s="186"/>
      <c r="J241" s="69"/>
      <c r="AA241" s="63">
        <f t="shared" si="77"/>
        <v>0</v>
      </c>
      <c r="AB241" s="153" t="str">
        <f t="shared" si="78"/>
        <v>000</v>
      </c>
      <c r="AC241" s="165" t="str">
        <f t="shared" si="79"/>
        <v>00000000</v>
      </c>
      <c r="AD241" s="98" t="str">
        <f t="shared" si="80"/>
        <v>00000000</v>
      </c>
      <c r="AE241" s="150">
        <f t="shared" si="81"/>
        <v>0</v>
      </c>
      <c r="AF241" s="150">
        <f t="shared" si="82"/>
        <v>0</v>
      </c>
      <c r="AG241" s="98" t="str">
        <f t="shared" si="83"/>
        <v>0000000000</v>
      </c>
      <c r="AH241" s="151">
        <f t="shared" si="84"/>
        <v>0</v>
      </c>
      <c r="AI241" s="98" t="str">
        <f t="shared" si="85"/>
        <v>00</v>
      </c>
      <c r="AJ241" s="98" t="str">
        <f t="shared" si="86"/>
        <v>000000000000</v>
      </c>
      <c r="AK241" s="161" t="str">
        <f t="shared" si="87"/>
        <v xml:space="preserve">                              </v>
      </c>
      <c r="AL241" s="154">
        <f t="shared" si="88"/>
        <v>0</v>
      </c>
      <c r="AM241" s="155">
        <f t="shared" si="89"/>
        <v>0</v>
      </c>
      <c r="AP241" s="63" t="str">
        <f t="shared" si="90"/>
        <v/>
      </c>
      <c r="AQ241" s="63" t="str">
        <f t="shared" si="91"/>
        <v/>
      </c>
      <c r="AR241" s="152" t="str">
        <f t="shared" si="92"/>
        <v/>
      </c>
      <c r="AS241" s="109" t="str">
        <f t="shared" si="93"/>
        <v/>
      </c>
      <c r="AT241" s="63" t="str">
        <f t="shared" si="94"/>
        <v xml:space="preserve">                    </v>
      </c>
    </row>
    <row r="242" spans="1:46" ht="12.75" x14ac:dyDescent="0.2">
      <c r="A242" s="63" t="str">
        <f t="shared" si="76"/>
        <v/>
      </c>
      <c r="B242" s="185"/>
      <c r="C242" s="184"/>
      <c r="D242" s="184"/>
      <c r="E242" s="184"/>
      <c r="F242" s="184"/>
      <c r="G242" s="185"/>
      <c r="H242" s="185"/>
      <c r="I242" s="186"/>
      <c r="J242" s="69"/>
      <c r="AA242" s="63">
        <f t="shared" si="77"/>
        <v>0</v>
      </c>
      <c r="AB242" s="153" t="str">
        <f t="shared" si="78"/>
        <v>000</v>
      </c>
      <c r="AC242" s="165" t="str">
        <f t="shared" si="79"/>
        <v>00000000</v>
      </c>
      <c r="AD242" s="98" t="str">
        <f t="shared" si="80"/>
        <v>00000000</v>
      </c>
      <c r="AE242" s="150">
        <f t="shared" si="81"/>
        <v>0</v>
      </c>
      <c r="AF242" s="150">
        <f t="shared" si="82"/>
        <v>0</v>
      </c>
      <c r="AG242" s="98" t="str">
        <f t="shared" si="83"/>
        <v>0000000000</v>
      </c>
      <c r="AH242" s="151">
        <f t="shared" si="84"/>
        <v>0</v>
      </c>
      <c r="AI242" s="98" t="str">
        <f t="shared" si="85"/>
        <v>00</v>
      </c>
      <c r="AJ242" s="98" t="str">
        <f t="shared" si="86"/>
        <v>000000000000</v>
      </c>
      <c r="AK242" s="161" t="str">
        <f t="shared" si="87"/>
        <v xml:space="preserve">                              </v>
      </c>
      <c r="AL242" s="154">
        <f t="shared" si="88"/>
        <v>0</v>
      </c>
      <c r="AM242" s="155">
        <f t="shared" si="89"/>
        <v>0</v>
      </c>
      <c r="AP242" s="63" t="str">
        <f t="shared" si="90"/>
        <v/>
      </c>
      <c r="AQ242" s="63" t="str">
        <f t="shared" si="91"/>
        <v/>
      </c>
      <c r="AR242" s="152" t="str">
        <f t="shared" si="92"/>
        <v/>
      </c>
      <c r="AS242" s="109" t="str">
        <f t="shared" si="93"/>
        <v/>
      </c>
      <c r="AT242" s="63" t="str">
        <f t="shared" si="94"/>
        <v xml:space="preserve">                    </v>
      </c>
    </row>
    <row r="243" spans="1:46" ht="12.75" x14ac:dyDescent="0.2">
      <c r="A243" s="63" t="str">
        <f t="shared" si="76"/>
        <v/>
      </c>
      <c r="B243" s="185"/>
      <c r="C243" s="184"/>
      <c r="D243" s="184"/>
      <c r="E243" s="184"/>
      <c r="F243" s="184"/>
      <c r="G243" s="185"/>
      <c r="H243" s="185"/>
      <c r="I243" s="186"/>
      <c r="J243" s="69"/>
      <c r="AA243" s="63">
        <f t="shared" si="77"/>
        <v>0</v>
      </c>
      <c r="AB243" s="153" t="str">
        <f t="shared" si="78"/>
        <v>000</v>
      </c>
      <c r="AC243" s="165" t="str">
        <f t="shared" si="79"/>
        <v>00000000</v>
      </c>
      <c r="AD243" s="98" t="str">
        <f t="shared" si="80"/>
        <v>00000000</v>
      </c>
      <c r="AE243" s="150">
        <f t="shared" si="81"/>
        <v>0</v>
      </c>
      <c r="AF243" s="150">
        <f t="shared" si="82"/>
        <v>0</v>
      </c>
      <c r="AG243" s="98" t="str">
        <f t="shared" si="83"/>
        <v>0000000000</v>
      </c>
      <c r="AH243" s="151">
        <f t="shared" si="84"/>
        <v>0</v>
      </c>
      <c r="AI243" s="98" t="str">
        <f t="shared" si="85"/>
        <v>00</v>
      </c>
      <c r="AJ243" s="98" t="str">
        <f t="shared" si="86"/>
        <v>000000000000</v>
      </c>
      <c r="AK243" s="161" t="str">
        <f t="shared" si="87"/>
        <v xml:space="preserve">                              </v>
      </c>
      <c r="AL243" s="154">
        <f t="shared" si="88"/>
        <v>0</v>
      </c>
      <c r="AM243" s="155">
        <f t="shared" si="89"/>
        <v>0</v>
      </c>
      <c r="AP243" s="63" t="str">
        <f t="shared" si="90"/>
        <v/>
      </c>
      <c r="AQ243" s="63" t="str">
        <f t="shared" si="91"/>
        <v/>
      </c>
      <c r="AR243" s="152" t="str">
        <f t="shared" si="92"/>
        <v/>
      </c>
      <c r="AS243" s="109" t="str">
        <f t="shared" si="93"/>
        <v/>
      </c>
      <c r="AT243" s="63" t="str">
        <f t="shared" si="94"/>
        <v xml:space="preserve">                    </v>
      </c>
    </row>
    <row r="244" spans="1:46" ht="12.75" x14ac:dyDescent="0.2">
      <c r="A244" s="63" t="str">
        <f t="shared" si="76"/>
        <v/>
      </c>
      <c r="B244" s="185"/>
      <c r="C244" s="184"/>
      <c r="D244" s="184"/>
      <c r="E244" s="184"/>
      <c r="F244" s="184"/>
      <c r="G244" s="185"/>
      <c r="H244" s="185"/>
      <c r="I244" s="186"/>
      <c r="J244" s="69"/>
      <c r="AA244" s="63">
        <f t="shared" si="77"/>
        <v>0</v>
      </c>
      <c r="AB244" s="153" t="str">
        <f t="shared" si="78"/>
        <v>000</v>
      </c>
      <c r="AC244" s="165" t="str">
        <f t="shared" si="79"/>
        <v>00000000</v>
      </c>
      <c r="AD244" s="98" t="str">
        <f t="shared" si="80"/>
        <v>00000000</v>
      </c>
      <c r="AE244" s="150">
        <f t="shared" si="81"/>
        <v>0</v>
      </c>
      <c r="AF244" s="150">
        <f t="shared" si="82"/>
        <v>0</v>
      </c>
      <c r="AG244" s="98" t="str">
        <f t="shared" si="83"/>
        <v>0000000000</v>
      </c>
      <c r="AH244" s="151">
        <f t="shared" si="84"/>
        <v>0</v>
      </c>
      <c r="AI244" s="98" t="str">
        <f t="shared" si="85"/>
        <v>00</v>
      </c>
      <c r="AJ244" s="98" t="str">
        <f t="shared" si="86"/>
        <v>000000000000</v>
      </c>
      <c r="AK244" s="161" t="str">
        <f t="shared" si="87"/>
        <v xml:space="preserve">                              </v>
      </c>
      <c r="AL244" s="154">
        <f t="shared" si="88"/>
        <v>0</v>
      </c>
      <c r="AM244" s="155">
        <f t="shared" si="89"/>
        <v>0</v>
      </c>
      <c r="AP244" s="63" t="str">
        <f t="shared" si="90"/>
        <v/>
      </c>
      <c r="AQ244" s="63" t="str">
        <f t="shared" si="91"/>
        <v/>
      </c>
      <c r="AR244" s="152" t="str">
        <f t="shared" si="92"/>
        <v/>
      </c>
      <c r="AS244" s="109" t="str">
        <f t="shared" si="93"/>
        <v/>
      </c>
      <c r="AT244" s="63" t="str">
        <f t="shared" si="94"/>
        <v xml:space="preserve">                    </v>
      </c>
    </row>
    <row r="245" spans="1:46" ht="12.75" x14ac:dyDescent="0.2">
      <c r="A245" s="63" t="str">
        <f t="shared" si="76"/>
        <v/>
      </c>
      <c r="B245" s="185"/>
      <c r="C245" s="184"/>
      <c r="D245" s="184"/>
      <c r="E245" s="184"/>
      <c r="F245" s="184"/>
      <c r="G245" s="185"/>
      <c r="H245" s="185"/>
      <c r="I245" s="186"/>
      <c r="J245" s="69"/>
      <c r="AA245" s="63">
        <f t="shared" si="77"/>
        <v>0</v>
      </c>
      <c r="AB245" s="153" t="str">
        <f t="shared" si="78"/>
        <v>000</v>
      </c>
      <c r="AC245" s="165" t="str">
        <f t="shared" si="79"/>
        <v>00000000</v>
      </c>
      <c r="AD245" s="98" t="str">
        <f t="shared" si="80"/>
        <v>00000000</v>
      </c>
      <c r="AE245" s="150">
        <f t="shared" si="81"/>
        <v>0</v>
      </c>
      <c r="AF245" s="150">
        <f t="shared" si="82"/>
        <v>0</v>
      </c>
      <c r="AG245" s="98" t="str">
        <f t="shared" si="83"/>
        <v>0000000000</v>
      </c>
      <c r="AH245" s="151">
        <f t="shared" si="84"/>
        <v>0</v>
      </c>
      <c r="AI245" s="98" t="str">
        <f t="shared" si="85"/>
        <v>00</v>
      </c>
      <c r="AJ245" s="98" t="str">
        <f t="shared" si="86"/>
        <v>000000000000</v>
      </c>
      <c r="AK245" s="161" t="str">
        <f t="shared" si="87"/>
        <v xml:space="preserve">                              </v>
      </c>
      <c r="AL245" s="154">
        <f t="shared" si="88"/>
        <v>0</v>
      </c>
      <c r="AM245" s="155">
        <f t="shared" si="89"/>
        <v>0</v>
      </c>
      <c r="AP245" s="63" t="str">
        <f t="shared" si="90"/>
        <v/>
      </c>
      <c r="AQ245" s="63" t="str">
        <f t="shared" si="91"/>
        <v/>
      </c>
      <c r="AR245" s="152" t="str">
        <f t="shared" si="92"/>
        <v/>
      </c>
      <c r="AS245" s="109" t="str">
        <f t="shared" si="93"/>
        <v/>
      </c>
      <c r="AT245" s="63" t="str">
        <f t="shared" si="94"/>
        <v xml:space="preserve">                    </v>
      </c>
    </row>
    <row r="246" spans="1:46" ht="12.75" x14ac:dyDescent="0.2">
      <c r="A246" s="63" t="str">
        <f t="shared" si="76"/>
        <v/>
      </c>
      <c r="B246" s="185"/>
      <c r="C246" s="184"/>
      <c r="D246" s="184"/>
      <c r="E246" s="184"/>
      <c r="F246" s="184"/>
      <c r="G246" s="185"/>
      <c r="H246" s="185"/>
      <c r="I246" s="186"/>
      <c r="J246" s="69"/>
      <c r="AA246" s="63">
        <f t="shared" si="77"/>
        <v>0</v>
      </c>
      <c r="AB246" s="153" t="str">
        <f t="shared" si="78"/>
        <v>000</v>
      </c>
      <c r="AC246" s="165" t="str">
        <f t="shared" si="79"/>
        <v>00000000</v>
      </c>
      <c r="AD246" s="98" t="str">
        <f t="shared" si="80"/>
        <v>00000000</v>
      </c>
      <c r="AE246" s="150">
        <f t="shared" si="81"/>
        <v>0</v>
      </c>
      <c r="AF246" s="150">
        <f t="shared" si="82"/>
        <v>0</v>
      </c>
      <c r="AG246" s="98" t="str">
        <f t="shared" si="83"/>
        <v>0000000000</v>
      </c>
      <c r="AH246" s="151">
        <f t="shared" si="84"/>
        <v>0</v>
      </c>
      <c r="AI246" s="98" t="str">
        <f t="shared" si="85"/>
        <v>00</v>
      </c>
      <c r="AJ246" s="98" t="str">
        <f t="shared" si="86"/>
        <v>000000000000</v>
      </c>
      <c r="AK246" s="161" t="str">
        <f t="shared" si="87"/>
        <v xml:space="preserve">                              </v>
      </c>
      <c r="AL246" s="154">
        <f t="shared" si="88"/>
        <v>0</v>
      </c>
      <c r="AM246" s="155">
        <f t="shared" si="89"/>
        <v>0</v>
      </c>
      <c r="AP246" s="63" t="str">
        <f t="shared" si="90"/>
        <v/>
      </c>
      <c r="AQ246" s="63" t="str">
        <f t="shared" si="91"/>
        <v/>
      </c>
      <c r="AR246" s="152" t="str">
        <f t="shared" si="92"/>
        <v/>
      </c>
      <c r="AS246" s="109" t="str">
        <f t="shared" si="93"/>
        <v/>
      </c>
      <c r="AT246" s="63" t="str">
        <f t="shared" si="94"/>
        <v xml:space="preserve">                    </v>
      </c>
    </row>
    <row r="247" spans="1:46" ht="12.75" x14ac:dyDescent="0.2">
      <c r="A247" s="63" t="str">
        <f t="shared" si="76"/>
        <v/>
      </c>
      <c r="B247" s="185"/>
      <c r="C247" s="184"/>
      <c r="D247" s="184"/>
      <c r="E247" s="184"/>
      <c r="F247" s="184"/>
      <c r="G247" s="185"/>
      <c r="H247" s="185"/>
      <c r="I247" s="186"/>
      <c r="J247" s="69"/>
      <c r="AA247" s="63">
        <f t="shared" si="77"/>
        <v>0</v>
      </c>
      <c r="AB247" s="153" t="str">
        <f t="shared" si="78"/>
        <v>000</v>
      </c>
      <c r="AC247" s="165" t="str">
        <f t="shared" si="79"/>
        <v>00000000</v>
      </c>
      <c r="AD247" s="98" t="str">
        <f t="shared" si="80"/>
        <v>00000000</v>
      </c>
      <c r="AE247" s="150">
        <f t="shared" si="81"/>
        <v>0</v>
      </c>
      <c r="AF247" s="150">
        <f t="shared" si="82"/>
        <v>0</v>
      </c>
      <c r="AG247" s="98" t="str">
        <f t="shared" si="83"/>
        <v>0000000000</v>
      </c>
      <c r="AH247" s="151">
        <f t="shared" si="84"/>
        <v>0</v>
      </c>
      <c r="AI247" s="98" t="str">
        <f t="shared" si="85"/>
        <v>00</v>
      </c>
      <c r="AJ247" s="98" t="str">
        <f t="shared" si="86"/>
        <v>000000000000</v>
      </c>
      <c r="AK247" s="161" t="str">
        <f t="shared" si="87"/>
        <v xml:space="preserve">                              </v>
      </c>
      <c r="AL247" s="154">
        <f t="shared" si="88"/>
        <v>0</v>
      </c>
      <c r="AM247" s="155">
        <f t="shared" si="89"/>
        <v>0</v>
      </c>
      <c r="AP247" s="63" t="str">
        <f t="shared" si="90"/>
        <v/>
      </c>
      <c r="AQ247" s="63" t="str">
        <f t="shared" si="91"/>
        <v/>
      </c>
      <c r="AR247" s="152" t="str">
        <f t="shared" si="92"/>
        <v/>
      </c>
      <c r="AS247" s="109" t="str">
        <f t="shared" si="93"/>
        <v/>
      </c>
      <c r="AT247" s="63" t="str">
        <f t="shared" si="94"/>
        <v xml:space="preserve">                    </v>
      </c>
    </row>
    <row r="248" spans="1:46" ht="12.75" x14ac:dyDescent="0.2">
      <c r="A248" s="63" t="str">
        <f t="shared" si="76"/>
        <v/>
      </c>
      <c r="B248" s="185"/>
      <c r="C248" s="184"/>
      <c r="D248" s="184"/>
      <c r="E248" s="184"/>
      <c r="F248" s="184"/>
      <c r="G248" s="185"/>
      <c r="H248" s="185"/>
      <c r="I248" s="186"/>
      <c r="J248" s="69"/>
      <c r="AA248" s="63">
        <f t="shared" si="77"/>
        <v>0</v>
      </c>
      <c r="AB248" s="153" t="str">
        <f t="shared" si="78"/>
        <v>000</v>
      </c>
      <c r="AC248" s="165" t="str">
        <f t="shared" si="79"/>
        <v>00000000</v>
      </c>
      <c r="AD248" s="98" t="str">
        <f t="shared" si="80"/>
        <v>00000000</v>
      </c>
      <c r="AE248" s="150">
        <f t="shared" si="81"/>
        <v>0</v>
      </c>
      <c r="AF248" s="150">
        <f t="shared" si="82"/>
        <v>0</v>
      </c>
      <c r="AG248" s="98" t="str">
        <f t="shared" si="83"/>
        <v>0000000000</v>
      </c>
      <c r="AH248" s="151">
        <f t="shared" si="84"/>
        <v>0</v>
      </c>
      <c r="AI248" s="98" t="str">
        <f t="shared" si="85"/>
        <v>00</v>
      </c>
      <c r="AJ248" s="98" t="str">
        <f t="shared" si="86"/>
        <v>000000000000</v>
      </c>
      <c r="AK248" s="161" t="str">
        <f t="shared" si="87"/>
        <v xml:space="preserve">                              </v>
      </c>
      <c r="AL248" s="154">
        <f t="shared" si="88"/>
        <v>0</v>
      </c>
      <c r="AM248" s="155">
        <f t="shared" si="89"/>
        <v>0</v>
      </c>
      <c r="AP248" s="63" t="str">
        <f t="shared" si="90"/>
        <v/>
      </c>
      <c r="AQ248" s="63" t="str">
        <f t="shared" si="91"/>
        <v/>
      </c>
      <c r="AR248" s="152" t="str">
        <f t="shared" si="92"/>
        <v/>
      </c>
      <c r="AS248" s="109" t="str">
        <f t="shared" si="93"/>
        <v/>
      </c>
      <c r="AT248" s="63" t="str">
        <f t="shared" si="94"/>
        <v xml:space="preserve">                    </v>
      </c>
    </row>
    <row r="249" spans="1:46" ht="12.75" x14ac:dyDescent="0.2">
      <c r="A249" s="63" t="str">
        <f t="shared" si="76"/>
        <v/>
      </c>
      <c r="B249" s="185"/>
      <c r="C249" s="184"/>
      <c r="D249" s="184"/>
      <c r="E249" s="184"/>
      <c r="F249" s="184"/>
      <c r="G249" s="185"/>
      <c r="H249" s="185"/>
      <c r="I249" s="186"/>
      <c r="J249" s="69"/>
      <c r="AA249" s="63">
        <f t="shared" si="77"/>
        <v>0</v>
      </c>
      <c r="AB249" s="153" t="str">
        <f t="shared" si="78"/>
        <v>000</v>
      </c>
      <c r="AC249" s="165" t="str">
        <f t="shared" si="79"/>
        <v>00000000</v>
      </c>
      <c r="AD249" s="98" t="str">
        <f t="shared" si="80"/>
        <v>00000000</v>
      </c>
      <c r="AE249" s="150">
        <f t="shared" si="81"/>
        <v>0</v>
      </c>
      <c r="AF249" s="150">
        <f t="shared" si="82"/>
        <v>0</v>
      </c>
      <c r="AG249" s="98" t="str">
        <f t="shared" si="83"/>
        <v>0000000000</v>
      </c>
      <c r="AH249" s="151">
        <f t="shared" si="84"/>
        <v>0</v>
      </c>
      <c r="AI249" s="98" t="str">
        <f t="shared" si="85"/>
        <v>00</v>
      </c>
      <c r="AJ249" s="98" t="str">
        <f t="shared" si="86"/>
        <v>000000000000</v>
      </c>
      <c r="AK249" s="161" t="str">
        <f t="shared" si="87"/>
        <v xml:space="preserve">                              </v>
      </c>
      <c r="AL249" s="154">
        <f t="shared" si="88"/>
        <v>0</v>
      </c>
      <c r="AM249" s="155">
        <f t="shared" si="89"/>
        <v>0</v>
      </c>
      <c r="AP249" s="63" t="str">
        <f t="shared" si="90"/>
        <v/>
      </c>
      <c r="AQ249" s="63" t="str">
        <f t="shared" si="91"/>
        <v/>
      </c>
      <c r="AR249" s="152" t="str">
        <f t="shared" si="92"/>
        <v/>
      </c>
      <c r="AS249" s="109" t="str">
        <f t="shared" si="93"/>
        <v/>
      </c>
      <c r="AT249" s="63" t="str">
        <f t="shared" si="94"/>
        <v xml:space="preserve">                    </v>
      </c>
    </row>
    <row r="250" spans="1:46" ht="12.75" x14ac:dyDescent="0.2">
      <c r="A250" s="63" t="str">
        <f t="shared" si="76"/>
        <v/>
      </c>
      <c r="B250" s="185"/>
      <c r="C250" s="184"/>
      <c r="D250" s="184"/>
      <c r="E250" s="184"/>
      <c r="F250" s="184"/>
      <c r="G250" s="185"/>
      <c r="H250" s="185"/>
      <c r="I250" s="186"/>
      <c r="J250" s="69"/>
      <c r="AA250" s="63">
        <f t="shared" si="77"/>
        <v>0</v>
      </c>
      <c r="AB250" s="153" t="str">
        <f t="shared" si="78"/>
        <v>000</v>
      </c>
      <c r="AC250" s="165" t="str">
        <f t="shared" si="79"/>
        <v>00000000</v>
      </c>
      <c r="AD250" s="98" t="str">
        <f t="shared" si="80"/>
        <v>00000000</v>
      </c>
      <c r="AE250" s="150">
        <f t="shared" si="81"/>
        <v>0</v>
      </c>
      <c r="AF250" s="150">
        <f t="shared" si="82"/>
        <v>0</v>
      </c>
      <c r="AG250" s="98" t="str">
        <f t="shared" si="83"/>
        <v>0000000000</v>
      </c>
      <c r="AH250" s="151">
        <f t="shared" si="84"/>
        <v>0</v>
      </c>
      <c r="AI250" s="98" t="str">
        <f t="shared" si="85"/>
        <v>00</v>
      </c>
      <c r="AJ250" s="98" t="str">
        <f t="shared" si="86"/>
        <v>000000000000</v>
      </c>
      <c r="AK250" s="161" t="str">
        <f t="shared" si="87"/>
        <v xml:space="preserve">                              </v>
      </c>
      <c r="AL250" s="154">
        <f t="shared" si="88"/>
        <v>0</v>
      </c>
      <c r="AM250" s="155">
        <f t="shared" si="89"/>
        <v>0</v>
      </c>
      <c r="AP250" s="63" t="str">
        <f t="shared" si="90"/>
        <v/>
      </c>
      <c r="AQ250" s="63" t="str">
        <f t="shared" si="91"/>
        <v/>
      </c>
      <c r="AR250" s="152" t="str">
        <f t="shared" si="92"/>
        <v/>
      </c>
      <c r="AS250" s="109" t="str">
        <f t="shared" si="93"/>
        <v/>
      </c>
      <c r="AT250" s="63" t="str">
        <f t="shared" si="94"/>
        <v xml:space="preserve">                    </v>
      </c>
    </row>
    <row r="251" spans="1:46" ht="12.75" x14ac:dyDescent="0.2">
      <c r="A251" s="63" t="str">
        <f t="shared" si="76"/>
        <v/>
      </c>
      <c r="B251" s="185"/>
      <c r="C251" s="184"/>
      <c r="D251" s="184"/>
      <c r="E251" s="184"/>
      <c r="F251" s="184"/>
      <c r="G251" s="185"/>
      <c r="H251" s="185"/>
      <c r="I251" s="186"/>
      <c r="J251" s="69"/>
      <c r="AA251" s="63">
        <f t="shared" si="77"/>
        <v>0</v>
      </c>
      <c r="AB251" s="153" t="str">
        <f t="shared" si="78"/>
        <v>000</v>
      </c>
      <c r="AC251" s="165" t="str">
        <f t="shared" si="79"/>
        <v>00000000</v>
      </c>
      <c r="AD251" s="98" t="str">
        <f t="shared" si="80"/>
        <v>00000000</v>
      </c>
      <c r="AE251" s="150">
        <f t="shared" si="81"/>
        <v>0</v>
      </c>
      <c r="AF251" s="150">
        <f t="shared" si="82"/>
        <v>0</v>
      </c>
      <c r="AG251" s="98" t="str">
        <f t="shared" si="83"/>
        <v>0000000000</v>
      </c>
      <c r="AH251" s="151">
        <f t="shared" si="84"/>
        <v>0</v>
      </c>
      <c r="AI251" s="98" t="str">
        <f t="shared" si="85"/>
        <v>00</v>
      </c>
      <c r="AJ251" s="98" t="str">
        <f t="shared" si="86"/>
        <v>000000000000</v>
      </c>
      <c r="AK251" s="161" t="str">
        <f t="shared" si="87"/>
        <v xml:space="preserve">                              </v>
      </c>
      <c r="AL251" s="154">
        <f t="shared" si="88"/>
        <v>0</v>
      </c>
      <c r="AM251" s="155">
        <f t="shared" si="89"/>
        <v>0</v>
      </c>
      <c r="AP251" s="63" t="str">
        <f t="shared" si="90"/>
        <v/>
      </c>
      <c r="AQ251" s="63" t="str">
        <f t="shared" si="91"/>
        <v/>
      </c>
      <c r="AR251" s="152" t="str">
        <f t="shared" si="92"/>
        <v/>
      </c>
      <c r="AS251" s="109" t="str">
        <f t="shared" si="93"/>
        <v/>
      </c>
      <c r="AT251" s="63" t="str">
        <f t="shared" si="94"/>
        <v xml:space="preserve">                    </v>
      </c>
    </row>
    <row r="252" spans="1:46" ht="12.75" x14ac:dyDescent="0.2">
      <c r="A252" s="63" t="str">
        <f t="shared" si="76"/>
        <v/>
      </c>
      <c r="B252" s="185"/>
      <c r="C252" s="184"/>
      <c r="D252" s="184"/>
      <c r="E252" s="184"/>
      <c r="F252" s="184"/>
      <c r="G252" s="185"/>
      <c r="H252" s="185"/>
      <c r="I252" s="186"/>
      <c r="J252" s="69"/>
      <c r="AA252" s="63">
        <f t="shared" si="77"/>
        <v>0</v>
      </c>
      <c r="AB252" s="153" t="str">
        <f t="shared" si="78"/>
        <v>000</v>
      </c>
      <c r="AC252" s="165" t="str">
        <f t="shared" si="79"/>
        <v>00000000</v>
      </c>
      <c r="AD252" s="98" t="str">
        <f t="shared" si="80"/>
        <v>00000000</v>
      </c>
      <c r="AE252" s="150">
        <f t="shared" si="81"/>
        <v>0</v>
      </c>
      <c r="AF252" s="150">
        <f t="shared" si="82"/>
        <v>0</v>
      </c>
      <c r="AG252" s="98" t="str">
        <f t="shared" si="83"/>
        <v>0000000000</v>
      </c>
      <c r="AH252" s="151">
        <f t="shared" si="84"/>
        <v>0</v>
      </c>
      <c r="AI252" s="98" t="str">
        <f t="shared" si="85"/>
        <v>00</v>
      </c>
      <c r="AJ252" s="98" t="str">
        <f t="shared" si="86"/>
        <v>000000000000</v>
      </c>
      <c r="AK252" s="161" t="str">
        <f t="shared" si="87"/>
        <v xml:space="preserve">                              </v>
      </c>
      <c r="AL252" s="154">
        <f t="shared" si="88"/>
        <v>0</v>
      </c>
      <c r="AM252" s="155">
        <f t="shared" si="89"/>
        <v>0</v>
      </c>
      <c r="AP252" s="63" t="str">
        <f t="shared" si="90"/>
        <v/>
      </c>
      <c r="AQ252" s="63" t="str">
        <f t="shared" si="91"/>
        <v/>
      </c>
      <c r="AR252" s="152" t="str">
        <f t="shared" si="92"/>
        <v/>
      </c>
      <c r="AS252" s="109" t="str">
        <f t="shared" si="93"/>
        <v/>
      </c>
      <c r="AT252" s="63" t="str">
        <f t="shared" si="94"/>
        <v xml:space="preserve">                    </v>
      </c>
    </row>
    <row r="253" spans="1:46" ht="12.75" x14ac:dyDescent="0.2">
      <c r="A253" s="63" t="str">
        <f t="shared" si="76"/>
        <v/>
      </c>
      <c r="B253" s="185"/>
      <c r="C253" s="184"/>
      <c r="D253" s="184"/>
      <c r="E253" s="184"/>
      <c r="F253" s="184"/>
      <c r="G253" s="185"/>
      <c r="H253" s="185"/>
      <c r="I253" s="186"/>
      <c r="J253" s="69"/>
      <c r="AA253" s="63">
        <f t="shared" si="77"/>
        <v>0</v>
      </c>
      <c r="AB253" s="153" t="str">
        <f t="shared" si="78"/>
        <v>000</v>
      </c>
      <c r="AC253" s="165" t="str">
        <f t="shared" si="79"/>
        <v>00000000</v>
      </c>
      <c r="AD253" s="98" t="str">
        <f t="shared" si="80"/>
        <v>00000000</v>
      </c>
      <c r="AE253" s="150">
        <f t="shared" si="81"/>
        <v>0</v>
      </c>
      <c r="AF253" s="150">
        <f t="shared" si="82"/>
        <v>0</v>
      </c>
      <c r="AG253" s="98" t="str">
        <f t="shared" si="83"/>
        <v>0000000000</v>
      </c>
      <c r="AH253" s="151">
        <f t="shared" si="84"/>
        <v>0</v>
      </c>
      <c r="AI253" s="98" t="str">
        <f t="shared" si="85"/>
        <v>00</v>
      </c>
      <c r="AJ253" s="98" t="str">
        <f t="shared" si="86"/>
        <v>000000000000</v>
      </c>
      <c r="AK253" s="161" t="str">
        <f t="shared" si="87"/>
        <v xml:space="preserve">                              </v>
      </c>
      <c r="AL253" s="154">
        <f t="shared" si="88"/>
        <v>0</v>
      </c>
      <c r="AM253" s="155">
        <f t="shared" si="89"/>
        <v>0</v>
      </c>
      <c r="AP253" s="63" t="str">
        <f t="shared" si="90"/>
        <v/>
      </c>
      <c r="AQ253" s="63" t="str">
        <f t="shared" si="91"/>
        <v/>
      </c>
      <c r="AR253" s="152" t="str">
        <f t="shared" si="92"/>
        <v/>
      </c>
      <c r="AS253" s="109" t="str">
        <f t="shared" si="93"/>
        <v/>
      </c>
      <c r="AT253" s="63" t="str">
        <f t="shared" si="94"/>
        <v xml:space="preserve">                    </v>
      </c>
    </row>
    <row r="254" spans="1:46" ht="12.75" x14ac:dyDescent="0.2">
      <c r="A254" s="63" t="str">
        <f t="shared" si="76"/>
        <v/>
      </c>
      <c r="B254" s="185"/>
      <c r="C254" s="184"/>
      <c r="D254" s="184"/>
      <c r="E254" s="184"/>
      <c r="F254" s="184"/>
      <c r="G254" s="185"/>
      <c r="H254" s="185"/>
      <c r="I254" s="186"/>
      <c r="J254" s="69"/>
      <c r="AA254" s="63">
        <f t="shared" si="77"/>
        <v>0</v>
      </c>
      <c r="AB254" s="153" t="str">
        <f t="shared" si="78"/>
        <v>000</v>
      </c>
      <c r="AC254" s="165" t="str">
        <f t="shared" si="79"/>
        <v>00000000</v>
      </c>
      <c r="AD254" s="98" t="str">
        <f t="shared" si="80"/>
        <v>00000000</v>
      </c>
      <c r="AE254" s="150">
        <f t="shared" si="81"/>
        <v>0</v>
      </c>
      <c r="AF254" s="150">
        <f t="shared" si="82"/>
        <v>0</v>
      </c>
      <c r="AG254" s="98" t="str">
        <f t="shared" si="83"/>
        <v>0000000000</v>
      </c>
      <c r="AH254" s="151">
        <f t="shared" si="84"/>
        <v>0</v>
      </c>
      <c r="AI254" s="98" t="str">
        <f t="shared" si="85"/>
        <v>00</v>
      </c>
      <c r="AJ254" s="98" t="str">
        <f t="shared" si="86"/>
        <v>000000000000</v>
      </c>
      <c r="AK254" s="161" t="str">
        <f t="shared" si="87"/>
        <v xml:space="preserve">                              </v>
      </c>
      <c r="AL254" s="154">
        <f t="shared" si="88"/>
        <v>0</v>
      </c>
      <c r="AM254" s="155">
        <f t="shared" si="89"/>
        <v>0</v>
      </c>
      <c r="AP254" s="63" t="str">
        <f t="shared" si="90"/>
        <v/>
      </c>
      <c r="AQ254" s="63" t="str">
        <f t="shared" si="91"/>
        <v/>
      </c>
      <c r="AR254" s="152" t="str">
        <f t="shared" si="92"/>
        <v/>
      </c>
      <c r="AS254" s="109" t="str">
        <f t="shared" si="93"/>
        <v/>
      </c>
      <c r="AT254" s="63" t="str">
        <f t="shared" si="94"/>
        <v xml:space="preserve">                    </v>
      </c>
    </row>
    <row r="255" spans="1:46" ht="12.75" x14ac:dyDescent="0.2">
      <c r="A255" s="63" t="str">
        <f t="shared" si="76"/>
        <v/>
      </c>
      <c r="B255" s="185"/>
      <c r="C255" s="184"/>
      <c r="D255" s="184"/>
      <c r="E255" s="184"/>
      <c r="F255" s="184"/>
      <c r="G255" s="185"/>
      <c r="H255" s="185"/>
      <c r="I255" s="186"/>
      <c r="J255" s="69"/>
      <c r="AA255" s="63">
        <f t="shared" si="77"/>
        <v>0</v>
      </c>
      <c r="AB255" s="153" t="str">
        <f t="shared" si="78"/>
        <v>000</v>
      </c>
      <c r="AC255" s="165" t="str">
        <f t="shared" si="79"/>
        <v>00000000</v>
      </c>
      <c r="AD255" s="98" t="str">
        <f t="shared" si="80"/>
        <v>00000000</v>
      </c>
      <c r="AE255" s="150">
        <f t="shared" si="81"/>
        <v>0</v>
      </c>
      <c r="AF255" s="150">
        <f t="shared" si="82"/>
        <v>0</v>
      </c>
      <c r="AG255" s="98" t="str">
        <f t="shared" si="83"/>
        <v>0000000000</v>
      </c>
      <c r="AH255" s="151">
        <f t="shared" si="84"/>
        <v>0</v>
      </c>
      <c r="AI255" s="98" t="str">
        <f t="shared" si="85"/>
        <v>00</v>
      </c>
      <c r="AJ255" s="98" t="str">
        <f t="shared" si="86"/>
        <v>000000000000</v>
      </c>
      <c r="AK255" s="161" t="str">
        <f t="shared" si="87"/>
        <v xml:space="preserve">                              </v>
      </c>
      <c r="AL255" s="154">
        <f t="shared" si="88"/>
        <v>0</v>
      </c>
      <c r="AM255" s="155">
        <f t="shared" si="89"/>
        <v>0</v>
      </c>
      <c r="AP255" s="63" t="str">
        <f t="shared" si="90"/>
        <v/>
      </c>
      <c r="AQ255" s="63" t="str">
        <f t="shared" si="91"/>
        <v/>
      </c>
      <c r="AR255" s="152" t="str">
        <f t="shared" si="92"/>
        <v/>
      </c>
      <c r="AS255" s="109" t="str">
        <f t="shared" si="93"/>
        <v/>
      </c>
      <c r="AT255" s="63" t="str">
        <f t="shared" si="94"/>
        <v xml:space="preserve">                    </v>
      </c>
    </row>
    <row r="256" spans="1:46" ht="12.75" x14ac:dyDescent="0.2">
      <c r="A256" s="63" t="str">
        <f t="shared" si="76"/>
        <v/>
      </c>
      <c r="B256" s="185"/>
      <c r="C256" s="184"/>
      <c r="D256" s="184"/>
      <c r="E256" s="184"/>
      <c r="F256" s="184"/>
      <c r="G256" s="185"/>
      <c r="H256" s="185"/>
      <c r="I256" s="186"/>
      <c r="J256" s="69"/>
      <c r="AA256" s="63">
        <f t="shared" si="77"/>
        <v>0</v>
      </c>
      <c r="AB256" s="153" t="str">
        <f t="shared" si="78"/>
        <v>000</v>
      </c>
      <c r="AC256" s="165" t="str">
        <f t="shared" si="79"/>
        <v>00000000</v>
      </c>
      <c r="AD256" s="98" t="str">
        <f t="shared" si="80"/>
        <v>00000000</v>
      </c>
      <c r="AE256" s="150">
        <f t="shared" si="81"/>
        <v>0</v>
      </c>
      <c r="AF256" s="150">
        <f t="shared" si="82"/>
        <v>0</v>
      </c>
      <c r="AG256" s="98" t="str">
        <f t="shared" si="83"/>
        <v>0000000000</v>
      </c>
      <c r="AH256" s="151">
        <f t="shared" si="84"/>
        <v>0</v>
      </c>
      <c r="AI256" s="98" t="str">
        <f t="shared" si="85"/>
        <v>00</v>
      </c>
      <c r="AJ256" s="98" t="str">
        <f t="shared" si="86"/>
        <v>000000000000</v>
      </c>
      <c r="AK256" s="161" t="str">
        <f t="shared" si="87"/>
        <v xml:space="preserve">                              </v>
      </c>
      <c r="AL256" s="154">
        <f t="shared" si="88"/>
        <v>0</v>
      </c>
      <c r="AM256" s="155">
        <f t="shared" si="89"/>
        <v>0</v>
      </c>
      <c r="AP256" s="63" t="str">
        <f t="shared" si="90"/>
        <v/>
      </c>
      <c r="AQ256" s="63" t="str">
        <f t="shared" si="91"/>
        <v/>
      </c>
      <c r="AR256" s="152" t="str">
        <f t="shared" si="92"/>
        <v/>
      </c>
      <c r="AS256" s="109" t="str">
        <f t="shared" si="93"/>
        <v/>
      </c>
      <c r="AT256" s="63" t="str">
        <f t="shared" si="94"/>
        <v xml:space="preserve">                    </v>
      </c>
    </row>
    <row r="257" spans="1:46" ht="12.75" x14ac:dyDescent="0.2">
      <c r="A257" s="63" t="str">
        <f t="shared" si="76"/>
        <v/>
      </c>
      <c r="B257" s="185"/>
      <c r="C257" s="184"/>
      <c r="D257" s="184"/>
      <c r="E257" s="184"/>
      <c r="F257" s="184"/>
      <c r="G257" s="185"/>
      <c r="H257" s="185"/>
      <c r="I257" s="186"/>
      <c r="J257" s="69"/>
      <c r="AA257" s="63">
        <f t="shared" si="77"/>
        <v>0</v>
      </c>
      <c r="AB257" s="153" t="str">
        <f t="shared" si="78"/>
        <v>000</v>
      </c>
      <c r="AC257" s="165" t="str">
        <f t="shared" si="79"/>
        <v>00000000</v>
      </c>
      <c r="AD257" s="98" t="str">
        <f t="shared" si="80"/>
        <v>00000000</v>
      </c>
      <c r="AE257" s="150">
        <f t="shared" si="81"/>
        <v>0</v>
      </c>
      <c r="AF257" s="150">
        <f t="shared" si="82"/>
        <v>0</v>
      </c>
      <c r="AG257" s="98" t="str">
        <f t="shared" si="83"/>
        <v>0000000000</v>
      </c>
      <c r="AH257" s="151">
        <f t="shared" si="84"/>
        <v>0</v>
      </c>
      <c r="AI257" s="98" t="str">
        <f t="shared" si="85"/>
        <v>00</v>
      </c>
      <c r="AJ257" s="98" t="str">
        <f t="shared" si="86"/>
        <v>000000000000</v>
      </c>
      <c r="AK257" s="161" t="str">
        <f t="shared" si="87"/>
        <v xml:space="preserve">                              </v>
      </c>
      <c r="AL257" s="154">
        <f t="shared" si="88"/>
        <v>0</v>
      </c>
      <c r="AM257" s="155">
        <f t="shared" si="89"/>
        <v>0</v>
      </c>
      <c r="AP257" s="63" t="str">
        <f t="shared" si="90"/>
        <v/>
      </c>
      <c r="AQ257" s="63" t="str">
        <f t="shared" si="91"/>
        <v/>
      </c>
      <c r="AR257" s="152" t="str">
        <f t="shared" si="92"/>
        <v/>
      </c>
      <c r="AS257" s="109" t="str">
        <f t="shared" si="93"/>
        <v/>
      </c>
      <c r="AT257" s="63" t="str">
        <f t="shared" si="94"/>
        <v xml:space="preserve">                    </v>
      </c>
    </row>
    <row r="258" spans="1:46" ht="12.75" x14ac:dyDescent="0.2">
      <c r="A258" s="63" t="str">
        <f t="shared" si="76"/>
        <v/>
      </c>
      <c r="B258" s="185"/>
      <c r="C258" s="184"/>
      <c r="D258" s="184"/>
      <c r="E258" s="184"/>
      <c r="F258" s="184"/>
      <c r="G258" s="185"/>
      <c r="H258" s="185"/>
      <c r="I258" s="186"/>
      <c r="J258" s="69"/>
      <c r="AA258" s="63">
        <f t="shared" si="77"/>
        <v>0</v>
      </c>
      <c r="AB258" s="153" t="str">
        <f t="shared" si="78"/>
        <v>000</v>
      </c>
      <c r="AC258" s="165" t="str">
        <f t="shared" si="79"/>
        <v>00000000</v>
      </c>
      <c r="AD258" s="98" t="str">
        <f t="shared" si="80"/>
        <v>00000000</v>
      </c>
      <c r="AE258" s="150">
        <f t="shared" si="81"/>
        <v>0</v>
      </c>
      <c r="AF258" s="150">
        <f t="shared" si="82"/>
        <v>0</v>
      </c>
      <c r="AG258" s="98" t="str">
        <f t="shared" si="83"/>
        <v>0000000000</v>
      </c>
      <c r="AH258" s="151">
        <f t="shared" si="84"/>
        <v>0</v>
      </c>
      <c r="AI258" s="98" t="str">
        <f t="shared" si="85"/>
        <v>00</v>
      </c>
      <c r="AJ258" s="98" t="str">
        <f t="shared" si="86"/>
        <v>000000000000</v>
      </c>
      <c r="AK258" s="161" t="str">
        <f t="shared" si="87"/>
        <v xml:space="preserve">                              </v>
      </c>
      <c r="AL258" s="154">
        <f t="shared" si="88"/>
        <v>0</v>
      </c>
      <c r="AM258" s="155">
        <f t="shared" si="89"/>
        <v>0</v>
      </c>
      <c r="AP258" s="63" t="str">
        <f t="shared" si="90"/>
        <v/>
      </c>
      <c r="AQ258" s="63" t="str">
        <f t="shared" si="91"/>
        <v/>
      </c>
      <c r="AR258" s="152" t="str">
        <f t="shared" si="92"/>
        <v/>
      </c>
      <c r="AS258" s="109" t="str">
        <f t="shared" si="93"/>
        <v/>
      </c>
      <c r="AT258" s="63" t="str">
        <f t="shared" si="94"/>
        <v xml:space="preserve">                    </v>
      </c>
    </row>
    <row r="259" spans="1:46" ht="12.75" x14ac:dyDescent="0.2">
      <c r="A259" s="63" t="str">
        <f t="shared" si="76"/>
        <v/>
      </c>
      <c r="B259" s="185"/>
      <c r="C259" s="184"/>
      <c r="D259" s="184"/>
      <c r="E259" s="184"/>
      <c r="F259" s="184"/>
      <c r="G259" s="185"/>
      <c r="H259" s="185"/>
      <c r="I259" s="186"/>
      <c r="J259" s="69"/>
      <c r="AA259" s="63">
        <f t="shared" si="77"/>
        <v>0</v>
      </c>
      <c r="AB259" s="153" t="str">
        <f t="shared" si="78"/>
        <v>000</v>
      </c>
      <c r="AC259" s="165" t="str">
        <f t="shared" si="79"/>
        <v>00000000</v>
      </c>
      <c r="AD259" s="98" t="str">
        <f t="shared" si="80"/>
        <v>00000000</v>
      </c>
      <c r="AE259" s="150">
        <f t="shared" si="81"/>
        <v>0</v>
      </c>
      <c r="AF259" s="150">
        <f t="shared" si="82"/>
        <v>0</v>
      </c>
      <c r="AG259" s="98" t="str">
        <f t="shared" si="83"/>
        <v>0000000000</v>
      </c>
      <c r="AH259" s="151">
        <f t="shared" si="84"/>
        <v>0</v>
      </c>
      <c r="AI259" s="98" t="str">
        <f t="shared" si="85"/>
        <v>00</v>
      </c>
      <c r="AJ259" s="98" t="str">
        <f t="shared" si="86"/>
        <v>000000000000</v>
      </c>
      <c r="AK259" s="161" t="str">
        <f t="shared" si="87"/>
        <v xml:space="preserve">                              </v>
      </c>
      <c r="AL259" s="154">
        <f t="shared" si="88"/>
        <v>0</v>
      </c>
      <c r="AM259" s="155">
        <f t="shared" si="89"/>
        <v>0</v>
      </c>
      <c r="AP259" s="63" t="str">
        <f t="shared" si="90"/>
        <v/>
      </c>
      <c r="AQ259" s="63" t="str">
        <f t="shared" si="91"/>
        <v/>
      </c>
      <c r="AR259" s="152" t="str">
        <f t="shared" si="92"/>
        <v/>
      </c>
      <c r="AS259" s="109" t="str">
        <f t="shared" si="93"/>
        <v/>
      </c>
      <c r="AT259" s="63" t="str">
        <f t="shared" si="94"/>
        <v xml:space="preserve">                    </v>
      </c>
    </row>
    <row r="260" spans="1:46" ht="12.75" x14ac:dyDescent="0.2">
      <c r="A260" s="63" t="str">
        <f t="shared" si="76"/>
        <v/>
      </c>
      <c r="B260" s="185"/>
      <c r="C260" s="184"/>
      <c r="D260" s="184"/>
      <c r="E260" s="184"/>
      <c r="F260" s="184"/>
      <c r="G260" s="185"/>
      <c r="H260" s="185"/>
      <c r="I260" s="186"/>
      <c r="J260" s="69"/>
      <c r="AA260" s="63">
        <f t="shared" si="77"/>
        <v>0</v>
      </c>
      <c r="AB260" s="153" t="str">
        <f t="shared" si="78"/>
        <v>000</v>
      </c>
      <c r="AC260" s="165" t="str">
        <f t="shared" si="79"/>
        <v>00000000</v>
      </c>
      <c r="AD260" s="98" t="str">
        <f t="shared" si="80"/>
        <v>00000000</v>
      </c>
      <c r="AE260" s="150">
        <f t="shared" si="81"/>
        <v>0</v>
      </c>
      <c r="AF260" s="150">
        <f t="shared" si="82"/>
        <v>0</v>
      </c>
      <c r="AG260" s="98" t="str">
        <f t="shared" si="83"/>
        <v>0000000000</v>
      </c>
      <c r="AH260" s="151">
        <f t="shared" si="84"/>
        <v>0</v>
      </c>
      <c r="AI260" s="98" t="str">
        <f t="shared" si="85"/>
        <v>00</v>
      </c>
      <c r="AJ260" s="98" t="str">
        <f t="shared" si="86"/>
        <v>000000000000</v>
      </c>
      <c r="AK260" s="161" t="str">
        <f t="shared" si="87"/>
        <v xml:space="preserve">                              </v>
      </c>
      <c r="AL260" s="154">
        <f t="shared" si="88"/>
        <v>0</v>
      </c>
      <c r="AM260" s="155">
        <f t="shared" si="89"/>
        <v>0</v>
      </c>
      <c r="AP260" s="63" t="str">
        <f t="shared" si="90"/>
        <v/>
      </c>
      <c r="AQ260" s="63" t="str">
        <f t="shared" si="91"/>
        <v/>
      </c>
      <c r="AR260" s="152" t="str">
        <f t="shared" si="92"/>
        <v/>
      </c>
      <c r="AS260" s="109" t="str">
        <f t="shared" si="93"/>
        <v/>
      </c>
      <c r="AT260" s="63" t="str">
        <f t="shared" si="94"/>
        <v xml:space="preserve">                    </v>
      </c>
    </row>
    <row r="261" spans="1:46" ht="12.75" x14ac:dyDescent="0.2">
      <c r="A261" s="63" t="str">
        <f t="shared" si="76"/>
        <v/>
      </c>
      <c r="B261" s="185"/>
      <c r="C261" s="184"/>
      <c r="D261" s="184"/>
      <c r="E261" s="184"/>
      <c r="F261" s="184"/>
      <c r="G261" s="185"/>
      <c r="H261" s="185"/>
      <c r="I261" s="186"/>
      <c r="J261" s="69"/>
      <c r="AA261" s="63">
        <f t="shared" si="77"/>
        <v>0</v>
      </c>
      <c r="AB261" s="153" t="str">
        <f t="shared" si="78"/>
        <v>000</v>
      </c>
      <c r="AC261" s="165" t="str">
        <f t="shared" si="79"/>
        <v>00000000</v>
      </c>
      <c r="AD261" s="98" t="str">
        <f t="shared" si="80"/>
        <v>00000000</v>
      </c>
      <c r="AE261" s="150">
        <f t="shared" si="81"/>
        <v>0</v>
      </c>
      <c r="AF261" s="150">
        <f t="shared" si="82"/>
        <v>0</v>
      </c>
      <c r="AG261" s="98" t="str">
        <f t="shared" si="83"/>
        <v>0000000000</v>
      </c>
      <c r="AH261" s="151">
        <f t="shared" si="84"/>
        <v>0</v>
      </c>
      <c r="AI261" s="98" t="str">
        <f t="shared" si="85"/>
        <v>00</v>
      </c>
      <c r="AJ261" s="98" t="str">
        <f t="shared" si="86"/>
        <v>000000000000</v>
      </c>
      <c r="AK261" s="161" t="str">
        <f t="shared" si="87"/>
        <v xml:space="preserve">                              </v>
      </c>
      <c r="AL261" s="154">
        <f t="shared" si="88"/>
        <v>0</v>
      </c>
      <c r="AM261" s="155">
        <f t="shared" si="89"/>
        <v>0</v>
      </c>
      <c r="AP261" s="63" t="str">
        <f t="shared" si="90"/>
        <v/>
      </c>
      <c r="AQ261" s="63" t="str">
        <f t="shared" si="91"/>
        <v/>
      </c>
      <c r="AR261" s="152" t="str">
        <f t="shared" si="92"/>
        <v/>
      </c>
      <c r="AS261" s="109" t="str">
        <f t="shared" si="93"/>
        <v/>
      </c>
      <c r="AT261" s="63" t="str">
        <f t="shared" si="94"/>
        <v xml:space="preserve">                    </v>
      </c>
    </row>
    <row r="262" spans="1:46" ht="12.75" x14ac:dyDescent="0.2">
      <c r="A262" s="63" t="str">
        <f t="shared" ref="A262:A325" si="95">IF(B262&lt;&gt;"",A261+1,"")</f>
        <v/>
      </c>
      <c r="B262" s="185"/>
      <c r="C262" s="184"/>
      <c r="D262" s="184"/>
      <c r="E262" s="184"/>
      <c r="F262" s="184"/>
      <c r="G262" s="185"/>
      <c r="H262" s="185"/>
      <c r="I262" s="186"/>
      <c r="J262" s="69"/>
      <c r="AA262" s="63">
        <f t="shared" si="77"/>
        <v>0</v>
      </c>
      <c r="AB262" s="153" t="str">
        <f t="shared" si="78"/>
        <v>000</v>
      </c>
      <c r="AC262" s="165" t="str">
        <f t="shared" si="79"/>
        <v>00000000</v>
      </c>
      <c r="AD262" s="98" t="str">
        <f t="shared" si="80"/>
        <v>00000000</v>
      </c>
      <c r="AE262" s="150">
        <f t="shared" si="81"/>
        <v>0</v>
      </c>
      <c r="AF262" s="150">
        <f t="shared" si="82"/>
        <v>0</v>
      </c>
      <c r="AG262" s="98" t="str">
        <f t="shared" si="83"/>
        <v>0000000000</v>
      </c>
      <c r="AH262" s="151">
        <f t="shared" si="84"/>
        <v>0</v>
      </c>
      <c r="AI262" s="98" t="str">
        <f t="shared" si="85"/>
        <v>00</v>
      </c>
      <c r="AJ262" s="98" t="str">
        <f t="shared" si="86"/>
        <v>000000000000</v>
      </c>
      <c r="AK262" s="161" t="str">
        <f t="shared" si="87"/>
        <v xml:space="preserve">                              </v>
      </c>
      <c r="AL262" s="154">
        <f t="shared" si="88"/>
        <v>0</v>
      </c>
      <c r="AM262" s="155">
        <f t="shared" si="89"/>
        <v>0</v>
      </c>
      <c r="AP262" s="63" t="str">
        <f t="shared" si="90"/>
        <v/>
      </c>
      <c r="AQ262" s="63" t="str">
        <f t="shared" si="91"/>
        <v/>
      </c>
      <c r="AR262" s="152" t="str">
        <f t="shared" si="92"/>
        <v/>
      </c>
      <c r="AS262" s="109" t="str">
        <f t="shared" si="93"/>
        <v/>
      </c>
      <c r="AT262" s="63" t="str">
        <f t="shared" si="94"/>
        <v xml:space="preserve">                    </v>
      </c>
    </row>
    <row r="263" spans="1:46" ht="12.75" x14ac:dyDescent="0.2">
      <c r="A263" s="63" t="str">
        <f t="shared" si="95"/>
        <v/>
      </c>
      <c r="B263" s="185"/>
      <c r="C263" s="184"/>
      <c r="D263" s="184"/>
      <c r="E263" s="184"/>
      <c r="F263" s="184"/>
      <c r="G263" s="185"/>
      <c r="H263" s="185"/>
      <c r="I263" s="186"/>
      <c r="J263" s="69"/>
      <c r="AA263" s="63">
        <f t="shared" si="77"/>
        <v>0</v>
      </c>
      <c r="AB263" s="153" t="str">
        <f t="shared" si="78"/>
        <v>000</v>
      </c>
      <c r="AC263" s="165" t="str">
        <f t="shared" si="79"/>
        <v>00000000</v>
      </c>
      <c r="AD263" s="98" t="str">
        <f t="shared" si="80"/>
        <v>00000000</v>
      </c>
      <c r="AE263" s="150">
        <f t="shared" si="81"/>
        <v>0</v>
      </c>
      <c r="AF263" s="150">
        <f t="shared" si="82"/>
        <v>0</v>
      </c>
      <c r="AG263" s="98" t="str">
        <f t="shared" si="83"/>
        <v>0000000000</v>
      </c>
      <c r="AH263" s="151">
        <f t="shared" si="84"/>
        <v>0</v>
      </c>
      <c r="AI263" s="98" t="str">
        <f t="shared" si="85"/>
        <v>00</v>
      </c>
      <c r="AJ263" s="98" t="str">
        <f t="shared" si="86"/>
        <v>000000000000</v>
      </c>
      <c r="AK263" s="161" t="str">
        <f t="shared" si="87"/>
        <v xml:space="preserve">                              </v>
      </c>
      <c r="AL263" s="154">
        <f t="shared" si="88"/>
        <v>0</v>
      </c>
      <c r="AM263" s="155">
        <f t="shared" si="89"/>
        <v>0</v>
      </c>
      <c r="AP263" s="63" t="str">
        <f t="shared" si="90"/>
        <v/>
      </c>
      <c r="AQ263" s="63" t="str">
        <f t="shared" si="91"/>
        <v/>
      </c>
      <c r="AR263" s="152" t="str">
        <f t="shared" si="92"/>
        <v/>
      </c>
      <c r="AS263" s="109" t="str">
        <f t="shared" si="93"/>
        <v/>
      </c>
      <c r="AT263" s="63" t="str">
        <f t="shared" si="94"/>
        <v xml:space="preserve">                    </v>
      </c>
    </row>
    <row r="264" spans="1:46" ht="12.75" x14ac:dyDescent="0.2">
      <c r="A264" s="63" t="str">
        <f t="shared" si="95"/>
        <v/>
      </c>
      <c r="B264" s="185"/>
      <c r="C264" s="184"/>
      <c r="D264" s="184"/>
      <c r="E264" s="184"/>
      <c r="F264" s="184"/>
      <c r="G264" s="185"/>
      <c r="H264" s="185"/>
      <c r="I264" s="186"/>
      <c r="J264" s="69"/>
      <c r="AA264" s="63">
        <f t="shared" si="77"/>
        <v>0</v>
      </c>
      <c r="AB264" s="153" t="str">
        <f t="shared" si="78"/>
        <v>000</v>
      </c>
      <c r="AC264" s="165" t="str">
        <f t="shared" si="79"/>
        <v>00000000</v>
      </c>
      <c r="AD264" s="98" t="str">
        <f t="shared" si="80"/>
        <v>00000000</v>
      </c>
      <c r="AE264" s="150">
        <f t="shared" si="81"/>
        <v>0</v>
      </c>
      <c r="AF264" s="150">
        <f t="shared" si="82"/>
        <v>0</v>
      </c>
      <c r="AG264" s="98" t="str">
        <f t="shared" si="83"/>
        <v>0000000000</v>
      </c>
      <c r="AH264" s="151">
        <f t="shared" si="84"/>
        <v>0</v>
      </c>
      <c r="AI264" s="98" t="str">
        <f t="shared" si="85"/>
        <v>00</v>
      </c>
      <c r="AJ264" s="98" t="str">
        <f t="shared" si="86"/>
        <v>000000000000</v>
      </c>
      <c r="AK264" s="161" t="str">
        <f t="shared" si="87"/>
        <v xml:space="preserve">                              </v>
      </c>
      <c r="AL264" s="154">
        <f t="shared" si="88"/>
        <v>0</v>
      </c>
      <c r="AM264" s="155">
        <f t="shared" si="89"/>
        <v>0</v>
      </c>
      <c r="AP264" s="63" t="str">
        <f t="shared" si="90"/>
        <v/>
      </c>
      <c r="AQ264" s="63" t="str">
        <f t="shared" si="91"/>
        <v/>
      </c>
      <c r="AR264" s="152" t="str">
        <f t="shared" si="92"/>
        <v/>
      </c>
      <c r="AS264" s="109" t="str">
        <f t="shared" si="93"/>
        <v/>
      </c>
      <c r="AT264" s="63" t="str">
        <f t="shared" si="94"/>
        <v xml:space="preserve">                    </v>
      </c>
    </row>
    <row r="265" spans="1:46" ht="12.75" x14ac:dyDescent="0.2">
      <c r="A265" s="63" t="str">
        <f t="shared" si="95"/>
        <v/>
      </c>
      <c r="B265" s="185"/>
      <c r="C265" s="184"/>
      <c r="D265" s="184"/>
      <c r="E265" s="184"/>
      <c r="F265" s="184"/>
      <c r="G265" s="185"/>
      <c r="H265" s="185"/>
      <c r="I265" s="186"/>
      <c r="J265" s="69"/>
      <c r="AA265" s="63">
        <f t="shared" si="77"/>
        <v>0</v>
      </c>
      <c r="AB265" s="153" t="str">
        <f t="shared" si="78"/>
        <v>000</v>
      </c>
      <c r="AC265" s="165" t="str">
        <f t="shared" si="79"/>
        <v>00000000</v>
      </c>
      <c r="AD265" s="98" t="str">
        <f t="shared" si="80"/>
        <v>00000000</v>
      </c>
      <c r="AE265" s="150">
        <f t="shared" si="81"/>
        <v>0</v>
      </c>
      <c r="AF265" s="150">
        <f t="shared" si="82"/>
        <v>0</v>
      </c>
      <c r="AG265" s="98" t="str">
        <f t="shared" si="83"/>
        <v>0000000000</v>
      </c>
      <c r="AH265" s="151">
        <f t="shared" si="84"/>
        <v>0</v>
      </c>
      <c r="AI265" s="98" t="str">
        <f t="shared" si="85"/>
        <v>00</v>
      </c>
      <c r="AJ265" s="98" t="str">
        <f t="shared" si="86"/>
        <v>000000000000</v>
      </c>
      <c r="AK265" s="161" t="str">
        <f t="shared" si="87"/>
        <v xml:space="preserve">                              </v>
      </c>
      <c r="AL265" s="154">
        <f t="shared" si="88"/>
        <v>0</v>
      </c>
      <c r="AM265" s="155">
        <f t="shared" si="89"/>
        <v>0</v>
      </c>
      <c r="AP265" s="63" t="str">
        <f t="shared" si="90"/>
        <v/>
      </c>
      <c r="AQ265" s="63" t="str">
        <f t="shared" si="91"/>
        <v/>
      </c>
      <c r="AR265" s="152" t="str">
        <f t="shared" si="92"/>
        <v/>
      </c>
      <c r="AS265" s="109" t="str">
        <f t="shared" si="93"/>
        <v/>
      </c>
      <c r="AT265" s="63" t="str">
        <f t="shared" si="94"/>
        <v xml:space="preserve">                    </v>
      </c>
    </row>
    <row r="266" spans="1:46" ht="12.75" x14ac:dyDescent="0.2">
      <c r="A266" s="63" t="str">
        <f t="shared" si="95"/>
        <v/>
      </c>
      <c r="B266" s="185"/>
      <c r="C266" s="184"/>
      <c r="D266" s="184"/>
      <c r="E266" s="184"/>
      <c r="F266" s="184"/>
      <c r="G266" s="185"/>
      <c r="H266" s="185"/>
      <c r="I266" s="186"/>
      <c r="J266" s="69"/>
      <c r="AA266" s="63">
        <f t="shared" si="77"/>
        <v>0</v>
      </c>
      <c r="AB266" s="153" t="str">
        <f t="shared" si="78"/>
        <v>000</v>
      </c>
      <c r="AC266" s="165" t="str">
        <f t="shared" si="79"/>
        <v>00000000</v>
      </c>
      <c r="AD266" s="98" t="str">
        <f t="shared" si="80"/>
        <v>00000000</v>
      </c>
      <c r="AE266" s="150">
        <f t="shared" si="81"/>
        <v>0</v>
      </c>
      <c r="AF266" s="150">
        <f t="shared" si="82"/>
        <v>0</v>
      </c>
      <c r="AG266" s="98" t="str">
        <f t="shared" si="83"/>
        <v>0000000000</v>
      </c>
      <c r="AH266" s="151">
        <f t="shared" si="84"/>
        <v>0</v>
      </c>
      <c r="AI266" s="98" t="str">
        <f t="shared" si="85"/>
        <v>00</v>
      </c>
      <c r="AJ266" s="98" t="str">
        <f t="shared" si="86"/>
        <v>000000000000</v>
      </c>
      <c r="AK266" s="161" t="str">
        <f t="shared" si="87"/>
        <v xml:space="preserve">                              </v>
      </c>
      <c r="AL266" s="154">
        <f t="shared" si="88"/>
        <v>0</v>
      </c>
      <c r="AM266" s="155">
        <f t="shared" si="89"/>
        <v>0</v>
      </c>
      <c r="AP266" s="63" t="str">
        <f t="shared" si="90"/>
        <v/>
      </c>
      <c r="AQ266" s="63" t="str">
        <f t="shared" si="91"/>
        <v/>
      </c>
      <c r="AR266" s="152" t="str">
        <f t="shared" si="92"/>
        <v/>
      </c>
      <c r="AS266" s="109" t="str">
        <f t="shared" si="93"/>
        <v/>
      </c>
      <c r="AT266" s="63" t="str">
        <f t="shared" si="94"/>
        <v xml:space="preserve">                    </v>
      </c>
    </row>
    <row r="267" spans="1:46" ht="12.75" x14ac:dyDescent="0.2">
      <c r="A267" s="63" t="str">
        <f t="shared" si="95"/>
        <v/>
      </c>
      <c r="B267" s="185"/>
      <c r="C267" s="184"/>
      <c r="D267" s="184"/>
      <c r="E267" s="184"/>
      <c r="F267" s="184"/>
      <c r="G267" s="185"/>
      <c r="H267" s="185"/>
      <c r="I267" s="186"/>
      <c r="J267" s="69"/>
      <c r="AA267" s="63">
        <f t="shared" si="77"/>
        <v>0</v>
      </c>
      <c r="AB267" s="153" t="str">
        <f t="shared" si="78"/>
        <v>000</v>
      </c>
      <c r="AC267" s="165" t="str">
        <f t="shared" si="79"/>
        <v>00000000</v>
      </c>
      <c r="AD267" s="98" t="str">
        <f t="shared" si="80"/>
        <v>00000000</v>
      </c>
      <c r="AE267" s="150">
        <f t="shared" si="81"/>
        <v>0</v>
      </c>
      <c r="AF267" s="150">
        <f t="shared" si="82"/>
        <v>0</v>
      </c>
      <c r="AG267" s="98" t="str">
        <f t="shared" si="83"/>
        <v>0000000000</v>
      </c>
      <c r="AH267" s="151">
        <f t="shared" si="84"/>
        <v>0</v>
      </c>
      <c r="AI267" s="98" t="str">
        <f t="shared" si="85"/>
        <v>00</v>
      </c>
      <c r="AJ267" s="98" t="str">
        <f t="shared" si="86"/>
        <v>000000000000</v>
      </c>
      <c r="AK267" s="161" t="str">
        <f t="shared" si="87"/>
        <v xml:space="preserve">                              </v>
      </c>
      <c r="AL267" s="154">
        <f t="shared" si="88"/>
        <v>0</v>
      </c>
      <c r="AM267" s="155">
        <f t="shared" si="89"/>
        <v>0</v>
      </c>
      <c r="AP267" s="63" t="str">
        <f t="shared" si="90"/>
        <v/>
      </c>
      <c r="AQ267" s="63" t="str">
        <f t="shared" si="91"/>
        <v/>
      </c>
      <c r="AR267" s="152" t="str">
        <f t="shared" si="92"/>
        <v/>
      </c>
      <c r="AS267" s="109" t="str">
        <f t="shared" si="93"/>
        <v/>
      </c>
      <c r="AT267" s="63" t="str">
        <f t="shared" si="94"/>
        <v xml:space="preserve">                    </v>
      </c>
    </row>
    <row r="268" spans="1:46" ht="12.75" x14ac:dyDescent="0.2">
      <c r="A268" s="63" t="str">
        <f t="shared" si="95"/>
        <v/>
      </c>
      <c r="B268" s="185"/>
      <c r="C268" s="184"/>
      <c r="D268" s="184"/>
      <c r="E268" s="184"/>
      <c r="F268" s="184"/>
      <c r="G268" s="185"/>
      <c r="H268" s="185"/>
      <c r="I268" s="186"/>
      <c r="J268" s="69"/>
      <c r="AA268" s="63">
        <f t="shared" si="77"/>
        <v>0</v>
      </c>
      <c r="AB268" s="153" t="str">
        <f t="shared" si="78"/>
        <v>000</v>
      </c>
      <c r="AC268" s="165" t="str">
        <f t="shared" si="79"/>
        <v>00000000</v>
      </c>
      <c r="AD268" s="98" t="str">
        <f t="shared" si="80"/>
        <v>00000000</v>
      </c>
      <c r="AE268" s="150">
        <f t="shared" si="81"/>
        <v>0</v>
      </c>
      <c r="AF268" s="150">
        <f t="shared" si="82"/>
        <v>0</v>
      </c>
      <c r="AG268" s="98" t="str">
        <f t="shared" si="83"/>
        <v>0000000000</v>
      </c>
      <c r="AH268" s="151">
        <f t="shared" si="84"/>
        <v>0</v>
      </c>
      <c r="AI268" s="98" t="str">
        <f t="shared" si="85"/>
        <v>00</v>
      </c>
      <c r="AJ268" s="98" t="str">
        <f t="shared" si="86"/>
        <v>000000000000</v>
      </c>
      <c r="AK268" s="161" t="str">
        <f t="shared" si="87"/>
        <v xml:space="preserve">                              </v>
      </c>
      <c r="AL268" s="154">
        <f t="shared" si="88"/>
        <v>0</v>
      </c>
      <c r="AM268" s="155">
        <f t="shared" si="89"/>
        <v>0</v>
      </c>
      <c r="AP268" s="63" t="str">
        <f t="shared" si="90"/>
        <v/>
      </c>
      <c r="AQ268" s="63" t="str">
        <f t="shared" si="91"/>
        <v/>
      </c>
      <c r="AR268" s="152" t="str">
        <f t="shared" si="92"/>
        <v/>
      </c>
      <c r="AS268" s="109" t="str">
        <f t="shared" si="93"/>
        <v/>
      </c>
      <c r="AT268" s="63" t="str">
        <f t="shared" si="94"/>
        <v xml:space="preserve">                    </v>
      </c>
    </row>
    <row r="269" spans="1:46" ht="12.75" x14ac:dyDescent="0.2">
      <c r="A269" s="63" t="str">
        <f t="shared" si="95"/>
        <v/>
      </c>
      <c r="B269" s="185"/>
      <c r="C269" s="184"/>
      <c r="D269" s="184"/>
      <c r="E269" s="184"/>
      <c r="F269" s="184"/>
      <c r="G269" s="185"/>
      <c r="H269" s="185"/>
      <c r="I269" s="186"/>
      <c r="J269" s="69"/>
      <c r="AA269" s="63">
        <f t="shared" si="77"/>
        <v>0</v>
      </c>
      <c r="AB269" s="153" t="str">
        <f t="shared" si="78"/>
        <v>000</v>
      </c>
      <c r="AC269" s="165" t="str">
        <f t="shared" si="79"/>
        <v>00000000</v>
      </c>
      <c r="AD269" s="98" t="str">
        <f t="shared" si="80"/>
        <v>00000000</v>
      </c>
      <c r="AE269" s="150">
        <f t="shared" si="81"/>
        <v>0</v>
      </c>
      <c r="AF269" s="150">
        <f t="shared" si="82"/>
        <v>0</v>
      </c>
      <c r="AG269" s="98" t="str">
        <f t="shared" si="83"/>
        <v>0000000000</v>
      </c>
      <c r="AH269" s="151">
        <f t="shared" si="84"/>
        <v>0</v>
      </c>
      <c r="AI269" s="98" t="str">
        <f t="shared" si="85"/>
        <v>00</v>
      </c>
      <c r="AJ269" s="98" t="str">
        <f t="shared" si="86"/>
        <v>000000000000</v>
      </c>
      <c r="AK269" s="161" t="str">
        <f t="shared" si="87"/>
        <v xml:space="preserve">                              </v>
      </c>
      <c r="AL269" s="154">
        <f t="shared" si="88"/>
        <v>0</v>
      </c>
      <c r="AM269" s="155">
        <f t="shared" si="89"/>
        <v>0</v>
      </c>
      <c r="AP269" s="63" t="str">
        <f t="shared" si="90"/>
        <v/>
      </c>
      <c r="AQ269" s="63" t="str">
        <f t="shared" si="91"/>
        <v/>
      </c>
      <c r="AR269" s="152" t="str">
        <f t="shared" si="92"/>
        <v/>
      </c>
      <c r="AS269" s="109" t="str">
        <f t="shared" si="93"/>
        <v/>
      </c>
      <c r="AT269" s="63" t="str">
        <f t="shared" si="94"/>
        <v xml:space="preserve">                    </v>
      </c>
    </row>
    <row r="270" spans="1:46" ht="12.75" x14ac:dyDescent="0.2">
      <c r="A270" s="63" t="str">
        <f t="shared" si="95"/>
        <v/>
      </c>
      <c r="B270" s="185"/>
      <c r="C270" s="184"/>
      <c r="D270" s="184"/>
      <c r="E270" s="184"/>
      <c r="F270" s="184"/>
      <c r="G270" s="185"/>
      <c r="H270" s="185"/>
      <c r="I270" s="186"/>
      <c r="J270" s="69"/>
      <c r="AA270" s="63">
        <f t="shared" si="77"/>
        <v>0</v>
      </c>
      <c r="AB270" s="153" t="str">
        <f t="shared" si="78"/>
        <v>000</v>
      </c>
      <c r="AC270" s="165" t="str">
        <f t="shared" si="79"/>
        <v>00000000</v>
      </c>
      <c r="AD270" s="98" t="str">
        <f t="shared" si="80"/>
        <v>00000000</v>
      </c>
      <c r="AE270" s="150">
        <f t="shared" si="81"/>
        <v>0</v>
      </c>
      <c r="AF270" s="150">
        <f t="shared" si="82"/>
        <v>0</v>
      </c>
      <c r="AG270" s="98" t="str">
        <f t="shared" si="83"/>
        <v>0000000000</v>
      </c>
      <c r="AH270" s="151">
        <f t="shared" si="84"/>
        <v>0</v>
      </c>
      <c r="AI270" s="98" t="str">
        <f t="shared" si="85"/>
        <v>00</v>
      </c>
      <c r="AJ270" s="98" t="str">
        <f t="shared" si="86"/>
        <v>000000000000</v>
      </c>
      <c r="AK270" s="161" t="str">
        <f t="shared" si="87"/>
        <v xml:space="preserve">                              </v>
      </c>
      <c r="AL270" s="154">
        <f t="shared" si="88"/>
        <v>0</v>
      </c>
      <c r="AM270" s="155">
        <f t="shared" si="89"/>
        <v>0</v>
      </c>
      <c r="AP270" s="63" t="str">
        <f t="shared" si="90"/>
        <v/>
      </c>
      <c r="AQ270" s="63" t="str">
        <f t="shared" si="91"/>
        <v/>
      </c>
      <c r="AR270" s="152" t="str">
        <f t="shared" si="92"/>
        <v/>
      </c>
      <c r="AS270" s="109" t="str">
        <f t="shared" si="93"/>
        <v/>
      </c>
      <c r="AT270" s="63" t="str">
        <f t="shared" si="94"/>
        <v xml:space="preserve">                    </v>
      </c>
    </row>
    <row r="271" spans="1:46" ht="12.75" x14ac:dyDescent="0.2">
      <c r="A271" s="63" t="str">
        <f t="shared" si="95"/>
        <v/>
      </c>
      <c r="B271" s="185"/>
      <c r="C271" s="184"/>
      <c r="D271" s="184"/>
      <c r="E271" s="184"/>
      <c r="F271" s="184"/>
      <c r="G271" s="185"/>
      <c r="H271" s="185"/>
      <c r="I271" s="186"/>
      <c r="J271" s="69"/>
      <c r="AA271" s="63">
        <f t="shared" si="77"/>
        <v>0</v>
      </c>
      <c r="AB271" s="153" t="str">
        <f t="shared" si="78"/>
        <v>000</v>
      </c>
      <c r="AC271" s="165" t="str">
        <f t="shared" si="79"/>
        <v>00000000</v>
      </c>
      <c r="AD271" s="98" t="str">
        <f t="shared" si="80"/>
        <v>00000000</v>
      </c>
      <c r="AE271" s="150">
        <f t="shared" si="81"/>
        <v>0</v>
      </c>
      <c r="AF271" s="150">
        <f t="shared" si="82"/>
        <v>0</v>
      </c>
      <c r="AG271" s="98" t="str">
        <f t="shared" si="83"/>
        <v>0000000000</v>
      </c>
      <c r="AH271" s="151">
        <f t="shared" si="84"/>
        <v>0</v>
      </c>
      <c r="AI271" s="98" t="str">
        <f t="shared" si="85"/>
        <v>00</v>
      </c>
      <c r="AJ271" s="98" t="str">
        <f t="shared" si="86"/>
        <v>000000000000</v>
      </c>
      <c r="AK271" s="161" t="str">
        <f t="shared" si="87"/>
        <v xml:space="preserve">                              </v>
      </c>
      <c r="AL271" s="154">
        <f t="shared" si="88"/>
        <v>0</v>
      </c>
      <c r="AM271" s="155">
        <f t="shared" si="89"/>
        <v>0</v>
      </c>
      <c r="AP271" s="63" t="str">
        <f t="shared" si="90"/>
        <v/>
      </c>
      <c r="AQ271" s="63" t="str">
        <f t="shared" si="91"/>
        <v/>
      </c>
      <c r="AR271" s="152" t="str">
        <f t="shared" si="92"/>
        <v/>
      </c>
      <c r="AS271" s="109" t="str">
        <f t="shared" si="93"/>
        <v/>
      </c>
      <c r="AT271" s="63" t="str">
        <f t="shared" si="94"/>
        <v xml:space="preserve">                    </v>
      </c>
    </row>
    <row r="272" spans="1:46" ht="12.75" x14ac:dyDescent="0.2">
      <c r="A272" s="63" t="str">
        <f t="shared" si="95"/>
        <v/>
      </c>
      <c r="B272" s="185"/>
      <c r="C272" s="184"/>
      <c r="D272" s="184"/>
      <c r="E272" s="184"/>
      <c r="F272" s="184"/>
      <c r="G272" s="185"/>
      <c r="H272" s="185"/>
      <c r="I272" s="186"/>
      <c r="J272" s="69"/>
      <c r="AA272" s="63">
        <f t="shared" si="77"/>
        <v>0</v>
      </c>
      <c r="AB272" s="153" t="str">
        <f t="shared" si="78"/>
        <v>000</v>
      </c>
      <c r="AC272" s="165" t="str">
        <f t="shared" si="79"/>
        <v>00000000</v>
      </c>
      <c r="AD272" s="98" t="str">
        <f t="shared" si="80"/>
        <v>00000000</v>
      </c>
      <c r="AE272" s="150">
        <f t="shared" si="81"/>
        <v>0</v>
      </c>
      <c r="AF272" s="150">
        <f t="shared" si="82"/>
        <v>0</v>
      </c>
      <c r="AG272" s="98" t="str">
        <f t="shared" si="83"/>
        <v>0000000000</v>
      </c>
      <c r="AH272" s="151">
        <f t="shared" si="84"/>
        <v>0</v>
      </c>
      <c r="AI272" s="98" t="str">
        <f t="shared" si="85"/>
        <v>00</v>
      </c>
      <c r="AJ272" s="98" t="str">
        <f t="shared" si="86"/>
        <v>000000000000</v>
      </c>
      <c r="AK272" s="161" t="str">
        <f t="shared" si="87"/>
        <v xml:space="preserve">                              </v>
      </c>
      <c r="AL272" s="154">
        <f t="shared" si="88"/>
        <v>0</v>
      </c>
      <c r="AM272" s="155">
        <f t="shared" si="89"/>
        <v>0</v>
      </c>
      <c r="AP272" s="63" t="str">
        <f t="shared" si="90"/>
        <v/>
      </c>
      <c r="AQ272" s="63" t="str">
        <f t="shared" si="91"/>
        <v/>
      </c>
      <c r="AR272" s="152" t="str">
        <f t="shared" si="92"/>
        <v/>
      </c>
      <c r="AS272" s="109" t="str">
        <f t="shared" si="93"/>
        <v/>
      </c>
      <c r="AT272" s="63" t="str">
        <f t="shared" si="94"/>
        <v xml:space="preserve">                    </v>
      </c>
    </row>
    <row r="273" spans="1:46" ht="12.75" x14ac:dyDescent="0.2">
      <c r="A273" s="63" t="str">
        <f t="shared" si="95"/>
        <v/>
      </c>
      <c r="B273" s="185"/>
      <c r="C273" s="184"/>
      <c r="D273" s="184"/>
      <c r="E273" s="184"/>
      <c r="F273" s="184"/>
      <c r="G273" s="185"/>
      <c r="H273" s="185"/>
      <c r="I273" s="186"/>
      <c r="J273" s="69"/>
      <c r="AA273" s="63">
        <f t="shared" ref="AA273:AA336" si="96">B273</f>
        <v>0</v>
      </c>
      <c r="AB273" s="153" t="str">
        <f t="shared" ref="AB273:AB336" si="97">CONCATENATE(REPT("0",3-LEN(C273)),C273)</f>
        <v>000</v>
      </c>
      <c r="AC273" s="165" t="str">
        <f t="shared" ref="AC273:AC336" si="98">CONCATENATE(REPT("0",8-LEN(D273)),D273)</f>
        <v>00000000</v>
      </c>
      <c r="AD273" s="98" t="str">
        <f t="shared" ref="AD273:AD336" si="99">CONCATENATE(REPT("0",8-LEN(F273)),F273)</f>
        <v>00000000</v>
      </c>
      <c r="AE273" s="150">
        <f t="shared" ref="AE273:AE336" si="100">INT(I273)</f>
        <v>0</v>
      </c>
      <c r="AF273" s="150">
        <f t="shared" ref="AF273:AF336" si="101">I273-AE273</f>
        <v>0</v>
      </c>
      <c r="AG273" s="98" t="str">
        <f t="shared" ref="AG273:AG336" si="102">TEXT(AE273,"0000000000")</f>
        <v>0000000000</v>
      </c>
      <c r="AH273" s="151">
        <f t="shared" ref="AH273:AH336" si="103">AF273*100</f>
        <v>0</v>
      </c>
      <c r="AI273" s="98" t="str">
        <f t="shared" ref="AI273:AI336" si="104">TEXT(AH273,"00")</f>
        <v>00</v>
      </c>
      <c r="AJ273" s="98" t="str">
        <f t="shared" ref="AJ273:AJ336" si="105">CONCATENATE(AG273,AI273)</f>
        <v>000000000000</v>
      </c>
      <c r="AK273" s="161" t="str">
        <f t="shared" ref="AK273:AK336" si="106">CONCATENATE(E273,REPT(" ",30-LEN(E273)))</f>
        <v xml:space="preserve">                              </v>
      </c>
      <c r="AL273" s="154">
        <f t="shared" ref="AL273:AL336" si="107">IF(H273&lt;&gt;"",IF(H273=$H$3,0,1),0)</f>
        <v>0</v>
      </c>
      <c r="AM273" s="155">
        <f t="shared" ref="AM273:AM336" si="108">IF(AL273=1,IF($H$3=1,I273*$K$14,I273/$K$14),I273)</f>
        <v>0</v>
      </c>
      <c r="AP273" s="63" t="str">
        <f t="shared" si="90"/>
        <v/>
      </c>
      <c r="AQ273" s="63" t="str">
        <f t="shared" si="91"/>
        <v/>
      </c>
      <c r="AR273" s="152" t="str">
        <f t="shared" si="92"/>
        <v/>
      </c>
      <c r="AS273" s="109" t="str">
        <f t="shared" si="93"/>
        <v/>
      </c>
      <c r="AT273" s="63" t="str">
        <f t="shared" si="94"/>
        <v xml:space="preserve">                    </v>
      </c>
    </row>
    <row r="274" spans="1:46" ht="12.75" x14ac:dyDescent="0.2">
      <c r="A274" s="63" t="str">
        <f t="shared" si="95"/>
        <v/>
      </c>
      <c r="B274" s="185"/>
      <c r="C274" s="184"/>
      <c r="D274" s="184"/>
      <c r="E274" s="184"/>
      <c r="F274" s="184"/>
      <c r="G274" s="185"/>
      <c r="H274" s="185"/>
      <c r="I274" s="186"/>
      <c r="J274" s="69"/>
      <c r="AA274" s="63">
        <f t="shared" si="96"/>
        <v>0</v>
      </c>
      <c r="AB274" s="153" t="str">
        <f t="shared" si="97"/>
        <v>000</v>
      </c>
      <c r="AC274" s="165" t="str">
        <f t="shared" si="98"/>
        <v>00000000</v>
      </c>
      <c r="AD274" s="98" t="str">
        <f t="shared" si="99"/>
        <v>00000000</v>
      </c>
      <c r="AE274" s="150">
        <f t="shared" si="100"/>
        <v>0</v>
      </c>
      <c r="AF274" s="150">
        <f t="shared" si="101"/>
        <v>0</v>
      </c>
      <c r="AG274" s="98" t="str">
        <f t="shared" si="102"/>
        <v>0000000000</v>
      </c>
      <c r="AH274" s="151">
        <f t="shared" si="103"/>
        <v>0</v>
      </c>
      <c r="AI274" s="98" t="str">
        <f t="shared" si="104"/>
        <v>00</v>
      </c>
      <c r="AJ274" s="98" t="str">
        <f t="shared" si="105"/>
        <v>000000000000</v>
      </c>
      <c r="AK274" s="161" t="str">
        <f t="shared" si="106"/>
        <v xml:space="preserve">                              </v>
      </c>
      <c r="AL274" s="154">
        <f t="shared" si="107"/>
        <v>0</v>
      </c>
      <c r="AM274" s="155">
        <f t="shared" si="108"/>
        <v>0</v>
      </c>
      <c r="AP274" s="63" t="str">
        <f t="shared" ref="AP274:AP337" si="109">IF(D275&lt;&gt;"",CONCATENATE("000",AS274,"0",H275,"2","    ",AD275,AJ275,"            ",AT275,AK275,"                                                                                     "),"")</f>
        <v/>
      </c>
      <c r="AQ274" s="63" t="str">
        <f t="shared" ref="AQ274:AQ337" si="110">IF(D275&lt;&gt;"",CONCATENATE("1520",AA275,AB275,AC275),"")</f>
        <v/>
      </c>
      <c r="AR274" s="152" t="str">
        <f t="shared" ref="AR274:AR337" si="111">IF(D275&lt;&gt;"",MOD(SUM(VALUE(MID($AQ$1,1,1)) * VALUE(MID(AQ274,1,1)),VALUE(MID($AQ$1,2,1)) * VALUE(MID(AQ274,2,1)),VALUE(MID($AQ$1,3,1)) * VALUE(MID(AQ274,3,1)),VALUE(MID($AQ$1,4,1)) * VALUE(MID(AQ274,4,1)),VALUE(MID($AQ$1,5,1)) * VALUE(MID(AQ274,5,1)),VALUE(MID($AQ$1,6,1)) * VALUE(MID(AQ274,6,1)),VALUE(MID($AQ$1,7,1)) * VALUE(MID(AQ274,7,1)),VALUE(MID($AQ$1,8,1)) * VALUE(MID(AQ274,8,1)),VALUE(MID($AQ$1,9,1)) * VALUE(MID(AQ274,9,1)),VALUE(MID($AQ$1,10,1)) * VALUE(MID(AQ274,10,1)),VALUE(MID($AQ$1,11,1)) * VALUE(MID(AQ274,11,1)),VALUE(MID($AQ$1,12,1)) * VALUE(MID(AQ274,12,1)),VALUE(MID($AQ$1,13,1)) * VALUE(MID(AQ274,13,1)),VALUE(MID($AQ$1,14,1)) * VALUE(MID(AQ274,14,1)),VALUE(MID($AQ$1,15,1)) * VALUE(MID(AQ274,15,1)),VALUE(MID($AQ$1,16,1)) * VALUE(MID(AQ274,16,1))),11),"")</f>
        <v/>
      </c>
      <c r="AS274" s="109" t="str">
        <f t="shared" ref="AS274:AS337" si="112">IF(D275&lt;&gt;"",CONCATENATE(AQ274,IF(AR274&gt;9,"1",AR274)),"")</f>
        <v/>
      </c>
      <c r="AT274" s="63" t="str">
        <f t="shared" ref="AT274:AT337" si="113">CONCATENATE(G274,REPT(" ",20-LEN(G274)))</f>
        <v xml:space="preserve">                    </v>
      </c>
    </row>
    <row r="275" spans="1:46" ht="12.75" x14ac:dyDescent="0.2">
      <c r="A275" s="63" t="str">
        <f t="shared" si="95"/>
        <v/>
      </c>
      <c r="B275" s="185"/>
      <c r="C275" s="184"/>
      <c r="D275" s="184"/>
      <c r="E275" s="184"/>
      <c r="F275" s="184"/>
      <c r="G275" s="185"/>
      <c r="H275" s="185"/>
      <c r="I275" s="186"/>
      <c r="J275" s="69"/>
      <c r="AA275" s="63">
        <f t="shared" si="96"/>
        <v>0</v>
      </c>
      <c r="AB275" s="153" t="str">
        <f t="shared" si="97"/>
        <v>000</v>
      </c>
      <c r="AC275" s="165" t="str">
        <f t="shared" si="98"/>
        <v>00000000</v>
      </c>
      <c r="AD275" s="98" t="str">
        <f t="shared" si="99"/>
        <v>00000000</v>
      </c>
      <c r="AE275" s="150">
        <f t="shared" si="100"/>
        <v>0</v>
      </c>
      <c r="AF275" s="150">
        <f t="shared" si="101"/>
        <v>0</v>
      </c>
      <c r="AG275" s="98" t="str">
        <f t="shared" si="102"/>
        <v>0000000000</v>
      </c>
      <c r="AH275" s="151">
        <f t="shared" si="103"/>
        <v>0</v>
      </c>
      <c r="AI275" s="98" t="str">
        <f t="shared" si="104"/>
        <v>00</v>
      </c>
      <c r="AJ275" s="98" t="str">
        <f t="shared" si="105"/>
        <v>000000000000</v>
      </c>
      <c r="AK275" s="161" t="str">
        <f t="shared" si="106"/>
        <v xml:space="preserve">                              </v>
      </c>
      <c r="AL275" s="154">
        <f t="shared" si="107"/>
        <v>0</v>
      </c>
      <c r="AM275" s="155">
        <f t="shared" si="108"/>
        <v>0</v>
      </c>
      <c r="AP275" s="63" t="str">
        <f t="shared" si="109"/>
        <v/>
      </c>
      <c r="AQ275" s="63" t="str">
        <f t="shared" si="110"/>
        <v/>
      </c>
      <c r="AR275" s="152" t="str">
        <f t="shared" si="111"/>
        <v/>
      </c>
      <c r="AS275" s="109" t="str">
        <f t="shared" si="112"/>
        <v/>
      </c>
      <c r="AT275" s="63" t="str">
        <f t="shared" si="113"/>
        <v xml:space="preserve">                    </v>
      </c>
    </row>
    <row r="276" spans="1:46" ht="12.75" x14ac:dyDescent="0.2">
      <c r="A276" s="63" t="str">
        <f t="shared" si="95"/>
        <v/>
      </c>
      <c r="B276" s="185"/>
      <c r="C276" s="184"/>
      <c r="D276" s="184"/>
      <c r="E276" s="184"/>
      <c r="F276" s="184"/>
      <c r="G276" s="185"/>
      <c r="H276" s="185"/>
      <c r="I276" s="186"/>
      <c r="J276" s="69"/>
      <c r="AA276" s="63">
        <f t="shared" si="96"/>
        <v>0</v>
      </c>
      <c r="AB276" s="153" t="str">
        <f t="shared" si="97"/>
        <v>000</v>
      </c>
      <c r="AC276" s="165" t="str">
        <f t="shared" si="98"/>
        <v>00000000</v>
      </c>
      <c r="AD276" s="98" t="str">
        <f t="shared" si="99"/>
        <v>00000000</v>
      </c>
      <c r="AE276" s="150">
        <f t="shared" si="100"/>
        <v>0</v>
      </c>
      <c r="AF276" s="150">
        <f t="shared" si="101"/>
        <v>0</v>
      </c>
      <c r="AG276" s="98" t="str">
        <f t="shared" si="102"/>
        <v>0000000000</v>
      </c>
      <c r="AH276" s="151">
        <f t="shared" si="103"/>
        <v>0</v>
      </c>
      <c r="AI276" s="98" t="str">
        <f t="shared" si="104"/>
        <v>00</v>
      </c>
      <c r="AJ276" s="98" t="str">
        <f t="shared" si="105"/>
        <v>000000000000</v>
      </c>
      <c r="AK276" s="161" t="str">
        <f t="shared" si="106"/>
        <v xml:space="preserve">                              </v>
      </c>
      <c r="AL276" s="154">
        <f t="shared" si="107"/>
        <v>0</v>
      </c>
      <c r="AM276" s="155">
        <f t="shared" si="108"/>
        <v>0</v>
      </c>
      <c r="AP276" s="63" t="str">
        <f t="shared" si="109"/>
        <v/>
      </c>
      <c r="AQ276" s="63" t="str">
        <f t="shared" si="110"/>
        <v/>
      </c>
      <c r="AR276" s="152" t="str">
        <f t="shared" si="111"/>
        <v/>
      </c>
      <c r="AS276" s="109" t="str">
        <f t="shared" si="112"/>
        <v/>
      </c>
      <c r="AT276" s="63" t="str">
        <f t="shared" si="113"/>
        <v xml:space="preserve">                    </v>
      </c>
    </row>
    <row r="277" spans="1:46" ht="12.75" x14ac:dyDescent="0.2">
      <c r="A277" s="63" t="str">
        <f t="shared" si="95"/>
        <v/>
      </c>
      <c r="B277" s="185"/>
      <c r="C277" s="184"/>
      <c r="D277" s="184"/>
      <c r="E277" s="184"/>
      <c r="F277" s="184"/>
      <c r="G277" s="185"/>
      <c r="H277" s="185"/>
      <c r="I277" s="186"/>
      <c r="J277" s="69"/>
      <c r="AA277" s="63">
        <f t="shared" si="96"/>
        <v>0</v>
      </c>
      <c r="AB277" s="153" t="str">
        <f t="shared" si="97"/>
        <v>000</v>
      </c>
      <c r="AC277" s="165" t="str">
        <f t="shared" si="98"/>
        <v>00000000</v>
      </c>
      <c r="AD277" s="98" t="str">
        <f t="shared" si="99"/>
        <v>00000000</v>
      </c>
      <c r="AE277" s="150">
        <f t="shared" si="100"/>
        <v>0</v>
      </c>
      <c r="AF277" s="150">
        <f t="shared" si="101"/>
        <v>0</v>
      </c>
      <c r="AG277" s="98" t="str">
        <f t="shared" si="102"/>
        <v>0000000000</v>
      </c>
      <c r="AH277" s="151">
        <f t="shared" si="103"/>
        <v>0</v>
      </c>
      <c r="AI277" s="98" t="str">
        <f t="shared" si="104"/>
        <v>00</v>
      </c>
      <c r="AJ277" s="98" t="str">
        <f t="shared" si="105"/>
        <v>000000000000</v>
      </c>
      <c r="AK277" s="161" t="str">
        <f t="shared" si="106"/>
        <v xml:space="preserve">                              </v>
      </c>
      <c r="AL277" s="154">
        <f t="shared" si="107"/>
        <v>0</v>
      </c>
      <c r="AM277" s="155">
        <f t="shared" si="108"/>
        <v>0</v>
      </c>
      <c r="AP277" s="63" t="str">
        <f t="shared" si="109"/>
        <v/>
      </c>
      <c r="AQ277" s="63" t="str">
        <f t="shared" si="110"/>
        <v/>
      </c>
      <c r="AR277" s="152" t="str">
        <f t="shared" si="111"/>
        <v/>
      </c>
      <c r="AS277" s="109" t="str">
        <f t="shared" si="112"/>
        <v/>
      </c>
      <c r="AT277" s="63" t="str">
        <f t="shared" si="113"/>
        <v xml:space="preserve">                    </v>
      </c>
    </row>
    <row r="278" spans="1:46" ht="12.75" x14ac:dyDescent="0.2">
      <c r="A278" s="63" t="str">
        <f t="shared" si="95"/>
        <v/>
      </c>
      <c r="B278" s="185"/>
      <c r="C278" s="184"/>
      <c r="D278" s="184"/>
      <c r="E278" s="184"/>
      <c r="F278" s="184"/>
      <c r="G278" s="185"/>
      <c r="H278" s="185"/>
      <c r="I278" s="186"/>
      <c r="J278" s="69"/>
      <c r="AA278" s="63">
        <f t="shared" si="96"/>
        <v>0</v>
      </c>
      <c r="AB278" s="153" t="str">
        <f t="shared" si="97"/>
        <v>000</v>
      </c>
      <c r="AC278" s="165" t="str">
        <f t="shared" si="98"/>
        <v>00000000</v>
      </c>
      <c r="AD278" s="98" t="str">
        <f t="shared" si="99"/>
        <v>00000000</v>
      </c>
      <c r="AE278" s="150">
        <f t="shared" si="100"/>
        <v>0</v>
      </c>
      <c r="AF278" s="150">
        <f t="shared" si="101"/>
        <v>0</v>
      </c>
      <c r="AG278" s="98" t="str">
        <f t="shared" si="102"/>
        <v>0000000000</v>
      </c>
      <c r="AH278" s="151">
        <f t="shared" si="103"/>
        <v>0</v>
      </c>
      <c r="AI278" s="98" t="str">
        <f t="shared" si="104"/>
        <v>00</v>
      </c>
      <c r="AJ278" s="98" t="str">
        <f t="shared" si="105"/>
        <v>000000000000</v>
      </c>
      <c r="AK278" s="161" t="str">
        <f t="shared" si="106"/>
        <v xml:space="preserve">                              </v>
      </c>
      <c r="AL278" s="154">
        <f t="shared" si="107"/>
        <v>0</v>
      </c>
      <c r="AM278" s="155">
        <f t="shared" si="108"/>
        <v>0</v>
      </c>
      <c r="AP278" s="63" t="str">
        <f t="shared" si="109"/>
        <v/>
      </c>
      <c r="AQ278" s="63" t="str">
        <f t="shared" si="110"/>
        <v/>
      </c>
      <c r="AR278" s="152" t="str">
        <f t="shared" si="111"/>
        <v/>
      </c>
      <c r="AS278" s="109" t="str">
        <f t="shared" si="112"/>
        <v/>
      </c>
      <c r="AT278" s="63" t="str">
        <f t="shared" si="113"/>
        <v xml:space="preserve">                    </v>
      </c>
    </row>
    <row r="279" spans="1:46" ht="12.75" x14ac:dyDescent="0.2">
      <c r="A279" s="63" t="str">
        <f t="shared" si="95"/>
        <v/>
      </c>
      <c r="B279" s="185"/>
      <c r="C279" s="184"/>
      <c r="D279" s="184"/>
      <c r="E279" s="184"/>
      <c r="F279" s="184"/>
      <c r="G279" s="185"/>
      <c r="H279" s="185"/>
      <c r="I279" s="186"/>
      <c r="J279" s="69"/>
      <c r="AA279" s="63">
        <f t="shared" si="96"/>
        <v>0</v>
      </c>
      <c r="AB279" s="153" t="str">
        <f t="shared" si="97"/>
        <v>000</v>
      </c>
      <c r="AC279" s="165" t="str">
        <f t="shared" si="98"/>
        <v>00000000</v>
      </c>
      <c r="AD279" s="98" t="str">
        <f t="shared" si="99"/>
        <v>00000000</v>
      </c>
      <c r="AE279" s="150">
        <f t="shared" si="100"/>
        <v>0</v>
      </c>
      <c r="AF279" s="150">
        <f t="shared" si="101"/>
        <v>0</v>
      </c>
      <c r="AG279" s="98" t="str">
        <f t="shared" si="102"/>
        <v>0000000000</v>
      </c>
      <c r="AH279" s="151">
        <f t="shared" si="103"/>
        <v>0</v>
      </c>
      <c r="AI279" s="98" t="str">
        <f t="shared" si="104"/>
        <v>00</v>
      </c>
      <c r="AJ279" s="98" t="str">
        <f t="shared" si="105"/>
        <v>000000000000</v>
      </c>
      <c r="AK279" s="161" t="str">
        <f t="shared" si="106"/>
        <v xml:space="preserve">                              </v>
      </c>
      <c r="AL279" s="154">
        <f t="shared" si="107"/>
        <v>0</v>
      </c>
      <c r="AM279" s="155">
        <f t="shared" si="108"/>
        <v>0</v>
      </c>
      <c r="AP279" s="63" t="str">
        <f t="shared" si="109"/>
        <v/>
      </c>
      <c r="AQ279" s="63" t="str">
        <f t="shared" si="110"/>
        <v/>
      </c>
      <c r="AR279" s="152" t="str">
        <f t="shared" si="111"/>
        <v/>
      </c>
      <c r="AS279" s="109" t="str">
        <f t="shared" si="112"/>
        <v/>
      </c>
      <c r="AT279" s="63" t="str">
        <f t="shared" si="113"/>
        <v xml:space="preserve">                    </v>
      </c>
    </row>
    <row r="280" spans="1:46" ht="12.75" x14ac:dyDescent="0.2">
      <c r="A280" s="63" t="str">
        <f t="shared" si="95"/>
        <v/>
      </c>
      <c r="B280" s="185"/>
      <c r="C280" s="184"/>
      <c r="D280" s="184"/>
      <c r="E280" s="184"/>
      <c r="F280" s="184"/>
      <c r="G280" s="185"/>
      <c r="H280" s="185"/>
      <c r="I280" s="186"/>
      <c r="J280" s="69"/>
      <c r="AA280" s="63">
        <f t="shared" si="96"/>
        <v>0</v>
      </c>
      <c r="AB280" s="153" t="str">
        <f t="shared" si="97"/>
        <v>000</v>
      </c>
      <c r="AC280" s="165" t="str">
        <f t="shared" si="98"/>
        <v>00000000</v>
      </c>
      <c r="AD280" s="98" t="str">
        <f t="shared" si="99"/>
        <v>00000000</v>
      </c>
      <c r="AE280" s="150">
        <f t="shared" si="100"/>
        <v>0</v>
      </c>
      <c r="AF280" s="150">
        <f t="shared" si="101"/>
        <v>0</v>
      </c>
      <c r="AG280" s="98" t="str">
        <f t="shared" si="102"/>
        <v>0000000000</v>
      </c>
      <c r="AH280" s="151">
        <f t="shared" si="103"/>
        <v>0</v>
      </c>
      <c r="AI280" s="98" t="str">
        <f t="shared" si="104"/>
        <v>00</v>
      </c>
      <c r="AJ280" s="98" t="str">
        <f t="shared" si="105"/>
        <v>000000000000</v>
      </c>
      <c r="AK280" s="161" t="str">
        <f t="shared" si="106"/>
        <v xml:space="preserve">                              </v>
      </c>
      <c r="AL280" s="154">
        <f t="shared" si="107"/>
        <v>0</v>
      </c>
      <c r="AM280" s="155">
        <f t="shared" si="108"/>
        <v>0</v>
      </c>
      <c r="AP280" s="63" t="str">
        <f t="shared" si="109"/>
        <v/>
      </c>
      <c r="AQ280" s="63" t="str">
        <f t="shared" si="110"/>
        <v/>
      </c>
      <c r="AR280" s="152" t="str">
        <f t="shared" si="111"/>
        <v/>
      </c>
      <c r="AS280" s="109" t="str">
        <f t="shared" si="112"/>
        <v/>
      </c>
      <c r="AT280" s="63" t="str">
        <f t="shared" si="113"/>
        <v xml:space="preserve">                    </v>
      </c>
    </row>
    <row r="281" spans="1:46" ht="12.75" x14ac:dyDescent="0.2">
      <c r="A281" s="63" t="str">
        <f t="shared" si="95"/>
        <v/>
      </c>
      <c r="B281" s="185"/>
      <c r="C281" s="184"/>
      <c r="D281" s="184"/>
      <c r="E281" s="184"/>
      <c r="F281" s="184"/>
      <c r="G281" s="185"/>
      <c r="H281" s="185"/>
      <c r="I281" s="186"/>
      <c r="J281" s="69"/>
      <c r="AA281" s="63">
        <f t="shared" si="96"/>
        <v>0</v>
      </c>
      <c r="AB281" s="153" t="str">
        <f t="shared" si="97"/>
        <v>000</v>
      </c>
      <c r="AC281" s="165" t="str">
        <f t="shared" si="98"/>
        <v>00000000</v>
      </c>
      <c r="AD281" s="98" t="str">
        <f t="shared" si="99"/>
        <v>00000000</v>
      </c>
      <c r="AE281" s="150">
        <f t="shared" si="100"/>
        <v>0</v>
      </c>
      <c r="AF281" s="150">
        <f t="shared" si="101"/>
        <v>0</v>
      </c>
      <c r="AG281" s="98" t="str">
        <f t="shared" si="102"/>
        <v>0000000000</v>
      </c>
      <c r="AH281" s="151">
        <f t="shared" si="103"/>
        <v>0</v>
      </c>
      <c r="AI281" s="98" t="str">
        <f t="shared" si="104"/>
        <v>00</v>
      </c>
      <c r="AJ281" s="98" t="str">
        <f t="shared" si="105"/>
        <v>000000000000</v>
      </c>
      <c r="AK281" s="161" t="str">
        <f t="shared" si="106"/>
        <v xml:space="preserve">                              </v>
      </c>
      <c r="AL281" s="154">
        <f t="shared" si="107"/>
        <v>0</v>
      </c>
      <c r="AM281" s="155">
        <f t="shared" si="108"/>
        <v>0</v>
      </c>
      <c r="AP281" s="63" t="str">
        <f t="shared" si="109"/>
        <v/>
      </c>
      <c r="AQ281" s="63" t="str">
        <f t="shared" si="110"/>
        <v/>
      </c>
      <c r="AR281" s="152" t="str">
        <f t="shared" si="111"/>
        <v/>
      </c>
      <c r="AS281" s="109" t="str">
        <f t="shared" si="112"/>
        <v/>
      </c>
      <c r="AT281" s="63" t="str">
        <f t="shared" si="113"/>
        <v xml:space="preserve">                    </v>
      </c>
    </row>
    <row r="282" spans="1:46" ht="12.75" x14ac:dyDescent="0.2">
      <c r="A282" s="63" t="str">
        <f t="shared" si="95"/>
        <v/>
      </c>
      <c r="B282" s="185"/>
      <c r="C282" s="184"/>
      <c r="D282" s="184"/>
      <c r="E282" s="184"/>
      <c r="F282" s="184"/>
      <c r="G282" s="185"/>
      <c r="H282" s="185"/>
      <c r="I282" s="186"/>
      <c r="J282" s="69"/>
      <c r="AA282" s="63">
        <f t="shared" si="96"/>
        <v>0</v>
      </c>
      <c r="AB282" s="153" t="str">
        <f t="shared" si="97"/>
        <v>000</v>
      </c>
      <c r="AC282" s="165" t="str">
        <f t="shared" si="98"/>
        <v>00000000</v>
      </c>
      <c r="AD282" s="98" t="str">
        <f t="shared" si="99"/>
        <v>00000000</v>
      </c>
      <c r="AE282" s="150">
        <f t="shared" si="100"/>
        <v>0</v>
      </c>
      <c r="AF282" s="150">
        <f t="shared" si="101"/>
        <v>0</v>
      </c>
      <c r="AG282" s="98" t="str">
        <f t="shared" si="102"/>
        <v>0000000000</v>
      </c>
      <c r="AH282" s="151">
        <f t="shared" si="103"/>
        <v>0</v>
      </c>
      <c r="AI282" s="98" t="str">
        <f t="shared" si="104"/>
        <v>00</v>
      </c>
      <c r="AJ282" s="98" t="str">
        <f t="shared" si="105"/>
        <v>000000000000</v>
      </c>
      <c r="AK282" s="161" t="str">
        <f t="shared" si="106"/>
        <v xml:space="preserve">                              </v>
      </c>
      <c r="AL282" s="154">
        <f t="shared" si="107"/>
        <v>0</v>
      </c>
      <c r="AM282" s="155">
        <f t="shared" si="108"/>
        <v>0</v>
      </c>
      <c r="AP282" s="63" t="str">
        <f t="shared" si="109"/>
        <v/>
      </c>
      <c r="AQ282" s="63" t="str">
        <f t="shared" si="110"/>
        <v/>
      </c>
      <c r="AR282" s="152" t="str">
        <f t="shared" si="111"/>
        <v/>
      </c>
      <c r="AS282" s="109" t="str">
        <f t="shared" si="112"/>
        <v/>
      </c>
      <c r="AT282" s="63" t="str">
        <f t="shared" si="113"/>
        <v xml:space="preserve">                    </v>
      </c>
    </row>
    <row r="283" spans="1:46" ht="12.75" x14ac:dyDescent="0.2">
      <c r="A283" s="63" t="str">
        <f t="shared" si="95"/>
        <v/>
      </c>
      <c r="B283" s="185"/>
      <c r="C283" s="184"/>
      <c r="D283" s="184"/>
      <c r="E283" s="184"/>
      <c r="F283" s="184"/>
      <c r="G283" s="185"/>
      <c r="H283" s="185"/>
      <c r="I283" s="186"/>
      <c r="J283" s="69"/>
      <c r="AA283" s="63">
        <f t="shared" si="96"/>
        <v>0</v>
      </c>
      <c r="AB283" s="153" t="str">
        <f t="shared" si="97"/>
        <v>000</v>
      </c>
      <c r="AC283" s="165" t="str">
        <f t="shared" si="98"/>
        <v>00000000</v>
      </c>
      <c r="AD283" s="98" t="str">
        <f t="shared" si="99"/>
        <v>00000000</v>
      </c>
      <c r="AE283" s="150">
        <f t="shared" si="100"/>
        <v>0</v>
      </c>
      <c r="AF283" s="150">
        <f t="shared" si="101"/>
        <v>0</v>
      </c>
      <c r="AG283" s="98" t="str">
        <f t="shared" si="102"/>
        <v>0000000000</v>
      </c>
      <c r="AH283" s="151">
        <f t="shared" si="103"/>
        <v>0</v>
      </c>
      <c r="AI283" s="98" t="str">
        <f t="shared" si="104"/>
        <v>00</v>
      </c>
      <c r="AJ283" s="98" t="str">
        <f t="shared" si="105"/>
        <v>000000000000</v>
      </c>
      <c r="AK283" s="161" t="str">
        <f t="shared" si="106"/>
        <v xml:space="preserve">                              </v>
      </c>
      <c r="AL283" s="154">
        <f t="shared" si="107"/>
        <v>0</v>
      </c>
      <c r="AM283" s="155">
        <f t="shared" si="108"/>
        <v>0</v>
      </c>
      <c r="AP283" s="63" t="str">
        <f t="shared" si="109"/>
        <v/>
      </c>
      <c r="AQ283" s="63" t="str">
        <f t="shared" si="110"/>
        <v/>
      </c>
      <c r="AR283" s="152" t="str">
        <f t="shared" si="111"/>
        <v/>
      </c>
      <c r="AS283" s="109" t="str">
        <f t="shared" si="112"/>
        <v/>
      </c>
      <c r="AT283" s="63" t="str">
        <f t="shared" si="113"/>
        <v xml:space="preserve">                    </v>
      </c>
    </row>
    <row r="284" spans="1:46" ht="12.75" x14ac:dyDescent="0.2">
      <c r="A284" s="63" t="str">
        <f t="shared" si="95"/>
        <v/>
      </c>
      <c r="B284" s="185"/>
      <c r="C284" s="184"/>
      <c r="D284" s="184"/>
      <c r="E284" s="184"/>
      <c r="F284" s="184"/>
      <c r="G284" s="185"/>
      <c r="H284" s="185"/>
      <c r="I284" s="186"/>
      <c r="J284" s="69"/>
      <c r="AA284" s="63">
        <f t="shared" si="96"/>
        <v>0</v>
      </c>
      <c r="AB284" s="153" t="str">
        <f t="shared" si="97"/>
        <v>000</v>
      </c>
      <c r="AC284" s="165" t="str">
        <f t="shared" si="98"/>
        <v>00000000</v>
      </c>
      <c r="AD284" s="98" t="str">
        <f t="shared" si="99"/>
        <v>00000000</v>
      </c>
      <c r="AE284" s="150">
        <f t="shared" si="100"/>
        <v>0</v>
      </c>
      <c r="AF284" s="150">
        <f t="shared" si="101"/>
        <v>0</v>
      </c>
      <c r="AG284" s="98" t="str">
        <f t="shared" si="102"/>
        <v>0000000000</v>
      </c>
      <c r="AH284" s="151">
        <f t="shared" si="103"/>
        <v>0</v>
      </c>
      <c r="AI284" s="98" t="str">
        <f t="shared" si="104"/>
        <v>00</v>
      </c>
      <c r="AJ284" s="98" t="str">
        <f t="shared" si="105"/>
        <v>000000000000</v>
      </c>
      <c r="AK284" s="161" t="str">
        <f t="shared" si="106"/>
        <v xml:space="preserve">                              </v>
      </c>
      <c r="AL284" s="154">
        <f t="shared" si="107"/>
        <v>0</v>
      </c>
      <c r="AM284" s="155">
        <f t="shared" si="108"/>
        <v>0</v>
      </c>
      <c r="AP284" s="63" t="str">
        <f t="shared" si="109"/>
        <v/>
      </c>
      <c r="AQ284" s="63" t="str">
        <f t="shared" si="110"/>
        <v/>
      </c>
      <c r="AR284" s="152" t="str">
        <f t="shared" si="111"/>
        <v/>
      </c>
      <c r="AS284" s="109" t="str">
        <f t="shared" si="112"/>
        <v/>
      </c>
      <c r="AT284" s="63" t="str">
        <f t="shared" si="113"/>
        <v xml:space="preserve">                    </v>
      </c>
    </row>
    <row r="285" spans="1:46" ht="12.75" x14ac:dyDescent="0.2">
      <c r="A285" s="63" t="str">
        <f t="shared" si="95"/>
        <v/>
      </c>
      <c r="B285" s="185"/>
      <c r="C285" s="184"/>
      <c r="D285" s="184"/>
      <c r="E285" s="184"/>
      <c r="F285" s="184"/>
      <c r="G285" s="185"/>
      <c r="H285" s="185"/>
      <c r="I285" s="186"/>
      <c r="J285" s="69"/>
      <c r="AA285" s="63">
        <f t="shared" si="96"/>
        <v>0</v>
      </c>
      <c r="AB285" s="153" t="str">
        <f t="shared" si="97"/>
        <v>000</v>
      </c>
      <c r="AC285" s="165" t="str">
        <f t="shared" si="98"/>
        <v>00000000</v>
      </c>
      <c r="AD285" s="98" t="str">
        <f t="shared" si="99"/>
        <v>00000000</v>
      </c>
      <c r="AE285" s="150">
        <f t="shared" si="100"/>
        <v>0</v>
      </c>
      <c r="AF285" s="150">
        <f t="shared" si="101"/>
        <v>0</v>
      </c>
      <c r="AG285" s="98" t="str">
        <f t="shared" si="102"/>
        <v>0000000000</v>
      </c>
      <c r="AH285" s="151">
        <f t="shared" si="103"/>
        <v>0</v>
      </c>
      <c r="AI285" s="98" t="str">
        <f t="shared" si="104"/>
        <v>00</v>
      </c>
      <c r="AJ285" s="98" t="str">
        <f t="shared" si="105"/>
        <v>000000000000</v>
      </c>
      <c r="AK285" s="161" t="str">
        <f t="shared" si="106"/>
        <v xml:space="preserve">                              </v>
      </c>
      <c r="AL285" s="154">
        <f t="shared" si="107"/>
        <v>0</v>
      </c>
      <c r="AM285" s="155">
        <f t="shared" si="108"/>
        <v>0</v>
      </c>
      <c r="AP285" s="63" t="str">
        <f t="shared" si="109"/>
        <v/>
      </c>
      <c r="AQ285" s="63" t="str">
        <f t="shared" si="110"/>
        <v/>
      </c>
      <c r="AR285" s="152" t="str">
        <f t="shared" si="111"/>
        <v/>
      </c>
      <c r="AS285" s="109" t="str">
        <f t="shared" si="112"/>
        <v/>
      </c>
      <c r="AT285" s="63" t="str">
        <f t="shared" si="113"/>
        <v xml:space="preserve">                    </v>
      </c>
    </row>
    <row r="286" spans="1:46" ht="12.75" x14ac:dyDescent="0.2">
      <c r="A286" s="63" t="str">
        <f t="shared" si="95"/>
        <v/>
      </c>
      <c r="B286" s="185"/>
      <c r="C286" s="184"/>
      <c r="D286" s="184"/>
      <c r="E286" s="184"/>
      <c r="F286" s="184"/>
      <c r="G286" s="185"/>
      <c r="H286" s="185"/>
      <c r="I286" s="186"/>
      <c r="J286" s="69"/>
      <c r="AA286" s="63">
        <f t="shared" si="96"/>
        <v>0</v>
      </c>
      <c r="AB286" s="153" t="str">
        <f t="shared" si="97"/>
        <v>000</v>
      </c>
      <c r="AC286" s="165" t="str">
        <f t="shared" si="98"/>
        <v>00000000</v>
      </c>
      <c r="AD286" s="98" t="str">
        <f t="shared" si="99"/>
        <v>00000000</v>
      </c>
      <c r="AE286" s="150">
        <f t="shared" si="100"/>
        <v>0</v>
      </c>
      <c r="AF286" s="150">
        <f t="shared" si="101"/>
        <v>0</v>
      </c>
      <c r="AG286" s="98" t="str">
        <f t="shared" si="102"/>
        <v>0000000000</v>
      </c>
      <c r="AH286" s="151">
        <f t="shared" si="103"/>
        <v>0</v>
      </c>
      <c r="AI286" s="98" t="str">
        <f t="shared" si="104"/>
        <v>00</v>
      </c>
      <c r="AJ286" s="98" t="str">
        <f t="shared" si="105"/>
        <v>000000000000</v>
      </c>
      <c r="AK286" s="161" t="str">
        <f t="shared" si="106"/>
        <v xml:space="preserve">                              </v>
      </c>
      <c r="AL286" s="154">
        <f t="shared" si="107"/>
        <v>0</v>
      </c>
      <c r="AM286" s="155">
        <f t="shared" si="108"/>
        <v>0</v>
      </c>
      <c r="AP286" s="63" t="str">
        <f t="shared" si="109"/>
        <v/>
      </c>
      <c r="AQ286" s="63" t="str">
        <f t="shared" si="110"/>
        <v/>
      </c>
      <c r="AR286" s="152" t="str">
        <f t="shared" si="111"/>
        <v/>
      </c>
      <c r="AS286" s="109" t="str">
        <f t="shared" si="112"/>
        <v/>
      </c>
      <c r="AT286" s="63" t="str">
        <f t="shared" si="113"/>
        <v xml:space="preserve">                    </v>
      </c>
    </row>
    <row r="287" spans="1:46" ht="12.75" x14ac:dyDescent="0.2">
      <c r="A287" s="63" t="str">
        <f t="shared" si="95"/>
        <v/>
      </c>
      <c r="B287" s="185"/>
      <c r="C287" s="184"/>
      <c r="D287" s="184"/>
      <c r="E287" s="184"/>
      <c r="F287" s="184"/>
      <c r="G287" s="185"/>
      <c r="H287" s="185"/>
      <c r="I287" s="186"/>
      <c r="J287" s="69"/>
      <c r="AA287" s="63">
        <f t="shared" si="96"/>
        <v>0</v>
      </c>
      <c r="AB287" s="153" t="str">
        <f t="shared" si="97"/>
        <v>000</v>
      </c>
      <c r="AC287" s="165" t="str">
        <f t="shared" si="98"/>
        <v>00000000</v>
      </c>
      <c r="AD287" s="98" t="str">
        <f t="shared" si="99"/>
        <v>00000000</v>
      </c>
      <c r="AE287" s="150">
        <f t="shared" si="100"/>
        <v>0</v>
      </c>
      <c r="AF287" s="150">
        <f t="shared" si="101"/>
        <v>0</v>
      </c>
      <c r="AG287" s="98" t="str">
        <f t="shared" si="102"/>
        <v>0000000000</v>
      </c>
      <c r="AH287" s="151">
        <f t="shared" si="103"/>
        <v>0</v>
      </c>
      <c r="AI287" s="98" t="str">
        <f t="shared" si="104"/>
        <v>00</v>
      </c>
      <c r="AJ287" s="98" t="str">
        <f t="shared" si="105"/>
        <v>000000000000</v>
      </c>
      <c r="AK287" s="161" t="str">
        <f t="shared" si="106"/>
        <v xml:space="preserve">                              </v>
      </c>
      <c r="AL287" s="154">
        <f t="shared" si="107"/>
        <v>0</v>
      </c>
      <c r="AM287" s="155">
        <f t="shared" si="108"/>
        <v>0</v>
      </c>
      <c r="AP287" s="63" t="str">
        <f t="shared" si="109"/>
        <v/>
      </c>
      <c r="AQ287" s="63" t="str">
        <f t="shared" si="110"/>
        <v/>
      </c>
      <c r="AR287" s="152" t="str">
        <f t="shared" si="111"/>
        <v/>
      </c>
      <c r="AS287" s="109" t="str">
        <f t="shared" si="112"/>
        <v/>
      </c>
      <c r="AT287" s="63" t="str">
        <f t="shared" si="113"/>
        <v xml:space="preserve">                    </v>
      </c>
    </row>
    <row r="288" spans="1:46" ht="12.75" x14ac:dyDescent="0.2">
      <c r="A288" s="63" t="str">
        <f t="shared" si="95"/>
        <v/>
      </c>
      <c r="B288" s="185"/>
      <c r="C288" s="184"/>
      <c r="D288" s="184"/>
      <c r="E288" s="184"/>
      <c r="F288" s="184"/>
      <c r="G288" s="185"/>
      <c r="H288" s="185"/>
      <c r="I288" s="186"/>
      <c r="J288" s="69"/>
      <c r="AA288" s="63">
        <f t="shared" si="96"/>
        <v>0</v>
      </c>
      <c r="AB288" s="153" t="str">
        <f t="shared" si="97"/>
        <v>000</v>
      </c>
      <c r="AC288" s="165" t="str">
        <f t="shared" si="98"/>
        <v>00000000</v>
      </c>
      <c r="AD288" s="98" t="str">
        <f t="shared" si="99"/>
        <v>00000000</v>
      </c>
      <c r="AE288" s="150">
        <f t="shared" si="100"/>
        <v>0</v>
      </c>
      <c r="AF288" s="150">
        <f t="shared" si="101"/>
        <v>0</v>
      </c>
      <c r="AG288" s="98" t="str">
        <f t="shared" si="102"/>
        <v>0000000000</v>
      </c>
      <c r="AH288" s="151">
        <f t="shared" si="103"/>
        <v>0</v>
      </c>
      <c r="AI288" s="98" t="str">
        <f t="shared" si="104"/>
        <v>00</v>
      </c>
      <c r="AJ288" s="98" t="str">
        <f t="shared" si="105"/>
        <v>000000000000</v>
      </c>
      <c r="AK288" s="161" t="str">
        <f t="shared" si="106"/>
        <v xml:space="preserve">                              </v>
      </c>
      <c r="AL288" s="154">
        <f t="shared" si="107"/>
        <v>0</v>
      </c>
      <c r="AM288" s="155">
        <f t="shared" si="108"/>
        <v>0</v>
      </c>
      <c r="AP288" s="63" t="str">
        <f t="shared" si="109"/>
        <v/>
      </c>
      <c r="AQ288" s="63" t="str">
        <f t="shared" si="110"/>
        <v/>
      </c>
      <c r="AR288" s="152" t="str">
        <f t="shared" si="111"/>
        <v/>
      </c>
      <c r="AS288" s="109" t="str">
        <f t="shared" si="112"/>
        <v/>
      </c>
      <c r="AT288" s="63" t="str">
        <f t="shared" si="113"/>
        <v xml:space="preserve">                    </v>
      </c>
    </row>
    <row r="289" spans="1:46" ht="12.75" x14ac:dyDescent="0.2">
      <c r="A289" s="63" t="str">
        <f t="shared" si="95"/>
        <v/>
      </c>
      <c r="B289" s="185"/>
      <c r="C289" s="184"/>
      <c r="D289" s="184"/>
      <c r="E289" s="184"/>
      <c r="F289" s="184"/>
      <c r="G289" s="185"/>
      <c r="H289" s="185"/>
      <c r="I289" s="186"/>
      <c r="J289" s="69"/>
      <c r="AA289" s="63">
        <f t="shared" si="96"/>
        <v>0</v>
      </c>
      <c r="AB289" s="153" t="str">
        <f t="shared" si="97"/>
        <v>000</v>
      </c>
      <c r="AC289" s="165" t="str">
        <f t="shared" si="98"/>
        <v>00000000</v>
      </c>
      <c r="AD289" s="98" t="str">
        <f t="shared" si="99"/>
        <v>00000000</v>
      </c>
      <c r="AE289" s="150">
        <f t="shared" si="100"/>
        <v>0</v>
      </c>
      <c r="AF289" s="150">
        <f t="shared" si="101"/>
        <v>0</v>
      </c>
      <c r="AG289" s="98" t="str">
        <f t="shared" si="102"/>
        <v>0000000000</v>
      </c>
      <c r="AH289" s="151">
        <f t="shared" si="103"/>
        <v>0</v>
      </c>
      <c r="AI289" s="98" t="str">
        <f t="shared" si="104"/>
        <v>00</v>
      </c>
      <c r="AJ289" s="98" t="str">
        <f t="shared" si="105"/>
        <v>000000000000</v>
      </c>
      <c r="AK289" s="161" t="str">
        <f t="shared" si="106"/>
        <v xml:space="preserve">                              </v>
      </c>
      <c r="AL289" s="154">
        <f t="shared" si="107"/>
        <v>0</v>
      </c>
      <c r="AM289" s="155">
        <f t="shared" si="108"/>
        <v>0</v>
      </c>
      <c r="AP289" s="63" t="str">
        <f t="shared" si="109"/>
        <v/>
      </c>
      <c r="AQ289" s="63" t="str">
        <f t="shared" si="110"/>
        <v/>
      </c>
      <c r="AR289" s="152" t="str">
        <f t="shared" si="111"/>
        <v/>
      </c>
      <c r="AS289" s="109" t="str">
        <f t="shared" si="112"/>
        <v/>
      </c>
      <c r="AT289" s="63" t="str">
        <f t="shared" si="113"/>
        <v xml:space="preserve">                    </v>
      </c>
    </row>
    <row r="290" spans="1:46" ht="12.75" x14ac:dyDescent="0.2">
      <c r="A290" s="63" t="str">
        <f t="shared" si="95"/>
        <v/>
      </c>
      <c r="B290" s="185"/>
      <c r="C290" s="184"/>
      <c r="D290" s="184"/>
      <c r="E290" s="184"/>
      <c r="F290" s="184"/>
      <c r="G290" s="185"/>
      <c r="H290" s="185"/>
      <c r="I290" s="186"/>
      <c r="J290" s="69"/>
      <c r="AA290" s="63">
        <f t="shared" si="96"/>
        <v>0</v>
      </c>
      <c r="AB290" s="153" t="str">
        <f t="shared" si="97"/>
        <v>000</v>
      </c>
      <c r="AC290" s="165" t="str">
        <f t="shared" si="98"/>
        <v>00000000</v>
      </c>
      <c r="AD290" s="98" t="str">
        <f t="shared" si="99"/>
        <v>00000000</v>
      </c>
      <c r="AE290" s="150">
        <f t="shared" si="100"/>
        <v>0</v>
      </c>
      <c r="AF290" s="150">
        <f t="shared" si="101"/>
        <v>0</v>
      </c>
      <c r="AG290" s="98" t="str">
        <f t="shared" si="102"/>
        <v>0000000000</v>
      </c>
      <c r="AH290" s="151">
        <f t="shared" si="103"/>
        <v>0</v>
      </c>
      <c r="AI290" s="98" t="str">
        <f t="shared" si="104"/>
        <v>00</v>
      </c>
      <c r="AJ290" s="98" t="str">
        <f t="shared" si="105"/>
        <v>000000000000</v>
      </c>
      <c r="AK290" s="161" t="str">
        <f t="shared" si="106"/>
        <v xml:space="preserve">                              </v>
      </c>
      <c r="AL290" s="154">
        <f t="shared" si="107"/>
        <v>0</v>
      </c>
      <c r="AM290" s="155">
        <f t="shared" si="108"/>
        <v>0</v>
      </c>
      <c r="AP290" s="63" t="str">
        <f t="shared" si="109"/>
        <v/>
      </c>
      <c r="AQ290" s="63" t="str">
        <f t="shared" si="110"/>
        <v/>
      </c>
      <c r="AR290" s="152" t="str">
        <f t="shared" si="111"/>
        <v/>
      </c>
      <c r="AS290" s="109" t="str">
        <f t="shared" si="112"/>
        <v/>
      </c>
      <c r="AT290" s="63" t="str">
        <f t="shared" si="113"/>
        <v xml:space="preserve">                    </v>
      </c>
    </row>
    <row r="291" spans="1:46" ht="12.75" x14ac:dyDescent="0.2">
      <c r="A291" s="63" t="str">
        <f t="shared" si="95"/>
        <v/>
      </c>
      <c r="B291" s="185"/>
      <c r="C291" s="184"/>
      <c r="D291" s="184"/>
      <c r="E291" s="184"/>
      <c r="F291" s="184"/>
      <c r="G291" s="185"/>
      <c r="H291" s="185"/>
      <c r="I291" s="186"/>
      <c r="J291" s="69"/>
      <c r="AA291" s="63">
        <f t="shared" si="96"/>
        <v>0</v>
      </c>
      <c r="AB291" s="153" t="str">
        <f t="shared" si="97"/>
        <v>000</v>
      </c>
      <c r="AC291" s="165" t="str">
        <f t="shared" si="98"/>
        <v>00000000</v>
      </c>
      <c r="AD291" s="98" t="str">
        <f t="shared" si="99"/>
        <v>00000000</v>
      </c>
      <c r="AE291" s="150">
        <f t="shared" si="100"/>
        <v>0</v>
      </c>
      <c r="AF291" s="150">
        <f t="shared" si="101"/>
        <v>0</v>
      </c>
      <c r="AG291" s="98" t="str">
        <f t="shared" si="102"/>
        <v>0000000000</v>
      </c>
      <c r="AH291" s="151">
        <f t="shared" si="103"/>
        <v>0</v>
      </c>
      <c r="AI291" s="98" t="str">
        <f t="shared" si="104"/>
        <v>00</v>
      </c>
      <c r="AJ291" s="98" t="str">
        <f t="shared" si="105"/>
        <v>000000000000</v>
      </c>
      <c r="AK291" s="161" t="str">
        <f t="shared" si="106"/>
        <v xml:space="preserve">                              </v>
      </c>
      <c r="AL291" s="154">
        <f t="shared" si="107"/>
        <v>0</v>
      </c>
      <c r="AM291" s="155">
        <f t="shared" si="108"/>
        <v>0</v>
      </c>
      <c r="AP291" s="63" t="str">
        <f t="shared" si="109"/>
        <v/>
      </c>
      <c r="AQ291" s="63" t="str">
        <f t="shared" si="110"/>
        <v/>
      </c>
      <c r="AR291" s="152" t="str">
        <f t="shared" si="111"/>
        <v/>
      </c>
      <c r="AS291" s="109" t="str">
        <f t="shared" si="112"/>
        <v/>
      </c>
      <c r="AT291" s="63" t="str">
        <f t="shared" si="113"/>
        <v xml:space="preserve">                    </v>
      </c>
    </row>
    <row r="292" spans="1:46" ht="12.75" x14ac:dyDescent="0.2">
      <c r="A292" s="63" t="str">
        <f t="shared" si="95"/>
        <v/>
      </c>
      <c r="B292" s="185"/>
      <c r="C292" s="184"/>
      <c r="D292" s="184"/>
      <c r="E292" s="184"/>
      <c r="F292" s="184"/>
      <c r="G292" s="185"/>
      <c r="H292" s="185"/>
      <c r="I292" s="186"/>
      <c r="J292" s="69"/>
      <c r="AA292" s="63">
        <f t="shared" si="96"/>
        <v>0</v>
      </c>
      <c r="AB292" s="153" t="str">
        <f t="shared" si="97"/>
        <v>000</v>
      </c>
      <c r="AC292" s="165" t="str">
        <f t="shared" si="98"/>
        <v>00000000</v>
      </c>
      <c r="AD292" s="98" t="str">
        <f t="shared" si="99"/>
        <v>00000000</v>
      </c>
      <c r="AE292" s="150">
        <f t="shared" si="100"/>
        <v>0</v>
      </c>
      <c r="AF292" s="150">
        <f t="shared" si="101"/>
        <v>0</v>
      </c>
      <c r="AG292" s="98" t="str">
        <f t="shared" si="102"/>
        <v>0000000000</v>
      </c>
      <c r="AH292" s="151">
        <f t="shared" si="103"/>
        <v>0</v>
      </c>
      <c r="AI292" s="98" t="str">
        <f t="shared" si="104"/>
        <v>00</v>
      </c>
      <c r="AJ292" s="98" t="str">
        <f t="shared" si="105"/>
        <v>000000000000</v>
      </c>
      <c r="AK292" s="161" t="str">
        <f t="shared" si="106"/>
        <v xml:space="preserve">                              </v>
      </c>
      <c r="AL292" s="154">
        <f t="shared" si="107"/>
        <v>0</v>
      </c>
      <c r="AM292" s="155">
        <f t="shared" si="108"/>
        <v>0</v>
      </c>
      <c r="AP292" s="63" t="str">
        <f t="shared" si="109"/>
        <v/>
      </c>
      <c r="AQ292" s="63" t="str">
        <f t="shared" si="110"/>
        <v/>
      </c>
      <c r="AR292" s="152" t="str">
        <f t="shared" si="111"/>
        <v/>
      </c>
      <c r="AS292" s="109" t="str">
        <f t="shared" si="112"/>
        <v/>
      </c>
      <c r="AT292" s="63" t="str">
        <f t="shared" si="113"/>
        <v xml:space="preserve">                    </v>
      </c>
    </row>
    <row r="293" spans="1:46" ht="12.75" x14ac:dyDescent="0.2">
      <c r="A293" s="63" t="str">
        <f t="shared" si="95"/>
        <v/>
      </c>
      <c r="B293" s="185"/>
      <c r="C293" s="184"/>
      <c r="D293" s="184"/>
      <c r="E293" s="184"/>
      <c r="F293" s="184"/>
      <c r="G293" s="185"/>
      <c r="H293" s="185"/>
      <c r="I293" s="186"/>
      <c r="J293" s="69"/>
      <c r="AA293" s="63">
        <f t="shared" si="96"/>
        <v>0</v>
      </c>
      <c r="AB293" s="153" t="str">
        <f t="shared" si="97"/>
        <v>000</v>
      </c>
      <c r="AC293" s="165" t="str">
        <f t="shared" si="98"/>
        <v>00000000</v>
      </c>
      <c r="AD293" s="98" t="str">
        <f t="shared" si="99"/>
        <v>00000000</v>
      </c>
      <c r="AE293" s="150">
        <f t="shared" si="100"/>
        <v>0</v>
      </c>
      <c r="AF293" s="150">
        <f t="shared" si="101"/>
        <v>0</v>
      </c>
      <c r="AG293" s="98" t="str">
        <f t="shared" si="102"/>
        <v>0000000000</v>
      </c>
      <c r="AH293" s="151">
        <f t="shared" si="103"/>
        <v>0</v>
      </c>
      <c r="AI293" s="98" t="str">
        <f t="shared" si="104"/>
        <v>00</v>
      </c>
      <c r="AJ293" s="98" t="str">
        <f t="shared" si="105"/>
        <v>000000000000</v>
      </c>
      <c r="AK293" s="161" t="str">
        <f t="shared" si="106"/>
        <v xml:space="preserve">                              </v>
      </c>
      <c r="AL293" s="154">
        <f t="shared" si="107"/>
        <v>0</v>
      </c>
      <c r="AM293" s="155">
        <f t="shared" si="108"/>
        <v>0</v>
      </c>
      <c r="AP293" s="63" t="str">
        <f t="shared" si="109"/>
        <v/>
      </c>
      <c r="AQ293" s="63" t="str">
        <f t="shared" si="110"/>
        <v/>
      </c>
      <c r="AR293" s="152" t="str">
        <f t="shared" si="111"/>
        <v/>
      </c>
      <c r="AS293" s="109" t="str">
        <f t="shared" si="112"/>
        <v/>
      </c>
      <c r="AT293" s="63" t="str">
        <f t="shared" si="113"/>
        <v xml:space="preserve">                    </v>
      </c>
    </row>
    <row r="294" spans="1:46" ht="12.75" x14ac:dyDescent="0.2">
      <c r="A294" s="63" t="str">
        <f t="shared" si="95"/>
        <v/>
      </c>
      <c r="B294" s="185"/>
      <c r="C294" s="184"/>
      <c r="D294" s="184"/>
      <c r="E294" s="184"/>
      <c r="F294" s="184"/>
      <c r="G294" s="185"/>
      <c r="H294" s="185"/>
      <c r="I294" s="186"/>
      <c r="J294" s="69"/>
      <c r="AA294" s="63">
        <f t="shared" si="96"/>
        <v>0</v>
      </c>
      <c r="AB294" s="153" t="str">
        <f t="shared" si="97"/>
        <v>000</v>
      </c>
      <c r="AC294" s="165" t="str">
        <f t="shared" si="98"/>
        <v>00000000</v>
      </c>
      <c r="AD294" s="98" t="str">
        <f t="shared" si="99"/>
        <v>00000000</v>
      </c>
      <c r="AE294" s="150">
        <f t="shared" si="100"/>
        <v>0</v>
      </c>
      <c r="AF294" s="150">
        <f t="shared" si="101"/>
        <v>0</v>
      </c>
      <c r="AG294" s="98" t="str">
        <f t="shared" si="102"/>
        <v>0000000000</v>
      </c>
      <c r="AH294" s="151">
        <f t="shared" si="103"/>
        <v>0</v>
      </c>
      <c r="AI294" s="98" t="str">
        <f t="shared" si="104"/>
        <v>00</v>
      </c>
      <c r="AJ294" s="98" t="str">
        <f t="shared" si="105"/>
        <v>000000000000</v>
      </c>
      <c r="AK294" s="161" t="str">
        <f t="shared" si="106"/>
        <v xml:space="preserve">                              </v>
      </c>
      <c r="AL294" s="154">
        <f t="shared" si="107"/>
        <v>0</v>
      </c>
      <c r="AM294" s="155">
        <f t="shared" si="108"/>
        <v>0</v>
      </c>
      <c r="AP294" s="63" t="str">
        <f t="shared" si="109"/>
        <v/>
      </c>
      <c r="AQ294" s="63" t="str">
        <f t="shared" si="110"/>
        <v/>
      </c>
      <c r="AR294" s="152" t="str">
        <f t="shared" si="111"/>
        <v/>
      </c>
      <c r="AS294" s="109" t="str">
        <f t="shared" si="112"/>
        <v/>
      </c>
      <c r="AT294" s="63" t="str">
        <f t="shared" si="113"/>
        <v xml:space="preserve">                    </v>
      </c>
    </row>
    <row r="295" spans="1:46" ht="12.75" x14ac:dyDescent="0.2">
      <c r="A295" s="63" t="str">
        <f t="shared" si="95"/>
        <v/>
      </c>
      <c r="B295" s="185"/>
      <c r="C295" s="184"/>
      <c r="D295" s="184"/>
      <c r="E295" s="184"/>
      <c r="F295" s="184"/>
      <c r="G295" s="185"/>
      <c r="H295" s="185"/>
      <c r="I295" s="186"/>
      <c r="J295" s="69"/>
      <c r="AA295" s="63">
        <f t="shared" si="96"/>
        <v>0</v>
      </c>
      <c r="AB295" s="153" t="str">
        <f t="shared" si="97"/>
        <v>000</v>
      </c>
      <c r="AC295" s="165" t="str">
        <f t="shared" si="98"/>
        <v>00000000</v>
      </c>
      <c r="AD295" s="98" t="str">
        <f t="shared" si="99"/>
        <v>00000000</v>
      </c>
      <c r="AE295" s="150">
        <f t="shared" si="100"/>
        <v>0</v>
      </c>
      <c r="AF295" s="150">
        <f t="shared" si="101"/>
        <v>0</v>
      </c>
      <c r="AG295" s="98" t="str">
        <f t="shared" si="102"/>
        <v>0000000000</v>
      </c>
      <c r="AH295" s="151">
        <f t="shared" si="103"/>
        <v>0</v>
      </c>
      <c r="AI295" s="98" t="str">
        <f t="shared" si="104"/>
        <v>00</v>
      </c>
      <c r="AJ295" s="98" t="str">
        <f t="shared" si="105"/>
        <v>000000000000</v>
      </c>
      <c r="AK295" s="161" t="str">
        <f t="shared" si="106"/>
        <v xml:space="preserve">                              </v>
      </c>
      <c r="AL295" s="154">
        <f t="shared" si="107"/>
        <v>0</v>
      </c>
      <c r="AM295" s="155">
        <f t="shared" si="108"/>
        <v>0</v>
      </c>
      <c r="AP295" s="63" t="str">
        <f t="shared" si="109"/>
        <v/>
      </c>
      <c r="AQ295" s="63" t="str">
        <f t="shared" si="110"/>
        <v/>
      </c>
      <c r="AR295" s="152" t="str">
        <f t="shared" si="111"/>
        <v/>
      </c>
      <c r="AS295" s="109" t="str">
        <f t="shared" si="112"/>
        <v/>
      </c>
      <c r="AT295" s="63" t="str">
        <f t="shared" si="113"/>
        <v xml:space="preserve">                    </v>
      </c>
    </row>
    <row r="296" spans="1:46" ht="12.75" x14ac:dyDescent="0.2">
      <c r="A296" s="63" t="str">
        <f t="shared" si="95"/>
        <v/>
      </c>
      <c r="B296" s="185"/>
      <c r="C296" s="184"/>
      <c r="D296" s="184"/>
      <c r="E296" s="184"/>
      <c r="F296" s="184"/>
      <c r="G296" s="185"/>
      <c r="H296" s="185"/>
      <c r="I296" s="186"/>
      <c r="J296" s="69"/>
      <c r="AA296" s="63">
        <f t="shared" si="96"/>
        <v>0</v>
      </c>
      <c r="AB296" s="153" t="str">
        <f t="shared" si="97"/>
        <v>000</v>
      </c>
      <c r="AC296" s="165" t="str">
        <f t="shared" si="98"/>
        <v>00000000</v>
      </c>
      <c r="AD296" s="98" t="str">
        <f t="shared" si="99"/>
        <v>00000000</v>
      </c>
      <c r="AE296" s="150">
        <f t="shared" si="100"/>
        <v>0</v>
      </c>
      <c r="AF296" s="150">
        <f t="shared" si="101"/>
        <v>0</v>
      </c>
      <c r="AG296" s="98" t="str">
        <f t="shared" si="102"/>
        <v>0000000000</v>
      </c>
      <c r="AH296" s="151">
        <f t="shared" si="103"/>
        <v>0</v>
      </c>
      <c r="AI296" s="98" t="str">
        <f t="shared" si="104"/>
        <v>00</v>
      </c>
      <c r="AJ296" s="98" t="str">
        <f t="shared" si="105"/>
        <v>000000000000</v>
      </c>
      <c r="AK296" s="161" t="str">
        <f t="shared" si="106"/>
        <v xml:space="preserve">                              </v>
      </c>
      <c r="AL296" s="154">
        <f t="shared" si="107"/>
        <v>0</v>
      </c>
      <c r="AM296" s="155">
        <f t="shared" si="108"/>
        <v>0</v>
      </c>
      <c r="AP296" s="63" t="str">
        <f t="shared" si="109"/>
        <v/>
      </c>
      <c r="AQ296" s="63" t="str">
        <f t="shared" si="110"/>
        <v/>
      </c>
      <c r="AR296" s="152" t="str">
        <f t="shared" si="111"/>
        <v/>
      </c>
      <c r="AS296" s="109" t="str">
        <f t="shared" si="112"/>
        <v/>
      </c>
      <c r="AT296" s="63" t="str">
        <f t="shared" si="113"/>
        <v xml:space="preserve">                    </v>
      </c>
    </row>
    <row r="297" spans="1:46" ht="12.75" x14ac:dyDescent="0.2">
      <c r="A297" s="63" t="str">
        <f t="shared" si="95"/>
        <v/>
      </c>
      <c r="B297" s="185"/>
      <c r="C297" s="184"/>
      <c r="D297" s="184"/>
      <c r="E297" s="184"/>
      <c r="F297" s="184"/>
      <c r="G297" s="185"/>
      <c r="H297" s="185"/>
      <c r="I297" s="186"/>
      <c r="J297" s="69"/>
      <c r="AA297" s="63">
        <f t="shared" si="96"/>
        <v>0</v>
      </c>
      <c r="AB297" s="153" t="str">
        <f t="shared" si="97"/>
        <v>000</v>
      </c>
      <c r="AC297" s="165" t="str">
        <f t="shared" si="98"/>
        <v>00000000</v>
      </c>
      <c r="AD297" s="98" t="str">
        <f t="shared" si="99"/>
        <v>00000000</v>
      </c>
      <c r="AE297" s="150">
        <f t="shared" si="100"/>
        <v>0</v>
      </c>
      <c r="AF297" s="150">
        <f t="shared" si="101"/>
        <v>0</v>
      </c>
      <c r="AG297" s="98" t="str">
        <f t="shared" si="102"/>
        <v>0000000000</v>
      </c>
      <c r="AH297" s="151">
        <f t="shared" si="103"/>
        <v>0</v>
      </c>
      <c r="AI297" s="98" t="str">
        <f t="shared" si="104"/>
        <v>00</v>
      </c>
      <c r="AJ297" s="98" t="str">
        <f t="shared" si="105"/>
        <v>000000000000</v>
      </c>
      <c r="AK297" s="161" t="str">
        <f t="shared" si="106"/>
        <v xml:space="preserve">                              </v>
      </c>
      <c r="AL297" s="154">
        <f t="shared" si="107"/>
        <v>0</v>
      </c>
      <c r="AM297" s="155">
        <f t="shared" si="108"/>
        <v>0</v>
      </c>
      <c r="AP297" s="63" t="str">
        <f t="shared" si="109"/>
        <v/>
      </c>
      <c r="AQ297" s="63" t="str">
        <f t="shared" si="110"/>
        <v/>
      </c>
      <c r="AR297" s="152" t="str">
        <f t="shared" si="111"/>
        <v/>
      </c>
      <c r="AS297" s="109" t="str">
        <f t="shared" si="112"/>
        <v/>
      </c>
      <c r="AT297" s="63" t="str">
        <f t="shared" si="113"/>
        <v xml:space="preserve">                    </v>
      </c>
    </row>
    <row r="298" spans="1:46" ht="12.75" x14ac:dyDescent="0.2">
      <c r="A298" s="63" t="str">
        <f t="shared" si="95"/>
        <v/>
      </c>
      <c r="B298" s="185"/>
      <c r="C298" s="184"/>
      <c r="D298" s="184"/>
      <c r="E298" s="184"/>
      <c r="F298" s="184"/>
      <c r="G298" s="185"/>
      <c r="H298" s="185"/>
      <c r="I298" s="186"/>
      <c r="J298" s="69"/>
      <c r="AA298" s="63">
        <f t="shared" si="96"/>
        <v>0</v>
      </c>
      <c r="AB298" s="153" t="str">
        <f t="shared" si="97"/>
        <v>000</v>
      </c>
      <c r="AC298" s="165" t="str">
        <f t="shared" si="98"/>
        <v>00000000</v>
      </c>
      <c r="AD298" s="98" t="str">
        <f t="shared" si="99"/>
        <v>00000000</v>
      </c>
      <c r="AE298" s="150">
        <f t="shared" si="100"/>
        <v>0</v>
      </c>
      <c r="AF298" s="150">
        <f t="shared" si="101"/>
        <v>0</v>
      </c>
      <c r="AG298" s="98" t="str">
        <f t="shared" si="102"/>
        <v>0000000000</v>
      </c>
      <c r="AH298" s="151">
        <f t="shared" si="103"/>
        <v>0</v>
      </c>
      <c r="AI298" s="98" t="str">
        <f t="shared" si="104"/>
        <v>00</v>
      </c>
      <c r="AJ298" s="98" t="str">
        <f t="shared" si="105"/>
        <v>000000000000</v>
      </c>
      <c r="AK298" s="161" t="str">
        <f t="shared" si="106"/>
        <v xml:space="preserve">                              </v>
      </c>
      <c r="AL298" s="154">
        <f t="shared" si="107"/>
        <v>0</v>
      </c>
      <c r="AM298" s="155">
        <f t="shared" si="108"/>
        <v>0</v>
      </c>
      <c r="AP298" s="63" t="str">
        <f t="shared" si="109"/>
        <v/>
      </c>
      <c r="AQ298" s="63" t="str">
        <f t="shared" si="110"/>
        <v/>
      </c>
      <c r="AR298" s="152" t="str">
        <f t="shared" si="111"/>
        <v/>
      </c>
      <c r="AS298" s="109" t="str">
        <f t="shared" si="112"/>
        <v/>
      </c>
      <c r="AT298" s="63" t="str">
        <f t="shared" si="113"/>
        <v xml:space="preserve">                    </v>
      </c>
    </row>
    <row r="299" spans="1:46" ht="12.75" x14ac:dyDescent="0.2">
      <c r="A299" s="63" t="str">
        <f t="shared" si="95"/>
        <v/>
      </c>
      <c r="B299" s="185"/>
      <c r="C299" s="184"/>
      <c r="D299" s="184"/>
      <c r="E299" s="184"/>
      <c r="F299" s="184"/>
      <c r="G299" s="185"/>
      <c r="H299" s="185"/>
      <c r="I299" s="186"/>
      <c r="J299" s="69"/>
      <c r="AA299" s="63">
        <f t="shared" si="96"/>
        <v>0</v>
      </c>
      <c r="AB299" s="153" t="str">
        <f t="shared" si="97"/>
        <v>000</v>
      </c>
      <c r="AC299" s="165" t="str">
        <f t="shared" si="98"/>
        <v>00000000</v>
      </c>
      <c r="AD299" s="98" t="str">
        <f t="shared" si="99"/>
        <v>00000000</v>
      </c>
      <c r="AE299" s="150">
        <f t="shared" si="100"/>
        <v>0</v>
      </c>
      <c r="AF299" s="150">
        <f t="shared" si="101"/>
        <v>0</v>
      </c>
      <c r="AG299" s="98" t="str">
        <f t="shared" si="102"/>
        <v>0000000000</v>
      </c>
      <c r="AH299" s="151">
        <f t="shared" si="103"/>
        <v>0</v>
      </c>
      <c r="AI299" s="98" t="str">
        <f t="shared" si="104"/>
        <v>00</v>
      </c>
      <c r="AJ299" s="98" t="str">
        <f t="shared" si="105"/>
        <v>000000000000</v>
      </c>
      <c r="AK299" s="161" t="str">
        <f t="shared" si="106"/>
        <v xml:space="preserve">                              </v>
      </c>
      <c r="AL299" s="154">
        <f t="shared" si="107"/>
        <v>0</v>
      </c>
      <c r="AM299" s="155">
        <f t="shared" si="108"/>
        <v>0</v>
      </c>
      <c r="AP299" s="63" t="str">
        <f t="shared" si="109"/>
        <v/>
      </c>
      <c r="AQ299" s="63" t="str">
        <f t="shared" si="110"/>
        <v/>
      </c>
      <c r="AR299" s="152" t="str">
        <f t="shared" si="111"/>
        <v/>
      </c>
      <c r="AS299" s="109" t="str">
        <f t="shared" si="112"/>
        <v/>
      </c>
      <c r="AT299" s="63" t="str">
        <f t="shared" si="113"/>
        <v xml:space="preserve">                    </v>
      </c>
    </row>
    <row r="300" spans="1:46" ht="12.75" x14ac:dyDescent="0.2">
      <c r="A300" s="63" t="str">
        <f t="shared" si="95"/>
        <v/>
      </c>
      <c r="B300" s="185"/>
      <c r="C300" s="184"/>
      <c r="D300" s="184"/>
      <c r="E300" s="184"/>
      <c r="F300" s="184"/>
      <c r="G300" s="185"/>
      <c r="H300" s="185"/>
      <c r="I300" s="186"/>
      <c r="J300" s="69"/>
      <c r="AA300" s="63">
        <f t="shared" si="96"/>
        <v>0</v>
      </c>
      <c r="AB300" s="153" t="str">
        <f t="shared" si="97"/>
        <v>000</v>
      </c>
      <c r="AC300" s="165" t="str">
        <f t="shared" si="98"/>
        <v>00000000</v>
      </c>
      <c r="AD300" s="98" t="str">
        <f t="shared" si="99"/>
        <v>00000000</v>
      </c>
      <c r="AE300" s="150">
        <f t="shared" si="100"/>
        <v>0</v>
      </c>
      <c r="AF300" s="150">
        <f t="shared" si="101"/>
        <v>0</v>
      </c>
      <c r="AG300" s="98" t="str">
        <f t="shared" si="102"/>
        <v>0000000000</v>
      </c>
      <c r="AH300" s="151">
        <f t="shared" si="103"/>
        <v>0</v>
      </c>
      <c r="AI300" s="98" t="str">
        <f t="shared" si="104"/>
        <v>00</v>
      </c>
      <c r="AJ300" s="98" t="str">
        <f t="shared" si="105"/>
        <v>000000000000</v>
      </c>
      <c r="AK300" s="161" t="str">
        <f t="shared" si="106"/>
        <v xml:space="preserve">                              </v>
      </c>
      <c r="AL300" s="154">
        <f t="shared" si="107"/>
        <v>0</v>
      </c>
      <c r="AM300" s="155">
        <f t="shared" si="108"/>
        <v>0</v>
      </c>
      <c r="AP300" s="63" t="str">
        <f t="shared" si="109"/>
        <v/>
      </c>
      <c r="AQ300" s="63" t="str">
        <f t="shared" si="110"/>
        <v/>
      </c>
      <c r="AR300" s="152" t="str">
        <f t="shared" si="111"/>
        <v/>
      </c>
      <c r="AS300" s="109" t="str">
        <f t="shared" si="112"/>
        <v/>
      </c>
      <c r="AT300" s="63" t="str">
        <f t="shared" si="113"/>
        <v xml:space="preserve">                    </v>
      </c>
    </row>
    <row r="301" spans="1:46" ht="12.75" x14ac:dyDescent="0.2">
      <c r="A301" s="63" t="str">
        <f t="shared" si="95"/>
        <v/>
      </c>
      <c r="B301" s="185"/>
      <c r="C301" s="184"/>
      <c r="D301" s="184"/>
      <c r="E301" s="184"/>
      <c r="F301" s="184"/>
      <c r="G301" s="185"/>
      <c r="H301" s="185"/>
      <c r="I301" s="186"/>
      <c r="J301" s="69"/>
      <c r="AA301" s="63">
        <f t="shared" si="96"/>
        <v>0</v>
      </c>
      <c r="AB301" s="153" t="str">
        <f t="shared" si="97"/>
        <v>000</v>
      </c>
      <c r="AC301" s="165" t="str">
        <f t="shared" si="98"/>
        <v>00000000</v>
      </c>
      <c r="AD301" s="98" t="str">
        <f t="shared" si="99"/>
        <v>00000000</v>
      </c>
      <c r="AE301" s="150">
        <f t="shared" si="100"/>
        <v>0</v>
      </c>
      <c r="AF301" s="150">
        <f t="shared" si="101"/>
        <v>0</v>
      </c>
      <c r="AG301" s="98" t="str">
        <f t="shared" si="102"/>
        <v>0000000000</v>
      </c>
      <c r="AH301" s="151">
        <f t="shared" si="103"/>
        <v>0</v>
      </c>
      <c r="AI301" s="98" t="str">
        <f t="shared" si="104"/>
        <v>00</v>
      </c>
      <c r="AJ301" s="98" t="str">
        <f t="shared" si="105"/>
        <v>000000000000</v>
      </c>
      <c r="AK301" s="161" t="str">
        <f t="shared" si="106"/>
        <v xml:space="preserve">                              </v>
      </c>
      <c r="AL301" s="154">
        <f t="shared" si="107"/>
        <v>0</v>
      </c>
      <c r="AM301" s="155">
        <f t="shared" si="108"/>
        <v>0</v>
      </c>
      <c r="AP301" s="63" t="str">
        <f t="shared" si="109"/>
        <v/>
      </c>
      <c r="AQ301" s="63" t="str">
        <f t="shared" si="110"/>
        <v/>
      </c>
      <c r="AR301" s="152" t="str">
        <f t="shared" si="111"/>
        <v/>
      </c>
      <c r="AS301" s="109" t="str">
        <f t="shared" si="112"/>
        <v/>
      </c>
      <c r="AT301" s="63" t="str">
        <f t="shared" si="113"/>
        <v xml:space="preserve">                    </v>
      </c>
    </row>
    <row r="302" spans="1:46" ht="12.75" x14ac:dyDescent="0.2">
      <c r="A302" s="63" t="str">
        <f t="shared" si="95"/>
        <v/>
      </c>
      <c r="B302" s="185"/>
      <c r="C302" s="184"/>
      <c r="D302" s="184"/>
      <c r="E302" s="184"/>
      <c r="F302" s="184"/>
      <c r="G302" s="185"/>
      <c r="H302" s="185"/>
      <c r="I302" s="186"/>
      <c r="J302" s="69"/>
      <c r="AA302" s="63">
        <f t="shared" si="96"/>
        <v>0</v>
      </c>
      <c r="AB302" s="153" t="str">
        <f t="shared" si="97"/>
        <v>000</v>
      </c>
      <c r="AC302" s="165" t="str">
        <f t="shared" si="98"/>
        <v>00000000</v>
      </c>
      <c r="AD302" s="98" t="str">
        <f t="shared" si="99"/>
        <v>00000000</v>
      </c>
      <c r="AE302" s="150">
        <f t="shared" si="100"/>
        <v>0</v>
      </c>
      <c r="AF302" s="150">
        <f t="shared" si="101"/>
        <v>0</v>
      </c>
      <c r="AG302" s="98" t="str">
        <f t="shared" si="102"/>
        <v>0000000000</v>
      </c>
      <c r="AH302" s="151">
        <f t="shared" si="103"/>
        <v>0</v>
      </c>
      <c r="AI302" s="98" t="str">
        <f t="shared" si="104"/>
        <v>00</v>
      </c>
      <c r="AJ302" s="98" t="str">
        <f t="shared" si="105"/>
        <v>000000000000</v>
      </c>
      <c r="AK302" s="161" t="str">
        <f t="shared" si="106"/>
        <v xml:space="preserve">                              </v>
      </c>
      <c r="AL302" s="154">
        <f t="shared" si="107"/>
        <v>0</v>
      </c>
      <c r="AM302" s="155">
        <f t="shared" si="108"/>
        <v>0</v>
      </c>
      <c r="AP302" s="63" t="str">
        <f t="shared" si="109"/>
        <v/>
      </c>
      <c r="AQ302" s="63" t="str">
        <f t="shared" si="110"/>
        <v/>
      </c>
      <c r="AR302" s="152" t="str">
        <f t="shared" si="111"/>
        <v/>
      </c>
      <c r="AS302" s="109" t="str">
        <f t="shared" si="112"/>
        <v/>
      </c>
      <c r="AT302" s="63" t="str">
        <f t="shared" si="113"/>
        <v xml:space="preserve">                    </v>
      </c>
    </row>
    <row r="303" spans="1:46" ht="12.75" x14ac:dyDescent="0.2">
      <c r="A303" s="63" t="str">
        <f t="shared" si="95"/>
        <v/>
      </c>
      <c r="B303" s="185"/>
      <c r="C303" s="184"/>
      <c r="D303" s="184"/>
      <c r="E303" s="184"/>
      <c r="F303" s="184"/>
      <c r="G303" s="185"/>
      <c r="H303" s="185"/>
      <c r="I303" s="186"/>
      <c r="J303" s="69"/>
      <c r="AA303" s="63">
        <f t="shared" si="96"/>
        <v>0</v>
      </c>
      <c r="AB303" s="153" t="str">
        <f t="shared" si="97"/>
        <v>000</v>
      </c>
      <c r="AC303" s="165" t="str">
        <f t="shared" si="98"/>
        <v>00000000</v>
      </c>
      <c r="AD303" s="98" t="str">
        <f t="shared" si="99"/>
        <v>00000000</v>
      </c>
      <c r="AE303" s="150">
        <f t="shared" si="100"/>
        <v>0</v>
      </c>
      <c r="AF303" s="150">
        <f t="shared" si="101"/>
        <v>0</v>
      </c>
      <c r="AG303" s="98" t="str">
        <f t="shared" si="102"/>
        <v>0000000000</v>
      </c>
      <c r="AH303" s="151">
        <f t="shared" si="103"/>
        <v>0</v>
      </c>
      <c r="AI303" s="98" t="str">
        <f t="shared" si="104"/>
        <v>00</v>
      </c>
      <c r="AJ303" s="98" t="str">
        <f t="shared" si="105"/>
        <v>000000000000</v>
      </c>
      <c r="AK303" s="161" t="str">
        <f t="shared" si="106"/>
        <v xml:space="preserve">                              </v>
      </c>
      <c r="AL303" s="154">
        <f t="shared" si="107"/>
        <v>0</v>
      </c>
      <c r="AM303" s="155">
        <f t="shared" si="108"/>
        <v>0</v>
      </c>
      <c r="AP303" s="63" t="str">
        <f t="shared" si="109"/>
        <v/>
      </c>
      <c r="AQ303" s="63" t="str">
        <f t="shared" si="110"/>
        <v/>
      </c>
      <c r="AR303" s="152" t="str">
        <f t="shared" si="111"/>
        <v/>
      </c>
      <c r="AS303" s="109" t="str">
        <f t="shared" si="112"/>
        <v/>
      </c>
      <c r="AT303" s="63" t="str">
        <f t="shared" si="113"/>
        <v xml:space="preserve">                    </v>
      </c>
    </row>
    <row r="304" spans="1:46" ht="12.75" x14ac:dyDescent="0.2">
      <c r="A304" s="63" t="str">
        <f t="shared" si="95"/>
        <v/>
      </c>
      <c r="B304" s="185"/>
      <c r="C304" s="184"/>
      <c r="D304" s="184"/>
      <c r="E304" s="184"/>
      <c r="F304" s="184"/>
      <c r="G304" s="185"/>
      <c r="H304" s="185"/>
      <c r="I304" s="186"/>
      <c r="J304" s="69"/>
      <c r="AA304" s="63">
        <f t="shared" si="96"/>
        <v>0</v>
      </c>
      <c r="AB304" s="153" t="str">
        <f t="shared" si="97"/>
        <v>000</v>
      </c>
      <c r="AC304" s="165" t="str">
        <f t="shared" si="98"/>
        <v>00000000</v>
      </c>
      <c r="AD304" s="98" t="str">
        <f t="shared" si="99"/>
        <v>00000000</v>
      </c>
      <c r="AE304" s="150">
        <f t="shared" si="100"/>
        <v>0</v>
      </c>
      <c r="AF304" s="150">
        <f t="shared" si="101"/>
        <v>0</v>
      </c>
      <c r="AG304" s="98" t="str">
        <f t="shared" si="102"/>
        <v>0000000000</v>
      </c>
      <c r="AH304" s="151">
        <f t="shared" si="103"/>
        <v>0</v>
      </c>
      <c r="AI304" s="98" t="str">
        <f t="shared" si="104"/>
        <v>00</v>
      </c>
      <c r="AJ304" s="98" t="str">
        <f t="shared" si="105"/>
        <v>000000000000</v>
      </c>
      <c r="AK304" s="161" t="str">
        <f t="shared" si="106"/>
        <v xml:space="preserve">                              </v>
      </c>
      <c r="AL304" s="154">
        <f t="shared" si="107"/>
        <v>0</v>
      </c>
      <c r="AM304" s="155">
        <f t="shared" si="108"/>
        <v>0</v>
      </c>
      <c r="AP304" s="63" t="str">
        <f t="shared" si="109"/>
        <v/>
      </c>
      <c r="AQ304" s="63" t="str">
        <f t="shared" si="110"/>
        <v/>
      </c>
      <c r="AR304" s="152" t="str">
        <f t="shared" si="111"/>
        <v/>
      </c>
      <c r="AS304" s="109" t="str">
        <f t="shared" si="112"/>
        <v/>
      </c>
      <c r="AT304" s="63" t="str">
        <f t="shared" si="113"/>
        <v xml:space="preserve">                    </v>
      </c>
    </row>
    <row r="305" spans="1:46" ht="12.75" x14ac:dyDescent="0.2">
      <c r="A305" s="63" t="str">
        <f t="shared" si="95"/>
        <v/>
      </c>
      <c r="B305" s="185"/>
      <c r="C305" s="184"/>
      <c r="D305" s="184"/>
      <c r="E305" s="184"/>
      <c r="F305" s="184"/>
      <c r="G305" s="185"/>
      <c r="H305" s="185"/>
      <c r="I305" s="186"/>
      <c r="J305" s="69"/>
      <c r="AA305" s="63">
        <f t="shared" si="96"/>
        <v>0</v>
      </c>
      <c r="AB305" s="153" t="str">
        <f t="shared" si="97"/>
        <v>000</v>
      </c>
      <c r="AC305" s="165" t="str">
        <f t="shared" si="98"/>
        <v>00000000</v>
      </c>
      <c r="AD305" s="98" t="str">
        <f t="shared" si="99"/>
        <v>00000000</v>
      </c>
      <c r="AE305" s="150">
        <f t="shared" si="100"/>
        <v>0</v>
      </c>
      <c r="AF305" s="150">
        <f t="shared" si="101"/>
        <v>0</v>
      </c>
      <c r="AG305" s="98" t="str">
        <f t="shared" si="102"/>
        <v>0000000000</v>
      </c>
      <c r="AH305" s="151">
        <f t="shared" si="103"/>
        <v>0</v>
      </c>
      <c r="AI305" s="98" t="str">
        <f t="shared" si="104"/>
        <v>00</v>
      </c>
      <c r="AJ305" s="98" t="str">
        <f t="shared" si="105"/>
        <v>000000000000</v>
      </c>
      <c r="AK305" s="161" t="str">
        <f t="shared" si="106"/>
        <v xml:space="preserve">                              </v>
      </c>
      <c r="AL305" s="154">
        <f t="shared" si="107"/>
        <v>0</v>
      </c>
      <c r="AM305" s="155">
        <f t="shared" si="108"/>
        <v>0</v>
      </c>
      <c r="AP305" s="63" t="str">
        <f t="shared" si="109"/>
        <v/>
      </c>
      <c r="AQ305" s="63" t="str">
        <f t="shared" si="110"/>
        <v/>
      </c>
      <c r="AR305" s="152" t="str">
        <f t="shared" si="111"/>
        <v/>
      </c>
      <c r="AS305" s="109" t="str">
        <f t="shared" si="112"/>
        <v/>
      </c>
      <c r="AT305" s="63" t="str">
        <f t="shared" si="113"/>
        <v xml:space="preserve">                    </v>
      </c>
    </row>
    <row r="306" spans="1:46" ht="12.75" x14ac:dyDescent="0.2">
      <c r="A306" s="63" t="str">
        <f t="shared" si="95"/>
        <v/>
      </c>
      <c r="B306" s="185"/>
      <c r="C306" s="184"/>
      <c r="D306" s="184"/>
      <c r="E306" s="184"/>
      <c r="F306" s="184"/>
      <c r="G306" s="185"/>
      <c r="H306" s="185"/>
      <c r="I306" s="186"/>
      <c r="J306" s="69"/>
      <c r="AA306" s="63">
        <f t="shared" si="96"/>
        <v>0</v>
      </c>
      <c r="AB306" s="153" t="str">
        <f t="shared" si="97"/>
        <v>000</v>
      </c>
      <c r="AC306" s="165" t="str">
        <f t="shared" si="98"/>
        <v>00000000</v>
      </c>
      <c r="AD306" s="98" t="str">
        <f t="shared" si="99"/>
        <v>00000000</v>
      </c>
      <c r="AE306" s="150">
        <f t="shared" si="100"/>
        <v>0</v>
      </c>
      <c r="AF306" s="150">
        <f t="shared" si="101"/>
        <v>0</v>
      </c>
      <c r="AG306" s="98" t="str">
        <f t="shared" si="102"/>
        <v>0000000000</v>
      </c>
      <c r="AH306" s="151">
        <f t="shared" si="103"/>
        <v>0</v>
      </c>
      <c r="AI306" s="98" t="str">
        <f t="shared" si="104"/>
        <v>00</v>
      </c>
      <c r="AJ306" s="98" t="str">
        <f t="shared" si="105"/>
        <v>000000000000</v>
      </c>
      <c r="AK306" s="161" t="str">
        <f t="shared" si="106"/>
        <v xml:space="preserve">                              </v>
      </c>
      <c r="AL306" s="154">
        <f t="shared" si="107"/>
        <v>0</v>
      </c>
      <c r="AM306" s="155">
        <f t="shared" si="108"/>
        <v>0</v>
      </c>
      <c r="AP306" s="63" t="str">
        <f t="shared" si="109"/>
        <v/>
      </c>
      <c r="AQ306" s="63" t="str">
        <f t="shared" si="110"/>
        <v/>
      </c>
      <c r="AR306" s="152" t="str">
        <f t="shared" si="111"/>
        <v/>
      </c>
      <c r="AS306" s="109" t="str">
        <f t="shared" si="112"/>
        <v/>
      </c>
      <c r="AT306" s="63" t="str">
        <f t="shared" si="113"/>
        <v xml:space="preserve">                    </v>
      </c>
    </row>
    <row r="307" spans="1:46" ht="12.75" x14ac:dyDescent="0.2">
      <c r="A307" s="63" t="str">
        <f t="shared" si="95"/>
        <v/>
      </c>
      <c r="B307" s="185"/>
      <c r="C307" s="184"/>
      <c r="D307" s="184"/>
      <c r="E307" s="184"/>
      <c r="F307" s="184"/>
      <c r="G307" s="185"/>
      <c r="H307" s="185"/>
      <c r="I307" s="186"/>
      <c r="J307" s="69"/>
      <c r="AA307" s="63">
        <f t="shared" si="96"/>
        <v>0</v>
      </c>
      <c r="AB307" s="153" t="str">
        <f t="shared" si="97"/>
        <v>000</v>
      </c>
      <c r="AC307" s="165" t="str">
        <f t="shared" si="98"/>
        <v>00000000</v>
      </c>
      <c r="AD307" s="98" t="str">
        <f t="shared" si="99"/>
        <v>00000000</v>
      </c>
      <c r="AE307" s="150">
        <f t="shared" si="100"/>
        <v>0</v>
      </c>
      <c r="AF307" s="150">
        <f t="shared" si="101"/>
        <v>0</v>
      </c>
      <c r="AG307" s="98" t="str">
        <f t="shared" si="102"/>
        <v>0000000000</v>
      </c>
      <c r="AH307" s="151">
        <f t="shared" si="103"/>
        <v>0</v>
      </c>
      <c r="AI307" s="98" t="str">
        <f t="shared" si="104"/>
        <v>00</v>
      </c>
      <c r="AJ307" s="98" t="str">
        <f t="shared" si="105"/>
        <v>000000000000</v>
      </c>
      <c r="AK307" s="161" t="str">
        <f t="shared" si="106"/>
        <v xml:space="preserve">                              </v>
      </c>
      <c r="AL307" s="154">
        <f t="shared" si="107"/>
        <v>0</v>
      </c>
      <c r="AM307" s="155">
        <f t="shared" si="108"/>
        <v>0</v>
      </c>
      <c r="AP307" s="63" t="str">
        <f t="shared" si="109"/>
        <v/>
      </c>
      <c r="AQ307" s="63" t="str">
        <f t="shared" si="110"/>
        <v/>
      </c>
      <c r="AR307" s="152" t="str">
        <f t="shared" si="111"/>
        <v/>
      </c>
      <c r="AS307" s="109" t="str">
        <f t="shared" si="112"/>
        <v/>
      </c>
      <c r="AT307" s="63" t="str">
        <f t="shared" si="113"/>
        <v xml:space="preserve">                    </v>
      </c>
    </row>
    <row r="308" spans="1:46" ht="12.75" x14ac:dyDescent="0.2">
      <c r="A308" s="63" t="str">
        <f t="shared" si="95"/>
        <v/>
      </c>
      <c r="B308" s="185"/>
      <c r="C308" s="184"/>
      <c r="D308" s="184"/>
      <c r="E308" s="184"/>
      <c r="F308" s="184"/>
      <c r="G308" s="185"/>
      <c r="H308" s="185"/>
      <c r="I308" s="186"/>
      <c r="J308" s="69"/>
      <c r="AA308" s="63">
        <f t="shared" si="96"/>
        <v>0</v>
      </c>
      <c r="AB308" s="153" t="str">
        <f t="shared" si="97"/>
        <v>000</v>
      </c>
      <c r="AC308" s="165" t="str">
        <f t="shared" si="98"/>
        <v>00000000</v>
      </c>
      <c r="AD308" s="98" t="str">
        <f t="shared" si="99"/>
        <v>00000000</v>
      </c>
      <c r="AE308" s="150">
        <f t="shared" si="100"/>
        <v>0</v>
      </c>
      <c r="AF308" s="150">
        <f t="shared" si="101"/>
        <v>0</v>
      </c>
      <c r="AG308" s="98" t="str">
        <f t="shared" si="102"/>
        <v>0000000000</v>
      </c>
      <c r="AH308" s="151">
        <f t="shared" si="103"/>
        <v>0</v>
      </c>
      <c r="AI308" s="98" t="str">
        <f t="shared" si="104"/>
        <v>00</v>
      </c>
      <c r="AJ308" s="98" t="str">
        <f t="shared" si="105"/>
        <v>000000000000</v>
      </c>
      <c r="AK308" s="161" t="str">
        <f t="shared" si="106"/>
        <v xml:space="preserve">                              </v>
      </c>
      <c r="AL308" s="154">
        <f t="shared" si="107"/>
        <v>0</v>
      </c>
      <c r="AM308" s="155">
        <f t="shared" si="108"/>
        <v>0</v>
      </c>
      <c r="AP308" s="63" t="str">
        <f t="shared" si="109"/>
        <v/>
      </c>
      <c r="AQ308" s="63" t="str">
        <f t="shared" si="110"/>
        <v/>
      </c>
      <c r="AR308" s="152" t="str">
        <f t="shared" si="111"/>
        <v/>
      </c>
      <c r="AS308" s="109" t="str">
        <f t="shared" si="112"/>
        <v/>
      </c>
      <c r="AT308" s="63" t="str">
        <f t="shared" si="113"/>
        <v xml:space="preserve">                    </v>
      </c>
    </row>
    <row r="309" spans="1:46" ht="12.75" x14ac:dyDescent="0.2">
      <c r="A309" s="63" t="str">
        <f t="shared" si="95"/>
        <v/>
      </c>
      <c r="B309" s="185"/>
      <c r="C309" s="184"/>
      <c r="D309" s="184"/>
      <c r="E309" s="184"/>
      <c r="F309" s="184"/>
      <c r="G309" s="185"/>
      <c r="H309" s="185"/>
      <c r="I309" s="186"/>
      <c r="J309" s="69"/>
      <c r="AA309" s="63">
        <f t="shared" si="96"/>
        <v>0</v>
      </c>
      <c r="AB309" s="153" t="str">
        <f t="shared" si="97"/>
        <v>000</v>
      </c>
      <c r="AC309" s="165" t="str">
        <f t="shared" si="98"/>
        <v>00000000</v>
      </c>
      <c r="AD309" s="98" t="str">
        <f t="shared" si="99"/>
        <v>00000000</v>
      </c>
      <c r="AE309" s="150">
        <f t="shared" si="100"/>
        <v>0</v>
      </c>
      <c r="AF309" s="150">
        <f t="shared" si="101"/>
        <v>0</v>
      </c>
      <c r="AG309" s="98" t="str">
        <f t="shared" si="102"/>
        <v>0000000000</v>
      </c>
      <c r="AH309" s="151">
        <f t="shared" si="103"/>
        <v>0</v>
      </c>
      <c r="AI309" s="98" t="str">
        <f t="shared" si="104"/>
        <v>00</v>
      </c>
      <c r="AJ309" s="98" t="str">
        <f t="shared" si="105"/>
        <v>000000000000</v>
      </c>
      <c r="AK309" s="161" t="str">
        <f t="shared" si="106"/>
        <v xml:space="preserve">                              </v>
      </c>
      <c r="AL309" s="154">
        <f t="shared" si="107"/>
        <v>0</v>
      </c>
      <c r="AM309" s="155">
        <f t="shared" si="108"/>
        <v>0</v>
      </c>
      <c r="AP309" s="63" t="str">
        <f t="shared" si="109"/>
        <v/>
      </c>
      <c r="AQ309" s="63" t="str">
        <f t="shared" si="110"/>
        <v/>
      </c>
      <c r="AR309" s="152" t="str">
        <f t="shared" si="111"/>
        <v/>
      </c>
      <c r="AS309" s="109" t="str">
        <f t="shared" si="112"/>
        <v/>
      </c>
      <c r="AT309" s="63" t="str">
        <f t="shared" si="113"/>
        <v xml:space="preserve">                    </v>
      </c>
    </row>
    <row r="310" spans="1:46" ht="12.75" x14ac:dyDescent="0.2">
      <c r="A310" s="63" t="str">
        <f t="shared" si="95"/>
        <v/>
      </c>
      <c r="B310" s="185"/>
      <c r="C310" s="184"/>
      <c r="D310" s="184"/>
      <c r="E310" s="184"/>
      <c r="F310" s="184"/>
      <c r="G310" s="185"/>
      <c r="H310" s="185"/>
      <c r="I310" s="186"/>
      <c r="J310" s="69"/>
      <c r="AA310" s="63">
        <f t="shared" si="96"/>
        <v>0</v>
      </c>
      <c r="AB310" s="153" t="str">
        <f t="shared" si="97"/>
        <v>000</v>
      </c>
      <c r="AC310" s="165" t="str">
        <f t="shared" si="98"/>
        <v>00000000</v>
      </c>
      <c r="AD310" s="98" t="str">
        <f t="shared" si="99"/>
        <v>00000000</v>
      </c>
      <c r="AE310" s="150">
        <f t="shared" si="100"/>
        <v>0</v>
      </c>
      <c r="AF310" s="150">
        <f t="shared" si="101"/>
        <v>0</v>
      </c>
      <c r="AG310" s="98" t="str">
        <f t="shared" si="102"/>
        <v>0000000000</v>
      </c>
      <c r="AH310" s="151">
        <f t="shared" si="103"/>
        <v>0</v>
      </c>
      <c r="AI310" s="98" t="str">
        <f t="shared" si="104"/>
        <v>00</v>
      </c>
      <c r="AJ310" s="98" t="str">
        <f t="shared" si="105"/>
        <v>000000000000</v>
      </c>
      <c r="AK310" s="161" t="str">
        <f t="shared" si="106"/>
        <v xml:space="preserve">                              </v>
      </c>
      <c r="AL310" s="154">
        <f t="shared" si="107"/>
        <v>0</v>
      </c>
      <c r="AM310" s="155">
        <f t="shared" si="108"/>
        <v>0</v>
      </c>
      <c r="AP310" s="63" t="str">
        <f t="shared" si="109"/>
        <v/>
      </c>
      <c r="AQ310" s="63" t="str">
        <f t="shared" si="110"/>
        <v/>
      </c>
      <c r="AR310" s="152" t="str">
        <f t="shared" si="111"/>
        <v/>
      </c>
      <c r="AS310" s="109" t="str">
        <f t="shared" si="112"/>
        <v/>
      </c>
      <c r="AT310" s="63" t="str">
        <f t="shared" si="113"/>
        <v xml:space="preserve">                    </v>
      </c>
    </row>
    <row r="311" spans="1:46" ht="12.75" x14ac:dyDescent="0.2">
      <c r="A311" s="63" t="str">
        <f t="shared" si="95"/>
        <v/>
      </c>
      <c r="B311" s="185"/>
      <c r="C311" s="184"/>
      <c r="D311" s="184"/>
      <c r="E311" s="184"/>
      <c r="F311" s="184"/>
      <c r="G311" s="185"/>
      <c r="H311" s="185"/>
      <c r="I311" s="186"/>
      <c r="J311" s="69"/>
      <c r="AA311" s="63">
        <f t="shared" si="96"/>
        <v>0</v>
      </c>
      <c r="AB311" s="153" t="str">
        <f t="shared" si="97"/>
        <v>000</v>
      </c>
      <c r="AC311" s="165" t="str">
        <f t="shared" si="98"/>
        <v>00000000</v>
      </c>
      <c r="AD311" s="98" t="str">
        <f t="shared" si="99"/>
        <v>00000000</v>
      </c>
      <c r="AE311" s="150">
        <f t="shared" si="100"/>
        <v>0</v>
      </c>
      <c r="AF311" s="150">
        <f t="shared" si="101"/>
        <v>0</v>
      </c>
      <c r="AG311" s="98" t="str">
        <f t="shared" si="102"/>
        <v>0000000000</v>
      </c>
      <c r="AH311" s="151">
        <f t="shared" si="103"/>
        <v>0</v>
      </c>
      <c r="AI311" s="98" t="str">
        <f t="shared" si="104"/>
        <v>00</v>
      </c>
      <c r="AJ311" s="98" t="str">
        <f t="shared" si="105"/>
        <v>000000000000</v>
      </c>
      <c r="AK311" s="161" t="str">
        <f t="shared" si="106"/>
        <v xml:space="preserve">                              </v>
      </c>
      <c r="AL311" s="154">
        <f t="shared" si="107"/>
        <v>0</v>
      </c>
      <c r="AM311" s="155">
        <f t="shared" si="108"/>
        <v>0</v>
      </c>
      <c r="AP311" s="63" t="str">
        <f t="shared" si="109"/>
        <v/>
      </c>
      <c r="AQ311" s="63" t="str">
        <f t="shared" si="110"/>
        <v/>
      </c>
      <c r="AR311" s="152" t="str">
        <f t="shared" si="111"/>
        <v/>
      </c>
      <c r="AS311" s="109" t="str">
        <f t="shared" si="112"/>
        <v/>
      </c>
      <c r="AT311" s="63" t="str">
        <f t="shared" si="113"/>
        <v xml:space="preserve">                    </v>
      </c>
    </row>
    <row r="312" spans="1:46" ht="12.75" x14ac:dyDescent="0.2">
      <c r="A312" s="63" t="str">
        <f t="shared" si="95"/>
        <v/>
      </c>
      <c r="B312" s="185"/>
      <c r="C312" s="184"/>
      <c r="D312" s="184"/>
      <c r="E312" s="184"/>
      <c r="F312" s="184"/>
      <c r="G312" s="185"/>
      <c r="H312" s="185"/>
      <c r="I312" s="186"/>
      <c r="J312" s="69"/>
      <c r="AA312" s="63">
        <f t="shared" si="96"/>
        <v>0</v>
      </c>
      <c r="AB312" s="153" t="str">
        <f t="shared" si="97"/>
        <v>000</v>
      </c>
      <c r="AC312" s="165" t="str">
        <f t="shared" si="98"/>
        <v>00000000</v>
      </c>
      <c r="AD312" s="98" t="str">
        <f t="shared" si="99"/>
        <v>00000000</v>
      </c>
      <c r="AE312" s="150">
        <f t="shared" si="100"/>
        <v>0</v>
      </c>
      <c r="AF312" s="150">
        <f t="shared" si="101"/>
        <v>0</v>
      </c>
      <c r="AG312" s="98" t="str">
        <f t="shared" si="102"/>
        <v>0000000000</v>
      </c>
      <c r="AH312" s="151">
        <f t="shared" si="103"/>
        <v>0</v>
      </c>
      <c r="AI312" s="98" t="str">
        <f t="shared" si="104"/>
        <v>00</v>
      </c>
      <c r="AJ312" s="98" t="str">
        <f t="shared" si="105"/>
        <v>000000000000</v>
      </c>
      <c r="AK312" s="161" t="str">
        <f t="shared" si="106"/>
        <v xml:space="preserve">                              </v>
      </c>
      <c r="AL312" s="154">
        <f t="shared" si="107"/>
        <v>0</v>
      </c>
      <c r="AM312" s="155">
        <f t="shared" si="108"/>
        <v>0</v>
      </c>
      <c r="AP312" s="63" t="str">
        <f t="shared" si="109"/>
        <v/>
      </c>
      <c r="AQ312" s="63" t="str">
        <f t="shared" si="110"/>
        <v/>
      </c>
      <c r="AR312" s="152" t="str">
        <f t="shared" si="111"/>
        <v/>
      </c>
      <c r="AS312" s="109" t="str">
        <f t="shared" si="112"/>
        <v/>
      </c>
      <c r="AT312" s="63" t="str">
        <f t="shared" si="113"/>
        <v xml:space="preserve">                    </v>
      </c>
    </row>
    <row r="313" spans="1:46" ht="12.75" x14ac:dyDescent="0.2">
      <c r="A313" s="63" t="str">
        <f t="shared" si="95"/>
        <v/>
      </c>
      <c r="B313" s="185"/>
      <c r="C313" s="184"/>
      <c r="D313" s="184"/>
      <c r="E313" s="184"/>
      <c r="F313" s="184"/>
      <c r="G313" s="185"/>
      <c r="H313" s="185"/>
      <c r="I313" s="186"/>
      <c r="J313" s="69"/>
      <c r="AA313" s="63">
        <f t="shared" si="96"/>
        <v>0</v>
      </c>
      <c r="AB313" s="153" t="str">
        <f t="shared" si="97"/>
        <v>000</v>
      </c>
      <c r="AC313" s="165" t="str">
        <f t="shared" si="98"/>
        <v>00000000</v>
      </c>
      <c r="AD313" s="98" t="str">
        <f t="shared" si="99"/>
        <v>00000000</v>
      </c>
      <c r="AE313" s="150">
        <f t="shared" si="100"/>
        <v>0</v>
      </c>
      <c r="AF313" s="150">
        <f t="shared" si="101"/>
        <v>0</v>
      </c>
      <c r="AG313" s="98" t="str">
        <f t="shared" si="102"/>
        <v>0000000000</v>
      </c>
      <c r="AH313" s="151">
        <f t="shared" si="103"/>
        <v>0</v>
      </c>
      <c r="AI313" s="98" t="str">
        <f t="shared" si="104"/>
        <v>00</v>
      </c>
      <c r="AJ313" s="98" t="str">
        <f t="shared" si="105"/>
        <v>000000000000</v>
      </c>
      <c r="AK313" s="161" t="str">
        <f t="shared" si="106"/>
        <v xml:space="preserve">                              </v>
      </c>
      <c r="AL313" s="154">
        <f t="shared" si="107"/>
        <v>0</v>
      </c>
      <c r="AM313" s="155">
        <f t="shared" si="108"/>
        <v>0</v>
      </c>
      <c r="AP313" s="63" t="str">
        <f t="shared" si="109"/>
        <v/>
      </c>
      <c r="AQ313" s="63" t="str">
        <f t="shared" si="110"/>
        <v/>
      </c>
      <c r="AR313" s="152" t="str">
        <f t="shared" si="111"/>
        <v/>
      </c>
      <c r="AS313" s="109" t="str">
        <f t="shared" si="112"/>
        <v/>
      </c>
      <c r="AT313" s="63" t="str">
        <f t="shared" si="113"/>
        <v xml:space="preserve">                    </v>
      </c>
    </row>
    <row r="314" spans="1:46" ht="12.75" x14ac:dyDescent="0.2">
      <c r="A314" s="63" t="str">
        <f t="shared" si="95"/>
        <v/>
      </c>
      <c r="B314" s="185"/>
      <c r="C314" s="184"/>
      <c r="D314" s="184"/>
      <c r="E314" s="184"/>
      <c r="F314" s="184"/>
      <c r="G314" s="185"/>
      <c r="H314" s="185"/>
      <c r="I314" s="186"/>
      <c r="J314" s="69"/>
      <c r="AA314" s="63">
        <f t="shared" si="96"/>
        <v>0</v>
      </c>
      <c r="AB314" s="153" t="str">
        <f t="shared" si="97"/>
        <v>000</v>
      </c>
      <c r="AC314" s="165" t="str">
        <f t="shared" si="98"/>
        <v>00000000</v>
      </c>
      <c r="AD314" s="98" t="str">
        <f t="shared" si="99"/>
        <v>00000000</v>
      </c>
      <c r="AE314" s="150">
        <f t="shared" si="100"/>
        <v>0</v>
      </c>
      <c r="AF314" s="150">
        <f t="shared" si="101"/>
        <v>0</v>
      </c>
      <c r="AG314" s="98" t="str">
        <f t="shared" si="102"/>
        <v>0000000000</v>
      </c>
      <c r="AH314" s="151">
        <f t="shared" si="103"/>
        <v>0</v>
      </c>
      <c r="AI314" s="98" t="str">
        <f t="shared" si="104"/>
        <v>00</v>
      </c>
      <c r="AJ314" s="98" t="str">
        <f t="shared" si="105"/>
        <v>000000000000</v>
      </c>
      <c r="AK314" s="161" t="str">
        <f t="shared" si="106"/>
        <v xml:space="preserve">                              </v>
      </c>
      <c r="AL314" s="154">
        <f t="shared" si="107"/>
        <v>0</v>
      </c>
      <c r="AM314" s="155">
        <f t="shared" si="108"/>
        <v>0</v>
      </c>
      <c r="AP314" s="63" t="str">
        <f t="shared" si="109"/>
        <v/>
      </c>
      <c r="AQ314" s="63" t="str">
        <f t="shared" si="110"/>
        <v/>
      </c>
      <c r="AR314" s="152" t="str">
        <f t="shared" si="111"/>
        <v/>
      </c>
      <c r="AS314" s="109" t="str">
        <f t="shared" si="112"/>
        <v/>
      </c>
      <c r="AT314" s="63" t="str">
        <f t="shared" si="113"/>
        <v xml:space="preserve">                    </v>
      </c>
    </row>
    <row r="315" spans="1:46" ht="12.75" x14ac:dyDescent="0.2">
      <c r="A315" s="63" t="str">
        <f t="shared" si="95"/>
        <v/>
      </c>
      <c r="B315" s="185"/>
      <c r="C315" s="184"/>
      <c r="D315" s="184"/>
      <c r="E315" s="184"/>
      <c r="F315" s="184"/>
      <c r="G315" s="185"/>
      <c r="H315" s="185"/>
      <c r="I315" s="186"/>
      <c r="J315" s="69"/>
      <c r="AA315" s="63">
        <f t="shared" si="96"/>
        <v>0</v>
      </c>
      <c r="AB315" s="153" t="str">
        <f t="shared" si="97"/>
        <v>000</v>
      </c>
      <c r="AC315" s="165" t="str">
        <f t="shared" si="98"/>
        <v>00000000</v>
      </c>
      <c r="AD315" s="98" t="str">
        <f t="shared" si="99"/>
        <v>00000000</v>
      </c>
      <c r="AE315" s="150">
        <f t="shared" si="100"/>
        <v>0</v>
      </c>
      <c r="AF315" s="150">
        <f t="shared" si="101"/>
        <v>0</v>
      </c>
      <c r="AG315" s="98" t="str">
        <f t="shared" si="102"/>
        <v>0000000000</v>
      </c>
      <c r="AH315" s="151">
        <f t="shared" si="103"/>
        <v>0</v>
      </c>
      <c r="AI315" s="98" t="str">
        <f t="shared" si="104"/>
        <v>00</v>
      </c>
      <c r="AJ315" s="98" t="str">
        <f t="shared" si="105"/>
        <v>000000000000</v>
      </c>
      <c r="AK315" s="161" t="str">
        <f t="shared" si="106"/>
        <v xml:space="preserve">                              </v>
      </c>
      <c r="AL315" s="154">
        <f t="shared" si="107"/>
        <v>0</v>
      </c>
      <c r="AM315" s="155">
        <f t="shared" si="108"/>
        <v>0</v>
      </c>
      <c r="AP315" s="63" t="str">
        <f t="shared" si="109"/>
        <v/>
      </c>
      <c r="AQ315" s="63" t="str">
        <f t="shared" si="110"/>
        <v/>
      </c>
      <c r="AR315" s="152" t="str">
        <f t="shared" si="111"/>
        <v/>
      </c>
      <c r="AS315" s="109" t="str">
        <f t="shared" si="112"/>
        <v/>
      </c>
      <c r="AT315" s="63" t="str">
        <f t="shared" si="113"/>
        <v xml:space="preserve">                    </v>
      </c>
    </row>
    <row r="316" spans="1:46" ht="12.75" x14ac:dyDescent="0.2">
      <c r="A316" s="63" t="str">
        <f t="shared" si="95"/>
        <v/>
      </c>
      <c r="B316" s="185"/>
      <c r="C316" s="184"/>
      <c r="D316" s="184"/>
      <c r="E316" s="184"/>
      <c r="F316" s="184"/>
      <c r="G316" s="185"/>
      <c r="H316" s="185"/>
      <c r="I316" s="186"/>
      <c r="J316" s="69"/>
      <c r="AA316" s="63">
        <f t="shared" si="96"/>
        <v>0</v>
      </c>
      <c r="AB316" s="153" t="str">
        <f t="shared" si="97"/>
        <v>000</v>
      </c>
      <c r="AC316" s="165" t="str">
        <f t="shared" si="98"/>
        <v>00000000</v>
      </c>
      <c r="AD316" s="98" t="str">
        <f t="shared" si="99"/>
        <v>00000000</v>
      </c>
      <c r="AE316" s="150">
        <f t="shared" si="100"/>
        <v>0</v>
      </c>
      <c r="AF316" s="150">
        <f t="shared" si="101"/>
        <v>0</v>
      </c>
      <c r="AG316" s="98" t="str">
        <f t="shared" si="102"/>
        <v>0000000000</v>
      </c>
      <c r="AH316" s="151">
        <f t="shared" si="103"/>
        <v>0</v>
      </c>
      <c r="AI316" s="98" t="str">
        <f t="shared" si="104"/>
        <v>00</v>
      </c>
      <c r="AJ316" s="98" t="str">
        <f t="shared" si="105"/>
        <v>000000000000</v>
      </c>
      <c r="AK316" s="161" t="str">
        <f t="shared" si="106"/>
        <v xml:space="preserve">                              </v>
      </c>
      <c r="AL316" s="154">
        <f t="shared" si="107"/>
        <v>0</v>
      </c>
      <c r="AM316" s="155">
        <f t="shared" si="108"/>
        <v>0</v>
      </c>
      <c r="AP316" s="63" t="str">
        <f t="shared" si="109"/>
        <v/>
      </c>
      <c r="AQ316" s="63" t="str">
        <f t="shared" si="110"/>
        <v/>
      </c>
      <c r="AR316" s="152" t="str">
        <f t="shared" si="111"/>
        <v/>
      </c>
      <c r="AS316" s="109" t="str">
        <f t="shared" si="112"/>
        <v/>
      </c>
      <c r="AT316" s="63" t="str">
        <f t="shared" si="113"/>
        <v xml:space="preserve">                    </v>
      </c>
    </row>
    <row r="317" spans="1:46" ht="12.75" x14ac:dyDescent="0.2">
      <c r="A317" s="63" t="str">
        <f t="shared" si="95"/>
        <v/>
      </c>
      <c r="B317" s="185"/>
      <c r="C317" s="184"/>
      <c r="D317" s="184"/>
      <c r="E317" s="184"/>
      <c r="F317" s="184"/>
      <c r="G317" s="185"/>
      <c r="H317" s="185"/>
      <c r="I317" s="186"/>
      <c r="J317" s="69"/>
      <c r="AA317" s="63">
        <f t="shared" si="96"/>
        <v>0</v>
      </c>
      <c r="AB317" s="153" t="str">
        <f t="shared" si="97"/>
        <v>000</v>
      </c>
      <c r="AC317" s="165" t="str">
        <f t="shared" si="98"/>
        <v>00000000</v>
      </c>
      <c r="AD317" s="98" t="str">
        <f t="shared" si="99"/>
        <v>00000000</v>
      </c>
      <c r="AE317" s="150">
        <f t="shared" si="100"/>
        <v>0</v>
      </c>
      <c r="AF317" s="150">
        <f t="shared" si="101"/>
        <v>0</v>
      </c>
      <c r="AG317" s="98" t="str">
        <f t="shared" si="102"/>
        <v>0000000000</v>
      </c>
      <c r="AH317" s="151">
        <f t="shared" si="103"/>
        <v>0</v>
      </c>
      <c r="AI317" s="98" t="str">
        <f t="shared" si="104"/>
        <v>00</v>
      </c>
      <c r="AJ317" s="98" t="str">
        <f t="shared" si="105"/>
        <v>000000000000</v>
      </c>
      <c r="AK317" s="161" t="str">
        <f t="shared" si="106"/>
        <v xml:space="preserve">                              </v>
      </c>
      <c r="AL317" s="154">
        <f t="shared" si="107"/>
        <v>0</v>
      </c>
      <c r="AM317" s="155">
        <f t="shared" si="108"/>
        <v>0</v>
      </c>
      <c r="AP317" s="63" t="str">
        <f t="shared" si="109"/>
        <v/>
      </c>
      <c r="AQ317" s="63" t="str">
        <f t="shared" si="110"/>
        <v/>
      </c>
      <c r="AR317" s="152" t="str">
        <f t="shared" si="111"/>
        <v/>
      </c>
      <c r="AS317" s="109" t="str">
        <f t="shared" si="112"/>
        <v/>
      </c>
      <c r="AT317" s="63" t="str">
        <f t="shared" si="113"/>
        <v xml:space="preserve">                    </v>
      </c>
    </row>
    <row r="318" spans="1:46" ht="12.75" x14ac:dyDescent="0.2">
      <c r="A318" s="63" t="str">
        <f t="shared" si="95"/>
        <v/>
      </c>
      <c r="B318" s="185"/>
      <c r="C318" s="184"/>
      <c r="D318" s="184"/>
      <c r="E318" s="184"/>
      <c r="F318" s="184"/>
      <c r="G318" s="185"/>
      <c r="H318" s="185"/>
      <c r="I318" s="186"/>
      <c r="J318" s="69"/>
      <c r="AA318" s="63">
        <f t="shared" si="96"/>
        <v>0</v>
      </c>
      <c r="AB318" s="153" t="str">
        <f t="shared" si="97"/>
        <v>000</v>
      </c>
      <c r="AC318" s="165" t="str">
        <f t="shared" si="98"/>
        <v>00000000</v>
      </c>
      <c r="AD318" s="98" t="str">
        <f t="shared" si="99"/>
        <v>00000000</v>
      </c>
      <c r="AE318" s="150">
        <f t="shared" si="100"/>
        <v>0</v>
      </c>
      <c r="AF318" s="150">
        <f t="shared" si="101"/>
        <v>0</v>
      </c>
      <c r="AG318" s="98" t="str">
        <f t="shared" si="102"/>
        <v>0000000000</v>
      </c>
      <c r="AH318" s="151">
        <f t="shared" si="103"/>
        <v>0</v>
      </c>
      <c r="AI318" s="98" t="str">
        <f t="shared" si="104"/>
        <v>00</v>
      </c>
      <c r="AJ318" s="98" t="str">
        <f t="shared" si="105"/>
        <v>000000000000</v>
      </c>
      <c r="AK318" s="161" t="str">
        <f t="shared" si="106"/>
        <v xml:space="preserve">                              </v>
      </c>
      <c r="AL318" s="154">
        <f t="shared" si="107"/>
        <v>0</v>
      </c>
      <c r="AM318" s="155">
        <f t="shared" si="108"/>
        <v>0</v>
      </c>
      <c r="AP318" s="63" t="str">
        <f t="shared" si="109"/>
        <v/>
      </c>
      <c r="AQ318" s="63" t="str">
        <f t="shared" si="110"/>
        <v/>
      </c>
      <c r="AR318" s="152" t="str">
        <f t="shared" si="111"/>
        <v/>
      </c>
      <c r="AS318" s="109" t="str">
        <f t="shared" si="112"/>
        <v/>
      </c>
      <c r="AT318" s="63" t="str">
        <f t="shared" si="113"/>
        <v xml:space="preserve">                    </v>
      </c>
    </row>
    <row r="319" spans="1:46" ht="12.75" x14ac:dyDescent="0.2">
      <c r="A319" s="63" t="str">
        <f t="shared" si="95"/>
        <v/>
      </c>
      <c r="B319" s="185"/>
      <c r="C319" s="184"/>
      <c r="D319" s="184"/>
      <c r="E319" s="184"/>
      <c r="F319" s="184"/>
      <c r="G319" s="185"/>
      <c r="H319" s="185"/>
      <c r="I319" s="186"/>
      <c r="J319" s="69"/>
      <c r="AA319" s="63">
        <f t="shared" si="96"/>
        <v>0</v>
      </c>
      <c r="AB319" s="153" t="str">
        <f t="shared" si="97"/>
        <v>000</v>
      </c>
      <c r="AC319" s="165" t="str">
        <f t="shared" si="98"/>
        <v>00000000</v>
      </c>
      <c r="AD319" s="98" t="str">
        <f t="shared" si="99"/>
        <v>00000000</v>
      </c>
      <c r="AE319" s="150">
        <f t="shared" si="100"/>
        <v>0</v>
      </c>
      <c r="AF319" s="150">
        <f t="shared" si="101"/>
        <v>0</v>
      </c>
      <c r="AG319" s="98" t="str">
        <f t="shared" si="102"/>
        <v>0000000000</v>
      </c>
      <c r="AH319" s="151">
        <f t="shared" si="103"/>
        <v>0</v>
      </c>
      <c r="AI319" s="98" t="str">
        <f t="shared" si="104"/>
        <v>00</v>
      </c>
      <c r="AJ319" s="98" t="str">
        <f t="shared" si="105"/>
        <v>000000000000</v>
      </c>
      <c r="AK319" s="161" t="str">
        <f t="shared" si="106"/>
        <v xml:space="preserve">                              </v>
      </c>
      <c r="AL319" s="154">
        <f t="shared" si="107"/>
        <v>0</v>
      </c>
      <c r="AM319" s="155">
        <f t="shared" si="108"/>
        <v>0</v>
      </c>
      <c r="AP319" s="63" t="str">
        <f t="shared" si="109"/>
        <v/>
      </c>
      <c r="AQ319" s="63" t="str">
        <f t="shared" si="110"/>
        <v/>
      </c>
      <c r="AR319" s="152" t="str">
        <f t="shared" si="111"/>
        <v/>
      </c>
      <c r="AS319" s="109" t="str">
        <f t="shared" si="112"/>
        <v/>
      </c>
      <c r="AT319" s="63" t="str">
        <f t="shared" si="113"/>
        <v xml:space="preserve">                    </v>
      </c>
    </row>
    <row r="320" spans="1:46" ht="12.75" x14ac:dyDescent="0.2">
      <c r="A320" s="63" t="str">
        <f t="shared" si="95"/>
        <v/>
      </c>
      <c r="B320" s="185"/>
      <c r="C320" s="184"/>
      <c r="D320" s="184"/>
      <c r="E320" s="184"/>
      <c r="F320" s="184"/>
      <c r="G320" s="185"/>
      <c r="H320" s="185"/>
      <c r="I320" s="186"/>
      <c r="J320" s="69"/>
      <c r="AA320" s="63">
        <f t="shared" si="96"/>
        <v>0</v>
      </c>
      <c r="AB320" s="153" t="str">
        <f t="shared" si="97"/>
        <v>000</v>
      </c>
      <c r="AC320" s="165" t="str">
        <f t="shared" si="98"/>
        <v>00000000</v>
      </c>
      <c r="AD320" s="98" t="str">
        <f t="shared" si="99"/>
        <v>00000000</v>
      </c>
      <c r="AE320" s="150">
        <f t="shared" si="100"/>
        <v>0</v>
      </c>
      <c r="AF320" s="150">
        <f t="shared" si="101"/>
        <v>0</v>
      </c>
      <c r="AG320" s="98" t="str">
        <f t="shared" si="102"/>
        <v>0000000000</v>
      </c>
      <c r="AH320" s="151">
        <f t="shared" si="103"/>
        <v>0</v>
      </c>
      <c r="AI320" s="98" t="str">
        <f t="shared" si="104"/>
        <v>00</v>
      </c>
      <c r="AJ320" s="98" t="str">
        <f t="shared" si="105"/>
        <v>000000000000</v>
      </c>
      <c r="AK320" s="161" t="str">
        <f t="shared" si="106"/>
        <v xml:space="preserve">                              </v>
      </c>
      <c r="AL320" s="154">
        <f t="shared" si="107"/>
        <v>0</v>
      </c>
      <c r="AM320" s="155">
        <f t="shared" si="108"/>
        <v>0</v>
      </c>
      <c r="AP320" s="63" t="str">
        <f t="shared" si="109"/>
        <v/>
      </c>
      <c r="AQ320" s="63" t="str">
        <f t="shared" si="110"/>
        <v/>
      </c>
      <c r="AR320" s="152" t="str">
        <f t="shared" si="111"/>
        <v/>
      </c>
      <c r="AS320" s="109" t="str">
        <f t="shared" si="112"/>
        <v/>
      </c>
      <c r="AT320" s="63" t="str">
        <f t="shared" si="113"/>
        <v xml:space="preserve">                    </v>
      </c>
    </row>
    <row r="321" spans="1:46" ht="12.75" x14ac:dyDescent="0.2">
      <c r="A321" s="63" t="str">
        <f t="shared" si="95"/>
        <v/>
      </c>
      <c r="B321" s="185"/>
      <c r="C321" s="184"/>
      <c r="D321" s="184"/>
      <c r="E321" s="184"/>
      <c r="F321" s="184"/>
      <c r="G321" s="185"/>
      <c r="H321" s="185"/>
      <c r="I321" s="186"/>
      <c r="J321" s="69"/>
      <c r="AA321" s="63">
        <f t="shared" si="96"/>
        <v>0</v>
      </c>
      <c r="AB321" s="153" t="str">
        <f t="shared" si="97"/>
        <v>000</v>
      </c>
      <c r="AC321" s="165" t="str">
        <f t="shared" si="98"/>
        <v>00000000</v>
      </c>
      <c r="AD321" s="98" t="str">
        <f t="shared" si="99"/>
        <v>00000000</v>
      </c>
      <c r="AE321" s="150">
        <f t="shared" si="100"/>
        <v>0</v>
      </c>
      <c r="AF321" s="150">
        <f t="shared" si="101"/>
        <v>0</v>
      </c>
      <c r="AG321" s="98" t="str">
        <f t="shared" si="102"/>
        <v>0000000000</v>
      </c>
      <c r="AH321" s="151">
        <f t="shared" si="103"/>
        <v>0</v>
      </c>
      <c r="AI321" s="98" t="str">
        <f t="shared" si="104"/>
        <v>00</v>
      </c>
      <c r="AJ321" s="98" t="str">
        <f t="shared" si="105"/>
        <v>000000000000</v>
      </c>
      <c r="AK321" s="161" t="str">
        <f t="shared" si="106"/>
        <v xml:space="preserve">                              </v>
      </c>
      <c r="AL321" s="154">
        <f t="shared" si="107"/>
        <v>0</v>
      </c>
      <c r="AM321" s="155">
        <f t="shared" si="108"/>
        <v>0</v>
      </c>
      <c r="AP321" s="63" t="str">
        <f t="shared" si="109"/>
        <v/>
      </c>
      <c r="AQ321" s="63" t="str">
        <f t="shared" si="110"/>
        <v/>
      </c>
      <c r="AR321" s="152" t="str">
        <f t="shared" si="111"/>
        <v/>
      </c>
      <c r="AS321" s="109" t="str">
        <f t="shared" si="112"/>
        <v/>
      </c>
      <c r="AT321" s="63" t="str">
        <f t="shared" si="113"/>
        <v xml:space="preserve">                    </v>
      </c>
    </row>
    <row r="322" spans="1:46" ht="12.75" x14ac:dyDescent="0.2">
      <c r="A322" s="63" t="str">
        <f t="shared" si="95"/>
        <v/>
      </c>
      <c r="B322" s="185"/>
      <c r="C322" s="184"/>
      <c r="D322" s="184"/>
      <c r="E322" s="184"/>
      <c r="F322" s="184"/>
      <c r="G322" s="185"/>
      <c r="H322" s="185"/>
      <c r="I322" s="186"/>
      <c r="J322" s="69"/>
      <c r="AA322" s="63">
        <f t="shared" si="96"/>
        <v>0</v>
      </c>
      <c r="AB322" s="153" t="str">
        <f t="shared" si="97"/>
        <v>000</v>
      </c>
      <c r="AC322" s="165" t="str">
        <f t="shared" si="98"/>
        <v>00000000</v>
      </c>
      <c r="AD322" s="98" t="str">
        <f t="shared" si="99"/>
        <v>00000000</v>
      </c>
      <c r="AE322" s="150">
        <f t="shared" si="100"/>
        <v>0</v>
      </c>
      <c r="AF322" s="150">
        <f t="shared" si="101"/>
        <v>0</v>
      </c>
      <c r="AG322" s="98" t="str">
        <f t="shared" si="102"/>
        <v>0000000000</v>
      </c>
      <c r="AH322" s="151">
        <f t="shared" si="103"/>
        <v>0</v>
      </c>
      <c r="AI322" s="98" t="str">
        <f t="shared" si="104"/>
        <v>00</v>
      </c>
      <c r="AJ322" s="98" t="str">
        <f t="shared" si="105"/>
        <v>000000000000</v>
      </c>
      <c r="AK322" s="161" t="str">
        <f t="shared" si="106"/>
        <v xml:space="preserve">                              </v>
      </c>
      <c r="AL322" s="154">
        <f t="shared" si="107"/>
        <v>0</v>
      </c>
      <c r="AM322" s="155">
        <f t="shared" si="108"/>
        <v>0</v>
      </c>
      <c r="AP322" s="63" t="str">
        <f t="shared" si="109"/>
        <v/>
      </c>
      <c r="AQ322" s="63" t="str">
        <f t="shared" si="110"/>
        <v/>
      </c>
      <c r="AR322" s="152" t="str">
        <f t="shared" si="111"/>
        <v/>
      </c>
      <c r="AS322" s="109" t="str">
        <f t="shared" si="112"/>
        <v/>
      </c>
      <c r="AT322" s="63" t="str">
        <f t="shared" si="113"/>
        <v xml:space="preserve">                    </v>
      </c>
    </row>
    <row r="323" spans="1:46" ht="12.75" x14ac:dyDescent="0.2">
      <c r="A323" s="63" t="str">
        <f t="shared" si="95"/>
        <v/>
      </c>
      <c r="B323" s="185"/>
      <c r="C323" s="184"/>
      <c r="D323" s="184"/>
      <c r="E323" s="184"/>
      <c r="F323" s="184"/>
      <c r="G323" s="185"/>
      <c r="H323" s="185"/>
      <c r="I323" s="186"/>
      <c r="J323" s="69"/>
      <c r="AA323" s="63">
        <f t="shared" si="96"/>
        <v>0</v>
      </c>
      <c r="AB323" s="153" t="str">
        <f t="shared" si="97"/>
        <v>000</v>
      </c>
      <c r="AC323" s="165" t="str">
        <f t="shared" si="98"/>
        <v>00000000</v>
      </c>
      <c r="AD323" s="98" t="str">
        <f t="shared" si="99"/>
        <v>00000000</v>
      </c>
      <c r="AE323" s="150">
        <f t="shared" si="100"/>
        <v>0</v>
      </c>
      <c r="AF323" s="150">
        <f t="shared" si="101"/>
        <v>0</v>
      </c>
      <c r="AG323" s="98" t="str">
        <f t="shared" si="102"/>
        <v>0000000000</v>
      </c>
      <c r="AH323" s="151">
        <f t="shared" si="103"/>
        <v>0</v>
      </c>
      <c r="AI323" s="98" t="str">
        <f t="shared" si="104"/>
        <v>00</v>
      </c>
      <c r="AJ323" s="98" t="str">
        <f t="shared" si="105"/>
        <v>000000000000</v>
      </c>
      <c r="AK323" s="161" t="str">
        <f t="shared" si="106"/>
        <v xml:space="preserve">                              </v>
      </c>
      <c r="AL323" s="154">
        <f t="shared" si="107"/>
        <v>0</v>
      </c>
      <c r="AM323" s="155">
        <f t="shared" si="108"/>
        <v>0</v>
      </c>
      <c r="AP323" s="63" t="str">
        <f t="shared" si="109"/>
        <v/>
      </c>
      <c r="AQ323" s="63" t="str">
        <f t="shared" si="110"/>
        <v/>
      </c>
      <c r="AR323" s="152" t="str">
        <f t="shared" si="111"/>
        <v/>
      </c>
      <c r="AS323" s="109" t="str">
        <f t="shared" si="112"/>
        <v/>
      </c>
      <c r="AT323" s="63" t="str">
        <f t="shared" si="113"/>
        <v xml:space="preserve">                    </v>
      </c>
    </row>
    <row r="324" spans="1:46" ht="12.75" x14ac:dyDescent="0.2">
      <c r="A324" s="63" t="str">
        <f t="shared" si="95"/>
        <v/>
      </c>
      <c r="B324" s="185"/>
      <c r="C324" s="184"/>
      <c r="D324" s="184"/>
      <c r="E324" s="184"/>
      <c r="F324" s="184"/>
      <c r="G324" s="185"/>
      <c r="H324" s="185"/>
      <c r="I324" s="186"/>
      <c r="J324" s="69"/>
      <c r="AA324" s="63">
        <f t="shared" si="96"/>
        <v>0</v>
      </c>
      <c r="AB324" s="153" t="str">
        <f t="shared" si="97"/>
        <v>000</v>
      </c>
      <c r="AC324" s="165" t="str">
        <f t="shared" si="98"/>
        <v>00000000</v>
      </c>
      <c r="AD324" s="98" t="str">
        <f t="shared" si="99"/>
        <v>00000000</v>
      </c>
      <c r="AE324" s="150">
        <f t="shared" si="100"/>
        <v>0</v>
      </c>
      <c r="AF324" s="150">
        <f t="shared" si="101"/>
        <v>0</v>
      </c>
      <c r="AG324" s="98" t="str">
        <f t="shared" si="102"/>
        <v>0000000000</v>
      </c>
      <c r="AH324" s="151">
        <f t="shared" si="103"/>
        <v>0</v>
      </c>
      <c r="AI324" s="98" t="str">
        <f t="shared" si="104"/>
        <v>00</v>
      </c>
      <c r="AJ324" s="98" t="str">
        <f t="shared" si="105"/>
        <v>000000000000</v>
      </c>
      <c r="AK324" s="161" t="str">
        <f t="shared" si="106"/>
        <v xml:space="preserve">                              </v>
      </c>
      <c r="AL324" s="154">
        <f t="shared" si="107"/>
        <v>0</v>
      </c>
      <c r="AM324" s="155">
        <f t="shared" si="108"/>
        <v>0</v>
      </c>
      <c r="AP324" s="63" t="str">
        <f t="shared" si="109"/>
        <v/>
      </c>
      <c r="AQ324" s="63" t="str">
        <f t="shared" si="110"/>
        <v/>
      </c>
      <c r="AR324" s="152" t="str">
        <f t="shared" si="111"/>
        <v/>
      </c>
      <c r="AS324" s="109" t="str">
        <f t="shared" si="112"/>
        <v/>
      </c>
      <c r="AT324" s="63" t="str">
        <f t="shared" si="113"/>
        <v xml:space="preserve">                    </v>
      </c>
    </row>
    <row r="325" spans="1:46" ht="12.75" x14ac:dyDescent="0.2">
      <c r="A325" s="63" t="str">
        <f t="shared" si="95"/>
        <v/>
      </c>
      <c r="B325" s="185"/>
      <c r="C325" s="184"/>
      <c r="D325" s="184"/>
      <c r="E325" s="184"/>
      <c r="F325" s="184"/>
      <c r="G325" s="185"/>
      <c r="H325" s="185"/>
      <c r="I325" s="186"/>
      <c r="J325" s="69"/>
      <c r="AA325" s="63">
        <f t="shared" si="96"/>
        <v>0</v>
      </c>
      <c r="AB325" s="153" t="str">
        <f t="shared" si="97"/>
        <v>000</v>
      </c>
      <c r="AC325" s="165" t="str">
        <f t="shared" si="98"/>
        <v>00000000</v>
      </c>
      <c r="AD325" s="98" t="str">
        <f t="shared" si="99"/>
        <v>00000000</v>
      </c>
      <c r="AE325" s="150">
        <f t="shared" si="100"/>
        <v>0</v>
      </c>
      <c r="AF325" s="150">
        <f t="shared" si="101"/>
        <v>0</v>
      </c>
      <c r="AG325" s="98" t="str">
        <f t="shared" si="102"/>
        <v>0000000000</v>
      </c>
      <c r="AH325" s="151">
        <f t="shared" si="103"/>
        <v>0</v>
      </c>
      <c r="AI325" s="98" t="str">
        <f t="shared" si="104"/>
        <v>00</v>
      </c>
      <c r="AJ325" s="98" t="str">
        <f t="shared" si="105"/>
        <v>000000000000</v>
      </c>
      <c r="AK325" s="161" t="str">
        <f t="shared" si="106"/>
        <v xml:space="preserve">                              </v>
      </c>
      <c r="AL325" s="154">
        <f t="shared" si="107"/>
        <v>0</v>
      </c>
      <c r="AM325" s="155">
        <f t="shared" si="108"/>
        <v>0</v>
      </c>
      <c r="AP325" s="63" t="str">
        <f t="shared" si="109"/>
        <v/>
      </c>
      <c r="AQ325" s="63" t="str">
        <f t="shared" si="110"/>
        <v/>
      </c>
      <c r="AR325" s="152" t="str">
        <f t="shared" si="111"/>
        <v/>
      </c>
      <c r="AS325" s="109" t="str">
        <f t="shared" si="112"/>
        <v/>
      </c>
      <c r="AT325" s="63" t="str">
        <f t="shared" si="113"/>
        <v xml:space="preserve">                    </v>
      </c>
    </row>
    <row r="326" spans="1:46" ht="12.75" x14ac:dyDescent="0.2">
      <c r="A326" s="63" t="str">
        <f t="shared" ref="A326:A389" si="114">IF(B326&lt;&gt;"",A325+1,"")</f>
        <v/>
      </c>
      <c r="B326" s="185"/>
      <c r="C326" s="184"/>
      <c r="D326" s="184"/>
      <c r="E326" s="184"/>
      <c r="F326" s="184"/>
      <c r="G326" s="185"/>
      <c r="H326" s="185"/>
      <c r="I326" s="186"/>
      <c r="J326" s="69"/>
      <c r="AA326" s="63">
        <f t="shared" si="96"/>
        <v>0</v>
      </c>
      <c r="AB326" s="153" t="str">
        <f t="shared" si="97"/>
        <v>000</v>
      </c>
      <c r="AC326" s="165" t="str">
        <f t="shared" si="98"/>
        <v>00000000</v>
      </c>
      <c r="AD326" s="98" t="str">
        <f t="shared" si="99"/>
        <v>00000000</v>
      </c>
      <c r="AE326" s="150">
        <f t="shared" si="100"/>
        <v>0</v>
      </c>
      <c r="AF326" s="150">
        <f t="shared" si="101"/>
        <v>0</v>
      </c>
      <c r="AG326" s="98" t="str">
        <f t="shared" si="102"/>
        <v>0000000000</v>
      </c>
      <c r="AH326" s="151">
        <f t="shared" si="103"/>
        <v>0</v>
      </c>
      <c r="AI326" s="98" t="str">
        <f t="shared" si="104"/>
        <v>00</v>
      </c>
      <c r="AJ326" s="98" t="str">
        <f t="shared" si="105"/>
        <v>000000000000</v>
      </c>
      <c r="AK326" s="161" t="str">
        <f t="shared" si="106"/>
        <v xml:space="preserve">                              </v>
      </c>
      <c r="AL326" s="154">
        <f t="shared" si="107"/>
        <v>0</v>
      </c>
      <c r="AM326" s="155">
        <f t="shared" si="108"/>
        <v>0</v>
      </c>
      <c r="AP326" s="63" t="str">
        <f t="shared" si="109"/>
        <v/>
      </c>
      <c r="AQ326" s="63" t="str">
        <f t="shared" si="110"/>
        <v/>
      </c>
      <c r="AR326" s="152" t="str">
        <f t="shared" si="111"/>
        <v/>
      </c>
      <c r="AS326" s="109" t="str">
        <f t="shared" si="112"/>
        <v/>
      </c>
      <c r="AT326" s="63" t="str">
        <f t="shared" si="113"/>
        <v xml:space="preserve">                    </v>
      </c>
    </row>
    <row r="327" spans="1:46" ht="12.75" x14ac:dyDescent="0.2">
      <c r="A327" s="63" t="str">
        <f t="shared" si="114"/>
        <v/>
      </c>
      <c r="B327" s="185"/>
      <c r="C327" s="184"/>
      <c r="D327" s="184"/>
      <c r="E327" s="184"/>
      <c r="F327" s="184"/>
      <c r="G327" s="185"/>
      <c r="H327" s="185"/>
      <c r="I327" s="186"/>
      <c r="J327" s="69"/>
      <c r="AA327" s="63">
        <f t="shared" si="96"/>
        <v>0</v>
      </c>
      <c r="AB327" s="153" t="str">
        <f t="shared" si="97"/>
        <v>000</v>
      </c>
      <c r="AC327" s="165" t="str">
        <f t="shared" si="98"/>
        <v>00000000</v>
      </c>
      <c r="AD327" s="98" t="str">
        <f t="shared" si="99"/>
        <v>00000000</v>
      </c>
      <c r="AE327" s="150">
        <f t="shared" si="100"/>
        <v>0</v>
      </c>
      <c r="AF327" s="150">
        <f t="shared" si="101"/>
        <v>0</v>
      </c>
      <c r="AG327" s="98" t="str">
        <f t="shared" si="102"/>
        <v>0000000000</v>
      </c>
      <c r="AH327" s="151">
        <f t="shared" si="103"/>
        <v>0</v>
      </c>
      <c r="AI327" s="98" t="str">
        <f t="shared" si="104"/>
        <v>00</v>
      </c>
      <c r="AJ327" s="98" t="str">
        <f t="shared" si="105"/>
        <v>000000000000</v>
      </c>
      <c r="AK327" s="161" t="str">
        <f t="shared" si="106"/>
        <v xml:space="preserve">                              </v>
      </c>
      <c r="AL327" s="154">
        <f t="shared" si="107"/>
        <v>0</v>
      </c>
      <c r="AM327" s="155">
        <f t="shared" si="108"/>
        <v>0</v>
      </c>
      <c r="AP327" s="63" t="str">
        <f t="shared" si="109"/>
        <v/>
      </c>
      <c r="AQ327" s="63" t="str">
        <f t="shared" si="110"/>
        <v/>
      </c>
      <c r="AR327" s="152" t="str">
        <f t="shared" si="111"/>
        <v/>
      </c>
      <c r="AS327" s="109" t="str">
        <f t="shared" si="112"/>
        <v/>
      </c>
      <c r="AT327" s="63" t="str">
        <f t="shared" si="113"/>
        <v xml:space="preserve">                    </v>
      </c>
    </row>
    <row r="328" spans="1:46" ht="12.75" x14ac:dyDescent="0.2">
      <c r="A328" s="63" t="str">
        <f t="shared" si="114"/>
        <v/>
      </c>
      <c r="B328" s="185"/>
      <c r="C328" s="184"/>
      <c r="D328" s="184"/>
      <c r="E328" s="184"/>
      <c r="F328" s="184"/>
      <c r="G328" s="185"/>
      <c r="H328" s="185"/>
      <c r="I328" s="186"/>
      <c r="J328" s="69"/>
      <c r="AA328" s="63">
        <f t="shared" si="96"/>
        <v>0</v>
      </c>
      <c r="AB328" s="153" t="str">
        <f t="shared" si="97"/>
        <v>000</v>
      </c>
      <c r="AC328" s="165" t="str">
        <f t="shared" si="98"/>
        <v>00000000</v>
      </c>
      <c r="AD328" s="98" t="str">
        <f t="shared" si="99"/>
        <v>00000000</v>
      </c>
      <c r="AE328" s="150">
        <f t="shared" si="100"/>
        <v>0</v>
      </c>
      <c r="AF328" s="150">
        <f t="shared" si="101"/>
        <v>0</v>
      </c>
      <c r="AG328" s="98" t="str">
        <f t="shared" si="102"/>
        <v>0000000000</v>
      </c>
      <c r="AH328" s="151">
        <f t="shared" si="103"/>
        <v>0</v>
      </c>
      <c r="AI328" s="98" t="str">
        <f t="shared" si="104"/>
        <v>00</v>
      </c>
      <c r="AJ328" s="98" t="str">
        <f t="shared" si="105"/>
        <v>000000000000</v>
      </c>
      <c r="AK328" s="161" t="str">
        <f t="shared" si="106"/>
        <v xml:space="preserve">                              </v>
      </c>
      <c r="AL328" s="154">
        <f t="shared" si="107"/>
        <v>0</v>
      </c>
      <c r="AM328" s="155">
        <f t="shared" si="108"/>
        <v>0</v>
      </c>
      <c r="AP328" s="63" t="str">
        <f t="shared" si="109"/>
        <v/>
      </c>
      <c r="AQ328" s="63" t="str">
        <f t="shared" si="110"/>
        <v/>
      </c>
      <c r="AR328" s="152" t="str">
        <f t="shared" si="111"/>
        <v/>
      </c>
      <c r="AS328" s="109" t="str">
        <f t="shared" si="112"/>
        <v/>
      </c>
      <c r="AT328" s="63" t="str">
        <f t="shared" si="113"/>
        <v xml:space="preserve">                    </v>
      </c>
    </row>
    <row r="329" spans="1:46" ht="12.75" x14ac:dyDescent="0.2">
      <c r="A329" s="63" t="str">
        <f t="shared" si="114"/>
        <v/>
      </c>
      <c r="B329" s="185"/>
      <c r="C329" s="184"/>
      <c r="D329" s="184"/>
      <c r="E329" s="184"/>
      <c r="F329" s="184"/>
      <c r="G329" s="185"/>
      <c r="H329" s="185"/>
      <c r="I329" s="186"/>
      <c r="J329" s="69"/>
      <c r="AA329" s="63">
        <f t="shared" si="96"/>
        <v>0</v>
      </c>
      <c r="AB329" s="153" t="str">
        <f t="shared" si="97"/>
        <v>000</v>
      </c>
      <c r="AC329" s="165" t="str">
        <f t="shared" si="98"/>
        <v>00000000</v>
      </c>
      <c r="AD329" s="98" t="str">
        <f t="shared" si="99"/>
        <v>00000000</v>
      </c>
      <c r="AE329" s="150">
        <f t="shared" si="100"/>
        <v>0</v>
      </c>
      <c r="AF329" s="150">
        <f t="shared" si="101"/>
        <v>0</v>
      </c>
      <c r="AG329" s="98" t="str">
        <f t="shared" si="102"/>
        <v>0000000000</v>
      </c>
      <c r="AH329" s="151">
        <f t="shared" si="103"/>
        <v>0</v>
      </c>
      <c r="AI329" s="98" t="str">
        <f t="shared" si="104"/>
        <v>00</v>
      </c>
      <c r="AJ329" s="98" t="str">
        <f t="shared" si="105"/>
        <v>000000000000</v>
      </c>
      <c r="AK329" s="161" t="str">
        <f t="shared" si="106"/>
        <v xml:space="preserve">                              </v>
      </c>
      <c r="AL329" s="154">
        <f t="shared" si="107"/>
        <v>0</v>
      </c>
      <c r="AM329" s="155">
        <f t="shared" si="108"/>
        <v>0</v>
      </c>
      <c r="AP329" s="63" t="str">
        <f t="shared" si="109"/>
        <v/>
      </c>
      <c r="AQ329" s="63" t="str">
        <f t="shared" si="110"/>
        <v/>
      </c>
      <c r="AR329" s="152" t="str">
        <f t="shared" si="111"/>
        <v/>
      </c>
      <c r="AS329" s="109" t="str">
        <f t="shared" si="112"/>
        <v/>
      </c>
      <c r="AT329" s="63" t="str">
        <f t="shared" si="113"/>
        <v xml:space="preserve">                    </v>
      </c>
    </row>
    <row r="330" spans="1:46" ht="12.75" x14ac:dyDescent="0.2">
      <c r="A330" s="63" t="str">
        <f t="shared" si="114"/>
        <v/>
      </c>
      <c r="B330" s="185"/>
      <c r="C330" s="184"/>
      <c r="D330" s="184"/>
      <c r="E330" s="184"/>
      <c r="F330" s="184"/>
      <c r="G330" s="185"/>
      <c r="H330" s="185"/>
      <c r="I330" s="186"/>
      <c r="J330" s="69"/>
      <c r="AA330" s="63">
        <f t="shared" si="96"/>
        <v>0</v>
      </c>
      <c r="AB330" s="153" t="str">
        <f t="shared" si="97"/>
        <v>000</v>
      </c>
      <c r="AC330" s="165" t="str">
        <f t="shared" si="98"/>
        <v>00000000</v>
      </c>
      <c r="AD330" s="98" t="str">
        <f t="shared" si="99"/>
        <v>00000000</v>
      </c>
      <c r="AE330" s="150">
        <f t="shared" si="100"/>
        <v>0</v>
      </c>
      <c r="AF330" s="150">
        <f t="shared" si="101"/>
        <v>0</v>
      </c>
      <c r="AG330" s="98" t="str">
        <f t="shared" si="102"/>
        <v>0000000000</v>
      </c>
      <c r="AH330" s="151">
        <f t="shared" si="103"/>
        <v>0</v>
      </c>
      <c r="AI330" s="98" t="str">
        <f t="shared" si="104"/>
        <v>00</v>
      </c>
      <c r="AJ330" s="98" t="str">
        <f t="shared" si="105"/>
        <v>000000000000</v>
      </c>
      <c r="AK330" s="161" t="str">
        <f t="shared" si="106"/>
        <v xml:space="preserve">                              </v>
      </c>
      <c r="AL330" s="154">
        <f t="shared" si="107"/>
        <v>0</v>
      </c>
      <c r="AM330" s="155">
        <f t="shared" si="108"/>
        <v>0</v>
      </c>
      <c r="AP330" s="63" t="str">
        <f t="shared" si="109"/>
        <v/>
      </c>
      <c r="AQ330" s="63" t="str">
        <f t="shared" si="110"/>
        <v/>
      </c>
      <c r="AR330" s="152" t="str">
        <f t="shared" si="111"/>
        <v/>
      </c>
      <c r="AS330" s="109" t="str">
        <f t="shared" si="112"/>
        <v/>
      </c>
      <c r="AT330" s="63" t="str">
        <f t="shared" si="113"/>
        <v xml:space="preserve">                    </v>
      </c>
    </row>
    <row r="331" spans="1:46" ht="12.75" x14ac:dyDescent="0.2">
      <c r="A331" s="63" t="str">
        <f t="shared" si="114"/>
        <v/>
      </c>
      <c r="B331" s="185"/>
      <c r="C331" s="184"/>
      <c r="D331" s="184"/>
      <c r="E331" s="184"/>
      <c r="F331" s="184"/>
      <c r="G331" s="185"/>
      <c r="H331" s="185"/>
      <c r="I331" s="186"/>
      <c r="J331" s="69"/>
      <c r="AA331" s="63">
        <f t="shared" si="96"/>
        <v>0</v>
      </c>
      <c r="AB331" s="153" t="str">
        <f t="shared" si="97"/>
        <v>000</v>
      </c>
      <c r="AC331" s="165" t="str">
        <f t="shared" si="98"/>
        <v>00000000</v>
      </c>
      <c r="AD331" s="98" t="str">
        <f t="shared" si="99"/>
        <v>00000000</v>
      </c>
      <c r="AE331" s="150">
        <f t="shared" si="100"/>
        <v>0</v>
      </c>
      <c r="AF331" s="150">
        <f t="shared" si="101"/>
        <v>0</v>
      </c>
      <c r="AG331" s="98" t="str">
        <f t="shared" si="102"/>
        <v>0000000000</v>
      </c>
      <c r="AH331" s="151">
        <f t="shared" si="103"/>
        <v>0</v>
      </c>
      <c r="AI331" s="98" t="str">
        <f t="shared" si="104"/>
        <v>00</v>
      </c>
      <c r="AJ331" s="98" t="str">
        <f t="shared" si="105"/>
        <v>000000000000</v>
      </c>
      <c r="AK331" s="161" t="str">
        <f t="shared" si="106"/>
        <v xml:space="preserve">                              </v>
      </c>
      <c r="AL331" s="154">
        <f t="shared" si="107"/>
        <v>0</v>
      </c>
      <c r="AM331" s="155">
        <f t="shared" si="108"/>
        <v>0</v>
      </c>
      <c r="AP331" s="63" t="str">
        <f t="shared" si="109"/>
        <v/>
      </c>
      <c r="AQ331" s="63" t="str">
        <f t="shared" si="110"/>
        <v/>
      </c>
      <c r="AR331" s="152" t="str">
        <f t="shared" si="111"/>
        <v/>
      </c>
      <c r="AS331" s="109" t="str">
        <f t="shared" si="112"/>
        <v/>
      </c>
      <c r="AT331" s="63" t="str">
        <f t="shared" si="113"/>
        <v xml:space="preserve">                    </v>
      </c>
    </row>
    <row r="332" spans="1:46" ht="12.75" x14ac:dyDescent="0.2">
      <c r="A332" s="63" t="str">
        <f t="shared" si="114"/>
        <v/>
      </c>
      <c r="B332" s="185"/>
      <c r="C332" s="184"/>
      <c r="D332" s="184"/>
      <c r="E332" s="184"/>
      <c r="F332" s="184"/>
      <c r="G332" s="185"/>
      <c r="H332" s="185"/>
      <c r="I332" s="186"/>
      <c r="J332" s="69"/>
      <c r="AA332" s="63">
        <f t="shared" si="96"/>
        <v>0</v>
      </c>
      <c r="AB332" s="153" t="str">
        <f t="shared" si="97"/>
        <v>000</v>
      </c>
      <c r="AC332" s="165" t="str">
        <f t="shared" si="98"/>
        <v>00000000</v>
      </c>
      <c r="AD332" s="98" t="str">
        <f t="shared" si="99"/>
        <v>00000000</v>
      </c>
      <c r="AE332" s="150">
        <f t="shared" si="100"/>
        <v>0</v>
      </c>
      <c r="AF332" s="150">
        <f t="shared" si="101"/>
        <v>0</v>
      </c>
      <c r="AG332" s="98" t="str">
        <f t="shared" si="102"/>
        <v>0000000000</v>
      </c>
      <c r="AH332" s="151">
        <f t="shared" si="103"/>
        <v>0</v>
      </c>
      <c r="AI332" s="98" t="str">
        <f t="shared" si="104"/>
        <v>00</v>
      </c>
      <c r="AJ332" s="98" t="str">
        <f t="shared" si="105"/>
        <v>000000000000</v>
      </c>
      <c r="AK332" s="161" t="str">
        <f t="shared" si="106"/>
        <v xml:space="preserve">                              </v>
      </c>
      <c r="AL332" s="154">
        <f t="shared" si="107"/>
        <v>0</v>
      </c>
      <c r="AM332" s="155">
        <f t="shared" si="108"/>
        <v>0</v>
      </c>
      <c r="AP332" s="63" t="str">
        <f t="shared" si="109"/>
        <v/>
      </c>
      <c r="AQ332" s="63" t="str">
        <f t="shared" si="110"/>
        <v/>
      </c>
      <c r="AR332" s="152" t="str">
        <f t="shared" si="111"/>
        <v/>
      </c>
      <c r="AS332" s="109" t="str">
        <f t="shared" si="112"/>
        <v/>
      </c>
      <c r="AT332" s="63" t="str">
        <f t="shared" si="113"/>
        <v xml:space="preserve">                    </v>
      </c>
    </row>
    <row r="333" spans="1:46" ht="12.75" x14ac:dyDescent="0.2">
      <c r="A333" s="63" t="str">
        <f t="shared" si="114"/>
        <v/>
      </c>
      <c r="B333" s="185"/>
      <c r="C333" s="184"/>
      <c r="D333" s="184"/>
      <c r="E333" s="184"/>
      <c r="F333" s="184"/>
      <c r="G333" s="185"/>
      <c r="H333" s="185"/>
      <c r="I333" s="186"/>
      <c r="J333" s="69"/>
      <c r="AA333" s="63">
        <f t="shared" si="96"/>
        <v>0</v>
      </c>
      <c r="AB333" s="153" t="str">
        <f t="shared" si="97"/>
        <v>000</v>
      </c>
      <c r="AC333" s="165" t="str">
        <f t="shared" si="98"/>
        <v>00000000</v>
      </c>
      <c r="AD333" s="98" t="str">
        <f t="shared" si="99"/>
        <v>00000000</v>
      </c>
      <c r="AE333" s="150">
        <f t="shared" si="100"/>
        <v>0</v>
      </c>
      <c r="AF333" s="150">
        <f t="shared" si="101"/>
        <v>0</v>
      </c>
      <c r="AG333" s="98" t="str">
        <f t="shared" si="102"/>
        <v>0000000000</v>
      </c>
      <c r="AH333" s="151">
        <f t="shared" si="103"/>
        <v>0</v>
      </c>
      <c r="AI333" s="98" t="str">
        <f t="shared" si="104"/>
        <v>00</v>
      </c>
      <c r="AJ333" s="98" t="str">
        <f t="shared" si="105"/>
        <v>000000000000</v>
      </c>
      <c r="AK333" s="161" t="str">
        <f t="shared" si="106"/>
        <v xml:space="preserve">                              </v>
      </c>
      <c r="AL333" s="154">
        <f t="shared" si="107"/>
        <v>0</v>
      </c>
      <c r="AM333" s="155">
        <f t="shared" si="108"/>
        <v>0</v>
      </c>
      <c r="AP333" s="63" t="str">
        <f t="shared" si="109"/>
        <v/>
      </c>
      <c r="AQ333" s="63" t="str">
        <f t="shared" si="110"/>
        <v/>
      </c>
      <c r="AR333" s="152" t="str">
        <f t="shared" si="111"/>
        <v/>
      </c>
      <c r="AS333" s="109" t="str">
        <f t="shared" si="112"/>
        <v/>
      </c>
      <c r="AT333" s="63" t="str">
        <f t="shared" si="113"/>
        <v xml:space="preserve">                    </v>
      </c>
    </row>
    <row r="334" spans="1:46" ht="12.75" x14ac:dyDescent="0.2">
      <c r="A334" s="63" t="str">
        <f t="shared" si="114"/>
        <v/>
      </c>
      <c r="B334" s="185"/>
      <c r="C334" s="184"/>
      <c r="D334" s="184"/>
      <c r="E334" s="184"/>
      <c r="F334" s="184"/>
      <c r="G334" s="185"/>
      <c r="H334" s="185"/>
      <c r="I334" s="186"/>
      <c r="J334" s="69"/>
      <c r="AA334" s="63">
        <f t="shared" si="96"/>
        <v>0</v>
      </c>
      <c r="AB334" s="153" t="str">
        <f t="shared" si="97"/>
        <v>000</v>
      </c>
      <c r="AC334" s="165" t="str">
        <f t="shared" si="98"/>
        <v>00000000</v>
      </c>
      <c r="AD334" s="98" t="str">
        <f t="shared" si="99"/>
        <v>00000000</v>
      </c>
      <c r="AE334" s="150">
        <f t="shared" si="100"/>
        <v>0</v>
      </c>
      <c r="AF334" s="150">
        <f t="shared" si="101"/>
        <v>0</v>
      </c>
      <c r="AG334" s="98" t="str">
        <f t="shared" si="102"/>
        <v>0000000000</v>
      </c>
      <c r="AH334" s="151">
        <f t="shared" si="103"/>
        <v>0</v>
      </c>
      <c r="AI334" s="98" t="str">
        <f t="shared" si="104"/>
        <v>00</v>
      </c>
      <c r="AJ334" s="98" t="str">
        <f t="shared" si="105"/>
        <v>000000000000</v>
      </c>
      <c r="AK334" s="161" t="str">
        <f t="shared" si="106"/>
        <v xml:space="preserve">                              </v>
      </c>
      <c r="AL334" s="154">
        <f t="shared" si="107"/>
        <v>0</v>
      </c>
      <c r="AM334" s="155">
        <f t="shared" si="108"/>
        <v>0</v>
      </c>
      <c r="AP334" s="63" t="str">
        <f t="shared" si="109"/>
        <v/>
      </c>
      <c r="AQ334" s="63" t="str">
        <f t="shared" si="110"/>
        <v/>
      </c>
      <c r="AR334" s="152" t="str">
        <f t="shared" si="111"/>
        <v/>
      </c>
      <c r="AS334" s="109" t="str">
        <f t="shared" si="112"/>
        <v/>
      </c>
      <c r="AT334" s="63" t="str">
        <f t="shared" si="113"/>
        <v xml:space="preserve">                    </v>
      </c>
    </row>
    <row r="335" spans="1:46" ht="12.75" x14ac:dyDescent="0.2">
      <c r="A335" s="63" t="str">
        <f t="shared" si="114"/>
        <v/>
      </c>
      <c r="B335" s="185"/>
      <c r="C335" s="184"/>
      <c r="D335" s="184"/>
      <c r="E335" s="184"/>
      <c r="F335" s="184"/>
      <c r="G335" s="185"/>
      <c r="H335" s="185"/>
      <c r="I335" s="186"/>
      <c r="J335" s="69"/>
      <c r="AA335" s="63">
        <f t="shared" si="96"/>
        <v>0</v>
      </c>
      <c r="AB335" s="153" t="str">
        <f t="shared" si="97"/>
        <v>000</v>
      </c>
      <c r="AC335" s="165" t="str">
        <f t="shared" si="98"/>
        <v>00000000</v>
      </c>
      <c r="AD335" s="98" t="str">
        <f t="shared" si="99"/>
        <v>00000000</v>
      </c>
      <c r="AE335" s="150">
        <f t="shared" si="100"/>
        <v>0</v>
      </c>
      <c r="AF335" s="150">
        <f t="shared" si="101"/>
        <v>0</v>
      </c>
      <c r="AG335" s="98" t="str">
        <f t="shared" si="102"/>
        <v>0000000000</v>
      </c>
      <c r="AH335" s="151">
        <f t="shared" si="103"/>
        <v>0</v>
      </c>
      <c r="AI335" s="98" t="str">
        <f t="shared" si="104"/>
        <v>00</v>
      </c>
      <c r="AJ335" s="98" t="str">
        <f t="shared" si="105"/>
        <v>000000000000</v>
      </c>
      <c r="AK335" s="161" t="str">
        <f t="shared" si="106"/>
        <v xml:space="preserve">                              </v>
      </c>
      <c r="AL335" s="154">
        <f t="shared" si="107"/>
        <v>0</v>
      </c>
      <c r="AM335" s="155">
        <f t="shared" si="108"/>
        <v>0</v>
      </c>
      <c r="AP335" s="63" t="str">
        <f t="shared" si="109"/>
        <v/>
      </c>
      <c r="AQ335" s="63" t="str">
        <f t="shared" si="110"/>
        <v/>
      </c>
      <c r="AR335" s="152" t="str">
        <f t="shared" si="111"/>
        <v/>
      </c>
      <c r="AS335" s="109" t="str">
        <f t="shared" si="112"/>
        <v/>
      </c>
      <c r="AT335" s="63" t="str">
        <f t="shared" si="113"/>
        <v xml:space="preserve">                    </v>
      </c>
    </row>
    <row r="336" spans="1:46" ht="12.75" x14ac:dyDescent="0.2">
      <c r="A336" s="63" t="str">
        <f t="shared" si="114"/>
        <v/>
      </c>
      <c r="B336" s="185"/>
      <c r="C336" s="184"/>
      <c r="D336" s="184"/>
      <c r="E336" s="184"/>
      <c r="F336" s="184"/>
      <c r="G336" s="185"/>
      <c r="H336" s="185"/>
      <c r="I336" s="186"/>
      <c r="J336" s="69"/>
      <c r="AA336" s="63">
        <f t="shared" si="96"/>
        <v>0</v>
      </c>
      <c r="AB336" s="153" t="str">
        <f t="shared" si="97"/>
        <v>000</v>
      </c>
      <c r="AC336" s="165" t="str">
        <f t="shared" si="98"/>
        <v>00000000</v>
      </c>
      <c r="AD336" s="98" t="str">
        <f t="shared" si="99"/>
        <v>00000000</v>
      </c>
      <c r="AE336" s="150">
        <f t="shared" si="100"/>
        <v>0</v>
      </c>
      <c r="AF336" s="150">
        <f t="shared" si="101"/>
        <v>0</v>
      </c>
      <c r="AG336" s="98" t="str">
        <f t="shared" si="102"/>
        <v>0000000000</v>
      </c>
      <c r="AH336" s="151">
        <f t="shared" si="103"/>
        <v>0</v>
      </c>
      <c r="AI336" s="98" t="str">
        <f t="shared" si="104"/>
        <v>00</v>
      </c>
      <c r="AJ336" s="98" t="str">
        <f t="shared" si="105"/>
        <v>000000000000</v>
      </c>
      <c r="AK336" s="161" t="str">
        <f t="shared" si="106"/>
        <v xml:space="preserve">                              </v>
      </c>
      <c r="AL336" s="154">
        <f t="shared" si="107"/>
        <v>0</v>
      </c>
      <c r="AM336" s="155">
        <f t="shared" si="108"/>
        <v>0</v>
      </c>
      <c r="AP336" s="63" t="str">
        <f t="shared" si="109"/>
        <v/>
      </c>
      <c r="AQ336" s="63" t="str">
        <f t="shared" si="110"/>
        <v/>
      </c>
      <c r="AR336" s="152" t="str">
        <f t="shared" si="111"/>
        <v/>
      </c>
      <c r="AS336" s="109" t="str">
        <f t="shared" si="112"/>
        <v/>
      </c>
      <c r="AT336" s="63" t="str">
        <f t="shared" si="113"/>
        <v xml:space="preserve">                    </v>
      </c>
    </row>
    <row r="337" spans="1:46" ht="12.75" x14ac:dyDescent="0.2">
      <c r="A337" s="63" t="str">
        <f t="shared" si="114"/>
        <v/>
      </c>
      <c r="B337" s="185"/>
      <c r="C337" s="184"/>
      <c r="D337" s="184"/>
      <c r="E337" s="184"/>
      <c r="F337" s="184"/>
      <c r="G337" s="185"/>
      <c r="H337" s="185"/>
      <c r="I337" s="186"/>
      <c r="J337" s="69"/>
      <c r="AA337" s="63">
        <f t="shared" ref="AA337:AA400" si="115">B337</f>
        <v>0</v>
      </c>
      <c r="AB337" s="153" t="str">
        <f t="shared" ref="AB337:AB400" si="116">CONCATENATE(REPT("0",3-LEN(C337)),C337)</f>
        <v>000</v>
      </c>
      <c r="AC337" s="165" t="str">
        <f t="shared" ref="AC337:AC400" si="117">CONCATENATE(REPT("0",8-LEN(D337)),D337)</f>
        <v>00000000</v>
      </c>
      <c r="AD337" s="98" t="str">
        <f t="shared" ref="AD337:AD400" si="118">CONCATENATE(REPT("0",8-LEN(F337)),F337)</f>
        <v>00000000</v>
      </c>
      <c r="AE337" s="150">
        <f t="shared" ref="AE337:AE400" si="119">INT(I337)</f>
        <v>0</v>
      </c>
      <c r="AF337" s="150">
        <f t="shared" ref="AF337:AF400" si="120">I337-AE337</f>
        <v>0</v>
      </c>
      <c r="AG337" s="98" t="str">
        <f t="shared" ref="AG337:AG400" si="121">TEXT(AE337,"0000000000")</f>
        <v>0000000000</v>
      </c>
      <c r="AH337" s="151">
        <f t="shared" ref="AH337:AH400" si="122">AF337*100</f>
        <v>0</v>
      </c>
      <c r="AI337" s="98" t="str">
        <f t="shared" ref="AI337:AI400" si="123">TEXT(AH337,"00")</f>
        <v>00</v>
      </c>
      <c r="AJ337" s="98" t="str">
        <f t="shared" ref="AJ337:AJ400" si="124">CONCATENATE(AG337,AI337)</f>
        <v>000000000000</v>
      </c>
      <c r="AK337" s="161" t="str">
        <f t="shared" ref="AK337:AK400" si="125">CONCATENATE(E337,REPT(" ",30-LEN(E337)))</f>
        <v xml:space="preserve">                              </v>
      </c>
      <c r="AL337" s="154">
        <f t="shared" ref="AL337:AL400" si="126">IF(H337&lt;&gt;"",IF(H337=$H$3,0,1),0)</f>
        <v>0</v>
      </c>
      <c r="AM337" s="155">
        <f t="shared" ref="AM337:AM400" si="127">IF(AL337=1,IF($H$3=1,I337*$K$14,I337/$K$14),I337)</f>
        <v>0</v>
      </c>
      <c r="AP337" s="63" t="str">
        <f t="shared" si="109"/>
        <v/>
      </c>
      <c r="AQ337" s="63" t="str">
        <f t="shared" si="110"/>
        <v/>
      </c>
      <c r="AR337" s="152" t="str">
        <f t="shared" si="111"/>
        <v/>
      </c>
      <c r="AS337" s="109" t="str">
        <f t="shared" si="112"/>
        <v/>
      </c>
      <c r="AT337" s="63" t="str">
        <f t="shared" si="113"/>
        <v xml:space="preserve">                    </v>
      </c>
    </row>
    <row r="338" spans="1:46" ht="12.75" x14ac:dyDescent="0.2">
      <c r="A338" s="63" t="str">
        <f t="shared" si="114"/>
        <v/>
      </c>
      <c r="B338" s="185"/>
      <c r="C338" s="184"/>
      <c r="D338" s="184"/>
      <c r="E338" s="184"/>
      <c r="F338" s="184"/>
      <c r="G338" s="185"/>
      <c r="H338" s="185"/>
      <c r="I338" s="186"/>
      <c r="J338" s="69"/>
      <c r="AA338" s="63">
        <f t="shared" si="115"/>
        <v>0</v>
      </c>
      <c r="AB338" s="153" t="str">
        <f t="shared" si="116"/>
        <v>000</v>
      </c>
      <c r="AC338" s="165" t="str">
        <f t="shared" si="117"/>
        <v>00000000</v>
      </c>
      <c r="AD338" s="98" t="str">
        <f t="shared" si="118"/>
        <v>00000000</v>
      </c>
      <c r="AE338" s="150">
        <f t="shared" si="119"/>
        <v>0</v>
      </c>
      <c r="AF338" s="150">
        <f t="shared" si="120"/>
        <v>0</v>
      </c>
      <c r="AG338" s="98" t="str">
        <f t="shared" si="121"/>
        <v>0000000000</v>
      </c>
      <c r="AH338" s="151">
        <f t="shared" si="122"/>
        <v>0</v>
      </c>
      <c r="AI338" s="98" t="str">
        <f t="shared" si="123"/>
        <v>00</v>
      </c>
      <c r="AJ338" s="98" t="str">
        <f t="shared" si="124"/>
        <v>000000000000</v>
      </c>
      <c r="AK338" s="161" t="str">
        <f t="shared" si="125"/>
        <v xml:space="preserve">                              </v>
      </c>
      <c r="AL338" s="154">
        <f t="shared" si="126"/>
        <v>0</v>
      </c>
      <c r="AM338" s="155">
        <f t="shared" si="127"/>
        <v>0</v>
      </c>
      <c r="AP338" s="63" t="str">
        <f t="shared" ref="AP338:AP401" si="128">IF(D339&lt;&gt;"",CONCATENATE("000",AS338,"0",H339,"2","    ",AD339,AJ339,"            ",AT339,AK339,"                                                                                     "),"")</f>
        <v/>
      </c>
      <c r="AQ338" s="63" t="str">
        <f t="shared" ref="AQ338:AQ401" si="129">IF(D339&lt;&gt;"",CONCATENATE("1520",AA339,AB339,AC339),"")</f>
        <v/>
      </c>
      <c r="AR338" s="152" t="str">
        <f t="shared" ref="AR338:AR401" si="130">IF(D339&lt;&gt;"",MOD(SUM(VALUE(MID($AQ$1,1,1)) * VALUE(MID(AQ338,1,1)),VALUE(MID($AQ$1,2,1)) * VALUE(MID(AQ338,2,1)),VALUE(MID($AQ$1,3,1)) * VALUE(MID(AQ338,3,1)),VALUE(MID($AQ$1,4,1)) * VALUE(MID(AQ338,4,1)),VALUE(MID($AQ$1,5,1)) * VALUE(MID(AQ338,5,1)),VALUE(MID($AQ$1,6,1)) * VALUE(MID(AQ338,6,1)),VALUE(MID($AQ$1,7,1)) * VALUE(MID(AQ338,7,1)),VALUE(MID($AQ$1,8,1)) * VALUE(MID(AQ338,8,1)),VALUE(MID($AQ$1,9,1)) * VALUE(MID(AQ338,9,1)),VALUE(MID($AQ$1,10,1)) * VALUE(MID(AQ338,10,1)),VALUE(MID($AQ$1,11,1)) * VALUE(MID(AQ338,11,1)),VALUE(MID($AQ$1,12,1)) * VALUE(MID(AQ338,12,1)),VALUE(MID($AQ$1,13,1)) * VALUE(MID(AQ338,13,1)),VALUE(MID($AQ$1,14,1)) * VALUE(MID(AQ338,14,1)),VALUE(MID($AQ$1,15,1)) * VALUE(MID(AQ338,15,1)),VALUE(MID($AQ$1,16,1)) * VALUE(MID(AQ338,16,1))),11),"")</f>
        <v/>
      </c>
      <c r="AS338" s="109" t="str">
        <f t="shared" ref="AS338:AS401" si="131">IF(D339&lt;&gt;"",CONCATENATE(AQ338,IF(AR338&gt;9,"1",AR338)),"")</f>
        <v/>
      </c>
      <c r="AT338" s="63" t="str">
        <f t="shared" ref="AT338:AT401" si="132">CONCATENATE(G338,REPT(" ",20-LEN(G338)))</f>
        <v xml:space="preserve">                    </v>
      </c>
    </row>
    <row r="339" spans="1:46" ht="12.75" x14ac:dyDescent="0.2">
      <c r="A339" s="63" t="str">
        <f t="shared" si="114"/>
        <v/>
      </c>
      <c r="B339" s="185"/>
      <c r="C339" s="184"/>
      <c r="D339" s="184"/>
      <c r="E339" s="184"/>
      <c r="F339" s="184"/>
      <c r="G339" s="185"/>
      <c r="H339" s="185"/>
      <c r="I339" s="186"/>
      <c r="J339" s="69"/>
      <c r="AA339" s="63">
        <f t="shared" si="115"/>
        <v>0</v>
      </c>
      <c r="AB339" s="153" t="str">
        <f t="shared" si="116"/>
        <v>000</v>
      </c>
      <c r="AC339" s="165" t="str">
        <f t="shared" si="117"/>
        <v>00000000</v>
      </c>
      <c r="AD339" s="98" t="str">
        <f t="shared" si="118"/>
        <v>00000000</v>
      </c>
      <c r="AE339" s="150">
        <f t="shared" si="119"/>
        <v>0</v>
      </c>
      <c r="AF339" s="150">
        <f t="shared" si="120"/>
        <v>0</v>
      </c>
      <c r="AG339" s="98" t="str">
        <f t="shared" si="121"/>
        <v>0000000000</v>
      </c>
      <c r="AH339" s="151">
        <f t="shared" si="122"/>
        <v>0</v>
      </c>
      <c r="AI339" s="98" t="str">
        <f t="shared" si="123"/>
        <v>00</v>
      </c>
      <c r="AJ339" s="98" t="str">
        <f t="shared" si="124"/>
        <v>000000000000</v>
      </c>
      <c r="AK339" s="161" t="str">
        <f t="shared" si="125"/>
        <v xml:space="preserve">                              </v>
      </c>
      <c r="AL339" s="154">
        <f t="shared" si="126"/>
        <v>0</v>
      </c>
      <c r="AM339" s="155">
        <f t="shared" si="127"/>
        <v>0</v>
      </c>
      <c r="AP339" s="63" t="str">
        <f t="shared" si="128"/>
        <v/>
      </c>
      <c r="AQ339" s="63" t="str">
        <f t="shared" si="129"/>
        <v/>
      </c>
      <c r="AR339" s="152" t="str">
        <f t="shared" si="130"/>
        <v/>
      </c>
      <c r="AS339" s="109" t="str">
        <f t="shared" si="131"/>
        <v/>
      </c>
      <c r="AT339" s="63" t="str">
        <f t="shared" si="132"/>
        <v xml:space="preserve">                    </v>
      </c>
    </row>
    <row r="340" spans="1:46" ht="12.75" x14ac:dyDescent="0.2">
      <c r="A340" s="63" t="str">
        <f t="shared" si="114"/>
        <v/>
      </c>
      <c r="B340" s="185"/>
      <c r="C340" s="184"/>
      <c r="D340" s="184"/>
      <c r="E340" s="184"/>
      <c r="F340" s="184"/>
      <c r="G340" s="185"/>
      <c r="H340" s="185"/>
      <c r="I340" s="186"/>
      <c r="J340" s="69"/>
      <c r="AA340" s="63">
        <f t="shared" si="115"/>
        <v>0</v>
      </c>
      <c r="AB340" s="153" t="str">
        <f t="shared" si="116"/>
        <v>000</v>
      </c>
      <c r="AC340" s="165" t="str">
        <f t="shared" si="117"/>
        <v>00000000</v>
      </c>
      <c r="AD340" s="98" t="str">
        <f t="shared" si="118"/>
        <v>00000000</v>
      </c>
      <c r="AE340" s="150">
        <f t="shared" si="119"/>
        <v>0</v>
      </c>
      <c r="AF340" s="150">
        <f t="shared" si="120"/>
        <v>0</v>
      </c>
      <c r="AG340" s="98" t="str">
        <f t="shared" si="121"/>
        <v>0000000000</v>
      </c>
      <c r="AH340" s="151">
        <f t="shared" si="122"/>
        <v>0</v>
      </c>
      <c r="AI340" s="98" t="str">
        <f t="shared" si="123"/>
        <v>00</v>
      </c>
      <c r="AJ340" s="98" t="str">
        <f t="shared" si="124"/>
        <v>000000000000</v>
      </c>
      <c r="AK340" s="161" t="str">
        <f t="shared" si="125"/>
        <v xml:space="preserve">                              </v>
      </c>
      <c r="AL340" s="154">
        <f t="shared" si="126"/>
        <v>0</v>
      </c>
      <c r="AM340" s="155">
        <f t="shared" si="127"/>
        <v>0</v>
      </c>
      <c r="AP340" s="63" t="str">
        <f t="shared" si="128"/>
        <v/>
      </c>
      <c r="AQ340" s="63" t="str">
        <f t="shared" si="129"/>
        <v/>
      </c>
      <c r="AR340" s="152" t="str">
        <f t="shared" si="130"/>
        <v/>
      </c>
      <c r="AS340" s="109" t="str">
        <f t="shared" si="131"/>
        <v/>
      </c>
      <c r="AT340" s="63" t="str">
        <f t="shared" si="132"/>
        <v xml:space="preserve">                    </v>
      </c>
    </row>
    <row r="341" spans="1:46" ht="12.75" x14ac:dyDescent="0.2">
      <c r="A341" s="63" t="str">
        <f t="shared" si="114"/>
        <v/>
      </c>
      <c r="B341" s="185"/>
      <c r="C341" s="184"/>
      <c r="D341" s="184"/>
      <c r="E341" s="184"/>
      <c r="F341" s="184"/>
      <c r="G341" s="185"/>
      <c r="H341" s="185"/>
      <c r="I341" s="186"/>
      <c r="J341" s="69"/>
      <c r="AA341" s="63">
        <f t="shared" si="115"/>
        <v>0</v>
      </c>
      <c r="AB341" s="153" t="str">
        <f t="shared" si="116"/>
        <v>000</v>
      </c>
      <c r="AC341" s="165" t="str">
        <f t="shared" si="117"/>
        <v>00000000</v>
      </c>
      <c r="AD341" s="98" t="str">
        <f t="shared" si="118"/>
        <v>00000000</v>
      </c>
      <c r="AE341" s="150">
        <f t="shared" si="119"/>
        <v>0</v>
      </c>
      <c r="AF341" s="150">
        <f t="shared" si="120"/>
        <v>0</v>
      </c>
      <c r="AG341" s="98" t="str">
        <f t="shared" si="121"/>
        <v>0000000000</v>
      </c>
      <c r="AH341" s="151">
        <f t="shared" si="122"/>
        <v>0</v>
      </c>
      <c r="AI341" s="98" t="str">
        <f t="shared" si="123"/>
        <v>00</v>
      </c>
      <c r="AJ341" s="98" t="str">
        <f t="shared" si="124"/>
        <v>000000000000</v>
      </c>
      <c r="AK341" s="161" t="str">
        <f t="shared" si="125"/>
        <v xml:space="preserve">                              </v>
      </c>
      <c r="AL341" s="154">
        <f t="shared" si="126"/>
        <v>0</v>
      </c>
      <c r="AM341" s="155">
        <f t="shared" si="127"/>
        <v>0</v>
      </c>
      <c r="AP341" s="63" t="str">
        <f t="shared" si="128"/>
        <v/>
      </c>
      <c r="AQ341" s="63" t="str">
        <f t="shared" si="129"/>
        <v/>
      </c>
      <c r="AR341" s="152" t="str">
        <f t="shared" si="130"/>
        <v/>
      </c>
      <c r="AS341" s="109" t="str">
        <f t="shared" si="131"/>
        <v/>
      </c>
      <c r="AT341" s="63" t="str">
        <f t="shared" si="132"/>
        <v xml:space="preserve">                    </v>
      </c>
    </row>
    <row r="342" spans="1:46" ht="12.75" x14ac:dyDescent="0.2">
      <c r="A342" s="63" t="str">
        <f t="shared" si="114"/>
        <v/>
      </c>
      <c r="B342" s="185"/>
      <c r="C342" s="184"/>
      <c r="D342" s="184"/>
      <c r="E342" s="184"/>
      <c r="F342" s="184"/>
      <c r="G342" s="185"/>
      <c r="H342" s="185"/>
      <c r="I342" s="186"/>
      <c r="J342" s="69"/>
      <c r="AA342" s="63">
        <f t="shared" si="115"/>
        <v>0</v>
      </c>
      <c r="AB342" s="153" t="str">
        <f t="shared" si="116"/>
        <v>000</v>
      </c>
      <c r="AC342" s="165" t="str">
        <f t="shared" si="117"/>
        <v>00000000</v>
      </c>
      <c r="AD342" s="98" t="str">
        <f t="shared" si="118"/>
        <v>00000000</v>
      </c>
      <c r="AE342" s="150">
        <f t="shared" si="119"/>
        <v>0</v>
      </c>
      <c r="AF342" s="150">
        <f t="shared" si="120"/>
        <v>0</v>
      </c>
      <c r="AG342" s="98" t="str">
        <f t="shared" si="121"/>
        <v>0000000000</v>
      </c>
      <c r="AH342" s="151">
        <f t="shared" si="122"/>
        <v>0</v>
      </c>
      <c r="AI342" s="98" t="str">
        <f t="shared" si="123"/>
        <v>00</v>
      </c>
      <c r="AJ342" s="98" t="str">
        <f t="shared" si="124"/>
        <v>000000000000</v>
      </c>
      <c r="AK342" s="161" t="str">
        <f t="shared" si="125"/>
        <v xml:space="preserve">                              </v>
      </c>
      <c r="AL342" s="154">
        <f t="shared" si="126"/>
        <v>0</v>
      </c>
      <c r="AM342" s="155">
        <f t="shared" si="127"/>
        <v>0</v>
      </c>
      <c r="AP342" s="63" t="str">
        <f t="shared" si="128"/>
        <v/>
      </c>
      <c r="AQ342" s="63" t="str">
        <f t="shared" si="129"/>
        <v/>
      </c>
      <c r="AR342" s="152" t="str">
        <f t="shared" si="130"/>
        <v/>
      </c>
      <c r="AS342" s="109" t="str">
        <f t="shared" si="131"/>
        <v/>
      </c>
      <c r="AT342" s="63" t="str">
        <f t="shared" si="132"/>
        <v xml:space="preserve">                    </v>
      </c>
    </row>
    <row r="343" spans="1:46" ht="12.75" x14ac:dyDescent="0.2">
      <c r="A343" s="63" t="str">
        <f t="shared" si="114"/>
        <v/>
      </c>
      <c r="B343" s="185"/>
      <c r="C343" s="184"/>
      <c r="D343" s="184"/>
      <c r="E343" s="184"/>
      <c r="F343" s="184"/>
      <c r="G343" s="185"/>
      <c r="H343" s="185"/>
      <c r="I343" s="186"/>
      <c r="J343" s="69"/>
      <c r="AA343" s="63">
        <f t="shared" si="115"/>
        <v>0</v>
      </c>
      <c r="AB343" s="153" t="str">
        <f t="shared" si="116"/>
        <v>000</v>
      </c>
      <c r="AC343" s="165" t="str">
        <f t="shared" si="117"/>
        <v>00000000</v>
      </c>
      <c r="AD343" s="98" t="str">
        <f t="shared" si="118"/>
        <v>00000000</v>
      </c>
      <c r="AE343" s="150">
        <f t="shared" si="119"/>
        <v>0</v>
      </c>
      <c r="AF343" s="150">
        <f t="shared" si="120"/>
        <v>0</v>
      </c>
      <c r="AG343" s="98" t="str">
        <f t="shared" si="121"/>
        <v>0000000000</v>
      </c>
      <c r="AH343" s="151">
        <f t="shared" si="122"/>
        <v>0</v>
      </c>
      <c r="AI343" s="98" t="str">
        <f t="shared" si="123"/>
        <v>00</v>
      </c>
      <c r="AJ343" s="98" t="str">
        <f t="shared" si="124"/>
        <v>000000000000</v>
      </c>
      <c r="AK343" s="161" t="str">
        <f t="shared" si="125"/>
        <v xml:space="preserve">                              </v>
      </c>
      <c r="AL343" s="154">
        <f t="shared" si="126"/>
        <v>0</v>
      </c>
      <c r="AM343" s="155">
        <f t="shared" si="127"/>
        <v>0</v>
      </c>
      <c r="AP343" s="63" t="str">
        <f t="shared" si="128"/>
        <v/>
      </c>
      <c r="AQ343" s="63" t="str">
        <f t="shared" si="129"/>
        <v/>
      </c>
      <c r="AR343" s="152" t="str">
        <f t="shared" si="130"/>
        <v/>
      </c>
      <c r="AS343" s="109" t="str">
        <f t="shared" si="131"/>
        <v/>
      </c>
      <c r="AT343" s="63" t="str">
        <f t="shared" si="132"/>
        <v xml:space="preserve">                    </v>
      </c>
    </row>
    <row r="344" spans="1:46" ht="12.75" x14ac:dyDescent="0.2">
      <c r="A344" s="63" t="str">
        <f t="shared" si="114"/>
        <v/>
      </c>
      <c r="B344" s="185"/>
      <c r="C344" s="184"/>
      <c r="D344" s="184"/>
      <c r="E344" s="184"/>
      <c r="F344" s="184"/>
      <c r="G344" s="185"/>
      <c r="H344" s="185"/>
      <c r="I344" s="186"/>
      <c r="J344" s="69"/>
      <c r="AA344" s="63">
        <f t="shared" si="115"/>
        <v>0</v>
      </c>
      <c r="AB344" s="153" t="str">
        <f t="shared" si="116"/>
        <v>000</v>
      </c>
      <c r="AC344" s="165" t="str">
        <f t="shared" si="117"/>
        <v>00000000</v>
      </c>
      <c r="AD344" s="98" t="str">
        <f t="shared" si="118"/>
        <v>00000000</v>
      </c>
      <c r="AE344" s="150">
        <f t="shared" si="119"/>
        <v>0</v>
      </c>
      <c r="AF344" s="150">
        <f t="shared" si="120"/>
        <v>0</v>
      </c>
      <c r="AG344" s="98" t="str">
        <f t="shared" si="121"/>
        <v>0000000000</v>
      </c>
      <c r="AH344" s="151">
        <f t="shared" si="122"/>
        <v>0</v>
      </c>
      <c r="AI344" s="98" t="str">
        <f t="shared" si="123"/>
        <v>00</v>
      </c>
      <c r="AJ344" s="98" t="str">
        <f t="shared" si="124"/>
        <v>000000000000</v>
      </c>
      <c r="AK344" s="161" t="str">
        <f t="shared" si="125"/>
        <v xml:space="preserve">                              </v>
      </c>
      <c r="AL344" s="154">
        <f t="shared" si="126"/>
        <v>0</v>
      </c>
      <c r="AM344" s="155">
        <f t="shared" si="127"/>
        <v>0</v>
      </c>
      <c r="AP344" s="63" t="str">
        <f t="shared" si="128"/>
        <v/>
      </c>
      <c r="AQ344" s="63" t="str">
        <f t="shared" si="129"/>
        <v/>
      </c>
      <c r="AR344" s="152" t="str">
        <f t="shared" si="130"/>
        <v/>
      </c>
      <c r="AS344" s="109" t="str">
        <f t="shared" si="131"/>
        <v/>
      </c>
      <c r="AT344" s="63" t="str">
        <f t="shared" si="132"/>
        <v xml:space="preserve">                    </v>
      </c>
    </row>
    <row r="345" spans="1:46" ht="12.75" x14ac:dyDescent="0.2">
      <c r="A345" s="63" t="str">
        <f t="shared" si="114"/>
        <v/>
      </c>
      <c r="B345" s="185"/>
      <c r="C345" s="184"/>
      <c r="D345" s="184"/>
      <c r="E345" s="184"/>
      <c r="F345" s="184"/>
      <c r="G345" s="185"/>
      <c r="H345" s="185"/>
      <c r="I345" s="186"/>
      <c r="J345" s="69"/>
      <c r="AA345" s="63">
        <f t="shared" si="115"/>
        <v>0</v>
      </c>
      <c r="AB345" s="153" t="str">
        <f t="shared" si="116"/>
        <v>000</v>
      </c>
      <c r="AC345" s="165" t="str">
        <f t="shared" si="117"/>
        <v>00000000</v>
      </c>
      <c r="AD345" s="98" t="str">
        <f t="shared" si="118"/>
        <v>00000000</v>
      </c>
      <c r="AE345" s="150">
        <f t="shared" si="119"/>
        <v>0</v>
      </c>
      <c r="AF345" s="150">
        <f t="shared" si="120"/>
        <v>0</v>
      </c>
      <c r="AG345" s="98" t="str">
        <f t="shared" si="121"/>
        <v>0000000000</v>
      </c>
      <c r="AH345" s="151">
        <f t="shared" si="122"/>
        <v>0</v>
      </c>
      <c r="AI345" s="98" t="str">
        <f t="shared" si="123"/>
        <v>00</v>
      </c>
      <c r="AJ345" s="98" t="str">
        <f t="shared" si="124"/>
        <v>000000000000</v>
      </c>
      <c r="AK345" s="161" t="str">
        <f t="shared" si="125"/>
        <v xml:space="preserve">                              </v>
      </c>
      <c r="AL345" s="154">
        <f t="shared" si="126"/>
        <v>0</v>
      </c>
      <c r="AM345" s="155">
        <f t="shared" si="127"/>
        <v>0</v>
      </c>
      <c r="AP345" s="63" t="str">
        <f t="shared" si="128"/>
        <v/>
      </c>
      <c r="AQ345" s="63" t="str">
        <f t="shared" si="129"/>
        <v/>
      </c>
      <c r="AR345" s="152" t="str">
        <f t="shared" si="130"/>
        <v/>
      </c>
      <c r="AS345" s="109" t="str">
        <f t="shared" si="131"/>
        <v/>
      </c>
      <c r="AT345" s="63" t="str">
        <f t="shared" si="132"/>
        <v xml:space="preserve">                    </v>
      </c>
    </row>
    <row r="346" spans="1:46" ht="12.75" x14ac:dyDescent="0.2">
      <c r="A346" s="63" t="str">
        <f t="shared" si="114"/>
        <v/>
      </c>
      <c r="B346" s="185"/>
      <c r="C346" s="184"/>
      <c r="D346" s="184"/>
      <c r="E346" s="184"/>
      <c r="F346" s="184"/>
      <c r="G346" s="185"/>
      <c r="H346" s="185"/>
      <c r="I346" s="186"/>
      <c r="J346" s="69"/>
      <c r="AA346" s="63">
        <f t="shared" si="115"/>
        <v>0</v>
      </c>
      <c r="AB346" s="153" t="str">
        <f t="shared" si="116"/>
        <v>000</v>
      </c>
      <c r="AC346" s="165" t="str">
        <f t="shared" si="117"/>
        <v>00000000</v>
      </c>
      <c r="AD346" s="98" t="str">
        <f t="shared" si="118"/>
        <v>00000000</v>
      </c>
      <c r="AE346" s="150">
        <f t="shared" si="119"/>
        <v>0</v>
      </c>
      <c r="AF346" s="150">
        <f t="shared" si="120"/>
        <v>0</v>
      </c>
      <c r="AG346" s="98" t="str">
        <f t="shared" si="121"/>
        <v>0000000000</v>
      </c>
      <c r="AH346" s="151">
        <f t="shared" si="122"/>
        <v>0</v>
      </c>
      <c r="AI346" s="98" t="str">
        <f t="shared" si="123"/>
        <v>00</v>
      </c>
      <c r="AJ346" s="98" t="str">
        <f t="shared" si="124"/>
        <v>000000000000</v>
      </c>
      <c r="AK346" s="161" t="str">
        <f t="shared" si="125"/>
        <v xml:space="preserve">                              </v>
      </c>
      <c r="AL346" s="154">
        <f t="shared" si="126"/>
        <v>0</v>
      </c>
      <c r="AM346" s="155">
        <f t="shared" si="127"/>
        <v>0</v>
      </c>
      <c r="AP346" s="63" t="str">
        <f t="shared" si="128"/>
        <v/>
      </c>
      <c r="AQ346" s="63" t="str">
        <f t="shared" si="129"/>
        <v/>
      </c>
      <c r="AR346" s="152" t="str">
        <f t="shared" si="130"/>
        <v/>
      </c>
      <c r="AS346" s="109" t="str">
        <f t="shared" si="131"/>
        <v/>
      </c>
      <c r="AT346" s="63" t="str">
        <f t="shared" si="132"/>
        <v xml:space="preserve">                    </v>
      </c>
    </row>
    <row r="347" spans="1:46" ht="12.75" x14ac:dyDescent="0.2">
      <c r="A347" s="63" t="str">
        <f t="shared" si="114"/>
        <v/>
      </c>
      <c r="B347" s="185"/>
      <c r="C347" s="184"/>
      <c r="D347" s="184"/>
      <c r="E347" s="184"/>
      <c r="F347" s="184"/>
      <c r="G347" s="185"/>
      <c r="H347" s="185"/>
      <c r="I347" s="186"/>
      <c r="J347" s="69"/>
      <c r="AA347" s="63">
        <f t="shared" si="115"/>
        <v>0</v>
      </c>
      <c r="AB347" s="153" t="str">
        <f t="shared" si="116"/>
        <v>000</v>
      </c>
      <c r="AC347" s="165" t="str">
        <f t="shared" si="117"/>
        <v>00000000</v>
      </c>
      <c r="AD347" s="98" t="str">
        <f t="shared" si="118"/>
        <v>00000000</v>
      </c>
      <c r="AE347" s="150">
        <f t="shared" si="119"/>
        <v>0</v>
      </c>
      <c r="AF347" s="150">
        <f t="shared" si="120"/>
        <v>0</v>
      </c>
      <c r="AG347" s="98" t="str">
        <f t="shared" si="121"/>
        <v>0000000000</v>
      </c>
      <c r="AH347" s="151">
        <f t="shared" si="122"/>
        <v>0</v>
      </c>
      <c r="AI347" s="98" t="str">
        <f t="shared" si="123"/>
        <v>00</v>
      </c>
      <c r="AJ347" s="98" t="str">
        <f t="shared" si="124"/>
        <v>000000000000</v>
      </c>
      <c r="AK347" s="161" t="str">
        <f t="shared" si="125"/>
        <v xml:space="preserve">                              </v>
      </c>
      <c r="AL347" s="154">
        <f t="shared" si="126"/>
        <v>0</v>
      </c>
      <c r="AM347" s="155">
        <f t="shared" si="127"/>
        <v>0</v>
      </c>
      <c r="AP347" s="63" t="str">
        <f t="shared" si="128"/>
        <v/>
      </c>
      <c r="AQ347" s="63" t="str">
        <f t="shared" si="129"/>
        <v/>
      </c>
      <c r="AR347" s="152" t="str">
        <f t="shared" si="130"/>
        <v/>
      </c>
      <c r="AS347" s="109" t="str">
        <f t="shared" si="131"/>
        <v/>
      </c>
      <c r="AT347" s="63" t="str">
        <f t="shared" si="132"/>
        <v xml:space="preserve">                    </v>
      </c>
    </row>
    <row r="348" spans="1:46" ht="12.75" x14ac:dyDescent="0.2">
      <c r="A348" s="63" t="str">
        <f t="shared" si="114"/>
        <v/>
      </c>
      <c r="B348" s="185"/>
      <c r="C348" s="184"/>
      <c r="D348" s="184"/>
      <c r="E348" s="184"/>
      <c r="F348" s="184"/>
      <c r="G348" s="185"/>
      <c r="H348" s="185"/>
      <c r="I348" s="186"/>
      <c r="J348" s="69"/>
      <c r="AA348" s="63">
        <f t="shared" si="115"/>
        <v>0</v>
      </c>
      <c r="AB348" s="153" t="str">
        <f t="shared" si="116"/>
        <v>000</v>
      </c>
      <c r="AC348" s="165" t="str">
        <f t="shared" si="117"/>
        <v>00000000</v>
      </c>
      <c r="AD348" s="98" t="str">
        <f t="shared" si="118"/>
        <v>00000000</v>
      </c>
      <c r="AE348" s="150">
        <f t="shared" si="119"/>
        <v>0</v>
      </c>
      <c r="AF348" s="150">
        <f t="shared" si="120"/>
        <v>0</v>
      </c>
      <c r="AG348" s="98" t="str">
        <f t="shared" si="121"/>
        <v>0000000000</v>
      </c>
      <c r="AH348" s="151">
        <f t="shared" si="122"/>
        <v>0</v>
      </c>
      <c r="AI348" s="98" t="str">
        <f t="shared" si="123"/>
        <v>00</v>
      </c>
      <c r="AJ348" s="98" t="str">
        <f t="shared" si="124"/>
        <v>000000000000</v>
      </c>
      <c r="AK348" s="161" t="str">
        <f t="shared" si="125"/>
        <v xml:space="preserve">                              </v>
      </c>
      <c r="AL348" s="154">
        <f t="shared" si="126"/>
        <v>0</v>
      </c>
      <c r="AM348" s="155">
        <f t="shared" si="127"/>
        <v>0</v>
      </c>
      <c r="AP348" s="63" t="str">
        <f t="shared" si="128"/>
        <v/>
      </c>
      <c r="AQ348" s="63" t="str">
        <f t="shared" si="129"/>
        <v/>
      </c>
      <c r="AR348" s="152" t="str">
        <f t="shared" si="130"/>
        <v/>
      </c>
      <c r="AS348" s="109" t="str">
        <f t="shared" si="131"/>
        <v/>
      </c>
      <c r="AT348" s="63" t="str">
        <f t="shared" si="132"/>
        <v xml:space="preserve">                    </v>
      </c>
    </row>
    <row r="349" spans="1:46" ht="12.75" x14ac:dyDescent="0.2">
      <c r="A349" s="63" t="str">
        <f t="shared" si="114"/>
        <v/>
      </c>
      <c r="B349" s="185"/>
      <c r="C349" s="184"/>
      <c r="D349" s="184"/>
      <c r="E349" s="184"/>
      <c r="F349" s="184"/>
      <c r="G349" s="185"/>
      <c r="H349" s="185"/>
      <c r="I349" s="186"/>
      <c r="J349" s="69"/>
      <c r="AA349" s="63">
        <f t="shared" si="115"/>
        <v>0</v>
      </c>
      <c r="AB349" s="153" t="str">
        <f t="shared" si="116"/>
        <v>000</v>
      </c>
      <c r="AC349" s="165" t="str">
        <f t="shared" si="117"/>
        <v>00000000</v>
      </c>
      <c r="AD349" s="98" t="str">
        <f t="shared" si="118"/>
        <v>00000000</v>
      </c>
      <c r="AE349" s="150">
        <f t="shared" si="119"/>
        <v>0</v>
      </c>
      <c r="AF349" s="150">
        <f t="shared" si="120"/>
        <v>0</v>
      </c>
      <c r="AG349" s="98" t="str">
        <f t="shared" si="121"/>
        <v>0000000000</v>
      </c>
      <c r="AH349" s="151">
        <f t="shared" si="122"/>
        <v>0</v>
      </c>
      <c r="AI349" s="98" t="str">
        <f t="shared" si="123"/>
        <v>00</v>
      </c>
      <c r="AJ349" s="98" t="str">
        <f t="shared" si="124"/>
        <v>000000000000</v>
      </c>
      <c r="AK349" s="161" t="str">
        <f t="shared" si="125"/>
        <v xml:space="preserve">                              </v>
      </c>
      <c r="AL349" s="154">
        <f t="shared" si="126"/>
        <v>0</v>
      </c>
      <c r="AM349" s="155">
        <f t="shared" si="127"/>
        <v>0</v>
      </c>
      <c r="AP349" s="63" t="str">
        <f t="shared" si="128"/>
        <v/>
      </c>
      <c r="AQ349" s="63" t="str">
        <f t="shared" si="129"/>
        <v/>
      </c>
      <c r="AR349" s="152" t="str">
        <f t="shared" si="130"/>
        <v/>
      </c>
      <c r="AS349" s="109" t="str">
        <f t="shared" si="131"/>
        <v/>
      </c>
      <c r="AT349" s="63" t="str">
        <f t="shared" si="132"/>
        <v xml:space="preserve">                    </v>
      </c>
    </row>
    <row r="350" spans="1:46" ht="12.75" x14ac:dyDescent="0.2">
      <c r="A350" s="63" t="str">
        <f t="shared" si="114"/>
        <v/>
      </c>
      <c r="B350" s="185"/>
      <c r="C350" s="184"/>
      <c r="D350" s="184"/>
      <c r="E350" s="184"/>
      <c r="F350" s="184"/>
      <c r="G350" s="185"/>
      <c r="H350" s="185"/>
      <c r="I350" s="186"/>
      <c r="J350" s="69"/>
      <c r="AA350" s="63">
        <f t="shared" si="115"/>
        <v>0</v>
      </c>
      <c r="AB350" s="153" t="str">
        <f t="shared" si="116"/>
        <v>000</v>
      </c>
      <c r="AC350" s="165" t="str">
        <f t="shared" si="117"/>
        <v>00000000</v>
      </c>
      <c r="AD350" s="98" t="str">
        <f t="shared" si="118"/>
        <v>00000000</v>
      </c>
      <c r="AE350" s="150">
        <f t="shared" si="119"/>
        <v>0</v>
      </c>
      <c r="AF350" s="150">
        <f t="shared" si="120"/>
        <v>0</v>
      </c>
      <c r="AG350" s="98" t="str">
        <f t="shared" si="121"/>
        <v>0000000000</v>
      </c>
      <c r="AH350" s="151">
        <f t="shared" si="122"/>
        <v>0</v>
      </c>
      <c r="AI350" s="98" t="str">
        <f t="shared" si="123"/>
        <v>00</v>
      </c>
      <c r="AJ350" s="98" t="str">
        <f t="shared" si="124"/>
        <v>000000000000</v>
      </c>
      <c r="AK350" s="161" t="str">
        <f t="shared" si="125"/>
        <v xml:space="preserve">                              </v>
      </c>
      <c r="AL350" s="154">
        <f t="shared" si="126"/>
        <v>0</v>
      </c>
      <c r="AM350" s="155">
        <f t="shared" si="127"/>
        <v>0</v>
      </c>
      <c r="AP350" s="63" t="str">
        <f t="shared" si="128"/>
        <v/>
      </c>
      <c r="AQ350" s="63" t="str">
        <f t="shared" si="129"/>
        <v/>
      </c>
      <c r="AR350" s="152" t="str">
        <f t="shared" si="130"/>
        <v/>
      </c>
      <c r="AS350" s="109" t="str">
        <f t="shared" si="131"/>
        <v/>
      </c>
      <c r="AT350" s="63" t="str">
        <f t="shared" si="132"/>
        <v xml:space="preserve">                    </v>
      </c>
    </row>
    <row r="351" spans="1:46" ht="12.75" x14ac:dyDescent="0.2">
      <c r="A351" s="63" t="str">
        <f t="shared" si="114"/>
        <v/>
      </c>
      <c r="B351" s="185"/>
      <c r="C351" s="184"/>
      <c r="D351" s="184"/>
      <c r="E351" s="184"/>
      <c r="F351" s="184"/>
      <c r="G351" s="185"/>
      <c r="H351" s="185"/>
      <c r="I351" s="186"/>
      <c r="J351" s="69"/>
      <c r="AA351" s="63">
        <f t="shared" si="115"/>
        <v>0</v>
      </c>
      <c r="AB351" s="153" t="str">
        <f t="shared" si="116"/>
        <v>000</v>
      </c>
      <c r="AC351" s="165" t="str">
        <f t="shared" si="117"/>
        <v>00000000</v>
      </c>
      <c r="AD351" s="98" t="str">
        <f t="shared" si="118"/>
        <v>00000000</v>
      </c>
      <c r="AE351" s="150">
        <f t="shared" si="119"/>
        <v>0</v>
      </c>
      <c r="AF351" s="150">
        <f t="shared" si="120"/>
        <v>0</v>
      </c>
      <c r="AG351" s="98" t="str">
        <f t="shared" si="121"/>
        <v>0000000000</v>
      </c>
      <c r="AH351" s="151">
        <f t="shared" si="122"/>
        <v>0</v>
      </c>
      <c r="AI351" s="98" t="str">
        <f t="shared" si="123"/>
        <v>00</v>
      </c>
      <c r="AJ351" s="98" t="str">
        <f t="shared" si="124"/>
        <v>000000000000</v>
      </c>
      <c r="AK351" s="161" t="str">
        <f t="shared" si="125"/>
        <v xml:space="preserve">                              </v>
      </c>
      <c r="AL351" s="154">
        <f t="shared" si="126"/>
        <v>0</v>
      </c>
      <c r="AM351" s="155">
        <f t="shared" si="127"/>
        <v>0</v>
      </c>
      <c r="AP351" s="63" t="str">
        <f t="shared" si="128"/>
        <v/>
      </c>
      <c r="AQ351" s="63" t="str">
        <f t="shared" si="129"/>
        <v/>
      </c>
      <c r="AR351" s="152" t="str">
        <f t="shared" si="130"/>
        <v/>
      </c>
      <c r="AS351" s="109" t="str">
        <f t="shared" si="131"/>
        <v/>
      </c>
      <c r="AT351" s="63" t="str">
        <f t="shared" si="132"/>
        <v xml:space="preserve">                    </v>
      </c>
    </row>
    <row r="352" spans="1:46" ht="12.75" x14ac:dyDescent="0.2">
      <c r="A352" s="63" t="str">
        <f t="shared" si="114"/>
        <v/>
      </c>
      <c r="B352" s="185"/>
      <c r="C352" s="184"/>
      <c r="D352" s="184"/>
      <c r="E352" s="184"/>
      <c r="F352" s="184"/>
      <c r="G352" s="185"/>
      <c r="H352" s="185"/>
      <c r="I352" s="186"/>
      <c r="J352" s="69"/>
      <c r="AA352" s="63">
        <f t="shared" si="115"/>
        <v>0</v>
      </c>
      <c r="AB352" s="153" t="str">
        <f t="shared" si="116"/>
        <v>000</v>
      </c>
      <c r="AC352" s="165" t="str">
        <f t="shared" si="117"/>
        <v>00000000</v>
      </c>
      <c r="AD352" s="98" t="str">
        <f t="shared" si="118"/>
        <v>00000000</v>
      </c>
      <c r="AE352" s="150">
        <f t="shared" si="119"/>
        <v>0</v>
      </c>
      <c r="AF352" s="150">
        <f t="shared" si="120"/>
        <v>0</v>
      </c>
      <c r="AG352" s="98" t="str">
        <f t="shared" si="121"/>
        <v>0000000000</v>
      </c>
      <c r="AH352" s="151">
        <f t="shared" si="122"/>
        <v>0</v>
      </c>
      <c r="AI352" s="98" t="str">
        <f t="shared" si="123"/>
        <v>00</v>
      </c>
      <c r="AJ352" s="98" t="str">
        <f t="shared" si="124"/>
        <v>000000000000</v>
      </c>
      <c r="AK352" s="161" t="str">
        <f t="shared" si="125"/>
        <v xml:space="preserve">                              </v>
      </c>
      <c r="AL352" s="154">
        <f t="shared" si="126"/>
        <v>0</v>
      </c>
      <c r="AM352" s="155">
        <f t="shared" si="127"/>
        <v>0</v>
      </c>
      <c r="AP352" s="63" t="str">
        <f t="shared" si="128"/>
        <v/>
      </c>
      <c r="AQ352" s="63" t="str">
        <f t="shared" si="129"/>
        <v/>
      </c>
      <c r="AR352" s="152" t="str">
        <f t="shared" si="130"/>
        <v/>
      </c>
      <c r="AS352" s="109" t="str">
        <f t="shared" si="131"/>
        <v/>
      </c>
      <c r="AT352" s="63" t="str">
        <f t="shared" si="132"/>
        <v xml:space="preserve">                    </v>
      </c>
    </row>
    <row r="353" spans="1:46" ht="12.75" x14ac:dyDescent="0.2">
      <c r="A353" s="63" t="str">
        <f t="shared" si="114"/>
        <v/>
      </c>
      <c r="B353" s="185"/>
      <c r="C353" s="184"/>
      <c r="D353" s="184"/>
      <c r="E353" s="184"/>
      <c r="F353" s="184"/>
      <c r="G353" s="185"/>
      <c r="H353" s="185"/>
      <c r="I353" s="186"/>
      <c r="J353" s="69"/>
      <c r="AA353" s="63">
        <f t="shared" si="115"/>
        <v>0</v>
      </c>
      <c r="AB353" s="153" t="str">
        <f t="shared" si="116"/>
        <v>000</v>
      </c>
      <c r="AC353" s="165" t="str">
        <f t="shared" si="117"/>
        <v>00000000</v>
      </c>
      <c r="AD353" s="98" t="str">
        <f t="shared" si="118"/>
        <v>00000000</v>
      </c>
      <c r="AE353" s="150">
        <f t="shared" si="119"/>
        <v>0</v>
      </c>
      <c r="AF353" s="150">
        <f t="shared" si="120"/>
        <v>0</v>
      </c>
      <c r="AG353" s="98" t="str">
        <f t="shared" si="121"/>
        <v>0000000000</v>
      </c>
      <c r="AH353" s="151">
        <f t="shared" si="122"/>
        <v>0</v>
      </c>
      <c r="AI353" s="98" t="str">
        <f t="shared" si="123"/>
        <v>00</v>
      </c>
      <c r="AJ353" s="98" t="str">
        <f t="shared" si="124"/>
        <v>000000000000</v>
      </c>
      <c r="AK353" s="161" t="str">
        <f t="shared" si="125"/>
        <v xml:space="preserve">                              </v>
      </c>
      <c r="AL353" s="154">
        <f t="shared" si="126"/>
        <v>0</v>
      </c>
      <c r="AM353" s="155">
        <f t="shared" si="127"/>
        <v>0</v>
      </c>
      <c r="AP353" s="63" t="str">
        <f t="shared" si="128"/>
        <v/>
      </c>
      <c r="AQ353" s="63" t="str">
        <f t="shared" si="129"/>
        <v/>
      </c>
      <c r="AR353" s="152" t="str">
        <f t="shared" si="130"/>
        <v/>
      </c>
      <c r="AS353" s="109" t="str">
        <f t="shared" si="131"/>
        <v/>
      </c>
      <c r="AT353" s="63" t="str">
        <f t="shared" si="132"/>
        <v xml:space="preserve">                    </v>
      </c>
    </row>
    <row r="354" spans="1:46" ht="12.75" x14ac:dyDescent="0.2">
      <c r="A354" s="63" t="str">
        <f t="shared" si="114"/>
        <v/>
      </c>
      <c r="B354" s="185"/>
      <c r="C354" s="184"/>
      <c r="D354" s="184"/>
      <c r="E354" s="184"/>
      <c r="F354" s="184"/>
      <c r="G354" s="185"/>
      <c r="H354" s="185"/>
      <c r="I354" s="186"/>
      <c r="J354" s="69"/>
      <c r="AA354" s="63">
        <f t="shared" si="115"/>
        <v>0</v>
      </c>
      <c r="AB354" s="153" t="str">
        <f t="shared" si="116"/>
        <v>000</v>
      </c>
      <c r="AC354" s="165" t="str">
        <f t="shared" si="117"/>
        <v>00000000</v>
      </c>
      <c r="AD354" s="98" t="str">
        <f t="shared" si="118"/>
        <v>00000000</v>
      </c>
      <c r="AE354" s="150">
        <f t="shared" si="119"/>
        <v>0</v>
      </c>
      <c r="AF354" s="150">
        <f t="shared" si="120"/>
        <v>0</v>
      </c>
      <c r="AG354" s="98" t="str">
        <f t="shared" si="121"/>
        <v>0000000000</v>
      </c>
      <c r="AH354" s="151">
        <f t="shared" si="122"/>
        <v>0</v>
      </c>
      <c r="AI354" s="98" t="str">
        <f t="shared" si="123"/>
        <v>00</v>
      </c>
      <c r="AJ354" s="98" t="str">
        <f t="shared" si="124"/>
        <v>000000000000</v>
      </c>
      <c r="AK354" s="161" t="str">
        <f t="shared" si="125"/>
        <v xml:space="preserve">                              </v>
      </c>
      <c r="AL354" s="154">
        <f t="shared" si="126"/>
        <v>0</v>
      </c>
      <c r="AM354" s="155">
        <f t="shared" si="127"/>
        <v>0</v>
      </c>
      <c r="AP354" s="63" t="str">
        <f t="shared" si="128"/>
        <v/>
      </c>
      <c r="AQ354" s="63" t="str">
        <f t="shared" si="129"/>
        <v/>
      </c>
      <c r="AR354" s="152" t="str">
        <f t="shared" si="130"/>
        <v/>
      </c>
      <c r="AS354" s="109" t="str">
        <f t="shared" si="131"/>
        <v/>
      </c>
      <c r="AT354" s="63" t="str">
        <f t="shared" si="132"/>
        <v xml:space="preserve">                    </v>
      </c>
    </row>
    <row r="355" spans="1:46" ht="12.75" x14ac:dyDescent="0.2">
      <c r="A355" s="63" t="str">
        <f t="shared" si="114"/>
        <v/>
      </c>
      <c r="B355" s="185"/>
      <c r="C355" s="184"/>
      <c r="D355" s="184"/>
      <c r="E355" s="184"/>
      <c r="F355" s="184"/>
      <c r="G355" s="185"/>
      <c r="H355" s="185"/>
      <c r="I355" s="186"/>
      <c r="J355" s="69"/>
      <c r="AA355" s="63">
        <f t="shared" si="115"/>
        <v>0</v>
      </c>
      <c r="AB355" s="153" t="str">
        <f t="shared" si="116"/>
        <v>000</v>
      </c>
      <c r="AC355" s="165" t="str">
        <f t="shared" si="117"/>
        <v>00000000</v>
      </c>
      <c r="AD355" s="98" t="str">
        <f t="shared" si="118"/>
        <v>00000000</v>
      </c>
      <c r="AE355" s="150">
        <f t="shared" si="119"/>
        <v>0</v>
      </c>
      <c r="AF355" s="150">
        <f t="shared" si="120"/>
        <v>0</v>
      </c>
      <c r="AG355" s="98" t="str">
        <f t="shared" si="121"/>
        <v>0000000000</v>
      </c>
      <c r="AH355" s="151">
        <f t="shared" si="122"/>
        <v>0</v>
      </c>
      <c r="AI355" s="98" t="str">
        <f t="shared" si="123"/>
        <v>00</v>
      </c>
      <c r="AJ355" s="98" t="str">
        <f t="shared" si="124"/>
        <v>000000000000</v>
      </c>
      <c r="AK355" s="161" t="str">
        <f t="shared" si="125"/>
        <v xml:space="preserve">                              </v>
      </c>
      <c r="AL355" s="154">
        <f t="shared" si="126"/>
        <v>0</v>
      </c>
      <c r="AM355" s="155">
        <f t="shared" si="127"/>
        <v>0</v>
      </c>
      <c r="AP355" s="63" t="str">
        <f t="shared" si="128"/>
        <v/>
      </c>
      <c r="AQ355" s="63" t="str">
        <f t="shared" si="129"/>
        <v/>
      </c>
      <c r="AR355" s="152" t="str">
        <f t="shared" si="130"/>
        <v/>
      </c>
      <c r="AS355" s="109" t="str">
        <f t="shared" si="131"/>
        <v/>
      </c>
      <c r="AT355" s="63" t="str">
        <f t="shared" si="132"/>
        <v xml:space="preserve">                    </v>
      </c>
    </row>
    <row r="356" spans="1:46" ht="12.75" x14ac:dyDescent="0.2">
      <c r="A356" s="63" t="str">
        <f t="shared" si="114"/>
        <v/>
      </c>
      <c r="B356" s="185"/>
      <c r="C356" s="184"/>
      <c r="D356" s="184"/>
      <c r="E356" s="184"/>
      <c r="F356" s="184"/>
      <c r="G356" s="185"/>
      <c r="H356" s="185"/>
      <c r="I356" s="186"/>
      <c r="J356" s="69"/>
      <c r="AA356" s="63">
        <f t="shared" si="115"/>
        <v>0</v>
      </c>
      <c r="AB356" s="153" t="str">
        <f t="shared" si="116"/>
        <v>000</v>
      </c>
      <c r="AC356" s="165" t="str">
        <f t="shared" si="117"/>
        <v>00000000</v>
      </c>
      <c r="AD356" s="98" t="str">
        <f t="shared" si="118"/>
        <v>00000000</v>
      </c>
      <c r="AE356" s="150">
        <f t="shared" si="119"/>
        <v>0</v>
      </c>
      <c r="AF356" s="150">
        <f t="shared" si="120"/>
        <v>0</v>
      </c>
      <c r="AG356" s="98" t="str">
        <f t="shared" si="121"/>
        <v>0000000000</v>
      </c>
      <c r="AH356" s="151">
        <f t="shared" si="122"/>
        <v>0</v>
      </c>
      <c r="AI356" s="98" t="str">
        <f t="shared" si="123"/>
        <v>00</v>
      </c>
      <c r="AJ356" s="98" t="str">
        <f t="shared" si="124"/>
        <v>000000000000</v>
      </c>
      <c r="AK356" s="161" t="str">
        <f t="shared" si="125"/>
        <v xml:space="preserve">                              </v>
      </c>
      <c r="AL356" s="154">
        <f t="shared" si="126"/>
        <v>0</v>
      </c>
      <c r="AM356" s="155">
        <f t="shared" si="127"/>
        <v>0</v>
      </c>
      <c r="AP356" s="63" t="str">
        <f t="shared" si="128"/>
        <v/>
      </c>
      <c r="AQ356" s="63" t="str">
        <f t="shared" si="129"/>
        <v/>
      </c>
      <c r="AR356" s="152" t="str">
        <f t="shared" si="130"/>
        <v/>
      </c>
      <c r="AS356" s="109" t="str">
        <f t="shared" si="131"/>
        <v/>
      </c>
      <c r="AT356" s="63" t="str">
        <f t="shared" si="132"/>
        <v xml:space="preserve">                    </v>
      </c>
    </row>
    <row r="357" spans="1:46" ht="12.75" x14ac:dyDescent="0.2">
      <c r="A357" s="63" t="str">
        <f t="shared" si="114"/>
        <v/>
      </c>
      <c r="B357" s="185"/>
      <c r="C357" s="184"/>
      <c r="D357" s="184"/>
      <c r="E357" s="184"/>
      <c r="F357" s="184"/>
      <c r="G357" s="185"/>
      <c r="H357" s="185"/>
      <c r="I357" s="186"/>
      <c r="J357" s="69"/>
      <c r="AA357" s="63">
        <f t="shared" si="115"/>
        <v>0</v>
      </c>
      <c r="AB357" s="153" t="str">
        <f t="shared" si="116"/>
        <v>000</v>
      </c>
      <c r="AC357" s="165" t="str">
        <f t="shared" si="117"/>
        <v>00000000</v>
      </c>
      <c r="AD357" s="98" t="str">
        <f t="shared" si="118"/>
        <v>00000000</v>
      </c>
      <c r="AE357" s="150">
        <f t="shared" si="119"/>
        <v>0</v>
      </c>
      <c r="AF357" s="150">
        <f t="shared" si="120"/>
        <v>0</v>
      </c>
      <c r="AG357" s="98" t="str">
        <f t="shared" si="121"/>
        <v>0000000000</v>
      </c>
      <c r="AH357" s="151">
        <f t="shared" si="122"/>
        <v>0</v>
      </c>
      <c r="AI357" s="98" t="str">
        <f t="shared" si="123"/>
        <v>00</v>
      </c>
      <c r="AJ357" s="98" t="str">
        <f t="shared" si="124"/>
        <v>000000000000</v>
      </c>
      <c r="AK357" s="161" t="str">
        <f t="shared" si="125"/>
        <v xml:space="preserve">                              </v>
      </c>
      <c r="AL357" s="154">
        <f t="shared" si="126"/>
        <v>0</v>
      </c>
      <c r="AM357" s="155">
        <f t="shared" si="127"/>
        <v>0</v>
      </c>
      <c r="AP357" s="63" t="str">
        <f t="shared" si="128"/>
        <v/>
      </c>
      <c r="AQ357" s="63" t="str">
        <f t="shared" si="129"/>
        <v/>
      </c>
      <c r="AR357" s="152" t="str">
        <f t="shared" si="130"/>
        <v/>
      </c>
      <c r="AS357" s="109" t="str">
        <f t="shared" si="131"/>
        <v/>
      </c>
      <c r="AT357" s="63" t="str">
        <f t="shared" si="132"/>
        <v xml:space="preserve">                    </v>
      </c>
    </row>
    <row r="358" spans="1:46" ht="12.75" x14ac:dyDescent="0.2">
      <c r="A358" s="63" t="str">
        <f t="shared" si="114"/>
        <v/>
      </c>
      <c r="B358" s="185"/>
      <c r="C358" s="184"/>
      <c r="D358" s="184"/>
      <c r="E358" s="184"/>
      <c r="F358" s="184"/>
      <c r="G358" s="185"/>
      <c r="H358" s="185"/>
      <c r="I358" s="186"/>
      <c r="J358" s="69"/>
      <c r="AA358" s="63">
        <f t="shared" si="115"/>
        <v>0</v>
      </c>
      <c r="AB358" s="153" t="str">
        <f t="shared" si="116"/>
        <v>000</v>
      </c>
      <c r="AC358" s="165" t="str">
        <f t="shared" si="117"/>
        <v>00000000</v>
      </c>
      <c r="AD358" s="98" t="str">
        <f t="shared" si="118"/>
        <v>00000000</v>
      </c>
      <c r="AE358" s="150">
        <f t="shared" si="119"/>
        <v>0</v>
      </c>
      <c r="AF358" s="150">
        <f t="shared" si="120"/>
        <v>0</v>
      </c>
      <c r="AG358" s="98" t="str">
        <f t="shared" si="121"/>
        <v>0000000000</v>
      </c>
      <c r="AH358" s="151">
        <f t="shared" si="122"/>
        <v>0</v>
      </c>
      <c r="AI358" s="98" t="str">
        <f t="shared" si="123"/>
        <v>00</v>
      </c>
      <c r="AJ358" s="98" t="str">
        <f t="shared" si="124"/>
        <v>000000000000</v>
      </c>
      <c r="AK358" s="161" t="str">
        <f t="shared" si="125"/>
        <v xml:space="preserve">                              </v>
      </c>
      <c r="AL358" s="154">
        <f t="shared" si="126"/>
        <v>0</v>
      </c>
      <c r="AM358" s="155">
        <f t="shared" si="127"/>
        <v>0</v>
      </c>
      <c r="AP358" s="63" t="str">
        <f t="shared" si="128"/>
        <v/>
      </c>
      <c r="AQ358" s="63" t="str">
        <f t="shared" si="129"/>
        <v/>
      </c>
      <c r="AR358" s="152" t="str">
        <f t="shared" si="130"/>
        <v/>
      </c>
      <c r="AS358" s="109" t="str">
        <f t="shared" si="131"/>
        <v/>
      </c>
      <c r="AT358" s="63" t="str">
        <f t="shared" si="132"/>
        <v xml:space="preserve">                    </v>
      </c>
    </row>
    <row r="359" spans="1:46" ht="12.75" x14ac:dyDescent="0.2">
      <c r="A359" s="63" t="str">
        <f t="shared" si="114"/>
        <v/>
      </c>
      <c r="B359" s="185"/>
      <c r="C359" s="184"/>
      <c r="D359" s="184"/>
      <c r="E359" s="184"/>
      <c r="F359" s="184"/>
      <c r="G359" s="185"/>
      <c r="H359" s="185"/>
      <c r="I359" s="186"/>
      <c r="J359" s="69"/>
      <c r="AA359" s="63">
        <f t="shared" si="115"/>
        <v>0</v>
      </c>
      <c r="AB359" s="153" t="str">
        <f t="shared" si="116"/>
        <v>000</v>
      </c>
      <c r="AC359" s="165" t="str">
        <f t="shared" si="117"/>
        <v>00000000</v>
      </c>
      <c r="AD359" s="98" t="str">
        <f t="shared" si="118"/>
        <v>00000000</v>
      </c>
      <c r="AE359" s="150">
        <f t="shared" si="119"/>
        <v>0</v>
      </c>
      <c r="AF359" s="150">
        <f t="shared" si="120"/>
        <v>0</v>
      </c>
      <c r="AG359" s="98" t="str">
        <f t="shared" si="121"/>
        <v>0000000000</v>
      </c>
      <c r="AH359" s="151">
        <f t="shared" si="122"/>
        <v>0</v>
      </c>
      <c r="AI359" s="98" t="str">
        <f t="shared" si="123"/>
        <v>00</v>
      </c>
      <c r="AJ359" s="98" t="str">
        <f t="shared" si="124"/>
        <v>000000000000</v>
      </c>
      <c r="AK359" s="161" t="str">
        <f t="shared" si="125"/>
        <v xml:space="preserve">                              </v>
      </c>
      <c r="AL359" s="154">
        <f t="shared" si="126"/>
        <v>0</v>
      </c>
      <c r="AM359" s="155">
        <f t="shared" si="127"/>
        <v>0</v>
      </c>
      <c r="AP359" s="63" t="str">
        <f t="shared" si="128"/>
        <v/>
      </c>
      <c r="AQ359" s="63" t="str">
        <f t="shared" si="129"/>
        <v/>
      </c>
      <c r="AR359" s="152" t="str">
        <f t="shared" si="130"/>
        <v/>
      </c>
      <c r="AS359" s="109" t="str">
        <f t="shared" si="131"/>
        <v/>
      </c>
      <c r="AT359" s="63" t="str">
        <f t="shared" si="132"/>
        <v xml:space="preserve">                    </v>
      </c>
    </row>
    <row r="360" spans="1:46" ht="12.75" x14ac:dyDescent="0.2">
      <c r="A360" s="63" t="str">
        <f t="shared" si="114"/>
        <v/>
      </c>
      <c r="B360" s="185"/>
      <c r="C360" s="184"/>
      <c r="D360" s="184"/>
      <c r="E360" s="184"/>
      <c r="F360" s="184"/>
      <c r="G360" s="185"/>
      <c r="H360" s="185"/>
      <c r="I360" s="186"/>
      <c r="J360" s="69"/>
      <c r="AA360" s="63">
        <f t="shared" si="115"/>
        <v>0</v>
      </c>
      <c r="AB360" s="153" t="str">
        <f t="shared" si="116"/>
        <v>000</v>
      </c>
      <c r="AC360" s="165" t="str">
        <f t="shared" si="117"/>
        <v>00000000</v>
      </c>
      <c r="AD360" s="98" t="str">
        <f t="shared" si="118"/>
        <v>00000000</v>
      </c>
      <c r="AE360" s="150">
        <f t="shared" si="119"/>
        <v>0</v>
      </c>
      <c r="AF360" s="150">
        <f t="shared" si="120"/>
        <v>0</v>
      </c>
      <c r="AG360" s="98" t="str">
        <f t="shared" si="121"/>
        <v>0000000000</v>
      </c>
      <c r="AH360" s="151">
        <f t="shared" si="122"/>
        <v>0</v>
      </c>
      <c r="AI360" s="98" t="str">
        <f t="shared" si="123"/>
        <v>00</v>
      </c>
      <c r="AJ360" s="98" t="str">
        <f t="shared" si="124"/>
        <v>000000000000</v>
      </c>
      <c r="AK360" s="161" t="str">
        <f t="shared" si="125"/>
        <v xml:space="preserve">                              </v>
      </c>
      <c r="AL360" s="154">
        <f t="shared" si="126"/>
        <v>0</v>
      </c>
      <c r="AM360" s="155">
        <f t="shared" si="127"/>
        <v>0</v>
      </c>
      <c r="AP360" s="63" t="str">
        <f t="shared" si="128"/>
        <v/>
      </c>
      <c r="AQ360" s="63" t="str">
        <f t="shared" si="129"/>
        <v/>
      </c>
      <c r="AR360" s="152" t="str">
        <f t="shared" si="130"/>
        <v/>
      </c>
      <c r="AS360" s="109" t="str">
        <f t="shared" si="131"/>
        <v/>
      </c>
      <c r="AT360" s="63" t="str">
        <f t="shared" si="132"/>
        <v xml:space="preserve">                    </v>
      </c>
    </row>
    <row r="361" spans="1:46" ht="12.75" x14ac:dyDescent="0.2">
      <c r="A361" s="63" t="str">
        <f t="shared" si="114"/>
        <v/>
      </c>
      <c r="B361" s="185"/>
      <c r="C361" s="184"/>
      <c r="D361" s="184"/>
      <c r="E361" s="184"/>
      <c r="F361" s="184"/>
      <c r="G361" s="185"/>
      <c r="H361" s="185"/>
      <c r="I361" s="186"/>
      <c r="J361" s="69"/>
      <c r="AA361" s="63">
        <f t="shared" si="115"/>
        <v>0</v>
      </c>
      <c r="AB361" s="153" t="str">
        <f t="shared" si="116"/>
        <v>000</v>
      </c>
      <c r="AC361" s="165" t="str">
        <f t="shared" si="117"/>
        <v>00000000</v>
      </c>
      <c r="AD361" s="98" t="str">
        <f t="shared" si="118"/>
        <v>00000000</v>
      </c>
      <c r="AE361" s="150">
        <f t="shared" si="119"/>
        <v>0</v>
      </c>
      <c r="AF361" s="150">
        <f t="shared" si="120"/>
        <v>0</v>
      </c>
      <c r="AG361" s="98" t="str">
        <f t="shared" si="121"/>
        <v>0000000000</v>
      </c>
      <c r="AH361" s="151">
        <f t="shared" si="122"/>
        <v>0</v>
      </c>
      <c r="AI361" s="98" t="str">
        <f t="shared" si="123"/>
        <v>00</v>
      </c>
      <c r="AJ361" s="98" t="str">
        <f t="shared" si="124"/>
        <v>000000000000</v>
      </c>
      <c r="AK361" s="161" t="str">
        <f t="shared" si="125"/>
        <v xml:space="preserve">                              </v>
      </c>
      <c r="AL361" s="154">
        <f t="shared" si="126"/>
        <v>0</v>
      </c>
      <c r="AM361" s="155">
        <f t="shared" si="127"/>
        <v>0</v>
      </c>
      <c r="AP361" s="63" t="str">
        <f t="shared" si="128"/>
        <v/>
      </c>
      <c r="AQ361" s="63" t="str">
        <f t="shared" si="129"/>
        <v/>
      </c>
      <c r="AR361" s="152" t="str">
        <f t="shared" si="130"/>
        <v/>
      </c>
      <c r="AS361" s="109" t="str">
        <f t="shared" si="131"/>
        <v/>
      </c>
      <c r="AT361" s="63" t="str">
        <f t="shared" si="132"/>
        <v xml:space="preserve">                    </v>
      </c>
    </row>
    <row r="362" spans="1:46" ht="12.75" x14ac:dyDescent="0.2">
      <c r="A362" s="63" t="str">
        <f t="shared" si="114"/>
        <v/>
      </c>
      <c r="B362" s="185"/>
      <c r="C362" s="184"/>
      <c r="D362" s="184"/>
      <c r="E362" s="184"/>
      <c r="F362" s="184"/>
      <c r="G362" s="185"/>
      <c r="H362" s="185"/>
      <c r="I362" s="186"/>
      <c r="J362" s="69"/>
      <c r="AA362" s="63">
        <f t="shared" si="115"/>
        <v>0</v>
      </c>
      <c r="AB362" s="153" t="str">
        <f t="shared" si="116"/>
        <v>000</v>
      </c>
      <c r="AC362" s="165" t="str">
        <f t="shared" si="117"/>
        <v>00000000</v>
      </c>
      <c r="AD362" s="98" t="str">
        <f t="shared" si="118"/>
        <v>00000000</v>
      </c>
      <c r="AE362" s="150">
        <f t="shared" si="119"/>
        <v>0</v>
      </c>
      <c r="AF362" s="150">
        <f t="shared" si="120"/>
        <v>0</v>
      </c>
      <c r="AG362" s="98" t="str">
        <f t="shared" si="121"/>
        <v>0000000000</v>
      </c>
      <c r="AH362" s="151">
        <f t="shared" si="122"/>
        <v>0</v>
      </c>
      <c r="AI362" s="98" t="str">
        <f t="shared" si="123"/>
        <v>00</v>
      </c>
      <c r="AJ362" s="98" t="str">
        <f t="shared" si="124"/>
        <v>000000000000</v>
      </c>
      <c r="AK362" s="161" t="str">
        <f t="shared" si="125"/>
        <v xml:space="preserve">                              </v>
      </c>
      <c r="AL362" s="154">
        <f t="shared" si="126"/>
        <v>0</v>
      </c>
      <c r="AM362" s="155">
        <f t="shared" si="127"/>
        <v>0</v>
      </c>
      <c r="AP362" s="63" t="str">
        <f t="shared" si="128"/>
        <v/>
      </c>
      <c r="AQ362" s="63" t="str">
        <f t="shared" si="129"/>
        <v/>
      </c>
      <c r="AR362" s="152" t="str">
        <f t="shared" si="130"/>
        <v/>
      </c>
      <c r="AS362" s="109" t="str">
        <f t="shared" si="131"/>
        <v/>
      </c>
      <c r="AT362" s="63" t="str">
        <f t="shared" si="132"/>
        <v xml:space="preserve">                    </v>
      </c>
    </row>
    <row r="363" spans="1:46" ht="12.75" x14ac:dyDescent="0.2">
      <c r="A363" s="63" t="str">
        <f t="shared" si="114"/>
        <v/>
      </c>
      <c r="B363" s="185"/>
      <c r="C363" s="184"/>
      <c r="D363" s="184"/>
      <c r="E363" s="184"/>
      <c r="F363" s="184"/>
      <c r="G363" s="185"/>
      <c r="H363" s="185"/>
      <c r="I363" s="186"/>
      <c r="J363" s="69"/>
      <c r="AA363" s="63">
        <f t="shared" si="115"/>
        <v>0</v>
      </c>
      <c r="AB363" s="153" t="str">
        <f t="shared" si="116"/>
        <v>000</v>
      </c>
      <c r="AC363" s="165" t="str">
        <f t="shared" si="117"/>
        <v>00000000</v>
      </c>
      <c r="AD363" s="98" t="str">
        <f t="shared" si="118"/>
        <v>00000000</v>
      </c>
      <c r="AE363" s="150">
        <f t="shared" si="119"/>
        <v>0</v>
      </c>
      <c r="AF363" s="150">
        <f t="shared" si="120"/>
        <v>0</v>
      </c>
      <c r="AG363" s="98" t="str">
        <f t="shared" si="121"/>
        <v>0000000000</v>
      </c>
      <c r="AH363" s="151">
        <f t="shared" si="122"/>
        <v>0</v>
      </c>
      <c r="AI363" s="98" t="str">
        <f t="shared" si="123"/>
        <v>00</v>
      </c>
      <c r="AJ363" s="98" t="str">
        <f t="shared" si="124"/>
        <v>000000000000</v>
      </c>
      <c r="AK363" s="161" t="str">
        <f t="shared" si="125"/>
        <v xml:space="preserve">                              </v>
      </c>
      <c r="AL363" s="154">
        <f t="shared" si="126"/>
        <v>0</v>
      </c>
      <c r="AM363" s="155">
        <f t="shared" si="127"/>
        <v>0</v>
      </c>
      <c r="AP363" s="63" t="str">
        <f t="shared" si="128"/>
        <v/>
      </c>
      <c r="AQ363" s="63" t="str">
        <f t="shared" si="129"/>
        <v/>
      </c>
      <c r="AR363" s="152" t="str">
        <f t="shared" si="130"/>
        <v/>
      </c>
      <c r="AS363" s="109" t="str">
        <f t="shared" si="131"/>
        <v/>
      </c>
      <c r="AT363" s="63" t="str">
        <f t="shared" si="132"/>
        <v xml:space="preserve">                    </v>
      </c>
    </row>
    <row r="364" spans="1:46" ht="12.75" x14ac:dyDescent="0.2">
      <c r="A364" s="63" t="str">
        <f t="shared" si="114"/>
        <v/>
      </c>
      <c r="B364" s="185"/>
      <c r="C364" s="184"/>
      <c r="D364" s="184"/>
      <c r="E364" s="184"/>
      <c r="F364" s="184"/>
      <c r="G364" s="185"/>
      <c r="H364" s="185"/>
      <c r="I364" s="186"/>
      <c r="J364" s="69"/>
      <c r="AA364" s="63">
        <f t="shared" si="115"/>
        <v>0</v>
      </c>
      <c r="AB364" s="153" t="str">
        <f t="shared" si="116"/>
        <v>000</v>
      </c>
      <c r="AC364" s="165" t="str">
        <f t="shared" si="117"/>
        <v>00000000</v>
      </c>
      <c r="AD364" s="98" t="str">
        <f t="shared" si="118"/>
        <v>00000000</v>
      </c>
      <c r="AE364" s="150">
        <f t="shared" si="119"/>
        <v>0</v>
      </c>
      <c r="AF364" s="150">
        <f t="shared" si="120"/>
        <v>0</v>
      </c>
      <c r="AG364" s="98" t="str">
        <f t="shared" si="121"/>
        <v>0000000000</v>
      </c>
      <c r="AH364" s="151">
        <f t="shared" si="122"/>
        <v>0</v>
      </c>
      <c r="AI364" s="98" t="str">
        <f t="shared" si="123"/>
        <v>00</v>
      </c>
      <c r="AJ364" s="98" t="str">
        <f t="shared" si="124"/>
        <v>000000000000</v>
      </c>
      <c r="AK364" s="161" t="str">
        <f t="shared" si="125"/>
        <v xml:space="preserve">                              </v>
      </c>
      <c r="AL364" s="154">
        <f t="shared" si="126"/>
        <v>0</v>
      </c>
      <c r="AM364" s="155">
        <f t="shared" si="127"/>
        <v>0</v>
      </c>
      <c r="AP364" s="63" t="str">
        <f t="shared" si="128"/>
        <v/>
      </c>
      <c r="AQ364" s="63" t="str">
        <f t="shared" si="129"/>
        <v/>
      </c>
      <c r="AR364" s="152" t="str">
        <f t="shared" si="130"/>
        <v/>
      </c>
      <c r="AS364" s="109" t="str">
        <f t="shared" si="131"/>
        <v/>
      </c>
      <c r="AT364" s="63" t="str">
        <f t="shared" si="132"/>
        <v xml:space="preserve">                    </v>
      </c>
    </row>
    <row r="365" spans="1:46" ht="12.75" x14ac:dyDescent="0.2">
      <c r="A365" s="63" t="str">
        <f t="shared" si="114"/>
        <v/>
      </c>
      <c r="B365" s="185"/>
      <c r="C365" s="184"/>
      <c r="D365" s="184"/>
      <c r="E365" s="184"/>
      <c r="F365" s="184"/>
      <c r="G365" s="185"/>
      <c r="H365" s="185"/>
      <c r="I365" s="186"/>
      <c r="J365" s="69"/>
      <c r="AA365" s="63">
        <f t="shared" si="115"/>
        <v>0</v>
      </c>
      <c r="AB365" s="153" t="str">
        <f t="shared" si="116"/>
        <v>000</v>
      </c>
      <c r="AC365" s="165" t="str">
        <f t="shared" si="117"/>
        <v>00000000</v>
      </c>
      <c r="AD365" s="98" t="str">
        <f t="shared" si="118"/>
        <v>00000000</v>
      </c>
      <c r="AE365" s="150">
        <f t="shared" si="119"/>
        <v>0</v>
      </c>
      <c r="AF365" s="150">
        <f t="shared" si="120"/>
        <v>0</v>
      </c>
      <c r="AG365" s="98" t="str">
        <f t="shared" si="121"/>
        <v>0000000000</v>
      </c>
      <c r="AH365" s="151">
        <f t="shared" si="122"/>
        <v>0</v>
      </c>
      <c r="AI365" s="98" t="str">
        <f t="shared" si="123"/>
        <v>00</v>
      </c>
      <c r="AJ365" s="98" t="str">
        <f t="shared" si="124"/>
        <v>000000000000</v>
      </c>
      <c r="AK365" s="161" t="str">
        <f t="shared" si="125"/>
        <v xml:space="preserve">                              </v>
      </c>
      <c r="AL365" s="154">
        <f t="shared" si="126"/>
        <v>0</v>
      </c>
      <c r="AM365" s="155">
        <f t="shared" si="127"/>
        <v>0</v>
      </c>
      <c r="AP365" s="63" t="str">
        <f t="shared" si="128"/>
        <v/>
      </c>
      <c r="AQ365" s="63" t="str">
        <f t="shared" si="129"/>
        <v/>
      </c>
      <c r="AR365" s="152" t="str">
        <f t="shared" si="130"/>
        <v/>
      </c>
      <c r="AS365" s="109" t="str">
        <f t="shared" si="131"/>
        <v/>
      </c>
      <c r="AT365" s="63" t="str">
        <f t="shared" si="132"/>
        <v xml:space="preserve">                    </v>
      </c>
    </row>
    <row r="366" spans="1:46" ht="12.75" x14ac:dyDescent="0.2">
      <c r="A366" s="63" t="str">
        <f t="shared" si="114"/>
        <v/>
      </c>
      <c r="B366" s="185"/>
      <c r="C366" s="184"/>
      <c r="D366" s="184"/>
      <c r="E366" s="184"/>
      <c r="F366" s="184"/>
      <c r="G366" s="185"/>
      <c r="H366" s="185"/>
      <c r="I366" s="186"/>
      <c r="J366" s="69"/>
      <c r="AA366" s="63">
        <f t="shared" si="115"/>
        <v>0</v>
      </c>
      <c r="AB366" s="153" t="str">
        <f t="shared" si="116"/>
        <v>000</v>
      </c>
      <c r="AC366" s="165" t="str">
        <f t="shared" si="117"/>
        <v>00000000</v>
      </c>
      <c r="AD366" s="98" t="str">
        <f t="shared" si="118"/>
        <v>00000000</v>
      </c>
      <c r="AE366" s="150">
        <f t="shared" si="119"/>
        <v>0</v>
      </c>
      <c r="AF366" s="150">
        <f t="shared" si="120"/>
        <v>0</v>
      </c>
      <c r="AG366" s="98" t="str">
        <f t="shared" si="121"/>
        <v>0000000000</v>
      </c>
      <c r="AH366" s="151">
        <f t="shared" si="122"/>
        <v>0</v>
      </c>
      <c r="AI366" s="98" t="str">
        <f t="shared" si="123"/>
        <v>00</v>
      </c>
      <c r="AJ366" s="98" t="str">
        <f t="shared" si="124"/>
        <v>000000000000</v>
      </c>
      <c r="AK366" s="161" t="str">
        <f t="shared" si="125"/>
        <v xml:space="preserve">                              </v>
      </c>
      <c r="AL366" s="154">
        <f t="shared" si="126"/>
        <v>0</v>
      </c>
      <c r="AM366" s="155">
        <f t="shared" si="127"/>
        <v>0</v>
      </c>
      <c r="AP366" s="63" t="str">
        <f t="shared" si="128"/>
        <v/>
      </c>
      <c r="AQ366" s="63" t="str">
        <f t="shared" si="129"/>
        <v/>
      </c>
      <c r="AR366" s="152" t="str">
        <f t="shared" si="130"/>
        <v/>
      </c>
      <c r="AS366" s="109" t="str">
        <f t="shared" si="131"/>
        <v/>
      </c>
      <c r="AT366" s="63" t="str">
        <f t="shared" si="132"/>
        <v xml:space="preserve">                    </v>
      </c>
    </row>
    <row r="367" spans="1:46" ht="12.75" x14ac:dyDescent="0.2">
      <c r="A367" s="63" t="str">
        <f t="shared" si="114"/>
        <v/>
      </c>
      <c r="B367" s="185"/>
      <c r="C367" s="184"/>
      <c r="D367" s="184"/>
      <c r="E367" s="184"/>
      <c r="F367" s="184"/>
      <c r="G367" s="185"/>
      <c r="H367" s="185"/>
      <c r="I367" s="186"/>
      <c r="J367" s="69"/>
      <c r="AA367" s="63">
        <f t="shared" si="115"/>
        <v>0</v>
      </c>
      <c r="AB367" s="153" t="str">
        <f t="shared" si="116"/>
        <v>000</v>
      </c>
      <c r="AC367" s="165" t="str">
        <f t="shared" si="117"/>
        <v>00000000</v>
      </c>
      <c r="AD367" s="98" t="str">
        <f t="shared" si="118"/>
        <v>00000000</v>
      </c>
      <c r="AE367" s="150">
        <f t="shared" si="119"/>
        <v>0</v>
      </c>
      <c r="AF367" s="150">
        <f t="shared" si="120"/>
        <v>0</v>
      </c>
      <c r="AG367" s="98" t="str">
        <f t="shared" si="121"/>
        <v>0000000000</v>
      </c>
      <c r="AH367" s="151">
        <f t="shared" si="122"/>
        <v>0</v>
      </c>
      <c r="AI367" s="98" t="str">
        <f t="shared" si="123"/>
        <v>00</v>
      </c>
      <c r="AJ367" s="98" t="str">
        <f t="shared" si="124"/>
        <v>000000000000</v>
      </c>
      <c r="AK367" s="161" t="str">
        <f t="shared" si="125"/>
        <v xml:space="preserve">                              </v>
      </c>
      <c r="AL367" s="154">
        <f t="shared" si="126"/>
        <v>0</v>
      </c>
      <c r="AM367" s="155">
        <f t="shared" si="127"/>
        <v>0</v>
      </c>
      <c r="AP367" s="63" t="str">
        <f t="shared" si="128"/>
        <v/>
      </c>
      <c r="AQ367" s="63" t="str">
        <f t="shared" si="129"/>
        <v/>
      </c>
      <c r="AR367" s="152" t="str">
        <f t="shared" si="130"/>
        <v/>
      </c>
      <c r="AS367" s="109" t="str">
        <f t="shared" si="131"/>
        <v/>
      </c>
      <c r="AT367" s="63" t="str">
        <f t="shared" si="132"/>
        <v xml:space="preserve">                    </v>
      </c>
    </row>
    <row r="368" spans="1:46" ht="12.75" x14ac:dyDescent="0.2">
      <c r="A368" s="63" t="str">
        <f t="shared" si="114"/>
        <v/>
      </c>
      <c r="B368" s="185"/>
      <c r="C368" s="184"/>
      <c r="D368" s="184"/>
      <c r="E368" s="184"/>
      <c r="F368" s="184"/>
      <c r="G368" s="185"/>
      <c r="H368" s="185"/>
      <c r="I368" s="186"/>
      <c r="J368" s="69"/>
      <c r="AA368" s="63">
        <f t="shared" si="115"/>
        <v>0</v>
      </c>
      <c r="AB368" s="153" t="str">
        <f t="shared" si="116"/>
        <v>000</v>
      </c>
      <c r="AC368" s="165" t="str">
        <f t="shared" si="117"/>
        <v>00000000</v>
      </c>
      <c r="AD368" s="98" t="str">
        <f t="shared" si="118"/>
        <v>00000000</v>
      </c>
      <c r="AE368" s="150">
        <f t="shared" si="119"/>
        <v>0</v>
      </c>
      <c r="AF368" s="150">
        <f t="shared" si="120"/>
        <v>0</v>
      </c>
      <c r="AG368" s="98" t="str">
        <f t="shared" si="121"/>
        <v>0000000000</v>
      </c>
      <c r="AH368" s="151">
        <f t="shared" si="122"/>
        <v>0</v>
      </c>
      <c r="AI368" s="98" t="str">
        <f t="shared" si="123"/>
        <v>00</v>
      </c>
      <c r="AJ368" s="98" t="str">
        <f t="shared" si="124"/>
        <v>000000000000</v>
      </c>
      <c r="AK368" s="161" t="str">
        <f t="shared" si="125"/>
        <v xml:space="preserve">                              </v>
      </c>
      <c r="AL368" s="154">
        <f t="shared" si="126"/>
        <v>0</v>
      </c>
      <c r="AM368" s="155">
        <f t="shared" si="127"/>
        <v>0</v>
      </c>
      <c r="AP368" s="63" t="str">
        <f t="shared" si="128"/>
        <v/>
      </c>
      <c r="AQ368" s="63" t="str">
        <f t="shared" si="129"/>
        <v/>
      </c>
      <c r="AR368" s="152" t="str">
        <f t="shared" si="130"/>
        <v/>
      </c>
      <c r="AS368" s="109" t="str">
        <f t="shared" si="131"/>
        <v/>
      </c>
      <c r="AT368" s="63" t="str">
        <f t="shared" si="132"/>
        <v xml:space="preserve">                    </v>
      </c>
    </row>
    <row r="369" spans="1:46" ht="12.75" x14ac:dyDescent="0.2">
      <c r="A369" s="63" t="str">
        <f t="shared" si="114"/>
        <v/>
      </c>
      <c r="B369" s="185"/>
      <c r="C369" s="184"/>
      <c r="D369" s="184"/>
      <c r="E369" s="184"/>
      <c r="F369" s="184"/>
      <c r="G369" s="185"/>
      <c r="H369" s="185"/>
      <c r="I369" s="186"/>
      <c r="J369" s="69"/>
      <c r="AA369" s="63">
        <f t="shared" si="115"/>
        <v>0</v>
      </c>
      <c r="AB369" s="153" t="str">
        <f t="shared" si="116"/>
        <v>000</v>
      </c>
      <c r="AC369" s="165" t="str">
        <f t="shared" si="117"/>
        <v>00000000</v>
      </c>
      <c r="AD369" s="98" t="str">
        <f t="shared" si="118"/>
        <v>00000000</v>
      </c>
      <c r="AE369" s="150">
        <f t="shared" si="119"/>
        <v>0</v>
      </c>
      <c r="AF369" s="150">
        <f t="shared" si="120"/>
        <v>0</v>
      </c>
      <c r="AG369" s="98" t="str">
        <f t="shared" si="121"/>
        <v>0000000000</v>
      </c>
      <c r="AH369" s="151">
        <f t="shared" si="122"/>
        <v>0</v>
      </c>
      <c r="AI369" s="98" t="str">
        <f t="shared" si="123"/>
        <v>00</v>
      </c>
      <c r="AJ369" s="98" t="str">
        <f t="shared" si="124"/>
        <v>000000000000</v>
      </c>
      <c r="AK369" s="161" t="str">
        <f t="shared" si="125"/>
        <v xml:space="preserve">                              </v>
      </c>
      <c r="AL369" s="154">
        <f t="shared" si="126"/>
        <v>0</v>
      </c>
      <c r="AM369" s="155">
        <f t="shared" si="127"/>
        <v>0</v>
      </c>
      <c r="AP369" s="63" t="str">
        <f t="shared" si="128"/>
        <v/>
      </c>
      <c r="AQ369" s="63" t="str">
        <f t="shared" si="129"/>
        <v/>
      </c>
      <c r="AR369" s="152" t="str">
        <f t="shared" si="130"/>
        <v/>
      </c>
      <c r="AS369" s="109" t="str">
        <f t="shared" si="131"/>
        <v/>
      </c>
      <c r="AT369" s="63" t="str">
        <f t="shared" si="132"/>
        <v xml:space="preserve">                    </v>
      </c>
    </row>
    <row r="370" spans="1:46" ht="12.75" x14ac:dyDescent="0.2">
      <c r="A370" s="63" t="str">
        <f t="shared" si="114"/>
        <v/>
      </c>
      <c r="B370" s="185"/>
      <c r="C370" s="184"/>
      <c r="D370" s="184"/>
      <c r="E370" s="184"/>
      <c r="F370" s="184"/>
      <c r="G370" s="185"/>
      <c r="H370" s="185"/>
      <c r="I370" s="186"/>
      <c r="J370" s="69"/>
      <c r="AA370" s="63">
        <f t="shared" si="115"/>
        <v>0</v>
      </c>
      <c r="AB370" s="153" t="str">
        <f t="shared" si="116"/>
        <v>000</v>
      </c>
      <c r="AC370" s="165" t="str">
        <f t="shared" si="117"/>
        <v>00000000</v>
      </c>
      <c r="AD370" s="98" t="str">
        <f t="shared" si="118"/>
        <v>00000000</v>
      </c>
      <c r="AE370" s="150">
        <f t="shared" si="119"/>
        <v>0</v>
      </c>
      <c r="AF370" s="150">
        <f t="shared" si="120"/>
        <v>0</v>
      </c>
      <c r="AG370" s="98" t="str">
        <f t="shared" si="121"/>
        <v>0000000000</v>
      </c>
      <c r="AH370" s="151">
        <f t="shared" si="122"/>
        <v>0</v>
      </c>
      <c r="AI370" s="98" t="str">
        <f t="shared" si="123"/>
        <v>00</v>
      </c>
      <c r="AJ370" s="98" t="str">
        <f t="shared" si="124"/>
        <v>000000000000</v>
      </c>
      <c r="AK370" s="161" t="str">
        <f t="shared" si="125"/>
        <v xml:space="preserve">                              </v>
      </c>
      <c r="AL370" s="154">
        <f t="shared" si="126"/>
        <v>0</v>
      </c>
      <c r="AM370" s="155">
        <f t="shared" si="127"/>
        <v>0</v>
      </c>
      <c r="AP370" s="63" t="str">
        <f t="shared" si="128"/>
        <v/>
      </c>
      <c r="AQ370" s="63" t="str">
        <f t="shared" si="129"/>
        <v/>
      </c>
      <c r="AR370" s="152" t="str">
        <f t="shared" si="130"/>
        <v/>
      </c>
      <c r="AS370" s="109" t="str">
        <f t="shared" si="131"/>
        <v/>
      </c>
      <c r="AT370" s="63" t="str">
        <f t="shared" si="132"/>
        <v xml:space="preserve">                    </v>
      </c>
    </row>
    <row r="371" spans="1:46" ht="12.75" x14ac:dyDescent="0.2">
      <c r="A371" s="63" t="str">
        <f t="shared" si="114"/>
        <v/>
      </c>
      <c r="B371" s="185"/>
      <c r="C371" s="184"/>
      <c r="D371" s="184"/>
      <c r="E371" s="184"/>
      <c r="F371" s="184"/>
      <c r="G371" s="185"/>
      <c r="H371" s="185"/>
      <c r="I371" s="186"/>
      <c r="J371" s="69"/>
      <c r="AA371" s="63">
        <f t="shared" si="115"/>
        <v>0</v>
      </c>
      <c r="AB371" s="153" t="str">
        <f t="shared" si="116"/>
        <v>000</v>
      </c>
      <c r="AC371" s="165" t="str">
        <f t="shared" si="117"/>
        <v>00000000</v>
      </c>
      <c r="AD371" s="98" t="str">
        <f t="shared" si="118"/>
        <v>00000000</v>
      </c>
      <c r="AE371" s="150">
        <f t="shared" si="119"/>
        <v>0</v>
      </c>
      <c r="AF371" s="150">
        <f t="shared" si="120"/>
        <v>0</v>
      </c>
      <c r="AG371" s="98" t="str">
        <f t="shared" si="121"/>
        <v>0000000000</v>
      </c>
      <c r="AH371" s="151">
        <f t="shared" si="122"/>
        <v>0</v>
      </c>
      <c r="AI371" s="98" t="str">
        <f t="shared" si="123"/>
        <v>00</v>
      </c>
      <c r="AJ371" s="98" t="str">
        <f t="shared" si="124"/>
        <v>000000000000</v>
      </c>
      <c r="AK371" s="161" t="str">
        <f t="shared" si="125"/>
        <v xml:space="preserve">                              </v>
      </c>
      <c r="AL371" s="154">
        <f t="shared" si="126"/>
        <v>0</v>
      </c>
      <c r="AM371" s="155">
        <f t="shared" si="127"/>
        <v>0</v>
      </c>
      <c r="AP371" s="63" t="str">
        <f t="shared" si="128"/>
        <v/>
      </c>
      <c r="AQ371" s="63" t="str">
        <f t="shared" si="129"/>
        <v/>
      </c>
      <c r="AR371" s="152" t="str">
        <f t="shared" si="130"/>
        <v/>
      </c>
      <c r="AS371" s="109" t="str">
        <f t="shared" si="131"/>
        <v/>
      </c>
      <c r="AT371" s="63" t="str">
        <f t="shared" si="132"/>
        <v xml:space="preserve">                    </v>
      </c>
    </row>
    <row r="372" spans="1:46" ht="12.75" x14ac:dyDescent="0.2">
      <c r="A372" s="63" t="str">
        <f t="shared" si="114"/>
        <v/>
      </c>
      <c r="B372" s="185"/>
      <c r="C372" s="184"/>
      <c r="D372" s="184"/>
      <c r="E372" s="184"/>
      <c r="F372" s="184"/>
      <c r="G372" s="185"/>
      <c r="H372" s="185"/>
      <c r="I372" s="186"/>
      <c r="J372" s="69"/>
      <c r="AA372" s="63">
        <f t="shared" si="115"/>
        <v>0</v>
      </c>
      <c r="AB372" s="153" t="str">
        <f t="shared" si="116"/>
        <v>000</v>
      </c>
      <c r="AC372" s="165" t="str">
        <f t="shared" si="117"/>
        <v>00000000</v>
      </c>
      <c r="AD372" s="98" t="str">
        <f t="shared" si="118"/>
        <v>00000000</v>
      </c>
      <c r="AE372" s="150">
        <f t="shared" si="119"/>
        <v>0</v>
      </c>
      <c r="AF372" s="150">
        <f t="shared" si="120"/>
        <v>0</v>
      </c>
      <c r="AG372" s="98" t="str">
        <f t="shared" si="121"/>
        <v>0000000000</v>
      </c>
      <c r="AH372" s="151">
        <f t="shared" si="122"/>
        <v>0</v>
      </c>
      <c r="AI372" s="98" t="str">
        <f t="shared" si="123"/>
        <v>00</v>
      </c>
      <c r="AJ372" s="98" t="str">
        <f t="shared" si="124"/>
        <v>000000000000</v>
      </c>
      <c r="AK372" s="161" t="str">
        <f t="shared" si="125"/>
        <v xml:space="preserve">                              </v>
      </c>
      <c r="AL372" s="154">
        <f t="shared" si="126"/>
        <v>0</v>
      </c>
      <c r="AM372" s="155">
        <f t="shared" si="127"/>
        <v>0</v>
      </c>
      <c r="AP372" s="63" t="str">
        <f t="shared" si="128"/>
        <v/>
      </c>
      <c r="AQ372" s="63" t="str">
        <f t="shared" si="129"/>
        <v/>
      </c>
      <c r="AR372" s="152" t="str">
        <f t="shared" si="130"/>
        <v/>
      </c>
      <c r="AS372" s="109" t="str">
        <f t="shared" si="131"/>
        <v/>
      </c>
      <c r="AT372" s="63" t="str">
        <f t="shared" si="132"/>
        <v xml:space="preserve">                    </v>
      </c>
    </row>
    <row r="373" spans="1:46" ht="12.75" x14ac:dyDescent="0.2">
      <c r="A373" s="63" t="str">
        <f t="shared" si="114"/>
        <v/>
      </c>
      <c r="B373" s="185"/>
      <c r="C373" s="184"/>
      <c r="D373" s="184"/>
      <c r="E373" s="184"/>
      <c r="F373" s="184"/>
      <c r="G373" s="185"/>
      <c r="H373" s="185"/>
      <c r="I373" s="186"/>
      <c r="J373" s="69"/>
      <c r="AA373" s="63">
        <f t="shared" si="115"/>
        <v>0</v>
      </c>
      <c r="AB373" s="153" t="str">
        <f t="shared" si="116"/>
        <v>000</v>
      </c>
      <c r="AC373" s="165" t="str">
        <f t="shared" si="117"/>
        <v>00000000</v>
      </c>
      <c r="AD373" s="98" t="str">
        <f t="shared" si="118"/>
        <v>00000000</v>
      </c>
      <c r="AE373" s="150">
        <f t="shared" si="119"/>
        <v>0</v>
      </c>
      <c r="AF373" s="150">
        <f t="shared" si="120"/>
        <v>0</v>
      </c>
      <c r="AG373" s="98" t="str">
        <f t="shared" si="121"/>
        <v>0000000000</v>
      </c>
      <c r="AH373" s="151">
        <f t="shared" si="122"/>
        <v>0</v>
      </c>
      <c r="AI373" s="98" t="str">
        <f t="shared" si="123"/>
        <v>00</v>
      </c>
      <c r="AJ373" s="98" t="str">
        <f t="shared" si="124"/>
        <v>000000000000</v>
      </c>
      <c r="AK373" s="161" t="str">
        <f t="shared" si="125"/>
        <v xml:space="preserve">                              </v>
      </c>
      <c r="AL373" s="154">
        <f t="shared" si="126"/>
        <v>0</v>
      </c>
      <c r="AM373" s="155">
        <f t="shared" si="127"/>
        <v>0</v>
      </c>
      <c r="AP373" s="63" t="str">
        <f t="shared" si="128"/>
        <v/>
      </c>
      <c r="AQ373" s="63" t="str">
        <f t="shared" si="129"/>
        <v/>
      </c>
      <c r="AR373" s="152" t="str">
        <f t="shared" si="130"/>
        <v/>
      </c>
      <c r="AS373" s="109" t="str">
        <f t="shared" si="131"/>
        <v/>
      </c>
      <c r="AT373" s="63" t="str">
        <f t="shared" si="132"/>
        <v xml:space="preserve">                    </v>
      </c>
    </row>
    <row r="374" spans="1:46" ht="12.75" x14ac:dyDescent="0.2">
      <c r="A374" s="63" t="str">
        <f t="shared" si="114"/>
        <v/>
      </c>
      <c r="B374" s="185"/>
      <c r="C374" s="184"/>
      <c r="D374" s="184"/>
      <c r="E374" s="184"/>
      <c r="F374" s="184"/>
      <c r="G374" s="185"/>
      <c r="H374" s="185"/>
      <c r="I374" s="186"/>
      <c r="J374" s="69"/>
      <c r="AA374" s="63">
        <f t="shared" si="115"/>
        <v>0</v>
      </c>
      <c r="AB374" s="153" t="str">
        <f t="shared" si="116"/>
        <v>000</v>
      </c>
      <c r="AC374" s="165" t="str">
        <f t="shared" si="117"/>
        <v>00000000</v>
      </c>
      <c r="AD374" s="98" t="str">
        <f t="shared" si="118"/>
        <v>00000000</v>
      </c>
      <c r="AE374" s="150">
        <f t="shared" si="119"/>
        <v>0</v>
      </c>
      <c r="AF374" s="150">
        <f t="shared" si="120"/>
        <v>0</v>
      </c>
      <c r="AG374" s="98" t="str">
        <f t="shared" si="121"/>
        <v>0000000000</v>
      </c>
      <c r="AH374" s="151">
        <f t="shared" si="122"/>
        <v>0</v>
      </c>
      <c r="AI374" s="98" t="str">
        <f t="shared" si="123"/>
        <v>00</v>
      </c>
      <c r="AJ374" s="98" t="str">
        <f t="shared" si="124"/>
        <v>000000000000</v>
      </c>
      <c r="AK374" s="161" t="str">
        <f t="shared" si="125"/>
        <v xml:space="preserve">                              </v>
      </c>
      <c r="AL374" s="154">
        <f t="shared" si="126"/>
        <v>0</v>
      </c>
      <c r="AM374" s="155">
        <f t="shared" si="127"/>
        <v>0</v>
      </c>
      <c r="AP374" s="63" t="str">
        <f t="shared" si="128"/>
        <v/>
      </c>
      <c r="AQ374" s="63" t="str">
        <f t="shared" si="129"/>
        <v/>
      </c>
      <c r="AR374" s="152" t="str">
        <f t="shared" si="130"/>
        <v/>
      </c>
      <c r="AS374" s="109" t="str">
        <f t="shared" si="131"/>
        <v/>
      </c>
      <c r="AT374" s="63" t="str">
        <f t="shared" si="132"/>
        <v xml:space="preserve">                    </v>
      </c>
    </row>
    <row r="375" spans="1:46" ht="12.75" x14ac:dyDescent="0.2">
      <c r="A375" s="63" t="str">
        <f t="shared" si="114"/>
        <v/>
      </c>
      <c r="B375" s="185"/>
      <c r="C375" s="184"/>
      <c r="D375" s="184"/>
      <c r="E375" s="184"/>
      <c r="F375" s="184"/>
      <c r="G375" s="185"/>
      <c r="H375" s="185"/>
      <c r="I375" s="186"/>
      <c r="J375" s="69"/>
      <c r="AA375" s="63">
        <f t="shared" si="115"/>
        <v>0</v>
      </c>
      <c r="AB375" s="153" t="str">
        <f t="shared" si="116"/>
        <v>000</v>
      </c>
      <c r="AC375" s="165" t="str">
        <f t="shared" si="117"/>
        <v>00000000</v>
      </c>
      <c r="AD375" s="98" t="str">
        <f t="shared" si="118"/>
        <v>00000000</v>
      </c>
      <c r="AE375" s="150">
        <f t="shared" si="119"/>
        <v>0</v>
      </c>
      <c r="AF375" s="150">
        <f t="shared" si="120"/>
        <v>0</v>
      </c>
      <c r="AG375" s="98" t="str">
        <f t="shared" si="121"/>
        <v>0000000000</v>
      </c>
      <c r="AH375" s="151">
        <f t="shared" si="122"/>
        <v>0</v>
      </c>
      <c r="AI375" s="98" t="str">
        <f t="shared" si="123"/>
        <v>00</v>
      </c>
      <c r="AJ375" s="98" t="str">
        <f t="shared" si="124"/>
        <v>000000000000</v>
      </c>
      <c r="AK375" s="161" t="str">
        <f t="shared" si="125"/>
        <v xml:space="preserve">                              </v>
      </c>
      <c r="AL375" s="154">
        <f t="shared" si="126"/>
        <v>0</v>
      </c>
      <c r="AM375" s="155">
        <f t="shared" si="127"/>
        <v>0</v>
      </c>
      <c r="AP375" s="63" t="str">
        <f t="shared" si="128"/>
        <v/>
      </c>
      <c r="AQ375" s="63" t="str">
        <f t="shared" si="129"/>
        <v/>
      </c>
      <c r="AR375" s="152" t="str">
        <f t="shared" si="130"/>
        <v/>
      </c>
      <c r="AS375" s="109" t="str">
        <f t="shared" si="131"/>
        <v/>
      </c>
      <c r="AT375" s="63" t="str">
        <f t="shared" si="132"/>
        <v xml:space="preserve">                    </v>
      </c>
    </row>
    <row r="376" spans="1:46" ht="12.75" x14ac:dyDescent="0.2">
      <c r="A376" s="63" t="str">
        <f t="shared" si="114"/>
        <v/>
      </c>
      <c r="B376" s="185"/>
      <c r="C376" s="184"/>
      <c r="D376" s="184"/>
      <c r="E376" s="184"/>
      <c r="F376" s="184"/>
      <c r="G376" s="185"/>
      <c r="H376" s="185"/>
      <c r="I376" s="186"/>
      <c r="J376" s="69"/>
      <c r="AA376" s="63">
        <f t="shared" si="115"/>
        <v>0</v>
      </c>
      <c r="AB376" s="153" t="str">
        <f t="shared" si="116"/>
        <v>000</v>
      </c>
      <c r="AC376" s="165" t="str">
        <f t="shared" si="117"/>
        <v>00000000</v>
      </c>
      <c r="AD376" s="98" t="str">
        <f t="shared" si="118"/>
        <v>00000000</v>
      </c>
      <c r="AE376" s="150">
        <f t="shared" si="119"/>
        <v>0</v>
      </c>
      <c r="AF376" s="150">
        <f t="shared" si="120"/>
        <v>0</v>
      </c>
      <c r="AG376" s="98" t="str">
        <f t="shared" si="121"/>
        <v>0000000000</v>
      </c>
      <c r="AH376" s="151">
        <f t="shared" si="122"/>
        <v>0</v>
      </c>
      <c r="AI376" s="98" t="str">
        <f t="shared" si="123"/>
        <v>00</v>
      </c>
      <c r="AJ376" s="98" t="str">
        <f t="shared" si="124"/>
        <v>000000000000</v>
      </c>
      <c r="AK376" s="161" t="str">
        <f t="shared" si="125"/>
        <v xml:space="preserve">                              </v>
      </c>
      <c r="AL376" s="154">
        <f t="shared" si="126"/>
        <v>0</v>
      </c>
      <c r="AM376" s="155">
        <f t="shared" si="127"/>
        <v>0</v>
      </c>
      <c r="AP376" s="63" t="str">
        <f t="shared" si="128"/>
        <v/>
      </c>
      <c r="AQ376" s="63" t="str">
        <f t="shared" si="129"/>
        <v/>
      </c>
      <c r="AR376" s="152" t="str">
        <f t="shared" si="130"/>
        <v/>
      </c>
      <c r="AS376" s="109" t="str">
        <f t="shared" si="131"/>
        <v/>
      </c>
      <c r="AT376" s="63" t="str">
        <f t="shared" si="132"/>
        <v xml:space="preserve">                    </v>
      </c>
    </row>
    <row r="377" spans="1:46" ht="12.75" x14ac:dyDescent="0.2">
      <c r="A377" s="63" t="str">
        <f t="shared" si="114"/>
        <v/>
      </c>
      <c r="B377" s="185"/>
      <c r="C377" s="184"/>
      <c r="D377" s="184"/>
      <c r="E377" s="184"/>
      <c r="F377" s="184"/>
      <c r="G377" s="185"/>
      <c r="H377" s="185"/>
      <c r="I377" s="186"/>
      <c r="J377" s="69"/>
      <c r="AA377" s="63">
        <f t="shared" si="115"/>
        <v>0</v>
      </c>
      <c r="AB377" s="153" t="str">
        <f t="shared" si="116"/>
        <v>000</v>
      </c>
      <c r="AC377" s="165" t="str">
        <f t="shared" si="117"/>
        <v>00000000</v>
      </c>
      <c r="AD377" s="98" t="str">
        <f t="shared" si="118"/>
        <v>00000000</v>
      </c>
      <c r="AE377" s="150">
        <f t="shared" si="119"/>
        <v>0</v>
      </c>
      <c r="AF377" s="150">
        <f t="shared" si="120"/>
        <v>0</v>
      </c>
      <c r="AG377" s="98" t="str">
        <f t="shared" si="121"/>
        <v>0000000000</v>
      </c>
      <c r="AH377" s="151">
        <f t="shared" si="122"/>
        <v>0</v>
      </c>
      <c r="AI377" s="98" t="str">
        <f t="shared" si="123"/>
        <v>00</v>
      </c>
      <c r="AJ377" s="98" t="str">
        <f t="shared" si="124"/>
        <v>000000000000</v>
      </c>
      <c r="AK377" s="161" t="str">
        <f t="shared" si="125"/>
        <v xml:space="preserve">                              </v>
      </c>
      <c r="AL377" s="154">
        <f t="shared" si="126"/>
        <v>0</v>
      </c>
      <c r="AM377" s="155">
        <f t="shared" si="127"/>
        <v>0</v>
      </c>
      <c r="AP377" s="63" t="str">
        <f t="shared" si="128"/>
        <v/>
      </c>
      <c r="AQ377" s="63" t="str">
        <f t="shared" si="129"/>
        <v/>
      </c>
      <c r="AR377" s="152" t="str">
        <f t="shared" si="130"/>
        <v/>
      </c>
      <c r="AS377" s="109" t="str">
        <f t="shared" si="131"/>
        <v/>
      </c>
      <c r="AT377" s="63" t="str">
        <f t="shared" si="132"/>
        <v xml:space="preserve">                    </v>
      </c>
    </row>
    <row r="378" spans="1:46" ht="12.75" x14ac:dyDescent="0.2">
      <c r="A378" s="63" t="str">
        <f t="shared" si="114"/>
        <v/>
      </c>
      <c r="B378" s="185"/>
      <c r="C378" s="184"/>
      <c r="D378" s="184"/>
      <c r="E378" s="184"/>
      <c r="F378" s="184"/>
      <c r="G378" s="185"/>
      <c r="H378" s="185"/>
      <c r="I378" s="186"/>
      <c r="J378" s="69"/>
      <c r="AA378" s="63">
        <f t="shared" si="115"/>
        <v>0</v>
      </c>
      <c r="AB378" s="153" t="str">
        <f t="shared" si="116"/>
        <v>000</v>
      </c>
      <c r="AC378" s="165" t="str">
        <f t="shared" si="117"/>
        <v>00000000</v>
      </c>
      <c r="AD378" s="98" t="str">
        <f t="shared" si="118"/>
        <v>00000000</v>
      </c>
      <c r="AE378" s="150">
        <f t="shared" si="119"/>
        <v>0</v>
      </c>
      <c r="AF378" s="150">
        <f t="shared" si="120"/>
        <v>0</v>
      </c>
      <c r="AG378" s="98" t="str">
        <f t="shared" si="121"/>
        <v>0000000000</v>
      </c>
      <c r="AH378" s="151">
        <f t="shared" si="122"/>
        <v>0</v>
      </c>
      <c r="AI378" s="98" t="str">
        <f t="shared" si="123"/>
        <v>00</v>
      </c>
      <c r="AJ378" s="98" t="str">
        <f t="shared" si="124"/>
        <v>000000000000</v>
      </c>
      <c r="AK378" s="161" t="str">
        <f t="shared" si="125"/>
        <v xml:space="preserve">                              </v>
      </c>
      <c r="AL378" s="154">
        <f t="shared" si="126"/>
        <v>0</v>
      </c>
      <c r="AM378" s="155">
        <f t="shared" si="127"/>
        <v>0</v>
      </c>
      <c r="AP378" s="63" t="str">
        <f t="shared" si="128"/>
        <v/>
      </c>
      <c r="AQ378" s="63" t="str">
        <f t="shared" si="129"/>
        <v/>
      </c>
      <c r="AR378" s="152" t="str">
        <f t="shared" si="130"/>
        <v/>
      </c>
      <c r="AS378" s="109" t="str">
        <f t="shared" si="131"/>
        <v/>
      </c>
      <c r="AT378" s="63" t="str">
        <f t="shared" si="132"/>
        <v xml:space="preserve">                    </v>
      </c>
    </row>
    <row r="379" spans="1:46" ht="12.75" x14ac:dyDescent="0.2">
      <c r="A379" s="63" t="str">
        <f t="shared" si="114"/>
        <v/>
      </c>
      <c r="B379" s="185"/>
      <c r="C379" s="184"/>
      <c r="D379" s="184"/>
      <c r="E379" s="184"/>
      <c r="F379" s="184"/>
      <c r="G379" s="185"/>
      <c r="H379" s="185"/>
      <c r="I379" s="186"/>
      <c r="J379" s="69"/>
      <c r="AA379" s="63">
        <f t="shared" si="115"/>
        <v>0</v>
      </c>
      <c r="AB379" s="153" t="str">
        <f t="shared" si="116"/>
        <v>000</v>
      </c>
      <c r="AC379" s="165" t="str">
        <f t="shared" si="117"/>
        <v>00000000</v>
      </c>
      <c r="AD379" s="98" t="str">
        <f t="shared" si="118"/>
        <v>00000000</v>
      </c>
      <c r="AE379" s="150">
        <f t="shared" si="119"/>
        <v>0</v>
      </c>
      <c r="AF379" s="150">
        <f t="shared" si="120"/>
        <v>0</v>
      </c>
      <c r="AG379" s="98" t="str">
        <f t="shared" si="121"/>
        <v>0000000000</v>
      </c>
      <c r="AH379" s="151">
        <f t="shared" si="122"/>
        <v>0</v>
      </c>
      <c r="AI379" s="98" t="str">
        <f t="shared" si="123"/>
        <v>00</v>
      </c>
      <c r="AJ379" s="98" t="str">
        <f t="shared" si="124"/>
        <v>000000000000</v>
      </c>
      <c r="AK379" s="161" t="str">
        <f t="shared" si="125"/>
        <v xml:space="preserve">                              </v>
      </c>
      <c r="AL379" s="154">
        <f t="shared" si="126"/>
        <v>0</v>
      </c>
      <c r="AM379" s="155">
        <f t="shared" si="127"/>
        <v>0</v>
      </c>
      <c r="AP379" s="63" t="str">
        <f t="shared" si="128"/>
        <v/>
      </c>
      <c r="AQ379" s="63" t="str">
        <f t="shared" si="129"/>
        <v/>
      </c>
      <c r="AR379" s="152" t="str">
        <f t="shared" si="130"/>
        <v/>
      </c>
      <c r="AS379" s="109" t="str">
        <f t="shared" si="131"/>
        <v/>
      </c>
      <c r="AT379" s="63" t="str">
        <f t="shared" si="132"/>
        <v xml:space="preserve">                    </v>
      </c>
    </row>
    <row r="380" spans="1:46" ht="12.75" x14ac:dyDescent="0.2">
      <c r="A380" s="63" t="str">
        <f t="shared" si="114"/>
        <v/>
      </c>
      <c r="B380" s="185"/>
      <c r="C380" s="184"/>
      <c r="D380" s="184"/>
      <c r="E380" s="184"/>
      <c r="F380" s="184"/>
      <c r="G380" s="185"/>
      <c r="H380" s="185"/>
      <c r="I380" s="186"/>
      <c r="J380" s="69"/>
      <c r="AA380" s="63">
        <f t="shared" si="115"/>
        <v>0</v>
      </c>
      <c r="AB380" s="153" t="str">
        <f t="shared" si="116"/>
        <v>000</v>
      </c>
      <c r="AC380" s="165" t="str">
        <f t="shared" si="117"/>
        <v>00000000</v>
      </c>
      <c r="AD380" s="98" t="str">
        <f t="shared" si="118"/>
        <v>00000000</v>
      </c>
      <c r="AE380" s="150">
        <f t="shared" si="119"/>
        <v>0</v>
      </c>
      <c r="AF380" s="150">
        <f t="shared" si="120"/>
        <v>0</v>
      </c>
      <c r="AG380" s="98" t="str">
        <f t="shared" si="121"/>
        <v>0000000000</v>
      </c>
      <c r="AH380" s="151">
        <f t="shared" si="122"/>
        <v>0</v>
      </c>
      <c r="AI380" s="98" t="str">
        <f t="shared" si="123"/>
        <v>00</v>
      </c>
      <c r="AJ380" s="98" t="str">
        <f t="shared" si="124"/>
        <v>000000000000</v>
      </c>
      <c r="AK380" s="161" t="str">
        <f t="shared" si="125"/>
        <v xml:space="preserve">                              </v>
      </c>
      <c r="AL380" s="154">
        <f t="shared" si="126"/>
        <v>0</v>
      </c>
      <c r="AM380" s="155">
        <f t="shared" si="127"/>
        <v>0</v>
      </c>
      <c r="AP380" s="63" t="str">
        <f t="shared" si="128"/>
        <v/>
      </c>
      <c r="AQ380" s="63" t="str">
        <f t="shared" si="129"/>
        <v/>
      </c>
      <c r="AR380" s="152" t="str">
        <f t="shared" si="130"/>
        <v/>
      </c>
      <c r="AS380" s="109" t="str">
        <f t="shared" si="131"/>
        <v/>
      </c>
      <c r="AT380" s="63" t="str">
        <f t="shared" si="132"/>
        <v xml:space="preserve">                    </v>
      </c>
    </row>
    <row r="381" spans="1:46" ht="12.75" x14ac:dyDescent="0.2">
      <c r="A381" s="63" t="str">
        <f t="shared" si="114"/>
        <v/>
      </c>
      <c r="B381" s="185"/>
      <c r="C381" s="184"/>
      <c r="D381" s="184"/>
      <c r="E381" s="184"/>
      <c r="F381" s="184"/>
      <c r="G381" s="185"/>
      <c r="H381" s="185"/>
      <c r="I381" s="186"/>
      <c r="J381" s="69"/>
      <c r="AA381" s="63">
        <f t="shared" si="115"/>
        <v>0</v>
      </c>
      <c r="AB381" s="153" t="str">
        <f t="shared" si="116"/>
        <v>000</v>
      </c>
      <c r="AC381" s="165" t="str">
        <f t="shared" si="117"/>
        <v>00000000</v>
      </c>
      <c r="AD381" s="98" t="str">
        <f t="shared" si="118"/>
        <v>00000000</v>
      </c>
      <c r="AE381" s="150">
        <f t="shared" si="119"/>
        <v>0</v>
      </c>
      <c r="AF381" s="150">
        <f t="shared" si="120"/>
        <v>0</v>
      </c>
      <c r="AG381" s="98" t="str">
        <f t="shared" si="121"/>
        <v>0000000000</v>
      </c>
      <c r="AH381" s="151">
        <f t="shared" si="122"/>
        <v>0</v>
      </c>
      <c r="AI381" s="98" t="str">
        <f t="shared" si="123"/>
        <v>00</v>
      </c>
      <c r="AJ381" s="98" t="str">
        <f t="shared" si="124"/>
        <v>000000000000</v>
      </c>
      <c r="AK381" s="161" t="str">
        <f t="shared" si="125"/>
        <v xml:space="preserve">                              </v>
      </c>
      <c r="AL381" s="154">
        <f t="shared" si="126"/>
        <v>0</v>
      </c>
      <c r="AM381" s="155">
        <f t="shared" si="127"/>
        <v>0</v>
      </c>
      <c r="AP381" s="63" t="str">
        <f t="shared" si="128"/>
        <v/>
      </c>
      <c r="AQ381" s="63" t="str">
        <f t="shared" si="129"/>
        <v/>
      </c>
      <c r="AR381" s="152" t="str">
        <f t="shared" si="130"/>
        <v/>
      </c>
      <c r="AS381" s="109" t="str">
        <f t="shared" si="131"/>
        <v/>
      </c>
      <c r="AT381" s="63" t="str">
        <f t="shared" si="132"/>
        <v xml:space="preserve">                    </v>
      </c>
    </row>
    <row r="382" spans="1:46" ht="12.75" x14ac:dyDescent="0.2">
      <c r="A382" s="63" t="str">
        <f t="shared" si="114"/>
        <v/>
      </c>
      <c r="B382" s="185"/>
      <c r="C382" s="184"/>
      <c r="D382" s="184"/>
      <c r="E382" s="184"/>
      <c r="F382" s="184"/>
      <c r="G382" s="185"/>
      <c r="H382" s="185"/>
      <c r="I382" s="186"/>
      <c r="J382" s="69"/>
      <c r="AA382" s="63">
        <f t="shared" si="115"/>
        <v>0</v>
      </c>
      <c r="AB382" s="153" t="str">
        <f t="shared" si="116"/>
        <v>000</v>
      </c>
      <c r="AC382" s="165" t="str">
        <f t="shared" si="117"/>
        <v>00000000</v>
      </c>
      <c r="AD382" s="98" t="str">
        <f t="shared" si="118"/>
        <v>00000000</v>
      </c>
      <c r="AE382" s="150">
        <f t="shared" si="119"/>
        <v>0</v>
      </c>
      <c r="AF382" s="150">
        <f t="shared" si="120"/>
        <v>0</v>
      </c>
      <c r="AG382" s="98" t="str">
        <f t="shared" si="121"/>
        <v>0000000000</v>
      </c>
      <c r="AH382" s="151">
        <f t="shared" si="122"/>
        <v>0</v>
      </c>
      <c r="AI382" s="98" t="str">
        <f t="shared" si="123"/>
        <v>00</v>
      </c>
      <c r="AJ382" s="98" t="str">
        <f t="shared" si="124"/>
        <v>000000000000</v>
      </c>
      <c r="AK382" s="161" t="str">
        <f t="shared" si="125"/>
        <v xml:space="preserve">                              </v>
      </c>
      <c r="AL382" s="154">
        <f t="shared" si="126"/>
        <v>0</v>
      </c>
      <c r="AM382" s="155">
        <f t="shared" si="127"/>
        <v>0</v>
      </c>
      <c r="AP382" s="63" t="str">
        <f t="shared" si="128"/>
        <v/>
      </c>
      <c r="AQ382" s="63" t="str">
        <f t="shared" si="129"/>
        <v/>
      </c>
      <c r="AR382" s="152" t="str">
        <f t="shared" si="130"/>
        <v/>
      </c>
      <c r="AS382" s="109" t="str">
        <f t="shared" si="131"/>
        <v/>
      </c>
      <c r="AT382" s="63" t="str">
        <f t="shared" si="132"/>
        <v xml:space="preserve">                    </v>
      </c>
    </row>
    <row r="383" spans="1:46" ht="12.75" x14ac:dyDescent="0.2">
      <c r="A383" s="63" t="str">
        <f t="shared" si="114"/>
        <v/>
      </c>
      <c r="B383" s="185"/>
      <c r="C383" s="184"/>
      <c r="D383" s="184"/>
      <c r="E383" s="184"/>
      <c r="F383" s="184"/>
      <c r="G383" s="185"/>
      <c r="H383" s="185"/>
      <c r="I383" s="186"/>
      <c r="J383" s="69"/>
      <c r="AA383" s="63">
        <f t="shared" si="115"/>
        <v>0</v>
      </c>
      <c r="AB383" s="153" t="str">
        <f t="shared" si="116"/>
        <v>000</v>
      </c>
      <c r="AC383" s="165" t="str">
        <f t="shared" si="117"/>
        <v>00000000</v>
      </c>
      <c r="AD383" s="98" t="str">
        <f t="shared" si="118"/>
        <v>00000000</v>
      </c>
      <c r="AE383" s="150">
        <f t="shared" si="119"/>
        <v>0</v>
      </c>
      <c r="AF383" s="150">
        <f t="shared" si="120"/>
        <v>0</v>
      </c>
      <c r="AG383" s="98" t="str">
        <f t="shared" si="121"/>
        <v>0000000000</v>
      </c>
      <c r="AH383" s="151">
        <f t="shared" si="122"/>
        <v>0</v>
      </c>
      <c r="AI383" s="98" t="str">
        <f t="shared" si="123"/>
        <v>00</v>
      </c>
      <c r="AJ383" s="98" t="str">
        <f t="shared" si="124"/>
        <v>000000000000</v>
      </c>
      <c r="AK383" s="161" t="str">
        <f t="shared" si="125"/>
        <v xml:space="preserve">                              </v>
      </c>
      <c r="AL383" s="154">
        <f t="shared" si="126"/>
        <v>0</v>
      </c>
      <c r="AM383" s="155">
        <f t="shared" si="127"/>
        <v>0</v>
      </c>
      <c r="AP383" s="63" t="str">
        <f t="shared" si="128"/>
        <v/>
      </c>
      <c r="AQ383" s="63" t="str">
        <f t="shared" si="129"/>
        <v/>
      </c>
      <c r="AR383" s="152" t="str">
        <f t="shared" si="130"/>
        <v/>
      </c>
      <c r="AS383" s="109" t="str">
        <f t="shared" si="131"/>
        <v/>
      </c>
      <c r="AT383" s="63" t="str">
        <f t="shared" si="132"/>
        <v xml:space="preserve">                    </v>
      </c>
    </row>
    <row r="384" spans="1:46" ht="12.75" x14ac:dyDescent="0.2">
      <c r="A384" s="63" t="str">
        <f t="shared" si="114"/>
        <v/>
      </c>
      <c r="B384" s="185"/>
      <c r="C384" s="184"/>
      <c r="D384" s="184"/>
      <c r="E384" s="184"/>
      <c r="F384" s="184"/>
      <c r="G384" s="185"/>
      <c r="H384" s="185"/>
      <c r="I384" s="186"/>
      <c r="J384" s="69"/>
      <c r="AA384" s="63">
        <f t="shared" si="115"/>
        <v>0</v>
      </c>
      <c r="AB384" s="153" t="str">
        <f t="shared" si="116"/>
        <v>000</v>
      </c>
      <c r="AC384" s="165" t="str">
        <f t="shared" si="117"/>
        <v>00000000</v>
      </c>
      <c r="AD384" s="98" t="str">
        <f t="shared" si="118"/>
        <v>00000000</v>
      </c>
      <c r="AE384" s="150">
        <f t="shared" si="119"/>
        <v>0</v>
      </c>
      <c r="AF384" s="150">
        <f t="shared" si="120"/>
        <v>0</v>
      </c>
      <c r="AG384" s="98" t="str">
        <f t="shared" si="121"/>
        <v>0000000000</v>
      </c>
      <c r="AH384" s="151">
        <f t="shared" si="122"/>
        <v>0</v>
      </c>
      <c r="AI384" s="98" t="str">
        <f t="shared" si="123"/>
        <v>00</v>
      </c>
      <c r="AJ384" s="98" t="str">
        <f t="shared" si="124"/>
        <v>000000000000</v>
      </c>
      <c r="AK384" s="161" t="str">
        <f t="shared" si="125"/>
        <v xml:space="preserve">                              </v>
      </c>
      <c r="AL384" s="154">
        <f t="shared" si="126"/>
        <v>0</v>
      </c>
      <c r="AM384" s="155">
        <f t="shared" si="127"/>
        <v>0</v>
      </c>
      <c r="AP384" s="63" t="str">
        <f t="shared" si="128"/>
        <v/>
      </c>
      <c r="AQ384" s="63" t="str">
        <f t="shared" si="129"/>
        <v/>
      </c>
      <c r="AR384" s="152" t="str">
        <f t="shared" si="130"/>
        <v/>
      </c>
      <c r="AS384" s="109" t="str">
        <f t="shared" si="131"/>
        <v/>
      </c>
      <c r="AT384" s="63" t="str">
        <f t="shared" si="132"/>
        <v xml:space="preserve">                    </v>
      </c>
    </row>
    <row r="385" spans="1:46" ht="12.75" x14ac:dyDescent="0.2">
      <c r="A385" s="63" t="str">
        <f t="shared" si="114"/>
        <v/>
      </c>
      <c r="B385" s="185"/>
      <c r="C385" s="184"/>
      <c r="D385" s="184"/>
      <c r="E385" s="184"/>
      <c r="F385" s="184"/>
      <c r="G385" s="185"/>
      <c r="H385" s="185"/>
      <c r="I385" s="186"/>
      <c r="J385" s="69"/>
      <c r="AA385" s="63">
        <f t="shared" si="115"/>
        <v>0</v>
      </c>
      <c r="AB385" s="153" t="str">
        <f t="shared" si="116"/>
        <v>000</v>
      </c>
      <c r="AC385" s="165" t="str">
        <f t="shared" si="117"/>
        <v>00000000</v>
      </c>
      <c r="AD385" s="98" t="str">
        <f t="shared" si="118"/>
        <v>00000000</v>
      </c>
      <c r="AE385" s="150">
        <f t="shared" si="119"/>
        <v>0</v>
      </c>
      <c r="AF385" s="150">
        <f t="shared" si="120"/>
        <v>0</v>
      </c>
      <c r="AG385" s="98" t="str">
        <f t="shared" si="121"/>
        <v>0000000000</v>
      </c>
      <c r="AH385" s="151">
        <f t="shared" si="122"/>
        <v>0</v>
      </c>
      <c r="AI385" s="98" t="str">
        <f t="shared" si="123"/>
        <v>00</v>
      </c>
      <c r="AJ385" s="98" t="str">
        <f t="shared" si="124"/>
        <v>000000000000</v>
      </c>
      <c r="AK385" s="161" t="str">
        <f t="shared" si="125"/>
        <v xml:space="preserve">                              </v>
      </c>
      <c r="AL385" s="154">
        <f t="shared" si="126"/>
        <v>0</v>
      </c>
      <c r="AM385" s="155">
        <f t="shared" si="127"/>
        <v>0</v>
      </c>
      <c r="AP385" s="63" t="str">
        <f t="shared" si="128"/>
        <v/>
      </c>
      <c r="AQ385" s="63" t="str">
        <f t="shared" si="129"/>
        <v/>
      </c>
      <c r="AR385" s="152" t="str">
        <f t="shared" si="130"/>
        <v/>
      </c>
      <c r="AS385" s="109" t="str">
        <f t="shared" si="131"/>
        <v/>
      </c>
      <c r="AT385" s="63" t="str">
        <f t="shared" si="132"/>
        <v xml:space="preserve">                    </v>
      </c>
    </row>
    <row r="386" spans="1:46" ht="12.75" x14ac:dyDescent="0.2">
      <c r="A386" s="63" t="str">
        <f t="shared" si="114"/>
        <v/>
      </c>
      <c r="B386" s="185"/>
      <c r="C386" s="184"/>
      <c r="D386" s="184"/>
      <c r="E386" s="184"/>
      <c r="F386" s="184"/>
      <c r="G386" s="185"/>
      <c r="H386" s="185"/>
      <c r="I386" s="186"/>
      <c r="J386" s="69"/>
      <c r="AA386" s="63">
        <f t="shared" si="115"/>
        <v>0</v>
      </c>
      <c r="AB386" s="153" t="str">
        <f t="shared" si="116"/>
        <v>000</v>
      </c>
      <c r="AC386" s="165" t="str">
        <f t="shared" si="117"/>
        <v>00000000</v>
      </c>
      <c r="AD386" s="98" t="str">
        <f t="shared" si="118"/>
        <v>00000000</v>
      </c>
      <c r="AE386" s="150">
        <f t="shared" si="119"/>
        <v>0</v>
      </c>
      <c r="AF386" s="150">
        <f t="shared" si="120"/>
        <v>0</v>
      </c>
      <c r="AG386" s="98" t="str">
        <f t="shared" si="121"/>
        <v>0000000000</v>
      </c>
      <c r="AH386" s="151">
        <f t="shared" si="122"/>
        <v>0</v>
      </c>
      <c r="AI386" s="98" t="str">
        <f t="shared" si="123"/>
        <v>00</v>
      </c>
      <c r="AJ386" s="98" t="str">
        <f t="shared" si="124"/>
        <v>000000000000</v>
      </c>
      <c r="AK386" s="161" t="str">
        <f t="shared" si="125"/>
        <v xml:space="preserve">                              </v>
      </c>
      <c r="AL386" s="154">
        <f t="shared" si="126"/>
        <v>0</v>
      </c>
      <c r="AM386" s="155">
        <f t="shared" si="127"/>
        <v>0</v>
      </c>
      <c r="AP386" s="63" t="str">
        <f t="shared" si="128"/>
        <v/>
      </c>
      <c r="AQ386" s="63" t="str">
        <f t="shared" si="129"/>
        <v/>
      </c>
      <c r="AR386" s="152" t="str">
        <f t="shared" si="130"/>
        <v/>
      </c>
      <c r="AS386" s="109" t="str">
        <f t="shared" si="131"/>
        <v/>
      </c>
      <c r="AT386" s="63" t="str">
        <f t="shared" si="132"/>
        <v xml:space="preserve">                    </v>
      </c>
    </row>
    <row r="387" spans="1:46" ht="12.75" x14ac:dyDescent="0.2">
      <c r="A387" s="63" t="str">
        <f t="shared" si="114"/>
        <v/>
      </c>
      <c r="B387" s="185"/>
      <c r="C387" s="184"/>
      <c r="D387" s="184"/>
      <c r="E387" s="184"/>
      <c r="F387" s="184"/>
      <c r="G387" s="185"/>
      <c r="H387" s="185"/>
      <c r="I387" s="186"/>
      <c r="J387" s="69"/>
      <c r="AA387" s="63">
        <f t="shared" si="115"/>
        <v>0</v>
      </c>
      <c r="AB387" s="153" t="str">
        <f t="shared" si="116"/>
        <v>000</v>
      </c>
      <c r="AC387" s="165" t="str">
        <f t="shared" si="117"/>
        <v>00000000</v>
      </c>
      <c r="AD387" s="98" t="str">
        <f t="shared" si="118"/>
        <v>00000000</v>
      </c>
      <c r="AE387" s="150">
        <f t="shared" si="119"/>
        <v>0</v>
      </c>
      <c r="AF387" s="150">
        <f t="shared" si="120"/>
        <v>0</v>
      </c>
      <c r="AG387" s="98" t="str">
        <f t="shared" si="121"/>
        <v>0000000000</v>
      </c>
      <c r="AH387" s="151">
        <f t="shared" si="122"/>
        <v>0</v>
      </c>
      <c r="AI387" s="98" t="str">
        <f t="shared" si="123"/>
        <v>00</v>
      </c>
      <c r="AJ387" s="98" t="str">
        <f t="shared" si="124"/>
        <v>000000000000</v>
      </c>
      <c r="AK387" s="161" t="str">
        <f t="shared" si="125"/>
        <v xml:space="preserve">                              </v>
      </c>
      <c r="AL387" s="154">
        <f t="shared" si="126"/>
        <v>0</v>
      </c>
      <c r="AM387" s="155">
        <f t="shared" si="127"/>
        <v>0</v>
      </c>
      <c r="AP387" s="63" t="str">
        <f t="shared" si="128"/>
        <v/>
      </c>
      <c r="AQ387" s="63" t="str">
        <f t="shared" si="129"/>
        <v/>
      </c>
      <c r="AR387" s="152" t="str">
        <f t="shared" si="130"/>
        <v/>
      </c>
      <c r="AS387" s="109" t="str">
        <f t="shared" si="131"/>
        <v/>
      </c>
      <c r="AT387" s="63" t="str">
        <f t="shared" si="132"/>
        <v xml:space="preserve">                    </v>
      </c>
    </row>
    <row r="388" spans="1:46" ht="12.75" x14ac:dyDescent="0.2">
      <c r="A388" s="63" t="str">
        <f t="shared" si="114"/>
        <v/>
      </c>
      <c r="B388" s="185"/>
      <c r="C388" s="184"/>
      <c r="D388" s="184"/>
      <c r="E388" s="184"/>
      <c r="F388" s="184"/>
      <c r="G388" s="185"/>
      <c r="H388" s="185"/>
      <c r="I388" s="186"/>
      <c r="J388" s="69"/>
      <c r="AA388" s="63">
        <f t="shared" si="115"/>
        <v>0</v>
      </c>
      <c r="AB388" s="153" t="str">
        <f t="shared" si="116"/>
        <v>000</v>
      </c>
      <c r="AC388" s="165" t="str">
        <f t="shared" si="117"/>
        <v>00000000</v>
      </c>
      <c r="AD388" s="98" t="str">
        <f t="shared" si="118"/>
        <v>00000000</v>
      </c>
      <c r="AE388" s="150">
        <f t="shared" si="119"/>
        <v>0</v>
      </c>
      <c r="AF388" s="150">
        <f t="shared" si="120"/>
        <v>0</v>
      </c>
      <c r="AG388" s="98" t="str">
        <f t="shared" si="121"/>
        <v>0000000000</v>
      </c>
      <c r="AH388" s="151">
        <f t="shared" si="122"/>
        <v>0</v>
      </c>
      <c r="AI388" s="98" t="str">
        <f t="shared" si="123"/>
        <v>00</v>
      </c>
      <c r="AJ388" s="98" t="str">
        <f t="shared" si="124"/>
        <v>000000000000</v>
      </c>
      <c r="AK388" s="161" t="str">
        <f t="shared" si="125"/>
        <v xml:space="preserve">                              </v>
      </c>
      <c r="AL388" s="154">
        <f t="shared" si="126"/>
        <v>0</v>
      </c>
      <c r="AM388" s="155">
        <f t="shared" si="127"/>
        <v>0</v>
      </c>
      <c r="AP388" s="63" t="str">
        <f t="shared" si="128"/>
        <v/>
      </c>
      <c r="AQ388" s="63" t="str">
        <f t="shared" si="129"/>
        <v/>
      </c>
      <c r="AR388" s="152" t="str">
        <f t="shared" si="130"/>
        <v/>
      </c>
      <c r="AS388" s="109" t="str">
        <f t="shared" si="131"/>
        <v/>
      </c>
      <c r="AT388" s="63" t="str">
        <f t="shared" si="132"/>
        <v xml:space="preserve">                    </v>
      </c>
    </row>
    <row r="389" spans="1:46" ht="12.75" x14ac:dyDescent="0.2">
      <c r="A389" s="63" t="str">
        <f t="shared" si="114"/>
        <v/>
      </c>
      <c r="B389" s="185"/>
      <c r="C389" s="184"/>
      <c r="D389" s="184"/>
      <c r="E389" s="184"/>
      <c r="F389" s="184"/>
      <c r="G389" s="185"/>
      <c r="H389" s="185"/>
      <c r="I389" s="186"/>
      <c r="J389" s="69"/>
      <c r="AA389" s="63">
        <f t="shared" si="115"/>
        <v>0</v>
      </c>
      <c r="AB389" s="153" t="str">
        <f t="shared" si="116"/>
        <v>000</v>
      </c>
      <c r="AC389" s="165" t="str">
        <f t="shared" si="117"/>
        <v>00000000</v>
      </c>
      <c r="AD389" s="98" t="str">
        <f t="shared" si="118"/>
        <v>00000000</v>
      </c>
      <c r="AE389" s="150">
        <f t="shared" si="119"/>
        <v>0</v>
      </c>
      <c r="AF389" s="150">
        <f t="shared" si="120"/>
        <v>0</v>
      </c>
      <c r="AG389" s="98" t="str">
        <f t="shared" si="121"/>
        <v>0000000000</v>
      </c>
      <c r="AH389" s="151">
        <f t="shared" si="122"/>
        <v>0</v>
      </c>
      <c r="AI389" s="98" t="str">
        <f t="shared" si="123"/>
        <v>00</v>
      </c>
      <c r="AJ389" s="98" t="str">
        <f t="shared" si="124"/>
        <v>000000000000</v>
      </c>
      <c r="AK389" s="161" t="str">
        <f t="shared" si="125"/>
        <v xml:space="preserve">                              </v>
      </c>
      <c r="AL389" s="154">
        <f t="shared" si="126"/>
        <v>0</v>
      </c>
      <c r="AM389" s="155">
        <f t="shared" si="127"/>
        <v>0</v>
      </c>
      <c r="AP389" s="63" t="str">
        <f t="shared" si="128"/>
        <v/>
      </c>
      <c r="AQ389" s="63" t="str">
        <f t="shared" si="129"/>
        <v/>
      </c>
      <c r="AR389" s="152" t="str">
        <f t="shared" si="130"/>
        <v/>
      </c>
      <c r="AS389" s="109" t="str">
        <f t="shared" si="131"/>
        <v/>
      </c>
      <c r="AT389" s="63" t="str">
        <f t="shared" si="132"/>
        <v xml:space="preserve">                    </v>
      </c>
    </row>
    <row r="390" spans="1:46" ht="12.75" x14ac:dyDescent="0.2">
      <c r="A390" s="63" t="str">
        <f t="shared" ref="A390:A453" si="133">IF(B390&lt;&gt;"",A389+1,"")</f>
        <v/>
      </c>
      <c r="B390" s="185"/>
      <c r="C390" s="184"/>
      <c r="D390" s="184"/>
      <c r="E390" s="184"/>
      <c r="F390" s="184"/>
      <c r="G390" s="185"/>
      <c r="H390" s="185"/>
      <c r="I390" s="186"/>
      <c r="J390" s="69"/>
      <c r="AA390" s="63">
        <f t="shared" si="115"/>
        <v>0</v>
      </c>
      <c r="AB390" s="153" t="str">
        <f t="shared" si="116"/>
        <v>000</v>
      </c>
      <c r="AC390" s="165" t="str">
        <f t="shared" si="117"/>
        <v>00000000</v>
      </c>
      <c r="AD390" s="98" t="str">
        <f t="shared" si="118"/>
        <v>00000000</v>
      </c>
      <c r="AE390" s="150">
        <f t="shared" si="119"/>
        <v>0</v>
      </c>
      <c r="AF390" s="150">
        <f t="shared" si="120"/>
        <v>0</v>
      </c>
      <c r="AG390" s="98" t="str">
        <f t="shared" si="121"/>
        <v>0000000000</v>
      </c>
      <c r="AH390" s="151">
        <f t="shared" si="122"/>
        <v>0</v>
      </c>
      <c r="AI390" s="98" t="str">
        <f t="shared" si="123"/>
        <v>00</v>
      </c>
      <c r="AJ390" s="98" t="str">
        <f t="shared" si="124"/>
        <v>000000000000</v>
      </c>
      <c r="AK390" s="161" t="str">
        <f t="shared" si="125"/>
        <v xml:space="preserve">                              </v>
      </c>
      <c r="AL390" s="154">
        <f t="shared" si="126"/>
        <v>0</v>
      </c>
      <c r="AM390" s="155">
        <f t="shared" si="127"/>
        <v>0</v>
      </c>
      <c r="AP390" s="63" t="str">
        <f t="shared" si="128"/>
        <v/>
      </c>
      <c r="AQ390" s="63" t="str">
        <f t="shared" si="129"/>
        <v/>
      </c>
      <c r="AR390" s="152" t="str">
        <f t="shared" si="130"/>
        <v/>
      </c>
      <c r="AS390" s="109" t="str">
        <f t="shared" si="131"/>
        <v/>
      </c>
      <c r="AT390" s="63" t="str">
        <f t="shared" si="132"/>
        <v xml:space="preserve">                    </v>
      </c>
    </row>
    <row r="391" spans="1:46" ht="12.75" x14ac:dyDescent="0.2">
      <c r="A391" s="63" t="str">
        <f t="shared" si="133"/>
        <v/>
      </c>
      <c r="B391" s="185"/>
      <c r="C391" s="184"/>
      <c r="D391" s="184"/>
      <c r="E391" s="184"/>
      <c r="F391" s="184"/>
      <c r="G391" s="185"/>
      <c r="H391" s="185"/>
      <c r="I391" s="186"/>
      <c r="J391" s="69"/>
      <c r="AA391" s="63">
        <f t="shared" si="115"/>
        <v>0</v>
      </c>
      <c r="AB391" s="153" t="str">
        <f t="shared" si="116"/>
        <v>000</v>
      </c>
      <c r="AC391" s="165" t="str">
        <f t="shared" si="117"/>
        <v>00000000</v>
      </c>
      <c r="AD391" s="98" t="str">
        <f t="shared" si="118"/>
        <v>00000000</v>
      </c>
      <c r="AE391" s="150">
        <f t="shared" si="119"/>
        <v>0</v>
      </c>
      <c r="AF391" s="150">
        <f t="shared" si="120"/>
        <v>0</v>
      </c>
      <c r="AG391" s="98" t="str">
        <f t="shared" si="121"/>
        <v>0000000000</v>
      </c>
      <c r="AH391" s="151">
        <f t="shared" si="122"/>
        <v>0</v>
      </c>
      <c r="AI391" s="98" t="str">
        <f t="shared" si="123"/>
        <v>00</v>
      </c>
      <c r="AJ391" s="98" t="str">
        <f t="shared" si="124"/>
        <v>000000000000</v>
      </c>
      <c r="AK391" s="161" t="str">
        <f t="shared" si="125"/>
        <v xml:space="preserve">                              </v>
      </c>
      <c r="AL391" s="154">
        <f t="shared" si="126"/>
        <v>0</v>
      </c>
      <c r="AM391" s="155">
        <f t="shared" si="127"/>
        <v>0</v>
      </c>
      <c r="AP391" s="63" t="str">
        <f t="shared" si="128"/>
        <v/>
      </c>
      <c r="AQ391" s="63" t="str">
        <f t="shared" si="129"/>
        <v/>
      </c>
      <c r="AR391" s="152" t="str">
        <f t="shared" si="130"/>
        <v/>
      </c>
      <c r="AS391" s="109" t="str">
        <f t="shared" si="131"/>
        <v/>
      </c>
      <c r="AT391" s="63" t="str">
        <f t="shared" si="132"/>
        <v xml:space="preserve">                    </v>
      </c>
    </row>
    <row r="392" spans="1:46" ht="12.75" x14ac:dyDescent="0.2">
      <c r="A392" s="63" t="str">
        <f t="shared" si="133"/>
        <v/>
      </c>
      <c r="B392" s="185"/>
      <c r="C392" s="184"/>
      <c r="D392" s="184"/>
      <c r="E392" s="184"/>
      <c r="F392" s="184"/>
      <c r="G392" s="185"/>
      <c r="H392" s="185"/>
      <c r="I392" s="186"/>
      <c r="J392" s="69"/>
      <c r="AA392" s="63">
        <f t="shared" si="115"/>
        <v>0</v>
      </c>
      <c r="AB392" s="153" t="str">
        <f t="shared" si="116"/>
        <v>000</v>
      </c>
      <c r="AC392" s="165" t="str">
        <f t="shared" si="117"/>
        <v>00000000</v>
      </c>
      <c r="AD392" s="98" t="str">
        <f t="shared" si="118"/>
        <v>00000000</v>
      </c>
      <c r="AE392" s="150">
        <f t="shared" si="119"/>
        <v>0</v>
      </c>
      <c r="AF392" s="150">
        <f t="shared" si="120"/>
        <v>0</v>
      </c>
      <c r="AG392" s="98" t="str">
        <f t="shared" si="121"/>
        <v>0000000000</v>
      </c>
      <c r="AH392" s="151">
        <f t="shared" si="122"/>
        <v>0</v>
      </c>
      <c r="AI392" s="98" t="str">
        <f t="shared" si="123"/>
        <v>00</v>
      </c>
      <c r="AJ392" s="98" t="str">
        <f t="shared" si="124"/>
        <v>000000000000</v>
      </c>
      <c r="AK392" s="161" t="str">
        <f t="shared" si="125"/>
        <v xml:space="preserve">                              </v>
      </c>
      <c r="AL392" s="154">
        <f t="shared" si="126"/>
        <v>0</v>
      </c>
      <c r="AM392" s="155">
        <f t="shared" si="127"/>
        <v>0</v>
      </c>
      <c r="AP392" s="63" t="str">
        <f t="shared" si="128"/>
        <v/>
      </c>
      <c r="AQ392" s="63" t="str">
        <f t="shared" si="129"/>
        <v/>
      </c>
      <c r="AR392" s="152" t="str">
        <f t="shared" si="130"/>
        <v/>
      </c>
      <c r="AS392" s="109" t="str">
        <f t="shared" si="131"/>
        <v/>
      </c>
      <c r="AT392" s="63" t="str">
        <f t="shared" si="132"/>
        <v xml:space="preserve">                    </v>
      </c>
    </row>
    <row r="393" spans="1:46" ht="12.75" x14ac:dyDescent="0.2">
      <c r="A393" s="63" t="str">
        <f t="shared" si="133"/>
        <v/>
      </c>
      <c r="B393" s="185"/>
      <c r="C393" s="184"/>
      <c r="D393" s="184"/>
      <c r="E393" s="184"/>
      <c r="F393" s="184"/>
      <c r="G393" s="185"/>
      <c r="H393" s="185"/>
      <c r="I393" s="186"/>
      <c r="J393" s="69"/>
      <c r="AA393" s="63">
        <f t="shared" si="115"/>
        <v>0</v>
      </c>
      <c r="AB393" s="153" t="str">
        <f t="shared" si="116"/>
        <v>000</v>
      </c>
      <c r="AC393" s="165" t="str">
        <f t="shared" si="117"/>
        <v>00000000</v>
      </c>
      <c r="AD393" s="98" t="str">
        <f t="shared" si="118"/>
        <v>00000000</v>
      </c>
      <c r="AE393" s="150">
        <f t="shared" si="119"/>
        <v>0</v>
      </c>
      <c r="AF393" s="150">
        <f t="shared" si="120"/>
        <v>0</v>
      </c>
      <c r="AG393" s="98" t="str">
        <f t="shared" si="121"/>
        <v>0000000000</v>
      </c>
      <c r="AH393" s="151">
        <f t="shared" si="122"/>
        <v>0</v>
      </c>
      <c r="AI393" s="98" t="str">
        <f t="shared" si="123"/>
        <v>00</v>
      </c>
      <c r="AJ393" s="98" t="str">
        <f t="shared" si="124"/>
        <v>000000000000</v>
      </c>
      <c r="AK393" s="161" t="str">
        <f t="shared" si="125"/>
        <v xml:space="preserve">                              </v>
      </c>
      <c r="AL393" s="154">
        <f t="shared" si="126"/>
        <v>0</v>
      </c>
      <c r="AM393" s="155">
        <f t="shared" si="127"/>
        <v>0</v>
      </c>
      <c r="AP393" s="63" t="str">
        <f t="shared" si="128"/>
        <v/>
      </c>
      <c r="AQ393" s="63" t="str">
        <f t="shared" si="129"/>
        <v/>
      </c>
      <c r="AR393" s="152" t="str">
        <f t="shared" si="130"/>
        <v/>
      </c>
      <c r="AS393" s="109" t="str">
        <f t="shared" si="131"/>
        <v/>
      </c>
      <c r="AT393" s="63" t="str">
        <f t="shared" si="132"/>
        <v xml:space="preserve">                    </v>
      </c>
    </row>
    <row r="394" spans="1:46" ht="12.75" x14ac:dyDescent="0.2">
      <c r="A394" s="63" t="str">
        <f t="shared" si="133"/>
        <v/>
      </c>
      <c r="B394" s="185"/>
      <c r="C394" s="184"/>
      <c r="D394" s="184"/>
      <c r="E394" s="184"/>
      <c r="F394" s="184"/>
      <c r="G394" s="185"/>
      <c r="H394" s="185"/>
      <c r="I394" s="186"/>
      <c r="J394" s="69"/>
      <c r="AA394" s="63">
        <f t="shared" si="115"/>
        <v>0</v>
      </c>
      <c r="AB394" s="153" t="str">
        <f t="shared" si="116"/>
        <v>000</v>
      </c>
      <c r="AC394" s="165" t="str">
        <f t="shared" si="117"/>
        <v>00000000</v>
      </c>
      <c r="AD394" s="98" t="str">
        <f t="shared" si="118"/>
        <v>00000000</v>
      </c>
      <c r="AE394" s="150">
        <f t="shared" si="119"/>
        <v>0</v>
      </c>
      <c r="AF394" s="150">
        <f t="shared" si="120"/>
        <v>0</v>
      </c>
      <c r="AG394" s="98" t="str">
        <f t="shared" si="121"/>
        <v>0000000000</v>
      </c>
      <c r="AH394" s="151">
        <f t="shared" si="122"/>
        <v>0</v>
      </c>
      <c r="AI394" s="98" t="str">
        <f t="shared" si="123"/>
        <v>00</v>
      </c>
      <c r="AJ394" s="98" t="str">
        <f t="shared" si="124"/>
        <v>000000000000</v>
      </c>
      <c r="AK394" s="161" t="str">
        <f t="shared" si="125"/>
        <v xml:space="preserve">                              </v>
      </c>
      <c r="AL394" s="154">
        <f t="shared" si="126"/>
        <v>0</v>
      </c>
      <c r="AM394" s="155">
        <f t="shared" si="127"/>
        <v>0</v>
      </c>
      <c r="AP394" s="63" t="str">
        <f t="shared" si="128"/>
        <v/>
      </c>
      <c r="AQ394" s="63" t="str">
        <f t="shared" si="129"/>
        <v/>
      </c>
      <c r="AR394" s="152" t="str">
        <f t="shared" si="130"/>
        <v/>
      </c>
      <c r="AS394" s="109" t="str">
        <f t="shared" si="131"/>
        <v/>
      </c>
      <c r="AT394" s="63" t="str">
        <f t="shared" si="132"/>
        <v xml:space="preserve">                    </v>
      </c>
    </row>
    <row r="395" spans="1:46" ht="12.75" x14ac:dyDescent="0.2">
      <c r="A395" s="63" t="str">
        <f t="shared" si="133"/>
        <v/>
      </c>
      <c r="B395" s="185"/>
      <c r="C395" s="184"/>
      <c r="D395" s="184"/>
      <c r="E395" s="184"/>
      <c r="F395" s="184"/>
      <c r="G395" s="185"/>
      <c r="H395" s="185"/>
      <c r="I395" s="186"/>
      <c r="J395" s="69"/>
      <c r="AA395" s="63">
        <f t="shared" si="115"/>
        <v>0</v>
      </c>
      <c r="AB395" s="153" t="str">
        <f t="shared" si="116"/>
        <v>000</v>
      </c>
      <c r="AC395" s="165" t="str">
        <f t="shared" si="117"/>
        <v>00000000</v>
      </c>
      <c r="AD395" s="98" t="str">
        <f t="shared" si="118"/>
        <v>00000000</v>
      </c>
      <c r="AE395" s="150">
        <f t="shared" si="119"/>
        <v>0</v>
      </c>
      <c r="AF395" s="150">
        <f t="shared" si="120"/>
        <v>0</v>
      </c>
      <c r="AG395" s="98" t="str">
        <f t="shared" si="121"/>
        <v>0000000000</v>
      </c>
      <c r="AH395" s="151">
        <f t="shared" si="122"/>
        <v>0</v>
      </c>
      <c r="AI395" s="98" t="str">
        <f t="shared" si="123"/>
        <v>00</v>
      </c>
      <c r="AJ395" s="98" t="str">
        <f t="shared" si="124"/>
        <v>000000000000</v>
      </c>
      <c r="AK395" s="161" t="str">
        <f t="shared" si="125"/>
        <v xml:space="preserve">                              </v>
      </c>
      <c r="AL395" s="154">
        <f t="shared" si="126"/>
        <v>0</v>
      </c>
      <c r="AM395" s="155">
        <f t="shared" si="127"/>
        <v>0</v>
      </c>
      <c r="AP395" s="63" t="str">
        <f t="shared" si="128"/>
        <v/>
      </c>
      <c r="AQ395" s="63" t="str">
        <f t="shared" si="129"/>
        <v/>
      </c>
      <c r="AR395" s="152" t="str">
        <f t="shared" si="130"/>
        <v/>
      </c>
      <c r="AS395" s="109" t="str">
        <f t="shared" si="131"/>
        <v/>
      </c>
      <c r="AT395" s="63" t="str">
        <f t="shared" si="132"/>
        <v xml:space="preserve">                    </v>
      </c>
    </row>
    <row r="396" spans="1:46" ht="12.75" x14ac:dyDescent="0.2">
      <c r="A396" s="63" t="str">
        <f t="shared" si="133"/>
        <v/>
      </c>
      <c r="B396" s="185"/>
      <c r="C396" s="184"/>
      <c r="D396" s="184"/>
      <c r="E396" s="184"/>
      <c r="F396" s="184"/>
      <c r="G396" s="185"/>
      <c r="H396" s="185"/>
      <c r="I396" s="186"/>
      <c r="J396" s="69"/>
      <c r="AA396" s="63">
        <f t="shared" si="115"/>
        <v>0</v>
      </c>
      <c r="AB396" s="153" t="str">
        <f t="shared" si="116"/>
        <v>000</v>
      </c>
      <c r="AC396" s="165" t="str">
        <f t="shared" si="117"/>
        <v>00000000</v>
      </c>
      <c r="AD396" s="98" t="str">
        <f t="shared" si="118"/>
        <v>00000000</v>
      </c>
      <c r="AE396" s="150">
        <f t="shared" si="119"/>
        <v>0</v>
      </c>
      <c r="AF396" s="150">
        <f t="shared" si="120"/>
        <v>0</v>
      </c>
      <c r="AG396" s="98" t="str">
        <f t="shared" si="121"/>
        <v>0000000000</v>
      </c>
      <c r="AH396" s="151">
        <f t="shared" si="122"/>
        <v>0</v>
      </c>
      <c r="AI396" s="98" t="str">
        <f t="shared" si="123"/>
        <v>00</v>
      </c>
      <c r="AJ396" s="98" t="str">
        <f t="shared" si="124"/>
        <v>000000000000</v>
      </c>
      <c r="AK396" s="161" t="str">
        <f t="shared" si="125"/>
        <v xml:space="preserve">                              </v>
      </c>
      <c r="AL396" s="154">
        <f t="shared" si="126"/>
        <v>0</v>
      </c>
      <c r="AM396" s="155">
        <f t="shared" si="127"/>
        <v>0</v>
      </c>
      <c r="AP396" s="63" t="str">
        <f t="shared" si="128"/>
        <v/>
      </c>
      <c r="AQ396" s="63" t="str">
        <f t="shared" si="129"/>
        <v/>
      </c>
      <c r="AR396" s="152" t="str">
        <f t="shared" si="130"/>
        <v/>
      </c>
      <c r="AS396" s="109" t="str">
        <f t="shared" si="131"/>
        <v/>
      </c>
      <c r="AT396" s="63" t="str">
        <f t="shared" si="132"/>
        <v xml:space="preserve">                    </v>
      </c>
    </row>
    <row r="397" spans="1:46" ht="12.75" x14ac:dyDescent="0.2">
      <c r="A397" s="63" t="str">
        <f t="shared" si="133"/>
        <v/>
      </c>
      <c r="B397" s="185"/>
      <c r="C397" s="184"/>
      <c r="D397" s="184"/>
      <c r="E397" s="184"/>
      <c r="F397" s="184"/>
      <c r="G397" s="185"/>
      <c r="H397" s="185"/>
      <c r="I397" s="186"/>
      <c r="J397" s="69"/>
      <c r="AA397" s="63">
        <f t="shared" si="115"/>
        <v>0</v>
      </c>
      <c r="AB397" s="153" t="str">
        <f t="shared" si="116"/>
        <v>000</v>
      </c>
      <c r="AC397" s="165" t="str">
        <f t="shared" si="117"/>
        <v>00000000</v>
      </c>
      <c r="AD397" s="98" t="str">
        <f t="shared" si="118"/>
        <v>00000000</v>
      </c>
      <c r="AE397" s="150">
        <f t="shared" si="119"/>
        <v>0</v>
      </c>
      <c r="AF397" s="150">
        <f t="shared" si="120"/>
        <v>0</v>
      </c>
      <c r="AG397" s="98" t="str">
        <f t="shared" si="121"/>
        <v>0000000000</v>
      </c>
      <c r="AH397" s="151">
        <f t="shared" si="122"/>
        <v>0</v>
      </c>
      <c r="AI397" s="98" t="str">
        <f t="shared" si="123"/>
        <v>00</v>
      </c>
      <c r="AJ397" s="98" t="str">
        <f t="shared" si="124"/>
        <v>000000000000</v>
      </c>
      <c r="AK397" s="161" t="str">
        <f t="shared" si="125"/>
        <v xml:space="preserve">                              </v>
      </c>
      <c r="AL397" s="154">
        <f t="shared" si="126"/>
        <v>0</v>
      </c>
      <c r="AM397" s="155">
        <f t="shared" si="127"/>
        <v>0</v>
      </c>
      <c r="AP397" s="63" t="str">
        <f t="shared" si="128"/>
        <v/>
      </c>
      <c r="AQ397" s="63" t="str">
        <f t="shared" si="129"/>
        <v/>
      </c>
      <c r="AR397" s="152" t="str">
        <f t="shared" si="130"/>
        <v/>
      </c>
      <c r="AS397" s="109" t="str">
        <f t="shared" si="131"/>
        <v/>
      </c>
      <c r="AT397" s="63" t="str">
        <f t="shared" si="132"/>
        <v xml:space="preserve">                    </v>
      </c>
    </row>
    <row r="398" spans="1:46" ht="12.75" x14ac:dyDescent="0.2">
      <c r="A398" s="63" t="str">
        <f t="shared" si="133"/>
        <v/>
      </c>
      <c r="B398" s="185"/>
      <c r="C398" s="184"/>
      <c r="D398" s="184"/>
      <c r="E398" s="184"/>
      <c r="F398" s="184"/>
      <c r="G398" s="185"/>
      <c r="H398" s="185"/>
      <c r="I398" s="186"/>
      <c r="J398" s="69"/>
      <c r="AA398" s="63">
        <f t="shared" si="115"/>
        <v>0</v>
      </c>
      <c r="AB398" s="153" t="str">
        <f t="shared" si="116"/>
        <v>000</v>
      </c>
      <c r="AC398" s="165" t="str">
        <f t="shared" si="117"/>
        <v>00000000</v>
      </c>
      <c r="AD398" s="98" t="str">
        <f t="shared" si="118"/>
        <v>00000000</v>
      </c>
      <c r="AE398" s="150">
        <f t="shared" si="119"/>
        <v>0</v>
      </c>
      <c r="AF398" s="150">
        <f t="shared" si="120"/>
        <v>0</v>
      </c>
      <c r="AG398" s="98" t="str">
        <f t="shared" si="121"/>
        <v>0000000000</v>
      </c>
      <c r="AH398" s="151">
        <f t="shared" si="122"/>
        <v>0</v>
      </c>
      <c r="AI398" s="98" t="str">
        <f t="shared" si="123"/>
        <v>00</v>
      </c>
      <c r="AJ398" s="98" t="str">
        <f t="shared" si="124"/>
        <v>000000000000</v>
      </c>
      <c r="AK398" s="161" t="str">
        <f t="shared" si="125"/>
        <v xml:space="preserve">                              </v>
      </c>
      <c r="AL398" s="154">
        <f t="shared" si="126"/>
        <v>0</v>
      </c>
      <c r="AM398" s="155">
        <f t="shared" si="127"/>
        <v>0</v>
      </c>
      <c r="AP398" s="63" t="str">
        <f t="shared" si="128"/>
        <v/>
      </c>
      <c r="AQ398" s="63" t="str">
        <f t="shared" si="129"/>
        <v/>
      </c>
      <c r="AR398" s="152" t="str">
        <f t="shared" si="130"/>
        <v/>
      </c>
      <c r="AS398" s="109" t="str">
        <f t="shared" si="131"/>
        <v/>
      </c>
      <c r="AT398" s="63" t="str">
        <f t="shared" si="132"/>
        <v xml:space="preserve">                    </v>
      </c>
    </row>
    <row r="399" spans="1:46" ht="12.75" x14ac:dyDescent="0.2">
      <c r="A399" s="63" t="str">
        <f t="shared" si="133"/>
        <v/>
      </c>
      <c r="B399" s="185"/>
      <c r="C399" s="184"/>
      <c r="D399" s="184"/>
      <c r="E399" s="184"/>
      <c r="F399" s="184"/>
      <c r="G399" s="185"/>
      <c r="H399" s="185"/>
      <c r="I399" s="186"/>
      <c r="J399" s="69"/>
      <c r="AA399" s="63">
        <f t="shared" si="115"/>
        <v>0</v>
      </c>
      <c r="AB399" s="153" t="str">
        <f t="shared" si="116"/>
        <v>000</v>
      </c>
      <c r="AC399" s="165" t="str">
        <f t="shared" si="117"/>
        <v>00000000</v>
      </c>
      <c r="AD399" s="98" t="str">
        <f t="shared" si="118"/>
        <v>00000000</v>
      </c>
      <c r="AE399" s="150">
        <f t="shared" si="119"/>
        <v>0</v>
      </c>
      <c r="AF399" s="150">
        <f t="shared" si="120"/>
        <v>0</v>
      </c>
      <c r="AG399" s="98" t="str">
        <f t="shared" si="121"/>
        <v>0000000000</v>
      </c>
      <c r="AH399" s="151">
        <f t="shared" si="122"/>
        <v>0</v>
      </c>
      <c r="AI399" s="98" t="str">
        <f t="shared" si="123"/>
        <v>00</v>
      </c>
      <c r="AJ399" s="98" t="str">
        <f t="shared" si="124"/>
        <v>000000000000</v>
      </c>
      <c r="AK399" s="161" t="str">
        <f t="shared" si="125"/>
        <v xml:space="preserve">                              </v>
      </c>
      <c r="AL399" s="154">
        <f t="shared" si="126"/>
        <v>0</v>
      </c>
      <c r="AM399" s="155">
        <f t="shared" si="127"/>
        <v>0</v>
      </c>
      <c r="AP399" s="63" t="str">
        <f t="shared" si="128"/>
        <v/>
      </c>
      <c r="AQ399" s="63" t="str">
        <f t="shared" si="129"/>
        <v/>
      </c>
      <c r="AR399" s="152" t="str">
        <f t="shared" si="130"/>
        <v/>
      </c>
      <c r="AS399" s="109" t="str">
        <f t="shared" si="131"/>
        <v/>
      </c>
      <c r="AT399" s="63" t="str">
        <f t="shared" si="132"/>
        <v xml:space="preserve">                    </v>
      </c>
    </row>
    <row r="400" spans="1:46" ht="12.75" x14ac:dyDescent="0.2">
      <c r="A400" s="63" t="str">
        <f t="shared" si="133"/>
        <v/>
      </c>
      <c r="B400" s="185"/>
      <c r="C400" s="184"/>
      <c r="D400" s="184"/>
      <c r="E400" s="184"/>
      <c r="F400" s="184"/>
      <c r="G400" s="185"/>
      <c r="H400" s="185"/>
      <c r="I400" s="186"/>
      <c r="J400" s="69"/>
      <c r="AA400" s="63">
        <f t="shared" si="115"/>
        <v>0</v>
      </c>
      <c r="AB400" s="153" t="str">
        <f t="shared" si="116"/>
        <v>000</v>
      </c>
      <c r="AC400" s="165" t="str">
        <f t="shared" si="117"/>
        <v>00000000</v>
      </c>
      <c r="AD400" s="98" t="str">
        <f t="shared" si="118"/>
        <v>00000000</v>
      </c>
      <c r="AE400" s="150">
        <f t="shared" si="119"/>
        <v>0</v>
      </c>
      <c r="AF400" s="150">
        <f t="shared" si="120"/>
        <v>0</v>
      </c>
      <c r="AG400" s="98" t="str">
        <f t="shared" si="121"/>
        <v>0000000000</v>
      </c>
      <c r="AH400" s="151">
        <f t="shared" si="122"/>
        <v>0</v>
      </c>
      <c r="AI400" s="98" t="str">
        <f t="shared" si="123"/>
        <v>00</v>
      </c>
      <c r="AJ400" s="98" t="str">
        <f t="shared" si="124"/>
        <v>000000000000</v>
      </c>
      <c r="AK400" s="161" t="str">
        <f t="shared" si="125"/>
        <v xml:space="preserve">                              </v>
      </c>
      <c r="AL400" s="154">
        <f t="shared" si="126"/>
        <v>0</v>
      </c>
      <c r="AM400" s="155">
        <f t="shared" si="127"/>
        <v>0</v>
      </c>
      <c r="AP400" s="63" t="str">
        <f t="shared" si="128"/>
        <v/>
      </c>
      <c r="AQ400" s="63" t="str">
        <f t="shared" si="129"/>
        <v/>
      </c>
      <c r="AR400" s="152" t="str">
        <f t="shared" si="130"/>
        <v/>
      </c>
      <c r="AS400" s="109" t="str">
        <f t="shared" si="131"/>
        <v/>
      </c>
      <c r="AT400" s="63" t="str">
        <f t="shared" si="132"/>
        <v xml:space="preserve">                    </v>
      </c>
    </row>
    <row r="401" spans="1:46" ht="12.75" x14ac:dyDescent="0.2">
      <c r="A401" s="63" t="str">
        <f t="shared" si="133"/>
        <v/>
      </c>
      <c r="B401" s="185"/>
      <c r="C401" s="184"/>
      <c r="D401" s="184"/>
      <c r="E401" s="184"/>
      <c r="F401" s="184"/>
      <c r="G401" s="185"/>
      <c r="H401" s="185"/>
      <c r="I401" s="186"/>
      <c r="J401" s="69"/>
      <c r="AA401" s="63">
        <f t="shared" ref="AA401:AA464" si="134">B401</f>
        <v>0</v>
      </c>
      <c r="AB401" s="153" t="str">
        <f t="shared" ref="AB401:AB464" si="135">CONCATENATE(REPT("0",3-LEN(C401)),C401)</f>
        <v>000</v>
      </c>
      <c r="AC401" s="165" t="str">
        <f t="shared" ref="AC401:AC464" si="136">CONCATENATE(REPT("0",8-LEN(D401)),D401)</f>
        <v>00000000</v>
      </c>
      <c r="AD401" s="98" t="str">
        <f t="shared" ref="AD401:AD464" si="137">CONCATENATE(REPT("0",8-LEN(F401)),F401)</f>
        <v>00000000</v>
      </c>
      <c r="AE401" s="150">
        <f t="shared" ref="AE401:AE464" si="138">INT(I401)</f>
        <v>0</v>
      </c>
      <c r="AF401" s="150">
        <f t="shared" ref="AF401:AF464" si="139">I401-AE401</f>
        <v>0</v>
      </c>
      <c r="AG401" s="98" t="str">
        <f t="shared" ref="AG401:AG464" si="140">TEXT(AE401,"0000000000")</f>
        <v>0000000000</v>
      </c>
      <c r="AH401" s="151">
        <f t="shared" ref="AH401:AH464" si="141">AF401*100</f>
        <v>0</v>
      </c>
      <c r="AI401" s="98" t="str">
        <f t="shared" ref="AI401:AI464" si="142">TEXT(AH401,"00")</f>
        <v>00</v>
      </c>
      <c r="AJ401" s="98" t="str">
        <f t="shared" ref="AJ401:AJ464" si="143">CONCATENATE(AG401,AI401)</f>
        <v>000000000000</v>
      </c>
      <c r="AK401" s="161" t="str">
        <f t="shared" ref="AK401:AK464" si="144">CONCATENATE(E401,REPT(" ",30-LEN(E401)))</f>
        <v xml:space="preserve">                              </v>
      </c>
      <c r="AL401" s="154">
        <f t="shared" ref="AL401:AL464" si="145">IF(H401&lt;&gt;"",IF(H401=$H$3,0,1),0)</f>
        <v>0</v>
      </c>
      <c r="AM401" s="155">
        <f t="shared" ref="AM401:AM464" si="146">IF(AL401=1,IF($H$3=1,I401*$K$14,I401/$K$14),I401)</f>
        <v>0</v>
      </c>
      <c r="AP401" s="63" t="str">
        <f t="shared" si="128"/>
        <v/>
      </c>
      <c r="AQ401" s="63" t="str">
        <f t="shared" si="129"/>
        <v/>
      </c>
      <c r="AR401" s="152" t="str">
        <f t="shared" si="130"/>
        <v/>
      </c>
      <c r="AS401" s="109" t="str">
        <f t="shared" si="131"/>
        <v/>
      </c>
      <c r="AT401" s="63" t="str">
        <f t="shared" si="132"/>
        <v xml:space="preserve">                    </v>
      </c>
    </row>
    <row r="402" spans="1:46" ht="12.75" x14ac:dyDescent="0.2">
      <c r="A402" s="63" t="str">
        <f t="shared" si="133"/>
        <v/>
      </c>
      <c r="B402" s="185"/>
      <c r="C402" s="184"/>
      <c r="D402" s="184"/>
      <c r="E402" s="184"/>
      <c r="F402" s="184"/>
      <c r="G402" s="185"/>
      <c r="H402" s="185"/>
      <c r="I402" s="186"/>
      <c r="J402" s="69"/>
      <c r="AA402" s="63">
        <f t="shared" si="134"/>
        <v>0</v>
      </c>
      <c r="AB402" s="153" t="str">
        <f t="shared" si="135"/>
        <v>000</v>
      </c>
      <c r="AC402" s="165" t="str">
        <f t="shared" si="136"/>
        <v>00000000</v>
      </c>
      <c r="AD402" s="98" t="str">
        <f t="shared" si="137"/>
        <v>00000000</v>
      </c>
      <c r="AE402" s="150">
        <f t="shared" si="138"/>
        <v>0</v>
      </c>
      <c r="AF402" s="150">
        <f t="shared" si="139"/>
        <v>0</v>
      </c>
      <c r="AG402" s="98" t="str">
        <f t="shared" si="140"/>
        <v>0000000000</v>
      </c>
      <c r="AH402" s="151">
        <f t="shared" si="141"/>
        <v>0</v>
      </c>
      <c r="AI402" s="98" t="str">
        <f t="shared" si="142"/>
        <v>00</v>
      </c>
      <c r="AJ402" s="98" t="str">
        <f t="shared" si="143"/>
        <v>000000000000</v>
      </c>
      <c r="AK402" s="161" t="str">
        <f t="shared" si="144"/>
        <v xml:space="preserve">                              </v>
      </c>
      <c r="AL402" s="154">
        <f t="shared" si="145"/>
        <v>0</v>
      </c>
      <c r="AM402" s="155">
        <f t="shared" si="146"/>
        <v>0</v>
      </c>
      <c r="AP402" s="63" t="str">
        <f t="shared" ref="AP402:AP465" si="147">IF(D403&lt;&gt;"",CONCATENATE("000",AS402,"0",H403,"2","    ",AD403,AJ403,"            ",AT403,AK403,"                                                                                     "),"")</f>
        <v/>
      </c>
      <c r="AQ402" s="63" t="str">
        <f t="shared" ref="AQ402:AQ465" si="148">IF(D403&lt;&gt;"",CONCATENATE("1520",AA403,AB403,AC403),"")</f>
        <v/>
      </c>
      <c r="AR402" s="152" t="str">
        <f t="shared" ref="AR402:AR465" si="149">IF(D403&lt;&gt;"",MOD(SUM(VALUE(MID($AQ$1,1,1)) * VALUE(MID(AQ402,1,1)),VALUE(MID($AQ$1,2,1)) * VALUE(MID(AQ402,2,1)),VALUE(MID($AQ$1,3,1)) * VALUE(MID(AQ402,3,1)),VALUE(MID($AQ$1,4,1)) * VALUE(MID(AQ402,4,1)),VALUE(MID($AQ$1,5,1)) * VALUE(MID(AQ402,5,1)),VALUE(MID($AQ$1,6,1)) * VALUE(MID(AQ402,6,1)),VALUE(MID($AQ$1,7,1)) * VALUE(MID(AQ402,7,1)),VALUE(MID($AQ$1,8,1)) * VALUE(MID(AQ402,8,1)),VALUE(MID($AQ$1,9,1)) * VALUE(MID(AQ402,9,1)),VALUE(MID($AQ$1,10,1)) * VALUE(MID(AQ402,10,1)),VALUE(MID($AQ$1,11,1)) * VALUE(MID(AQ402,11,1)),VALUE(MID($AQ$1,12,1)) * VALUE(MID(AQ402,12,1)),VALUE(MID($AQ$1,13,1)) * VALUE(MID(AQ402,13,1)),VALUE(MID($AQ$1,14,1)) * VALUE(MID(AQ402,14,1)),VALUE(MID($AQ$1,15,1)) * VALUE(MID(AQ402,15,1)),VALUE(MID($AQ$1,16,1)) * VALUE(MID(AQ402,16,1))),11),"")</f>
        <v/>
      </c>
      <c r="AS402" s="109" t="str">
        <f t="shared" ref="AS402:AS465" si="150">IF(D403&lt;&gt;"",CONCATENATE(AQ402,IF(AR402&gt;9,"1",AR402)),"")</f>
        <v/>
      </c>
      <c r="AT402" s="63" t="str">
        <f t="shared" ref="AT402:AT465" si="151">CONCATENATE(G402,REPT(" ",20-LEN(G402)))</f>
        <v xml:space="preserve">                    </v>
      </c>
    </row>
    <row r="403" spans="1:46" ht="12.75" x14ac:dyDescent="0.2">
      <c r="A403" s="63" t="str">
        <f t="shared" si="133"/>
        <v/>
      </c>
      <c r="B403" s="185"/>
      <c r="C403" s="184"/>
      <c r="D403" s="184"/>
      <c r="E403" s="184"/>
      <c r="F403" s="184"/>
      <c r="G403" s="185"/>
      <c r="H403" s="185"/>
      <c r="I403" s="186"/>
      <c r="J403" s="69"/>
      <c r="AA403" s="63">
        <f t="shared" si="134"/>
        <v>0</v>
      </c>
      <c r="AB403" s="153" t="str">
        <f t="shared" si="135"/>
        <v>000</v>
      </c>
      <c r="AC403" s="165" t="str">
        <f t="shared" si="136"/>
        <v>00000000</v>
      </c>
      <c r="AD403" s="98" t="str">
        <f t="shared" si="137"/>
        <v>00000000</v>
      </c>
      <c r="AE403" s="150">
        <f t="shared" si="138"/>
        <v>0</v>
      </c>
      <c r="AF403" s="150">
        <f t="shared" si="139"/>
        <v>0</v>
      </c>
      <c r="AG403" s="98" t="str">
        <f t="shared" si="140"/>
        <v>0000000000</v>
      </c>
      <c r="AH403" s="151">
        <f t="shared" si="141"/>
        <v>0</v>
      </c>
      <c r="AI403" s="98" t="str">
        <f t="shared" si="142"/>
        <v>00</v>
      </c>
      <c r="AJ403" s="98" t="str">
        <f t="shared" si="143"/>
        <v>000000000000</v>
      </c>
      <c r="AK403" s="161" t="str">
        <f t="shared" si="144"/>
        <v xml:space="preserve">                              </v>
      </c>
      <c r="AL403" s="154">
        <f t="shared" si="145"/>
        <v>0</v>
      </c>
      <c r="AM403" s="155">
        <f t="shared" si="146"/>
        <v>0</v>
      </c>
      <c r="AP403" s="63" t="str">
        <f t="shared" si="147"/>
        <v/>
      </c>
      <c r="AQ403" s="63" t="str">
        <f t="shared" si="148"/>
        <v/>
      </c>
      <c r="AR403" s="152" t="str">
        <f t="shared" si="149"/>
        <v/>
      </c>
      <c r="AS403" s="109" t="str">
        <f t="shared" si="150"/>
        <v/>
      </c>
      <c r="AT403" s="63" t="str">
        <f t="shared" si="151"/>
        <v xml:space="preserve">                    </v>
      </c>
    </row>
    <row r="404" spans="1:46" ht="12.75" x14ac:dyDescent="0.2">
      <c r="A404" s="63" t="str">
        <f t="shared" si="133"/>
        <v/>
      </c>
      <c r="B404" s="185"/>
      <c r="C404" s="184"/>
      <c r="D404" s="184"/>
      <c r="E404" s="184"/>
      <c r="F404" s="184"/>
      <c r="G404" s="185"/>
      <c r="H404" s="185"/>
      <c r="I404" s="186"/>
      <c r="J404" s="69"/>
      <c r="AA404" s="63">
        <f t="shared" si="134"/>
        <v>0</v>
      </c>
      <c r="AB404" s="153" t="str">
        <f t="shared" si="135"/>
        <v>000</v>
      </c>
      <c r="AC404" s="165" t="str">
        <f t="shared" si="136"/>
        <v>00000000</v>
      </c>
      <c r="AD404" s="98" t="str">
        <f t="shared" si="137"/>
        <v>00000000</v>
      </c>
      <c r="AE404" s="150">
        <f t="shared" si="138"/>
        <v>0</v>
      </c>
      <c r="AF404" s="150">
        <f t="shared" si="139"/>
        <v>0</v>
      </c>
      <c r="AG404" s="98" t="str">
        <f t="shared" si="140"/>
        <v>0000000000</v>
      </c>
      <c r="AH404" s="151">
        <f t="shared" si="141"/>
        <v>0</v>
      </c>
      <c r="AI404" s="98" t="str">
        <f t="shared" si="142"/>
        <v>00</v>
      </c>
      <c r="AJ404" s="98" t="str">
        <f t="shared" si="143"/>
        <v>000000000000</v>
      </c>
      <c r="AK404" s="161" t="str">
        <f t="shared" si="144"/>
        <v xml:space="preserve">                              </v>
      </c>
      <c r="AL404" s="154">
        <f t="shared" si="145"/>
        <v>0</v>
      </c>
      <c r="AM404" s="155">
        <f t="shared" si="146"/>
        <v>0</v>
      </c>
      <c r="AP404" s="63" t="str">
        <f t="shared" si="147"/>
        <v/>
      </c>
      <c r="AQ404" s="63" t="str">
        <f t="shared" si="148"/>
        <v/>
      </c>
      <c r="AR404" s="152" t="str">
        <f t="shared" si="149"/>
        <v/>
      </c>
      <c r="AS404" s="109" t="str">
        <f t="shared" si="150"/>
        <v/>
      </c>
      <c r="AT404" s="63" t="str">
        <f t="shared" si="151"/>
        <v xml:space="preserve">                    </v>
      </c>
    </row>
    <row r="405" spans="1:46" ht="12.75" x14ac:dyDescent="0.2">
      <c r="A405" s="63" t="str">
        <f t="shared" si="133"/>
        <v/>
      </c>
      <c r="B405" s="185"/>
      <c r="C405" s="184"/>
      <c r="D405" s="184"/>
      <c r="E405" s="184"/>
      <c r="F405" s="184"/>
      <c r="G405" s="185"/>
      <c r="H405" s="185"/>
      <c r="I405" s="186"/>
      <c r="J405" s="69"/>
      <c r="AA405" s="63">
        <f t="shared" si="134"/>
        <v>0</v>
      </c>
      <c r="AB405" s="153" t="str">
        <f t="shared" si="135"/>
        <v>000</v>
      </c>
      <c r="AC405" s="165" t="str">
        <f t="shared" si="136"/>
        <v>00000000</v>
      </c>
      <c r="AD405" s="98" t="str">
        <f t="shared" si="137"/>
        <v>00000000</v>
      </c>
      <c r="AE405" s="150">
        <f t="shared" si="138"/>
        <v>0</v>
      </c>
      <c r="AF405" s="150">
        <f t="shared" si="139"/>
        <v>0</v>
      </c>
      <c r="AG405" s="98" t="str">
        <f t="shared" si="140"/>
        <v>0000000000</v>
      </c>
      <c r="AH405" s="151">
        <f t="shared" si="141"/>
        <v>0</v>
      </c>
      <c r="AI405" s="98" t="str">
        <f t="shared" si="142"/>
        <v>00</v>
      </c>
      <c r="AJ405" s="98" t="str">
        <f t="shared" si="143"/>
        <v>000000000000</v>
      </c>
      <c r="AK405" s="161" t="str">
        <f t="shared" si="144"/>
        <v xml:space="preserve">                              </v>
      </c>
      <c r="AL405" s="154">
        <f t="shared" si="145"/>
        <v>0</v>
      </c>
      <c r="AM405" s="155">
        <f t="shared" si="146"/>
        <v>0</v>
      </c>
      <c r="AP405" s="63" t="str">
        <f t="shared" si="147"/>
        <v/>
      </c>
      <c r="AQ405" s="63" t="str">
        <f t="shared" si="148"/>
        <v/>
      </c>
      <c r="AR405" s="152" t="str">
        <f t="shared" si="149"/>
        <v/>
      </c>
      <c r="AS405" s="109" t="str">
        <f t="shared" si="150"/>
        <v/>
      </c>
      <c r="AT405" s="63" t="str">
        <f t="shared" si="151"/>
        <v xml:space="preserve">                    </v>
      </c>
    </row>
    <row r="406" spans="1:46" ht="12.75" x14ac:dyDescent="0.2">
      <c r="A406" s="63" t="str">
        <f t="shared" si="133"/>
        <v/>
      </c>
      <c r="B406" s="185"/>
      <c r="C406" s="184"/>
      <c r="D406" s="184"/>
      <c r="E406" s="184"/>
      <c r="F406" s="184"/>
      <c r="G406" s="185"/>
      <c r="H406" s="185"/>
      <c r="I406" s="186"/>
      <c r="J406" s="69"/>
      <c r="AA406" s="63">
        <f t="shared" si="134"/>
        <v>0</v>
      </c>
      <c r="AB406" s="153" t="str">
        <f t="shared" si="135"/>
        <v>000</v>
      </c>
      <c r="AC406" s="165" t="str">
        <f t="shared" si="136"/>
        <v>00000000</v>
      </c>
      <c r="AD406" s="98" t="str">
        <f t="shared" si="137"/>
        <v>00000000</v>
      </c>
      <c r="AE406" s="150">
        <f t="shared" si="138"/>
        <v>0</v>
      </c>
      <c r="AF406" s="150">
        <f t="shared" si="139"/>
        <v>0</v>
      </c>
      <c r="AG406" s="98" t="str">
        <f t="shared" si="140"/>
        <v>0000000000</v>
      </c>
      <c r="AH406" s="151">
        <f t="shared" si="141"/>
        <v>0</v>
      </c>
      <c r="AI406" s="98" t="str">
        <f t="shared" si="142"/>
        <v>00</v>
      </c>
      <c r="AJ406" s="98" t="str">
        <f t="shared" si="143"/>
        <v>000000000000</v>
      </c>
      <c r="AK406" s="161" t="str">
        <f t="shared" si="144"/>
        <v xml:space="preserve">                              </v>
      </c>
      <c r="AL406" s="154">
        <f t="shared" si="145"/>
        <v>0</v>
      </c>
      <c r="AM406" s="155">
        <f t="shared" si="146"/>
        <v>0</v>
      </c>
      <c r="AP406" s="63" t="str">
        <f t="shared" si="147"/>
        <v/>
      </c>
      <c r="AQ406" s="63" t="str">
        <f t="shared" si="148"/>
        <v/>
      </c>
      <c r="AR406" s="152" t="str">
        <f t="shared" si="149"/>
        <v/>
      </c>
      <c r="AS406" s="109" t="str">
        <f t="shared" si="150"/>
        <v/>
      </c>
      <c r="AT406" s="63" t="str">
        <f t="shared" si="151"/>
        <v xml:space="preserve">                    </v>
      </c>
    </row>
    <row r="407" spans="1:46" ht="12.75" x14ac:dyDescent="0.2">
      <c r="A407" s="63" t="str">
        <f t="shared" si="133"/>
        <v/>
      </c>
      <c r="B407" s="185"/>
      <c r="C407" s="184"/>
      <c r="D407" s="184"/>
      <c r="E407" s="184"/>
      <c r="F407" s="184"/>
      <c r="G407" s="185"/>
      <c r="H407" s="185"/>
      <c r="I407" s="186"/>
      <c r="J407" s="69"/>
      <c r="AA407" s="63">
        <f t="shared" si="134"/>
        <v>0</v>
      </c>
      <c r="AB407" s="153" t="str">
        <f t="shared" si="135"/>
        <v>000</v>
      </c>
      <c r="AC407" s="165" t="str">
        <f t="shared" si="136"/>
        <v>00000000</v>
      </c>
      <c r="AD407" s="98" t="str">
        <f t="shared" si="137"/>
        <v>00000000</v>
      </c>
      <c r="AE407" s="150">
        <f t="shared" si="138"/>
        <v>0</v>
      </c>
      <c r="AF407" s="150">
        <f t="shared" si="139"/>
        <v>0</v>
      </c>
      <c r="AG407" s="98" t="str">
        <f t="shared" si="140"/>
        <v>0000000000</v>
      </c>
      <c r="AH407" s="151">
        <f t="shared" si="141"/>
        <v>0</v>
      </c>
      <c r="AI407" s="98" t="str">
        <f t="shared" si="142"/>
        <v>00</v>
      </c>
      <c r="AJ407" s="98" t="str">
        <f t="shared" si="143"/>
        <v>000000000000</v>
      </c>
      <c r="AK407" s="161" t="str">
        <f t="shared" si="144"/>
        <v xml:space="preserve">                              </v>
      </c>
      <c r="AL407" s="154">
        <f t="shared" si="145"/>
        <v>0</v>
      </c>
      <c r="AM407" s="155">
        <f t="shared" si="146"/>
        <v>0</v>
      </c>
      <c r="AP407" s="63" t="str">
        <f t="shared" si="147"/>
        <v/>
      </c>
      <c r="AQ407" s="63" t="str">
        <f t="shared" si="148"/>
        <v/>
      </c>
      <c r="AR407" s="152" t="str">
        <f t="shared" si="149"/>
        <v/>
      </c>
      <c r="AS407" s="109" t="str">
        <f t="shared" si="150"/>
        <v/>
      </c>
      <c r="AT407" s="63" t="str">
        <f t="shared" si="151"/>
        <v xml:space="preserve">                    </v>
      </c>
    </row>
    <row r="408" spans="1:46" ht="12.75" x14ac:dyDescent="0.2">
      <c r="A408" s="63" t="str">
        <f t="shared" si="133"/>
        <v/>
      </c>
      <c r="B408" s="185"/>
      <c r="C408" s="184"/>
      <c r="D408" s="184"/>
      <c r="E408" s="184"/>
      <c r="F408" s="184"/>
      <c r="G408" s="185"/>
      <c r="H408" s="185"/>
      <c r="I408" s="186"/>
      <c r="J408" s="69"/>
      <c r="AA408" s="63">
        <f t="shared" si="134"/>
        <v>0</v>
      </c>
      <c r="AB408" s="153" t="str">
        <f t="shared" si="135"/>
        <v>000</v>
      </c>
      <c r="AC408" s="165" t="str">
        <f t="shared" si="136"/>
        <v>00000000</v>
      </c>
      <c r="AD408" s="98" t="str">
        <f t="shared" si="137"/>
        <v>00000000</v>
      </c>
      <c r="AE408" s="150">
        <f t="shared" si="138"/>
        <v>0</v>
      </c>
      <c r="AF408" s="150">
        <f t="shared" si="139"/>
        <v>0</v>
      </c>
      <c r="AG408" s="98" t="str">
        <f t="shared" si="140"/>
        <v>0000000000</v>
      </c>
      <c r="AH408" s="151">
        <f t="shared" si="141"/>
        <v>0</v>
      </c>
      <c r="AI408" s="98" t="str">
        <f t="shared" si="142"/>
        <v>00</v>
      </c>
      <c r="AJ408" s="98" t="str">
        <f t="shared" si="143"/>
        <v>000000000000</v>
      </c>
      <c r="AK408" s="161" t="str">
        <f t="shared" si="144"/>
        <v xml:space="preserve">                              </v>
      </c>
      <c r="AL408" s="154">
        <f t="shared" si="145"/>
        <v>0</v>
      </c>
      <c r="AM408" s="155">
        <f t="shared" si="146"/>
        <v>0</v>
      </c>
      <c r="AP408" s="63" t="str">
        <f t="shared" si="147"/>
        <v/>
      </c>
      <c r="AQ408" s="63" t="str">
        <f t="shared" si="148"/>
        <v/>
      </c>
      <c r="AR408" s="152" t="str">
        <f t="shared" si="149"/>
        <v/>
      </c>
      <c r="AS408" s="109" t="str">
        <f t="shared" si="150"/>
        <v/>
      </c>
      <c r="AT408" s="63" t="str">
        <f t="shared" si="151"/>
        <v xml:space="preserve">                    </v>
      </c>
    </row>
    <row r="409" spans="1:46" ht="12.75" x14ac:dyDescent="0.2">
      <c r="A409" s="63" t="str">
        <f t="shared" si="133"/>
        <v/>
      </c>
      <c r="B409" s="185"/>
      <c r="C409" s="184"/>
      <c r="D409" s="184"/>
      <c r="E409" s="184"/>
      <c r="F409" s="184"/>
      <c r="G409" s="185"/>
      <c r="H409" s="185"/>
      <c r="I409" s="186"/>
      <c r="J409" s="69"/>
      <c r="AA409" s="63">
        <f t="shared" si="134"/>
        <v>0</v>
      </c>
      <c r="AB409" s="153" t="str">
        <f t="shared" si="135"/>
        <v>000</v>
      </c>
      <c r="AC409" s="165" t="str">
        <f t="shared" si="136"/>
        <v>00000000</v>
      </c>
      <c r="AD409" s="98" t="str">
        <f t="shared" si="137"/>
        <v>00000000</v>
      </c>
      <c r="AE409" s="150">
        <f t="shared" si="138"/>
        <v>0</v>
      </c>
      <c r="AF409" s="150">
        <f t="shared" si="139"/>
        <v>0</v>
      </c>
      <c r="AG409" s="98" t="str">
        <f t="shared" si="140"/>
        <v>0000000000</v>
      </c>
      <c r="AH409" s="151">
        <f t="shared" si="141"/>
        <v>0</v>
      </c>
      <c r="AI409" s="98" t="str">
        <f t="shared" si="142"/>
        <v>00</v>
      </c>
      <c r="AJ409" s="98" t="str">
        <f t="shared" si="143"/>
        <v>000000000000</v>
      </c>
      <c r="AK409" s="161" t="str">
        <f t="shared" si="144"/>
        <v xml:space="preserve">                              </v>
      </c>
      <c r="AL409" s="154">
        <f t="shared" si="145"/>
        <v>0</v>
      </c>
      <c r="AM409" s="155">
        <f t="shared" si="146"/>
        <v>0</v>
      </c>
      <c r="AP409" s="63" t="str">
        <f t="shared" si="147"/>
        <v/>
      </c>
      <c r="AQ409" s="63" t="str">
        <f t="shared" si="148"/>
        <v/>
      </c>
      <c r="AR409" s="152" t="str">
        <f t="shared" si="149"/>
        <v/>
      </c>
      <c r="AS409" s="109" t="str">
        <f t="shared" si="150"/>
        <v/>
      </c>
      <c r="AT409" s="63" t="str">
        <f t="shared" si="151"/>
        <v xml:space="preserve">                    </v>
      </c>
    </row>
    <row r="410" spans="1:46" ht="12.75" x14ac:dyDescent="0.2">
      <c r="A410" s="63" t="str">
        <f t="shared" si="133"/>
        <v/>
      </c>
      <c r="B410" s="185"/>
      <c r="C410" s="184"/>
      <c r="D410" s="184"/>
      <c r="E410" s="184"/>
      <c r="F410" s="184"/>
      <c r="G410" s="185"/>
      <c r="H410" s="185"/>
      <c r="I410" s="186"/>
      <c r="J410" s="69"/>
      <c r="AA410" s="63">
        <f t="shared" si="134"/>
        <v>0</v>
      </c>
      <c r="AB410" s="153" t="str">
        <f t="shared" si="135"/>
        <v>000</v>
      </c>
      <c r="AC410" s="165" t="str">
        <f t="shared" si="136"/>
        <v>00000000</v>
      </c>
      <c r="AD410" s="98" t="str">
        <f t="shared" si="137"/>
        <v>00000000</v>
      </c>
      <c r="AE410" s="150">
        <f t="shared" si="138"/>
        <v>0</v>
      </c>
      <c r="AF410" s="150">
        <f t="shared" si="139"/>
        <v>0</v>
      </c>
      <c r="AG410" s="98" t="str">
        <f t="shared" si="140"/>
        <v>0000000000</v>
      </c>
      <c r="AH410" s="151">
        <f t="shared" si="141"/>
        <v>0</v>
      </c>
      <c r="AI410" s="98" t="str">
        <f t="shared" si="142"/>
        <v>00</v>
      </c>
      <c r="AJ410" s="98" t="str">
        <f t="shared" si="143"/>
        <v>000000000000</v>
      </c>
      <c r="AK410" s="161" t="str">
        <f t="shared" si="144"/>
        <v xml:space="preserve">                              </v>
      </c>
      <c r="AL410" s="154">
        <f t="shared" si="145"/>
        <v>0</v>
      </c>
      <c r="AM410" s="155">
        <f t="shared" si="146"/>
        <v>0</v>
      </c>
      <c r="AP410" s="63" t="str">
        <f t="shared" si="147"/>
        <v/>
      </c>
      <c r="AQ410" s="63" t="str">
        <f t="shared" si="148"/>
        <v/>
      </c>
      <c r="AR410" s="152" t="str">
        <f t="shared" si="149"/>
        <v/>
      </c>
      <c r="AS410" s="109" t="str">
        <f t="shared" si="150"/>
        <v/>
      </c>
      <c r="AT410" s="63" t="str">
        <f t="shared" si="151"/>
        <v xml:space="preserve">                    </v>
      </c>
    </row>
    <row r="411" spans="1:46" ht="12.75" x14ac:dyDescent="0.2">
      <c r="A411" s="63" t="str">
        <f t="shared" si="133"/>
        <v/>
      </c>
      <c r="B411" s="185"/>
      <c r="C411" s="184"/>
      <c r="D411" s="184"/>
      <c r="E411" s="184"/>
      <c r="F411" s="184"/>
      <c r="G411" s="185"/>
      <c r="H411" s="185"/>
      <c r="I411" s="186"/>
      <c r="J411" s="69"/>
      <c r="AA411" s="63">
        <f t="shared" si="134"/>
        <v>0</v>
      </c>
      <c r="AB411" s="153" t="str">
        <f t="shared" si="135"/>
        <v>000</v>
      </c>
      <c r="AC411" s="165" t="str">
        <f t="shared" si="136"/>
        <v>00000000</v>
      </c>
      <c r="AD411" s="98" t="str">
        <f t="shared" si="137"/>
        <v>00000000</v>
      </c>
      <c r="AE411" s="150">
        <f t="shared" si="138"/>
        <v>0</v>
      </c>
      <c r="AF411" s="150">
        <f t="shared" si="139"/>
        <v>0</v>
      </c>
      <c r="AG411" s="98" t="str">
        <f t="shared" si="140"/>
        <v>0000000000</v>
      </c>
      <c r="AH411" s="151">
        <f t="shared" si="141"/>
        <v>0</v>
      </c>
      <c r="AI411" s="98" t="str">
        <f t="shared" si="142"/>
        <v>00</v>
      </c>
      <c r="AJ411" s="98" t="str">
        <f t="shared" si="143"/>
        <v>000000000000</v>
      </c>
      <c r="AK411" s="161" t="str">
        <f t="shared" si="144"/>
        <v xml:space="preserve">                              </v>
      </c>
      <c r="AL411" s="154">
        <f t="shared" si="145"/>
        <v>0</v>
      </c>
      <c r="AM411" s="155">
        <f t="shared" si="146"/>
        <v>0</v>
      </c>
      <c r="AP411" s="63" t="str">
        <f t="shared" si="147"/>
        <v/>
      </c>
      <c r="AQ411" s="63" t="str">
        <f t="shared" si="148"/>
        <v/>
      </c>
      <c r="AR411" s="152" t="str">
        <f t="shared" si="149"/>
        <v/>
      </c>
      <c r="AS411" s="109" t="str">
        <f t="shared" si="150"/>
        <v/>
      </c>
      <c r="AT411" s="63" t="str">
        <f t="shared" si="151"/>
        <v xml:space="preserve">                    </v>
      </c>
    </row>
    <row r="412" spans="1:46" ht="12.75" x14ac:dyDescent="0.2">
      <c r="A412" s="63" t="str">
        <f t="shared" si="133"/>
        <v/>
      </c>
      <c r="B412" s="185"/>
      <c r="C412" s="184"/>
      <c r="D412" s="184"/>
      <c r="E412" s="184"/>
      <c r="F412" s="184"/>
      <c r="G412" s="185"/>
      <c r="H412" s="185"/>
      <c r="I412" s="186"/>
      <c r="J412" s="69"/>
      <c r="AA412" s="63">
        <f t="shared" si="134"/>
        <v>0</v>
      </c>
      <c r="AB412" s="153" t="str">
        <f t="shared" si="135"/>
        <v>000</v>
      </c>
      <c r="AC412" s="165" t="str">
        <f t="shared" si="136"/>
        <v>00000000</v>
      </c>
      <c r="AD412" s="98" t="str">
        <f t="shared" si="137"/>
        <v>00000000</v>
      </c>
      <c r="AE412" s="150">
        <f t="shared" si="138"/>
        <v>0</v>
      </c>
      <c r="AF412" s="150">
        <f t="shared" si="139"/>
        <v>0</v>
      </c>
      <c r="AG412" s="98" t="str">
        <f t="shared" si="140"/>
        <v>0000000000</v>
      </c>
      <c r="AH412" s="151">
        <f t="shared" si="141"/>
        <v>0</v>
      </c>
      <c r="AI412" s="98" t="str">
        <f t="shared" si="142"/>
        <v>00</v>
      </c>
      <c r="AJ412" s="98" t="str">
        <f t="shared" si="143"/>
        <v>000000000000</v>
      </c>
      <c r="AK412" s="161" t="str">
        <f t="shared" si="144"/>
        <v xml:space="preserve">                              </v>
      </c>
      <c r="AL412" s="154">
        <f t="shared" si="145"/>
        <v>0</v>
      </c>
      <c r="AM412" s="155">
        <f t="shared" si="146"/>
        <v>0</v>
      </c>
      <c r="AP412" s="63" t="str">
        <f t="shared" si="147"/>
        <v/>
      </c>
      <c r="AQ412" s="63" t="str">
        <f t="shared" si="148"/>
        <v/>
      </c>
      <c r="AR412" s="152" t="str">
        <f t="shared" si="149"/>
        <v/>
      </c>
      <c r="AS412" s="109" t="str">
        <f t="shared" si="150"/>
        <v/>
      </c>
      <c r="AT412" s="63" t="str">
        <f t="shared" si="151"/>
        <v xml:space="preserve">                    </v>
      </c>
    </row>
    <row r="413" spans="1:46" ht="12.75" x14ac:dyDescent="0.2">
      <c r="A413" s="63" t="str">
        <f t="shared" si="133"/>
        <v/>
      </c>
      <c r="B413" s="185"/>
      <c r="C413" s="184"/>
      <c r="D413" s="184"/>
      <c r="E413" s="184"/>
      <c r="F413" s="184"/>
      <c r="G413" s="185"/>
      <c r="H413" s="185"/>
      <c r="I413" s="186"/>
      <c r="J413" s="69"/>
      <c r="AA413" s="63">
        <f t="shared" si="134"/>
        <v>0</v>
      </c>
      <c r="AB413" s="153" t="str">
        <f t="shared" si="135"/>
        <v>000</v>
      </c>
      <c r="AC413" s="165" t="str">
        <f t="shared" si="136"/>
        <v>00000000</v>
      </c>
      <c r="AD413" s="98" t="str">
        <f t="shared" si="137"/>
        <v>00000000</v>
      </c>
      <c r="AE413" s="150">
        <f t="shared" si="138"/>
        <v>0</v>
      </c>
      <c r="AF413" s="150">
        <f t="shared" si="139"/>
        <v>0</v>
      </c>
      <c r="AG413" s="98" t="str">
        <f t="shared" si="140"/>
        <v>0000000000</v>
      </c>
      <c r="AH413" s="151">
        <f t="shared" si="141"/>
        <v>0</v>
      </c>
      <c r="AI413" s="98" t="str">
        <f t="shared" si="142"/>
        <v>00</v>
      </c>
      <c r="AJ413" s="98" t="str">
        <f t="shared" si="143"/>
        <v>000000000000</v>
      </c>
      <c r="AK413" s="161" t="str">
        <f t="shared" si="144"/>
        <v xml:space="preserve">                              </v>
      </c>
      <c r="AL413" s="154">
        <f t="shared" si="145"/>
        <v>0</v>
      </c>
      <c r="AM413" s="155">
        <f t="shared" si="146"/>
        <v>0</v>
      </c>
      <c r="AP413" s="63" t="str">
        <f t="shared" si="147"/>
        <v/>
      </c>
      <c r="AQ413" s="63" t="str">
        <f t="shared" si="148"/>
        <v/>
      </c>
      <c r="AR413" s="152" t="str">
        <f t="shared" si="149"/>
        <v/>
      </c>
      <c r="AS413" s="109" t="str">
        <f t="shared" si="150"/>
        <v/>
      </c>
      <c r="AT413" s="63" t="str">
        <f t="shared" si="151"/>
        <v xml:space="preserve">                    </v>
      </c>
    </row>
    <row r="414" spans="1:46" ht="12.75" x14ac:dyDescent="0.2">
      <c r="A414" s="63" t="str">
        <f t="shared" si="133"/>
        <v/>
      </c>
      <c r="B414" s="185"/>
      <c r="C414" s="184"/>
      <c r="D414" s="184"/>
      <c r="E414" s="184"/>
      <c r="F414" s="184"/>
      <c r="G414" s="185"/>
      <c r="H414" s="185"/>
      <c r="I414" s="186"/>
      <c r="J414" s="69"/>
      <c r="AA414" s="63">
        <f t="shared" si="134"/>
        <v>0</v>
      </c>
      <c r="AB414" s="153" t="str">
        <f t="shared" si="135"/>
        <v>000</v>
      </c>
      <c r="AC414" s="165" t="str">
        <f t="shared" si="136"/>
        <v>00000000</v>
      </c>
      <c r="AD414" s="98" t="str">
        <f t="shared" si="137"/>
        <v>00000000</v>
      </c>
      <c r="AE414" s="150">
        <f t="shared" si="138"/>
        <v>0</v>
      </c>
      <c r="AF414" s="150">
        <f t="shared" si="139"/>
        <v>0</v>
      </c>
      <c r="AG414" s="98" t="str">
        <f t="shared" si="140"/>
        <v>0000000000</v>
      </c>
      <c r="AH414" s="151">
        <f t="shared" si="141"/>
        <v>0</v>
      </c>
      <c r="AI414" s="98" t="str">
        <f t="shared" si="142"/>
        <v>00</v>
      </c>
      <c r="AJ414" s="98" t="str">
        <f t="shared" si="143"/>
        <v>000000000000</v>
      </c>
      <c r="AK414" s="161" t="str">
        <f t="shared" si="144"/>
        <v xml:space="preserve">                              </v>
      </c>
      <c r="AL414" s="154">
        <f t="shared" si="145"/>
        <v>0</v>
      </c>
      <c r="AM414" s="155">
        <f t="shared" si="146"/>
        <v>0</v>
      </c>
      <c r="AP414" s="63" t="str">
        <f t="shared" si="147"/>
        <v/>
      </c>
      <c r="AQ414" s="63" t="str">
        <f t="shared" si="148"/>
        <v/>
      </c>
      <c r="AR414" s="152" t="str">
        <f t="shared" si="149"/>
        <v/>
      </c>
      <c r="AS414" s="109" t="str">
        <f t="shared" si="150"/>
        <v/>
      </c>
      <c r="AT414" s="63" t="str">
        <f t="shared" si="151"/>
        <v xml:space="preserve">                    </v>
      </c>
    </row>
    <row r="415" spans="1:46" ht="12.75" x14ac:dyDescent="0.2">
      <c r="A415" s="63" t="str">
        <f t="shared" si="133"/>
        <v/>
      </c>
      <c r="B415" s="185"/>
      <c r="C415" s="184"/>
      <c r="D415" s="184"/>
      <c r="E415" s="184"/>
      <c r="F415" s="184"/>
      <c r="G415" s="185"/>
      <c r="H415" s="185"/>
      <c r="I415" s="186"/>
      <c r="J415" s="69"/>
      <c r="AA415" s="63">
        <f t="shared" si="134"/>
        <v>0</v>
      </c>
      <c r="AB415" s="153" t="str">
        <f t="shared" si="135"/>
        <v>000</v>
      </c>
      <c r="AC415" s="165" t="str">
        <f t="shared" si="136"/>
        <v>00000000</v>
      </c>
      <c r="AD415" s="98" t="str">
        <f t="shared" si="137"/>
        <v>00000000</v>
      </c>
      <c r="AE415" s="150">
        <f t="shared" si="138"/>
        <v>0</v>
      </c>
      <c r="AF415" s="150">
        <f t="shared" si="139"/>
        <v>0</v>
      </c>
      <c r="AG415" s="98" t="str">
        <f t="shared" si="140"/>
        <v>0000000000</v>
      </c>
      <c r="AH415" s="151">
        <f t="shared" si="141"/>
        <v>0</v>
      </c>
      <c r="AI415" s="98" t="str">
        <f t="shared" si="142"/>
        <v>00</v>
      </c>
      <c r="AJ415" s="98" t="str">
        <f t="shared" si="143"/>
        <v>000000000000</v>
      </c>
      <c r="AK415" s="161" t="str">
        <f t="shared" si="144"/>
        <v xml:space="preserve">                              </v>
      </c>
      <c r="AL415" s="154">
        <f t="shared" si="145"/>
        <v>0</v>
      </c>
      <c r="AM415" s="155">
        <f t="shared" si="146"/>
        <v>0</v>
      </c>
      <c r="AP415" s="63" t="str">
        <f t="shared" si="147"/>
        <v/>
      </c>
      <c r="AQ415" s="63" t="str">
        <f t="shared" si="148"/>
        <v/>
      </c>
      <c r="AR415" s="152" t="str">
        <f t="shared" si="149"/>
        <v/>
      </c>
      <c r="AS415" s="109" t="str">
        <f t="shared" si="150"/>
        <v/>
      </c>
      <c r="AT415" s="63" t="str">
        <f t="shared" si="151"/>
        <v xml:space="preserve">                    </v>
      </c>
    </row>
    <row r="416" spans="1:46" ht="12.75" x14ac:dyDescent="0.2">
      <c r="A416" s="63" t="str">
        <f t="shared" si="133"/>
        <v/>
      </c>
      <c r="B416" s="185"/>
      <c r="C416" s="184"/>
      <c r="D416" s="184"/>
      <c r="E416" s="184"/>
      <c r="F416" s="184"/>
      <c r="G416" s="185"/>
      <c r="H416" s="185"/>
      <c r="I416" s="186"/>
      <c r="J416" s="69"/>
      <c r="AA416" s="63">
        <f t="shared" si="134"/>
        <v>0</v>
      </c>
      <c r="AB416" s="153" t="str">
        <f t="shared" si="135"/>
        <v>000</v>
      </c>
      <c r="AC416" s="165" t="str">
        <f t="shared" si="136"/>
        <v>00000000</v>
      </c>
      <c r="AD416" s="98" t="str">
        <f t="shared" si="137"/>
        <v>00000000</v>
      </c>
      <c r="AE416" s="150">
        <f t="shared" si="138"/>
        <v>0</v>
      </c>
      <c r="AF416" s="150">
        <f t="shared" si="139"/>
        <v>0</v>
      </c>
      <c r="AG416" s="98" t="str">
        <f t="shared" si="140"/>
        <v>0000000000</v>
      </c>
      <c r="AH416" s="151">
        <f t="shared" si="141"/>
        <v>0</v>
      </c>
      <c r="AI416" s="98" t="str">
        <f t="shared" si="142"/>
        <v>00</v>
      </c>
      <c r="AJ416" s="98" t="str">
        <f t="shared" si="143"/>
        <v>000000000000</v>
      </c>
      <c r="AK416" s="161" t="str">
        <f t="shared" si="144"/>
        <v xml:space="preserve">                              </v>
      </c>
      <c r="AL416" s="154">
        <f t="shared" si="145"/>
        <v>0</v>
      </c>
      <c r="AM416" s="155">
        <f t="shared" si="146"/>
        <v>0</v>
      </c>
      <c r="AP416" s="63" t="str">
        <f t="shared" si="147"/>
        <v/>
      </c>
      <c r="AQ416" s="63" t="str">
        <f t="shared" si="148"/>
        <v/>
      </c>
      <c r="AR416" s="152" t="str">
        <f t="shared" si="149"/>
        <v/>
      </c>
      <c r="AS416" s="109" t="str">
        <f t="shared" si="150"/>
        <v/>
      </c>
      <c r="AT416" s="63" t="str">
        <f t="shared" si="151"/>
        <v xml:space="preserve">                    </v>
      </c>
    </row>
    <row r="417" spans="1:46" ht="12.75" x14ac:dyDescent="0.2">
      <c r="A417" s="63" t="str">
        <f t="shared" si="133"/>
        <v/>
      </c>
      <c r="B417" s="185"/>
      <c r="C417" s="184"/>
      <c r="D417" s="184"/>
      <c r="E417" s="184"/>
      <c r="F417" s="184"/>
      <c r="G417" s="185"/>
      <c r="H417" s="185"/>
      <c r="I417" s="186"/>
      <c r="J417" s="69"/>
      <c r="AA417" s="63">
        <f t="shared" si="134"/>
        <v>0</v>
      </c>
      <c r="AB417" s="153" t="str">
        <f t="shared" si="135"/>
        <v>000</v>
      </c>
      <c r="AC417" s="165" t="str">
        <f t="shared" si="136"/>
        <v>00000000</v>
      </c>
      <c r="AD417" s="98" t="str">
        <f t="shared" si="137"/>
        <v>00000000</v>
      </c>
      <c r="AE417" s="150">
        <f t="shared" si="138"/>
        <v>0</v>
      </c>
      <c r="AF417" s="150">
        <f t="shared" si="139"/>
        <v>0</v>
      </c>
      <c r="AG417" s="98" t="str">
        <f t="shared" si="140"/>
        <v>0000000000</v>
      </c>
      <c r="AH417" s="151">
        <f t="shared" si="141"/>
        <v>0</v>
      </c>
      <c r="AI417" s="98" t="str">
        <f t="shared" si="142"/>
        <v>00</v>
      </c>
      <c r="AJ417" s="98" t="str">
        <f t="shared" si="143"/>
        <v>000000000000</v>
      </c>
      <c r="AK417" s="161" t="str">
        <f t="shared" si="144"/>
        <v xml:space="preserve">                              </v>
      </c>
      <c r="AL417" s="154">
        <f t="shared" si="145"/>
        <v>0</v>
      </c>
      <c r="AM417" s="155">
        <f t="shared" si="146"/>
        <v>0</v>
      </c>
      <c r="AP417" s="63" t="str">
        <f t="shared" si="147"/>
        <v/>
      </c>
      <c r="AQ417" s="63" t="str">
        <f t="shared" si="148"/>
        <v/>
      </c>
      <c r="AR417" s="152" t="str">
        <f t="shared" si="149"/>
        <v/>
      </c>
      <c r="AS417" s="109" t="str">
        <f t="shared" si="150"/>
        <v/>
      </c>
      <c r="AT417" s="63" t="str">
        <f t="shared" si="151"/>
        <v xml:space="preserve">                    </v>
      </c>
    </row>
    <row r="418" spans="1:46" ht="12.75" x14ac:dyDescent="0.2">
      <c r="A418" s="63" t="str">
        <f t="shared" si="133"/>
        <v/>
      </c>
      <c r="B418" s="185"/>
      <c r="C418" s="184"/>
      <c r="D418" s="184"/>
      <c r="E418" s="184"/>
      <c r="F418" s="184"/>
      <c r="G418" s="185"/>
      <c r="H418" s="185"/>
      <c r="I418" s="186"/>
      <c r="J418" s="69"/>
      <c r="AA418" s="63">
        <f t="shared" si="134"/>
        <v>0</v>
      </c>
      <c r="AB418" s="153" t="str">
        <f t="shared" si="135"/>
        <v>000</v>
      </c>
      <c r="AC418" s="165" t="str">
        <f t="shared" si="136"/>
        <v>00000000</v>
      </c>
      <c r="AD418" s="98" t="str">
        <f t="shared" si="137"/>
        <v>00000000</v>
      </c>
      <c r="AE418" s="150">
        <f t="shared" si="138"/>
        <v>0</v>
      </c>
      <c r="AF418" s="150">
        <f t="shared" si="139"/>
        <v>0</v>
      </c>
      <c r="AG418" s="98" t="str">
        <f t="shared" si="140"/>
        <v>0000000000</v>
      </c>
      <c r="AH418" s="151">
        <f t="shared" si="141"/>
        <v>0</v>
      </c>
      <c r="AI418" s="98" t="str">
        <f t="shared" si="142"/>
        <v>00</v>
      </c>
      <c r="AJ418" s="98" t="str">
        <f t="shared" si="143"/>
        <v>000000000000</v>
      </c>
      <c r="AK418" s="161" t="str">
        <f t="shared" si="144"/>
        <v xml:space="preserve">                              </v>
      </c>
      <c r="AL418" s="154">
        <f t="shared" si="145"/>
        <v>0</v>
      </c>
      <c r="AM418" s="155">
        <f t="shared" si="146"/>
        <v>0</v>
      </c>
      <c r="AP418" s="63" t="str">
        <f t="shared" si="147"/>
        <v/>
      </c>
      <c r="AQ418" s="63" t="str">
        <f t="shared" si="148"/>
        <v/>
      </c>
      <c r="AR418" s="152" t="str">
        <f t="shared" si="149"/>
        <v/>
      </c>
      <c r="AS418" s="109" t="str">
        <f t="shared" si="150"/>
        <v/>
      </c>
      <c r="AT418" s="63" t="str">
        <f t="shared" si="151"/>
        <v xml:space="preserve">                    </v>
      </c>
    </row>
    <row r="419" spans="1:46" ht="12.75" x14ac:dyDescent="0.2">
      <c r="A419" s="63" t="str">
        <f t="shared" si="133"/>
        <v/>
      </c>
      <c r="B419" s="185"/>
      <c r="C419" s="184"/>
      <c r="D419" s="184"/>
      <c r="E419" s="184"/>
      <c r="F419" s="184"/>
      <c r="G419" s="185"/>
      <c r="H419" s="185"/>
      <c r="I419" s="186"/>
      <c r="J419" s="69"/>
      <c r="AA419" s="63">
        <f t="shared" si="134"/>
        <v>0</v>
      </c>
      <c r="AB419" s="153" t="str">
        <f t="shared" si="135"/>
        <v>000</v>
      </c>
      <c r="AC419" s="165" t="str">
        <f t="shared" si="136"/>
        <v>00000000</v>
      </c>
      <c r="AD419" s="98" t="str">
        <f t="shared" si="137"/>
        <v>00000000</v>
      </c>
      <c r="AE419" s="150">
        <f t="shared" si="138"/>
        <v>0</v>
      </c>
      <c r="AF419" s="150">
        <f t="shared" si="139"/>
        <v>0</v>
      </c>
      <c r="AG419" s="98" t="str">
        <f t="shared" si="140"/>
        <v>0000000000</v>
      </c>
      <c r="AH419" s="151">
        <f t="shared" si="141"/>
        <v>0</v>
      </c>
      <c r="AI419" s="98" t="str">
        <f t="shared" si="142"/>
        <v>00</v>
      </c>
      <c r="AJ419" s="98" t="str">
        <f t="shared" si="143"/>
        <v>000000000000</v>
      </c>
      <c r="AK419" s="161" t="str">
        <f t="shared" si="144"/>
        <v xml:space="preserve">                              </v>
      </c>
      <c r="AL419" s="154">
        <f t="shared" si="145"/>
        <v>0</v>
      </c>
      <c r="AM419" s="155">
        <f t="shared" si="146"/>
        <v>0</v>
      </c>
      <c r="AP419" s="63" t="str">
        <f t="shared" si="147"/>
        <v/>
      </c>
      <c r="AQ419" s="63" t="str">
        <f t="shared" si="148"/>
        <v/>
      </c>
      <c r="AR419" s="152" t="str">
        <f t="shared" si="149"/>
        <v/>
      </c>
      <c r="AS419" s="109" t="str">
        <f t="shared" si="150"/>
        <v/>
      </c>
      <c r="AT419" s="63" t="str">
        <f t="shared" si="151"/>
        <v xml:space="preserve">                    </v>
      </c>
    </row>
    <row r="420" spans="1:46" ht="12.75" x14ac:dyDescent="0.2">
      <c r="A420" s="63" t="str">
        <f t="shared" si="133"/>
        <v/>
      </c>
      <c r="B420" s="185"/>
      <c r="C420" s="184"/>
      <c r="D420" s="184"/>
      <c r="E420" s="184"/>
      <c r="F420" s="184"/>
      <c r="G420" s="185"/>
      <c r="H420" s="185"/>
      <c r="I420" s="186"/>
      <c r="J420" s="69"/>
      <c r="AA420" s="63">
        <f t="shared" si="134"/>
        <v>0</v>
      </c>
      <c r="AB420" s="153" t="str">
        <f t="shared" si="135"/>
        <v>000</v>
      </c>
      <c r="AC420" s="165" t="str">
        <f t="shared" si="136"/>
        <v>00000000</v>
      </c>
      <c r="AD420" s="98" t="str">
        <f t="shared" si="137"/>
        <v>00000000</v>
      </c>
      <c r="AE420" s="150">
        <f t="shared" si="138"/>
        <v>0</v>
      </c>
      <c r="AF420" s="150">
        <f t="shared" si="139"/>
        <v>0</v>
      </c>
      <c r="AG420" s="98" t="str">
        <f t="shared" si="140"/>
        <v>0000000000</v>
      </c>
      <c r="AH420" s="151">
        <f t="shared" si="141"/>
        <v>0</v>
      </c>
      <c r="AI420" s="98" t="str">
        <f t="shared" si="142"/>
        <v>00</v>
      </c>
      <c r="AJ420" s="98" t="str">
        <f t="shared" si="143"/>
        <v>000000000000</v>
      </c>
      <c r="AK420" s="161" t="str">
        <f t="shared" si="144"/>
        <v xml:space="preserve">                              </v>
      </c>
      <c r="AL420" s="154">
        <f t="shared" si="145"/>
        <v>0</v>
      </c>
      <c r="AM420" s="155">
        <f t="shared" si="146"/>
        <v>0</v>
      </c>
      <c r="AP420" s="63" t="str">
        <f t="shared" si="147"/>
        <v/>
      </c>
      <c r="AQ420" s="63" t="str">
        <f t="shared" si="148"/>
        <v/>
      </c>
      <c r="AR420" s="152" t="str">
        <f t="shared" si="149"/>
        <v/>
      </c>
      <c r="AS420" s="109" t="str">
        <f t="shared" si="150"/>
        <v/>
      </c>
      <c r="AT420" s="63" t="str">
        <f t="shared" si="151"/>
        <v xml:space="preserve">                    </v>
      </c>
    </row>
    <row r="421" spans="1:46" ht="12.75" x14ac:dyDescent="0.2">
      <c r="A421" s="63" t="str">
        <f t="shared" si="133"/>
        <v/>
      </c>
      <c r="B421" s="185"/>
      <c r="C421" s="184"/>
      <c r="D421" s="184"/>
      <c r="E421" s="184"/>
      <c r="F421" s="184"/>
      <c r="G421" s="185"/>
      <c r="H421" s="185"/>
      <c r="I421" s="186"/>
      <c r="J421" s="69"/>
      <c r="AA421" s="63">
        <f t="shared" si="134"/>
        <v>0</v>
      </c>
      <c r="AB421" s="153" t="str">
        <f t="shared" si="135"/>
        <v>000</v>
      </c>
      <c r="AC421" s="165" t="str">
        <f t="shared" si="136"/>
        <v>00000000</v>
      </c>
      <c r="AD421" s="98" t="str">
        <f t="shared" si="137"/>
        <v>00000000</v>
      </c>
      <c r="AE421" s="150">
        <f t="shared" si="138"/>
        <v>0</v>
      </c>
      <c r="AF421" s="150">
        <f t="shared" si="139"/>
        <v>0</v>
      </c>
      <c r="AG421" s="98" t="str">
        <f t="shared" si="140"/>
        <v>0000000000</v>
      </c>
      <c r="AH421" s="151">
        <f t="shared" si="141"/>
        <v>0</v>
      </c>
      <c r="AI421" s="98" t="str">
        <f t="shared" si="142"/>
        <v>00</v>
      </c>
      <c r="AJ421" s="98" t="str">
        <f t="shared" si="143"/>
        <v>000000000000</v>
      </c>
      <c r="AK421" s="161" t="str">
        <f t="shared" si="144"/>
        <v xml:space="preserve">                              </v>
      </c>
      <c r="AL421" s="154">
        <f t="shared" si="145"/>
        <v>0</v>
      </c>
      <c r="AM421" s="155">
        <f t="shared" si="146"/>
        <v>0</v>
      </c>
      <c r="AP421" s="63" t="str">
        <f t="shared" si="147"/>
        <v/>
      </c>
      <c r="AQ421" s="63" t="str">
        <f t="shared" si="148"/>
        <v/>
      </c>
      <c r="AR421" s="152" t="str">
        <f t="shared" si="149"/>
        <v/>
      </c>
      <c r="AS421" s="109" t="str">
        <f t="shared" si="150"/>
        <v/>
      </c>
      <c r="AT421" s="63" t="str">
        <f t="shared" si="151"/>
        <v xml:space="preserve">                    </v>
      </c>
    </row>
    <row r="422" spans="1:46" ht="12.75" x14ac:dyDescent="0.2">
      <c r="A422" s="63" t="str">
        <f t="shared" si="133"/>
        <v/>
      </c>
      <c r="B422" s="185"/>
      <c r="C422" s="184"/>
      <c r="D422" s="184"/>
      <c r="E422" s="184"/>
      <c r="F422" s="184"/>
      <c r="G422" s="185"/>
      <c r="H422" s="185"/>
      <c r="I422" s="186"/>
      <c r="J422" s="69"/>
      <c r="AA422" s="63">
        <f t="shared" si="134"/>
        <v>0</v>
      </c>
      <c r="AB422" s="153" t="str">
        <f t="shared" si="135"/>
        <v>000</v>
      </c>
      <c r="AC422" s="165" t="str">
        <f t="shared" si="136"/>
        <v>00000000</v>
      </c>
      <c r="AD422" s="98" t="str">
        <f t="shared" si="137"/>
        <v>00000000</v>
      </c>
      <c r="AE422" s="150">
        <f t="shared" si="138"/>
        <v>0</v>
      </c>
      <c r="AF422" s="150">
        <f t="shared" si="139"/>
        <v>0</v>
      </c>
      <c r="AG422" s="98" t="str">
        <f t="shared" si="140"/>
        <v>0000000000</v>
      </c>
      <c r="AH422" s="151">
        <f t="shared" si="141"/>
        <v>0</v>
      </c>
      <c r="AI422" s="98" t="str">
        <f t="shared" si="142"/>
        <v>00</v>
      </c>
      <c r="AJ422" s="98" t="str">
        <f t="shared" si="143"/>
        <v>000000000000</v>
      </c>
      <c r="AK422" s="161" t="str">
        <f t="shared" si="144"/>
        <v xml:space="preserve">                              </v>
      </c>
      <c r="AL422" s="154">
        <f t="shared" si="145"/>
        <v>0</v>
      </c>
      <c r="AM422" s="155">
        <f t="shared" si="146"/>
        <v>0</v>
      </c>
      <c r="AP422" s="63" t="str">
        <f t="shared" si="147"/>
        <v/>
      </c>
      <c r="AQ422" s="63" t="str">
        <f t="shared" si="148"/>
        <v/>
      </c>
      <c r="AR422" s="152" t="str">
        <f t="shared" si="149"/>
        <v/>
      </c>
      <c r="AS422" s="109" t="str">
        <f t="shared" si="150"/>
        <v/>
      </c>
      <c r="AT422" s="63" t="str">
        <f t="shared" si="151"/>
        <v xml:space="preserve">                    </v>
      </c>
    </row>
    <row r="423" spans="1:46" ht="12.75" x14ac:dyDescent="0.2">
      <c r="A423" s="63" t="str">
        <f t="shared" si="133"/>
        <v/>
      </c>
      <c r="B423" s="185"/>
      <c r="C423" s="184"/>
      <c r="D423" s="184"/>
      <c r="E423" s="184"/>
      <c r="F423" s="184"/>
      <c r="G423" s="185"/>
      <c r="H423" s="185"/>
      <c r="I423" s="186"/>
      <c r="J423" s="69"/>
      <c r="AA423" s="63">
        <f t="shared" si="134"/>
        <v>0</v>
      </c>
      <c r="AB423" s="153" t="str">
        <f t="shared" si="135"/>
        <v>000</v>
      </c>
      <c r="AC423" s="165" t="str">
        <f t="shared" si="136"/>
        <v>00000000</v>
      </c>
      <c r="AD423" s="98" t="str">
        <f t="shared" si="137"/>
        <v>00000000</v>
      </c>
      <c r="AE423" s="150">
        <f t="shared" si="138"/>
        <v>0</v>
      </c>
      <c r="AF423" s="150">
        <f t="shared" si="139"/>
        <v>0</v>
      </c>
      <c r="AG423" s="98" t="str">
        <f t="shared" si="140"/>
        <v>0000000000</v>
      </c>
      <c r="AH423" s="151">
        <f t="shared" si="141"/>
        <v>0</v>
      </c>
      <c r="AI423" s="98" t="str">
        <f t="shared" si="142"/>
        <v>00</v>
      </c>
      <c r="AJ423" s="98" t="str">
        <f t="shared" si="143"/>
        <v>000000000000</v>
      </c>
      <c r="AK423" s="161" t="str">
        <f t="shared" si="144"/>
        <v xml:space="preserve">                              </v>
      </c>
      <c r="AL423" s="154">
        <f t="shared" si="145"/>
        <v>0</v>
      </c>
      <c r="AM423" s="155">
        <f t="shared" si="146"/>
        <v>0</v>
      </c>
      <c r="AP423" s="63" t="str">
        <f t="shared" si="147"/>
        <v/>
      </c>
      <c r="AQ423" s="63" t="str">
        <f t="shared" si="148"/>
        <v/>
      </c>
      <c r="AR423" s="152" t="str">
        <f t="shared" si="149"/>
        <v/>
      </c>
      <c r="AS423" s="109" t="str">
        <f t="shared" si="150"/>
        <v/>
      </c>
      <c r="AT423" s="63" t="str">
        <f t="shared" si="151"/>
        <v xml:space="preserve">                    </v>
      </c>
    </row>
    <row r="424" spans="1:46" ht="12.75" x14ac:dyDescent="0.2">
      <c r="A424" s="63" t="str">
        <f t="shared" si="133"/>
        <v/>
      </c>
      <c r="B424" s="185"/>
      <c r="C424" s="184"/>
      <c r="D424" s="184"/>
      <c r="E424" s="184"/>
      <c r="F424" s="184"/>
      <c r="G424" s="185"/>
      <c r="H424" s="185"/>
      <c r="I424" s="186"/>
      <c r="J424" s="69"/>
      <c r="AA424" s="63">
        <f t="shared" si="134"/>
        <v>0</v>
      </c>
      <c r="AB424" s="153" t="str">
        <f t="shared" si="135"/>
        <v>000</v>
      </c>
      <c r="AC424" s="165" t="str">
        <f t="shared" si="136"/>
        <v>00000000</v>
      </c>
      <c r="AD424" s="98" t="str">
        <f t="shared" si="137"/>
        <v>00000000</v>
      </c>
      <c r="AE424" s="150">
        <f t="shared" si="138"/>
        <v>0</v>
      </c>
      <c r="AF424" s="150">
        <f t="shared" si="139"/>
        <v>0</v>
      </c>
      <c r="AG424" s="98" t="str">
        <f t="shared" si="140"/>
        <v>0000000000</v>
      </c>
      <c r="AH424" s="151">
        <f t="shared" si="141"/>
        <v>0</v>
      </c>
      <c r="AI424" s="98" t="str">
        <f t="shared" si="142"/>
        <v>00</v>
      </c>
      <c r="AJ424" s="98" t="str">
        <f t="shared" si="143"/>
        <v>000000000000</v>
      </c>
      <c r="AK424" s="161" t="str">
        <f t="shared" si="144"/>
        <v xml:space="preserve">                              </v>
      </c>
      <c r="AL424" s="154">
        <f t="shared" si="145"/>
        <v>0</v>
      </c>
      <c r="AM424" s="155">
        <f t="shared" si="146"/>
        <v>0</v>
      </c>
      <c r="AP424" s="63" t="str">
        <f t="shared" si="147"/>
        <v/>
      </c>
      <c r="AQ424" s="63" t="str">
        <f t="shared" si="148"/>
        <v/>
      </c>
      <c r="AR424" s="152" t="str">
        <f t="shared" si="149"/>
        <v/>
      </c>
      <c r="AS424" s="109" t="str">
        <f t="shared" si="150"/>
        <v/>
      </c>
      <c r="AT424" s="63" t="str">
        <f t="shared" si="151"/>
        <v xml:space="preserve">                    </v>
      </c>
    </row>
    <row r="425" spans="1:46" ht="12.75" x14ac:dyDescent="0.2">
      <c r="A425" s="63" t="str">
        <f t="shared" si="133"/>
        <v/>
      </c>
      <c r="B425" s="185"/>
      <c r="C425" s="184"/>
      <c r="D425" s="184"/>
      <c r="E425" s="184"/>
      <c r="F425" s="184"/>
      <c r="G425" s="185"/>
      <c r="H425" s="185"/>
      <c r="I425" s="186"/>
      <c r="J425" s="69"/>
      <c r="AA425" s="63">
        <f t="shared" si="134"/>
        <v>0</v>
      </c>
      <c r="AB425" s="153" t="str">
        <f t="shared" si="135"/>
        <v>000</v>
      </c>
      <c r="AC425" s="165" t="str">
        <f t="shared" si="136"/>
        <v>00000000</v>
      </c>
      <c r="AD425" s="98" t="str">
        <f t="shared" si="137"/>
        <v>00000000</v>
      </c>
      <c r="AE425" s="150">
        <f t="shared" si="138"/>
        <v>0</v>
      </c>
      <c r="AF425" s="150">
        <f t="shared" si="139"/>
        <v>0</v>
      </c>
      <c r="AG425" s="98" t="str">
        <f t="shared" si="140"/>
        <v>0000000000</v>
      </c>
      <c r="AH425" s="151">
        <f t="shared" si="141"/>
        <v>0</v>
      </c>
      <c r="AI425" s="98" t="str">
        <f t="shared" si="142"/>
        <v>00</v>
      </c>
      <c r="AJ425" s="98" t="str">
        <f t="shared" si="143"/>
        <v>000000000000</v>
      </c>
      <c r="AK425" s="161" t="str">
        <f t="shared" si="144"/>
        <v xml:space="preserve">                              </v>
      </c>
      <c r="AL425" s="154">
        <f t="shared" si="145"/>
        <v>0</v>
      </c>
      <c r="AM425" s="155">
        <f t="shared" si="146"/>
        <v>0</v>
      </c>
      <c r="AP425" s="63" t="str">
        <f t="shared" si="147"/>
        <v/>
      </c>
      <c r="AQ425" s="63" t="str">
        <f t="shared" si="148"/>
        <v/>
      </c>
      <c r="AR425" s="152" t="str">
        <f t="shared" si="149"/>
        <v/>
      </c>
      <c r="AS425" s="109" t="str">
        <f t="shared" si="150"/>
        <v/>
      </c>
      <c r="AT425" s="63" t="str">
        <f t="shared" si="151"/>
        <v xml:space="preserve">                    </v>
      </c>
    </row>
    <row r="426" spans="1:46" ht="12.75" x14ac:dyDescent="0.2">
      <c r="A426" s="63" t="str">
        <f t="shared" si="133"/>
        <v/>
      </c>
      <c r="B426" s="185"/>
      <c r="C426" s="184"/>
      <c r="D426" s="184"/>
      <c r="E426" s="184"/>
      <c r="F426" s="184"/>
      <c r="G426" s="185"/>
      <c r="H426" s="185"/>
      <c r="I426" s="186"/>
      <c r="J426" s="69"/>
      <c r="AA426" s="63">
        <f t="shared" si="134"/>
        <v>0</v>
      </c>
      <c r="AB426" s="153" t="str">
        <f t="shared" si="135"/>
        <v>000</v>
      </c>
      <c r="AC426" s="165" t="str">
        <f t="shared" si="136"/>
        <v>00000000</v>
      </c>
      <c r="AD426" s="98" t="str">
        <f t="shared" si="137"/>
        <v>00000000</v>
      </c>
      <c r="AE426" s="150">
        <f t="shared" si="138"/>
        <v>0</v>
      </c>
      <c r="AF426" s="150">
        <f t="shared" si="139"/>
        <v>0</v>
      </c>
      <c r="AG426" s="98" t="str">
        <f t="shared" si="140"/>
        <v>0000000000</v>
      </c>
      <c r="AH426" s="151">
        <f t="shared" si="141"/>
        <v>0</v>
      </c>
      <c r="AI426" s="98" t="str">
        <f t="shared" si="142"/>
        <v>00</v>
      </c>
      <c r="AJ426" s="98" t="str">
        <f t="shared" si="143"/>
        <v>000000000000</v>
      </c>
      <c r="AK426" s="161" t="str">
        <f t="shared" si="144"/>
        <v xml:space="preserve">                              </v>
      </c>
      <c r="AL426" s="154">
        <f t="shared" si="145"/>
        <v>0</v>
      </c>
      <c r="AM426" s="155">
        <f t="shared" si="146"/>
        <v>0</v>
      </c>
      <c r="AP426" s="63" t="str">
        <f t="shared" si="147"/>
        <v/>
      </c>
      <c r="AQ426" s="63" t="str">
        <f t="shared" si="148"/>
        <v/>
      </c>
      <c r="AR426" s="152" t="str">
        <f t="shared" si="149"/>
        <v/>
      </c>
      <c r="AS426" s="109" t="str">
        <f t="shared" si="150"/>
        <v/>
      </c>
      <c r="AT426" s="63" t="str">
        <f t="shared" si="151"/>
        <v xml:space="preserve">                    </v>
      </c>
    </row>
    <row r="427" spans="1:46" ht="12.75" x14ac:dyDescent="0.2">
      <c r="A427" s="63" t="str">
        <f t="shared" si="133"/>
        <v/>
      </c>
      <c r="B427" s="185"/>
      <c r="C427" s="184"/>
      <c r="D427" s="184"/>
      <c r="E427" s="184"/>
      <c r="F427" s="184"/>
      <c r="G427" s="185"/>
      <c r="H427" s="185"/>
      <c r="I427" s="186"/>
      <c r="J427" s="69"/>
      <c r="AA427" s="63">
        <f t="shared" si="134"/>
        <v>0</v>
      </c>
      <c r="AB427" s="153" t="str">
        <f t="shared" si="135"/>
        <v>000</v>
      </c>
      <c r="AC427" s="165" t="str">
        <f t="shared" si="136"/>
        <v>00000000</v>
      </c>
      <c r="AD427" s="98" t="str">
        <f t="shared" si="137"/>
        <v>00000000</v>
      </c>
      <c r="AE427" s="150">
        <f t="shared" si="138"/>
        <v>0</v>
      </c>
      <c r="AF427" s="150">
        <f t="shared" si="139"/>
        <v>0</v>
      </c>
      <c r="AG427" s="98" t="str">
        <f t="shared" si="140"/>
        <v>0000000000</v>
      </c>
      <c r="AH427" s="151">
        <f t="shared" si="141"/>
        <v>0</v>
      </c>
      <c r="AI427" s="98" t="str">
        <f t="shared" si="142"/>
        <v>00</v>
      </c>
      <c r="AJ427" s="98" t="str">
        <f t="shared" si="143"/>
        <v>000000000000</v>
      </c>
      <c r="AK427" s="161" t="str">
        <f t="shared" si="144"/>
        <v xml:space="preserve">                              </v>
      </c>
      <c r="AL427" s="154">
        <f t="shared" si="145"/>
        <v>0</v>
      </c>
      <c r="AM427" s="155">
        <f t="shared" si="146"/>
        <v>0</v>
      </c>
      <c r="AP427" s="63" t="str">
        <f t="shared" si="147"/>
        <v/>
      </c>
      <c r="AQ427" s="63" t="str">
        <f t="shared" si="148"/>
        <v/>
      </c>
      <c r="AR427" s="152" t="str">
        <f t="shared" si="149"/>
        <v/>
      </c>
      <c r="AS427" s="109" t="str">
        <f t="shared" si="150"/>
        <v/>
      </c>
      <c r="AT427" s="63" t="str">
        <f t="shared" si="151"/>
        <v xml:space="preserve">                    </v>
      </c>
    </row>
    <row r="428" spans="1:46" ht="12.75" x14ac:dyDescent="0.2">
      <c r="A428" s="63" t="str">
        <f t="shared" si="133"/>
        <v/>
      </c>
      <c r="B428" s="185"/>
      <c r="C428" s="184"/>
      <c r="D428" s="184"/>
      <c r="E428" s="184"/>
      <c r="F428" s="184"/>
      <c r="G428" s="185"/>
      <c r="H428" s="185"/>
      <c r="I428" s="186"/>
      <c r="J428" s="69"/>
      <c r="AA428" s="63">
        <f t="shared" si="134"/>
        <v>0</v>
      </c>
      <c r="AB428" s="153" t="str">
        <f t="shared" si="135"/>
        <v>000</v>
      </c>
      <c r="AC428" s="165" t="str">
        <f t="shared" si="136"/>
        <v>00000000</v>
      </c>
      <c r="AD428" s="98" t="str">
        <f t="shared" si="137"/>
        <v>00000000</v>
      </c>
      <c r="AE428" s="150">
        <f t="shared" si="138"/>
        <v>0</v>
      </c>
      <c r="AF428" s="150">
        <f t="shared" si="139"/>
        <v>0</v>
      </c>
      <c r="AG428" s="98" t="str">
        <f t="shared" si="140"/>
        <v>0000000000</v>
      </c>
      <c r="AH428" s="151">
        <f t="shared" si="141"/>
        <v>0</v>
      </c>
      <c r="AI428" s="98" t="str">
        <f t="shared" si="142"/>
        <v>00</v>
      </c>
      <c r="AJ428" s="98" t="str">
        <f t="shared" si="143"/>
        <v>000000000000</v>
      </c>
      <c r="AK428" s="161" t="str">
        <f t="shared" si="144"/>
        <v xml:space="preserve">                              </v>
      </c>
      <c r="AL428" s="154">
        <f t="shared" si="145"/>
        <v>0</v>
      </c>
      <c r="AM428" s="155">
        <f t="shared" si="146"/>
        <v>0</v>
      </c>
      <c r="AP428" s="63" t="str">
        <f t="shared" si="147"/>
        <v/>
      </c>
      <c r="AQ428" s="63" t="str">
        <f t="shared" si="148"/>
        <v/>
      </c>
      <c r="AR428" s="152" t="str">
        <f t="shared" si="149"/>
        <v/>
      </c>
      <c r="AS428" s="109" t="str">
        <f t="shared" si="150"/>
        <v/>
      </c>
      <c r="AT428" s="63" t="str">
        <f t="shared" si="151"/>
        <v xml:space="preserve">                    </v>
      </c>
    </row>
    <row r="429" spans="1:46" ht="12.75" x14ac:dyDescent="0.2">
      <c r="A429" s="63" t="str">
        <f t="shared" si="133"/>
        <v/>
      </c>
      <c r="B429" s="185"/>
      <c r="C429" s="184"/>
      <c r="D429" s="184"/>
      <c r="E429" s="184"/>
      <c r="F429" s="184"/>
      <c r="G429" s="185"/>
      <c r="H429" s="185"/>
      <c r="I429" s="186"/>
      <c r="J429" s="69"/>
      <c r="AA429" s="63">
        <f t="shared" si="134"/>
        <v>0</v>
      </c>
      <c r="AB429" s="153" t="str">
        <f t="shared" si="135"/>
        <v>000</v>
      </c>
      <c r="AC429" s="165" t="str">
        <f t="shared" si="136"/>
        <v>00000000</v>
      </c>
      <c r="AD429" s="98" t="str">
        <f t="shared" si="137"/>
        <v>00000000</v>
      </c>
      <c r="AE429" s="150">
        <f t="shared" si="138"/>
        <v>0</v>
      </c>
      <c r="AF429" s="150">
        <f t="shared" si="139"/>
        <v>0</v>
      </c>
      <c r="AG429" s="98" t="str">
        <f t="shared" si="140"/>
        <v>0000000000</v>
      </c>
      <c r="AH429" s="151">
        <f t="shared" si="141"/>
        <v>0</v>
      </c>
      <c r="AI429" s="98" t="str">
        <f t="shared" si="142"/>
        <v>00</v>
      </c>
      <c r="AJ429" s="98" t="str">
        <f t="shared" si="143"/>
        <v>000000000000</v>
      </c>
      <c r="AK429" s="161" t="str">
        <f t="shared" si="144"/>
        <v xml:space="preserve">                              </v>
      </c>
      <c r="AL429" s="154">
        <f t="shared" si="145"/>
        <v>0</v>
      </c>
      <c r="AM429" s="155">
        <f t="shared" si="146"/>
        <v>0</v>
      </c>
      <c r="AP429" s="63" t="str">
        <f t="shared" si="147"/>
        <v/>
      </c>
      <c r="AQ429" s="63" t="str">
        <f t="shared" si="148"/>
        <v/>
      </c>
      <c r="AR429" s="152" t="str">
        <f t="shared" si="149"/>
        <v/>
      </c>
      <c r="AS429" s="109" t="str">
        <f t="shared" si="150"/>
        <v/>
      </c>
      <c r="AT429" s="63" t="str">
        <f t="shared" si="151"/>
        <v xml:space="preserve">                    </v>
      </c>
    </row>
    <row r="430" spans="1:46" ht="12.75" x14ac:dyDescent="0.2">
      <c r="A430" s="63" t="str">
        <f t="shared" si="133"/>
        <v/>
      </c>
      <c r="B430" s="185"/>
      <c r="C430" s="184"/>
      <c r="D430" s="184"/>
      <c r="E430" s="184"/>
      <c r="F430" s="184"/>
      <c r="G430" s="185"/>
      <c r="H430" s="185"/>
      <c r="I430" s="186"/>
      <c r="J430" s="69"/>
      <c r="AA430" s="63">
        <f t="shared" si="134"/>
        <v>0</v>
      </c>
      <c r="AB430" s="153" t="str">
        <f t="shared" si="135"/>
        <v>000</v>
      </c>
      <c r="AC430" s="165" t="str">
        <f t="shared" si="136"/>
        <v>00000000</v>
      </c>
      <c r="AD430" s="98" t="str">
        <f t="shared" si="137"/>
        <v>00000000</v>
      </c>
      <c r="AE430" s="150">
        <f t="shared" si="138"/>
        <v>0</v>
      </c>
      <c r="AF430" s="150">
        <f t="shared" si="139"/>
        <v>0</v>
      </c>
      <c r="AG430" s="98" t="str">
        <f t="shared" si="140"/>
        <v>0000000000</v>
      </c>
      <c r="AH430" s="151">
        <f t="shared" si="141"/>
        <v>0</v>
      </c>
      <c r="AI430" s="98" t="str">
        <f t="shared" si="142"/>
        <v>00</v>
      </c>
      <c r="AJ430" s="98" t="str">
        <f t="shared" si="143"/>
        <v>000000000000</v>
      </c>
      <c r="AK430" s="161" t="str">
        <f t="shared" si="144"/>
        <v xml:space="preserve">                              </v>
      </c>
      <c r="AL430" s="154">
        <f t="shared" si="145"/>
        <v>0</v>
      </c>
      <c r="AM430" s="155">
        <f t="shared" si="146"/>
        <v>0</v>
      </c>
      <c r="AP430" s="63" t="str">
        <f t="shared" si="147"/>
        <v/>
      </c>
      <c r="AQ430" s="63" t="str">
        <f t="shared" si="148"/>
        <v/>
      </c>
      <c r="AR430" s="152" t="str">
        <f t="shared" si="149"/>
        <v/>
      </c>
      <c r="AS430" s="109" t="str">
        <f t="shared" si="150"/>
        <v/>
      </c>
      <c r="AT430" s="63" t="str">
        <f t="shared" si="151"/>
        <v xml:space="preserve">                    </v>
      </c>
    </row>
    <row r="431" spans="1:46" ht="12.75" x14ac:dyDescent="0.2">
      <c r="A431" s="63" t="str">
        <f t="shared" si="133"/>
        <v/>
      </c>
      <c r="B431" s="185"/>
      <c r="C431" s="184"/>
      <c r="D431" s="184"/>
      <c r="E431" s="184"/>
      <c r="F431" s="184"/>
      <c r="G431" s="185"/>
      <c r="H431" s="185"/>
      <c r="I431" s="186"/>
      <c r="J431" s="69"/>
      <c r="AA431" s="63">
        <f t="shared" si="134"/>
        <v>0</v>
      </c>
      <c r="AB431" s="153" t="str">
        <f t="shared" si="135"/>
        <v>000</v>
      </c>
      <c r="AC431" s="165" t="str">
        <f t="shared" si="136"/>
        <v>00000000</v>
      </c>
      <c r="AD431" s="98" t="str">
        <f t="shared" si="137"/>
        <v>00000000</v>
      </c>
      <c r="AE431" s="150">
        <f t="shared" si="138"/>
        <v>0</v>
      </c>
      <c r="AF431" s="150">
        <f t="shared" si="139"/>
        <v>0</v>
      </c>
      <c r="AG431" s="98" t="str">
        <f t="shared" si="140"/>
        <v>0000000000</v>
      </c>
      <c r="AH431" s="151">
        <f t="shared" si="141"/>
        <v>0</v>
      </c>
      <c r="AI431" s="98" t="str">
        <f t="shared" si="142"/>
        <v>00</v>
      </c>
      <c r="AJ431" s="98" t="str">
        <f t="shared" si="143"/>
        <v>000000000000</v>
      </c>
      <c r="AK431" s="161" t="str">
        <f t="shared" si="144"/>
        <v xml:space="preserve">                              </v>
      </c>
      <c r="AL431" s="154">
        <f t="shared" si="145"/>
        <v>0</v>
      </c>
      <c r="AM431" s="155">
        <f t="shared" si="146"/>
        <v>0</v>
      </c>
      <c r="AP431" s="63" t="str">
        <f t="shared" si="147"/>
        <v/>
      </c>
      <c r="AQ431" s="63" t="str">
        <f t="shared" si="148"/>
        <v/>
      </c>
      <c r="AR431" s="152" t="str">
        <f t="shared" si="149"/>
        <v/>
      </c>
      <c r="AS431" s="109" t="str">
        <f t="shared" si="150"/>
        <v/>
      </c>
      <c r="AT431" s="63" t="str">
        <f t="shared" si="151"/>
        <v xml:space="preserve">                    </v>
      </c>
    </row>
    <row r="432" spans="1:46" ht="12.75" x14ac:dyDescent="0.2">
      <c r="A432" s="63" t="str">
        <f t="shared" si="133"/>
        <v/>
      </c>
      <c r="B432" s="185"/>
      <c r="C432" s="184"/>
      <c r="D432" s="184"/>
      <c r="E432" s="184"/>
      <c r="F432" s="184"/>
      <c r="G432" s="185"/>
      <c r="H432" s="185"/>
      <c r="I432" s="186"/>
      <c r="J432" s="69"/>
      <c r="AA432" s="63">
        <f t="shared" si="134"/>
        <v>0</v>
      </c>
      <c r="AB432" s="153" t="str">
        <f t="shared" si="135"/>
        <v>000</v>
      </c>
      <c r="AC432" s="165" t="str">
        <f t="shared" si="136"/>
        <v>00000000</v>
      </c>
      <c r="AD432" s="98" t="str">
        <f t="shared" si="137"/>
        <v>00000000</v>
      </c>
      <c r="AE432" s="150">
        <f t="shared" si="138"/>
        <v>0</v>
      </c>
      <c r="AF432" s="150">
        <f t="shared" si="139"/>
        <v>0</v>
      </c>
      <c r="AG432" s="98" t="str">
        <f t="shared" si="140"/>
        <v>0000000000</v>
      </c>
      <c r="AH432" s="151">
        <f t="shared" si="141"/>
        <v>0</v>
      </c>
      <c r="AI432" s="98" t="str">
        <f t="shared" si="142"/>
        <v>00</v>
      </c>
      <c r="AJ432" s="98" t="str">
        <f t="shared" si="143"/>
        <v>000000000000</v>
      </c>
      <c r="AK432" s="161" t="str">
        <f t="shared" si="144"/>
        <v xml:space="preserve">                              </v>
      </c>
      <c r="AL432" s="154">
        <f t="shared" si="145"/>
        <v>0</v>
      </c>
      <c r="AM432" s="155">
        <f t="shared" si="146"/>
        <v>0</v>
      </c>
      <c r="AP432" s="63" t="str">
        <f t="shared" si="147"/>
        <v/>
      </c>
      <c r="AQ432" s="63" t="str">
        <f t="shared" si="148"/>
        <v/>
      </c>
      <c r="AR432" s="152" t="str">
        <f t="shared" si="149"/>
        <v/>
      </c>
      <c r="AS432" s="109" t="str">
        <f t="shared" si="150"/>
        <v/>
      </c>
      <c r="AT432" s="63" t="str">
        <f t="shared" si="151"/>
        <v xml:space="preserve">                    </v>
      </c>
    </row>
    <row r="433" spans="1:46" ht="12.75" x14ac:dyDescent="0.2">
      <c r="A433" s="63" t="str">
        <f t="shared" si="133"/>
        <v/>
      </c>
      <c r="B433" s="185"/>
      <c r="C433" s="184"/>
      <c r="D433" s="184"/>
      <c r="E433" s="184"/>
      <c r="F433" s="184"/>
      <c r="G433" s="185"/>
      <c r="H433" s="185"/>
      <c r="I433" s="186"/>
      <c r="J433" s="69"/>
      <c r="AA433" s="63">
        <f t="shared" si="134"/>
        <v>0</v>
      </c>
      <c r="AB433" s="153" t="str">
        <f t="shared" si="135"/>
        <v>000</v>
      </c>
      <c r="AC433" s="165" t="str">
        <f t="shared" si="136"/>
        <v>00000000</v>
      </c>
      <c r="AD433" s="98" t="str">
        <f t="shared" si="137"/>
        <v>00000000</v>
      </c>
      <c r="AE433" s="150">
        <f t="shared" si="138"/>
        <v>0</v>
      </c>
      <c r="AF433" s="150">
        <f t="shared" si="139"/>
        <v>0</v>
      </c>
      <c r="AG433" s="98" t="str">
        <f t="shared" si="140"/>
        <v>0000000000</v>
      </c>
      <c r="AH433" s="151">
        <f t="shared" si="141"/>
        <v>0</v>
      </c>
      <c r="AI433" s="98" t="str">
        <f t="shared" si="142"/>
        <v>00</v>
      </c>
      <c r="AJ433" s="98" t="str">
        <f t="shared" si="143"/>
        <v>000000000000</v>
      </c>
      <c r="AK433" s="161" t="str">
        <f t="shared" si="144"/>
        <v xml:space="preserve">                              </v>
      </c>
      <c r="AL433" s="154">
        <f t="shared" si="145"/>
        <v>0</v>
      </c>
      <c r="AM433" s="155">
        <f t="shared" si="146"/>
        <v>0</v>
      </c>
      <c r="AP433" s="63" t="str">
        <f t="shared" si="147"/>
        <v/>
      </c>
      <c r="AQ433" s="63" t="str">
        <f t="shared" si="148"/>
        <v/>
      </c>
      <c r="AR433" s="152" t="str">
        <f t="shared" si="149"/>
        <v/>
      </c>
      <c r="AS433" s="109" t="str">
        <f t="shared" si="150"/>
        <v/>
      </c>
      <c r="AT433" s="63" t="str">
        <f t="shared" si="151"/>
        <v xml:space="preserve">                    </v>
      </c>
    </row>
    <row r="434" spans="1:46" ht="12.75" x14ac:dyDescent="0.2">
      <c r="A434" s="63" t="str">
        <f t="shared" si="133"/>
        <v/>
      </c>
      <c r="B434" s="185"/>
      <c r="C434" s="184"/>
      <c r="D434" s="184"/>
      <c r="E434" s="184"/>
      <c r="F434" s="184"/>
      <c r="G434" s="185"/>
      <c r="H434" s="185"/>
      <c r="I434" s="186"/>
      <c r="J434" s="69"/>
      <c r="AA434" s="63">
        <f t="shared" si="134"/>
        <v>0</v>
      </c>
      <c r="AB434" s="153" t="str">
        <f t="shared" si="135"/>
        <v>000</v>
      </c>
      <c r="AC434" s="165" t="str">
        <f t="shared" si="136"/>
        <v>00000000</v>
      </c>
      <c r="AD434" s="98" t="str">
        <f t="shared" si="137"/>
        <v>00000000</v>
      </c>
      <c r="AE434" s="150">
        <f t="shared" si="138"/>
        <v>0</v>
      </c>
      <c r="AF434" s="150">
        <f t="shared" si="139"/>
        <v>0</v>
      </c>
      <c r="AG434" s="98" t="str">
        <f t="shared" si="140"/>
        <v>0000000000</v>
      </c>
      <c r="AH434" s="151">
        <f t="shared" si="141"/>
        <v>0</v>
      </c>
      <c r="AI434" s="98" t="str">
        <f t="shared" si="142"/>
        <v>00</v>
      </c>
      <c r="AJ434" s="98" t="str">
        <f t="shared" si="143"/>
        <v>000000000000</v>
      </c>
      <c r="AK434" s="161" t="str">
        <f t="shared" si="144"/>
        <v xml:space="preserve">                              </v>
      </c>
      <c r="AL434" s="154">
        <f t="shared" si="145"/>
        <v>0</v>
      </c>
      <c r="AM434" s="155">
        <f t="shared" si="146"/>
        <v>0</v>
      </c>
      <c r="AP434" s="63" t="str">
        <f t="shared" si="147"/>
        <v/>
      </c>
      <c r="AQ434" s="63" t="str">
        <f t="shared" si="148"/>
        <v/>
      </c>
      <c r="AR434" s="152" t="str">
        <f t="shared" si="149"/>
        <v/>
      </c>
      <c r="AS434" s="109" t="str">
        <f t="shared" si="150"/>
        <v/>
      </c>
      <c r="AT434" s="63" t="str">
        <f t="shared" si="151"/>
        <v xml:space="preserve">                    </v>
      </c>
    </row>
    <row r="435" spans="1:46" ht="12.75" x14ac:dyDescent="0.2">
      <c r="A435" s="63" t="str">
        <f t="shared" si="133"/>
        <v/>
      </c>
      <c r="B435" s="185"/>
      <c r="C435" s="184"/>
      <c r="D435" s="184"/>
      <c r="E435" s="184"/>
      <c r="F435" s="184"/>
      <c r="G435" s="185"/>
      <c r="H435" s="185"/>
      <c r="I435" s="186"/>
      <c r="J435" s="69"/>
      <c r="AA435" s="63">
        <f t="shared" si="134"/>
        <v>0</v>
      </c>
      <c r="AB435" s="153" t="str">
        <f t="shared" si="135"/>
        <v>000</v>
      </c>
      <c r="AC435" s="165" t="str">
        <f t="shared" si="136"/>
        <v>00000000</v>
      </c>
      <c r="AD435" s="98" t="str">
        <f t="shared" si="137"/>
        <v>00000000</v>
      </c>
      <c r="AE435" s="150">
        <f t="shared" si="138"/>
        <v>0</v>
      </c>
      <c r="AF435" s="150">
        <f t="shared" si="139"/>
        <v>0</v>
      </c>
      <c r="AG435" s="98" t="str">
        <f t="shared" si="140"/>
        <v>0000000000</v>
      </c>
      <c r="AH435" s="151">
        <f t="shared" si="141"/>
        <v>0</v>
      </c>
      <c r="AI435" s="98" t="str">
        <f t="shared" si="142"/>
        <v>00</v>
      </c>
      <c r="AJ435" s="98" t="str">
        <f t="shared" si="143"/>
        <v>000000000000</v>
      </c>
      <c r="AK435" s="161" t="str">
        <f t="shared" si="144"/>
        <v xml:space="preserve">                              </v>
      </c>
      <c r="AL435" s="154">
        <f t="shared" si="145"/>
        <v>0</v>
      </c>
      <c r="AM435" s="155">
        <f t="shared" si="146"/>
        <v>0</v>
      </c>
      <c r="AP435" s="63" t="str">
        <f t="shared" si="147"/>
        <v/>
      </c>
      <c r="AQ435" s="63" t="str">
        <f t="shared" si="148"/>
        <v/>
      </c>
      <c r="AR435" s="152" t="str">
        <f t="shared" si="149"/>
        <v/>
      </c>
      <c r="AS435" s="109" t="str">
        <f t="shared" si="150"/>
        <v/>
      </c>
      <c r="AT435" s="63" t="str">
        <f t="shared" si="151"/>
        <v xml:space="preserve">                    </v>
      </c>
    </row>
    <row r="436" spans="1:46" ht="12.75" x14ac:dyDescent="0.2">
      <c r="A436" s="63" t="str">
        <f t="shared" si="133"/>
        <v/>
      </c>
      <c r="B436" s="185"/>
      <c r="C436" s="184"/>
      <c r="D436" s="184"/>
      <c r="E436" s="184"/>
      <c r="F436" s="184"/>
      <c r="G436" s="185"/>
      <c r="H436" s="185"/>
      <c r="I436" s="186"/>
      <c r="J436" s="69"/>
      <c r="AA436" s="63">
        <f t="shared" si="134"/>
        <v>0</v>
      </c>
      <c r="AB436" s="153" t="str">
        <f t="shared" si="135"/>
        <v>000</v>
      </c>
      <c r="AC436" s="165" t="str">
        <f t="shared" si="136"/>
        <v>00000000</v>
      </c>
      <c r="AD436" s="98" t="str">
        <f t="shared" si="137"/>
        <v>00000000</v>
      </c>
      <c r="AE436" s="150">
        <f t="shared" si="138"/>
        <v>0</v>
      </c>
      <c r="AF436" s="150">
        <f t="shared" si="139"/>
        <v>0</v>
      </c>
      <c r="AG436" s="98" t="str">
        <f t="shared" si="140"/>
        <v>0000000000</v>
      </c>
      <c r="AH436" s="151">
        <f t="shared" si="141"/>
        <v>0</v>
      </c>
      <c r="AI436" s="98" t="str">
        <f t="shared" si="142"/>
        <v>00</v>
      </c>
      <c r="AJ436" s="98" t="str">
        <f t="shared" si="143"/>
        <v>000000000000</v>
      </c>
      <c r="AK436" s="161" t="str">
        <f t="shared" si="144"/>
        <v xml:space="preserve">                              </v>
      </c>
      <c r="AL436" s="154">
        <f t="shared" si="145"/>
        <v>0</v>
      </c>
      <c r="AM436" s="155">
        <f t="shared" si="146"/>
        <v>0</v>
      </c>
      <c r="AP436" s="63" t="str">
        <f t="shared" si="147"/>
        <v/>
      </c>
      <c r="AQ436" s="63" t="str">
        <f t="shared" si="148"/>
        <v/>
      </c>
      <c r="AR436" s="152" t="str">
        <f t="shared" si="149"/>
        <v/>
      </c>
      <c r="AS436" s="109" t="str">
        <f t="shared" si="150"/>
        <v/>
      </c>
      <c r="AT436" s="63" t="str">
        <f t="shared" si="151"/>
        <v xml:space="preserve">                    </v>
      </c>
    </row>
    <row r="437" spans="1:46" ht="12.75" x14ac:dyDescent="0.2">
      <c r="A437" s="63" t="str">
        <f t="shared" si="133"/>
        <v/>
      </c>
      <c r="B437" s="185"/>
      <c r="C437" s="184"/>
      <c r="D437" s="184"/>
      <c r="E437" s="184"/>
      <c r="F437" s="184"/>
      <c r="G437" s="185"/>
      <c r="H437" s="185"/>
      <c r="I437" s="186"/>
      <c r="J437" s="69"/>
      <c r="AA437" s="63">
        <f t="shared" si="134"/>
        <v>0</v>
      </c>
      <c r="AB437" s="153" t="str">
        <f t="shared" si="135"/>
        <v>000</v>
      </c>
      <c r="AC437" s="165" t="str">
        <f t="shared" si="136"/>
        <v>00000000</v>
      </c>
      <c r="AD437" s="98" t="str">
        <f t="shared" si="137"/>
        <v>00000000</v>
      </c>
      <c r="AE437" s="150">
        <f t="shared" si="138"/>
        <v>0</v>
      </c>
      <c r="AF437" s="150">
        <f t="shared" si="139"/>
        <v>0</v>
      </c>
      <c r="AG437" s="98" t="str">
        <f t="shared" si="140"/>
        <v>0000000000</v>
      </c>
      <c r="AH437" s="151">
        <f t="shared" si="141"/>
        <v>0</v>
      </c>
      <c r="AI437" s="98" t="str">
        <f t="shared" si="142"/>
        <v>00</v>
      </c>
      <c r="AJ437" s="98" t="str">
        <f t="shared" si="143"/>
        <v>000000000000</v>
      </c>
      <c r="AK437" s="161" t="str">
        <f t="shared" si="144"/>
        <v xml:space="preserve">                              </v>
      </c>
      <c r="AL437" s="154">
        <f t="shared" si="145"/>
        <v>0</v>
      </c>
      <c r="AM437" s="155">
        <f t="shared" si="146"/>
        <v>0</v>
      </c>
      <c r="AP437" s="63" t="str">
        <f t="shared" si="147"/>
        <v/>
      </c>
      <c r="AQ437" s="63" t="str">
        <f t="shared" si="148"/>
        <v/>
      </c>
      <c r="AR437" s="152" t="str">
        <f t="shared" si="149"/>
        <v/>
      </c>
      <c r="AS437" s="109" t="str">
        <f t="shared" si="150"/>
        <v/>
      </c>
      <c r="AT437" s="63" t="str">
        <f t="shared" si="151"/>
        <v xml:space="preserve">                    </v>
      </c>
    </row>
    <row r="438" spans="1:46" ht="12.75" x14ac:dyDescent="0.2">
      <c r="A438" s="63" t="str">
        <f t="shared" si="133"/>
        <v/>
      </c>
      <c r="B438" s="185"/>
      <c r="C438" s="184"/>
      <c r="D438" s="184"/>
      <c r="E438" s="184"/>
      <c r="F438" s="184"/>
      <c r="G438" s="185"/>
      <c r="H438" s="185"/>
      <c r="I438" s="186"/>
      <c r="J438" s="69"/>
      <c r="AA438" s="63">
        <f t="shared" si="134"/>
        <v>0</v>
      </c>
      <c r="AB438" s="153" t="str">
        <f t="shared" si="135"/>
        <v>000</v>
      </c>
      <c r="AC438" s="165" t="str">
        <f t="shared" si="136"/>
        <v>00000000</v>
      </c>
      <c r="AD438" s="98" t="str">
        <f t="shared" si="137"/>
        <v>00000000</v>
      </c>
      <c r="AE438" s="150">
        <f t="shared" si="138"/>
        <v>0</v>
      </c>
      <c r="AF438" s="150">
        <f t="shared" si="139"/>
        <v>0</v>
      </c>
      <c r="AG438" s="98" t="str">
        <f t="shared" si="140"/>
        <v>0000000000</v>
      </c>
      <c r="AH438" s="151">
        <f t="shared" si="141"/>
        <v>0</v>
      </c>
      <c r="AI438" s="98" t="str">
        <f t="shared" si="142"/>
        <v>00</v>
      </c>
      <c r="AJ438" s="98" t="str">
        <f t="shared" si="143"/>
        <v>000000000000</v>
      </c>
      <c r="AK438" s="161" t="str">
        <f t="shared" si="144"/>
        <v xml:space="preserve">                              </v>
      </c>
      <c r="AL438" s="154">
        <f t="shared" si="145"/>
        <v>0</v>
      </c>
      <c r="AM438" s="155">
        <f t="shared" si="146"/>
        <v>0</v>
      </c>
      <c r="AP438" s="63" t="str">
        <f t="shared" si="147"/>
        <v/>
      </c>
      <c r="AQ438" s="63" t="str">
        <f t="shared" si="148"/>
        <v/>
      </c>
      <c r="AR438" s="152" t="str">
        <f t="shared" si="149"/>
        <v/>
      </c>
      <c r="AS438" s="109" t="str">
        <f t="shared" si="150"/>
        <v/>
      </c>
      <c r="AT438" s="63" t="str">
        <f t="shared" si="151"/>
        <v xml:space="preserve">                    </v>
      </c>
    </row>
    <row r="439" spans="1:46" ht="12.75" x14ac:dyDescent="0.2">
      <c r="A439" s="63" t="str">
        <f t="shared" si="133"/>
        <v/>
      </c>
      <c r="B439" s="185"/>
      <c r="C439" s="184"/>
      <c r="D439" s="184"/>
      <c r="E439" s="184"/>
      <c r="F439" s="184"/>
      <c r="G439" s="185"/>
      <c r="H439" s="185"/>
      <c r="I439" s="186"/>
      <c r="J439" s="69"/>
      <c r="AA439" s="63">
        <f t="shared" si="134"/>
        <v>0</v>
      </c>
      <c r="AB439" s="153" t="str">
        <f t="shared" si="135"/>
        <v>000</v>
      </c>
      <c r="AC439" s="165" t="str">
        <f t="shared" si="136"/>
        <v>00000000</v>
      </c>
      <c r="AD439" s="98" t="str">
        <f t="shared" si="137"/>
        <v>00000000</v>
      </c>
      <c r="AE439" s="150">
        <f t="shared" si="138"/>
        <v>0</v>
      </c>
      <c r="AF439" s="150">
        <f t="shared" si="139"/>
        <v>0</v>
      </c>
      <c r="AG439" s="98" t="str">
        <f t="shared" si="140"/>
        <v>0000000000</v>
      </c>
      <c r="AH439" s="151">
        <f t="shared" si="141"/>
        <v>0</v>
      </c>
      <c r="AI439" s="98" t="str">
        <f t="shared" si="142"/>
        <v>00</v>
      </c>
      <c r="AJ439" s="98" t="str">
        <f t="shared" si="143"/>
        <v>000000000000</v>
      </c>
      <c r="AK439" s="161" t="str">
        <f t="shared" si="144"/>
        <v xml:space="preserve">                              </v>
      </c>
      <c r="AL439" s="154">
        <f t="shared" si="145"/>
        <v>0</v>
      </c>
      <c r="AM439" s="155">
        <f t="shared" si="146"/>
        <v>0</v>
      </c>
      <c r="AP439" s="63" t="str">
        <f t="shared" si="147"/>
        <v/>
      </c>
      <c r="AQ439" s="63" t="str">
        <f t="shared" si="148"/>
        <v/>
      </c>
      <c r="AR439" s="152" t="str">
        <f t="shared" si="149"/>
        <v/>
      </c>
      <c r="AS439" s="109" t="str">
        <f t="shared" si="150"/>
        <v/>
      </c>
      <c r="AT439" s="63" t="str">
        <f t="shared" si="151"/>
        <v xml:space="preserve">                    </v>
      </c>
    </row>
    <row r="440" spans="1:46" ht="12.75" x14ac:dyDescent="0.2">
      <c r="A440" s="63" t="str">
        <f t="shared" si="133"/>
        <v/>
      </c>
      <c r="B440" s="185"/>
      <c r="C440" s="184"/>
      <c r="D440" s="184"/>
      <c r="E440" s="184"/>
      <c r="F440" s="184"/>
      <c r="G440" s="185"/>
      <c r="H440" s="185"/>
      <c r="I440" s="186"/>
      <c r="J440" s="69"/>
      <c r="AA440" s="63">
        <f t="shared" si="134"/>
        <v>0</v>
      </c>
      <c r="AB440" s="153" t="str">
        <f t="shared" si="135"/>
        <v>000</v>
      </c>
      <c r="AC440" s="165" t="str">
        <f t="shared" si="136"/>
        <v>00000000</v>
      </c>
      <c r="AD440" s="98" t="str">
        <f t="shared" si="137"/>
        <v>00000000</v>
      </c>
      <c r="AE440" s="150">
        <f t="shared" si="138"/>
        <v>0</v>
      </c>
      <c r="AF440" s="150">
        <f t="shared" si="139"/>
        <v>0</v>
      </c>
      <c r="AG440" s="98" t="str">
        <f t="shared" si="140"/>
        <v>0000000000</v>
      </c>
      <c r="AH440" s="151">
        <f t="shared" si="141"/>
        <v>0</v>
      </c>
      <c r="AI440" s="98" t="str">
        <f t="shared" si="142"/>
        <v>00</v>
      </c>
      <c r="AJ440" s="98" t="str">
        <f t="shared" si="143"/>
        <v>000000000000</v>
      </c>
      <c r="AK440" s="161" t="str">
        <f t="shared" si="144"/>
        <v xml:space="preserve">                              </v>
      </c>
      <c r="AL440" s="154">
        <f t="shared" si="145"/>
        <v>0</v>
      </c>
      <c r="AM440" s="155">
        <f t="shared" si="146"/>
        <v>0</v>
      </c>
      <c r="AP440" s="63" t="str">
        <f t="shared" si="147"/>
        <v/>
      </c>
      <c r="AQ440" s="63" t="str">
        <f t="shared" si="148"/>
        <v/>
      </c>
      <c r="AR440" s="152" t="str">
        <f t="shared" si="149"/>
        <v/>
      </c>
      <c r="AS440" s="109" t="str">
        <f t="shared" si="150"/>
        <v/>
      </c>
      <c r="AT440" s="63" t="str">
        <f t="shared" si="151"/>
        <v xml:space="preserve">                    </v>
      </c>
    </row>
    <row r="441" spans="1:46" ht="12.75" x14ac:dyDescent="0.2">
      <c r="A441" s="63" t="str">
        <f t="shared" si="133"/>
        <v/>
      </c>
      <c r="B441" s="185"/>
      <c r="C441" s="184"/>
      <c r="D441" s="184"/>
      <c r="E441" s="184"/>
      <c r="F441" s="184"/>
      <c r="G441" s="185"/>
      <c r="H441" s="185"/>
      <c r="I441" s="186"/>
      <c r="J441" s="69"/>
      <c r="AA441" s="63">
        <f t="shared" si="134"/>
        <v>0</v>
      </c>
      <c r="AB441" s="153" t="str">
        <f t="shared" si="135"/>
        <v>000</v>
      </c>
      <c r="AC441" s="165" t="str">
        <f t="shared" si="136"/>
        <v>00000000</v>
      </c>
      <c r="AD441" s="98" t="str">
        <f t="shared" si="137"/>
        <v>00000000</v>
      </c>
      <c r="AE441" s="150">
        <f t="shared" si="138"/>
        <v>0</v>
      </c>
      <c r="AF441" s="150">
        <f t="shared" si="139"/>
        <v>0</v>
      </c>
      <c r="AG441" s="98" t="str">
        <f t="shared" si="140"/>
        <v>0000000000</v>
      </c>
      <c r="AH441" s="151">
        <f t="shared" si="141"/>
        <v>0</v>
      </c>
      <c r="AI441" s="98" t="str">
        <f t="shared" si="142"/>
        <v>00</v>
      </c>
      <c r="AJ441" s="98" t="str">
        <f t="shared" si="143"/>
        <v>000000000000</v>
      </c>
      <c r="AK441" s="161" t="str">
        <f t="shared" si="144"/>
        <v xml:space="preserve">                              </v>
      </c>
      <c r="AL441" s="154">
        <f t="shared" si="145"/>
        <v>0</v>
      </c>
      <c r="AM441" s="155">
        <f t="shared" si="146"/>
        <v>0</v>
      </c>
      <c r="AP441" s="63" t="str">
        <f t="shared" si="147"/>
        <v/>
      </c>
      <c r="AQ441" s="63" t="str">
        <f t="shared" si="148"/>
        <v/>
      </c>
      <c r="AR441" s="152" t="str">
        <f t="shared" si="149"/>
        <v/>
      </c>
      <c r="AS441" s="109" t="str">
        <f t="shared" si="150"/>
        <v/>
      </c>
      <c r="AT441" s="63" t="str">
        <f t="shared" si="151"/>
        <v xml:space="preserve">                    </v>
      </c>
    </row>
    <row r="442" spans="1:46" ht="12.75" x14ac:dyDescent="0.2">
      <c r="A442" s="63" t="str">
        <f t="shared" si="133"/>
        <v/>
      </c>
      <c r="B442" s="185"/>
      <c r="C442" s="184"/>
      <c r="D442" s="184"/>
      <c r="E442" s="184"/>
      <c r="F442" s="184"/>
      <c r="G442" s="185"/>
      <c r="H442" s="185"/>
      <c r="I442" s="186"/>
      <c r="J442" s="69"/>
      <c r="AA442" s="63">
        <f t="shared" si="134"/>
        <v>0</v>
      </c>
      <c r="AB442" s="153" t="str">
        <f t="shared" si="135"/>
        <v>000</v>
      </c>
      <c r="AC442" s="165" t="str">
        <f t="shared" si="136"/>
        <v>00000000</v>
      </c>
      <c r="AD442" s="98" t="str">
        <f t="shared" si="137"/>
        <v>00000000</v>
      </c>
      <c r="AE442" s="150">
        <f t="shared" si="138"/>
        <v>0</v>
      </c>
      <c r="AF442" s="150">
        <f t="shared" si="139"/>
        <v>0</v>
      </c>
      <c r="AG442" s="98" t="str">
        <f t="shared" si="140"/>
        <v>0000000000</v>
      </c>
      <c r="AH442" s="151">
        <f t="shared" si="141"/>
        <v>0</v>
      </c>
      <c r="AI442" s="98" t="str">
        <f t="shared" si="142"/>
        <v>00</v>
      </c>
      <c r="AJ442" s="98" t="str">
        <f t="shared" si="143"/>
        <v>000000000000</v>
      </c>
      <c r="AK442" s="161" t="str">
        <f t="shared" si="144"/>
        <v xml:space="preserve">                              </v>
      </c>
      <c r="AL442" s="154">
        <f t="shared" si="145"/>
        <v>0</v>
      </c>
      <c r="AM442" s="155">
        <f t="shared" si="146"/>
        <v>0</v>
      </c>
      <c r="AP442" s="63" t="str">
        <f t="shared" si="147"/>
        <v/>
      </c>
      <c r="AQ442" s="63" t="str">
        <f t="shared" si="148"/>
        <v/>
      </c>
      <c r="AR442" s="152" t="str">
        <f t="shared" si="149"/>
        <v/>
      </c>
      <c r="AS442" s="109" t="str">
        <f t="shared" si="150"/>
        <v/>
      </c>
      <c r="AT442" s="63" t="str">
        <f t="shared" si="151"/>
        <v xml:space="preserve">                    </v>
      </c>
    </row>
    <row r="443" spans="1:46" ht="12.75" x14ac:dyDescent="0.2">
      <c r="A443" s="63" t="str">
        <f t="shared" si="133"/>
        <v/>
      </c>
      <c r="B443" s="185"/>
      <c r="C443" s="184"/>
      <c r="D443" s="184"/>
      <c r="E443" s="184"/>
      <c r="F443" s="184"/>
      <c r="G443" s="185"/>
      <c r="H443" s="185"/>
      <c r="I443" s="186"/>
      <c r="J443" s="69"/>
      <c r="AA443" s="63">
        <f t="shared" si="134"/>
        <v>0</v>
      </c>
      <c r="AB443" s="153" t="str">
        <f t="shared" si="135"/>
        <v>000</v>
      </c>
      <c r="AC443" s="165" t="str">
        <f t="shared" si="136"/>
        <v>00000000</v>
      </c>
      <c r="AD443" s="98" t="str">
        <f t="shared" si="137"/>
        <v>00000000</v>
      </c>
      <c r="AE443" s="150">
        <f t="shared" si="138"/>
        <v>0</v>
      </c>
      <c r="AF443" s="150">
        <f t="shared" si="139"/>
        <v>0</v>
      </c>
      <c r="AG443" s="98" t="str">
        <f t="shared" si="140"/>
        <v>0000000000</v>
      </c>
      <c r="AH443" s="151">
        <f t="shared" si="141"/>
        <v>0</v>
      </c>
      <c r="AI443" s="98" t="str">
        <f t="shared" si="142"/>
        <v>00</v>
      </c>
      <c r="AJ443" s="98" t="str">
        <f t="shared" si="143"/>
        <v>000000000000</v>
      </c>
      <c r="AK443" s="161" t="str">
        <f t="shared" si="144"/>
        <v xml:space="preserve">                              </v>
      </c>
      <c r="AL443" s="154">
        <f t="shared" si="145"/>
        <v>0</v>
      </c>
      <c r="AM443" s="155">
        <f t="shared" si="146"/>
        <v>0</v>
      </c>
      <c r="AP443" s="63" t="str">
        <f t="shared" si="147"/>
        <v/>
      </c>
      <c r="AQ443" s="63" t="str">
        <f t="shared" si="148"/>
        <v/>
      </c>
      <c r="AR443" s="152" t="str">
        <f t="shared" si="149"/>
        <v/>
      </c>
      <c r="AS443" s="109" t="str">
        <f t="shared" si="150"/>
        <v/>
      </c>
      <c r="AT443" s="63" t="str">
        <f t="shared" si="151"/>
        <v xml:space="preserve">                    </v>
      </c>
    </row>
    <row r="444" spans="1:46" ht="12.75" x14ac:dyDescent="0.2">
      <c r="A444" s="63" t="str">
        <f t="shared" si="133"/>
        <v/>
      </c>
      <c r="B444" s="185"/>
      <c r="C444" s="184"/>
      <c r="D444" s="184"/>
      <c r="E444" s="184"/>
      <c r="F444" s="184"/>
      <c r="G444" s="185"/>
      <c r="H444" s="185"/>
      <c r="I444" s="186"/>
      <c r="J444" s="69"/>
      <c r="AA444" s="63">
        <f t="shared" si="134"/>
        <v>0</v>
      </c>
      <c r="AB444" s="153" t="str">
        <f t="shared" si="135"/>
        <v>000</v>
      </c>
      <c r="AC444" s="165" t="str">
        <f t="shared" si="136"/>
        <v>00000000</v>
      </c>
      <c r="AD444" s="98" t="str">
        <f t="shared" si="137"/>
        <v>00000000</v>
      </c>
      <c r="AE444" s="150">
        <f t="shared" si="138"/>
        <v>0</v>
      </c>
      <c r="AF444" s="150">
        <f t="shared" si="139"/>
        <v>0</v>
      </c>
      <c r="AG444" s="98" t="str">
        <f t="shared" si="140"/>
        <v>0000000000</v>
      </c>
      <c r="AH444" s="151">
        <f t="shared" si="141"/>
        <v>0</v>
      </c>
      <c r="AI444" s="98" t="str">
        <f t="shared" si="142"/>
        <v>00</v>
      </c>
      <c r="AJ444" s="98" t="str">
        <f t="shared" si="143"/>
        <v>000000000000</v>
      </c>
      <c r="AK444" s="161" t="str">
        <f t="shared" si="144"/>
        <v xml:space="preserve">                              </v>
      </c>
      <c r="AL444" s="154">
        <f t="shared" si="145"/>
        <v>0</v>
      </c>
      <c r="AM444" s="155">
        <f t="shared" si="146"/>
        <v>0</v>
      </c>
      <c r="AP444" s="63" t="str">
        <f t="shared" si="147"/>
        <v/>
      </c>
      <c r="AQ444" s="63" t="str">
        <f t="shared" si="148"/>
        <v/>
      </c>
      <c r="AR444" s="152" t="str">
        <f t="shared" si="149"/>
        <v/>
      </c>
      <c r="AS444" s="109" t="str">
        <f t="shared" si="150"/>
        <v/>
      </c>
      <c r="AT444" s="63" t="str">
        <f t="shared" si="151"/>
        <v xml:space="preserve">                    </v>
      </c>
    </row>
    <row r="445" spans="1:46" ht="12.75" x14ac:dyDescent="0.2">
      <c r="A445" s="63" t="str">
        <f t="shared" si="133"/>
        <v/>
      </c>
      <c r="B445" s="185"/>
      <c r="C445" s="184"/>
      <c r="D445" s="184"/>
      <c r="E445" s="184"/>
      <c r="F445" s="184"/>
      <c r="G445" s="185"/>
      <c r="H445" s="185"/>
      <c r="I445" s="186"/>
      <c r="J445" s="69"/>
      <c r="AA445" s="63">
        <f t="shared" si="134"/>
        <v>0</v>
      </c>
      <c r="AB445" s="153" t="str">
        <f t="shared" si="135"/>
        <v>000</v>
      </c>
      <c r="AC445" s="165" t="str">
        <f t="shared" si="136"/>
        <v>00000000</v>
      </c>
      <c r="AD445" s="98" t="str">
        <f t="shared" si="137"/>
        <v>00000000</v>
      </c>
      <c r="AE445" s="150">
        <f t="shared" si="138"/>
        <v>0</v>
      </c>
      <c r="AF445" s="150">
        <f t="shared" si="139"/>
        <v>0</v>
      </c>
      <c r="AG445" s="98" t="str">
        <f t="shared" si="140"/>
        <v>0000000000</v>
      </c>
      <c r="AH445" s="151">
        <f t="shared" si="141"/>
        <v>0</v>
      </c>
      <c r="AI445" s="98" t="str">
        <f t="shared" si="142"/>
        <v>00</v>
      </c>
      <c r="AJ445" s="98" t="str">
        <f t="shared" si="143"/>
        <v>000000000000</v>
      </c>
      <c r="AK445" s="161" t="str">
        <f t="shared" si="144"/>
        <v xml:space="preserve">                              </v>
      </c>
      <c r="AL445" s="154">
        <f t="shared" si="145"/>
        <v>0</v>
      </c>
      <c r="AM445" s="155">
        <f t="shared" si="146"/>
        <v>0</v>
      </c>
      <c r="AP445" s="63" t="str">
        <f t="shared" si="147"/>
        <v/>
      </c>
      <c r="AQ445" s="63" t="str">
        <f t="shared" si="148"/>
        <v/>
      </c>
      <c r="AR445" s="152" t="str">
        <f t="shared" si="149"/>
        <v/>
      </c>
      <c r="AS445" s="109" t="str">
        <f t="shared" si="150"/>
        <v/>
      </c>
      <c r="AT445" s="63" t="str">
        <f t="shared" si="151"/>
        <v xml:space="preserve">                    </v>
      </c>
    </row>
    <row r="446" spans="1:46" ht="12.75" x14ac:dyDescent="0.2">
      <c r="A446" s="63" t="str">
        <f t="shared" si="133"/>
        <v/>
      </c>
      <c r="B446" s="185"/>
      <c r="C446" s="184"/>
      <c r="D446" s="184"/>
      <c r="E446" s="184"/>
      <c r="F446" s="184"/>
      <c r="G446" s="185"/>
      <c r="H446" s="185"/>
      <c r="I446" s="186"/>
      <c r="J446" s="69"/>
      <c r="AA446" s="63">
        <f t="shared" si="134"/>
        <v>0</v>
      </c>
      <c r="AB446" s="153" t="str">
        <f t="shared" si="135"/>
        <v>000</v>
      </c>
      <c r="AC446" s="165" t="str">
        <f t="shared" si="136"/>
        <v>00000000</v>
      </c>
      <c r="AD446" s="98" t="str">
        <f t="shared" si="137"/>
        <v>00000000</v>
      </c>
      <c r="AE446" s="150">
        <f t="shared" si="138"/>
        <v>0</v>
      </c>
      <c r="AF446" s="150">
        <f t="shared" si="139"/>
        <v>0</v>
      </c>
      <c r="AG446" s="98" t="str">
        <f t="shared" si="140"/>
        <v>0000000000</v>
      </c>
      <c r="AH446" s="151">
        <f t="shared" si="141"/>
        <v>0</v>
      </c>
      <c r="AI446" s="98" t="str">
        <f t="shared" si="142"/>
        <v>00</v>
      </c>
      <c r="AJ446" s="98" t="str">
        <f t="shared" si="143"/>
        <v>000000000000</v>
      </c>
      <c r="AK446" s="161" t="str">
        <f t="shared" si="144"/>
        <v xml:space="preserve">                              </v>
      </c>
      <c r="AL446" s="154">
        <f t="shared" si="145"/>
        <v>0</v>
      </c>
      <c r="AM446" s="155">
        <f t="shared" si="146"/>
        <v>0</v>
      </c>
      <c r="AP446" s="63" t="str">
        <f t="shared" si="147"/>
        <v/>
      </c>
      <c r="AQ446" s="63" t="str">
        <f t="shared" si="148"/>
        <v/>
      </c>
      <c r="AR446" s="152" t="str">
        <f t="shared" si="149"/>
        <v/>
      </c>
      <c r="AS446" s="109" t="str">
        <f t="shared" si="150"/>
        <v/>
      </c>
      <c r="AT446" s="63" t="str">
        <f t="shared" si="151"/>
        <v xml:space="preserve">                    </v>
      </c>
    </row>
    <row r="447" spans="1:46" ht="12.75" x14ac:dyDescent="0.2">
      <c r="A447" s="63" t="str">
        <f t="shared" si="133"/>
        <v/>
      </c>
      <c r="B447" s="185"/>
      <c r="C447" s="184"/>
      <c r="D447" s="184"/>
      <c r="E447" s="184"/>
      <c r="F447" s="184"/>
      <c r="G447" s="185"/>
      <c r="H447" s="185"/>
      <c r="I447" s="186"/>
      <c r="J447" s="69"/>
      <c r="AA447" s="63">
        <f t="shared" si="134"/>
        <v>0</v>
      </c>
      <c r="AB447" s="153" t="str">
        <f t="shared" si="135"/>
        <v>000</v>
      </c>
      <c r="AC447" s="165" t="str">
        <f t="shared" si="136"/>
        <v>00000000</v>
      </c>
      <c r="AD447" s="98" t="str">
        <f t="shared" si="137"/>
        <v>00000000</v>
      </c>
      <c r="AE447" s="150">
        <f t="shared" si="138"/>
        <v>0</v>
      </c>
      <c r="AF447" s="150">
        <f t="shared" si="139"/>
        <v>0</v>
      </c>
      <c r="AG447" s="98" t="str">
        <f t="shared" si="140"/>
        <v>0000000000</v>
      </c>
      <c r="AH447" s="151">
        <f t="shared" si="141"/>
        <v>0</v>
      </c>
      <c r="AI447" s="98" t="str">
        <f t="shared" si="142"/>
        <v>00</v>
      </c>
      <c r="AJ447" s="98" t="str">
        <f t="shared" si="143"/>
        <v>000000000000</v>
      </c>
      <c r="AK447" s="161" t="str">
        <f t="shared" si="144"/>
        <v xml:space="preserve">                              </v>
      </c>
      <c r="AL447" s="154">
        <f t="shared" si="145"/>
        <v>0</v>
      </c>
      <c r="AM447" s="155">
        <f t="shared" si="146"/>
        <v>0</v>
      </c>
      <c r="AP447" s="63" t="str">
        <f t="shared" si="147"/>
        <v/>
      </c>
      <c r="AQ447" s="63" t="str">
        <f t="shared" si="148"/>
        <v/>
      </c>
      <c r="AR447" s="152" t="str">
        <f t="shared" si="149"/>
        <v/>
      </c>
      <c r="AS447" s="109" t="str">
        <f t="shared" si="150"/>
        <v/>
      </c>
      <c r="AT447" s="63" t="str">
        <f t="shared" si="151"/>
        <v xml:space="preserve">                    </v>
      </c>
    </row>
    <row r="448" spans="1:46" ht="12.75" x14ac:dyDescent="0.2">
      <c r="A448" s="63" t="str">
        <f t="shared" si="133"/>
        <v/>
      </c>
      <c r="B448" s="185"/>
      <c r="C448" s="184"/>
      <c r="D448" s="184"/>
      <c r="E448" s="184"/>
      <c r="F448" s="184"/>
      <c r="G448" s="185"/>
      <c r="H448" s="185"/>
      <c r="I448" s="186"/>
      <c r="J448" s="69"/>
      <c r="AA448" s="63">
        <f t="shared" si="134"/>
        <v>0</v>
      </c>
      <c r="AB448" s="153" t="str">
        <f t="shared" si="135"/>
        <v>000</v>
      </c>
      <c r="AC448" s="165" t="str">
        <f t="shared" si="136"/>
        <v>00000000</v>
      </c>
      <c r="AD448" s="98" t="str">
        <f t="shared" si="137"/>
        <v>00000000</v>
      </c>
      <c r="AE448" s="150">
        <f t="shared" si="138"/>
        <v>0</v>
      </c>
      <c r="AF448" s="150">
        <f t="shared" si="139"/>
        <v>0</v>
      </c>
      <c r="AG448" s="98" t="str">
        <f t="shared" si="140"/>
        <v>0000000000</v>
      </c>
      <c r="AH448" s="151">
        <f t="shared" si="141"/>
        <v>0</v>
      </c>
      <c r="AI448" s="98" t="str">
        <f t="shared" si="142"/>
        <v>00</v>
      </c>
      <c r="AJ448" s="98" t="str">
        <f t="shared" si="143"/>
        <v>000000000000</v>
      </c>
      <c r="AK448" s="161" t="str">
        <f t="shared" si="144"/>
        <v xml:space="preserve">                              </v>
      </c>
      <c r="AL448" s="154">
        <f t="shared" si="145"/>
        <v>0</v>
      </c>
      <c r="AM448" s="155">
        <f t="shared" si="146"/>
        <v>0</v>
      </c>
      <c r="AP448" s="63" t="str">
        <f t="shared" si="147"/>
        <v/>
      </c>
      <c r="AQ448" s="63" t="str">
        <f t="shared" si="148"/>
        <v/>
      </c>
      <c r="AR448" s="152" t="str">
        <f t="shared" si="149"/>
        <v/>
      </c>
      <c r="AS448" s="109" t="str">
        <f t="shared" si="150"/>
        <v/>
      </c>
      <c r="AT448" s="63" t="str">
        <f t="shared" si="151"/>
        <v xml:space="preserve">                    </v>
      </c>
    </row>
    <row r="449" spans="1:46" ht="12.75" x14ac:dyDescent="0.2">
      <c r="A449" s="63" t="str">
        <f t="shared" si="133"/>
        <v/>
      </c>
      <c r="B449" s="185"/>
      <c r="C449" s="184"/>
      <c r="D449" s="184"/>
      <c r="E449" s="184"/>
      <c r="F449" s="184"/>
      <c r="G449" s="185"/>
      <c r="H449" s="185"/>
      <c r="I449" s="186"/>
      <c r="J449" s="69"/>
      <c r="AA449" s="63">
        <f t="shared" si="134"/>
        <v>0</v>
      </c>
      <c r="AB449" s="153" t="str">
        <f t="shared" si="135"/>
        <v>000</v>
      </c>
      <c r="AC449" s="165" t="str">
        <f t="shared" si="136"/>
        <v>00000000</v>
      </c>
      <c r="AD449" s="98" t="str">
        <f t="shared" si="137"/>
        <v>00000000</v>
      </c>
      <c r="AE449" s="150">
        <f t="shared" si="138"/>
        <v>0</v>
      </c>
      <c r="AF449" s="150">
        <f t="shared" si="139"/>
        <v>0</v>
      </c>
      <c r="AG449" s="98" t="str">
        <f t="shared" si="140"/>
        <v>0000000000</v>
      </c>
      <c r="AH449" s="151">
        <f t="shared" si="141"/>
        <v>0</v>
      </c>
      <c r="AI449" s="98" t="str">
        <f t="shared" si="142"/>
        <v>00</v>
      </c>
      <c r="AJ449" s="98" t="str">
        <f t="shared" si="143"/>
        <v>000000000000</v>
      </c>
      <c r="AK449" s="161" t="str">
        <f t="shared" si="144"/>
        <v xml:space="preserve">                              </v>
      </c>
      <c r="AL449" s="154">
        <f t="shared" si="145"/>
        <v>0</v>
      </c>
      <c r="AM449" s="155">
        <f t="shared" si="146"/>
        <v>0</v>
      </c>
      <c r="AP449" s="63" t="str">
        <f t="shared" si="147"/>
        <v/>
      </c>
      <c r="AQ449" s="63" t="str">
        <f t="shared" si="148"/>
        <v/>
      </c>
      <c r="AR449" s="152" t="str">
        <f t="shared" si="149"/>
        <v/>
      </c>
      <c r="AS449" s="109" t="str">
        <f t="shared" si="150"/>
        <v/>
      </c>
      <c r="AT449" s="63" t="str">
        <f t="shared" si="151"/>
        <v xml:space="preserve">                    </v>
      </c>
    </row>
    <row r="450" spans="1:46" ht="12.75" x14ac:dyDescent="0.2">
      <c r="A450" s="63" t="str">
        <f t="shared" si="133"/>
        <v/>
      </c>
      <c r="B450" s="185"/>
      <c r="C450" s="184"/>
      <c r="D450" s="184"/>
      <c r="E450" s="184"/>
      <c r="F450" s="184"/>
      <c r="G450" s="185"/>
      <c r="H450" s="185"/>
      <c r="I450" s="186"/>
      <c r="J450" s="69"/>
      <c r="AA450" s="63">
        <f t="shared" si="134"/>
        <v>0</v>
      </c>
      <c r="AB450" s="153" t="str">
        <f t="shared" si="135"/>
        <v>000</v>
      </c>
      <c r="AC450" s="165" t="str">
        <f t="shared" si="136"/>
        <v>00000000</v>
      </c>
      <c r="AD450" s="98" t="str">
        <f t="shared" si="137"/>
        <v>00000000</v>
      </c>
      <c r="AE450" s="150">
        <f t="shared" si="138"/>
        <v>0</v>
      </c>
      <c r="AF450" s="150">
        <f t="shared" si="139"/>
        <v>0</v>
      </c>
      <c r="AG450" s="98" t="str">
        <f t="shared" si="140"/>
        <v>0000000000</v>
      </c>
      <c r="AH450" s="151">
        <f t="shared" si="141"/>
        <v>0</v>
      </c>
      <c r="AI450" s="98" t="str">
        <f t="shared" si="142"/>
        <v>00</v>
      </c>
      <c r="AJ450" s="98" t="str">
        <f t="shared" si="143"/>
        <v>000000000000</v>
      </c>
      <c r="AK450" s="161" t="str">
        <f t="shared" si="144"/>
        <v xml:space="preserve">                              </v>
      </c>
      <c r="AL450" s="154">
        <f t="shared" si="145"/>
        <v>0</v>
      </c>
      <c r="AM450" s="155">
        <f t="shared" si="146"/>
        <v>0</v>
      </c>
      <c r="AP450" s="63" t="str">
        <f t="shared" si="147"/>
        <v/>
      </c>
      <c r="AQ450" s="63" t="str">
        <f t="shared" si="148"/>
        <v/>
      </c>
      <c r="AR450" s="152" t="str">
        <f t="shared" si="149"/>
        <v/>
      </c>
      <c r="AS450" s="109" t="str">
        <f t="shared" si="150"/>
        <v/>
      </c>
      <c r="AT450" s="63" t="str">
        <f t="shared" si="151"/>
        <v xml:space="preserve">                    </v>
      </c>
    </row>
    <row r="451" spans="1:46" ht="12.75" x14ac:dyDescent="0.2">
      <c r="A451" s="63" t="str">
        <f t="shared" si="133"/>
        <v/>
      </c>
      <c r="B451" s="185"/>
      <c r="C451" s="184"/>
      <c r="D451" s="184"/>
      <c r="E451" s="184"/>
      <c r="F451" s="184"/>
      <c r="G451" s="185"/>
      <c r="H451" s="185"/>
      <c r="I451" s="186"/>
      <c r="J451" s="69"/>
      <c r="AA451" s="63">
        <f t="shared" si="134"/>
        <v>0</v>
      </c>
      <c r="AB451" s="153" t="str">
        <f t="shared" si="135"/>
        <v>000</v>
      </c>
      <c r="AC451" s="165" t="str">
        <f t="shared" si="136"/>
        <v>00000000</v>
      </c>
      <c r="AD451" s="98" t="str">
        <f t="shared" si="137"/>
        <v>00000000</v>
      </c>
      <c r="AE451" s="150">
        <f t="shared" si="138"/>
        <v>0</v>
      </c>
      <c r="AF451" s="150">
        <f t="shared" si="139"/>
        <v>0</v>
      </c>
      <c r="AG451" s="98" t="str">
        <f t="shared" si="140"/>
        <v>0000000000</v>
      </c>
      <c r="AH451" s="151">
        <f t="shared" si="141"/>
        <v>0</v>
      </c>
      <c r="AI451" s="98" t="str">
        <f t="shared" si="142"/>
        <v>00</v>
      </c>
      <c r="AJ451" s="98" t="str">
        <f t="shared" si="143"/>
        <v>000000000000</v>
      </c>
      <c r="AK451" s="161" t="str">
        <f t="shared" si="144"/>
        <v xml:space="preserve">                              </v>
      </c>
      <c r="AL451" s="154">
        <f t="shared" si="145"/>
        <v>0</v>
      </c>
      <c r="AM451" s="155">
        <f t="shared" si="146"/>
        <v>0</v>
      </c>
      <c r="AP451" s="63" t="str">
        <f t="shared" si="147"/>
        <v/>
      </c>
      <c r="AQ451" s="63" t="str">
        <f t="shared" si="148"/>
        <v/>
      </c>
      <c r="AR451" s="152" t="str">
        <f t="shared" si="149"/>
        <v/>
      </c>
      <c r="AS451" s="109" t="str">
        <f t="shared" si="150"/>
        <v/>
      </c>
      <c r="AT451" s="63" t="str">
        <f t="shared" si="151"/>
        <v xml:space="preserve">                    </v>
      </c>
    </row>
    <row r="452" spans="1:46" ht="12.75" x14ac:dyDescent="0.2">
      <c r="A452" s="63" t="str">
        <f t="shared" si="133"/>
        <v/>
      </c>
      <c r="B452" s="185"/>
      <c r="C452" s="184"/>
      <c r="D452" s="184"/>
      <c r="E452" s="184"/>
      <c r="F452" s="184"/>
      <c r="G452" s="185"/>
      <c r="H452" s="185"/>
      <c r="I452" s="186"/>
      <c r="J452" s="69"/>
      <c r="AA452" s="63">
        <f t="shared" si="134"/>
        <v>0</v>
      </c>
      <c r="AB452" s="153" t="str">
        <f t="shared" si="135"/>
        <v>000</v>
      </c>
      <c r="AC452" s="165" t="str">
        <f t="shared" si="136"/>
        <v>00000000</v>
      </c>
      <c r="AD452" s="98" t="str">
        <f t="shared" si="137"/>
        <v>00000000</v>
      </c>
      <c r="AE452" s="150">
        <f t="shared" si="138"/>
        <v>0</v>
      </c>
      <c r="AF452" s="150">
        <f t="shared" si="139"/>
        <v>0</v>
      </c>
      <c r="AG452" s="98" t="str">
        <f t="shared" si="140"/>
        <v>0000000000</v>
      </c>
      <c r="AH452" s="151">
        <f t="shared" si="141"/>
        <v>0</v>
      </c>
      <c r="AI452" s="98" t="str">
        <f t="shared" si="142"/>
        <v>00</v>
      </c>
      <c r="AJ452" s="98" t="str">
        <f t="shared" si="143"/>
        <v>000000000000</v>
      </c>
      <c r="AK452" s="161" t="str">
        <f t="shared" si="144"/>
        <v xml:space="preserve">                              </v>
      </c>
      <c r="AL452" s="154">
        <f t="shared" si="145"/>
        <v>0</v>
      </c>
      <c r="AM452" s="155">
        <f t="shared" si="146"/>
        <v>0</v>
      </c>
      <c r="AP452" s="63" t="str">
        <f t="shared" si="147"/>
        <v/>
      </c>
      <c r="AQ452" s="63" t="str">
        <f t="shared" si="148"/>
        <v/>
      </c>
      <c r="AR452" s="152" t="str">
        <f t="shared" si="149"/>
        <v/>
      </c>
      <c r="AS452" s="109" t="str">
        <f t="shared" si="150"/>
        <v/>
      </c>
      <c r="AT452" s="63" t="str">
        <f t="shared" si="151"/>
        <v xml:space="preserve">                    </v>
      </c>
    </row>
    <row r="453" spans="1:46" ht="12.75" x14ac:dyDescent="0.2">
      <c r="A453" s="63" t="str">
        <f t="shared" si="133"/>
        <v/>
      </c>
      <c r="B453" s="185"/>
      <c r="C453" s="184"/>
      <c r="D453" s="184"/>
      <c r="E453" s="184"/>
      <c r="F453" s="184"/>
      <c r="G453" s="185"/>
      <c r="H453" s="185"/>
      <c r="I453" s="186"/>
      <c r="J453" s="69"/>
      <c r="AA453" s="63">
        <f t="shared" si="134"/>
        <v>0</v>
      </c>
      <c r="AB453" s="153" t="str">
        <f t="shared" si="135"/>
        <v>000</v>
      </c>
      <c r="AC453" s="165" t="str">
        <f t="shared" si="136"/>
        <v>00000000</v>
      </c>
      <c r="AD453" s="98" t="str">
        <f t="shared" si="137"/>
        <v>00000000</v>
      </c>
      <c r="AE453" s="150">
        <f t="shared" si="138"/>
        <v>0</v>
      </c>
      <c r="AF453" s="150">
        <f t="shared" si="139"/>
        <v>0</v>
      </c>
      <c r="AG453" s="98" t="str">
        <f t="shared" si="140"/>
        <v>0000000000</v>
      </c>
      <c r="AH453" s="151">
        <f t="shared" si="141"/>
        <v>0</v>
      </c>
      <c r="AI453" s="98" t="str">
        <f t="shared" si="142"/>
        <v>00</v>
      </c>
      <c r="AJ453" s="98" t="str">
        <f t="shared" si="143"/>
        <v>000000000000</v>
      </c>
      <c r="AK453" s="161" t="str">
        <f t="shared" si="144"/>
        <v xml:space="preserve">                              </v>
      </c>
      <c r="AL453" s="154">
        <f t="shared" si="145"/>
        <v>0</v>
      </c>
      <c r="AM453" s="155">
        <f t="shared" si="146"/>
        <v>0</v>
      </c>
      <c r="AP453" s="63" t="str">
        <f t="shared" si="147"/>
        <v/>
      </c>
      <c r="AQ453" s="63" t="str">
        <f t="shared" si="148"/>
        <v/>
      </c>
      <c r="AR453" s="152" t="str">
        <f t="shared" si="149"/>
        <v/>
      </c>
      <c r="AS453" s="109" t="str">
        <f t="shared" si="150"/>
        <v/>
      </c>
      <c r="AT453" s="63" t="str">
        <f t="shared" si="151"/>
        <v xml:space="preserve">                    </v>
      </c>
    </row>
    <row r="454" spans="1:46" ht="12.75" x14ac:dyDescent="0.2">
      <c r="A454" s="63" t="str">
        <f t="shared" ref="A454:A517" si="152">IF(B454&lt;&gt;"",A453+1,"")</f>
        <v/>
      </c>
      <c r="B454" s="185"/>
      <c r="C454" s="184"/>
      <c r="D454" s="184"/>
      <c r="E454" s="184"/>
      <c r="F454" s="184"/>
      <c r="G454" s="185"/>
      <c r="H454" s="185"/>
      <c r="I454" s="186"/>
      <c r="J454" s="69"/>
      <c r="AA454" s="63">
        <f t="shared" si="134"/>
        <v>0</v>
      </c>
      <c r="AB454" s="153" t="str">
        <f t="shared" si="135"/>
        <v>000</v>
      </c>
      <c r="AC454" s="165" t="str">
        <f t="shared" si="136"/>
        <v>00000000</v>
      </c>
      <c r="AD454" s="98" t="str">
        <f t="shared" si="137"/>
        <v>00000000</v>
      </c>
      <c r="AE454" s="150">
        <f t="shared" si="138"/>
        <v>0</v>
      </c>
      <c r="AF454" s="150">
        <f t="shared" si="139"/>
        <v>0</v>
      </c>
      <c r="AG454" s="98" t="str">
        <f t="shared" si="140"/>
        <v>0000000000</v>
      </c>
      <c r="AH454" s="151">
        <f t="shared" si="141"/>
        <v>0</v>
      </c>
      <c r="AI454" s="98" t="str">
        <f t="shared" si="142"/>
        <v>00</v>
      </c>
      <c r="AJ454" s="98" t="str">
        <f t="shared" si="143"/>
        <v>000000000000</v>
      </c>
      <c r="AK454" s="161" t="str">
        <f t="shared" si="144"/>
        <v xml:space="preserve">                              </v>
      </c>
      <c r="AL454" s="154">
        <f t="shared" si="145"/>
        <v>0</v>
      </c>
      <c r="AM454" s="155">
        <f t="shared" si="146"/>
        <v>0</v>
      </c>
      <c r="AP454" s="63" t="str">
        <f t="shared" si="147"/>
        <v/>
      </c>
      <c r="AQ454" s="63" t="str">
        <f t="shared" si="148"/>
        <v/>
      </c>
      <c r="AR454" s="152" t="str">
        <f t="shared" si="149"/>
        <v/>
      </c>
      <c r="AS454" s="109" t="str">
        <f t="shared" si="150"/>
        <v/>
      </c>
      <c r="AT454" s="63" t="str">
        <f t="shared" si="151"/>
        <v xml:space="preserve">                    </v>
      </c>
    </row>
    <row r="455" spans="1:46" ht="12.75" x14ac:dyDescent="0.2">
      <c r="A455" s="63" t="str">
        <f t="shared" si="152"/>
        <v/>
      </c>
      <c r="B455" s="185"/>
      <c r="C455" s="184"/>
      <c r="D455" s="184"/>
      <c r="E455" s="184"/>
      <c r="F455" s="184"/>
      <c r="G455" s="185"/>
      <c r="H455" s="185"/>
      <c r="I455" s="186"/>
      <c r="J455" s="69"/>
      <c r="AA455" s="63">
        <f t="shared" si="134"/>
        <v>0</v>
      </c>
      <c r="AB455" s="153" t="str">
        <f t="shared" si="135"/>
        <v>000</v>
      </c>
      <c r="AC455" s="165" t="str">
        <f t="shared" si="136"/>
        <v>00000000</v>
      </c>
      <c r="AD455" s="98" t="str">
        <f t="shared" si="137"/>
        <v>00000000</v>
      </c>
      <c r="AE455" s="150">
        <f t="shared" si="138"/>
        <v>0</v>
      </c>
      <c r="AF455" s="150">
        <f t="shared" si="139"/>
        <v>0</v>
      </c>
      <c r="AG455" s="98" t="str">
        <f t="shared" si="140"/>
        <v>0000000000</v>
      </c>
      <c r="AH455" s="151">
        <f t="shared" si="141"/>
        <v>0</v>
      </c>
      <c r="AI455" s="98" t="str">
        <f t="shared" si="142"/>
        <v>00</v>
      </c>
      <c r="AJ455" s="98" t="str">
        <f t="shared" si="143"/>
        <v>000000000000</v>
      </c>
      <c r="AK455" s="161" t="str">
        <f t="shared" si="144"/>
        <v xml:space="preserve">                              </v>
      </c>
      <c r="AL455" s="154">
        <f t="shared" si="145"/>
        <v>0</v>
      </c>
      <c r="AM455" s="155">
        <f t="shared" si="146"/>
        <v>0</v>
      </c>
      <c r="AP455" s="63" t="str">
        <f t="shared" si="147"/>
        <v/>
      </c>
      <c r="AQ455" s="63" t="str">
        <f t="shared" si="148"/>
        <v/>
      </c>
      <c r="AR455" s="152" t="str">
        <f t="shared" si="149"/>
        <v/>
      </c>
      <c r="AS455" s="109" t="str">
        <f t="shared" si="150"/>
        <v/>
      </c>
      <c r="AT455" s="63" t="str">
        <f t="shared" si="151"/>
        <v xml:space="preserve">                    </v>
      </c>
    </row>
    <row r="456" spans="1:46" ht="12.75" x14ac:dyDescent="0.2">
      <c r="A456" s="63" t="str">
        <f t="shared" si="152"/>
        <v/>
      </c>
      <c r="B456" s="185"/>
      <c r="C456" s="184"/>
      <c r="D456" s="184"/>
      <c r="E456" s="184"/>
      <c r="F456" s="184"/>
      <c r="G456" s="185"/>
      <c r="H456" s="185"/>
      <c r="I456" s="186"/>
      <c r="J456" s="69"/>
      <c r="AA456" s="63">
        <f t="shared" si="134"/>
        <v>0</v>
      </c>
      <c r="AB456" s="153" t="str">
        <f t="shared" si="135"/>
        <v>000</v>
      </c>
      <c r="AC456" s="165" t="str">
        <f t="shared" si="136"/>
        <v>00000000</v>
      </c>
      <c r="AD456" s="98" t="str">
        <f t="shared" si="137"/>
        <v>00000000</v>
      </c>
      <c r="AE456" s="150">
        <f t="shared" si="138"/>
        <v>0</v>
      </c>
      <c r="AF456" s="150">
        <f t="shared" si="139"/>
        <v>0</v>
      </c>
      <c r="AG456" s="98" t="str">
        <f t="shared" si="140"/>
        <v>0000000000</v>
      </c>
      <c r="AH456" s="151">
        <f t="shared" si="141"/>
        <v>0</v>
      </c>
      <c r="AI456" s="98" t="str">
        <f t="shared" si="142"/>
        <v>00</v>
      </c>
      <c r="AJ456" s="98" t="str">
        <f t="shared" si="143"/>
        <v>000000000000</v>
      </c>
      <c r="AK456" s="161" t="str">
        <f t="shared" si="144"/>
        <v xml:space="preserve">                              </v>
      </c>
      <c r="AL456" s="154">
        <f t="shared" si="145"/>
        <v>0</v>
      </c>
      <c r="AM456" s="155">
        <f t="shared" si="146"/>
        <v>0</v>
      </c>
      <c r="AP456" s="63" t="str">
        <f t="shared" si="147"/>
        <v/>
      </c>
      <c r="AQ456" s="63" t="str">
        <f t="shared" si="148"/>
        <v/>
      </c>
      <c r="AR456" s="152" t="str">
        <f t="shared" si="149"/>
        <v/>
      </c>
      <c r="AS456" s="109" t="str">
        <f t="shared" si="150"/>
        <v/>
      </c>
      <c r="AT456" s="63" t="str">
        <f t="shared" si="151"/>
        <v xml:space="preserve">                    </v>
      </c>
    </row>
    <row r="457" spans="1:46" ht="12.75" x14ac:dyDescent="0.2">
      <c r="A457" s="63" t="str">
        <f t="shared" si="152"/>
        <v/>
      </c>
      <c r="B457" s="185"/>
      <c r="C457" s="184"/>
      <c r="D457" s="184"/>
      <c r="E457" s="184"/>
      <c r="F457" s="184"/>
      <c r="G457" s="185"/>
      <c r="H457" s="185"/>
      <c r="I457" s="186"/>
      <c r="J457" s="69"/>
      <c r="AA457" s="63">
        <f t="shared" si="134"/>
        <v>0</v>
      </c>
      <c r="AB457" s="153" t="str">
        <f t="shared" si="135"/>
        <v>000</v>
      </c>
      <c r="AC457" s="165" t="str">
        <f t="shared" si="136"/>
        <v>00000000</v>
      </c>
      <c r="AD457" s="98" t="str">
        <f t="shared" si="137"/>
        <v>00000000</v>
      </c>
      <c r="AE457" s="150">
        <f t="shared" si="138"/>
        <v>0</v>
      </c>
      <c r="AF457" s="150">
        <f t="shared" si="139"/>
        <v>0</v>
      </c>
      <c r="AG457" s="98" t="str">
        <f t="shared" si="140"/>
        <v>0000000000</v>
      </c>
      <c r="AH457" s="151">
        <f t="shared" si="141"/>
        <v>0</v>
      </c>
      <c r="AI457" s="98" t="str">
        <f t="shared" si="142"/>
        <v>00</v>
      </c>
      <c r="AJ457" s="98" t="str">
        <f t="shared" si="143"/>
        <v>000000000000</v>
      </c>
      <c r="AK457" s="161" t="str">
        <f t="shared" si="144"/>
        <v xml:space="preserve">                              </v>
      </c>
      <c r="AL457" s="154">
        <f t="shared" si="145"/>
        <v>0</v>
      </c>
      <c r="AM457" s="155">
        <f t="shared" si="146"/>
        <v>0</v>
      </c>
      <c r="AP457" s="63" t="str">
        <f t="shared" si="147"/>
        <v/>
      </c>
      <c r="AQ457" s="63" t="str">
        <f t="shared" si="148"/>
        <v/>
      </c>
      <c r="AR457" s="152" t="str">
        <f t="shared" si="149"/>
        <v/>
      </c>
      <c r="AS457" s="109" t="str">
        <f t="shared" si="150"/>
        <v/>
      </c>
      <c r="AT457" s="63" t="str">
        <f t="shared" si="151"/>
        <v xml:space="preserve">                    </v>
      </c>
    </row>
    <row r="458" spans="1:46" ht="12.75" x14ac:dyDescent="0.2">
      <c r="A458" s="63" t="str">
        <f t="shared" si="152"/>
        <v/>
      </c>
      <c r="B458" s="185"/>
      <c r="C458" s="184"/>
      <c r="D458" s="184"/>
      <c r="E458" s="184"/>
      <c r="F458" s="184"/>
      <c r="G458" s="185"/>
      <c r="H458" s="185"/>
      <c r="I458" s="186"/>
      <c r="J458" s="69"/>
      <c r="AA458" s="63">
        <f t="shared" si="134"/>
        <v>0</v>
      </c>
      <c r="AB458" s="153" t="str">
        <f t="shared" si="135"/>
        <v>000</v>
      </c>
      <c r="AC458" s="165" t="str">
        <f t="shared" si="136"/>
        <v>00000000</v>
      </c>
      <c r="AD458" s="98" t="str">
        <f t="shared" si="137"/>
        <v>00000000</v>
      </c>
      <c r="AE458" s="150">
        <f t="shared" si="138"/>
        <v>0</v>
      </c>
      <c r="AF458" s="150">
        <f t="shared" si="139"/>
        <v>0</v>
      </c>
      <c r="AG458" s="98" t="str">
        <f t="shared" si="140"/>
        <v>0000000000</v>
      </c>
      <c r="AH458" s="151">
        <f t="shared" si="141"/>
        <v>0</v>
      </c>
      <c r="AI458" s="98" t="str">
        <f t="shared" si="142"/>
        <v>00</v>
      </c>
      <c r="AJ458" s="98" t="str">
        <f t="shared" si="143"/>
        <v>000000000000</v>
      </c>
      <c r="AK458" s="161" t="str">
        <f t="shared" si="144"/>
        <v xml:space="preserve">                              </v>
      </c>
      <c r="AL458" s="154">
        <f t="shared" si="145"/>
        <v>0</v>
      </c>
      <c r="AM458" s="155">
        <f t="shared" si="146"/>
        <v>0</v>
      </c>
      <c r="AP458" s="63" t="str">
        <f t="shared" si="147"/>
        <v/>
      </c>
      <c r="AQ458" s="63" t="str">
        <f t="shared" si="148"/>
        <v/>
      </c>
      <c r="AR458" s="152" t="str">
        <f t="shared" si="149"/>
        <v/>
      </c>
      <c r="AS458" s="109" t="str">
        <f t="shared" si="150"/>
        <v/>
      </c>
      <c r="AT458" s="63" t="str">
        <f t="shared" si="151"/>
        <v xml:space="preserve">                    </v>
      </c>
    </row>
    <row r="459" spans="1:46" ht="12.75" x14ac:dyDescent="0.2">
      <c r="A459" s="63" t="str">
        <f t="shared" si="152"/>
        <v/>
      </c>
      <c r="B459" s="185"/>
      <c r="C459" s="184"/>
      <c r="D459" s="184"/>
      <c r="E459" s="184"/>
      <c r="F459" s="184"/>
      <c r="G459" s="185"/>
      <c r="H459" s="185"/>
      <c r="I459" s="186"/>
      <c r="J459" s="69"/>
      <c r="AA459" s="63">
        <f t="shared" si="134"/>
        <v>0</v>
      </c>
      <c r="AB459" s="153" t="str">
        <f t="shared" si="135"/>
        <v>000</v>
      </c>
      <c r="AC459" s="165" t="str">
        <f t="shared" si="136"/>
        <v>00000000</v>
      </c>
      <c r="AD459" s="98" t="str">
        <f t="shared" si="137"/>
        <v>00000000</v>
      </c>
      <c r="AE459" s="150">
        <f t="shared" si="138"/>
        <v>0</v>
      </c>
      <c r="AF459" s="150">
        <f t="shared" si="139"/>
        <v>0</v>
      </c>
      <c r="AG459" s="98" t="str">
        <f t="shared" si="140"/>
        <v>0000000000</v>
      </c>
      <c r="AH459" s="151">
        <f t="shared" si="141"/>
        <v>0</v>
      </c>
      <c r="AI459" s="98" t="str">
        <f t="shared" si="142"/>
        <v>00</v>
      </c>
      <c r="AJ459" s="98" t="str">
        <f t="shared" si="143"/>
        <v>000000000000</v>
      </c>
      <c r="AK459" s="161" t="str">
        <f t="shared" si="144"/>
        <v xml:space="preserve">                              </v>
      </c>
      <c r="AL459" s="154">
        <f t="shared" si="145"/>
        <v>0</v>
      </c>
      <c r="AM459" s="155">
        <f t="shared" si="146"/>
        <v>0</v>
      </c>
      <c r="AP459" s="63" t="str">
        <f t="shared" si="147"/>
        <v/>
      </c>
      <c r="AQ459" s="63" t="str">
        <f t="shared" si="148"/>
        <v/>
      </c>
      <c r="AR459" s="152" t="str">
        <f t="shared" si="149"/>
        <v/>
      </c>
      <c r="AS459" s="109" t="str">
        <f t="shared" si="150"/>
        <v/>
      </c>
      <c r="AT459" s="63" t="str">
        <f t="shared" si="151"/>
        <v xml:space="preserve">                    </v>
      </c>
    </row>
    <row r="460" spans="1:46" ht="12.75" x14ac:dyDescent="0.2">
      <c r="A460" s="63" t="str">
        <f t="shared" si="152"/>
        <v/>
      </c>
      <c r="B460" s="185"/>
      <c r="C460" s="184"/>
      <c r="D460" s="184"/>
      <c r="E460" s="184"/>
      <c r="F460" s="184"/>
      <c r="G460" s="185"/>
      <c r="H460" s="185"/>
      <c r="I460" s="186"/>
      <c r="J460" s="69"/>
      <c r="AA460" s="63">
        <f t="shared" si="134"/>
        <v>0</v>
      </c>
      <c r="AB460" s="153" t="str">
        <f t="shared" si="135"/>
        <v>000</v>
      </c>
      <c r="AC460" s="165" t="str">
        <f t="shared" si="136"/>
        <v>00000000</v>
      </c>
      <c r="AD460" s="98" t="str">
        <f t="shared" si="137"/>
        <v>00000000</v>
      </c>
      <c r="AE460" s="150">
        <f t="shared" si="138"/>
        <v>0</v>
      </c>
      <c r="AF460" s="150">
        <f t="shared" si="139"/>
        <v>0</v>
      </c>
      <c r="AG460" s="98" t="str">
        <f t="shared" si="140"/>
        <v>0000000000</v>
      </c>
      <c r="AH460" s="151">
        <f t="shared" si="141"/>
        <v>0</v>
      </c>
      <c r="AI460" s="98" t="str">
        <f t="shared" si="142"/>
        <v>00</v>
      </c>
      <c r="AJ460" s="98" t="str">
        <f t="shared" si="143"/>
        <v>000000000000</v>
      </c>
      <c r="AK460" s="161" t="str">
        <f t="shared" si="144"/>
        <v xml:space="preserve">                              </v>
      </c>
      <c r="AL460" s="154">
        <f t="shared" si="145"/>
        <v>0</v>
      </c>
      <c r="AM460" s="155">
        <f t="shared" si="146"/>
        <v>0</v>
      </c>
      <c r="AP460" s="63" t="str">
        <f t="shared" si="147"/>
        <v/>
      </c>
      <c r="AQ460" s="63" t="str">
        <f t="shared" si="148"/>
        <v/>
      </c>
      <c r="AR460" s="152" t="str">
        <f t="shared" si="149"/>
        <v/>
      </c>
      <c r="AS460" s="109" t="str">
        <f t="shared" si="150"/>
        <v/>
      </c>
      <c r="AT460" s="63" t="str">
        <f t="shared" si="151"/>
        <v xml:space="preserve">                    </v>
      </c>
    </row>
    <row r="461" spans="1:46" ht="12.75" x14ac:dyDescent="0.2">
      <c r="A461" s="63" t="str">
        <f t="shared" si="152"/>
        <v/>
      </c>
      <c r="B461" s="185"/>
      <c r="C461" s="184"/>
      <c r="D461" s="184"/>
      <c r="E461" s="184"/>
      <c r="F461" s="184"/>
      <c r="G461" s="185"/>
      <c r="H461" s="185"/>
      <c r="I461" s="186"/>
      <c r="J461" s="69"/>
      <c r="AA461" s="63">
        <f t="shared" si="134"/>
        <v>0</v>
      </c>
      <c r="AB461" s="153" t="str">
        <f t="shared" si="135"/>
        <v>000</v>
      </c>
      <c r="AC461" s="165" t="str">
        <f t="shared" si="136"/>
        <v>00000000</v>
      </c>
      <c r="AD461" s="98" t="str">
        <f t="shared" si="137"/>
        <v>00000000</v>
      </c>
      <c r="AE461" s="150">
        <f t="shared" si="138"/>
        <v>0</v>
      </c>
      <c r="AF461" s="150">
        <f t="shared" si="139"/>
        <v>0</v>
      </c>
      <c r="AG461" s="98" t="str">
        <f t="shared" si="140"/>
        <v>0000000000</v>
      </c>
      <c r="AH461" s="151">
        <f t="shared" si="141"/>
        <v>0</v>
      </c>
      <c r="AI461" s="98" t="str">
        <f t="shared" si="142"/>
        <v>00</v>
      </c>
      <c r="AJ461" s="98" t="str">
        <f t="shared" si="143"/>
        <v>000000000000</v>
      </c>
      <c r="AK461" s="161" t="str">
        <f t="shared" si="144"/>
        <v xml:space="preserve">                              </v>
      </c>
      <c r="AL461" s="154">
        <f t="shared" si="145"/>
        <v>0</v>
      </c>
      <c r="AM461" s="155">
        <f t="shared" si="146"/>
        <v>0</v>
      </c>
      <c r="AP461" s="63" t="str">
        <f t="shared" si="147"/>
        <v/>
      </c>
      <c r="AQ461" s="63" t="str">
        <f t="shared" si="148"/>
        <v/>
      </c>
      <c r="AR461" s="152" t="str">
        <f t="shared" si="149"/>
        <v/>
      </c>
      <c r="AS461" s="109" t="str">
        <f t="shared" si="150"/>
        <v/>
      </c>
      <c r="AT461" s="63" t="str">
        <f t="shared" si="151"/>
        <v xml:space="preserve">                    </v>
      </c>
    </row>
    <row r="462" spans="1:46" ht="12.75" x14ac:dyDescent="0.2">
      <c r="A462" s="63" t="str">
        <f t="shared" si="152"/>
        <v/>
      </c>
      <c r="B462" s="185"/>
      <c r="C462" s="184"/>
      <c r="D462" s="184"/>
      <c r="E462" s="184"/>
      <c r="F462" s="184"/>
      <c r="G462" s="185"/>
      <c r="H462" s="185"/>
      <c r="I462" s="186"/>
      <c r="J462" s="69"/>
      <c r="AA462" s="63">
        <f t="shared" si="134"/>
        <v>0</v>
      </c>
      <c r="AB462" s="153" t="str">
        <f t="shared" si="135"/>
        <v>000</v>
      </c>
      <c r="AC462" s="165" t="str">
        <f t="shared" si="136"/>
        <v>00000000</v>
      </c>
      <c r="AD462" s="98" t="str">
        <f t="shared" si="137"/>
        <v>00000000</v>
      </c>
      <c r="AE462" s="150">
        <f t="shared" si="138"/>
        <v>0</v>
      </c>
      <c r="AF462" s="150">
        <f t="shared" si="139"/>
        <v>0</v>
      </c>
      <c r="AG462" s="98" t="str">
        <f t="shared" si="140"/>
        <v>0000000000</v>
      </c>
      <c r="AH462" s="151">
        <f t="shared" si="141"/>
        <v>0</v>
      </c>
      <c r="AI462" s="98" t="str">
        <f t="shared" si="142"/>
        <v>00</v>
      </c>
      <c r="AJ462" s="98" t="str">
        <f t="shared" si="143"/>
        <v>000000000000</v>
      </c>
      <c r="AK462" s="161" t="str">
        <f t="shared" si="144"/>
        <v xml:space="preserve">                              </v>
      </c>
      <c r="AL462" s="154">
        <f t="shared" si="145"/>
        <v>0</v>
      </c>
      <c r="AM462" s="155">
        <f t="shared" si="146"/>
        <v>0</v>
      </c>
      <c r="AP462" s="63" t="str">
        <f t="shared" si="147"/>
        <v/>
      </c>
      <c r="AQ462" s="63" t="str">
        <f t="shared" si="148"/>
        <v/>
      </c>
      <c r="AR462" s="152" t="str">
        <f t="shared" si="149"/>
        <v/>
      </c>
      <c r="AS462" s="109" t="str">
        <f t="shared" si="150"/>
        <v/>
      </c>
      <c r="AT462" s="63" t="str">
        <f t="shared" si="151"/>
        <v xml:space="preserve">                    </v>
      </c>
    </row>
    <row r="463" spans="1:46" ht="12.75" x14ac:dyDescent="0.2">
      <c r="A463" s="63" t="str">
        <f t="shared" si="152"/>
        <v/>
      </c>
      <c r="B463" s="185"/>
      <c r="C463" s="184"/>
      <c r="D463" s="184"/>
      <c r="E463" s="184"/>
      <c r="F463" s="184"/>
      <c r="G463" s="185"/>
      <c r="H463" s="185"/>
      <c r="I463" s="186"/>
      <c r="J463" s="69"/>
      <c r="AA463" s="63">
        <f t="shared" si="134"/>
        <v>0</v>
      </c>
      <c r="AB463" s="153" t="str">
        <f t="shared" si="135"/>
        <v>000</v>
      </c>
      <c r="AC463" s="165" t="str">
        <f t="shared" si="136"/>
        <v>00000000</v>
      </c>
      <c r="AD463" s="98" t="str">
        <f t="shared" si="137"/>
        <v>00000000</v>
      </c>
      <c r="AE463" s="150">
        <f t="shared" si="138"/>
        <v>0</v>
      </c>
      <c r="AF463" s="150">
        <f t="shared" si="139"/>
        <v>0</v>
      </c>
      <c r="AG463" s="98" t="str">
        <f t="shared" si="140"/>
        <v>0000000000</v>
      </c>
      <c r="AH463" s="151">
        <f t="shared" si="141"/>
        <v>0</v>
      </c>
      <c r="AI463" s="98" t="str">
        <f t="shared" si="142"/>
        <v>00</v>
      </c>
      <c r="AJ463" s="98" t="str">
        <f t="shared" si="143"/>
        <v>000000000000</v>
      </c>
      <c r="AK463" s="161" t="str">
        <f t="shared" si="144"/>
        <v xml:space="preserve">                              </v>
      </c>
      <c r="AL463" s="154">
        <f t="shared" si="145"/>
        <v>0</v>
      </c>
      <c r="AM463" s="155">
        <f t="shared" si="146"/>
        <v>0</v>
      </c>
      <c r="AP463" s="63" t="str">
        <f t="shared" si="147"/>
        <v/>
      </c>
      <c r="AQ463" s="63" t="str">
        <f t="shared" si="148"/>
        <v/>
      </c>
      <c r="AR463" s="152" t="str">
        <f t="shared" si="149"/>
        <v/>
      </c>
      <c r="AS463" s="109" t="str">
        <f t="shared" si="150"/>
        <v/>
      </c>
      <c r="AT463" s="63" t="str">
        <f t="shared" si="151"/>
        <v xml:space="preserve">                    </v>
      </c>
    </row>
    <row r="464" spans="1:46" ht="12.75" x14ac:dyDescent="0.2">
      <c r="A464" s="63" t="str">
        <f t="shared" si="152"/>
        <v/>
      </c>
      <c r="B464" s="185"/>
      <c r="C464" s="184"/>
      <c r="D464" s="184"/>
      <c r="E464" s="184"/>
      <c r="F464" s="184"/>
      <c r="G464" s="185"/>
      <c r="H464" s="185"/>
      <c r="I464" s="186"/>
      <c r="J464" s="69"/>
      <c r="AA464" s="63">
        <f t="shared" si="134"/>
        <v>0</v>
      </c>
      <c r="AB464" s="153" t="str">
        <f t="shared" si="135"/>
        <v>000</v>
      </c>
      <c r="AC464" s="165" t="str">
        <f t="shared" si="136"/>
        <v>00000000</v>
      </c>
      <c r="AD464" s="98" t="str">
        <f t="shared" si="137"/>
        <v>00000000</v>
      </c>
      <c r="AE464" s="150">
        <f t="shared" si="138"/>
        <v>0</v>
      </c>
      <c r="AF464" s="150">
        <f t="shared" si="139"/>
        <v>0</v>
      </c>
      <c r="AG464" s="98" t="str">
        <f t="shared" si="140"/>
        <v>0000000000</v>
      </c>
      <c r="AH464" s="151">
        <f t="shared" si="141"/>
        <v>0</v>
      </c>
      <c r="AI464" s="98" t="str">
        <f t="shared" si="142"/>
        <v>00</v>
      </c>
      <c r="AJ464" s="98" t="str">
        <f t="shared" si="143"/>
        <v>000000000000</v>
      </c>
      <c r="AK464" s="161" t="str">
        <f t="shared" si="144"/>
        <v xml:space="preserve">                              </v>
      </c>
      <c r="AL464" s="154">
        <f t="shared" si="145"/>
        <v>0</v>
      </c>
      <c r="AM464" s="155">
        <f t="shared" si="146"/>
        <v>0</v>
      </c>
      <c r="AP464" s="63" t="str">
        <f t="shared" si="147"/>
        <v/>
      </c>
      <c r="AQ464" s="63" t="str">
        <f t="shared" si="148"/>
        <v/>
      </c>
      <c r="AR464" s="152" t="str">
        <f t="shared" si="149"/>
        <v/>
      </c>
      <c r="AS464" s="109" t="str">
        <f t="shared" si="150"/>
        <v/>
      </c>
      <c r="AT464" s="63" t="str">
        <f t="shared" si="151"/>
        <v xml:space="preserve">                    </v>
      </c>
    </row>
    <row r="465" spans="1:46" ht="12.75" x14ac:dyDescent="0.2">
      <c r="A465" s="63" t="str">
        <f t="shared" si="152"/>
        <v/>
      </c>
      <c r="B465" s="185"/>
      <c r="C465" s="184"/>
      <c r="D465" s="184"/>
      <c r="E465" s="184"/>
      <c r="F465" s="184"/>
      <c r="G465" s="185"/>
      <c r="H465" s="185"/>
      <c r="I465" s="186"/>
      <c r="J465" s="69"/>
      <c r="AA465" s="63">
        <f t="shared" ref="AA465:AA528" si="153">B465</f>
        <v>0</v>
      </c>
      <c r="AB465" s="153" t="str">
        <f t="shared" ref="AB465:AB528" si="154">CONCATENATE(REPT("0",3-LEN(C465)),C465)</f>
        <v>000</v>
      </c>
      <c r="AC465" s="165" t="str">
        <f t="shared" ref="AC465:AC528" si="155">CONCATENATE(REPT("0",8-LEN(D465)),D465)</f>
        <v>00000000</v>
      </c>
      <c r="AD465" s="98" t="str">
        <f t="shared" ref="AD465:AD528" si="156">CONCATENATE(REPT("0",8-LEN(F465)),F465)</f>
        <v>00000000</v>
      </c>
      <c r="AE465" s="150">
        <f t="shared" ref="AE465:AE528" si="157">INT(I465)</f>
        <v>0</v>
      </c>
      <c r="AF465" s="150">
        <f t="shared" ref="AF465:AF528" si="158">I465-AE465</f>
        <v>0</v>
      </c>
      <c r="AG465" s="98" t="str">
        <f t="shared" ref="AG465:AG528" si="159">TEXT(AE465,"0000000000")</f>
        <v>0000000000</v>
      </c>
      <c r="AH465" s="151">
        <f t="shared" ref="AH465:AH528" si="160">AF465*100</f>
        <v>0</v>
      </c>
      <c r="AI465" s="98" t="str">
        <f t="shared" ref="AI465:AI528" si="161">TEXT(AH465,"00")</f>
        <v>00</v>
      </c>
      <c r="AJ465" s="98" t="str">
        <f t="shared" ref="AJ465:AJ528" si="162">CONCATENATE(AG465,AI465)</f>
        <v>000000000000</v>
      </c>
      <c r="AK465" s="161" t="str">
        <f t="shared" ref="AK465:AK528" si="163">CONCATENATE(E465,REPT(" ",30-LEN(E465)))</f>
        <v xml:space="preserve">                              </v>
      </c>
      <c r="AL465" s="154">
        <f t="shared" ref="AL465:AL528" si="164">IF(H465&lt;&gt;"",IF(H465=$H$3,0,1),0)</f>
        <v>0</v>
      </c>
      <c r="AM465" s="155">
        <f t="shared" ref="AM465:AM528" si="165">IF(AL465=1,IF($H$3=1,I465*$K$14,I465/$K$14),I465)</f>
        <v>0</v>
      </c>
      <c r="AP465" s="63" t="str">
        <f t="shared" si="147"/>
        <v/>
      </c>
      <c r="AQ465" s="63" t="str">
        <f t="shared" si="148"/>
        <v/>
      </c>
      <c r="AR465" s="152" t="str">
        <f t="shared" si="149"/>
        <v/>
      </c>
      <c r="AS465" s="109" t="str">
        <f t="shared" si="150"/>
        <v/>
      </c>
      <c r="AT465" s="63" t="str">
        <f t="shared" si="151"/>
        <v xml:space="preserve">                    </v>
      </c>
    </row>
    <row r="466" spans="1:46" ht="12.75" x14ac:dyDescent="0.2">
      <c r="A466" s="63" t="str">
        <f t="shared" si="152"/>
        <v/>
      </c>
      <c r="B466" s="185"/>
      <c r="C466" s="184"/>
      <c r="D466" s="184"/>
      <c r="E466" s="184"/>
      <c r="F466" s="184"/>
      <c r="G466" s="185"/>
      <c r="H466" s="185"/>
      <c r="I466" s="186"/>
      <c r="J466" s="69"/>
      <c r="AA466" s="63">
        <f t="shared" si="153"/>
        <v>0</v>
      </c>
      <c r="AB466" s="153" t="str">
        <f t="shared" si="154"/>
        <v>000</v>
      </c>
      <c r="AC466" s="165" t="str">
        <f t="shared" si="155"/>
        <v>00000000</v>
      </c>
      <c r="AD466" s="98" t="str">
        <f t="shared" si="156"/>
        <v>00000000</v>
      </c>
      <c r="AE466" s="150">
        <f t="shared" si="157"/>
        <v>0</v>
      </c>
      <c r="AF466" s="150">
        <f t="shared" si="158"/>
        <v>0</v>
      </c>
      <c r="AG466" s="98" t="str">
        <f t="shared" si="159"/>
        <v>0000000000</v>
      </c>
      <c r="AH466" s="151">
        <f t="shared" si="160"/>
        <v>0</v>
      </c>
      <c r="AI466" s="98" t="str">
        <f t="shared" si="161"/>
        <v>00</v>
      </c>
      <c r="AJ466" s="98" t="str">
        <f t="shared" si="162"/>
        <v>000000000000</v>
      </c>
      <c r="AK466" s="161" t="str">
        <f t="shared" si="163"/>
        <v xml:space="preserve">                              </v>
      </c>
      <c r="AL466" s="154">
        <f t="shared" si="164"/>
        <v>0</v>
      </c>
      <c r="AM466" s="155">
        <f t="shared" si="165"/>
        <v>0</v>
      </c>
      <c r="AP466" s="63" t="str">
        <f t="shared" ref="AP466:AP529" si="166">IF(D467&lt;&gt;"",CONCATENATE("000",AS466,"0",H467,"2","    ",AD467,AJ467,"            ",AT467,AK467,"                                                                                     "),"")</f>
        <v/>
      </c>
      <c r="AQ466" s="63" t="str">
        <f t="shared" ref="AQ466:AQ529" si="167">IF(D467&lt;&gt;"",CONCATENATE("1520",AA467,AB467,AC467),"")</f>
        <v/>
      </c>
      <c r="AR466" s="152" t="str">
        <f t="shared" ref="AR466:AR529" si="168">IF(D467&lt;&gt;"",MOD(SUM(VALUE(MID($AQ$1,1,1)) * VALUE(MID(AQ466,1,1)),VALUE(MID($AQ$1,2,1)) * VALUE(MID(AQ466,2,1)),VALUE(MID($AQ$1,3,1)) * VALUE(MID(AQ466,3,1)),VALUE(MID($AQ$1,4,1)) * VALUE(MID(AQ466,4,1)),VALUE(MID($AQ$1,5,1)) * VALUE(MID(AQ466,5,1)),VALUE(MID($AQ$1,6,1)) * VALUE(MID(AQ466,6,1)),VALUE(MID($AQ$1,7,1)) * VALUE(MID(AQ466,7,1)),VALUE(MID($AQ$1,8,1)) * VALUE(MID(AQ466,8,1)),VALUE(MID($AQ$1,9,1)) * VALUE(MID(AQ466,9,1)),VALUE(MID($AQ$1,10,1)) * VALUE(MID(AQ466,10,1)),VALUE(MID($AQ$1,11,1)) * VALUE(MID(AQ466,11,1)),VALUE(MID($AQ$1,12,1)) * VALUE(MID(AQ466,12,1)),VALUE(MID($AQ$1,13,1)) * VALUE(MID(AQ466,13,1)),VALUE(MID($AQ$1,14,1)) * VALUE(MID(AQ466,14,1)),VALUE(MID($AQ$1,15,1)) * VALUE(MID(AQ466,15,1)),VALUE(MID($AQ$1,16,1)) * VALUE(MID(AQ466,16,1))),11),"")</f>
        <v/>
      </c>
      <c r="AS466" s="109" t="str">
        <f t="shared" ref="AS466:AS529" si="169">IF(D467&lt;&gt;"",CONCATENATE(AQ466,IF(AR466&gt;9,"1",AR466)),"")</f>
        <v/>
      </c>
      <c r="AT466" s="63" t="str">
        <f t="shared" ref="AT466:AT529" si="170">CONCATENATE(G466,REPT(" ",20-LEN(G466)))</f>
        <v xml:space="preserve">                    </v>
      </c>
    </row>
    <row r="467" spans="1:46" ht="12.75" x14ac:dyDescent="0.2">
      <c r="A467" s="63" t="str">
        <f t="shared" si="152"/>
        <v/>
      </c>
      <c r="B467" s="185"/>
      <c r="C467" s="184"/>
      <c r="D467" s="184"/>
      <c r="E467" s="184"/>
      <c r="F467" s="184"/>
      <c r="G467" s="185"/>
      <c r="H467" s="185"/>
      <c r="I467" s="186"/>
      <c r="J467" s="69"/>
      <c r="AA467" s="63">
        <f t="shared" si="153"/>
        <v>0</v>
      </c>
      <c r="AB467" s="153" t="str">
        <f t="shared" si="154"/>
        <v>000</v>
      </c>
      <c r="AC467" s="165" t="str">
        <f t="shared" si="155"/>
        <v>00000000</v>
      </c>
      <c r="AD467" s="98" t="str">
        <f t="shared" si="156"/>
        <v>00000000</v>
      </c>
      <c r="AE467" s="150">
        <f t="shared" si="157"/>
        <v>0</v>
      </c>
      <c r="AF467" s="150">
        <f t="shared" si="158"/>
        <v>0</v>
      </c>
      <c r="AG467" s="98" t="str">
        <f t="shared" si="159"/>
        <v>0000000000</v>
      </c>
      <c r="AH467" s="151">
        <f t="shared" si="160"/>
        <v>0</v>
      </c>
      <c r="AI467" s="98" t="str">
        <f t="shared" si="161"/>
        <v>00</v>
      </c>
      <c r="AJ467" s="98" t="str">
        <f t="shared" si="162"/>
        <v>000000000000</v>
      </c>
      <c r="AK467" s="161" t="str">
        <f t="shared" si="163"/>
        <v xml:space="preserve">                              </v>
      </c>
      <c r="AL467" s="154">
        <f t="shared" si="164"/>
        <v>0</v>
      </c>
      <c r="AM467" s="155">
        <f t="shared" si="165"/>
        <v>0</v>
      </c>
      <c r="AP467" s="63" t="str">
        <f t="shared" si="166"/>
        <v/>
      </c>
      <c r="AQ467" s="63" t="str">
        <f t="shared" si="167"/>
        <v/>
      </c>
      <c r="AR467" s="152" t="str">
        <f t="shared" si="168"/>
        <v/>
      </c>
      <c r="AS467" s="109" t="str">
        <f t="shared" si="169"/>
        <v/>
      </c>
      <c r="AT467" s="63" t="str">
        <f t="shared" si="170"/>
        <v xml:space="preserve">                    </v>
      </c>
    </row>
    <row r="468" spans="1:46" ht="12.75" x14ac:dyDescent="0.2">
      <c r="A468" s="63" t="str">
        <f t="shared" si="152"/>
        <v/>
      </c>
      <c r="B468" s="185"/>
      <c r="C468" s="184"/>
      <c r="D468" s="184"/>
      <c r="E468" s="184"/>
      <c r="F468" s="184"/>
      <c r="G468" s="185"/>
      <c r="H468" s="185"/>
      <c r="I468" s="186"/>
      <c r="J468" s="69"/>
      <c r="AA468" s="63">
        <f t="shared" si="153"/>
        <v>0</v>
      </c>
      <c r="AB468" s="153" t="str">
        <f t="shared" si="154"/>
        <v>000</v>
      </c>
      <c r="AC468" s="165" t="str">
        <f t="shared" si="155"/>
        <v>00000000</v>
      </c>
      <c r="AD468" s="98" t="str">
        <f t="shared" si="156"/>
        <v>00000000</v>
      </c>
      <c r="AE468" s="150">
        <f t="shared" si="157"/>
        <v>0</v>
      </c>
      <c r="AF468" s="150">
        <f t="shared" si="158"/>
        <v>0</v>
      </c>
      <c r="AG468" s="98" t="str">
        <f t="shared" si="159"/>
        <v>0000000000</v>
      </c>
      <c r="AH468" s="151">
        <f t="shared" si="160"/>
        <v>0</v>
      </c>
      <c r="AI468" s="98" t="str">
        <f t="shared" si="161"/>
        <v>00</v>
      </c>
      <c r="AJ468" s="98" t="str">
        <f t="shared" si="162"/>
        <v>000000000000</v>
      </c>
      <c r="AK468" s="161" t="str">
        <f t="shared" si="163"/>
        <v xml:space="preserve">                              </v>
      </c>
      <c r="AL468" s="154">
        <f t="shared" si="164"/>
        <v>0</v>
      </c>
      <c r="AM468" s="155">
        <f t="shared" si="165"/>
        <v>0</v>
      </c>
      <c r="AP468" s="63" t="str">
        <f t="shared" si="166"/>
        <v/>
      </c>
      <c r="AQ468" s="63" t="str">
        <f t="shared" si="167"/>
        <v/>
      </c>
      <c r="AR468" s="152" t="str">
        <f t="shared" si="168"/>
        <v/>
      </c>
      <c r="AS468" s="109" t="str">
        <f t="shared" si="169"/>
        <v/>
      </c>
      <c r="AT468" s="63" t="str">
        <f t="shared" si="170"/>
        <v xml:space="preserve">                    </v>
      </c>
    </row>
    <row r="469" spans="1:46" ht="12.75" x14ac:dyDescent="0.2">
      <c r="A469" s="63" t="str">
        <f t="shared" si="152"/>
        <v/>
      </c>
      <c r="B469" s="185"/>
      <c r="C469" s="184"/>
      <c r="D469" s="184"/>
      <c r="E469" s="184"/>
      <c r="F469" s="184"/>
      <c r="G469" s="185"/>
      <c r="H469" s="185"/>
      <c r="I469" s="186"/>
      <c r="J469" s="69"/>
      <c r="AA469" s="63">
        <f t="shared" si="153"/>
        <v>0</v>
      </c>
      <c r="AB469" s="153" t="str">
        <f t="shared" si="154"/>
        <v>000</v>
      </c>
      <c r="AC469" s="165" t="str">
        <f t="shared" si="155"/>
        <v>00000000</v>
      </c>
      <c r="AD469" s="98" t="str">
        <f t="shared" si="156"/>
        <v>00000000</v>
      </c>
      <c r="AE469" s="150">
        <f t="shared" si="157"/>
        <v>0</v>
      </c>
      <c r="AF469" s="150">
        <f t="shared" si="158"/>
        <v>0</v>
      </c>
      <c r="AG469" s="98" t="str">
        <f t="shared" si="159"/>
        <v>0000000000</v>
      </c>
      <c r="AH469" s="151">
        <f t="shared" si="160"/>
        <v>0</v>
      </c>
      <c r="AI469" s="98" t="str">
        <f t="shared" si="161"/>
        <v>00</v>
      </c>
      <c r="AJ469" s="98" t="str">
        <f t="shared" si="162"/>
        <v>000000000000</v>
      </c>
      <c r="AK469" s="161" t="str">
        <f t="shared" si="163"/>
        <v xml:space="preserve">                              </v>
      </c>
      <c r="AL469" s="154">
        <f t="shared" si="164"/>
        <v>0</v>
      </c>
      <c r="AM469" s="155">
        <f t="shared" si="165"/>
        <v>0</v>
      </c>
      <c r="AP469" s="63" t="str">
        <f t="shared" si="166"/>
        <v/>
      </c>
      <c r="AQ469" s="63" t="str">
        <f t="shared" si="167"/>
        <v/>
      </c>
      <c r="AR469" s="152" t="str">
        <f t="shared" si="168"/>
        <v/>
      </c>
      <c r="AS469" s="109" t="str">
        <f t="shared" si="169"/>
        <v/>
      </c>
      <c r="AT469" s="63" t="str">
        <f t="shared" si="170"/>
        <v xml:space="preserve">                    </v>
      </c>
    </row>
    <row r="470" spans="1:46" ht="12.75" x14ac:dyDescent="0.2">
      <c r="A470" s="63" t="str">
        <f t="shared" si="152"/>
        <v/>
      </c>
      <c r="B470" s="185"/>
      <c r="C470" s="184"/>
      <c r="D470" s="184"/>
      <c r="E470" s="184"/>
      <c r="F470" s="184"/>
      <c r="G470" s="185"/>
      <c r="H470" s="185"/>
      <c r="I470" s="186"/>
      <c r="J470" s="69"/>
      <c r="AA470" s="63">
        <f t="shared" si="153"/>
        <v>0</v>
      </c>
      <c r="AB470" s="153" t="str">
        <f t="shared" si="154"/>
        <v>000</v>
      </c>
      <c r="AC470" s="165" t="str">
        <f t="shared" si="155"/>
        <v>00000000</v>
      </c>
      <c r="AD470" s="98" t="str">
        <f t="shared" si="156"/>
        <v>00000000</v>
      </c>
      <c r="AE470" s="150">
        <f t="shared" si="157"/>
        <v>0</v>
      </c>
      <c r="AF470" s="150">
        <f t="shared" si="158"/>
        <v>0</v>
      </c>
      <c r="AG470" s="98" t="str">
        <f t="shared" si="159"/>
        <v>0000000000</v>
      </c>
      <c r="AH470" s="151">
        <f t="shared" si="160"/>
        <v>0</v>
      </c>
      <c r="AI470" s="98" t="str">
        <f t="shared" si="161"/>
        <v>00</v>
      </c>
      <c r="AJ470" s="98" t="str">
        <f t="shared" si="162"/>
        <v>000000000000</v>
      </c>
      <c r="AK470" s="161" t="str">
        <f t="shared" si="163"/>
        <v xml:space="preserve">                              </v>
      </c>
      <c r="AL470" s="154">
        <f t="shared" si="164"/>
        <v>0</v>
      </c>
      <c r="AM470" s="155">
        <f t="shared" si="165"/>
        <v>0</v>
      </c>
      <c r="AP470" s="63" t="str">
        <f t="shared" si="166"/>
        <v/>
      </c>
      <c r="AQ470" s="63" t="str">
        <f t="shared" si="167"/>
        <v/>
      </c>
      <c r="AR470" s="152" t="str">
        <f t="shared" si="168"/>
        <v/>
      </c>
      <c r="AS470" s="109" t="str">
        <f t="shared" si="169"/>
        <v/>
      </c>
      <c r="AT470" s="63" t="str">
        <f t="shared" si="170"/>
        <v xml:space="preserve">                    </v>
      </c>
    </row>
    <row r="471" spans="1:46" ht="12.75" x14ac:dyDescent="0.2">
      <c r="A471" s="63" t="str">
        <f t="shared" si="152"/>
        <v/>
      </c>
      <c r="B471" s="185"/>
      <c r="C471" s="184"/>
      <c r="D471" s="184"/>
      <c r="E471" s="184"/>
      <c r="F471" s="184"/>
      <c r="G471" s="185"/>
      <c r="H471" s="185"/>
      <c r="I471" s="186"/>
      <c r="J471" s="69"/>
      <c r="AA471" s="63">
        <f t="shared" si="153"/>
        <v>0</v>
      </c>
      <c r="AB471" s="153" t="str">
        <f t="shared" si="154"/>
        <v>000</v>
      </c>
      <c r="AC471" s="165" t="str">
        <f t="shared" si="155"/>
        <v>00000000</v>
      </c>
      <c r="AD471" s="98" t="str">
        <f t="shared" si="156"/>
        <v>00000000</v>
      </c>
      <c r="AE471" s="150">
        <f t="shared" si="157"/>
        <v>0</v>
      </c>
      <c r="AF471" s="150">
        <f t="shared" si="158"/>
        <v>0</v>
      </c>
      <c r="AG471" s="98" t="str">
        <f t="shared" si="159"/>
        <v>0000000000</v>
      </c>
      <c r="AH471" s="151">
        <f t="shared" si="160"/>
        <v>0</v>
      </c>
      <c r="AI471" s="98" t="str">
        <f t="shared" si="161"/>
        <v>00</v>
      </c>
      <c r="AJ471" s="98" t="str">
        <f t="shared" si="162"/>
        <v>000000000000</v>
      </c>
      <c r="AK471" s="161" t="str">
        <f t="shared" si="163"/>
        <v xml:space="preserve">                              </v>
      </c>
      <c r="AL471" s="154">
        <f t="shared" si="164"/>
        <v>0</v>
      </c>
      <c r="AM471" s="155">
        <f t="shared" si="165"/>
        <v>0</v>
      </c>
      <c r="AP471" s="63" t="str">
        <f t="shared" si="166"/>
        <v/>
      </c>
      <c r="AQ471" s="63" t="str">
        <f t="shared" si="167"/>
        <v/>
      </c>
      <c r="AR471" s="152" t="str">
        <f t="shared" si="168"/>
        <v/>
      </c>
      <c r="AS471" s="109" t="str">
        <f t="shared" si="169"/>
        <v/>
      </c>
      <c r="AT471" s="63" t="str">
        <f t="shared" si="170"/>
        <v xml:space="preserve">                    </v>
      </c>
    </row>
    <row r="472" spans="1:46" ht="12.75" x14ac:dyDescent="0.2">
      <c r="A472" s="63" t="str">
        <f t="shared" si="152"/>
        <v/>
      </c>
      <c r="B472" s="185"/>
      <c r="C472" s="184"/>
      <c r="D472" s="184"/>
      <c r="E472" s="184"/>
      <c r="F472" s="184"/>
      <c r="G472" s="185"/>
      <c r="H472" s="185"/>
      <c r="I472" s="186"/>
      <c r="J472" s="69"/>
      <c r="AA472" s="63">
        <f t="shared" si="153"/>
        <v>0</v>
      </c>
      <c r="AB472" s="153" t="str">
        <f t="shared" si="154"/>
        <v>000</v>
      </c>
      <c r="AC472" s="165" t="str">
        <f t="shared" si="155"/>
        <v>00000000</v>
      </c>
      <c r="AD472" s="98" t="str">
        <f t="shared" si="156"/>
        <v>00000000</v>
      </c>
      <c r="AE472" s="150">
        <f t="shared" si="157"/>
        <v>0</v>
      </c>
      <c r="AF472" s="150">
        <f t="shared" si="158"/>
        <v>0</v>
      </c>
      <c r="AG472" s="98" t="str">
        <f t="shared" si="159"/>
        <v>0000000000</v>
      </c>
      <c r="AH472" s="151">
        <f t="shared" si="160"/>
        <v>0</v>
      </c>
      <c r="AI472" s="98" t="str">
        <f t="shared" si="161"/>
        <v>00</v>
      </c>
      <c r="AJ472" s="98" t="str">
        <f t="shared" si="162"/>
        <v>000000000000</v>
      </c>
      <c r="AK472" s="161" t="str">
        <f t="shared" si="163"/>
        <v xml:space="preserve">                              </v>
      </c>
      <c r="AL472" s="154">
        <f t="shared" si="164"/>
        <v>0</v>
      </c>
      <c r="AM472" s="155">
        <f t="shared" si="165"/>
        <v>0</v>
      </c>
      <c r="AP472" s="63" t="str">
        <f t="shared" si="166"/>
        <v/>
      </c>
      <c r="AQ472" s="63" t="str">
        <f t="shared" si="167"/>
        <v/>
      </c>
      <c r="AR472" s="152" t="str">
        <f t="shared" si="168"/>
        <v/>
      </c>
      <c r="AS472" s="109" t="str">
        <f t="shared" si="169"/>
        <v/>
      </c>
      <c r="AT472" s="63" t="str">
        <f t="shared" si="170"/>
        <v xml:space="preserve">                    </v>
      </c>
    </row>
    <row r="473" spans="1:46" ht="12.75" x14ac:dyDescent="0.2">
      <c r="A473" s="63" t="str">
        <f t="shared" si="152"/>
        <v/>
      </c>
      <c r="B473" s="185"/>
      <c r="C473" s="184"/>
      <c r="D473" s="184"/>
      <c r="E473" s="184"/>
      <c r="F473" s="184"/>
      <c r="G473" s="185"/>
      <c r="H473" s="185"/>
      <c r="I473" s="186"/>
      <c r="J473" s="69"/>
      <c r="AA473" s="63">
        <f t="shared" si="153"/>
        <v>0</v>
      </c>
      <c r="AB473" s="153" t="str">
        <f t="shared" si="154"/>
        <v>000</v>
      </c>
      <c r="AC473" s="165" t="str">
        <f t="shared" si="155"/>
        <v>00000000</v>
      </c>
      <c r="AD473" s="98" t="str">
        <f t="shared" si="156"/>
        <v>00000000</v>
      </c>
      <c r="AE473" s="150">
        <f t="shared" si="157"/>
        <v>0</v>
      </c>
      <c r="AF473" s="150">
        <f t="shared" si="158"/>
        <v>0</v>
      </c>
      <c r="AG473" s="98" t="str">
        <f t="shared" si="159"/>
        <v>0000000000</v>
      </c>
      <c r="AH473" s="151">
        <f t="shared" si="160"/>
        <v>0</v>
      </c>
      <c r="AI473" s="98" t="str">
        <f t="shared" si="161"/>
        <v>00</v>
      </c>
      <c r="AJ473" s="98" t="str">
        <f t="shared" si="162"/>
        <v>000000000000</v>
      </c>
      <c r="AK473" s="161" t="str">
        <f t="shared" si="163"/>
        <v xml:space="preserve">                              </v>
      </c>
      <c r="AL473" s="154">
        <f t="shared" si="164"/>
        <v>0</v>
      </c>
      <c r="AM473" s="155">
        <f t="shared" si="165"/>
        <v>0</v>
      </c>
      <c r="AP473" s="63" t="str">
        <f t="shared" si="166"/>
        <v/>
      </c>
      <c r="AQ473" s="63" t="str">
        <f t="shared" si="167"/>
        <v/>
      </c>
      <c r="AR473" s="152" t="str">
        <f t="shared" si="168"/>
        <v/>
      </c>
      <c r="AS473" s="109" t="str">
        <f t="shared" si="169"/>
        <v/>
      </c>
      <c r="AT473" s="63" t="str">
        <f t="shared" si="170"/>
        <v xml:space="preserve">                    </v>
      </c>
    </row>
    <row r="474" spans="1:46" ht="12.75" x14ac:dyDescent="0.2">
      <c r="A474" s="63" t="str">
        <f t="shared" si="152"/>
        <v/>
      </c>
      <c r="B474" s="185"/>
      <c r="C474" s="184"/>
      <c r="D474" s="184"/>
      <c r="E474" s="184"/>
      <c r="F474" s="184"/>
      <c r="G474" s="185"/>
      <c r="H474" s="185"/>
      <c r="I474" s="186"/>
      <c r="J474" s="69"/>
      <c r="AA474" s="63">
        <f t="shared" si="153"/>
        <v>0</v>
      </c>
      <c r="AB474" s="153" t="str">
        <f t="shared" si="154"/>
        <v>000</v>
      </c>
      <c r="AC474" s="165" t="str">
        <f t="shared" si="155"/>
        <v>00000000</v>
      </c>
      <c r="AD474" s="98" t="str">
        <f t="shared" si="156"/>
        <v>00000000</v>
      </c>
      <c r="AE474" s="150">
        <f t="shared" si="157"/>
        <v>0</v>
      </c>
      <c r="AF474" s="150">
        <f t="shared" si="158"/>
        <v>0</v>
      </c>
      <c r="AG474" s="98" t="str">
        <f t="shared" si="159"/>
        <v>0000000000</v>
      </c>
      <c r="AH474" s="151">
        <f t="shared" si="160"/>
        <v>0</v>
      </c>
      <c r="AI474" s="98" t="str">
        <f t="shared" si="161"/>
        <v>00</v>
      </c>
      <c r="AJ474" s="98" t="str">
        <f t="shared" si="162"/>
        <v>000000000000</v>
      </c>
      <c r="AK474" s="161" t="str">
        <f t="shared" si="163"/>
        <v xml:space="preserve">                              </v>
      </c>
      <c r="AL474" s="154">
        <f t="shared" si="164"/>
        <v>0</v>
      </c>
      <c r="AM474" s="155">
        <f t="shared" si="165"/>
        <v>0</v>
      </c>
      <c r="AP474" s="63" t="str">
        <f t="shared" si="166"/>
        <v/>
      </c>
      <c r="AQ474" s="63" t="str">
        <f t="shared" si="167"/>
        <v/>
      </c>
      <c r="AR474" s="152" t="str">
        <f t="shared" si="168"/>
        <v/>
      </c>
      <c r="AS474" s="109" t="str">
        <f t="shared" si="169"/>
        <v/>
      </c>
      <c r="AT474" s="63" t="str">
        <f t="shared" si="170"/>
        <v xml:space="preserve">                    </v>
      </c>
    </row>
    <row r="475" spans="1:46" ht="12.75" x14ac:dyDescent="0.2">
      <c r="A475" s="63" t="str">
        <f t="shared" si="152"/>
        <v/>
      </c>
      <c r="B475" s="185"/>
      <c r="C475" s="184"/>
      <c r="D475" s="184"/>
      <c r="E475" s="184"/>
      <c r="F475" s="184"/>
      <c r="G475" s="185"/>
      <c r="H475" s="185"/>
      <c r="I475" s="186"/>
      <c r="J475" s="69"/>
      <c r="AA475" s="63">
        <f t="shared" si="153"/>
        <v>0</v>
      </c>
      <c r="AB475" s="153" t="str">
        <f t="shared" si="154"/>
        <v>000</v>
      </c>
      <c r="AC475" s="165" t="str">
        <f t="shared" si="155"/>
        <v>00000000</v>
      </c>
      <c r="AD475" s="98" t="str">
        <f t="shared" si="156"/>
        <v>00000000</v>
      </c>
      <c r="AE475" s="150">
        <f t="shared" si="157"/>
        <v>0</v>
      </c>
      <c r="AF475" s="150">
        <f t="shared" si="158"/>
        <v>0</v>
      </c>
      <c r="AG475" s="98" t="str">
        <f t="shared" si="159"/>
        <v>0000000000</v>
      </c>
      <c r="AH475" s="151">
        <f t="shared" si="160"/>
        <v>0</v>
      </c>
      <c r="AI475" s="98" t="str">
        <f t="shared" si="161"/>
        <v>00</v>
      </c>
      <c r="AJ475" s="98" t="str">
        <f t="shared" si="162"/>
        <v>000000000000</v>
      </c>
      <c r="AK475" s="161" t="str">
        <f t="shared" si="163"/>
        <v xml:space="preserve">                              </v>
      </c>
      <c r="AL475" s="154">
        <f t="shared" si="164"/>
        <v>0</v>
      </c>
      <c r="AM475" s="155">
        <f t="shared" si="165"/>
        <v>0</v>
      </c>
      <c r="AP475" s="63" t="str">
        <f t="shared" si="166"/>
        <v/>
      </c>
      <c r="AQ475" s="63" t="str">
        <f t="shared" si="167"/>
        <v/>
      </c>
      <c r="AR475" s="152" t="str">
        <f t="shared" si="168"/>
        <v/>
      </c>
      <c r="AS475" s="109" t="str">
        <f t="shared" si="169"/>
        <v/>
      </c>
      <c r="AT475" s="63" t="str">
        <f t="shared" si="170"/>
        <v xml:space="preserve">                    </v>
      </c>
    </row>
    <row r="476" spans="1:46" ht="12.75" x14ac:dyDescent="0.2">
      <c r="A476" s="63" t="str">
        <f t="shared" si="152"/>
        <v/>
      </c>
      <c r="B476" s="185"/>
      <c r="C476" s="184"/>
      <c r="D476" s="184"/>
      <c r="E476" s="184"/>
      <c r="F476" s="184"/>
      <c r="G476" s="185"/>
      <c r="H476" s="185"/>
      <c r="I476" s="186"/>
      <c r="J476" s="69"/>
      <c r="AA476" s="63">
        <f t="shared" si="153"/>
        <v>0</v>
      </c>
      <c r="AB476" s="153" t="str">
        <f t="shared" si="154"/>
        <v>000</v>
      </c>
      <c r="AC476" s="165" t="str">
        <f t="shared" si="155"/>
        <v>00000000</v>
      </c>
      <c r="AD476" s="98" t="str">
        <f t="shared" si="156"/>
        <v>00000000</v>
      </c>
      <c r="AE476" s="150">
        <f t="shared" si="157"/>
        <v>0</v>
      </c>
      <c r="AF476" s="150">
        <f t="shared" si="158"/>
        <v>0</v>
      </c>
      <c r="AG476" s="98" t="str">
        <f t="shared" si="159"/>
        <v>0000000000</v>
      </c>
      <c r="AH476" s="151">
        <f t="shared" si="160"/>
        <v>0</v>
      </c>
      <c r="AI476" s="98" t="str">
        <f t="shared" si="161"/>
        <v>00</v>
      </c>
      <c r="AJ476" s="98" t="str">
        <f t="shared" si="162"/>
        <v>000000000000</v>
      </c>
      <c r="AK476" s="161" t="str">
        <f t="shared" si="163"/>
        <v xml:space="preserve">                              </v>
      </c>
      <c r="AL476" s="154">
        <f t="shared" si="164"/>
        <v>0</v>
      </c>
      <c r="AM476" s="155">
        <f t="shared" si="165"/>
        <v>0</v>
      </c>
      <c r="AP476" s="63" t="str">
        <f t="shared" si="166"/>
        <v/>
      </c>
      <c r="AQ476" s="63" t="str">
        <f t="shared" si="167"/>
        <v/>
      </c>
      <c r="AR476" s="152" t="str">
        <f t="shared" si="168"/>
        <v/>
      </c>
      <c r="AS476" s="109" t="str">
        <f t="shared" si="169"/>
        <v/>
      </c>
      <c r="AT476" s="63" t="str">
        <f t="shared" si="170"/>
        <v xml:space="preserve">                    </v>
      </c>
    </row>
    <row r="477" spans="1:46" ht="12.75" x14ac:dyDescent="0.2">
      <c r="A477" s="63" t="str">
        <f t="shared" si="152"/>
        <v/>
      </c>
      <c r="B477" s="185"/>
      <c r="C477" s="184"/>
      <c r="D477" s="184"/>
      <c r="E477" s="184"/>
      <c r="F477" s="184"/>
      <c r="G477" s="185"/>
      <c r="H477" s="185"/>
      <c r="I477" s="186"/>
      <c r="J477" s="69"/>
      <c r="AA477" s="63">
        <f t="shared" si="153"/>
        <v>0</v>
      </c>
      <c r="AB477" s="153" t="str">
        <f t="shared" si="154"/>
        <v>000</v>
      </c>
      <c r="AC477" s="165" t="str">
        <f t="shared" si="155"/>
        <v>00000000</v>
      </c>
      <c r="AD477" s="98" t="str">
        <f t="shared" si="156"/>
        <v>00000000</v>
      </c>
      <c r="AE477" s="150">
        <f t="shared" si="157"/>
        <v>0</v>
      </c>
      <c r="AF477" s="150">
        <f t="shared" si="158"/>
        <v>0</v>
      </c>
      <c r="AG477" s="98" t="str">
        <f t="shared" si="159"/>
        <v>0000000000</v>
      </c>
      <c r="AH477" s="151">
        <f t="shared" si="160"/>
        <v>0</v>
      </c>
      <c r="AI477" s="98" t="str">
        <f t="shared" si="161"/>
        <v>00</v>
      </c>
      <c r="AJ477" s="98" t="str">
        <f t="shared" si="162"/>
        <v>000000000000</v>
      </c>
      <c r="AK477" s="161" t="str">
        <f t="shared" si="163"/>
        <v xml:space="preserve">                              </v>
      </c>
      <c r="AL477" s="154">
        <f t="shared" si="164"/>
        <v>0</v>
      </c>
      <c r="AM477" s="155">
        <f t="shared" si="165"/>
        <v>0</v>
      </c>
      <c r="AP477" s="63" t="str">
        <f t="shared" si="166"/>
        <v/>
      </c>
      <c r="AQ477" s="63" t="str">
        <f t="shared" si="167"/>
        <v/>
      </c>
      <c r="AR477" s="152" t="str">
        <f t="shared" si="168"/>
        <v/>
      </c>
      <c r="AS477" s="109" t="str">
        <f t="shared" si="169"/>
        <v/>
      </c>
      <c r="AT477" s="63" t="str">
        <f t="shared" si="170"/>
        <v xml:space="preserve">                    </v>
      </c>
    </row>
    <row r="478" spans="1:46" ht="12.75" x14ac:dyDescent="0.2">
      <c r="A478" s="63" t="str">
        <f t="shared" si="152"/>
        <v/>
      </c>
      <c r="B478" s="185"/>
      <c r="C478" s="184"/>
      <c r="D478" s="184"/>
      <c r="E478" s="184"/>
      <c r="F478" s="184"/>
      <c r="G478" s="185"/>
      <c r="H478" s="185"/>
      <c r="I478" s="186"/>
      <c r="J478" s="69"/>
      <c r="AA478" s="63">
        <f t="shared" si="153"/>
        <v>0</v>
      </c>
      <c r="AB478" s="153" t="str">
        <f t="shared" si="154"/>
        <v>000</v>
      </c>
      <c r="AC478" s="165" t="str">
        <f t="shared" si="155"/>
        <v>00000000</v>
      </c>
      <c r="AD478" s="98" t="str">
        <f t="shared" si="156"/>
        <v>00000000</v>
      </c>
      <c r="AE478" s="150">
        <f t="shared" si="157"/>
        <v>0</v>
      </c>
      <c r="AF478" s="150">
        <f t="shared" si="158"/>
        <v>0</v>
      </c>
      <c r="AG478" s="98" t="str">
        <f t="shared" si="159"/>
        <v>0000000000</v>
      </c>
      <c r="AH478" s="151">
        <f t="shared" si="160"/>
        <v>0</v>
      </c>
      <c r="AI478" s="98" t="str">
        <f t="shared" si="161"/>
        <v>00</v>
      </c>
      <c r="AJ478" s="98" t="str">
        <f t="shared" si="162"/>
        <v>000000000000</v>
      </c>
      <c r="AK478" s="161" t="str">
        <f t="shared" si="163"/>
        <v xml:space="preserve">                              </v>
      </c>
      <c r="AL478" s="154">
        <f t="shared" si="164"/>
        <v>0</v>
      </c>
      <c r="AM478" s="155">
        <f t="shared" si="165"/>
        <v>0</v>
      </c>
      <c r="AP478" s="63" t="str">
        <f t="shared" si="166"/>
        <v/>
      </c>
      <c r="AQ478" s="63" t="str">
        <f t="shared" si="167"/>
        <v/>
      </c>
      <c r="AR478" s="152" t="str">
        <f t="shared" si="168"/>
        <v/>
      </c>
      <c r="AS478" s="109" t="str">
        <f t="shared" si="169"/>
        <v/>
      </c>
      <c r="AT478" s="63" t="str">
        <f t="shared" si="170"/>
        <v xml:space="preserve">                    </v>
      </c>
    </row>
    <row r="479" spans="1:46" ht="12.75" x14ac:dyDescent="0.2">
      <c r="A479" s="63" t="str">
        <f t="shared" si="152"/>
        <v/>
      </c>
      <c r="B479" s="185"/>
      <c r="C479" s="184"/>
      <c r="D479" s="184"/>
      <c r="E479" s="184"/>
      <c r="F479" s="184"/>
      <c r="G479" s="185"/>
      <c r="H479" s="185"/>
      <c r="I479" s="186"/>
      <c r="J479" s="69"/>
      <c r="AA479" s="63">
        <f t="shared" si="153"/>
        <v>0</v>
      </c>
      <c r="AB479" s="153" t="str">
        <f t="shared" si="154"/>
        <v>000</v>
      </c>
      <c r="AC479" s="165" t="str">
        <f t="shared" si="155"/>
        <v>00000000</v>
      </c>
      <c r="AD479" s="98" t="str">
        <f t="shared" si="156"/>
        <v>00000000</v>
      </c>
      <c r="AE479" s="150">
        <f t="shared" si="157"/>
        <v>0</v>
      </c>
      <c r="AF479" s="150">
        <f t="shared" si="158"/>
        <v>0</v>
      </c>
      <c r="AG479" s="98" t="str">
        <f t="shared" si="159"/>
        <v>0000000000</v>
      </c>
      <c r="AH479" s="151">
        <f t="shared" si="160"/>
        <v>0</v>
      </c>
      <c r="AI479" s="98" t="str">
        <f t="shared" si="161"/>
        <v>00</v>
      </c>
      <c r="AJ479" s="98" t="str">
        <f t="shared" si="162"/>
        <v>000000000000</v>
      </c>
      <c r="AK479" s="161" t="str">
        <f t="shared" si="163"/>
        <v xml:space="preserve">                              </v>
      </c>
      <c r="AL479" s="154">
        <f t="shared" si="164"/>
        <v>0</v>
      </c>
      <c r="AM479" s="155">
        <f t="shared" si="165"/>
        <v>0</v>
      </c>
      <c r="AP479" s="63" t="str">
        <f t="shared" si="166"/>
        <v/>
      </c>
      <c r="AQ479" s="63" t="str">
        <f t="shared" si="167"/>
        <v/>
      </c>
      <c r="AR479" s="152" t="str">
        <f t="shared" si="168"/>
        <v/>
      </c>
      <c r="AS479" s="109" t="str">
        <f t="shared" si="169"/>
        <v/>
      </c>
      <c r="AT479" s="63" t="str">
        <f t="shared" si="170"/>
        <v xml:space="preserve">                    </v>
      </c>
    </row>
    <row r="480" spans="1:46" ht="12.75" x14ac:dyDescent="0.2">
      <c r="A480" s="63" t="str">
        <f t="shared" si="152"/>
        <v/>
      </c>
      <c r="B480" s="185"/>
      <c r="C480" s="184"/>
      <c r="D480" s="184"/>
      <c r="E480" s="184"/>
      <c r="F480" s="184"/>
      <c r="G480" s="185"/>
      <c r="H480" s="185"/>
      <c r="I480" s="186"/>
      <c r="J480" s="69"/>
      <c r="AA480" s="63">
        <f t="shared" si="153"/>
        <v>0</v>
      </c>
      <c r="AB480" s="153" t="str">
        <f t="shared" si="154"/>
        <v>000</v>
      </c>
      <c r="AC480" s="165" t="str">
        <f t="shared" si="155"/>
        <v>00000000</v>
      </c>
      <c r="AD480" s="98" t="str">
        <f t="shared" si="156"/>
        <v>00000000</v>
      </c>
      <c r="AE480" s="150">
        <f t="shared" si="157"/>
        <v>0</v>
      </c>
      <c r="AF480" s="150">
        <f t="shared" si="158"/>
        <v>0</v>
      </c>
      <c r="AG480" s="98" t="str">
        <f t="shared" si="159"/>
        <v>0000000000</v>
      </c>
      <c r="AH480" s="151">
        <f t="shared" si="160"/>
        <v>0</v>
      </c>
      <c r="AI480" s="98" t="str">
        <f t="shared" si="161"/>
        <v>00</v>
      </c>
      <c r="AJ480" s="98" t="str">
        <f t="shared" si="162"/>
        <v>000000000000</v>
      </c>
      <c r="AK480" s="161" t="str">
        <f t="shared" si="163"/>
        <v xml:space="preserve">                              </v>
      </c>
      <c r="AL480" s="154">
        <f t="shared" si="164"/>
        <v>0</v>
      </c>
      <c r="AM480" s="155">
        <f t="shared" si="165"/>
        <v>0</v>
      </c>
      <c r="AP480" s="63" t="str">
        <f t="shared" si="166"/>
        <v/>
      </c>
      <c r="AQ480" s="63" t="str">
        <f t="shared" si="167"/>
        <v/>
      </c>
      <c r="AR480" s="152" t="str">
        <f t="shared" si="168"/>
        <v/>
      </c>
      <c r="AS480" s="109" t="str">
        <f t="shared" si="169"/>
        <v/>
      </c>
      <c r="AT480" s="63" t="str">
        <f t="shared" si="170"/>
        <v xml:space="preserve">                    </v>
      </c>
    </row>
    <row r="481" spans="1:46" ht="12.75" x14ac:dyDescent="0.2">
      <c r="A481" s="63" t="str">
        <f t="shared" si="152"/>
        <v/>
      </c>
      <c r="B481" s="185"/>
      <c r="C481" s="184"/>
      <c r="D481" s="184"/>
      <c r="E481" s="184"/>
      <c r="F481" s="184"/>
      <c r="G481" s="185"/>
      <c r="H481" s="185"/>
      <c r="I481" s="186"/>
      <c r="J481" s="69"/>
      <c r="AA481" s="63">
        <f t="shared" si="153"/>
        <v>0</v>
      </c>
      <c r="AB481" s="153" t="str">
        <f t="shared" si="154"/>
        <v>000</v>
      </c>
      <c r="AC481" s="165" t="str">
        <f t="shared" si="155"/>
        <v>00000000</v>
      </c>
      <c r="AD481" s="98" t="str">
        <f t="shared" si="156"/>
        <v>00000000</v>
      </c>
      <c r="AE481" s="150">
        <f t="shared" si="157"/>
        <v>0</v>
      </c>
      <c r="AF481" s="150">
        <f t="shared" si="158"/>
        <v>0</v>
      </c>
      <c r="AG481" s="98" t="str">
        <f t="shared" si="159"/>
        <v>0000000000</v>
      </c>
      <c r="AH481" s="151">
        <f t="shared" si="160"/>
        <v>0</v>
      </c>
      <c r="AI481" s="98" t="str">
        <f t="shared" si="161"/>
        <v>00</v>
      </c>
      <c r="AJ481" s="98" t="str">
        <f t="shared" si="162"/>
        <v>000000000000</v>
      </c>
      <c r="AK481" s="161" t="str">
        <f t="shared" si="163"/>
        <v xml:space="preserve">                              </v>
      </c>
      <c r="AL481" s="154">
        <f t="shared" si="164"/>
        <v>0</v>
      </c>
      <c r="AM481" s="155">
        <f t="shared" si="165"/>
        <v>0</v>
      </c>
      <c r="AP481" s="63" t="str">
        <f t="shared" si="166"/>
        <v/>
      </c>
      <c r="AQ481" s="63" t="str">
        <f t="shared" si="167"/>
        <v/>
      </c>
      <c r="AR481" s="152" t="str">
        <f t="shared" si="168"/>
        <v/>
      </c>
      <c r="AS481" s="109" t="str">
        <f t="shared" si="169"/>
        <v/>
      </c>
      <c r="AT481" s="63" t="str">
        <f t="shared" si="170"/>
        <v xml:space="preserve">                    </v>
      </c>
    </row>
    <row r="482" spans="1:46" ht="12.75" x14ac:dyDescent="0.2">
      <c r="A482" s="63" t="str">
        <f t="shared" si="152"/>
        <v/>
      </c>
      <c r="B482" s="185"/>
      <c r="C482" s="184"/>
      <c r="D482" s="184"/>
      <c r="E482" s="184"/>
      <c r="F482" s="184"/>
      <c r="G482" s="185"/>
      <c r="H482" s="185"/>
      <c r="I482" s="186"/>
      <c r="J482" s="69"/>
      <c r="AA482" s="63">
        <f t="shared" si="153"/>
        <v>0</v>
      </c>
      <c r="AB482" s="153" t="str">
        <f t="shared" si="154"/>
        <v>000</v>
      </c>
      <c r="AC482" s="165" t="str">
        <f t="shared" si="155"/>
        <v>00000000</v>
      </c>
      <c r="AD482" s="98" t="str">
        <f t="shared" si="156"/>
        <v>00000000</v>
      </c>
      <c r="AE482" s="150">
        <f t="shared" si="157"/>
        <v>0</v>
      </c>
      <c r="AF482" s="150">
        <f t="shared" si="158"/>
        <v>0</v>
      </c>
      <c r="AG482" s="98" t="str">
        <f t="shared" si="159"/>
        <v>0000000000</v>
      </c>
      <c r="AH482" s="151">
        <f t="shared" si="160"/>
        <v>0</v>
      </c>
      <c r="AI482" s="98" t="str">
        <f t="shared" si="161"/>
        <v>00</v>
      </c>
      <c r="AJ482" s="98" t="str">
        <f t="shared" si="162"/>
        <v>000000000000</v>
      </c>
      <c r="AK482" s="161" t="str">
        <f t="shared" si="163"/>
        <v xml:space="preserve">                              </v>
      </c>
      <c r="AL482" s="154">
        <f t="shared" si="164"/>
        <v>0</v>
      </c>
      <c r="AM482" s="155">
        <f t="shared" si="165"/>
        <v>0</v>
      </c>
      <c r="AP482" s="63" t="str">
        <f t="shared" si="166"/>
        <v/>
      </c>
      <c r="AQ482" s="63" t="str">
        <f t="shared" si="167"/>
        <v/>
      </c>
      <c r="AR482" s="152" t="str">
        <f t="shared" si="168"/>
        <v/>
      </c>
      <c r="AS482" s="109" t="str">
        <f t="shared" si="169"/>
        <v/>
      </c>
      <c r="AT482" s="63" t="str">
        <f t="shared" si="170"/>
        <v xml:space="preserve">                    </v>
      </c>
    </row>
    <row r="483" spans="1:46" ht="12.75" x14ac:dyDescent="0.2">
      <c r="A483" s="63" t="str">
        <f t="shared" si="152"/>
        <v/>
      </c>
      <c r="B483" s="185"/>
      <c r="C483" s="184"/>
      <c r="D483" s="184"/>
      <c r="E483" s="184"/>
      <c r="F483" s="184"/>
      <c r="G483" s="185"/>
      <c r="H483" s="185"/>
      <c r="I483" s="186"/>
      <c r="J483" s="69"/>
      <c r="AA483" s="63">
        <f t="shared" si="153"/>
        <v>0</v>
      </c>
      <c r="AB483" s="153" t="str">
        <f t="shared" si="154"/>
        <v>000</v>
      </c>
      <c r="AC483" s="165" t="str">
        <f t="shared" si="155"/>
        <v>00000000</v>
      </c>
      <c r="AD483" s="98" t="str">
        <f t="shared" si="156"/>
        <v>00000000</v>
      </c>
      <c r="AE483" s="150">
        <f t="shared" si="157"/>
        <v>0</v>
      </c>
      <c r="AF483" s="150">
        <f t="shared" si="158"/>
        <v>0</v>
      </c>
      <c r="AG483" s="98" t="str">
        <f t="shared" si="159"/>
        <v>0000000000</v>
      </c>
      <c r="AH483" s="151">
        <f t="shared" si="160"/>
        <v>0</v>
      </c>
      <c r="AI483" s="98" t="str">
        <f t="shared" si="161"/>
        <v>00</v>
      </c>
      <c r="AJ483" s="98" t="str">
        <f t="shared" si="162"/>
        <v>000000000000</v>
      </c>
      <c r="AK483" s="161" t="str">
        <f t="shared" si="163"/>
        <v xml:space="preserve">                              </v>
      </c>
      <c r="AL483" s="154">
        <f t="shared" si="164"/>
        <v>0</v>
      </c>
      <c r="AM483" s="155">
        <f t="shared" si="165"/>
        <v>0</v>
      </c>
      <c r="AP483" s="63" t="str">
        <f t="shared" si="166"/>
        <v/>
      </c>
      <c r="AQ483" s="63" t="str">
        <f t="shared" si="167"/>
        <v/>
      </c>
      <c r="AR483" s="152" t="str">
        <f t="shared" si="168"/>
        <v/>
      </c>
      <c r="AS483" s="109" t="str">
        <f t="shared" si="169"/>
        <v/>
      </c>
      <c r="AT483" s="63" t="str">
        <f t="shared" si="170"/>
        <v xml:space="preserve">                    </v>
      </c>
    </row>
    <row r="484" spans="1:46" ht="12.75" x14ac:dyDescent="0.2">
      <c r="A484" s="63" t="str">
        <f t="shared" si="152"/>
        <v/>
      </c>
      <c r="B484" s="185"/>
      <c r="C484" s="184"/>
      <c r="D484" s="184"/>
      <c r="E484" s="184"/>
      <c r="F484" s="184"/>
      <c r="G484" s="185"/>
      <c r="H484" s="185"/>
      <c r="I484" s="186"/>
      <c r="J484" s="69"/>
      <c r="AA484" s="63">
        <f t="shared" si="153"/>
        <v>0</v>
      </c>
      <c r="AB484" s="153" t="str">
        <f t="shared" si="154"/>
        <v>000</v>
      </c>
      <c r="AC484" s="165" t="str">
        <f t="shared" si="155"/>
        <v>00000000</v>
      </c>
      <c r="AD484" s="98" t="str">
        <f t="shared" si="156"/>
        <v>00000000</v>
      </c>
      <c r="AE484" s="150">
        <f t="shared" si="157"/>
        <v>0</v>
      </c>
      <c r="AF484" s="150">
        <f t="shared" si="158"/>
        <v>0</v>
      </c>
      <c r="AG484" s="98" t="str">
        <f t="shared" si="159"/>
        <v>0000000000</v>
      </c>
      <c r="AH484" s="151">
        <f t="shared" si="160"/>
        <v>0</v>
      </c>
      <c r="AI484" s="98" t="str">
        <f t="shared" si="161"/>
        <v>00</v>
      </c>
      <c r="AJ484" s="98" t="str">
        <f t="shared" si="162"/>
        <v>000000000000</v>
      </c>
      <c r="AK484" s="161" t="str">
        <f t="shared" si="163"/>
        <v xml:space="preserve">                              </v>
      </c>
      <c r="AL484" s="154">
        <f t="shared" si="164"/>
        <v>0</v>
      </c>
      <c r="AM484" s="155">
        <f t="shared" si="165"/>
        <v>0</v>
      </c>
      <c r="AP484" s="63" t="str">
        <f t="shared" si="166"/>
        <v/>
      </c>
      <c r="AQ484" s="63" t="str">
        <f t="shared" si="167"/>
        <v/>
      </c>
      <c r="AR484" s="152" t="str">
        <f t="shared" si="168"/>
        <v/>
      </c>
      <c r="AS484" s="109" t="str">
        <f t="shared" si="169"/>
        <v/>
      </c>
      <c r="AT484" s="63" t="str">
        <f t="shared" si="170"/>
        <v xml:space="preserve">                    </v>
      </c>
    </row>
    <row r="485" spans="1:46" ht="12.75" x14ac:dyDescent="0.2">
      <c r="A485" s="63" t="str">
        <f t="shared" si="152"/>
        <v/>
      </c>
      <c r="B485" s="185"/>
      <c r="C485" s="184"/>
      <c r="D485" s="184"/>
      <c r="E485" s="184"/>
      <c r="F485" s="184"/>
      <c r="G485" s="185"/>
      <c r="H485" s="185"/>
      <c r="I485" s="186"/>
      <c r="J485" s="69"/>
      <c r="AA485" s="63">
        <f t="shared" si="153"/>
        <v>0</v>
      </c>
      <c r="AB485" s="153" t="str">
        <f t="shared" si="154"/>
        <v>000</v>
      </c>
      <c r="AC485" s="165" t="str">
        <f t="shared" si="155"/>
        <v>00000000</v>
      </c>
      <c r="AD485" s="98" t="str">
        <f t="shared" si="156"/>
        <v>00000000</v>
      </c>
      <c r="AE485" s="150">
        <f t="shared" si="157"/>
        <v>0</v>
      </c>
      <c r="AF485" s="150">
        <f t="shared" si="158"/>
        <v>0</v>
      </c>
      <c r="AG485" s="98" t="str">
        <f t="shared" si="159"/>
        <v>0000000000</v>
      </c>
      <c r="AH485" s="151">
        <f t="shared" si="160"/>
        <v>0</v>
      </c>
      <c r="AI485" s="98" t="str">
        <f t="shared" si="161"/>
        <v>00</v>
      </c>
      <c r="AJ485" s="98" t="str">
        <f t="shared" si="162"/>
        <v>000000000000</v>
      </c>
      <c r="AK485" s="161" t="str">
        <f t="shared" si="163"/>
        <v xml:space="preserve">                              </v>
      </c>
      <c r="AL485" s="154">
        <f t="shared" si="164"/>
        <v>0</v>
      </c>
      <c r="AM485" s="155">
        <f t="shared" si="165"/>
        <v>0</v>
      </c>
      <c r="AP485" s="63" t="str">
        <f t="shared" si="166"/>
        <v/>
      </c>
      <c r="AQ485" s="63" t="str">
        <f t="shared" si="167"/>
        <v/>
      </c>
      <c r="AR485" s="152" t="str">
        <f t="shared" si="168"/>
        <v/>
      </c>
      <c r="AS485" s="109" t="str">
        <f t="shared" si="169"/>
        <v/>
      </c>
      <c r="AT485" s="63" t="str">
        <f t="shared" si="170"/>
        <v xml:space="preserve">                    </v>
      </c>
    </row>
    <row r="486" spans="1:46" ht="12.75" x14ac:dyDescent="0.2">
      <c r="A486" s="63" t="str">
        <f t="shared" si="152"/>
        <v/>
      </c>
      <c r="B486" s="185"/>
      <c r="C486" s="184"/>
      <c r="D486" s="184"/>
      <c r="E486" s="184"/>
      <c r="F486" s="184"/>
      <c r="G486" s="185"/>
      <c r="H486" s="185"/>
      <c r="I486" s="186"/>
      <c r="J486" s="69"/>
      <c r="AA486" s="63">
        <f t="shared" si="153"/>
        <v>0</v>
      </c>
      <c r="AB486" s="153" t="str">
        <f t="shared" si="154"/>
        <v>000</v>
      </c>
      <c r="AC486" s="165" t="str">
        <f t="shared" si="155"/>
        <v>00000000</v>
      </c>
      <c r="AD486" s="98" t="str">
        <f t="shared" si="156"/>
        <v>00000000</v>
      </c>
      <c r="AE486" s="150">
        <f t="shared" si="157"/>
        <v>0</v>
      </c>
      <c r="AF486" s="150">
        <f t="shared" si="158"/>
        <v>0</v>
      </c>
      <c r="AG486" s="98" t="str">
        <f t="shared" si="159"/>
        <v>0000000000</v>
      </c>
      <c r="AH486" s="151">
        <f t="shared" si="160"/>
        <v>0</v>
      </c>
      <c r="AI486" s="98" t="str">
        <f t="shared" si="161"/>
        <v>00</v>
      </c>
      <c r="AJ486" s="98" t="str">
        <f t="shared" si="162"/>
        <v>000000000000</v>
      </c>
      <c r="AK486" s="161" t="str">
        <f t="shared" si="163"/>
        <v xml:space="preserve">                              </v>
      </c>
      <c r="AL486" s="154">
        <f t="shared" si="164"/>
        <v>0</v>
      </c>
      <c r="AM486" s="155">
        <f t="shared" si="165"/>
        <v>0</v>
      </c>
      <c r="AP486" s="63" t="str">
        <f t="shared" si="166"/>
        <v/>
      </c>
      <c r="AQ486" s="63" t="str">
        <f t="shared" si="167"/>
        <v/>
      </c>
      <c r="AR486" s="152" t="str">
        <f t="shared" si="168"/>
        <v/>
      </c>
      <c r="AS486" s="109" t="str">
        <f t="shared" si="169"/>
        <v/>
      </c>
      <c r="AT486" s="63" t="str">
        <f t="shared" si="170"/>
        <v xml:space="preserve">                    </v>
      </c>
    </row>
    <row r="487" spans="1:46" ht="12.75" x14ac:dyDescent="0.2">
      <c r="A487" s="63" t="str">
        <f t="shared" si="152"/>
        <v/>
      </c>
      <c r="B487" s="185"/>
      <c r="C487" s="184"/>
      <c r="D487" s="184"/>
      <c r="E487" s="184"/>
      <c r="F487" s="184"/>
      <c r="G487" s="185"/>
      <c r="H487" s="185"/>
      <c r="I487" s="186"/>
      <c r="J487" s="69"/>
      <c r="AA487" s="63">
        <f t="shared" si="153"/>
        <v>0</v>
      </c>
      <c r="AB487" s="153" t="str">
        <f t="shared" si="154"/>
        <v>000</v>
      </c>
      <c r="AC487" s="165" t="str">
        <f t="shared" si="155"/>
        <v>00000000</v>
      </c>
      <c r="AD487" s="98" t="str">
        <f t="shared" si="156"/>
        <v>00000000</v>
      </c>
      <c r="AE487" s="150">
        <f t="shared" si="157"/>
        <v>0</v>
      </c>
      <c r="AF487" s="150">
        <f t="shared" si="158"/>
        <v>0</v>
      </c>
      <c r="AG487" s="98" t="str">
        <f t="shared" si="159"/>
        <v>0000000000</v>
      </c>
      <c r="AH487" s="151">
        <f t="shared" si="160"/>
        <v>0</v>
      </c>
      <c r="AI487" s="98" t="str">
        <f t="shared" si="161"/>
        <v>00</v>
      </c>
      <c r="AJ487" s="98" t="str">
        <f t="shared" si="162"/>
        <v>000000000000</v>
      </c>
      <c r="AK487" s="161" t="str">
        <f t="shared" si="163"/>
        <v xml:space="preserve">                              </v>
      </c>
      <c r="AL487" s="154">
        <f t="shared" si="164"/>
        <v>0</v>
      </c>
      <c r="AM487" s="155">
        <f t="shared" si="165"/>
        <v>0</v>
      </c>
      <c r="AP487" s="63" t="str">
        <f t="shared" si="166"/>
        <v/>
      </c>
      <c r="AQ487" s="63" t="str">
        <f t="shared" si="167"/>
        <v/>
      </c>
      <c r="AR487" s="152" t="str">
        <f t="shared" si="168"/>
        <v/>
      </c>
      <c r="AS487" s="109" t="str">
        <f t="shared" si="169"/>
        <v/>
      </c>
      <c r="AT487" s="63" t="str">
        <f t="shared" si="170"/>
        <v xml:space="preserve">                    </v>
      </c>
    </row>
    <row r="488" spans="1:46" ht="12.75" x14ac:dyDescent="0.2">
      <c r="A488" s="63" t="str">
        <f t="shared" si="152"/>
        <v/>
      </c>
      <c r="B488" s="185"/>
      <c r="C488" s="184"/>
      <c r="D488" s="184"/>
      <c r="E488" s="184"/>
      <c r="F488" s="184"/>
      <c r="G488" s="185"/>
      <c r="H488" s="185"/>
      <c r="I488" s="186"/>
      <c r="J488" s="69"/>
      <c r="AA488" s="63">
        <f t="shared" si="153"/>
        <v>0</v>
      </c>
      <c r="AB488" s="153" t="str">
        <f t="shared" si="154"/>
        <v>000</v>
      </c>
      <c r="AC488" s="165" t="str">
        <f t="shared" si="155"/>
        <v>00000000</v>
      </c>
      <c r="AD488" s="98" t="str">
        <f t="shared" si="156"/>
        <v>00000000</v>
      </c>
      <c r="AE488" s="150">
        <f t="shared" si="157"/>
        <v>0</v>
      </c>
      <c r="AF488" s="150">
        <f t="shared" si="158"/>
        <v>0</v>
      </c>
      <c r="AG488" s="98" t="str">
        <f t="shared" si="159"/>
        <v>0000000000</v>
      </c>
      <c r="AH488" s="151">
        <f t="shared" si="160"/>
        <v>0</v>
      </c>
      <c r="AI488" s="98" t="str">
        <f t="shared" si="161"/>
        <v>00</v>
      </c>
      <c r="AJ488" s="98" t="str">
        <f t="shared" si="162"/>
        <v>000000000000</v>
      </c>
      <c r="AK488" s="161" t="str">
        <f t="shared" si="163"/>
        <v xml:space="preserve">                              </v>
      </c>
      <c r="AL488" s="154">
        <f t="shared" si="164"/>
        <v>0</v>
      </c>
      <c r="AM488" s="155">
        <f t="shared" si="165"/>
        <v>0</v>
      </c>
      <c r="AP488" s="63" t="str">
        <f t="shared" si="166"/>
        <v/>
      </c>
      <c r="AQ488" s="63" t="str">
        <f t="shared" si="167"/>
        <v/>
      </c>
      <c r="AR488" s="152" t="str">
        <f t="shared" si="168"/>
        <v/>
      </c>
      <c r="AS488" s="109" t="str">
        <f t="shared" si="169"/>
        <v/>
      </c>
      <c r="AT488" s="63" t="str">
        <f t="shared" si="170"/>
        <v xml:space="preserve">                    </v>
      </c>
    </row>
    <row r="489" spans="1:46" ht="12.75" x14ac:dyDescent="0.2">
      <c r="A489" s="63" t="str">
        <f t="shared" si="152"/>
        <v/>
      </c>
      <c r="B489" s="185"/>
      <c r="C489" s="184"/>
      <c r="D489" s="184"/>
      <c r="E489" s="184"/>
      <c r="F489" s="184"/>
      <c r="G489" s="185"/>
      <c r="H489" s="185"/>
      <c r="I489" s="186"/>
      <c r="J489" s="69"/>
      <c r="AA489" s="63">
        <f t="shared" si="153"/>
        <v>0</v>
      </c>
      <c r="AB489" s="153" t="str">
        <f t="shared" si="154"/>
        <v>000</v>
      </c>
      <c r="AC489" s="165" t="str">
        <f t="shared" si="155"/>
        <v>00000000</v>
      </c>
      <c r="AD489" s="98" t="str">
        <f t="shared" si="156"/>
        <v>00000000</v>
      </c>
      <c r="AE489" s="150">
        <f t="shared" si="157"/>
        <v>0</v>
      </c>
      <c r="AF489" s="150">
        <f t="shared" si="158"/>
        <v>0</v>
      </c>
      <c r="AG489" s="98" t="str">
        <f t="shared" si="159"/>
        <v>0000000000</v>
      </c>
      <c r="AH489" s="151">
        <f t="shared" si="160"/>
        <v>0</v>
      </c>
      <c r="AI489" s="98" t="str">
        <f t="shared" si="161"/>
        <v>00</v>
      </c>
      <c r="AJ489" s="98" t="str">
        <f t="shared" si="162"/>
        <v>000000000000</v>
      </c>
      <c r="AK489" s="161" t="str">
        <f t="shared" si="163"/>
        <v xml:space="preserve">                              </v>
      </c>
      <c r="AL489" s="154">
        <f t="shared" si="164"/>
        <v>0</v>
      </c>
      <c r="AM489" s="155">
        <f t="shared" si="165"/>
        <v>0</v>
      </c>
      <c r="AP489" s="63" t="str">
        <f t="shared" si="166"/>
        <v/>
      </c>
      <c r="AQ489" s="63" t="str">
        <f t="shared" si="167"/>
        <v/>
      </c>
      <c r="AR489" s="152" t="str">
        <f t="shared" si="168"/>
        <v/>
      </c>
      <c r="AS489" s="109" t="str">
        <f t="shared" si="169"/>
        <v/>
      </c>
      <c r="AT489" s="63" t="str">
        <f t="shared" si="170"/>
        <v xml:space="preserve">                    </v>
      </c>
    </row>
    <row r="490" spans="1:46" ht="12.75" x14ac:dyDescent="0.2">
      <c r="A490" s="63" t="str">
        <f t="shared" si="152"/>
        <v/>
      </c>
      <c r="B490" s="185"/>
      <c r="C490" s="184"/>
      <c r="D490" s="184"/>
      <c r="E490" s="184"/>
      <c r="F490" s="184"/>
      <c r="G490" s="185"/>
      <c r="H490" s="185"/>
      <c r="I490" s="186"/>
      <c r="J490" s="69"/>
      <c r="AA490" s="63">
        <f t="shared" si="153"/>
        <v>0</v>
      </c>
      <c r="AB490" s="153" t="str">
        <f t="shared" si="154"/>
        <v>000</v>
      </c>
      <c r="AC490" s="165" t="str">
        <f t="shared" si="155"/>
        <v>00000000</v>
      </c>
      <c r="AD490" s="98" t="str">
        <f t="shared" si="156"/>
        <v>00000000</v>
      </c>
      <c r="AE490" s="150">
        <f t="shared" si="157"/>
        <v>0</v>
      </c>
      <c r="AF490" s="150">
        <f t="shared" si="158"/>
        <v>0</v>
      </c>
      <c r="AG490" s="98" t="str">
        <f t="shared" si="159"/>
        <v>0000000000</v>
      </c>
      <c r="AH490" s="151">
        <f t="shared" si="160"/>
        <v>0</v>
      </c>
      <c r="AI490" s="98" t="str">
        <f t="shared" si="161"/>
        <v>00</v>
      </c>
      <c r="AJ490" s="98" t="str">
        <f t="shared" si="162"/>
        <v>000000000000</v>
      </c>
      <c r="AK490" s="161" t="str">
        <f t="shared" si="163"/>
        <v xml:space="preserve">                              </v>
      </c>
      <c r="AL490" s="154">
        <f t="shared" si="164"/>
        <v>0</v>
      </c>
      <c r="AM490" s="155">
        <f t="shared" si="165"/>
        <v>0</v>
      </c>
      <c r="AP490" s="63" t="str">
        <f t="shared" si="166"/>
        <v/>
      </c>
      <c r="AQ490" s="63" t="str">
        <f t="shared" si="167"/>
        <v/>
      </c>
      <c r="AR490" s="152" t="str">
        <f t="shared" si="168"/>
        <v/>
      </c>
      <c r="AS490" s="109" t="str">
        <f t="shared" si="169"/>
        <v/>
      </c>
      <c r="AT490" s="63" t="str">
        <f t="shared" si="170"/>
        <v xml:space="preserve">                    </v>
      </c>
    </row>
    <row r="491" spans="1:46" ht="12.75" x14ac:dyDescent="0.2">
      <c r="A491" s="63" t="str">
        <f t="shared" si="152"/>
        <v/>
      </c>
      <c r="B491" s="185"/>
      <c r="C491" s="184"/>
      <c r="D491" s="184"/>
      <c r="E491" s="184"/>
      <c r="F491" s="184"/>
      <c r="G491" s="185"/>
      <c r="H491" s="185"/>
      <c r="I491" s="186"/>
      <c r="J491" s="69"/>
      <c r="AA491" s="63">
        <f t="shared" si="153"/>
        <v>0</v>
      </c>
      <c r="AB491" s="153" t="str">
        <f t="shared" si="154"/>
        <v>000</v>
      </c>
      <c r="AC491" s="165" t="str">
        <f t="shared" si="155"/>
        <v>00000000</v>
      </c>
      <c r="AD491" s="98" t="str">
        <f t="shared" si="156"/>
        <v>00000000</v>
      </c>
      <c r="AE491" s="150">
        <f t="shared" si="157"/>
        <v>0</v>
      </c>
      <c r="AF491" s="150">
        <f t="shared" si="158"/>
        <v>0</v>
      </c>
      <c r="AG491" s="98" t="str">
        <f t="shared" si="159"/>
        <v>0000000000</v>
      </c>
      <c r="AH491" s="151">
        <f t="shared" si="160"/>
        <v>0</v>
      </c>
      <c r="AI491" s="98" t="str">
        <f t="shared" si="161"/>
        <v>00</v>
      </c>
      <c r="AJ491" s="98" t="str">
        <f t="shared" si="162"/>
        <v>000000000000</v>
      </c>
      <c r="AK491" s="161" t="str">
        <f t="shared" si="163"/>
        <v xml:space="preserve">                              </v>
      </c>
      <c r="AL491" s="154">
        <f t="shared" si="164"/>
        <v>0</v>
      </c>
      <c r="AM491" s="155">
        <f t="shared" si="165"/>
        <v>0</v>
      </c>
      <c r="AP491" s="63" t="str">
        <f t="shared" si="166"/>
        <v/>
      </c>
      <c r="AQ491" s="63" t="str">
        <f t="shared" si="167"/>
        <v/>
      </c>
      <c r="AR491" s="152" t="str">
        <f t="shared" si="168"/>
        <v/>
      </c>
      <c r="AS491" s="109" t="str">
        <f t="shared" si="169"/>
        <v/>
      </c>
      <c r="AT491" s="63" t="str">
        <f t="shared" si="170"/>
        <v xml:space="preserve">                    </v>
      </c>
    </row>
    <row r="492" spans="1:46" ht="12.75" x14ac:dyDescent="0.2">
      <c r="A492" s="63" t="str">
        <f t="shared" si="152"/>
        <v/>
      </c>
      <c r="B492" s="185"/>
      <c r="C492" s="184"/>
      <c r="D492" s="184"/>
      <c r="E492" s="184"/>
      <c r="F492" s="184"/>
      <c r="G492" s="185"/>
      <c r="H492" s="185"/>
      <c r="I492" s="186"/>
      <c r="J492" s="69"/>
      <c r="AA492" s="63">
        <f t="shared" si="153"/>
        <v>0</v>
      </c>
      <c r="AB492" s="153" t="str">
        <f t="shared" si="154"/>
        <v>000</v>
      </c>
      <c r="AC492" s="165" t="str">
        <f t="shared" si="155"/>
        <v>00000000</v>
      </c>
      <c r="AD492" s="98" t="str">
        <f t="shared" si="156"/>
        <v>00000000</v>
      </c>
      <c r="AE492" s="150">
        <f t="shared" si="157"/>
        <v>0</v>
      </c>
      <c r="AF492" s="150">
        <f t="shared" si="158"/>
        <v>0</v>
      </c>
      <c r="AG492" s="98" t="str">
        <f t="shared" si="159"/>
        <v>0000000000</v>
      </c>
      <c r="AH492" s="151">
        <f t="shared" si="160"/>
        <v>0</v>
      </c>
      <c r="AI492" s="98" t="str">
        <f t="shared" si="161"/>
        <v>00</v>
      </c>
      <c r="AJ492" s="98" t="str">
        <f t="shared" si="162"/>
        <v>000000000000</v>
      </c>
      <c r="AK492" s="161" t="str">
        <f t="shared" si="163"/>
        <v xml:space="preserve">                              </v>
      </c>
      <c r="AL492" s="154">
        <f t="shared" si="164"/>
        <v>0</v>
      </c>
      <c r="AM492" s="155">
        <f t="shared" si="165"/>
        <v>0</v>
      </c>
      <c r="AP492" s="63" t="str">
        <f t="shared" si="166"/>
        <v/>
      </c>
      <c r="AQ492" s="63" t="str">
        <f t="shared" si="167"/>
        <v/>
      </c>
      <c r="AR492" s="152" t="str">
        <f t="shared" si="168"/>
        <v/>
      </c>
      <c r="AS492" s="109" t="str">
        <f t="shared" si="169"/>
        <v/>
      </c>
      <c r="AT492" s="63" t="str">
        <f t="shared" si="170"/>
        <v xml:space="preserve">                    </v>
      </c>
    </row>
    <row r="493" spans="1:46" ht="12.75" x14ac:dyDescent="0.2">
      <c r="A493" s="63" t="str">
        <f t="shared" si="152"/>
        <v/>
      </c>
      <c r="B493" s="185"/>
      <c r="C493" s="184"/>
      <c r="D493" s="184"/>
      <c r="E493" s="184"/>
      <c r="F493" s="184"/>
      <c r="G493" s="185"/>
      <c r="H493" s="185"/>
      <c r="I493" s="186"/>
      <c r="J493" s="69"/>
      <c r="AA493" s="63">
        <f t="shared" si="153"/>
        <v>0</v>
      </c>
      <c r="AB493" s="153" t="str">
        <f t="shared" si="154"/>
        <v>000</v>
      </c>
      <c r="AC493" s="165" t="str">
        <f t="shared" si="155"/>
        <v>00000000</v>
      </c>
      <c r="AD493" s="98" t="str">
        <f t="shared" si="156"/>
        <v>00000000</v>
      </c>
      <c r="AE493" s="150">
        <f t="shared" si="157"/>
        <v>0</v>
      </c>
      <c r="AF493" s="150">
        <f t="shared" si="158"/>
        <v>0</v>
      </c>
      <c r="AG493" s="98" t="str">
        <f t="shared" si="159"/>
        <v>0000000000</v>
      </c>
      <c r="AH493" s="151">
        <f t="shared" si="160"/>
        <v>0</v>
      </c>
      <c r="AI493" s="98" t="str">
        <f t="shared" si="161"/>
        <v>00</v>
      </c>
      <c r="AJ493" s="98" t="str">
        <f t="shared" si="162"/>
        <v>000000000000</v>
      </c>
      <c r="AK493" s="161" t="str">
        <f t="shared" si="163"/>
        <v xml:space="preserve">                              </v>
      </c>
      <c r="AL493" s="154">
        <f t="shared" si="164"/>
        <v>0</v>
      </c>
      <c r="AM493" s="155">
        <f t="shared" si="165"/>
        <v>0</v>
      </c>
      <c r="AP493" s="63" t="str">
        <f t="shared" si="166"/>
        <v/>
      </c>
      <c r="AQ493" s="63" t="str">
        <f t="shared" si="167"/>
        <v/>
      </c>
      <c r="AR493" s="152" t="str">
        <f t="shared" si="168"/>
        <v/>
      </c>
      <c r="AS493" s="109" t="str">
        <f t="shared" si="169"/>
        <v/>
      </c>
      <c r="AT493" s="63" t="str">
        <f t="shared" si="170"/>
        <v xml:space="preserve">                    </v>
      </c>
    </row>
    <row r="494" spans="1:46" ht="12.75" x14ac:dyDescent="0.2">
      <c r="A494" s="63" t="str">
        <f t="shared" si="152"/>
        <v/>
      </c>
      <c r="B494" s="185"/>
      <c r="C494" s="184"/>
      <c r="D494" s="184"/>
      <c r="E494" s="184"/>
      <c r="F494" s="184"/>
      <c r="G494" s="185"/>
      <c r="H494" s="185"/>
      <c r="I494" s="186"/>
      <c r="J494" s="69"/>
      <c r="AA494" s="63">
        <f t="shared" si="153"/>
        <v>0</v>
      </c>
      <c r="AB494" s="153" t="str">
        <f t="shared" si="154"/>
        <v>000</v>
      </c>
      <c r="AC494" s="165" t="str">
        <f t="shared" si="155"/>
        <v>00000000</v>
      </c>
      <c r="AD494" s="98" t="str">
        <f t="shared" si="156"/>
        <v>00000000</v>
      </c>
      <c r="AE494" s="150">
        <f t="shared" si="157"/>
        <v>0</v>
      </c>
      <c r="AF494" s="150">
        <f t="shared" si="158"/>
        <v>0</v>
      </c>
      <c r="AG494" s="98" t="str">
        <f t="shared" si="159"/>
        <v>0000000000</v>
      </c>
      <c r="AH494" s="151">
        <f t="shared" si="160"/>
        <v>0</v>
      </c>
      <c r="AI494" s="98" t="str">
        <f t="shared" si="161"/>
        <v>00</v>
      </c>
      <c r="AJ494" s="98" t="str">
        <f t="shared" si="162"/>
        <v>000000000000</v>
      </c>
      <c r="AK494" s="161" t="str">
        <f t="shared" si="163"/>
        <v xml:space="preserve">                              </v>
      </c>
      <c r="AL494" s="154">
        <f t="shared" si="164"/>
        <v>0</v>
      </c>
      <c r="AM494" s="155">
        <f t="shared" si="165"/>
        <v>0</v>
      </c>
      <c r="AP494" s="63" t="str">
        <f t="shared" si="166"/>
        <v/>
      </c>
      <c r="AQ494" s="63" t="str">
        <f t="shared" si="167"/>
        <v/>
      </c>
      <c r="AR494" s="152" t="str">
        <f t="shared" si="168"/>
        <v/>
      </c>
      <c r="AS494" s="109" t="str">
        <f t="shared" si="169"/>
        <v/>
      </c>
      <c r="AT494" s="63" t="str">
        <f t="shared" si="170"/>
        <v xml:space="preserve">                    </v>
      </c>
    </row>
    <row r="495" spans="1:46" ht="12.75" x14ac:dyDescent="0.2">
      <c r="A495" s="63" t="str">
        <f t="shared" si="152"/>
        <v/>
      </c>
      <c r="B495" s="185"/>
      <c r="C495" s="184"/>
      <c r="D495" s="184"/>
      <c r="E495" s="184"/>
      <c r="F495" s="184"/>
      <c r="G495" s="185"/>
      <c r="H495" s="185"/>
      <c r="I495" s="186"/>
      <c r="J495" s="69"/>
      <c r="AA495" s="63">
        <f t="shared" si="153"/>
        <v>0</v>
      </c>
      <c r="AB495" s="153" t="str">
        <f t="shared" si="154"/>
        <v>000</v>
      </c>
      <c r="AC495" s="165" t="str">
        <f t="shared" si="155"/>
        <v>00000000</v>
      </c>
      <c r="AD495" s="98" t="str">
        <f t="shared" si="156"/>
        <v>00000000</v>
      </c>
      <c r="AE495" s="150">
        <f t="shared" si="157"/>
        <v>0</v>
      </c>
      <c r="AF495" s="150">
        <f t="shared" si="158"/>
        <v>0</v>
      </c>
      <c r="AG495" s="98" t="str">
        <f t="shared" si="159"/>
        <v>0000000000</v>
      </c>
      <c r="AH495" s="151">
        <f t="shared" si="160"/>
        <v>0</v>
      </c>
      <c r="AI495" s="98" t="str">
        <f t="shared" si="161"/>
        <v>00</v>
      </c>
      <c r="AJ495" s="98" t="str">
        <f t="shared" si="162"/>
        <v>000000000000</v>
      </c>
      <c r="AK495" s="161" t="str">
        <f t="shared" si="163"/>
        <v xml:space="preserve">                              </v>
      </c>
      <c r="AL495" s="154">
        <f t="shared" si="164"/>
        <v>0</v>
      </c>
      <c r="AM495" s="155">
        <f t="shared" si="165"/>
        <v>0</v>
      </c>
      <c r="AP495" s="63" t="str">
        <f t="shared" si="166"/>
        <v/>
      </c>
      <c r="AQ495" s="63" t="str">
        <f t="shared" si="167"/>
        <v/>
      </c>
      <c r="AR495" s="152" t="str">
        <f t="shared" si="168"/>
        <v/>
      </c>
      <c r="AS495" s="109" t="str">
        <f t="shared" si="169"/>
        <v/>
      </c>
      <c r="AT495" s="63" t="str">
        <f t="shared" si="170"/>
        <v xml:space="preserve">                    </v>
      </c>
    </row>
    <row r="496" spans="1:46" ht="12.75" x14ac:dyDescent="0.2">
      <c r="A496" s="63" t="str">
        <f t="shared" si="152"/>
        <v/>
      </c>
      <c r="B496" s="185"/>
      <c r="C496" s="184"/>
      <c r="D496" s="184"/>
      <c r="E496" s="184"/>
      <c r="F496" s="184"/>
      <c r="G496" s="185"/>
      <c r="H496" s="185"/>
      <c r="I496" s="186"/>
      <c r="J496" s="69"/>
      <c r="AA496" s="63">
        <f t="shared" si="153"/>
        <v>0</v>
      </c>
      <c r="AB496" s="153" t="str">
        <f t="shared" si="154"/>
        <v>000</v>
      </c>
      <c r="AC496" s="165" t="str">
        <f t="shared" si="155"/>
        <v>00000000</v>
      </c>
      <c r="AD496" s="98" t="str">
        <f t="shared" si="156"/>
        <v>00000000</v>
      </c>
      <c r="AE496" s="150">
        <f t="shared" si="157"/>
        <v>0</v>
      </c>
      <c r="AF496" s="150">
        <f t="shared" si="158"/>
        <v>0</v>
      </c>
      <c r="AG496" s="98" t="str">
        <f t="shared" si="159"/>
        <v>0000000000</v>
      </c>
      <c r="AH496" s="151">
        <f t="shared" si="160"/>
        <v>0</v>
      </c>
      <c r="AI496" s="98" t="str">
        <f t="shared" si="161"/>
        <v>00</v>
      </c>
      <c r="AJ496" s="98" t="str">
        <f t="shared" si="162"/>
        <v>000000000000</v>
      </c>
      <c r="AK496" s="161" t="str">
        <f t="shared" si="163"/>
        <v xml:space="preserve">                              </v>
      </c>
      <c r="AL496" s="154">
        <f t="shared" si="164"/>
        <v>0</v>
      </c>
      <c r="AM496" s="155">
        <f t="shared" si="165"/>
        <v>0</v>
      </c>
      <c r="AP496" s="63" t="str">
        <f t="shared" si="166"/>
        <v/>
      </c>
      <c r="AQ496" s="63" t="str">
        <f t="shared" si="167"/>
        <v/>
      </c>
      <c r="AR496" s="152" t="str">
        <f t="shared" si="168"/>
        <v/>
      </c>
      <c r="AS496" s="109" t="str">
        <f t="shared" si="169"/>
        <v/>
      </c>
      <c r="AT496" s="63" t="str">
        <f t="shared" si="170"/>
        <v xml:space="preserve">                    </v>
      </c>
    </row>
    <row r="497" spans="1:46" ht="12.75" x14ac:dyDescent="0.2">
      <c r="A497" s="63" t="str">
        <f t="shared" si="152"/>
        <v/>
      </c>
      <c r="B497" s="185"/>
      <c r="C497" s="184"/>
      <c r="D497" s="184"/>
      <c r="E497" s="184"/>
      <c r="F497" s="184"/>
      <c r="G497" s="185"/>
      <c r="H497" s="185"/>
      <c r="I497" s="186"/>
      <c r="J497" s="69"/>
      <c r="AA497" s="63">
        <f t="shared" si="153"/>
        <v>0</v>
      </c>
      <c r="AB497" s="153" t="str">
        <f t="shared" si="154"/>
        <v>000</v>
      </c>
      <c r="AC497" s="165" t="str">
        <f t="shared" si="155"/>
        <v>00000000</v>
      </c>
      <c r="AD497" s="98" t="str">
        <f t="shared" si="156"/>
        <v>00000000</v>
      </c>
      <c r="AE497" s="150">
        <f t="shared" si="157"/>
        <v>0</v>
      </c>
      <c r="AF497" s="150">
        <f t="shared" si="158"/>
        <v>0</v>
      </c>
      <c r="AG497" s="98" t="str">
        <f t="shared" si="159"/>
        <v>0000000000</v>
      </c>
      <c r="AH497" s="151">
        <f t="shared" si="160"/>
        <v>0</v>
      </c>
      <c r="AI497" s="98" t="str">
        <f t="shared" si="161"/>
        <v>00</v>
      </c>
      <c r="AJ497" s="98" t="str">
        <f t="shared" si="162"/>
        <v>000000000000</v>
      </c>
      <c r="AK497" s="161" t="str">
        <f t="shared" si="163"/>
        <v xml:space="preserve">                              </v>
      </c>
      <c r="AL497" s="154">
        <f t="shared" si="164"/>
        <v>0</v>
      </c>
      <c r="AM497" s="155">
        <f t="shared" si="165"/>
        <v>0</v>
      </c>
      <c r="AP497" s="63" t="str">
        <f t="shared" si="166"/>
        <v/>
      </c>
      <c r="AQ497" s="63" t="str">
        <f t="shared" si="167"/>
        <v/>
      </c>
      <c r="AR497" s="152" t="str">
        <f t="shared" si="168"/>
        <v/>
      </c>
      <c r="AS497" s="109" t="str">
        <f t="shared" si="169"/>
        <v/>
      </c>
      <c r="AT497" s="63" t="str">
        <f t="shared" si="170"/>
        <v xml:space="preserve">                    </v>
      </c>
    </row>
    <row r="498" spans="1:46" ht="12.75" x14ac:dyDescent="0.2">
      <c r="A498" s="63" t="str">
        <f t="shared" si="152"/>
        <v/>
      </c>
      <c r="B498" s="185"/>
      <c r="C498" s="184"/>
      <c r="D498" s="184"/>
      <c r="E498" s="184"/>
      <c r="F498" s="184"/>
      <c r="G498" s="185"/>
      <c r="H498" s="185"/>
      <c r="I498" s="186"/>
      <c r="J498" s="69"/>
      <c r="AA498" s="63">
        <f t="shared" si="153"/>
        <v>0</v>
      </c>
      <c r="AB498" s="153" t="str">
        <f t="shared" si="154"/>
        <v>000</v>
      </c>
      <c r="AC498" s="165" t="str">
        <f t="shared" si="155"/>
        <v>00000000</v>
      </c>
      <c r="AD498" s="98" t="str">
        <f t="shared" si="156"/>
        <v>00000000</v>
      </c>
      <c r="AE498" s="150">
        <f t="shared" si="157"/>
        <v>0</v>
      </c>
      <c r="AF498" s="150">
        <f t="shared" si="158"/>
        <v>0</v>
      </c>
      <c r="AG498" s="98" t="str">
        <f t="shared" si="159"/>
        <v>0000000000</v>
      </c>
      <c r="AH498" s="151">
        <f t="shared" si="160"/>
        <v>0</v>
      </c>
      <c r="AI498" s="98" t="str">
        <f t="shared" si="161"/>
        <v>00</v>
      </c>
      <c r="AJ498" s="98" t="str">
        <f t="shared" si="162"/>
        <v>000000000000</v>
      </c>
      <c r="AK498" s="161" t="str">
        <f t="shared" si="163"/>
        <v xml:space="preserve">                              </v>
      </c>
      <c r="AL498" s="154">
        <f t="shared" si="164"/>
        <v>0</v>
      </c>
      <c r="AM498" s="155">
        <f t="shared" si="165"/>
        <v>0</v>
      </c>
      <c r="AP498" s="63" t="str">
        <f t="shared" si="166"/>
        <v/>
      </c>
      <c r="AQ498" s="63" t="str">
        <f t="shared" si="167"/>
        <v/>
      </c>
      <c r="AR498" s="152" t="str">
        <f t="shared" si="168"/>
        <v/>
      </c>
      <c r="AS498" s="109" t="str">
        <f t="shared" si="169"/>
        <v/>
      </c>
      <c r="AT498" s="63" t="str">
        <f t="shared" si="170"/>
        <v xml:space="preserve">                    </v>
      </c>
    </row>
    <row r="499" spans="1:46" ht="12.75" x14ac:dyDescent="0.2">
      <c r="A499" s="63" t="str">
        <f t="shared" si="152"/>
        <v/>
      </c>
      <c r="B499" s="185"/>
      <c r="C499" s="184"/>
      <c r="D499" s="184"/>
      <c r="E499" s="184"/>
      <c r="F499" s="184"/>
      <c r="G499" s="185"/>
      <c r="H499" s="185"/>
      <c r="I499" s="186"/>
      <c r="J499" s="69"/>
      <c r="AA499" s="63">
        <f t="shared" si="153"/>
        <v>0</v>
      </c>
      <c r="AB499" s="153" t="str">
        <f t="shared" si="154"/>
        <v>000</v>
      </c>
      <c r="AC499" s="165" t="str">
        <f t="shared" si="155"/>
        <v>00000000</v>
      </c>
      <c r="AD499" s="98" t="str">
        <f t="shared" si="156"/>
        <v>00000000</v>
      </c>
      <c r="AE499" s="150">
        <f t="shared" si="157"/>
        <v>0</v>
      </c>
      <c r="AF499" s="150">
        <f t="shared" si="158"/>
        <v>0</v>
      </c>
      <c r="AG499" s="98" t="str">
        <f t="shared" si="159"/>
        <v>0000000000</v>
      </c>
      <c r="AH499" s="151">
        <f t="shared" si="160"/>
        <v>0</v>
      </c>
      <c r="AI499" s="98" t="str">
        <f t="shared" si="161"/>
        <v>00</v>
      </c>
      <c r="AJ499" s="98" t="str">
        <f t="shared" si="162"/>
        <v>000000000000</v>
      </c>
      <c r="AK499" s="161" t="str">
        <f t="shared" si="163"/>
        <v xml:space="preserve">                              </v>
      </c>
      <c r="AL499" s="154">
        <f t="shared" si="164"/>
        <v>0</v>
      </c>
      <c r="AM499" s="155">
        <f t="shared" si="165"/>
        <v>0</v>
      </c>
      <c r="AP499" s="63" t="str">
        <f t="shared" si="166"/>
        <v/>
      </c>
      <c r="AQ499" s="63" t="str">
        <f t="shared" si="167"/>
        <v/>
      </c>
      <c r="AR499" s="152" t="str">
        <f t="shared" si="168"/>
        <v/>
      </c>
      <c r="AS499" s="109" t="str">
        <f t="shared" si="169"/>
        <v/>
      </c>
      <c r="AT499" s="63" t="str">
        <f t="shared" si="170"/>
        <v xml:space="preserve">                    </v>
      </c>
    </row>
    <row r="500" spans="1:46" ht="12.75" x14ac:dyDescent="0.2">
      <c r="A500" s="63" t="str">
        <f t="shared" si="152"/>
        <v/>
      </c>
      <c r="B500" s="185"/>
      <c r="C500" s="184"/>
      <c r="D500" s="184"/>
      <c r="E500" s="184"/>
      <c r="F500" s="184"/>
      <c r="G500" s="185"/>
      <c r="H500" s="185"/>
      <c r="I500" s="186"/>
      <c r="J500" s="69"/>
      <c r="AA500" s="63">
        <f t="shared" si="153"/>
        <v>0</v>
      </c>
      <c r="AB500" s="153" t="str">
        <f t="shared" si="154"/>
        <v>000</v>
      </c>
      <c r="AC500" s="165" t="str">
        <f t="shared" si="155"/>
        <v>00000000</v>
      </c>
      <c r="AD500" s="98" t="str">
        <f t="shared" si="156"/>
        <v>00000000</v>
      </c>
      <c r="AE500" s="150">
        <f t="shared" si="157"/>
        <v>0</v>
      </c>
      <c r="AF500" s="150">
        <f t="shared" si="158"/>
        <v>0</v>
      </c>
      <c r="AG500" s="98" t="str">
        <f t="shared" si="159"/>
        <v>0000000000</v>
      </c>
      <c r="AH500" s="151">
        <f t="shared" si="160"/>
        <v>0</v>
      </c>
      <c r="AI500" s="98" t="str">
        <f t="shared" si="161"/>
        <v>00</v>
      </c>
      <c r="AJ500" s="98" t="str">
        <f t="shared" si="162"/>
        <v>000000000000</v>
      </c>
      <c r="AK500" s="161" t="str">
        <f t="shared" si="163"/>
        <v xml:space="preserve">                              </v>
      </c>
      <c r="AL500" s="154">
        <f t="shared" si="164"/>
        <v>0</v>
      </c>
      <c r="AM500" s="155">
        <f t="shared" si="165"/>
        <v>0</v>
      </c>
      <c r="AP500" s="63" t="str">
        <f t="shared" si="166"/>
        <v/>
      </c>
      <c r="AQ500" s="63" t="str">
        <f t="shared" si="167"/>
        <v/>
      </c>
      <c r="AR500" s="152" t="str">
        <f t="shared" si="168"/>
        <v/>
      </c>
      <c r="AS500" s="109" t="str">
        <f t="shared" si="169"/>
        <v/>
      </c>
      <c r="AT500" s="63" t="str">
        <f t="shared" si="170"/>
        <v xml:space="preserve">                    </v>
      </c>
    </row>
    <row r="501" spans="1:46" ht="12.75" x14ac:dyDescent="0.2">
      <c r="A501" s="63" t="str">
        <f t="shared" si="152"/>
        <v/>
      </c>
      <c r="B501" s="185"/>
      <c r="C501" s="184"/>
      <c r="D501" s="184"/>
      <c r="E501" s="184"/>
      <c r="F501" s="184"/>
      <c r="G501" s="185"/>
      <c r="H501" s="185"/>
      <c r="I501" s="186"/>
      <c r="J501" s="69"/>
      <c r="AA501" s="63">
        <f t="shared" si="153"/>
        <v>0</v>
      </c>
      <c r="AB501" s="153" t="str">
        <f t="shared" si="154"/>
        <v>000</v>
      </c>
      <c r="AC501" s="165" t="str">
        <f t="shared" si="155"/>
        <v>00000000</v>
      </c>
      <c r="AD501" s="98" t="str">
        <f t="shared" si="156"/>
        <v>00000000</v>
      </c>
      <c r="AE501" s="150">
        <f t="shared" si="157"/>
        <v>0</v>
      </c>
      <c r="AF501" s="150">
        <f t="shared" si="158"/>
        <v>0</v>
      </c>
      <c r="AG501" s="98" t="str">
        <f t="shared" si="159"/>
        <v>0000000000</v>
      </c>
      <c r="AH501" s="151">
        <f t="shared" si="160"/>
        <v>0</v>
      </c>
      <c r="AI501" s="98" t="str">
        <f t="shared" si="161"/>
        <v>00</v>
      </c>
      <c r="AJ501" s="98" t="str">
        <f t="shared" si="162"/>
        <v>000000000000</v>
      </c>
      <c r="AK501" s="161" t="str">
        <f t="shared" si="163"/>
        <v xml:space="preserve">                              </v>
      </c>
      <c r="AL501" s="154">
        <f t="shared" si="164"/>
        <v>0</v>
      </c>
      <c r="AM501" s="155">
        <f t="shared" si="165"/>
        <v>0</v>
      </c>
      <c r="AP501" s="63" t="str">
        <f t="shared" si="166"/>
        <v/>
      </c>
      <c r="AQ501" s="63" t="str">
        <f t="shared" si="167"/>
        <v/>
      </c>
      <c r="AR501" s="152" t="str">
        <f t="shared" si="168"/>
        <v/>
      </c>
      <c r="AS501" s="109" t="str">
        <f t="shared" si="169"/>
        <v/>
      </c>
      <c r="AT501" s="63" t="str">
        <f t="shared" si="170"/>
        <v xml:space="preserve">                    </v>
      </c>
    </row>
    <row r="502" spans="1:46" ht="12.75" x14ac:dyDescent="0.2">
      <c r="A502" s="63" t="str">
        <f t="shared" si="152"/>
        <v/>
      </c>
      <c r="B502" s="185"/>
      <c r="C502" s="184"/>
      <c r="D502" s="184"/>
      <c r="E502" s="184"/>
      <c r="F502" s="184"/>
      <c r="G502" s="185"/>
      <c r="H502" s="185"/>
      <c r="I502" s="186"/>
      <c r="J502" s="69"/>
      <c r="AA502" s="63">
        <f t="shared" si="153"/>
        <v>0</v>
      </c>
      <c r="AB502" s="153" t="str">
        <f t="shared" si="154"/>
        <v>000</v>
      </c>
      <c r="AC502" s="165" t="str">
        <f t="shared" si="155"/>
        <v>00000000</v>
      </c>
      <c r="AD502" s="98" t="str">
        <f t="shared" si="156"/>
        <v>00000000</v>
      </c>
      <c r="AE502" s="150">
        <f t="shared" si="157"/>
        <v>0</v>
      </c>
      <c r="AF502" s="150">
        <f t="shared" si="158"/>
        <v>0</v>
      </c>
      <c r="AG502" s="98" t="str">
        <f t="shared" si="159"/>
        <v>0000000000</v>
      </c>
      <c r="AH502" s="151">
        <f t="shared" si="160"/>
        <v>0</v>
      </c>
      <c r="AI502" s="98" t="str">
        <f t="shared" si="161"/>
        <v>00</v>
      </c>
      <c r="AJ502" s="98" t="str">
        <f t="shared" si="162"/>
        <v>000000000000</v>
      </c>
      <c r="AK502" s="161" t="str">
        <f t="shared" si="163"/>
        <v xml:space="preserve">                              </v>
      </c>
      <c r="AL502" s="154">
        <f t="shared" si="164"/>
        <v>0</v>
      </c>
      <c r="AM502" s="155">
        <f t="shared" si="165"/>
        <v>0</v>
      </c>
      <c r="AP502" s="63" t="str">
        <f t="shared" si="166"/>
        <v/>
      </c>
      <c r="AQ502" s="63" t="str">
        <f t="shared" si="167"/>
        <v/>
      </c>
      <c r="AR502" s="152" t="str">
        <f t="shared" si="168"/>
        <v/>
      </c>
      <c r="AS502" s="109" t="str">
        <f t="shared" si="169"/>
        <v/>
      </c>
      <c r="AT502" s="63" t="str">
        <f t="shared" si="170"/>
        <v xml:space="preserve">                    </v>
      </c>
    </row>
    <row r="503" spans="1:46" ht="12.75" x14ac:dyDescent="0.2">
      <c r="A503" s="63" t="str">
        <f t="shared" si="152"/>
        <v/>
      </c>
      <c r="B503" s="185"/>
      <c r="C503" s="184"/>
      <c r="D503" s="184"/>
      <c r="E503" s="184"/>
      <c r="F503" s="184"/>
      <c r="G503" s="185"/>
      <c r="H503" s="185"/>
      <c r="I503" s="186"/>
      <c r="J503" s="69"/>
      <c r="AA503" s="63">
        <f t="shared" si="153"/>
        <v>0</v>
      </c>
      <c r="AB503" s="153" t="str">
        <f t="shared" si="154"/>
        <v>000</v>
      </c>
      <c r="AC503" s="165" t="str">
        <f t="shared" si="155"/>
        <v>00000000</v>
      </c>
      <c r="AD503" s="98" t="str">
        <f t="shared" si="156"/>
        <v>00000000</v>
      </c>
      <c r="AE503" s="150">
        <f t="shared" si="157"/>
        <v>0</v>
      </c>
      <c r="AF503" s="150">
        <f t="shared" si="158"/>
        <v>0</v>
      </c>
      <c r="AG503" s="98" t="str">
        <f t="shared" si="159"/>
        <v>0000000000</v>
      </c>
      <c r="AH503" s="151">
        <f t="shared" si="160"/>
        <v>0</v>
      </c>
      <c r="AI503" s="98" t="str">
        <f t="shared" si="161"/>
        <v>00</v>
      </c>
      <c r="AJ503" s="98" t="str">
        <f t="shared" si="162"/>
        <v>000000000000</v>
      </c>
      <c r="AK503" s="161" t="str">
        <f t="shared" si="163"/>
        <v xml:space="preserve">                              </v>
      </c>
      <c r="AL503" s="154">
        <f t="shared" si="164"/>
        <v>0</v>
      </c>
      <c r="AM503" s="155">
        <f t="shared" si="165"/>
        <v>0</v>
      </c>
      <c r="AP503" s="63" t="str">
        <f t="shared" si="166"/>
        <v/>
      </c>
      <c r="AQ503" s="63" t="str">
        <f t="shared" si="167"/>
        <v/>
      </c>
      <c r="AR503" s="152" t="str">
        <f t="shared" si="168"/>
        <v/>
      </c>
      <c r="AS503" s="109" t="str">
        <f t="shared" si="169"/>
        <v/>
      </c>
      <c r="AT503" s="63" t="str">
        <f t="shared" si="170"/>
        <v xml:space="preserve">                    </v>
      </c>
    </row>
    <row r="504" spans="1:46" ht="12.75" x14ac:dyDescent="0.2">
      <c r="A504" s="63" t="str">
        <f t="shared" si="152"/>
        <v/>
      </c>
      <c r="B504" s="185"/>
      <c r="C504" s="184"/>
      <c r="D504" s="184"/>
      <c r="E504" s="184"/>
      <c r="F504" s="184"/>
      <c r="G504" s="185"/>
      <c r="H504" s="185"/>
      <c r="I504" s="186"/>
      <c r="J504" s="69"/>
      <c r="AA504" s="63">
        <f t="shared" si="153"/>
        <v>0</v>
      </c>
      <c r="AB504" s="153" t="str">
        <f t="shared" si="154"/>
        <v>000</v>
      </c>
      <c r="AC504" s="165" t="str">
        <f t="shared" si="155"/>
        <v>00000000</v>
      </c>
      <c r="AD504" s="98" t="str">
        <f t="shared" si="156"/>
        <v>00000000</v>
      </c>
      <c r="AE504" s="150">
        <f t="shared" si="157"/>
        <v>0</v>
      </c>
      <c r="AF504" s="150">
        <f t="shared" si="158"/>
        <v>0</v>
      </c>
      <c r="AG504" s="98" t="str">
        <f t="shared" si="159"/>
        <v>0000000000</v>
      </c>
      <c r="AH504" s="151">
        <f t="shared" si="160"/>
        <v>0</v>
      </c>
      <c r="AI504" s="98" t="str">
        <f t="shared" si="161"/>
        <v>00</v>
      </c>
      <c r="AJ504" s="98" t="str">
        <f t="shared" si="162"/>
        <v>000000000000</v>
      </c>
      <c r="AK504" s="161" t="str">
        <f t="shared" si="163"/>
        <v xml:space="preserve">                              </v>
      </c>
      <c r="AL504" s="154">
        <f t="shared" si="164"/>
        <v>0</v>
      </c>
      <c r="AM504" s="155">
        <f t="shared" si="165"/>
        <v>0</v>
      </c>
      <c r="AP504" s="63" t="str">
        <f t="shared" si="166"/>
        <v/>
      </c>
      <c r="AQ504" s="63" t="str">
        <f t="shared" si="167"/>
        <v/>
      </c>
      <c r="AR504" s="152" t="str">
        <f t="shared" si="168"/>
        <v/>
      </c>
      <c r="AS504" s="109" t="str">
        <f t="shared" si="169"/>
        <v/>
      </c>
      <c r="AT504" s="63" t="str">
        <f t="shared" si="170"/>
        <v xml:space="preserve">                    </v>
      </c>
    </row>
    <row r="505" spans="1:46" ht="12.75" x14ac:dyDescent="0.2">
      <c r="A505" s="63" t="str">
        <f t="shared" si="152"/>
        <v/>
      </c>
      <c r="B505" s="185"/>
      <c r="C505" s="184"/>
      <c r="D505" s="184"/>
      <c r="E505" s="184"/>
      <c r="F505" s="184"/>
      <c r="G505" s="185"/>
      <c r="H505" s="185"/>
      <c r="I505" s="186"/>
      <c r="J505" s="69"/>
      <c r="AA505" s="63">
        <f t="shared" si="153"/>
        <v>0</v>
      </c>
      <c r="AB505" s="153" t="str">
        <f t="shared" si="154"/>
        <v>000</v>
      </c>
      <c r="AC505" s="165" t="str">
        <f t="shared" si="155"/>
        <v>00000000</v>
      </c>
      <c r="AD505" s="98" t="str">
        <f t="shared" si="156"/>
        <v>00000000</v>
      </c>
      <c r="AE505" s="150">
        <f t="shared" si="157"/>
        <v>0</v>
      </c>
      <c r="AF505" s="150">
        <f t="shared" si="158"/>
        <v>0</v>
      </c>
      <c r="AG505" s="98" t="str">
        <f t="shared" si="159"/>
        <v>0000000000</v>
      </c>
      <c r="AH505" s="151">
        <f t="shared" si="160"/>
        <v>0</v>
      </c>
      <c r="AI505" s="98" t="str">
        <f t="shared" si="161"/>
        <v>00</v>
      </c>
      <c r="AJ505" s="98" t="str">
        <f t="shared" si="162"/>
        <v>000000000000</v>
      </c>
      <c r="AK505" s="161" t="str">
        <f t="shared" si="163"/>
        <v xml:space="preserve">                              </v>
      </c>
      <c r="AL505" s="154">
        <f t="shared" si="164"/>
        <v>0</v>
      </c>
      <c r="AM505" s="155">
        <f t="shared" si="165"/>
        <v>0</v>
      </c>
      <c r="AP505" s="63" t="str">
        <f t="shared" si="166"/>
        <v/>
      </c>
      <c r="AQ505" s="63" t="str">
        <f t="shared" si="167"/>
        <v/>
      </c>
      <c r="AR505" s="152" t="str">
        <f t="shared" si="168"/>
        <v/>
      </c>
      <c r="AS505" s="109" t="str">
        <f t="shared" si="169"/>
        <v/>
      </c>
      <c r="AT505" s="63" t="str">
        <f t="shared" si="170"/>
        <v xml:space="preserve">                    </v>
      </c>
    </row>
    <row r="506" spans="1:46" ht="12.75" x14ac:dyDescent="0.2">
      <c r="A506" s="63" t="str">
        <f t="shared" si="152"/>
        <v/>
      </c>
      <c r="B506" s="185"/>
      <c r="C506" s="184"/>
      <c r="D506" s="184"/>
      <c r="E506" s="184"/>
      <c r="F506" s="184"/>
      <c r="G506" s="185"/>
      <c r="H506" s="185"/>
      <c r="I506" s="186"/>
      <c r="J506" s="69"/>
      <c r="AA506" s="63">
        <f t="shared" si="153"/>
        <v>0</v>
      </c>
      <c r="AB506" s="153" t="str">
        <f t="shared" si="154"/>
        <v>000</v>
      </c>
      <c r="AC506" s="165" t="str">
        <f t="shared" si="155"/>
        <v>00000000</v>
      </c>
      <c r="AD506" s="98" t="str">
        <f t="shared" si="156"/>
        <v>00000000</v>
      </c>
      <c r="AE506" s="150">
        <f t="shared" si="157"/>
        <v>0</v>
      </c>
      <c r="AF506" s="150">
        <f t="shared" si="158"/>
        <v>0</v>
      </c>
      <c r="AG506" s="98" t="str">
        <f t="shared" si="159"/>
        <v>0000000000</v>
      </c>
      <c r="AH506" s="151">
        <f t="shared" si="160"/>
        <v>0</v>
      </c>
      <c r="AI506" s="98" t="str">
        <f t="shared" si="161"/>
        <v>00</v>
      </c>
      <c r="AJ506" s="98" t="str">
        <f t="shared" si="162"/>
        <v>000000000000</v>
      </c>
      <c r="AK506" s="161" t="str">
        <f t="shared" si="163"/>
        <v xml:space="preserve">                              </v>
      </c>
      <c r="AL506" s="154">
        <f t="shared" si="164"/>
        <v>0</v>
      </c>
      <c r="AM506" s="155">
        <f t="shared" si="165"/>
        <v>0</v>
      </c>
      <c r="AP506" s="63" t="str">
        <f t="shared" si="166"/>
        <v/>
      </c>
      <c r="AQ506" s="63" t="str">
        <f t="shared" si="167"/>
        <v/>
      </c>
      <c r="AR506" s="152" t="str">
        <f t="shared" si="168"/>
        <v/>
      </c>
      <c r="AS506" s="109" t="str">
        <f t="shared" si="169"/>
        <v/>
      </c>
      <c r="AT506" s="63" t="str">
        <f t="shared" si="170"/>
        <v xml:space="preserve">                    </v>
      </c>
    </row>
    <row r="507" spans="1:46" ht="12.75" x14ac:dyDescent="0.2">
      <c r="A507" s="63" t="str">
        <f t="shared" si="152"/>
        <v/>
      </c>
      <c r="B507" s="185"/>
      <c r="C507" s="184"/>
      <c r="D507" s="184"/>
      <c r="E507" s="184"/>
      <c r="F507" s="184"/>
      <c r="G507" s="185"/>
      <c r="H507" s="185"/>
      <c r="I507" s="186"/>
      <c r="J507" s="69"/>
      <c r="AA507" s="63">
        <f t="shared" si="153"/>
        <v>0</v>
      </c>
      <c r="AB507" s="153" t="str">
        <f t="shared" si="154"/>
        <v>000</v>
      </c>
      <c r="AC507" s="165" t="str">
        <f t="shared" si="155"/>
        <v>00000000</v>
      </c>
      <c r="AD507" s="98" t="str">
        <f t="shared" si="156"/>
        <v>00000000</v>
      </c>
      <c r="AE507" s="150">
        <f t="shared" si="157"/>
        <v>0</v>
      </c>
      <c r="AF507" s="150">
        <f t="shared" si="158"/>
        <v>0</v>
      </c>
      <c r="AG507" s="98" t="str">
        <f t="shared" si="159"/>
        <v>0000000000</v>
      </c>
      <c r="AH507" s="151">
        <f t="shared" si="160"/>
        <v>0</v>
      </c>
      <c r="AI507" s="98" t="str">
        <f t="shared" si="161"/>
        <v>00</v>
      </c>
      <c r="AJ507" s="98" t="str">
        <f t="shared" si="162"/>
        <v>000000000000</v>
      </c>
      <c r="AK507" s="161" t="str">
        <f t="shared" si="163"/>
        <v xml:space="preserve">                              </v>
      </c>
      <c r="AL507" s="154">
        <f t="shared" si="164"/>
        <v>0</v>
      </c>
      <c r="AM507" s="155">
        <f t="shared" si="165"/>
        <v>0</v>
      </c>
      <c r="AP507" s="63" t="str">
        <f t="shared" si="166"/>
        <v/>
      </c>
      <c r="AQ507" s="63" t="str">
        <f t="shared" si="167"/>
        <v/>
      </c>
      <c r="AR507" s="152" t="str">
        <f t="shared" si="168"/>
        <v/>
      </c>
      <c r="AS507" s="109" t="str">
        <f t="shared" si="169"/>
        <v/>
      </c>
      <c r="AT507" s="63" t="str">
        <f t="shared" si="170"/>
        <v xml:space="preserve">                    </v>
      </c>
    </row>
    <row r="508" spans="1:46" ht="12.75" x14ac:dyDescent="0.2">
      <c r="A508" s="63" t="str">
        <f t="shared" si="152"/>
        <v/>
      </c>
      <c r="B508" s="185"/>
      <c r="C508" s="184"/>
      <c r="D508" s="184"/>
      <c r="E508" s="184"/>
      <c r="F508" s="184"/>
      <c r="G508" s="185"/>
      <c r="H508" s="185"/>
      <c r="I508" s="186"/>
      <c r="J508" s="69"/>
      <c r="AA508" s="63">
        <f t="shared" si="153"/>
        <v>0</v>
      </c>
      <c r="AB508" s="153" t="str">
        <f t="shared" si="154"/>
        <v>000</v>
      </c>
      <c r="AC508" s="165" t="str">
        <f t="shared" si="155"/>
        <v>00000000</v>
      </c>
      <c r="AD508" s="98" t="str">
        <f t="shared" si="156"/>
        <v>00000000</v>
      </c>
      <c r="AE508" s="150">
        <f t="shared" si="157"/>
        <v>0</v>
      </c>
      <c r="AF508" s="150">
        <f t="shared" si="158"/>
        <v>0</v>
      </c>
      <c r="AG508" s="98" t="str">
        <f t="shared" si="159"/>
        <v>0000000000</v>
      </c>
      <c r="AH508" s="151">
        <f t="shared" si="160"/>
        <v>0</v>
      </c>
      <c r="AI508" s="98" t="str">
        <f t="shared" si="161"/>
        <v>00</v>
      </c>
      <c r="AJ508" s="98" t="str">
        <f t="shared" si="162"/>
        <v>000000000000</v>
      </c>
      <c r="AK508" s="161" t="str">
        <f t="shared" si="163"/>
        <v xml:space="preserve">                              </v>
      </c>
      <c r="AL508" s="154">
        <f t="shared" si="164"/>
        <v>0</v>
      </c>
      <c r="AM508" s="155">
        <f t="shared" si="165"/>
        <v>0</v>
      </c>
      <c r="AP508" s="63" t="str">
        <f t="shared" si="166"/>
        <v/>
      </c>
      <c r="AQ508" s="63" t="str">
        <f t="shared" si="167"/>
        <v/>
      </c>
      <c r="AR508" s="152" t="str">
        <f t="shared" si="168"/>
        <v/>
      </c>
      <c r="AS508" s="109" t="str">
        <f t="shared" si="169"/>
        <v/>
      </c>
      <c r="AT508" s="63" t="str">
        <f t="shared" si="170"/>
        <v xml:space="preserve">                    </v>
      </c>
    </row>
    <row r="509" spans="1:46" ht="12.75" x14ac:dyDescent="0.2">
      <c r="A509" s="63" t="str">
        <f t="shared" si="152"/>
        <v/>
      </c>
      <c r="B509" s="185"/>
      <c r="C509" s="184"/>
      <c r="D509" s="184"/>
      <c r="E509" s="184"/>
      <c r="F509" s="184"/>
      <c r="G509" s="185"/>
      <c r="H509" s="185"/>
      <c r="I509" s="186"/>
      <c r="J509" s="69"/>
      <c r="AA509" s="63">
        <f t="shared" si="153"/>
        <v>0</v>
      </c>
      <c r="AB509" s="153" t="str">
        <f t="shared" si="154"/>
        <v>000</v>
      </c>
      <c r="AC509" s="165" t="str">
        <f t="shared" si="155"/>
        <v>00000000</v>
      </c>
      <c r="AD509" s="98" t="str">
        <f t="shared" si="156"/>
        <v>00000000</v>
      </c>
      <c r="AE509" s="150">
        <f t="shared" si="157"/>
        <v>0</v>
      </c>
      <c r="AF509" s="150">
        <f t="shared" si="158"/>
        <v>0</v>
      </c>
      <c r="AG509" s="98" t="str">
        <f t="shared" si="159"/>
        <v>0000000000</v>
      </c>
      <c r="AH509" s="151">
        <f t="shared" si="160"/>
        <v>0</v>
      </c>
      <c r="AI509" s="98" t="str">
        <f t="shared" si="161"/>
        <v>00</v>
      </c>
      <c r="AJ509" s="98" t="str">
        <f t="shared" si="162"/>
        <v>000000000000</v>
      </c>
      <c r="AK509" s="161" t="str">
        <f t="shared" si="163"/>
        <v xml:space="preserve">                              </v>
      </c>
      <c r="AL509" s="154">
        <f t="shared" si="164"/>
        <v>0</v>
      </c>
      <c r="AM509" s="155">
        <f t="shared" si="165"/>
        <v>0</v>
      </c>
      <c r="AP509" s="63" t="str">
        <f t="shared" si="166"/>
        <v/>
      </c>
      <c r="AQ509" s="63" t="str">
        <f t="shared" si="167"/>
        <v/>
      </c>
      <c r="AR509" s="152" t="str">
        <f t="shared" si="168"/>
        <v/>
      </c>
      <c r="AS509" s="109" t="str">
        <f t="shared" si="169"/>
        <v/>
      </c>
      <c r="AT509" s="63" t="str">
        <f t="shared" si="170"/>
        <v xml:space="preserve">                    </v>
      </c>
    </row>
    <row r="510" spans="1:46" ht="12.75" x14ac:dyDescent="0.2">
      <c r="A510" s="63" t="str">
        <f t="shared" si="152"/>
        <v/>
      </c>
      <c r="B510" s="185"/>
      <c r="C510" s="184"/>
      <c r="D510" s="184"/>
      <c r="E510" s="184"/>
      <c r="F510" s="184"/>
      <c r="G510" s="185"/>
      <c r="H510" s="185"/>
      <c r="I510" s="186"/>
      <c r="J510" s="69"/>
      <c r="AA510" s="63">
        <f t="shared" si="153"/>
        <v>0</v>
      </c>
      <c r="AB510" s="153" t="str">
        <f t="shared" si="154"/>
        <v>000</v>
      </c>
      <c r="AC510" s="165" t="str">
        <f t="shared" si="155"/>
        <v>00000000</v>
      </c>
      <c r="AD510" s="98" t="str">
        <f t="shared" si="156"/>
        <v>00000000</v>
      </c>
      <c r="AE510" s="150">
        <f t="shared" si="157"/>
        <v>0</v>
      </c>
      <c r="AF510" s="150">
        <f t="shared" si="158"/>
        <v>0</v>
      </c>
      <c r="AG510" s="98" t="str">
        <f t="shared" si="159"/>
        <v>0000000000</v>
      </c>
      <c r="AH510" s="151">
        <f t="shared" si="160"/>
        <v>0</v>
      </c>
      <c r="AI510" s="98" t="str">
        <f t="shared" si="161"/>
        <v>00</v>
      </c>
      <c r="AJ510" s="98" t="str">
        <f t="shared" si="162"/>
        <v>000000000000</v>
      </c>
      <c r="AK510" s="161" t="str">
        <f t="shared" si="163"/>
        <v xml:space="preserve">                              </v>
      </c>
      <c r="AL510" s="154">
        <f t="shared" si="164"/>
        <v>0</v>
      </c>
      <c r="AM510" s="155">
        <f t="shared" si="165"/>
        <v>0</v>
      </c>
      <c r="AP510" s="63" t="str">
        <f t="shared" si="166"/>
        <v/>
      </c>
      <c r="AQ510" s="63" t="str">
        <f t="shared" si="167"/>
        <v/>
      </c>
      <c r="AR510" s="152" t="str">
        <f t="shared" si="168"/>
        <v/>
      </c>
      <c r="AS510" s="109" t="str">
        <f t="shared" si="169"/>
        <v/>
      </c>
      <c r="AT510" s="63" t="str">
        <f t="shared" si="170"/>
        <v xml:space="preserve">                    </v>
      </c>
    </row>
    <row r="511" spans="1:46" ht="12.75" x14ac:dyDescent="0.2">
      <c r="A511" s="63" t="str">
        <f t="shared" si="152"/>
        <v/>
      </c>
      <c r="B511" s="185"/>
      <c r="C511" s="184"/>
      <c r="D511" s="184"/>
      <c r="E511" s="184"/>
      <c r="F511" s="184"/>
      <c r="G511" s="185"/>
      <c r="H511" s="185"/>
      <c r="I511" s="186"/>
      <c r="J511" s="69"/>
      <c r="AA511" s="63">
        <f t="shared" si="153"/>
        <v>0</v>
      </c>
      <c r="AB511" s="153" t="str">
        <f t="shared" si="154"/>
        <v>000</v>
      </c>
      <c r="AC511" s="165" t="str">
        <f t="shared" si="155"/>
        <v>00000000</v>
      </c>
      <c r="AD511" s="98" t="str">
        <f t="shared" si="156"/>
        <v>00000000</v>
      </c>
      <c r="AE511" s="150">
        <f t="shared" si="157"/>
        <v>0</v>
      </c>
      <c r="AF511" s="150">
        <f t="shared" si="158"/>
        <v>0</v>
      </c>
      <c r="AG511" s="98" t="str">
        <f t="shared" si="159"/>
        <v>0000000000</v>
      </c>
      <c r="AH511" s="151">
        <f t="shared" si="160"/>
        <v>0</v>
      </c>
      <c r="AI511" s="98" t="str">
        <f t="shared" si="161"/>
        <v>00</v>
      </c>
      <c r="AJ511" s="98" t="str">
        <f t="shared" si="162"/>
        <v>000000000000</v>
      </c>
      <c r="AK511" s="161" t="str">
        <f t="shared" si="163"/>
        <v xml:space="preserve">                              </v>
      </c>
      <c r="AL511" s="154">
        <f t="shared" si="164"/>
        <v>0</v>
      </c>
      <c r="AM511" s="155">
        <f t="shared" si="165"/>
        <v>0</v>
      </c>
      <c r="AP511" s="63" t="str">
        <f t="shared" si="166"/>
        <v/>
      </c>
      <c r="AQ511" s="63" t="str">
        <f t="shared" si="167"/>
        <v/>
      </c>
      <c r="AR511" s="152" t="str">
        <f t="shared" si="168"/>
        <v/>
      </c>
      <c r="AS511" s="109" t="str">
        <f t="shared" si="169"/>
        <v/>
      </c>
      <c r="AT511" s="63" t="str">
        <f t="shared" si="170"/>
        <v xml:space="preserve">                    </v>
      </c>
    </row>
    <row r="512" spans="1:46" ht="12.75" x14ac:dyDescent="0.2">
      <c r="A512" s="63" t="str">
        <f t="shared" si="152"/>
        <v/>
      </c>
      <c r="B512" s="185"/>
      <c r="C512" s="184"/>
      <c r="D512" s="184"/>
      <c r="E512" s="184"/>
      <c r="F512" s="184"/>
      <c r="G512" s="185"/>
      <c r="H512" s="185"/>
      <c r="I512" s="186"/>
      <c r="J512" s="69"/>
      <c r="AA512" s="63">
        <f t="shared" si="153"/>
        <v>0</v>
      </c>
      <c r="AB512" s="153" t="str">
        <f t="shared" si="154"/>
        <v>000</v>
      </c>
      <c r="AC512" s="165" t="str">
        <f t="shared" si="155"/>
        <v>00000000</v>
      </c>
      <c r="AD512" s="98" t="str">
        <f t="shared" si="156"/>
        <v>00000000</v>
      </c>
      <c r="AE512" s="150">
        <f t="shared" si="157"/>
        <v>0</v>
      </c>
      <c r="AF512" s="150">
        <f t="shared" si="158"/>
        <v>0</v>
      </c>
      <c r="AG512" s="98" t="str">
        <f t="shared" si="159"/>
        <v>0000000000</v>
      </c>
      <c r="AH512" s="151">
        <f t="shared" si="160"/>
        <v>0</v>
      </c>
      <c r="AI512" s="98" t="str">
        <f t="shared" si="161"/>
        <v>00</v>
      </c>
      <c r="AJ512" s="98" t="str">
        <f t="shared" si="162"/>
        <v>000000000000</v>
      </c>
      <c r="AK512" s="161" t="str">
        <f t="shared" si="163"/>
        <v xml:space="preserve">                              </v>
      </c>
      <c r="AL512" s="154">
        <f t="shared" si="164"/>
        <v>0</v>
      </c>
      <c r="AM512" s="155">
        <f t="shared" si="165"/>
        <v>0</v>
      </c>
      <c r="AP512" s="63" t="str">
        <f t="shared" si="166"/>
        <v/>
      </c>
      <c r="AQ512" s="63" t="str">
        <f t="shared" si="167"/>
        <v/>
      </c>
      <c r="AR512" s="152" t="str">
        <f t="shared" si="168"/>
        <v/>
      </c>
      <c r="AS512" s="109" t="str">
        <f t="shared" si="169"/>
        <v/>
      </c>
      <c r="AT512" s="63" t="str">
        <f t="shared" si="170"/>
        <v xml:space="preserve">                    </v>
      </c>
    </row>
    <row r="513" spans="1:46" ht="12.75" x14ac:dyDescent="0.2">
      <c r="A513" s="63" t="str">
        <f t="shared" si="152"/>
        <v/>
      </c>
      <c r="B513" s="185"/>
      <c r="C513" s="184"/>
      <c r="D513" s="184"/>
      <c r="E513" s="184"/>
      <c r="F513" s="184"/>
      <c r="G513" s="185"/>
      <c r="H513" s="185"/>
      <c r="I513" s="186"/>
      <c r="J513" s="69"/>
      <c r="AA513" s="63">
        <f t="shared" si="153"/>
        <v>0</v>
      </c>
      <c r="AB513" s="153" t="str">
        <f t="shared" si="154"/>
        <v>000</v>
      </c>
      <c r="AC513" s="165" t="str">
        <f t="shared" si="155"/>
        <v>00000000</v>
      </c>
      <c r="AD513" s="98" t="str">
        <f t="shared" si="156"/>
        <v>00000000</v>
      </c>
      <c r="AE513" s="150">
        <f t="shared" si="157"/>
        <v>0</v>
      </c>
      <c r="AF513" s="150">
        <f t="shared" si="158"/>
        <v>0</v>
      </c>
      <c r="AG513" s="98" t="str">
        <f t="shared" si="159"/>
        <v>0000000000</v>
      </c>
      <c r="AH513" s="151">
        <f t="shared" si="160"/>
        <v>0</v>
      </c>
      <c r="AI513" s="98" t="str">
        <f t="shared" si="161"/>
        <v>00</v>
      </c>
      <c r="AJ513" s="98" t="str">
        <f t="shared" si="162"/>
        <v>000000000000</v>
      </c>
      <c r="AK513" s="161" t="str">
        <f t="shared" si="163"/>
        <v xml:space="preserve">                              </v>
      </c>
      <c r="AL513" s="154">
        <f t="shared" si="164"/>
        <v>0</v>
      </c>
      <c r="AM513" s="155">
        <f t="shared" si="165"/>
        <v>0</v>
      </c>
      <c r="AP513" s="63" t="str">
        <f t="shared" si="166"/>
        <v/>
      </c>
      <c r="AQ513" s="63" t="str">
        <f t="shared" si="167"/>
        <v/>
      </c>
      <c r="AR513" s="152" t="str">
        <f t="shared" si="168"/>
        <v/>
      </c>
      <c r="AS513" s="109" t="str">
        <f t="shared" si="169"/>
        <v/>
      </c>
      <c r="AT513" s="63" t="str">
        <f t="shared" si="170"/>
        <v xml:space="preserve">                    </v>
      </c>
    </row>
    <row r="514" spans="1:46" ht="12.75" x14ac:dyDescent="0.2">
      <c r="A514" s="63" t="str">
        <f t="shared" si="152"/>
        <v/>
      </c>
      <c r="B514" s="185"/>
      <c r="C514" s="184"/>
      <c r="D514" s="184"/>
      <c r="E514" s="184"/>
      <c r="F514" s="184"/>
      <c r="G514" s="185"/>
      <c r="H514" s="185"/>
      <c r="I514" s="186"/>
      <c r="J514" s="69"/>
      <c r="AA514" s="63">
        <f t="shared" si="153"/>
        <v>0</v>
      </c>
      <c r="AB514" s="153" t="str">
        <f t="shared" si="154"/>
        <v>000</v>
      </c>
      <c r="AC514" s="165" t="str">
        <f t="shared" si="155"/>
        <v>00000000</v>
      </c>
      <c r="AD514" s="98" t="str">
        <f t="shared" si="156"/>
        <v>00000000</v>
      </c>
      <c r="AE514" s="150">
        <f t="shared" si="157"/>
        <v>0</v>
      </c>
      <c r="AF514" s="150">
        <f t="shared" si="158"/>
        <v>0</v>
      </c>
      <c r="AG514" s="98" t="str">
        <f t="shared" si="159"/>
        <v>0000000000</v>
      </c>
      <c r="AH514" s="151">
        <f t="shared" si="160"/>
        <v>0</v>
      </c>
      <c r="AI514" s="98" t="str">
        <f t="shared" si="161"/>
        <v>00</v>
      </c>
      <c r="AJ514" s="98" t="str">
        <f t="shared" si="162"/>
        <v>000000000000</v>
      </c>
      <c r="AK514" s="161" t="str">
        <f t="shared" si="163"/>
        <v xml:space="preserve">                              </v>
      </c>
      <c r="AL514" s="154">
        <f t="shared" si="164"/>
        <v>0</v>
      </c>
      <c r="AM514" s="155">
        <f t="shared" si="165"/>
        <v>0</v>
      </c>
      <c r="AP514" s="63" t="str">
        <f t="shared" si="166"/>
        <v/>
      </c>
      <c r="AQ514" s="63" t="str">
        <f t="shared" si="167"/>
        <v/>
      </c>
      <c r="AR514" s="152" t="str">
        <f t="shared" si="168"/>
        <v/>
      </c>
      <c r="AS514" s="109" t="str">
        <f t="shared" si="169"/>
        <v/>
      </c>
      <c r="AT514" s="63" t="str">
        <f t="shared" si="170"/>
        <v xml:space="preserve">                    </v>
      </c>
    </row>
    <row r="515" spans="1:46" ht="12.75" x14ac:dyDescent="0.2">
      <c r="A515" s="63" t="str">
        <f t="shared" si="152"/>
        <v/>
      </c>
      <c r="B515" s="185"/>
      <c r="C515" s="184"/>
      <c r="D515" s="184"/>
      <c r="E515" s="184"/>
      <c r="F515" s="184"/>
      <c r="G515" s="185"/>
      <c r="H515" s="185"/>
      <c r="I515" s="186"/>
      <c r="J515" s="69"/>
      <c r="AA515" s="63">
        <f t="shared" si="153"/>
        <v>0</v>
      </c>
      <c r="AB515" s="153" t="str">
        <f t="shared" si="154"/>
        <v>000</v>
      </c>
      <c r="AC515" s="165" t="str">
        <f t="shared" si="155"/>
        <v>00000000</v>
      </c>
      <c r="AD515" s="98" t="str">
        <f t="shared" si="156"/>
        <v>00000000</v>
      </c>
      <c r="AE515" s="150">
        <f t="shared" si="157"/>
        <v>0</v>
      </c>
      <c r="AF515" s="150">
        <f t="shared" si="158"/>
        <v>0</v>
      </c>
      <c r="AG515" s="98" t="str">
        <f t="shared" si="159"/>
        <v>0000000000</v>
      </c>
      <c r="AH515" s="151">
        <f t="shared" si="160"/>
        <v>0</v>
      </c>
      <c r="AI515" s="98" t="str">
        <f t="shared" si="161"/>
        <v>00</v>
      </c>
      <c r="AJ515" s="98" t="str">
        <f t="shared" si="162"/>
        <v>000000000000</v>
      </c>
      <c r="AK515" s="161" t="str">
        <f t="shared" si="163"/>
        <v xml:space="preserve">                              </v>
      </c>
      <c r="AL515" s="154">
        <f t="shared" si="164"/>
        <v>0</v>
      </c>
      <c r="AM515" s="155">
        <f t="shared" si="165"/>
        <v>0</v>
      </c>
      <c r="AP515" s="63" t="str">
        <f t="shared" si="166"/>
        <v/>
      </c>
      <c r="AQ515" s="63" t="str">
        <f t="shared" si="167"/>
        <v/>
      </c>
      <c r="AR515" s="152" t="str">
        <f t="shared" si="168"/>
        <v/>
      </c>
      <c r="AS515" s="109" t="str">
        <f t="shared" si="169"/>
        <v/>
      </c>
      <c r="AT515" s="63" t="str">
        <f t="shared" si="170"/>
        <v xml:space="preserve">                    </v>
      </c>
    </row>
    <row r="516" spans="1:46" ht="12.75" x14ac:dyDescent="0.2">
      <c r="A516" s="63" t="str">
        <f t="shared" si="152"/>
        <v/>
      </c>
      <c r="B516" s="185"/>
      <c r="C516" s="184"/>
      <c r="D516" s="184"/>
      <c r="E516" s="184"/>
      <c r="F516" s="184"/>
      <c r="G516" s="185"/>
      <c r="H516" s="185"/>
      <c r="I516" s="186"/>
      <c r="J516" s="69"/>
      <c r="AA516" s="63">
        <f t="shared" si="153"/>
        <v>0</v>
      </c>
      <c r="AB516" s="153" t="str">
        <f t="shared" si="154"/>
        <v>000</v>
      </c>
      <c r="AC516" s="165" t="str">
        <f t="shared" si="155"/>
        <v>00000000</v>
      </c>
      <c r="AD516" s="98" t="str">
        <f t="shared" si="156"/>
        <v>00000000</v>
      </c>
      <c r="AE516" s="150">
        <f t="shared" si="157"/>
        <v>0</v>
      </c>
      <c r="AF516" s="150">
        <f t="shared" si="158"/>
        <v>0</v>
      </c>
      <c r="AG516" s="98" t="str">
        <f t="shared" si="159"/>
        <v>0000000000</v>
      </c>
      <c r="AH516" s="151">
        <f t="shared" si="160"/>
        <v>0</v>
      </c>
      <c r="AI516" s="98" t="str">
        <f t="shared" si="161"/>
        <v>00</v>
      </c>
      <c r="AJ516" s="98" t="str">
        <f t="shared" si="162"/>
        <v>000000000000</v>
      </c>
      <c r="AK516" s="161" t="str">
        <f t="shared" si="163"/>
        <v xml:space="preserve">                              </v>
      </c>
      <c r="AL516" s="154">
        <f t="shared" si="164"/>
        <v>0</v>
      </c>
      <c r="AM516" s="155">
        <f t="shared" si="165"/>
        <v>0</v>
      </c>
      <c r="AP516" s="63" t="str">
        <f t="shared" si="166"/>
        <v/>
      </c>
      <c r="AQ516" s="63" t="str">
        <f t="shared" si="167"/>
        <v/>
      </c>
      <c r="AR516" s="152" t="str">
        <f t="shared" si="168"/>
        <v/>
      </c>
      <c r="AS516" s="109" t="str">
        <f t="shared" si="169"/>
        <v/>
      </c>
      <c r="AT516" s="63" t="str">
        <f t="shared" si="170"/>
        <v xml:space="preserve">                    </v>
      </c>
    </row>
    <row r="517" spans="1:46" ht="12.75" x14ac:dyDescent="0.2">
      <c r="A517" s="63" t="str">
        <f t="shared" si="152"/>
        <v/>
      </c>
      <c r="B517" s="185"/>
      <c r="C517" s="184"/>
      <c r="D517" s="184"/>
      <c r="E517" s="184"/>
      <c r="F517" s="184"/>
      <c r="G517" s="185"/>
      <c r="H517" s="185"/>
      <c r="I517" s="186"/>
      <c r="J517" s="69"/>
      <c r="AA517" s="63">
        <f t="shared" si="153"/>
        <v>0</v>
      </c>
      <c r="AB517" s="153" t="str">
        <f t="shared" si="154"/>
        <v>000</v>
      </c>
      <c r="AC517" s="165" t="str">
        <f t="shared" si="155"/>
        <v>00000000</v>
      </c>
      <c r="AD517" s="98" t="str">
        <f t="shared" si="156"/>
        <v>00000000</v>
      </c>
      <c r="AE517" s="150">
        <f t="shared" si="157"/>
        <v>0</v>
      </c>
      <c r="AF517" s="150">
        <f t="shared" si="158"/>
        <v>0</v>
      </c>
      <c r="AG517" s="98" t="str">
        <f t="shared" si="159"/>
        <v>0000000000</v>
      </c>
      <c r="AH517" s="151">
        <f t="shared" si="160"/>
        <v>0</v>
      </c>
      <c r="AI517" s="98" t="str">
        <f t="shared" si="161"/>
        <v>00</v>
      </c>
      <c r="AJ517" s="98" t="str">
        <f t="shared" si="162"/>
        <v>000000000000</v>
      </c>
      <c r="AK517" s="161" t="str">
        <f t="shared" si="163"/>
        <v xml:space="preserve">                              </v>
      </c>
      <c r="AL517" s="154">
        <f t="shared" si="164"/>
        <v>0</v>
      </c>
      <c r="AM517" s="155">
        <f t="shared" si="165"/>
        <v>0</v>
      </c>
      <c r="AP517" s="63" t="str">
        <f t="shared" si="166"/>
        <v/>
      </c>
      <c r="AQ517" s="63" t="str">
        <f t="shared" si="167"/>
        <v/>
      </c>
      <c r="AR517" s="152" t="str">
        <f t="shared" si="168"/>
        <v/>
      </c>
      <c r="AS517" s="109" t="str">
        <f t="shared" si="169"/>
        <v/>
      </c>
      <c r="AT517" s="63" t="str">
        <f t="shared" si="170"/>
        <v xml:space="preserve">                    </v>
      </c>
    </row>
    <row r="518" spans="1:46" ht="12.75" x14ac:dyDescent="0.2">
      <c r="A518" s="63" t="str">
        <f t="shared" ref="A518:A581" si="171">IF(B518&lt;&gt;"",A517+1,"")</f>
        <v/>
      </c>
      <c r="B518" s="185"/>
      <c r="C518" s="184"/>
      <c r="D518" s="184"/>
      <c r="E518" s="184"/>
      <c r="F518" s="184"/>
      <c r="G518" s="185"/>
      <c r="H518" s="185"/>
      <c r="I518" s="186"/>
      <c r="J518" s="69"/>
      <c r="AA518" s="63">
        <f t="shared" si="153"/>
        <v>0</v>
      </c>
      <c r="AB518" s="153" t="str">
        <f t="shared" si="154"/>
        <v>000</v>
      </c>
      <c r="AC518" s="165" t="str">
        <f t="shared" si="155"/>
        <v>00000000</v>
      </c>
      <c r="AD518" s="98" t="str">
        <f t="shared" si="156"/>
        <v>00000000</v>
      </c>
      <c r="AE518" s="150">
        <f t="shared" si="157"/>
        <v>0</v>
      </c>
      <c r="AF518" s="150">
        <f t="shared" si="158"/>
        <v>0</v>
      </c>
      <c r="AG518" s="98" t="str">
        <f t="shared" si="159"/>
        <v>0000000000</v>
      </c>
      <c r="AH518" s="151">
        <f t="shared" si="160"/>
        <v>0</v>
      </c>
      <c r="AI518" s="98" t="str">
        <f t="shared" si="161"/>
        <v>00</v>
      </c>
      <c r="AJ518" s="98" t="str">
        <f t="shared" si="162"/>
        <v>000000000000</v>
      </c>
      <c r="AK518" s="161" t="str">
        <f t="shared" si="163"/>
        <v xml:space="preserve">                              </v>
      </c>
      <c r="AL518" s="154">
        <f t="shared" si="164"/>
        <v>0</v>
      </c>
      <c r="AM518" s="155">
        <f t="shared" si="165"/>
        <v>0</v>
      </c>
      <c r="AP518" s="63" t="str">
        <f t="shared" si="166"/>
        <v/>
      </c>
      <c r="AQ518" s="63" t="str">
        <f t="shared" si="167"/>
        <v/>
      </c>
      <c r="AR518" s="152" t="str">
        <f t="shared" si="168"/>
        <v/>
      </c>
      <c r="AS518" s="109" t="str">
        <f t="shared" si="169"/>
        <v/>
      </c>
      <c r="AT518" s="63" t="str">
        <f t="shared" si="170"/>
        <v xml:space="preserve">                    </v>
      </c>
    </row>
    <row r="519" spans="1:46" ht="12.75" x14ac:dyDescent="0.2">
      <c r="A519" s="63" t="str">
        <f t="shared" si="171"/>
        <v/>
      </c>
      <c r="B519" s="185"/>
      <c r="C519" s="184"/>
      <c r="D519" s="184"/>
      <c r="E519" s="184"/>
      <c r="F519" s="184"/>
      <c r="G519" s="185"/>
      <c r="H519" s="185"/>
      <c r="I519" s="186"/>
      <c r="J519" s="69"/>
      <c r="AA519" s="63">
        <f t="shared" si="153"/>
        <v>0</v>
      </c>
      <c r="AB519" s="153" t="str">
        <f t="shared" si="154"/>
        <v>000</v>
      </c>
      <c r="AC519" s="165" t="str">
        <f t="shared" si="155"/>
        <v>00000000</v>
      </c>
      <c r="AD519" s="98" t="str">
        <f t="shared" si="156"/>
        <v>00000000</v>
      </c>
      <c r="AE519" s="150">
        <f t="shared" si="157"/>
        <v>0</v>
      </c>
      <c r="AF519" s="150">
        <f t="shared" si="158"/>
        <v>0</v>
      </c>
      <c r="AG519" s="98" t="str">
        <f t="shared" si="159"/>
        <v>0000000000</v>
      </c>
      <c r="AH519" s="151">
        <f t="shared" si="160"/>
        <v>0</v>
      </c>
      <c r="AI519" s="98" t="str">
        <f t="shared" si="161"/>
        <v>00</v>
      </c>
      <c r="AJ519" s="98" t="str">
        <f t="shared" si="162"/>
        <v>000000000000</v>
      </c>
      <c r="AK519" s="161" t="str">
        <f t="shared" si="163"/>
        <v xml:space="preserve">                              </v>
      </c>
      <c r="AL519" s="154">
        <f t="shared" si="164"/>
        <v>0</v>
      </c>
      <c r="AM519" s="155">
        <f t="shared" si="165"/>
        <v>0</v>
      </c>
      <c r="AP519" s="63" t="str">
        <f t="shared" si="166"/>
        <v/>
      </c>
      <c r="AQ519" s="63" t="str">
        <f t="shared" si="167"/>
        <v/>
      </c>
      <c r="AR519" s="152" t="str">
        <f t="shared" si="168"/>
        <v/>
      </c>
      <c r="AS519" s="109" t="str">
        <f t="shared" si="169"/>
        <v/>
      </c>
      <c r="AT519" s="63" t="str">
        <f t="shared" si="170"/>
        <v xml:space="preserve">                    </v>
      </c>
    </row>
    <row r="520" spans="1:46" ht="12.75" x14ac:dyDescent="0.2">
      <c r="A520" s="63" t="str">
        <f t="shared" si="171"/>
        <v/>
      </c>
      <c r="B520" s="185"/>
      <c r="C520" s="184"/>
      <c r="D520" s="184"/>
      <c r="E520" s="184"/>
      <c r="F520" s="184"/>
      <c r="G520" s="185"/>
      <c r="H520" s="185"/>
      <c r="I520" s="186"/>
      <c r="J520" s="69"/>
      <c r="AA520" s="63">
        <f t="shared" si="153"/>
        <v>0</v>
      </c>
      <c r="AB520" s="153" t="str">
        <f t="shared" si="154"/>
        <v>000</v>
      </c>
      <c r="AC520" s="165" t="str">
        <f t="shared" si="155"/>
        <v>00000000</v>
      </c>
      <c r="AD520" s="98" t="str">
        <f t="shared" si="156"/>
        <v>00000000</v>
      </c>
      <c r="AE520" s="150">
        <f t="shared" si="157"/>
        <v>0</v>
      </c>
      <c r="AF520" s="150">
        <f t="shared" si="158"/>
        <v>0</v>
      </c>
      <c r="AG520" s="98" t="str">
        <f t="shared" si="159"/>
        <v>0000000000</v>
      </c>
      <c r="AH520" s="151">
        <f t="shared" si="160"/>
        <v>0</v>
      </c>
      <c r="AI520" s="98" t="str">
        <f t="shared" si="161"/>
        <v>00</v>
      </c>
      <c r="AJ520" s="98" t="str">
        <f t="shared" si="162"/>
        <v>000000000000</v>
      </c>
      <c r="AK520" s="161" t="str">
        <f t="shared" si="163"/>
        <v xml:space="preserve">                              </v>
      </c>
      <c r="AL520" s="154">
        <f t="shared" si="164"/>
        <v>0</v>
      </c>
      <c r="AM520" s="155">
        <f t="shared" si="165"/>
        <v>0</v>
      </c>
      <c r="AP520" s="63" t="str">
        <f t="shared" si="166"/>
        <v/>
      </c>
      <c r="AQ520" s="63" t="str">
        <f t="shared" si="167"/>
        <v/>
      </c>
      <c r="AR520" s="152" t="str">
        <f t="shared" si="168"/>
        <v/>
      </c>
      <c r="AS520" s="109" t="str">
        <f t="shared" si="169"/>
        <v/>
      </c>
      <c r="AT520" s="63" t="str">
        <f t="shared" si="170"/>
        <v xml:space="preserve">                    </v>
      </c>
    </row>
    <row r="521" spans="1:46" ht="12.75" x14ac:dyDescent="0.2">
      <c r="A521" s="63" t="str">
        <f t="shared" si="171"/>
        <v/>
      </c>
      <c r="B521" s="185"/>
      <c r="C521" s="184"/>
      <c r="D521" s="184"/>
      <c r="E521" s="184"/>
      <c r="F521" s="184"/>
      <c r="G521" s="185"/>
      <c r="H521" s="185"/>
      <c r="I521" s="186"/>
      <c r="J521" s="69"/>
      <c r="AA521" s="63">
        <f t="shared" si="153"/>
        <v>0</v>
      </c>
      <c r="AB521" s="153" t="str">
        <f t="shared" si="154"/>
        <v>000</v>
      </c>
      <c r="AC521" s="165" t="str">
        <f t="shared" si="155"/>
        <v>00000000</v>
      </c>
      <c r="AD521" s="98" t="str">
        <f t="shared" si="156"/>
        <v>00000000</v>
      </c>
      <c r="AE521" s="150">
        <f t="shared" si="157"/>
        <v>0</v>
      </c>
      <c r="AF521" s="150">
        <f t="shared" si="158"/>
        <v>0</v>
      </c>
      <c r="AG521" s="98" t="str">
        <f t="shared" si="159"/>
        <v>0000000000</v>
      </c>
      <c r="AH521" s="151">
        <f t="shared" si="160"/>
        <v>0</v>
      </c>
      <c r="AI521" s="98" t="str">
        <f t="shared" si="161"/>
        <v>00</v>
      </c>
      <c r="AJ521" s="98" t="str">
        <f t="shared" si="162"/>
        <v>000000000000</v>
      </c>
      <c r="AK521" s="161" t="str">
        <f t="shared" si="163"/>
        <v xml:space="preserve">                              </v>
      </c>
      <c r="AL521" s="154">
        <f t="shared" si="164"/>
        <v>0</v>
      </c>
      <c r="AM521" s="155">
        <f t="shared" si="165"/>
        <v>0</v>
      </c>
      <c r="AP521" s="63" t="str">
        <f t="shared" si="166"/>
        <v/>
      </c>
      <c r="AQ521" s="63" t="str">
        <f t="shared" si="167"/>
        <v/>
      </c>
      <c r="AR521" s="152" t="str">
        <f t="shared" si="168"/>
        <v/>
      </c>
      <c r="AS521" s="109" t="str">
        <f t="shared" si="169"/>
        <v/>
      </c>
      <c r="AT521" s="63" t="str">
        <f t="shared" si="170"/>
        <v xml:space="preserve">                    </v>
      </c>
    </row>
    <row r="522" spans="1:46" ht="12.75" x14ac:dyDescent="0.2">
      <c r="A522" s="63" t="str">
        <f t="shared" si="171"/>
        <v/>
      </c>
      <c r="B522" s="185"/>
      <c r="C522" s="184"/>
      <c r="D522" s="184"/>
      <c r="E522" s="184"/>
      <c r="F522" s="184"/>
      <c r="G522" s="185"/>
      <c r="H522" s="185"/>
      <c r="I522" s="186"/>
      <c r="J522" s="69"/>
      <c r="AA522" s="63">
        <f t="shared" si="153"/>
        <v>0</v>
      </c>
      <c r="AB522" s="153" t="str">
        <f t="shared" si="154"/>
        <v>000</v>
      </c>
      <c r="AC522" s="165" t="str">
        <f t="shared" si="155"/>
        <v>00000000</v>
      </c>
      <c r="AD522" s="98" t="str">
        <f t="shared" si="156"/>
        <v>00000000</v>
      </c>
      <c r="AE522" s="150">
        <f t="shared" si="157"/>
        <v>0</v>
      </c>
      <c r="AF522" s="150">
        <f t="shared" si="158"/>
        <v>0</v>
      </c>
      <c r="AG522" s="98" t="str">
        <f t="shared" si="159"/>
        <v>0000000000</v>
      </c>
      <c r="AH522" s="151">
        <f t="shared" si="160"/>
        <v>0</v>
      </c>
      <c r="AI522" s="98" t="str">
        <f t="shared" si="161"/>
        <v>00</v>
      </c>
      <c r="AJ522" s="98" t="str">
        <f t="shared" si="162"/>
        <v>000000000000</v>
      </c>
      <c r="AK522" s="161" t="str">
        <f t="shared" si="163"/>
        <v xml:space="preserve">                              </v>
      </c>
      <c r="AL522" s="154">
        <f t="shared" si="164"/>
        <v>0</v>
      </c>
      <c r="AM522" s="155">
        <f t="shared" si="165"/>
        <v>0</v>
      </c>
      <c r="AP522" s="63" t="str">
        <f t="shared" si="166"/>
        <v/>
      </c>
      <c r="AQ522" s="63" t="str">
        <f t="shared" si="167"/>
        <v/>
      </c>
      <c r="AR522" s="152" t="str">
        <f t="shared" si="168"/>
        <v/>
      </c>
      <c r="AS522" s="109" t="str">
        <f t="shared" si="169"/>
        <v/>
      </c>
      <c r="AT522" s="63" t="str">
        <f t="shared" si="170"/>
        <v xml:space="preserve">                    </v>
      </c>
    </row>
    <row r="523" spans="1:46" ht="12.75" x14ac:dyDescent="0.2">
      <c r="A523" s="63" t="str">
        <f t="shared" si="171"/>
        <v/>
      </c>
      <c r="B523" s="185"/>
      <c r="C523" s="184"/>
      <c r="D523" s="184"/>
      <c r="E523" s="184"/>
      <c r="F523" s="184"/>
      <c r="G523" s="185"/>
      <c r="H523" s="185"/>
      <c r="I523" s="186"/>
      <c r="J523" s="69"/>
      <c r="AA523" s="63">
        <f t="shared" si="153"/>
        <v>0</v>
      </c>
      <c r="AB523" s="153" t="str">
        <f t="shared" si="154"/>
        <v>000</v>
      </c>
      <c r="AC523" s="165" t="str">
        <f t="shared" si="155"/>
        <v>00000000</v>
      </c>
      <c r="AD523" s="98" t="str">
        <f t="shared" si="156"/>
        <v>00000000</v>
      </c>
      <c r="AE523" s="150">
        <f t="shared" si="157"/>
        <v>0</v>
      </c>
      <c r="AF523" s="150">
        <f t="shared" si="158"/>
        <v>0</v>
      </c>
      <c r="AG523" s="98" t="str">
        <f t="shared" si="159"/>
        <v>0000000000</v>
      </c>
      <c r="AH523" s="151">
        <f t="shared" si="160"/>
        <v>0</v>
      </c>
      <c r="AI523" s="98" t="str">
        <f t="shared" si="161"/>
        <v>00</v>
      </c>
      <c r="AJ523" s="98" t="str">
        <f t="shared" si="162"/>
        <v>000000000000</v>
      </c>
      <c r="AK523" s="161" t="str">
        <f t="shared" si="163"/>
        <v xml:space="preserve">                              </v>
      </c>
      <c r="AL523" s="154">
        <f t="shared" si="164"/>
        <v>0</v>
      </c>
      <c r="AM523" s="155">
        <f t="shared" si="165"/>
        <v>0</v>
      </c>
      <c r="AP523" s="63" t="str">
        <f t="shared" si="166"/>
        <v/>
      </c>
      <c r="AQ523" s="63" t="str">
        <f t="shared" si="167"/>
        <v/>
      </c>
      <c r="AR523" s="152" t="str">
        <f t="shared" si="168"/>
        <v/>
      </c>
      <c r="AS523" s="109" t="str">
        <f t="shared" si="169"/>
        <v/>
      </c>
      <c r="AT523" s="63" t="str">
        <f t="shared" si="170"/>
        <v xml:space="preserve">                    </v>
      </c>
    </row>
    <row r="524" spans="1:46" ht="12.75" x14ac:dyDescent="0.2">
      <c r="A524" s="63" t="str">
        <f t="shared" si="171"/>
        <v/>
      </c>
      <c r="B524" s="185"/>
      <c r="C524" s="184"/>
      <c r="D524" s="184"/>
      <c r="E524" s="184"/>
      <c r="F524" s="184"/>
      <c r="G524" s="185"/>
      <c r="H524" s="185"/>
      <c r="I524" s="186"/>
      <c r="J524" s="69"/>
      <c r="AA524" s="63">
        <f t="shared" si="153"/>
        <v>0</v>
      </c>
      <c r="AB524" s="153" t="str">
        <f t="shared" si="154"/>
        <v>000</v>
      </c>
      <c r="AC524" s="165" t="str">
        <f t="shared" si="155"/>
        <v>00000000</v>
      </c>
      <c r="AD524" s="98" t="str">
        <f t="shared" si="156"/>
        <v>00000000</v>
      </c>
      <c r="AE524" s="150">
        <f t="shared" si="157"/>
        <v>0</v>
      </c>
      <c r="AF524" s="150">
        <f t="shared" si="158"/>
        <v>0</v>
      </c>
      <c r="AG524" s="98" t="str">
        <f t="shared" si="159"/>
        <v>0000000000</v>
      </c>
      <c r="AH524" s="151">
        <f t="shared" si="160"/>
        <v>0</v>
      </c>
      <c r="AI524" s="98" t="str">
        <f t="shared" si="161"/>
        <v>00</v>
      </c>
      <c r="AJ524" s="98" t="str">
        <f t="shared" si="162"/>
        <v>000000000000</v>
      </c>
      <c r="AK524" s="161" t="str">
        <f t="shared" si="163"/>
        <v xml:space="preserve">                              </v>
      </c>
      <c r="AL524" s="154">
        <f t="shared" si="164"/>
        <v>0</v>
      </c>
      <c r="AM524" s="155">
        <f t="shared" si="165"/>
        <v>0</v>
      </c>
      <c r="AP524" s="63" t="str">
        <f t="shared" si="166"/>
        <v/>
      </c>
      <c r="AQ524" s="63" t="str">
        <f t="shared" si="167"/>
        <v/>
      </c>
      <c r="AR524" s="152" t="str">
        <f t="shared" si="168"/>
        <v/>
      </c>
      <c r="AS524" s="109" t="str">
        <f t="shared" si="169"/>
        <v/>
      </c>
      <c r="AT524" s="63" t="str">
        <f t="shared" si="170"/>
        <v xml:space="preserve">                    </v>
      </c>
    </row>
    <row r="525" spans="1:46" ht="12.75" x14ac:dyDescent="0.2">
      <c r="A525" s="63" t="str">
        <f t="shared" si="171"/>
        <v/>
      </c>
      <c r="B525" s="185"/>
      <c r="C525" s="184"/>
      <c r="D525" s="184"/>
      <c r="E525" s="184"/>
      <c r="F525" s="184"/>
      <c r="G525" s="185"/>
      <c r="H525" s="185"/>
      <c r="I525" s="186"/>
      <c r="J525" s="69"/>
      <c r="AA525" s="63">
        <f t="shared" si="153"/>
        <v>0</v>
      </c>
      <c r="AB525" s="153" t="str">
        <f t="shared" si="154"/>
        <v>000</v>
      </c>
      <c r="AC525" s="165" t="str">
        <f t="shared" si="155"/>
        <v>00000000</v>
      </c>
      <c r="AD525" s="98" t="str">
        <f t="shared" si="156"/>
        <v>00000000</v>
      </c>
      <c r="AE525" s="150">
        <f t="shared" si="157"/>
        <v>0</v>
      </c>
      <c r="AF525" s="150">
        <f t="shared" si="158"/>
        <v>0</v>
      </c>
      <c r="AG525" s="98" t="str">
        <f t="shared" si="159"/>
        <v>0000000000</v>
      </c>
      <c r="AH525" s="151">
        <f t="shared" si="160"/>
        <v>0</v>
      </c>
      <c r="AI525" s="98" t="str">
        <f t="shared" si="161"/>
        <v>00</v>
      </c>
      <c r="AJ525" s="98" t="str">
        <f t="shared" si="162"/>
        <v>000000000000</v>
      </c>
      <c r="AK525" s="161" t="str">
        <f t="shared" si="163"/>
        <v xml:space="preserve">                              </v>
      </c>
      <c r="AL525" s="154">
        <f t="shared" si="164"/>
        <v>0</v>
      </c>
      <c r="AM525" s="155">
        <f t="shared" si="165"/>
        <v>0</v>
      </c>
      <c r="AP525" s="63" t="str">
        <f t="shared" si="166"/>
        <v/>
      </c>
      <c r="AQ525" s="63" t="str">
        <f t="shared" si="167"/>
        <v/>
      </c>
      <c r="AR525" s="152" t="str">
        <f t="shared" si="168"/>
        <v/>
      </c>
      <c r="AS525" s="109" t="str">
        <f t="shared" si="169"/>
        <v/>
      </c>
      <c r="AT525" s="63" t="str">
        <f t="shared" si="170"/>
        <v xml:space="preserve">                    </v>
      </c>
    </row>
    <row r="526" spans="1:46" ht="12.75" x14ac:dyDescent="0.2">
      <c r="A526" s="63" t="str">
        <f t="shared" si="171"/>
        <v/>
      </c>
      <c r="B526" s="185"/>
      <c r="C526" s="184"/>
      <c r="D526" s="184"/>
      <c r="E526" s="184"/>
      <c r="F526" s="184"/>
      <c r="G526" s="185"/>
      <c r="H526" s="185"/>
      <c r="I526" s="186"/>
      <c r="J526" s="69"/>
      <c r="AA526" s="63">
        <f t="shared" si="153"/>
        <v>0</v>
      </c>
      <c r="AB526" s="153" t="str">
        <f t="shared" si="154"/>
        <v>000</v>
      </c>
      <c r="AC526" s="165" t="str">
        <f t="shared" si="155"/>
        <v>00000000</v>
      </c>
      <c r="AD526" s="98" t="str">
        <f t="shared" si="156"/>
        <v>00000000</v>
      </c>
      <c r="AE526" s="150">
        <f t="shared" si="157"/>
        <v>0</v>
      </c>
      <c r="AF526" s="150">
        <f t="shared" si="158"/>
        <v>0</v>
      </c>
      <c r="AG526" s="98" t="str">
        <f t="shared" si="159"/>
        <v>0000000000</v>
      </c>
      <c r="AH526" s="151">
        <f t="shared" si="160"/>
        <v>0</v>
      </c>
      <c r="AI526" s="98" t="str">
        <f t="shared" si="161"/>
        <v>00</v>
      </c>
      <c r="AJ526" s="98" t="str">
        <f t="shared" si="162"/>
        <v>000000000000</v>
      </c>
      <c r="AK526" s="161" t="str">
        <f t="shared" si="163"/>
        <v xml:space="preserve">                              </v>
      </c>
      <c r="AL526" s="154">
        <f t="shared" si="164"/>
        <v>0</v>
      </c>
      <c r="AM526" s="155">
        <f t="shared" si="165"/>
        <v>0</v>
      </c>
      <c r="AP526" s="63" t="str">
        <f t="shared" si="166"/>
        <v/>
      </c>
      <c r="AQ526" s="63" t="str">
        <f t="shared" si="167"/>
        <v/>
      </c>
      <c r="AR526" s="152" t="str">
        <f t="shared" si="168"/>
        <v/>
      </c>
      <c r="AS526" s="109" t="str">
        <f t="shared" si="169"/>
        <v/>
      </c>
      <c r="AT526" s="63" t="str">
        <f t="shared" si="170"/>
        <v xml:space="preserve">                    </v>
      </c>
    </row>
    <row r="527" spans="1:46" ht="12.75" x14ac:dyDescent="0.2">
      <c r="A527" s="63" t="str">
        <f t="shared" si="171"/>
        <v/>
      </c>
      <c r="B527" s="185"/>
      <c r="C527" s="184"/>
      <c r="D527" s="184"/>
      <c r="E527" s="184"/>
      <c r="F527" s="184"/>
      <c r="G527" s="185"/>
      <c r="H527" s="185"/>
      <c r="I527" s="186"/>
      <c r="J527" s="69"/>
      <c r="AA527" s="63">
        <f t="shared" si="153"/>
        <v>0</v>
      </c>
      <c r="AB527" s="153" t="str">
        <f t="shared" si="154"/>
        <v>000</v>
      </c>
      <c r="AC527" s="165" t="str">
        <f t="shared" si="155"/>
        <v>00000000</v>
      </c>
      <c r="AD527" s="98" t="str">
        <f t="shared" si="156"/>
        <v>00000000</v>
      </c>
      <c r="AE527" s="150">
        <f t="shared" si="157"/>
        <v>0</v>
      </c>
      <c r="AF527" s="150">
        <f t="shared" si="158"/>
        <v>0</v>
      </c>
      <c r="AG527" s="98" t="str">
        <f t="shared" si="159"/>
        <v>0000000000</v>
      </c>
      <c r="AH527" s="151">
        <f t="shared" si="160"/>
        <v>0</v>
      </c>
      <c r="AI527" s="98" t="str">
        <f t="shared" si="161"/>
        <v>00</v>
      </c>
      <c r="AJ527" s="98" t="str">
        <f t="shared" si="162"/>
        <v>000000000000</v>
      </c>
      <c r="AK527" s="161" t="str">
        <f t="shared" si="163"/>
        <v xml:space="preserve">                              </v>
      </c>
      <c r="AL527" s="154">
        <f t="shared" si="164"/>
        <v>0</v>
      </c>
      <c r="AM527" s="155">
        <f t="shared" si="165"/>
        <v>0</v>
      </c>
      <c r="AP527" s="63" t="str">
        <f t="shared" si="166"/>
        <v/>
      </c>
      <c r="AQ527" s="63" t="str">
        <f t="shared" si="167"/>
        <v/>
      </c>
      <c r="AR527" s="152" t="str">
        <f t="shared" si="168"/>
        <v/>
      </c>
      <c r="AS527" s="109" t="str">
        <f t="shared" si="169"/>
        <v/>
      </c>
      <c r="AT527" s="63" t="str">
        <f t="shared" si="170"/>
        <v xml:space="preserve">                    </v>
      </c>
    </row>
    <row r="528" spans="1:46" ht="12.75" x14ac:dyDescent="0.2">
      <c r="A528" s="63" t="str">
        <f t="shared" si="171"/>
        <v/>
      </c>
      <c r="B528" s="185"/>
      <c r="C528" s="184"/>
      <c r="D528" s="184"/>
      <c r="E528" s="184"/>
      <c r="F528" s="184"/>
      <c r="G528" s="185"/>
      <c r="H528" s="185"/>
      <c r="I528" s="186"/>
      <c r="J528" s="69"/>
      <c r="AA528" s="63">
        <f t="shared" si="153"/>
        <v>0</v>
      </c>
      <c r="AB528" s="153" t="str">
        <f t="shared" si="154"/>
        <v>000</v>
      </c>
      <c r="AC528" s="165" t="str">
        <f t="shared" si="155"/>
        <v>00000000</v>
      </c>
      <c r="AD528" s="98" t="str">
        <f t="shared" si="156"/>
        <v>00000000</v>
      </c>
      <c r="AE528" s="150">
        <f t="shared" si="157"/>
        <v>0</v>
      </c>
      <c r="AF528" s="150">
        <f t="shared" si="158"/>
        <v>0</v>
      </c>
      <c r="AG528" s="98" t="str">
        <f t="shared" si="159"/>
        <v>0000000000</v>
      </c>
      <c r="AH528" s="151">
        <f t="shared" si="160"/>
        <v>0</v>
      </c>
      <c r="AI528" s="98" t="str">
        <f t="shared" si="161"/>
        <v>00</v>
      </c>
      <c r="AJ528" s="98" t="str">
        <f t="shared" si="162"/>
        <v>000000000000</v>
      </c>
      <c r="AK528" s="161" t="str">
        <f t="shared" si="163"/>
        <v xml:space="preserve">                              </v>
      </c>
      <c r="AL528" s="154">
        <f t="shared" si="164"/>
        <v>0</v>
      </c>
      <c r="AM528" s="155">
        <f t="shared" si="165"/>
        <v>0</v>
      </c>
      <c r="AP528" s="63" t="str">
        <f t="shared" si="166"/>
        <v/>
      </c>
      <c r="AQ528" s="63" t="str">
        <f t="shared" si="167"/>
        <v/>
      </c>
      <c r="AR528" s="152" t="str">
        <f t="shared" si="168"/>
        <v/>
      </c>
      <c r="AS528" s="109" t="str">
        <f t="shared" si="169"/>
        <v/>
      </c>
      <c r="AT528" s="63" t="str">
        <f t="shared" si="170"/>
        <v xml:space="preserve">                    </v>
      </c>
    </row>
    <row r="529" spans="1:46" ht="12.75" x14ac:dyDescent="0.2">
      <c r="A529" s="63" t="str">
        <f t="shared" si="171"/>
        <v/>
      </c>
      <c r="B529" s="185"/>
      <c r="C529" s="184"/>
      <c r="D529" s="184"/>
      <c r="E529" s="184"/>
      <c r="F529" s="184"/>
      <c r="G529" s="185"/>
      <c r="H529" s="185"/>
      <c r="I529" s="186"/>
      <c r="J529" s="69"/>
      <c r="AA529" s="63">
        <f t="shared" ref="AA529:AA592" si="172">B529</f>
        <v>0</v>
      </c>
      <c r="AB529" s="153" t="str">
        <f t="shared" ref="AB529:AB592" si="173">CONCATENATE(REPT("0",3-LEN(C529)),C529)</f>
        <v>000</v>
      </c>
      <c r="AC529" s="165" t="str">
        <f t="shared" ref="AC529:AC592" si="174">CONCATENATE(REPT("0",8-LEN(D529)),D529)</f>
        <v>00000000</v>
      </c>
      <c r="AD529" s="98" t="str">
        <f t="shared" ref="AD529:AD592" si="175">CONCATENATE(REPT("0",8-LEN(F529)),F529)</f>
        <v>00000000</v>
      </c>
      <c r="AE529" s="150">
        <f t="shared" ref="AE529:AE592" si="176">INT(I529)</f>
        <v>0</v>
      </c>
      <c r="AF529" s="150">
        <f t="shared" ref="AF529:AF592" si="177">I529-AE529</f>
        <v>0</v>
      </c>
      <c r="AG529" s="98" t="str">
        <f t="shared" ref="AG529:AG592" si="178">TEXT(AE529,"0000000000")</f>
        <v>0000000000</v>
      </c>
      <c r="AH529" s="151">
        <f t="shared" ref="AH529:AH592" si="179">AF529*100</f>
        <v>0</v>
      </c>
      <c r="AI529" s="98" t="str">
        <f t="shared" ref="AI529:AI592" si="180">TEXT(AH529,"00")</f>
        <v>00</v>
      </c>
      <c r="AJ529" s="98" t="str">
        <f t="shared" ref="AJ529:AJ592" si="181">CONCATENATE(AG529,AI529)</f>
        <v>000000000000</v>
      </c>
      <c r="AK529" s="161" t="str">
        <f t="shared" ref="AK529:AK592" si="182">CONCATENATE(E529,REPT(" ",30-LEN(E529)))</f>
        <v xml:space="preserve">                              </v>
      </c>
      <c r="AL529" s="154">
        <f t="shared" ref="AL529:AL592" si="183">IF(H529&lt;&gt;"",IF(H529=$H$3,0,1),0)</f>
        <v>0</v>
      </c>
      <c r="AM529" s="155">
        <f t="shared" ref="AM529:AM592" si="184">IF(AL529=1,IF($H$3=1,I529*$K$14,I529/$K$14),I529)</f>
        <v>0</v>
      </c>
      <c r="AP529" s="63" t="str">
        <f t="shared" si="166"/>
        <v/>
      </c>
      <c r="AQ529" s="63" t="str">
        <f t="shared" si="167"/>
        <v/>
      </c>
      <c r="AR529" s="152" t="str">
        <f t="shared" si="168"/>
        <v/>
      </c>
      <c r="AS529" s="109" t="str">
        <f t="shared" si="169"/>
        <v/>
      </c>
      <c r="AT529" s="63" t="str">
        <f t="shared" si="170"/>
        <v xml:space="preserve">                    </v>
      </c>
    </row>
    <row r="530" spans="1:46" ht="12.75" x14ac:dyDescent="0.2">
      <c r="A530" s="63" t="str">
        <f t="shared" si="171"/>
        <v/>
      </c>
      <c r="B530" s="185"/>
      <c r="C530" s="184"/>
      <c r="D530" s="184"/>
      <c r="E530" s="184"/>
      <c r="F530" s="184"/>
      <c r="G530" s="185"/>
      <c r="H530" s="185"/>
      <c r="I530" s="186"/>
      <c r="J530" s="69"/>
      <c r="AA530" s="63">
        <f t="shared" si="172"/>
        <v>0</v>
      </c>
      <c r="AB530" s="153" t="str">
        <f t="shared" si="173"/>
        <v>000</v>
      </c>
      <c r="AC530" s="165" t="str">
        <f t="shared" si="174"/>
        <v>00000000</v>
      </c>
      <c r="AD530" s="98" t="str">
        <f t="shared" si="175"/>
        <v>00000000</v>
      </c>
      <c r="AE530" s="150">
        <f t="shared" si="176"/>
        <v>0</v>
      </c>
      <c r="AF530" s="150">
        <f t="shared" si="177"/>
        <v>0</v>
      </c>
      <c r="AG530" s="98" t="str">
        <f t="shared" si="178"/>
        <v>0000000000</v>
      </c>
      <c r="AH530" s="151">
        <f t="shared" si="179"/>
        <v>0</v>
      </c>
      <c r="AI530" s="98" t="str">
        <f t="shared" si="180"/>
        <v>00</v>
      </c>
      <c r="AJ530" s="98" t="str">
        <f t="shared" si="181"/>
        <v>000000000000</v>
      </c>
      <c r="AK530" s="161" t="str">
        <f t="shared" si="182"/>
        <v xml:space="preserve">                              </v>
      </c>
      <c r="AL530" s="154">
        <f t="shared" si="183"/>
        <v>0</v>
      </c>
      <c r="AM530" s="155">
        <f t="shared" si="184"/>
        <v>0</v>
      </c>
      <c r="AP530" s="63" t="str">
        <f t="shared" ref="AP530:AP593" si="185">IF(D531&lt;&gt;"",CONCATENATE("000",AS530,"0",H531,"2","    ",AD531,AJ531,"            ",AT531,AK531,"                                                                                     "),"")</f>
        <v/>
      </c>
      <c r="AQ530" s="63" t="str">
        <f t="shared" ref="AQ530:AQ593" si="186">IF(D531&lt;&gt;"",CONCATENATE("1520",AA531,AB531,AC531),"")</f>
        <v/>
      </c>
      <c r="AR530" s="152" t="str">
        <f t="shared" ref="AR530:AR593" si="187">IF(D531&lt;&gt;"",MOD(SUM(VALUE(MID($AQ$1,1,1)) * VALUE(MID(AQ530,1,1)),VALUE(MID($AQ$1,2,1)) * VALUE(MID(AQ530,2,1)),VALUE(MID($AQ$1,3,1)) * VALUE(MID(AQ530,3,1)),VALUE(MID($AQ$1,4,1)) * VALUE(MID(AQ530,4,1)),VALUE(MID($AQ$1,5,1)) * VALUE(MID(AQ530,5,1)),VALUE(MID($AQ$1,6,1)) * VALUE(MID(AQ530,6,1)),VALUE(MID($AQ$1,7,1)) * VALUE(MID(AQ530,7,1)),VALUE(MID($AQ$1,8,1)) * VALUE(MID(AQ530,8,1)),VALUE(MID($AQ$1,9,1)) * VALUE(MID(AQ530,9,1)),VALUE(MID($AQ$1,10,1)) * VALUE(MID(AQ530,10,1)),VALUE(MID($AQ$1,11,1)) * VALUE(MID(AQ530,11,1)),VALUE(MID($AQ$1,12,1)) * VALUE(MID(AQ530,12,1)),VALUE(MID($AQ$1,13,1)) * VALUE(MID(AQ530,13,1)),VALUE(MID($AQ$1,14,1)) * VALUE(MID(AQ530,14,1)),VALUE(MID($AQ$1,15,1)) * VALUE(MID(AQ530,15,1)),VALUE(MID($AQ$1,16,1)) * VALUE(MID(AQ530,16,1))),11),"")</f>
        <v/>
      </c>
      <c r="AS530" s="109" t="str">
        <f t="shared" ref="AS530:AS593" si="188">IF(D531&lt;&gt;"",CONCATENATE(AQ530,IF(AR530&gt;9,"1",AR530)),"")</f>
        <v/>
      </c>
      <c r="AT530" s="63" t="str">
        <f t="shared" ref="AT530:AT593" si="189">CONCATENATE(G530,REPT(" ",20-LEN(G530)))</f>
        <v xml:space="preserve">                    </v>
      </c>
    </row>
    <row r="531" spans="1:46" ht="12.75" x14ac:dyDescent="0.2">
      <c r="A531" s="63" t="str">
        <f t="shared" si="171"/>
        <v/>
      </c>
      <c r="B531" s="185"/>
      <c r="C531" s="184"/>
      <c r="D531" s="184"/>
      <c r="E531" s="184"/>
      <c r="F531" s="184"/>
      <c r="G531" s="185"/>
      <c r="H531" s="185"/>
      <c r="I531" s="186"/>
      <c r="J531" s="69"/>
      <c r="AA531" s="63">
        <f t="shared" si="172"/>
        <v>0</v>
      </c>
      <c r="AB531" s="153" t="str">
        <f t="shared" si="173"/>
        <v>000</v>
      </c>
      <c r="AC531" s="165" t="str">
        <f t="shared" si="174"/>
        <v>00000000</v>
      </c>
      <c r="AD531" s="98" t="str">
        <f t="shared" si="175"/>
        <v>00000000</v>
      </c>
      <c r="AE531" s="150">
        <f t="shared" si="176"/>
        <v>0</v>
      </c>
      <c r="AF531" s="150">
        <f t="shared" si="177"/>
        <v>0</v>
      </c>
      <c r="AG531" s="98" t="str">
        <f t="shared" si="178"/>
        <v>0000000000</v>
      </c>
      <c r="AH531" s="151">
        <f t="shared" si="179"/>
        <v>0</v>
      </c>
      <c r="AI531" s="98" t="str">
        <f t="shared" si="180"/>
        <v>00</v>
      </c>
      <c r="AJ531" s="98" t="str">
        <f t="shared" si="181"/>
        <v>000000000000</v>
      </c>
      <c r="AK531" s="161" t="str">
        <f t="shared" si="182"/>
        <v xml:space="preserve">                              </v>
      </c>
      <c r="AL531" s="154">
        <f t="shared" si="183"/>
        <v>0</v>
      </c>
      <c r="AM531" s="155">
        <f t="shared" si="184"/>
        <v>0</v>
      </c>
      <c r="AP531" s="63" t="str">
        <f t="shared" si="185"/>
        <v/>
      </c>
      <c r="AQ531" s="63" t="str">
        <f t="shared" si="186"/>
        <v/>
      </c>
      <c r="AR531" s="152" t="str">
        <f t="shared" si="187"/>
        <v/>
      </c>
      <c r="AS531" s="109" t="str">
        <f t="shared" si="188"/>
        <v/>
      </c>
      <c r="AT531" s="63" t="str">
        <f t="shared" si="189"/>
        <v xml:space="preserve">                    </v>
      </c>
    </row>
    <row r="532" spans="1:46" ht="12.75" x14ac:dyDescent="0.2">
      <c r="A532" s="63" t="str">
        <f t="shared" si="171"/>
        <v/>
      </c>
      <c r="B532" s="185"/>
      <c r="C532" s="184"/>
      <c r="D532" s="184"/>
      <c r="E532" s="184"/>
      <c r="F532" s="184"/>
      <c r="G532" s="185"/>
      <c r="H532" s="185"/>
      <c r="I532" s="186"/>
      <c r="J532" s="69"/>
      <c r="AA532" s="63">
        <f t="shared" si="172"/>
        <v>0</v>
      </c>
      <c r="AB532" s="153" t="str">
        <f t="shared" si="173"/>
        <v>000</v>
      </c>
      <c r="AC532" s="165" t="str">
        <f t="shared" si="174"/>
        <v>00000000</v>
      </c>
      <c r="AD532" s="98" t="str">
        <f t="shared" si="175"/>
        <v>00000000</v>
      </c>
      <c r="AE532" s="150">
        <f t="shared" si="176"/>
        <v>0</v>
      </c>
      <c r="AF532" s="150">
        <f t="shared" si="177"/>
        <v>0</v>
      </c>
      <c r="AG532" s="98" t="str">
        <f t="shared" si="178"/>
        <v>0000000000</v>
      </c>
      <c r="AH532" s="151">
        <f t="shared" si="179"/>
        <v>0</v>
      </c>
      <c r="AI532" s="98" t="str">
        <f t="shared" si="180"/>
        <v>00</v>
      </c>
      <c r="AJ532" s="98" t="str">
        <f t="shared" si="181"/>
        <v>000000000000</v>
      </c>
      <c r="AK532" s="161" t="str">
        <f t="shared" si="182"/>
        <v xml:space="preserve">                              </v>
      </c>
      <c r="AL532" s="154">
        <f t="shared" si="183"/>
        <v>0</v>
      </c>
      <c r="AM532" s="155">
        <f t="shared" si="184"/>
        <v>0</v>
      </c>
      <c r="AP532" s="63" t="str">
        <f t="shared" si="185"/>
        <v/>
      </c>
      <c r="AQ532" s="63" t="str">
        <f t="shared" si="186"/>
        <v/>
      </c>
      <c r="AR532" s="152" t="str">
        <f t="shared" si="187"/>
        <v/>
      </c>
      <c r="AS532" s="109" t="str">
        <f t="shared" si="188"/>
        <v/>
      </c>
      <c r="AT532" s="63" t="str">
        <f t="shared" si="189"/>
        <v xml:space="preserve">                    </v>
      </c>
    </row>
    <row r="533" spans="1:46" ht="12.75" x14ac:dyDescent="0.2">
      <c r="A533" s="63" t="str">
        <f t="shared" si="171"/>
        <v/>
      </c>
      <c r="B533" s="185"/>
      <c r="C533" s="184"/>
      <c r="D533" s="184"/>
      <c r="E533" s="184"/>
      <c r="F533" s="184"/>
      <c r="G533" s="185"/>
      <c r="H533" s="185"/>
      <c r="I533" s="186"/>
      <c r="J533" s="69"/>
      <c r="AA533" s="63">
        <f t="shared" si="172"/>
        <v>0</v>
      </c>
      <c r="AB533" s="153" t="str">
        <f t="shared" si="173"/>
        <v>000</v>
      </c>
      <c r="AC533" s="165" t="str">
        <f t="shared" si="174"/>
        <v>00000000</v>
      </c>
      <c r="AD533" s="98" t="str">
        <f t="shared" si="175"/>
        <v>00000000</v>
      </c>
      <c r="AE533" s="150">
        <f t="shared" si="176"/>
        <v>0</v>
      </c>
      <c r="AF533" s="150">
        <f t="shared" si="177"/>
        <v>0</v>
      </c>
      <c r="AG533" s="98" t="str">
        <f t="shared" si="178"/>
        <v>0000000000</v>
      </c>
      <c r="AH533" s="151">
        <f t="shared" si="179"/>
        <v>0</v>
      </c>
      <c r="AI533" s="98" t="str">
        <f t="shared" si="180"/>
        <v>00</v>
      </c>
      <c r="AJ533" s="98" t="str">
        <f t="shared" si="181"/>
        <v>000000000000</v>
      </c>
      <c r="AK533" s="161" t="str">
        <f t="shared" si="182"/>
        <v xml:space="preserve">                              </v>
      </c>
      <c r="AL533" s="154">
        <f t="shared" si="183"/>
        <v>0</v>
      </c>
      <c r="AM533" s="155">
        <f t="shared" si="184"/>
        <v>0</v>
      </c>
      <c r="AP533" s="63" t="str">
        <f t="shared" si="185"/>
        <v/>
      </c>
      <c r="AQ533" s="63" t="str">
        <f t="shared" si="186"/>
        <v/>
      </c>
      <c r="AR533" s="152" t="str">
        <f t="shared" si="187"/>
        <v/>
      </c>
      <c r="AS533" s="109" t="str">
        <f t="shared" si="188"/>
        <v/>
      </c>
      <c r="AT533" s="63" t="str">
        <f t="shared" si="189"/>
        <v xml:space="preserve">                    </v>
      </c>
    </row>
    <row r="534" spans="1:46" ht="12.75" x14ac:dyDescent="0.2">
      <c r="A534" s="63" t="str">
        <f t="shared" si="171"/>
        <v/>
      </c>
      <c r="B534" s="185"/>
      <c r="C534" s="184"/>
      <c r="D534" s="184"/>
      <c r="E534" s="184"/>
      <c r="F534" s="184"/>
      <c r="G534" s="185"/>
      <c r="H534" s="185"/>
      <c r="I534" s="186"/>
      <c r="J534" s="69"/>
      <c r="AA534" s="63">
        <f t="shared" si="172"/>
        <v>0</v>
      </c>
      <c r="AB534" s="153" t="str">
        <f t="shared" si="173"/>
        <v>000</v>
      </c>
      <c r="AC534" s="165" t="str">
        <f t="shared" si="174"/>
        <v>00000000</v>
      </c>
      <c r="AD534" s="98" t="str">
        <f t="shared" si="175"/>
        <v>00000000</v>
      </c>
      <c r="AE534" s="150">
        <f t="shared" si="176"/>
        <v>0</v>
      </c>
      <c r="AF534" s="150">
        <f t="shared" si="177"/>
        <v>0</v>
      </c>
      <c r="AG534" s="98" t="str">
        <f t="shared" si="178"/>
        <v>0000000000</v>
      </c>
      <c r="AH534" s="151">
        <f t="shared" si="179"/>
        <v>0</v>
      </c>
      <c r="AI534" s="98" t="str">
        <f t="shared" si="180"/>
        <v>00</v>
      </c>
      <c r="AJ534" s="98" t="str">
        <f t="shared" si="181"/>
        <v>000000000000</v>
      </c>
      <c r="AK534" s="161" t="str">
        <f t="shared" si="182"/>
        <v xml:space="preserve">                              </v>
      </c>
      <c r="AL534" s="154">
        <f t="shared" si="183"/>
        <v>0</v>
      </c>
      <c r="AM534" s="155">
        <f t="shared" si="184"/>
        <v>0</v>
      </c>
      <c r="AP534" s="63" t="str">
        <f t="shared" si="185"/>
        <v/>
      </c>
      <c r="AQ534" s="63" t="str">
        <f t="shared" si="186"/>
        <v/>
      </c>
      <c r="AR534" s="152" t="str">
        <f t="shared" si="187"/>
        <v/>
      </c>
      <c r="AS534" s="109" t="str">
        <f t="shared" si="188"/>
        <v/>
      </c>
      <c r="AT534" s="63" t="str">
        <f t="shared" si="189"/>
        <v xml:space="preserve">                    </v>
      </c>
    </row>
    <row r="535" spans="1:46" ht="12.75" x14ac:dyDescent="0.2">
      <c r="A535" s="63" t="str">
        <f t="shared" si="171"/>
        <v/>
      </c>
      <c r="B535" s="185"/>
      <c r="C535" s="184"/>
      <c r="D535" s="184"/>
      <c r="E535" s="184"/>
      <c r="F535" s="184"/>
      <c r="G535" s="185"/>
      <c r="H535" s="185"/>
      <c r="I535" s="186"/>
      <c r="J535" s="69"/>
      <c r="AA535" s="63">
        <f t="shared" si="172"/>
        <v>0</v>
      </c>
      <c r="AB535" s="153" t="str">
        <f t="shared" si="173"/>
        <v>000</v>
      </c>
      <c r="AC535" s="165" t="str">
        <f t="shared" si="174"/>
        <v>00000000</v>
      </c>
      <c r="AD535" s="98" t="str">
        <f t="shared" si="175"/>
        <v>00000000</v>
      </c>
      <c r="AE535" s="150">
        <f t="shared" si="176"/>
        <v>0</v>
      </c>
      <c r="AF535" s="150">
        <f t="shared" si="177"/>
        <v>0</v>
      </c>
      <c r="AG535" s="98" t="str">
        <f t="shared" si="178"/>
        <v>0000000000</v>
      </c>
      <c r="AH535" s="151">
        <f t="shared" si="179"/>
        <v>0</v>
      </c>
      <c r="AI535" s="98" t="str">
        <f t="shared" si="180"/>
        <v>00</v>
      </c>
      <c r="AJ535" s="98" t="str">
        <f t="shared" si="181"/>
        <v>000000000000</v>
      </c>
      <c r="AK535" s="161" t="str">
        <f t="shared" si="182"/>
        <v xml:space="preserve">                              </v>
      </c>
      <c r="AL535" s="154">
        <f t="shared" si="183"/>
        <v>0</v>
      </c>
      <c r="AM535" s="155">
        <f t="shared" si="184"/>
        <v>0</v>
      </c>
      <c r="AP535" s="63" t="str">
        <f t="shared" si="185"/>
        <v/>
      </c>
      <c r="AQ535" s="63" t="str">
        <f t="shared" si="186"/>
        <v/>
      </c>
      <c r="AR535" s="152" t="str">
        <f t="shared" si="187"/>
        <v/>
      </c>
      <c r="AS535" s="109" t="str">
        <f t="shared" si="188"/>
        <v/>
      </c>
      <c r="AT535" s="63" t="str">
        <f t="shared" si="189"/>
        <v xml:space="preserve">                    </v>
      </c>
    </row>
    <row r="536" spans="1:46" ht="12.75" x14ac:dyDescent="0.2">
      <c r="A536" s="63" t="str">
        <f t="shared" si="171"/>
        <v/>
      </c>
      <c r="B536" s="185"/>
      <c r="C536" s="184"/>
      <c r="D536" s="184"/>
      <c r="E536" s="184"/>
      <c r="F536" s="184"/>
      <c r="G536" s="185"/>
      <c r="H536" s="185"/>
      <c r="I536" s="186"/>
      <c r="J536" s="69"/>
      <c r="AA536" s="63">
        <f t="shared" si="172"/>
        <v>0</v>
      </c>
      <c r="AB536" s="153" t="str">
        <f t="shared" si="173"/>
        <v>000</v>
      </c>
      <c r="AC536" s="165" t="str">
        <f t="shared" si="174"/>
        <v>00000000</v>
      </c>
      <c r="AD536" s="98" t="str">
        <f t="shared" si="175"/>
        <v>00000000</v>
      </c>
      <c r="AE536" s="150">
        <f t="shared" si="176"/>
        <v>0</v>
      </c>
      <c r="AF536" s="150">
        <f t="shared" si="177"/>
        <v>0</v>
      </c>
      <c r="AG536" s="98" t="str">
        <f t="shared" si="178"/>
        <v>0000000000</v>
      </c>
      <c r="AH536" s="151">
        <f t="shared" si="179"/>
        <v>0</v>
      </c>
      <c r="AI536" s="98" t="str">
        <f t="shared" si="180"/>
        <v>00</v>
      </c>
      <c r="AJ536" s="98" t="str">
        <f t="shared" si="181"/>
        <v>000000000000</v>
      </c>
      <c r="AK536" s="161" t="str">
        <f t="shared" si="182"/>
        <v xml:space="preserve">                              </v>
      </c>
      <c r="AL536" s="154">
        <f t="shared" si="183"/>
        <v>0</v>
      </c>
      <c r="AM536" s="155">
        <f t="shared" si="184"/>
        <v>0</v>
      </c>
      <c r="AP536" s="63" t="str">
        <f t="shared" si="185"/>
        <v/>
      </c>
      <c r="AQ536" s="63" t="str">
        <f t="shared" si="186"/>
        <v/>
      </c>
      <c r="AR536" s="152" t="str">
        <f t="shared" si="187"/>
        <v/>
      </c>
      <c r="AS536" s="109" t="str">
        <f t="shared" si="188"/>
        <v/>
      </c>
      <c r="AT536" s="63" t="str">
        <f t="shared" si="189"/>
        <v xml:space="preserve">                    </v>
      </c>
    </row>
    <row r="537" spans="1:46" ht="12.75" x14ac:dyDescent="0.2">
      <c r="A537" s="63" t="str">
        <f t="shared" si="171"/>
        <v/>
      </c>
      <c r="B537" s="185"/>
      <c r="C537" s="184"/>
      <c r="D537" s="184"/>
      <c r="E537" s="184"/>
      <c r="F537" s="184"/>
      <c r="G537" s="185"/>
      <c r="H537" s="185"/>
      <c r="I537" s="186"/>
      <c r="J537" s="69"/>
      <c r="AA537" s="63">
        <f t="shared" si="172"/>
        <v>0</v>
      </c>
      <c r="AB537" s="153" t="str">
        <f t="shared" si="173"/>
        <v>000</v>
      </c>
      <c r="AC537" s="165" t="str">
        <f t="shared" si="174"/>
        <v>00000000</v>
      </c>
      <c r="AD537" s="98" t="str">
        <f t="shared" si="175"/>
        <v>00000000</v>
      </c>
      <c r="AE537" s="150">
        <f t="shared" si="176"/>
        <v>0</v>
      </c>
      <c r="AF537" s="150">
        <f t="shared" si="177"/>
        <v>0</v>
      </c>
      <c r="AG537" s="98" t="str">
        <f t="shared" si="178"/>
        <v>0000000000</v>
      </c>
      <c r="AH537" s="151">
        <f t="shared" si="179"/>
        <v>0</v>
      </c>
      <c r="AI537" s="98" t="str">
        <f t="shared" si="180"/>
        <v>00</v>
      </c>
      <c r="AJ537" s="98" t="str">
        <f t="shared" si="181"/>
        <v>000000000000</v>
      </c>
      <c r="AK537" s="161" t="str">
        <f t="shared" si="182"/>
        <v xml:space="preserve">                              </v>
      </c>
      <c r="AL537" s="154">
        <f t="shared" si="183"/>
        <v>0</v>
      </c>
      <c r="AM537" s="155">
        <f t="shared" si="184"/>
        <v>0</v>
      </c>
      <c r="AP537" s="63" t="str">
        <f t="shared" si="185"/>
        <v/>
      </c>
      <c r="AQ537" s="63" t="str">
        <f t="shared" si="186"/>
        <v/>
      </c>
      <c r="AR537" s="152" t="str">
        <f t="shared" si="187"/>
        <v/>
      </c>
      <c r="AS537" s="109" t="str">
        <f t="shared" si="188"/>
        <v/>
      </c>
      <c r="AT537" s="63" t="str">
        <f t="shared" si="189"/>
        <v xml:space="preserve">                    </v>
      </c>
    </row>
    <row r="538" spans="1:46" ht="12.75" x14ac:dyDescent="0.2">
      <c r="A538" s="63" t="str">
        <f t="shared" si="171"/>
        <v/>
      </c>
      <c r="B538" s="185"/>
      <c r="C538" s="184"/>
      <c r="D538" s="184"/>
      <c r="E538" s="184"/>
      <c r="F538" s="184"/>
      <c r="G538" s="185"/>
      <c r="H538" s="185"/>
      <c r="I538" s="186"/>
      <c r="J538" s="69"/>
      <c r="AA538" s="63">
        <f t="shared" si="172"/>
        <v>0</v>
      </c>
      <c r="AB538" s="153" t="str">
        <f t="shared" si="173"/>
        <v>000</v>
      </c>
      <c r="AC538" s="165" t="str">
        <f t="shared" si="174"/>
        <v>00000000</v>
      </c>
      <c r="AD538" s="98" t="str">
        <f t="shared" si="175"/>
        <v>00000000</v>
      </c>
      <c r="AE538" s="150">
        <f t="shared" si="176"/>
        <v>0</v>
      </c>
      <c r="AF538" s="150">
        <f t="shared" si="177"/>
        <v>0</v>
      </c>
      <c r="AG538" s="98" t="str">
        <f t="shared" si="178"/>
        <v>0000000000</v>
      </c>
      <c r="AH538" s="151">
        <f t="shared" si="179"/>
        <v>0</v>
      </c>
      <c r="AI538" s="98" t="str">
        <f t="shared" si="180"/>
        <v>00</v>
      </c>
      <c r="AJ538" s="98" t="str">
        <f t="shared" si="181"/>
        <v>000000000000</v>
      </c>
      <c r="AK538" s="161" t="str">
        <f t="shared" si="182"/>
        <v xml:space="preserve">                              </v>
      </c>
      <c r="AL538" s="154">
        <f t="shared" si="183"/>
        <v>0</v>
      </c>
      <c r="AM538" s="155">
        <f t="shared" si="184"/>
        <v>0</v>
      </c>
      <c r="AP538" s="63" t="str">
        <f t="shared" si="185"/>
        <v/>
      </c>
      <c r="AQ538" s="63" t="str">
        <f t="shared" si="186"/>
        <v/>
      </c>
      <c r="AR538" s="152" t="str">
        <f t="shared" si="187"/>
        <v/>
      </c>
      <c r="AS538" s="109" t="str">
        <f t="shared" si="188"/>
        <v/>
      </c>
      <c r="AT538" s="63" t="str">
        <f t="shared" si="189"/>
        <v xml:space="preserve">                    </v>
      </c>
    </row>
    <row r="539" spans="1:46" ht="12.75" x14ac:dyDescent="0.2">
      <c r="A539" s="63" t="str">
        <f t="shared" si="171"/>
        <v/>
      </c>
      <c r="B539" s="185"/>
      <c r="C539" s="184"/>
      <c r="D539" s="184"/>
      <c r="E539" s="184"/>
      <c r="F539" s="184"/>
      <c r="G539" s="185"/>
      <c r="H539" s="185"/>
      <c r="I539" s="186"/>
      <c r="J539" s="69"/>
      <c r="AA539" s="63">
        <f t="shared" si="172"/>
        <v>0</v>
      </c>
      <c r="AB539" s="153" t="str">
        <f t="shared" si="173"/>
        <v>000</v>
      </c>
      <c r="AC539" s="165" t="str">
        <f t="shared" si="174"/>
        <v>00000000</v>
      </c>
      <c r="AD539" s="98" t="str">
        <f t="shared" si="175"/>
        <v>00000000</v>
      </c>
      <c r="AE539" s="150">
        <f t="shared" si="176"/>
        <v>0</v>
      </c>
      <c r="AF539" s="150">
        <f t="shared" si="177"/>
        <v>0</v>
      </c>
      <c r="AG539" s="98" t="str">
        <f t="shared" si="178"/>
        <v>0000000000</v>
      </c>
      <c r="AH539" s="151">
        <f t="shared" si="179"/>
        <v>0</v>
      </c>
      <c r="AI539" s="98" t="str">
        <f t="shared" si="180"/>
        <v>00</v>
      </c>
      <c r="AJ539" s="98" t="str">
        <f t="shared" si="181"/>
        <v>000000000000</v>
      </c>
      <c r="AK539" s="161" t="str">
        <f t="shared" si="182"/>
        <v xml:space="preserve">                              </v>
      </c>
      <c r="AL539" s="154">
        <f t="shared" si="183"/>
        <v>0</v>
      </c>
      <c r="AM539" s="155">
        <f t="shared" si="184"/>
        <v>0</v>
      </c>
      <c r="AP539" s="63" t="str">
        <f t="shared" si="185"/>
        <v/>
      </c>
      <c r="AQ539" s="63" t="str">
        <f t="shared" si="186"/>
        <v/>
      </c>
      <c r="AR539" s="152" t="str">
        <f t="shared" si="187"/>
        <v/>
      </c>
      <c r="AS539" s="109" t="str">
        <f t="shared" si="188"/>
        <v/>
      </c>
      <c r="AT539" s="63" t="str">
        <f t="shared" si="189"/>
        <v xml:space="preserve">                    </v>
      </c>
    </row>
    <row r="540" spans="1:46" ht="12.75" x14ac:dyDescent="0.2">
      <c r="A540" s="63" t="str">
        <f t="shared" si="171"/>
        <v/>
      </c>
      <c r="B540" s="185"/>
      <c r="C540" s="184"/>
      <c r="D540" s="184"/>
      <c r="E540" s="184"/>
      <c r="F540" s="184"/>
      <c r="G540" s="185"/>
      <c r="H540" s="185"/>
      <c r="I540" s="186"/>
      <c r="J540" s="69"/>
      <c r="AA540" s="63">
        <f t="shared" si="172"/>
        <v>0</v>
      </c>
      <c r="AB540" s="153" t="str">
        <f t="shared" si="173"/>
        <v>000</v>
      </c>
      <c r="AC540" s="165" t="str">
        <f t="shared" si="174"/>
        <v>00000000</v>
      </c>
      <c r="AD540" s="98" t="str">
        <f t="shared" si="175"/>
        <v>00000000</v>
      </c>
      <c r="AE540" s="150">
        <f t="shared" si="176"/>
        <v>0</v>
      </c>
      <c r="AF540" s="150">
        <f t="shared" si="177"/>
        <v>0</v>
      </c>
      <c r="AG540" s="98" t="str">
        <f t="shared" si="178"/>
        <v>0000000000</v>
      </c>
      <c r="AH540" s="151">
        <f t="shared" si="179"/>
        <v>0</v>
      </c>
      <c r="AI540" s="98" t="str">
        <f t="shared" si="180"/>
        <v>00</v>
      </c>
      <c r="AJ540" s="98" t="str">
        <f t="shared" si="181"/>
        <v>000000000000</v>
      </c>
      <c r="AK540" s="161" t="str">
        <f t="shared" si="182"/>
        <v xml:space="preserve">                              </v>
      </c>
      <c r="AL540" s="154">
        <f t="shared" si="183"/>
        <v>0</v>
      </c>
      <c r="AM540" s="155">
        <f t="shared" si="184"/>
        <v>0</v>
      </c>
      <c r="AP540" s="63" t="str">
        <f t="shared" si="185"/>
        <v/>
      </c>
      <c r="AQ540" s="63" t="str">
        <f t="shared" si="186"/>
        <v/>
      </c>
      <c r="AR540" s="152" t="str">
        <f t="shared" si="187"/>
        <v/>
      </c>
      <c r="AS540" s="109" t="str">
        <f t="shared" si="188"/>
        <v/>
      </c>
      <c r="AT540" s="63" t="str">
        <f t="shared" si="189"/>
        <v xml:space="preserve">                    </v>
      </c>
    </row>
    <row r="541" spans="1:46" ht="12.75" x14ac:dyDescent="0.2">
      <c r="A541" s="63" t="str">
        <f t="shared" si="171"/>
        <v/>
      </c>
      <c r="B541" s="185"/>
      <c r="C541" s="184"/>
      <c r="D541" s="184"/>
      <c r="E541" s="184"/>
      <c r="F541" s="184"/>
      <c r="G541" s="185"/>
      <c r="H541" s="185"/>
      <c r="I541" s="186"/>
      <c r="J541" s="69"/>
      <c r="AA541" s="63">
        <f t="shared" si="172"/>
        <v>0</v>
      </c>
      <c r="AB541" s="153" t="str">
        <f t="shared" si="173"/>
        <v>000</v>
      </c>
      <c r="AC541" s="165" t="str">
        <f t="shared" si="174"/>
        <v>00000000</v>
      </c>
      <c r="AD541" s="98" t="str">
        <f t="shared" si="175"/>
        <v>00000000</v>
      </c>
      <c r="AE541" s="150">
        <f t="shared" si="176"/>
        <v>0</v>
      </c>
      <c r="AF541" s="150">
        <f t="shared" si="177"/>
        <v>0</v>
      </c>
      <c r="AG541" s="98" t="str">
        <f t="shared" si="178"/>
        <v>0000000000</v>
      </c>
      <c r="AH541" s="151">
        <f t="shared" si="179"/>
        <v>0</v>
      </c>
      <c r="AI541" s="98" t="str">
        <f t="shared" si="180"/>
        <v>00</v>
      </c>
      <c r="AJ541" s="98" t="str">
        <f t="shared" si="181"/>
        <v>000000000000</v>
      </c>
      <c r="AK541" s="161" t="str">
        <f t="shared" si="182"/>
        <v xml:space="preserve">                              </v>
      </c>
      <c r="AL541" s="154">
        <f t="shared" si="183"/>
        <v>0</v>
      </c>
      <c r="AM541" s="155">
        <f t="shared" si="184"/>
        <v>0</v>
      </c>
      <c r="AP541" s="63" t="str">
        <f t="shared" si="185"/>
        <v/>
      </c>
      <c r="AQ541" s="63" t="str">
        <f t="shared" si="186"/>
        <v/>
      </c>
      <c r="AR541" s="152" t="str">
        <f t="shared" si="187"/>
        <v/>
      </c>
      <c r="AS541" s="109" t="str">
        <f t="shared" si="188"/>
        <v/>
      </c>
      <c r="AT541" s="63" t="str">
        <f t="shared" si="189"/>
        <v xml:space="preserve">                    </v>
      </c>
    </row>
    <row r="542" spans="1:46" ht="12.75" x14ac:dyDescent="0.2">
      <c r="A542" s="63" t="str">
        <f t="shared" si="171"/>
        <v/>
      </c>
      <c r="B542" s="185"/>
      <c r="C542" s="184"/>
      <c r="D542" s="184"/>
      <c r="E542" s="184"/>
      <c r="F542" s="184"/>
      <c r="G542" s="185"/>
      <c r="H542" s="185"/>
      <c r="I542" s="186"/>
      <c r="J542" s="69"/>
      <c r="AA542" s="63">
        <f t="shared" si="172"/>
        <v>0</v>
      </c>
      <c r="AB542" s="153" t="str">
        <f t="shared" si="173"/>
        <v>000</v>
      </c>
      <c r="AC542" s="165" t="str">
        <f t="shared" si="174"/>
        <v>00000000</v>
      </c>
      <c r="AD542" s="98" t="str">
        <f t="shared" si="175"/>
        <v>00000000</v>
      </c>
      <c r="AE542" s="150">
        <f t="shared" si="176"/>
        <v>0</v>
      </c>
      <c r="AF542" s="150">
        <f t="shared" si="177"/>
        <v>0</v>
      </c>
      <c r="AG542" s="98" t="str">
        <f t="shared" si="178"/>
        <v>0000000000</v>
      </c>
      <c r="AH542" s="151">
        <f t="shared" si="179"/>
        <v>0</v>
      </c>
      <c r="AI542" s="98" t="str">
        <f t="shared" si="180"/>
        <v>00</v>
      </c>
      <c r="AJ542" s="98" t="str">
        <f t="shared" si="181"/>
        <v>000000000000</v>
      </c>
      <c r="AK542" s="161" t="str">
        <f t="shared" si="182"/>
        <v xml:space="preserve">                              </v>
      </c>
      <c r="AL542" s="154">
        <f t="shared" si="183"/>
        <v>0</v>
      </c>
      <c r="AM542" s="155">
        <f t="shared" si="184"/>
        <v>0</v>
      </c>
      <c r="AP542" s="63" t="str">
        <f t="shared" si="185"/>
        <v/>
      </c>
      <c r="AQ542" s="63" t="str">
        <f t="shared" si="186"/>
        <v/>
      </c>
      <c r="AR542" s="152" t="str">
        <f t="shared" si="187"/>
        <v/>
      </c>
      <c r="AS542" s="109" t="str">
        <f t="shared" si="188"/>
        <v/>
      </c>
      <c r="AT542" s="63" t="str">
        <f t="shared" si="189"/>
        <v xml:space="preserve">                    </v>
      </c>
    </row>
    <row r="543" spans="1:46" ht="12.75" x14ac:dyDescent="0.2">
      <c r="A543" s="63" t="str">
        <f t="shared" si="171"/>
        <v/>
      </c>
      <c r="B543" s="185"/>
      <c r="C543" s="184"/>
      <c r="D543" s="184"/>
      <c r="E543" s="184"/>
      <c r="F543" s="184"/>
      <c r="G543" s="185"/>
      <c r="H543" s="185"/>
      <c r="I543" s="186"/>
      <c r="J543" s="69"/>
      <c r="AA543" s="63">
        <f t="shared" si="172"/>
        <v>0</v>
      </c>
      <c r="AB543" s="153" t="str">
        <f t="shared" si="173"/>
        <v>000</v>
      </c>
      <c r="AC543" s="165" t="str">
        <f t="shared" si="174"/>
        <v>00000000</v>
      </c>
      <c r="AD543" s="98" t="str">
        <f t="shared" si="175"/>
        <v>00000000</v>
      </c>
      <c r="AE543" s="150">
        <f t="shared" si="176"/>
        <v>0</v>
      </c>
      <c r="AF543" s="150">
        <f t="shared" si="177"/>
        <v>0</v>
      </c>
      <c r="AG543" s="98" t="str">
        <f t="shared" si="178"/>
        <v>0000000000</v>
      </c>
      <c r="AH543" s="151">
        <f t="shared" si="179"/>
        <v>0</v>
      </c>
      <c r="AI543" s="98" t="str">
        <f t="shared" si="180"/>
        <v>00</v>
      </c>
      <c r="AJ543" s="98" t="str">
        <f t="shared" si="181"/>
        <v>000000000000</v>
      </c>
      <c r="AK543" s="161" t="str">
        <f t="shared" si="182"/>
        <v xml:space="preserve">                              </v>
      </c>
      <c r="AL543" s="154">
        <f t="shared" si="183"/>
        <v>0</v>
      </c>
      <c r="AM543" s="155">
        <f t="shared" si="184"/>
        <v>0</v>
      </c>
      <c r="AP543" s="63" t="str">
        <f t="shared" si="185"/>
        <v/>
      </c>
      <c r="AQ543" s="63" t="str">
        <f t="shared" si="186"/>
        <v/>
      </c>
      <c r="AR543" s="152" t="str">
        <f t="shared" si="187"/>
        <v/>
      </c>
      <c r="AS543" s="109" t="str">
        <f t="shared" si="188"/>
        <v/>
      </c>
      <c r="AT543" s="63" t="str">
        <f t="shared" si="189"/>
        <v xml:space="preserve">                    </v>
      </c>
    </row>
    <row r="544" spans="1:46" ht="12.75" x14ac:dyDescent="0.2">
      <c r="A544" s="63" t="str">
        <f t="shared" si="171"/>
        <v/>
      </c>
      <c r="B544" s="185"/>
      <c r="C544" s="184"/>
      <c r="D544" s="184"/>
      <c r="E544" s="184"/>
      <c r="F544" s="184"/>
      <c r="G544" s="185"/>
      <c r="H544" s="185"/>
      <c r="I544" s="186"/>
      <c r="J544" s="69"/>
      <c r="AA544" s="63">
        <f t="shared" si="172"/>
        <v>0</v>
      </c>
      <c r="AB544" s="153" t="str">
        <f t="shared" si="173"/>
        <v>000</v>
      </c>
      <c r="AC544" s="165" t="str">
        <f t="shared" si="174"/>
        <v>00000000</v>
      </c>
      <c r="AD544" s="98" t="str">
        <f t="shared" si="175"/>
        <v>00000000</v>
      </c>
      <c r="AE544" s="150">
        <f t="shared" si="176"/>
        <v>0</v>
      </c>
      <c r="AF544" s="150">
        <f t="shared" si="177"/>
        <v>0</v>
      </c>
      <c r="AG544" s="98" t="str">
        <f t="shared" si="178"/>
        <v>0000000000</v>
      </c>
      <c r="AH544" s="151">
        <f t="shared" si="179"/>
        <v>0</v>
      </c>
      <c r="AI544" s="98" t="str">
        <f t="shared" si="180"/>
        <v>00</v>
      </c>
      <c r="AJ544" s="98" t="str">
        <f t="shared" si="181"/>
        <v>000000000000</v>
      </c>
      <c r="AK544" s="161" t="str">
        <f t="shared" si="182"/>
        <v xml:space="preserve">                              </v>
      </c>
      <c r="AL544" s="154">
        <f t="shared" si="183"/>
        <v>0</v>
      </c>
      <c r="AM544" s="155">
        <f t="shared" si="184"/>
        <v>0</v>
      </c>
      <c r="AP544" s="63" t="str">
        <f t="shared" si="185"/>
        <v/>
      </c>
      <c r="AQ544" s="63" t="str">
        <f t="shared" si="186"/>
        <v/>
      </c>
      <c r="AR544" s="152" t="str">
        <f t="shared" si="187"/>
        <v/>
      </c>
      <c r="AS544" s="109" t="str">
        <f t="shared" si="188"/>
        <v/>
      </c>
      <c r="AT544" s="63" t="str">
        <f t="shared" si="189"/>
        <v xml:space="preserve">                    </v>
      </c>
    </row>
    <row r="545" spans="1:46" ht="12.75" x14ac:dyDescent="0.2">
      <c r="A545" s="63" t="str">
        <f t="shared" si="171"/>
        <v/>
      </c>
      <c r="B545" s="185"/>
      <c r="C545" s="184"/>
      <c r="D545" s="184"/>
      <c r="E545" s="184"/>
      <c r="F545" s="184"/>
      <c r="G545" s="185"/>
      <c r="H545" s="185"/>
      <c r="I545" s="186"/>
      <c r="J545" s="69"/>
      <c r="AA545" s="63">
        <f t="shared" si="172"/>
        <v>0</v>
      </c>
      <c r="AB545" s="153" t="str">
        <f t="shared" si="173"/>
        <v>000</v>
      </c>
      <c r="AC545" s="165" t="str">
        <f t="shared" si="174"/>
        <v>00000000</v>
      </c>
      <c r="AD545" s="98" t="str">
        <f t="shared" si="175"/>
        <v>00000000</v>
      </c>
      <c r="AE545" s="150">
        <f t="shared" si="176"/>
        <v>0</v>
      </c>
      <c r="AF545" s="150">
        <f t="shared" si="177"/>
        <v>0</v>
      </c>
      <c r="AG545" s="98" t="str">
        <f t="shared" si="178"/>
        <v>0000000000</v>
      </c>
      <c r="AH545" s="151">
        <f t="shared" si="179"/>
        <v>0</v>
      </c>
      <c r="AI545" s="98" t="str">
        <f t="shared" si="180"/>
        <v>00</v>
      </c>
      <c r="AJ545" s="98" t="str">
        <f t="shared" si="181"/>
        <v>000000000000</v>
      </c>
      <c r="AK545" s="161" t="str">
        <f t="shared" si="182"/>
        <v xml:space="preserve">                              </v>
      </c>
      <c r="AL545" s="154">
        <f t="shared" si="183"/>
        <v>0</v>
      </c>
      <c r="AM545" s="155">
        <f t="shared" si="184"/>
        <v>0</v>
      </c>
      <c r="AP545" s="63" t="str">
        <f t="shared" si="185"/>
        <v/>
      </c>
      <c r="AQ545" s="63" t="str">
        <f t="shared" si="186"/>
        <v/>
      </c>
      <c r="AR545" s="152" t="str">
        <f t="shared" si="187"/>
        <v/>
      </c>
      <c r="AS545" s="109" t="str">
        <f t="shared" si="188"/>
        <v/>
      </c>
      <c r="AT545" s="63" t="str">
        <f t="shared" si="189"/>
        <v xml:space="preserve">                    </v>
      </c>
    </row>
    <row r="546" spans="1:46" ht="12.75" x14ac:dyDescent="0.2">
      <c r="A546" s="63" t="str">
        <f t="shared" si="171"/>
        <v/>
      </c>
      <c r="B546" s="185"/>
      <c r="C546" s="184"/>
      <c r="D546" s="184"/>
      <c r="E546" s="184"/>
      <c r="F546" s="184"/>
      <c r="G546" s="185"/>
      <c r="H546" s="185"/>
      <c r="I546" s="186"/>
      <c r="J546" s="69"/>
      <c r="AA546" s="63">
        <f t="shared" si="172"/>
        <v>0</v>
      </c>
      <c r="AB546" s="153" t="str">
        <f t="shared" si="173"/>
        <v>000</v>
      </c>
      <c r="AC546" s="165" t="str">
        <f t="shared" si="174"/>
        <v>00000000</v>
      </c>
      <c r="AD546" s="98" t="str">
        <f t="shared" si="175"/>
        <v>00000000</v>
      </c>
      <c r="AE546" s="150">
        <f t="shared" si="176"/>
        <v>0</v>
      </c>
      <c r="AF546" s="150">
        <f t="shared" si="177"/>
        <v>0</v>
      </c>
      <c r="AG546" s="98" t="str">
        <f t="shared" si="178"/>
        <v>0000000000</v>
      </c>
      <c r="AH546" s="151">
        <f t="shared" si="179"/>
        <v>0</v>
      </c>
      <c r="AI546" s="98" t="str">
        <f t="shared" si="180"/>
        <v>00</v>
      </c>
      <c r="AJ546" s="98" t="str">
        <f t="shared" si="181"/>
        <v>000000000000</v>
      </c>
      <c r="AK546" s="161" t="str">
        <f t="shared" si="182"/>
        <v xml:space="preserve">                              </v>
      </c>
      <c r="AL546" s="154">
        <f t="shared" si="183"/>
        <v>0</v>
      </c>
      <c r="AM546" s="155">
        <f t="shared" si="184"/>
        <v>0</v>
      </c>
      <c r="AP546" s="63" t="str">
        <f t="shared" si="185"/>
        <v/>
      </c>
      <c r="AQ546" s="63" t="str">
        <f t="shared" si="186"/>
        <v/>
      </c>
      <c r="AR546" s="152" t="str">
        <f t="shared" si="187"/>
        <v/>
      </c>
      <c r="AS546" s="109" t="str">
        <f t="shared" si="188"/>
        <v/>
      </c>
      <c r="AT546" s="63" t="str">
        <f t="shared" si="189"/>
        <v xml:space="preserve">                    </v>
      </c>
    </row>
    <row r="547" spans="1:46" ht="12.75" x14ac:dyDescent="0.2">
      <c r="A547" s="63" t="str">
        <f t="shared" si="171"/>
        <v/>
      </c>
      <c r="B547" s="185"/>
      <c r="C547" s="184"/>
      <c r="D547" s="184"/>
      <c r="E547" s="184"/>
      <c r="F547" s="184"/>
      <c r="G547" s="185"/>
      <c r="H547" s="185"/>
      <c r="I547" s="186"/>
      <c r="J547" s="69"/>
      <c r="AA547" s="63">
        <f t="shared" si="172"/>
        <v>0</v>
      </c>
      <c r="AB547" s="153" t="str">
        <f t="shared" si="173"/>
        <v>000</v>
      </c>
      <c r="AC547" s="165" t="str">
        <f t="shared" si="174"/>
        <v>00000000</v>
      </c>
      <c r="AD547" s="98" t="str">
        <f t="shared" si="175"/>
        <v>00000000</v>
      </c>
      <c r="AE547" s="150">
        <f t="shared" si="176"/>
        <v>0</v>
      </c>
      <c r="AF547" s="150">
        <f t="shared" si="177"/>
        <v>0</v>
      </c>
      <c r="AG547" s="98" t="str">
        <f t="shared" si="178"/>
        <v>0000000000</v>
      </c>
      <c r="AH547" s="151">
        <f t="shared" si="179"/>
        <v>0</v>
      </c>
      <c r="AI547" s="98" t="str">
        <f t="shared" si="180"/>
        <v>00</v>
      </c>
      <c r="AJ547" s="98" t="str">
        <f t="shared" si="181"/>
        <v>000000000000</v>
      </c>
      <c r="AK547" s="161" t="str">
        <f t="shared" si="182"/>
        <v xml:space="preserve">                              </v>
      </c>
      <c r="AL547" s="154">
        <f t="shared" si="183"/>
        <v>0</v>
      </c>
      <c r="AM547" s="155">
        <f t="shared" si="184"/>
        <v>0</v>
      </c>
      <c r="AP547" s="63" t="str">
        <f t="shared" si="185"/>
        <v/>
      </c>
      <c r="AQ547" s="63" t="str">
        <f t="shared" si="186"/>
        <v/>
      </c>
      <c r="AR547" s="152" t="str">
        <f t="shared" si="187"/>
        <v/>
      </c>
      <c r="AS547" s="109" t="str">
        <f t="shared" si="188"/>
        <v/>
      </c>
      <c r="AT547" s="63" t="str">
        <f t="shared" si="189"/>
        <v xml:space="preserve">                    </v>
      </c>
    </row>
    <row r="548" spans="1:46" ht="12.75" x14ac:dyDescent="0.2">
      <c r="A548" s="63" t="str">
        <f t="shared" si="171"/>
        <v/>
      </c>
      <c r="B548" s="185"/>
      <c r="C548" s="184"/>
      <c r="D548" s="184"/>
      <c r="E548" s="184"/>
      <c r="F548" s="184"/>
      <c r="G548" s="185"/>
      <c r="H548" s="185"/>
      <c r="I548" s="186"/>
      <c r="J548" s="69"/>
      <c r="AA548" s="63">
        <f t="shared" si="172"/>
        <v>0</v>
      </c>
      <c r="AB548" s="153" t="str">
        <f t="shared" si="173"/>
        <v>000</v>
      </c>
      <c r="AC548" s="165" t="str">
        <f t="shared" si="174"/>
        <v>00000000</v>
      </c>
      <c r="AD548" s="98" t="str">
        <f t="shared" si="175"/>
        <v>00000000</v>
      </c>
      <c r="AE548" s="150">
        <f t="shared" si="176"/>
        <v>0</v>
      </c>
      <c r="AF548" s="150">
        <f t="shared" si="177"/>
        <v>0</v>
      </c>
      <c r="AG548" s="98" t="str">
        <f t="shared" si="178"/>
        <v>0000000000</v>
      </c>
      <c r="AH548" s="151">
        <f t="shared" si="179"/>
        <v>0</v>
      </c>
      <c r="AI548" s="98" t="str">
        <f t="shared" si="180"/>
        <v>00</v>
      </c>
      <c r="AJ548" s="98" t="str">
        <f t="shared" si="181"/>
        <v>000000000000</v>
      </c>
      <c r="AK548" s="161" t="str">
        <f t="shared" si="182"/>
        <v xml:space="preserve">                              </v>
      </c>
      <c r="AL548" s="154">
        <f t="shared" si="183"/>
        <v>0</v>
      </c>
      <c r="AM548" s="155">
        <f t="shared" si="184"/>
        <v>0</v>
      </c>
      <c r="AP548" s="63" t="str">
        <f t="shared" si="185"/>
        <v/>
      </c>
      <c r="AQ548" s="63" t="str">
        <f t="shared" si="186"/>
        <v/>
      </c>
      <c r="AR548" s="152" t="str">
        <f t="shared" si="187"/>
        <v/>
      </c>
      <c r="AS548" s="109" t="str">
        <f t="shared" si="188"/>
        <v/>
      </c>
      <c r="AT548" s="63" t="str">
        <f t="shared" si="189"/>
        <v xml:space="preserve">                    </v>
      </c>
    </row>
    <row r="549" spans="1:46" ht="12.75" x14ac:dyDescent="0.2">
      <c r="A549" s="63" t="str">
        <f t="shared" si="171"/>
        <v/>
      </c>
      <c r="B549" s="185"/>
      <c r="C549" s="184"/>
      <c r="D549" s="184"/>
      <c r="E549" s="184"/>
      <c r="F549" s="184"/>
      <c r="G549" s="185"/>
      <c r="H549" s="185"/>
      <c r="I549" s="186"/>
      <c r="J549" s="69"/>
      <c r="AA549" s="63">
        <f t="shared" si="172"/>
        <v>0</v>
      </c>
      <c r="AB549" s="153" t="str">
        <f t="shared" si="173"/>
        <v>000</v>
      </c>
      <c r="AC549" s="165" t="str">
        <f t="shared" si="174"/>
        <v>00000000</v>
      </c>
      <c r="AD549" s="98" t="str">
        <f t="shared" si="175"/>
        <v>00000000</v>
      </c>
      <c r="AE549" s="150">
        <f t="shared" si="176"/>
        <v>0</v>
      </c>
      <c r="AF549" s="150">
        <f t="shared" si="177"/>
        <v>0</v>
      </c>
      <c r="AG549" s="98" t="str">
        <f t="shared" si="178"/>
        <v>0000000000</v>
      </c>
      <c r="AH549" s="151">
        <f t="shared" si="179"/>
        <v>0</v>
      </c>
      <c r="AI549" s="98" t="str">
        <f t="shared" si="180"/>
        <v>00</v>
      </c>
      <c r="AJ549" s="98" t="str">
        <f t="shared" si="181"/>
        <v>000000000000</v>
      </c>
      <c r="AK549" s="161" t="str">
        <f t="shared" si="182"/>
        <v xml:space="preserve">                              </v>
      </c>
      <c r="AL549" s="154">
        <f t="shared" si="183"/>
        <v>0</v>
      </c>
      <c r="AM549" s="155">
        <f t="shared" si="184"/>
        <v>0</v>
      </c>
      <c r="AP549" s="63" t="str">
        <f t="shared" si="185"/>
        <v/>
      </c>
      <c r="AQ549" s="63" t="str">
        <f t="shared" si="186"/>
        <v/>
      </c>
      <c r="AR549" s="152" t="str">
        <f t="shared" si="187"/>
        <v/>
      </c>
      <c r="AS549" s="109" t="str">
        <f t="shared" si="188"/>
        <v/>
      </c>
      <c r="AT549" s="63" t="str">
        <f t="shared" si="189"/>
        <v xml:space="preserve">                    </v>
      </c>
    </row>
    <row r="550" spans="1:46" ht="12.75" x14ac:dyDescent="0.2">
      <c r="A550" s="63" t="str">
        <f t="shared" si="171"/>
        <v/>
      </c>
      <c r="B550" s="185"/>
      <c r="C550" s="184"/>
      <c r="D550" s="184"/>
      <c r="E550" s="184"/>
      <c r="F550" s="184"/>
      <c r="G550" s="185"/>
      <c r="H550" s="185"/>
      <c r="I550" s="186"/>
      <c r="J550" s="69"/>
      <c r="AA550" s="63">
        <f t="shared" si="172"/>
        <v>0</v>
      </c>
      <c r="AB550" s="153" t="str">
        <f t="shared" si="173"/>
        <v>000</v>
      </c>
      <c r="AC550" s="165" t="str">
        <f t="shared" si="174"/>
        <v>00000000</v>
      </c>
      <c r="AD550" s="98" t="str">
        <f t="shared" si="175"/>
        <v>00000000</v>
      </c>
      <c r="AE550" s="150">
        <f t="shared" si="176"/>
        <v>0</v>
      </c>
      <c r="AF550" s="150">
        <f t="shared" si="177"/>
        <v>0</v>
      </c>
      <c r="AG550" s="98" t="str">
        <f t="shared" si="178"/>
        <v>0000000000</v>
      </c>
      <c r="AH550" s="151">
        <f t="shared" si="179"/>
        <v>0</v>
      </c>
      <c r="AI550" s="98" t="str">
        <f t="shared" si="180"/>
        <v>00</v>
      </c>
      <c r="AJ550" s="98" t="str">
        <f t="shared" si="181"/>
        <v>000000000000</v>
      </c>
      <c r="AK550" s="161" t="str">
        <f t="shared" si="182"/>
        <v xml:space="preserve">                              </v>
      </c>
      <c r="AL550" s="154">
        <f t="shared" si="183"/>
        <v>0</v>
      </c>
      <c r="AM550" s="155">
        <f t="shared" si="184"/>
        <v>0</v>
      </c>
      <c r="AP550" s="63" t="str">
        <f t="shared" si="185"/>
        <v/>
      </c>
      <c r="AQ550" s="63" t="str">
        <f t="shared" si="186"/>
        <v/>
      </c>
      <c r="AR550" s="152" t="str">
        <f t="shared" si="187"/>
        <v/>
      </c>
      <c r="AS550" s="109" t="str">
        <f t="shared" si="188"/>
        <v/>
      </c>
      <c r="AT550" s="63" t="str">
        <f t="shared" si="189"/>
        <v xml:space="preserve">                    </v>
      </c>
    </row>
    <row r="551" spans="1:46" ht="12.75" x14ac:dyDescent="0.2">
      <c r="A551" s="63" t="str">
        <f t="shared" si="171"/>
        <v/>
      </c>
      <c r="B551" s="185"/>
      <c r="C551" s="184"/>
      <c r="D551" s="184"/>
      <c r="E551" s="184"/>
      <c r="F551" s="184"/>
      <c r="G551" s="185"/>
      <c r="H551" s="185"/>
      <c r="I551" s="186"/>
      <c r="J551" s="69"/>
      <c r="AA551" s="63">
        <f t="shared" si="172"/>
        <v>0</v>
      </c>
      <c r="AB551" s="153" t="str">
        <f t="shared" si="173"/>
        <v>000</v>
      </c>
      <c r="AC551" s="165" t="str">
        <f t="shared" si="174"/>
        <v>00000000</v>
      </c>
      <c r="AD551" s="98" t="str">
        <f t="shared" si="175"/>
        <v>00000000</v>
      </c>
      <c r="AE551" s="150">
        <f t="shared" si="176"/>
        <v>0</v>
      </c>
      <c r="AF551" s="150">
        <f t="shared" si="177"/>
        <v>0</v>
      </c>
      <c r="AG551" s="98" t="str">
        <f t="shared" si="178"/>
        <v>0000000000</v>
      </c>
      <c r="AH551" s="151">
        <f t="shared" si="179"/>
        <v>0</v>
      </c>
      <c r="AI551" s="98" t="str">
        <f t="shared" si="180"/>
        <v>00</v>
      </c>
      <c r="AJ551" s="98" t="str">
        <f t="shared" si="181"/>
        <v>000000000000</v>
      </c>
      <c r="AK551" s="161" t="str">
        <f t="shared" si="182"/>
        <v xml:space="preserve">                              </v>
      </c>
      <c r="AL551" s="154">
        <f t="shared" si="183"/>
        <v>0</v>
      </c>
      <c r="AM551" s="155">
        <f t="shared" si="184"/>
        <v>0</v>
      </c>
      <c r="AP551" s="63" t="str">
        <f t="shared" si="185"/>
        <v/>
      </c>
      <c r="AQ551" s="63" t="str">
        <f t="shared" si="186"/>
        <v/>
      </c>
      <c r="AR551" s="152" t="str">
        <f t="shared" si="187"/>
        <v/>
      </c>
      <c r="AS551" s="109" t="str">
        <f t="shared" si="188"/>
        <v/>
      </c>
      <c r="AT551" s="63" t="str">
        <f t="shared" si="189"/>
        <v xml:space="preserve">                    </v>
      </c>
    </row>
    <row r="552" spans="1:46" ht="12.75" x14ac:dyDescent="0.2">
      <c r="A552" s="63" t="str">
        <f t="shared" si="171"/>
        <v/>
      </c>
      <c r="B552" s="185"/>
      <c r="C552" s="184"/>
      <c r="D552" s="184"/>
      <c r="E552" s="184"/>
      <c r="F552" s="184"/>
      <c r="G552" s="185"/>
      <c r="H552" s="185"/>
      <c r="I552" s="186"/>
      <c r="J552" s="69"/>
      <c r="AA552" s="63">
        <f t="shared" si="172"/>
        <v>0</v>
      </c>
      <c r="AB552" s="153" t="str">
        <f t="shared" si="173"/>
        <v>000</v>
      </c>
      <c r="AC552" s="165" t="str">
        <f t="shared" si="174"/>
        <v>00000000</v>
      </c>
      <c r="AD552" s="98" t="str">
        <f t="shared" si="175"/>
        <v>00000000</v>
      </c>
      <c r="AE552" s="150">
        <f t="shared" si="176"/>
        <v>0</v>
      </c>
      <c r="AF552" s="150">
        <f t="shared" si="177"/>
        <v>0</v>
      </c>
      <c r="AG552" s="98" t="str">
        <f t="shared" si="178"/>
        <v>0000000000</v>
      </c>
      <c r="AH552" s="151">
        <f t="shared" si="179"/>
        <v>0</v>
      </c>
      <c r="AI552" s="98" t="str">
        <f t="shared" si="180"/>
        <v>00</v>
      </c>
      <c r="AJ552" s="98" t="str">
        <f t="shared" si="181"/>
        <v>000000000000</v>
      </c>
      <c r="AK552" s="161" t="str">
        <f t="shared" si="182"/>
        <v xml:space="preserve">                              </v>
      </c>
      <c r="AL552" s="154">
        <f t="shared" si="183"/>
        <v>0</v>
      </c>
      <c r="AM552" s="155">
        <f t="shared" si="184"/>
        <v>0</v>
      </c>
      <c r="AP552" s="63" t="str">
        <f t="shared" si="185"/>
        <v/>
      </c>
      <c r="AQ552" s="63" t="str">
        <f t="shared" si="186"/>
        <v/>
      </c>
      <c r="AR552" s="152" t="str">
        <f t="shared" si="187"/>
        <v/>
      </c>
      <c r="AS552" s="109" t="str">
        <f t="shared" si="188"/>
        <v/>
      </c>
      <c r="AT552" s="63" t="str">
        <f t="shared" si="189"/>
        <v xml:space="preserve">                    </v>
      </c>
    </row>
    <row r="553" spans="1:46" ht="12.75" x14ac:dyDescent="0.2">
      <c r="A553" s="63" t="str">
        <f t="shared" si="171"/>
        <v/>
      </c>
      <c r="B553" s="185"/>
      <c r="C553" s="184"/>
      <c r="D553" s="184"/>
      <c r="E553" s="184"/>
      <c r="F553" s="184"/>
      <c r="G553" s="185"/>
      <c r="H553" s="185"/>
      <c r="I553" s="186"/>
      <c r="J553" s="69"/>
      <c r="AA553" s="63">
        <f t="shared" si="172"/>
        <v>0</v>
      </c>
      <c r="AB553" s="153" t="str">
        <f t="shared" si="173"/>
        <v>000</v>
      </c>
      <c r="AC553" s="165" t="str">
        <f t="shared" si="174"/>
        <v>00000000</v>
      </c>
      <c r="AD553" s="98" t="str">
        <f t="shared" si="175"/>
        <v>00000000</v>
      </c>
      <c r="AE553" s="150">
        <f t="shared" si="176"/>
        <v>0</v>
      </c>
      <c r="AF553" s="150">
        <f t="shared" si="177"/>
        <v>0</v>
      </c>
      <c r="AG553" s="98" t="str">
        <f t="shared" si="178"/>
        <v>0000000000</v>
      </c>
      <c r="AH553" s="151">
        <f t="shared" si="179"/>
        <v>0</v>
      </c>
      <c r="AI553" s="98" t="str">
        <f t="shared" si="180"/>
        <v>00</v>
      </c>
      <c r="AJ553" s="98" t="str">
        <f t="shared" si="181"/>
        <v>000000000000</v>
      </c>
      <c r="AK553" s="161" t="str">
        <f t="shared" si="182"/>
        <v xml:space="preserve">                              </v>
      </c>
      <c r="AL553" s="154">
        <f t="shared" si="183"/>
        <v>0</v>
      </c>
      <c r="AM553" s="155">
        <f t="shared" si="184"/>
        <v>0</v>
      </c>
      <c r="AP553" s="63" t="str">
        <f t="shared" si="185"/>
        <v/>
      </c>
      <c r="AQ553" s="63" t="str">
        <f t="shared" si="186"/>
        <v/>
      </c>
      <c r="AR553" s="152" t="str">
        <f t="shared" si="187"/>
        <v/>
      </c>
      <c r="AS553" s="109" t="str">
        <f t="shared" si="188"/>
        <v/>
      </c>
      <c r="AT553" s="63" t="str">
        <f t="shared" si="189"/>
        <v xml:space="preserve">                    </v>
      </c>
    </row>
    <row r="554" spans="1:46" ht="12.75" x14ac:dyDescent="0.2">
      <c r="A554" s="63" t="str">
        <f t="shared" si="171"/>
        <v/>
      </c>
      <c r="B554" s="185"/>
      <c r="C554" s="184"/>
      <c r="D554" s="184"/>
      <c r="E554" s="184"/>
      <c r="F554" s="184"/>
      <c r="G554" s="185"/>
      <c r="H554" s="185"/>
      <c r="I554" s="186"/>
      <c r="J554" s="69"/>
      <c r="AA554" s="63">
        <f t="shared" si="172"/>
        <v>0</v>
      </c>
      <c r="AB554" s="153" t="str">
        <f t="shared" si="173"/>
        <v>000</v>
      </c>
      <c r="AC554" s="165" t="str">
        <f t="shared" si="174"/>
        <v>00000000</v>
      </c>
      <c r="AD554" s="98" t="str">
        <f t="shared" si="175"/>
        <v>00000000</v>
      </c>
      <c r="AE554" s="150">
        <f t="shared" si="176"/>
        <v>0</v>
      </c>
      <c r="AF554" s="150">
        <f t="shared" si="177"/>
        <v>0</v>
      </c>
      <c r="AG554" s="98" t="str">
        <f t="shared" si="178"/>
        <v>0000000000</v>
      </c>
      <c r="AH554" s="151">
        <f t="shared" si="179"/>
        <v>0</v>
      </c>
      <c r="AI554" s="98" t="str">
        <f t="shared" si="180"/>
        <v>00</v>
      </c>
      <c r="AJ554" s="98" t="str">
        <f t="shared" si="181"/>
        <v>000000000000</v>
      </c>
      <c r="AK554" s="161" t="str">
        <f t="shared" si="182"/>
        <v xml:space="preserve">                              </v>
      </c>
      <c r="AL554" s="154">
        <f t="shared" si="183"/>
        <v>0</v>
      </c>
      <c r="AM554" s="155">
        <f t="shared" si="184"/>
        <v>0</v>
      </c>
      <c r="AP554" s="63" t="str">
        <f t="shared" si="185"/>
        <v/>
      </c>
      <c r="AQ554" s="63" t="str">
        <f t="shared" si="186"/>
        <v/>
      </c>
      <c r="AR554" s="152" t="str">
        <f t="shared" si="187"/>
        <v/>
      </c>
      <c r="AS554" s="109" t="str">
        <f t="shared" si="188"/>
        <v/>
      </c>
      <c r="AT554" s="63" t="str">
        <f t="shared" si="189"/>
        <v xml:space="preserve">                    </v>
      </c>
    </row>
    <row r="555" spans="1:46" ht="12.75" x14ac:dyDescent="0.2">
      <c r="A555" s="63" t="str">
        <f t="shared" si="171"/>
        <v/>
      </c>
      <c r="B555" s="185"/>
      <c r="C555" s="184"/>
      <c r="D555" s="184"/>
      <c r="E555" s="184"/>
      <c r="F555" s="184"/>
      <c r="G555" s="185"/>
      <c r="H555" s="185"/>
      <c r="I555" s="186"/>
      <c r="J555" s="69"/>
      <c r="AA555" s="63">
        <f t="shared" si="172"/>
        <v>0</v>
      </c>
      <c r="AB555" s="153" t="str">
        <f t="shared" si="173"/>
        <v>000</v>
      </c>
      <c r="AC555" s="165" t="str">
        <f t="shared" si="174"/>
        <v>00000000</v>
      </c>
      <c r="AD555" s="98" t="str">
        <f t="shared" si="175"/>
        <v>00000000</v>
      </c>
      <c r="AE555" s="150">
        <f t="shared" si="176"/>
        <v>0</v>
      </c>
      <c r="AF555" s="150">
        <f t="shared" si="177"/>
        <v>0</v>
      </c>
      <c r="AG555" s="98" t="str">
        <f t="shared" si="178"/>
        <v>0000000000</v>
      </c>
      <c r="AH555" s="151">
        <f t="shared" si="179"/>
        <v>0</v>
      </c>
      <c r="AI555" s="98" t="str">
        <f t="shared" si="180"/>
        <v>00</v>
      </c>
      <c r="AJ555" s="98" t="str">
        <f t="shared" si="181"/>
        <v>000000000000</v>
      </c>
      <c r="AK555" s="161" t="str">
        <f t="shared" si="182"/>
        <v xml:space="preserve">                              </v>
      </c>
      <c r="AL555" s="154">
        <f t="shared" si="183"/>
        <v>0</v>
      </c>
      <c r="AM555" s="155">
        <f t="shared" si="184"/>
        <v>0</v>
      </c>
      <c r="AP555" s="63" t="str">
        <f t="shared" si="185"/>
        <v/>
      </c>
      <c r="AQ555" s="63" t="str">
        <f t="shared" si="186"/>
        <v/>
      </c>
      <c r="AR555" s="152" t="str">
        <f t="shared" si="187"/>
        <v/>
      </c>
      <c r="AS555" s="109" t="str">
        <f t="shared" si="188"/>
        <v/>
      </c>
      <c r="AT555" s="63" t="str">
        <f t="shared" si="189"/>
        <v xml:space="preserve">                    </v>
      </c>
    </row>
    <row r="556" spans="1:46" ht="12.75" x14ac:dyDescent="0.2">
      <c r="A556" s="63" t="str">
        <f t="shared" si="171"/>
        <v/>
      </c>
      <c r="B556" s="185"/>
      <c r="C556" s="184"/>
      <c r="D556" s="184"/>
      <c r="E556" s="184"/>
      <c r="F556" s="184"/>
      <c r="G556" s="185"/>
      <c r="H556" s="185"/>
      <c r="I556" s="186"/>
      <c r="J556" s="69"/>
      <c r="AA556" s="63">
        <f t="shared" si="172"/>
        <v>0</v>
      </c>
      <c r="AB556" s="153" t="str">
        <f t="shared" si="173"/>
        <v>000</v>
      </c>
      <c r="AC556" s="165" t="str">
        <f t="shared" si="174"/>
        <v>00000000</v>
      </c>
      <c r="AD556" s="98" t="str">
        <f t="shared" si="175"/>
        <v>00000000</v>
      </c>
      <c r="AE556" s="150">
        <f t="shared" si="176"/>
        <v>0</v>
      </c>
      <c r="AF556" s="150">
        <f t="shared" si="177"/>
        <v>0</v>
      </c>
      <c r="AG556" s="98" t="str">
        <f t="shared" si="178"/>
        <v>0000000000</v>
      </c>
      <c r="AH556" s="151">
        <f t="shared" si="179"/>
        <v>0</v>
      </c>
      <c r="AI556" s="98" t="str">
        <f t="shared" si="180"/>
        <v>00</v>
      </c>
      <c r="AJ556" s="98" t="str">
        <f t="shared" si="181"/>
        <v>000000000000</v>
      </c>
      <c r="AK556" s="161" t="str">
        <f t="shared" si="182"/>
        <v xml:space="preserve">                              </v>
      </c>
      <c r="AL556" s="154">
        <f t="shared" si="183"/>
        <v>0</v>
      </c>
      <c r="AM556" s="155">
        <f t="shared" si="184"/>
        <v>0</v>
      </c>
      <c r="AP556" s="63" t="str">
        <f t="shared" si="185"/>
        <v/>
      </c>
      <c r="AQ556" s="63" t="str">
        <f t="shared" si="186"/>
        <v/>
      </c>
      <c r="AR556" s="152" t="str">
        <f t="shared" si="187"/>
        <v/>
      </c>
      <c r="AS556" s="109" t="str">
        <f t="shared" si="188"/>
        <v/>
      </c>
      <c r="AT556" s="63" t="str">
        <f t="shared" si="189"/>
        <v xml:space="preserve">                    </v>
      </c>
    </row>
    <row r="557" spans="1:46" ht="12.75" x14ac:dyDescent="0.2">
      <c r="A557" s="63" t="str">
        <f t="shared" si="171"/>
        <v/>
      </c>
      <c r="B557" s="185"/>
      <c r="C557" s="184"/>
      <c r="D557" s="184"/>
      <c r="E557" s="184"/>
      <c r="F557" s="184"/>
      <c r="G557" s="185"/>
      <c r="H557" s="185"/>
      <c r="I557" s="186"/>
      <c r="J557" s="69"/>
      <c r="AA557" s="63">
        <f t="shared" si="172"/>
        <v>0</v>
      </c>
      <c r="AB557" s="153" t="str">
        <f t="shared" si="173"/>
        <v>000</v>
      </c>
      <c r="AC557" s="165" t="str">
        <f t="shared" si="174"/>
        <v>00000000</v>
      </c>
      <c r="AD557" s="98" t="str">
        <f t="shared" si="175"/>
        <v>00000000</v>
      </c>
      <c r="AE557" s="150">
        <f t="shared" si="176"/>
        <v>0</v>
      </c>
      <c r="AF557" s="150">
        <f t="shared" si="177"/>
        <v>0</v>
      </c>
      <c r="AG557" s="98" t="str">
        <f t="shared" si="178"/>
        <v>0000000000</v>
      </c>
      <c r="AH557" s="151">
        <f t="shared" si="179"/>
        <v>0</v>
      </c>
      <c r="AI557" s="98" t="str">
        <f t="shared" si="180"/>
        <v>00</v>
      </c>
      <c r="AJ557" s="98" t="str">
        <f t="shared" si="181"/>
        <v>000000000000</v>
      </c>
      <c r="AK557" s="161" t="str">
        <f t="shared" si="182"/>
        <v xml:space="preserve">                              </v>
      </c>
      <c r="AL557" s="154">
        <f t="shared" si="183"/>
        <v>0</v>
      </c>
      <c r="AM557" s="155">
        <f t="shared" si="184"/>
        <v>0</v>
      </c>
      <c r="AP557" s="63" t="str">
        <f t="shared" si="185"/>
        <v/>
      </c>
      <c r="AQ557" s="63" t="str">
        <f t="shared" si="186"/>
        <v/>
      </c>
      <c r="AR557" s="152" t="str">
        <f t="shared" si="187"/>
        <v/>
      </c>
      <c r="AS557" s="109" t="str">
        <f t="shared" si="188"/>
        <v/>
      </c>
      <c r="AT557" s="63" t="str">
        <f t="shared" si="189"/>
        <v xml:space="preserve">                    </v>
      </c>
    </row>
    <row r="558" spans="1:46" ht="12.75" x14ac:dyDescent="0.2">
      <c r="A558" s="63" t="str">
        <f t="shared" si="171"/>
        <v/>
      </c>
      <c r="B558" s="185"/>
      <c r="C558" s="184"/>
      <c r="D558" s="184"/>
      <c r="E558" s="184"/>
      <c r="F558" s="184"/>
      <c r="G558" s="185"/>
      <c r="H558" s="185"/>
      <c r="I558" s="186"/>
      <c r="J558" s="69"/>
      <c r="AA558" s="63">
        <f t="shared" si="172"/>
        <v>0</v>
      </c>
      <c r="AB558" s="153" t="str">
        <f t="shared" si="173"/>
        <v>000</v>
      </c>
      <c r="AC558" s="165" t="str">
        <f t="shared" si="174"/>
        <v>00000000</v>
      </c>
      <c r="AD558" s="98" t="str">
        <f t="shared" si="175"/>
        <v>00000000</v>
      </c>
      <c r="AE558" s="150">
        <f t="shared" si="176"/>
        <v>0</v>
      </c>
      <c r="AF558" s="150">
        <f t="shared" si="177"/>
        <v>0</v>
      </c>
      <c r="AG558" s="98" t="str">
        <f t="shared" si="178"/>
        <v>0000000000</v>
      </c>
      <c r="AH558" s="151">
        <f t="shared" si="179"/>
        <v>0</v>
      </c>
      <c r="AI558" s="98" t="str">
        <f t="shared" si="180"/>
        <v>00</v>
      </c>
      <c r="AJ558" s="98" t="str">
        <f t="shared" si="181"/>
        <v>000000000000</v>
      </c>
      <c r="AK558" s="161" t="str">
        <f t="shared" si="182"/>
        <v xml:space="preserve">                              </v>
      </c>
      <c r="AL558" s="154">
        <f t="shared" si="183"/>
        <v>0</v>
      </c>
      <c r="AM558" s="155">
        <f t="shared" si="184"/>
        <v>0</v>
      </c>
      <c r="AP558" s="63" t="str">
        <f t="shared" si="185"/>
        <v/>
      </c>
      <c r="AQ558" s="63" t="str">
        <f t="shared" si="186"/>
        <v/>
      </c>
      <c r="AR558" s="152" t="str">
        <f t="shared" si="187"/>
        <v/>
      </c>
      <c r="AS558" s="109" t="str">
        <f t="shared" si="188"/>
        <v/>
      </c>
      <c r="AT558" s="63" t="str">
        <f t="shared" si="189"/>
        <v xml:space="preserve">                    </v>
      </c>
    </row>
    <row r="559" spans="1:46" ht="12.75" x14ac:dyDescent="0.2">
      <c r="A559" s="63" t="str">
        <f t="shared" si="171"/>
        <v/>
      </c>
      <c r="B559" s="185"/>
      <c r="C559" s="184"/>
      <c r="D559" s="184"/>
      <c r="E559" s="184"/>
      <c r="F559" s="184"/>
      <c r="G559" s="185"/>
      <c r="H559" s="185"/>
      <c r="I559" s="186"/>
      <c r="J559" s="69"/>
      <c r="AA559" s="63">
        <f t="shared" si="172"/>
        <v>0</v>
      </c>
      <c r="AB559" s="153" t="str">
        <f t="shared" si="173"/>
        <v>000</v>
      </c>
      <c r="AC559" s="165" t="str">
        <f t="shared" si="174"/>
        <v>00000000</v>
      </c>
      <c r="AD559" s="98" t="str">
        <f t="shared" si="175"/>
        <v>00000000</v>
      </c>
      <c r="AE559" s="150">
        <f t="shared" si="176"/>
        <v>0</v>
      </c>
      <c r="AF559" s="150">
        <f t="shared" si="177"/>
        <v>0</v>
      </c>
      <c r="AG559" s="98" t="str">
        <f t="shared" si="178"/>
        <v>0000000000</v>
      </c>
      <c r="AH559" s="151">
        <f t="shared" si="179"/>
        <v>0</v>
      </c>
      <c r="AI559" s="98" t="str">
        <f t="shared" si="180"/>
        <v>00</v>
      </c>
      <c r="AJ559" s="98" t="str">
        <f t="shared" si="181"/>
        <v>000000000000</v>
      </c>
      <c r="AK559" s="161" t="str">
        <f t="shared" si="182"/>
        <v xml:space="preserve">                              </v>
      </c>
      <c r="AL559" s="154">
        <f t="shared" si="183"/>
        <v>0</v>
      </c>
      <c r="AM559" s="155">
        <f t="shared" si="184"/>
        <v>0</v>
      </c>
      <c r="AP559" s="63" t="str">
        <f t="shared" si="185"/>
        <v/>
      </c>
      <c r="AQ559" s="63" t="str">
        <f t="shared" si="186"/>
        <v/>
      </c>
      <c r="AR559" s="152" t="str">
        <f t="shared" si="187"/>
        <v/>
      </c>
      <c r="AS559" s="109" t="str">
        <f t="shared" si="188"/>
        <v/>
      </c>
      <c r="AT559" s="63" t="str">
        <f t="shared" si="189"/>
        <v xml:space="preserve">                    </v>
      </c>
    </row>
    <row r="560" spans="1:46" ht="12.75" x14ac:dyDescent="0.2">
      <c r="A560" s="63" t="str">
        <f t="shared" si="171"/>
        <v/>
      </c>
      <c r="B560" s="185"/>
      <c r="C560" s="184"/>
      <c r="D560" s="184"/>
      <c r="E560" s="184"/>
      <c r="F560" s="184"/>
      <c r="G560" s="185"/>
      <c r="H560" s="185"/>
      <c r="I560" s="186"/>
      <c r="J560" s="69"/>
      <c r="AA560" s="63">
        <f t="shared" si="172"/>
        <v>0</v>
      </c>
      <c r="AB560" s="153" t="str">
        <f t="shared" si="173"/>
        <v>000</v>
      </c>
      <c r="AC560" s="165" t="str">
        <f t="shared" si="174"/>
        <v>00000000</v>
      </c>
      <c r="AD560" s="98" t="str">
        <f t="shared" si="175"/>
        <v>00000000</v>
      </c>
      <c r="AE560" s="150">
        <f t="shared" si="176"/>
        <v>0</v>
      </c>
      <c r="AF560" s="150">
        <f t="shared" si="177"/>
        <v>0</v>
      </c>
      <c r="AG560" s="98" t="str">
        <f t="shared" si="178"/>
        <v>0000000000</v>
      </c>
      <c r="AH560" s="151">
        <f t="shared" si="179"/>
        <v>0</v>
      </c>
      <c r="AI560" s="98" t="str">
        <f t="shared" si="180"/>
        <v>00</v>
      </c>
      <c r="AJ560" s="98" t="str">
        <f t="shared" si="181"/>
        <v>000000000000</v>
      </c>
      <c r="AK560" s="161" t="str">
        <f t="shared" si="182"/>
        <v xml:space="preserve">                              </v>
      </c>
      <c r="AL560" s="154">
        <f t="shared" si="183"/>
        <v>0</v>
      </c>
      <c r="AM560" s="155">
        <f t="shared" si="184"/>
        <v>0</v>
      </c>
      <c r="AP560" s="63" t="str">
        <f t="shared" si="185"/>
        <v/>
      </c>
      <c r="AQ560" s="63" t="str">
        <f t="shared" si="186"/>
        <v/>
      </c>
      <c r="AR560" s="152" t="str">
        <f t="shared" si="187"/>
        <v/>
      </c>
      <c r="AS560" s="109" t="str">
        <f t="shared" si="188"/>
        <v/>
      </c>
      <c r="AT560" s="63" t="str">
        <f t="shared" si="189"/>
        <v xml:space="preserve">                    </v>
      </c>
    </row>
    <row r="561" spans="1:46" ht="12.75" x14ac:dyDescent="0.2">
      <c r="A561" s="63" t="str">
        <f t="shared" si="171"/>
        <v/>
      </c>
      <c r="B561" s="185"/>
      <c r="C561" s="184"/>
      <c r="D561" s="184"/>
      <c r="E561" s="184"/>
      <c r="F561" s="184"/>
      <c r="G561" s="185"/>
      <c r="H561" s="185"/>
      <c r="I561" s="186"/>
      <c r="J561" s="69"/>
      <c r="AA561" s="63">
        <f t="shared" si="172"/>
        <v>0</v>
      </c>
      <c r="AB561" s="153" t="str">
        <f t="shared" si="173"/>
        <v>000</v>
      </c>
      <c r="AC561" s="165" t="str">
        <f t="shared" si="174"/>
        <v>00000000</v>
      </c>
      <c r="AD561" s="98" t="str">
        <f t="shared" si="175"/>
        <v>00000000</v>
      </c>
      <c r="AE561" s="150">
        <f t="shared" si="176"/>
        <v>0</v>
      </c>
      <c r="AF561" s="150">
        <f t="shared" si="177"/>
        <v>0</v>
      </c>
      <c r="AG561" s="98" t="str">
        <f t="shared" si="178"/>
        <v>0000000000</v>
      </c>
      <c r="AH561" s="151">
        <f t="shared" si="179"/>
        <v>0</v>
      </c>
      <c r="AI561" s="98" t="str">
        <f t="shared" si="180"/>
        <v>00</v>
      </c>
      <c r="AJ561" s="98" t="str">
        <f t="shared" si="181"/>
        <v>000000000000</v>
      </c>
      <c r="AK561" s="161" t="str">
        <f t="shared" si="182"/>
        <v xml:space="preserve">                              </v>
      </c>
      <c r="AL561" s="154">
        <f t="shared" si="183"/>
        <v>0</v>
      </c>
      <c r="AM561" s="155">
        <f t="shared" si="184"/>
        <v>0</v>
      </c>
      <c r="AP561" s="63" t="str">
        <f t="shared" si="185"/>
        <v/>
      </c>
      <c r="AQ561" s="63" t="str">
        <f t="shared" si="186"/>
        <v/>
      </c>
      <c r="AR561" s="152" t="str">
        <f t="shared" si="187"/>
        <v/>
      </c>
      <c r="AS561" s="109" t="str">
        <f t="shared" si="188"/>
        <v/>
      </c>
      <c r="AT561" s="63" t="str">
        <f t="shared" si="189"/>
        <v xml:space="preserve">                    </v>
      </c>
    </row>
    <row r="562" spans="1:46" ht="12.75" x14ac:dyDescent="0.2">
      <c r="A562" s="63" t="str">
        <f t="shared" si="171"/>
        <v/>
      </c>
      <c r="B562" s="185"/>
      <c r="C562" s="184"/>
      <c r="D562" s="184"/>
      <c r="E562" s="184"/>
      <c r="F562" s="184"/>
      <c r="G562" s="185"/>
      <c r="H562" s="185"/>
      <c r="I562" s="186"/>
      <c r="J562" s="69"/>
      <c r="AA562" s="63">
        <f t="shared" si="172"/>
        <v>0</v>
      </c>
      <c r="AB562" s="153" t="str">
        <f t="shared" si="173"/>
        <v>000</v>
      </c>
      <c r="AC562" s="165" t="str">
        <f t="shared" si="174"/>
        <v>00000000</v>
      </c>
      <c r="AD562" s="98" t="str">
        <f t="shared" si="175"/>
        <v>00000000</v>
      </c>
      <c r="AE562" s="150">
        <f t="shared" si="176"/>
        <v>0</v>
      </c>
      <c r="AF562" s="150">
        <f t="shared" si="177"/>
        <v>0</v>
      </c>
      <c r="AG562" s="98" t="str">
        <f t="shared" si="178"/>
        <v>0000000000</v>
      </c>
      <c r="AH562" s="151">
        <f t="shared" si="179"/>
        <v>0</v>
      </c>
      <c r="AI562" s="98" t="str">
        <f t="shared" si="180"/>
        <v>00</v>
      </c>
      <c r="AJ562" s="98" t="str">
        <f t="shared" si="181"/>
        <v>000000000000</v>
      </c>
      <c r="AK562" s="161" t="str">
        <f t="shared" si="182"/>
        <v xml:space="preserve">                              </v>
      </c>
      <c r="AL562" s="154">
        <f t="shared" si="183"/>
        <v>0</v>
      </c>
      <c r="AM562" s="155">
        <f t="shared" si="184"/>
        <v>0</v>
      </c>
      <c r="AP562" s="63" t="str">
        <f t="shared" si="185"/>
        <v/>
      </c>
      <c r="AQ562" s="63" t="str">
        <f t="shared" si="186"/>
        <v/>
      </c>
      <c r="AR562" s="152" t="str">
        <f t="shared" si="187"/>
        <v/>
      </c>
      <c r="AS562" s="109" t="str">
        <f t="shared" si="188"/>
        <v/>
      </c>
      <c r="AT562" s="63" t="str">
        <f t="shared" si="189"/>
        <v xml:space="preserve">                    </v>
      </c>
    </row>
    <row r="563" spans="1:46" ht="12.75" x14ac:dyDescent="0.2">
      <c r="A563" s="63" t="str">
        <f t="shared" si="171"/>
        <v/>
      </c>
      <c r="B563" s="185"/>
      <c r="C563" s="184"/>
      <c r="D563" s="184"/>
      <c r="E563" s="184"/>
      <c r="F563" s="184"/>
      <c r="G563" s="185"/>
      <c r="H563" s="185"/>
      <c r="I563" s="186"/>
      <c r="J563" s="69"/>
      <c r="AA563" s="63">
        <f t="shared" si="172"/>
        <v>0</v>
      </c>
      <c r="AB563" s="153" t="str">
        <f t="shared" si="173"/>
        <v>000</v>
      </c>
      <c r="AC563" s="165" t="str">
        <f t="shared" si="174"/>
        <v>00000000</v>
      </c>
      <c r="AD563" s="98" t="str">
        <f t="shared" si="175"/>
        <v>00000000</v>
      </c>
      <c r="AE563" s="150">
        <f t="shared" si="176"/>
        <v>0</v>
      </c>
      <c r="AF563" s="150">
        <f t="shared" si="177"/>
        <v>0</v>
      </c>
      <c r="AG563" s="98" t="str">
        <f t="shared" si="178"/>
        <v>0000000000</v>
      </c>
      <c r="AH563" s="151">
        <f t="shared" si="179"/>
        <v>0</v>
      </c>
      <c r="AI563" s="98" t="str">
        <f t="shared" si="180"/>
        <v>00</v>
      </c>
      <c r="AJ563" s="98" t="str">
        <f t="shared" si="181"/>
        <v>000000000000</v>
      </c>
      <c r="AK563" s="161" t="str">
        <f t="shared" si="182"/>
        <v xml:space="preserve">                              </v>
      </c>
      <c r="AL563" s="154">
        <f t="shared" si="183"/>
        <v>0</v>
      </c>
      <c r="AM563" s="155">
        <f t="shared" si="184"/>
        <v>0</v>
      </c>
      <c r="AP563" s="63" t="str">
        <f t="shared" si="185"/>
        <v/>
      </c>
      <c r="AQ563" s="63" t="str">
        <f t="shared" si="186"/>
        <v/>
      </c>
      <c r="AR563" s="152" t="str">
        <f t="shared" si="187"/>
        <v/>
      </c>
      <c r="AS563" s="109" t="str">
        <f t="shared" si="188"/>
        <v/>
      </c>
      <c r="AT563" s="63" t="str">
        <f t="shared" si="189"/>
        <v xml:space="preserve">                    </v>
      </c>
    </row>
    <row r="564" spans="1:46" ht="12.75" x14ac:dyDescent="0.2">
      <c r="A564" s="63" t="str">
        <f t="shared" si="171"/>
        <v/>
      </c>
      <c r="B564" s="185"/>
      <c r="C564" s="184"/>
      <c r="D564" s="184"/>
      <c r="E564" s="184"/>
      <c r="F564" s="184"/>
      <c r="G564" s="185"/>
      <c r="H564" s="185"/>
      <c r="I564" s="186"/>
      <c r="J564" s="69"/>
      <c r="AA564" s="63">
        <f t="shared" si="172"/>
        <v>0</v>
      </c>
      <c r="AB564" s="153" t="str">
        <f t="shared" si="173"/>
        <v>000</v>
      </c>
      <c r="AC564" s="165" t="str">
        <f t="shared" si="174"/>
        <v>00000000</v>
      </c>
      <c r="AD564" s="98" t="str">
        <f t="shared" si="175"/>
        <v>00000000</v>
      </c>
      <c r="AE564" s="150">
        <f t="shared" si="176"/>
        <v>0</v>
      </c>
      <c r="AF564" s="150">
        <f t="shared" si="177"/>
        <v>0</v>
      </c>
      <c r="AG564" s="98" t="str">
        <f t="shared" si="178"/>
        <v>0000000000</v>
      </c>
      <c r="AH564" s="151">
        <f t="shared" si="179"/>
        <v>0</v>
      </c>
      <c r="AI564" s="98" t="str">
        <f t="shared" si="180"/>
        <v>00</v>
      </c>
      <c r="AJ564" s="98" t="str">
        <f t="shared" si="181"/>
        <v>000000000000</v>
      </c>
      <c r="AK564" s="161" t="str">
        <f t="shared" si="182"/>
        <v xml:space="preserve">                              </v>
      </c>
      <c r="AL564" s="154">
        <f t="shared" si="183"/>
        <v>0</v>
      </c>
      <c r="AM564" s="155">
        <f t="shared" si="184"/>
        <v>0</v>
      </c>
      <c r="AP564" s="63" t="str">
        <f t="shared" si="185"/>
        <v/>
      </c>
      <c r="AQ564" s="63" t="str">
        <f t="shared" si="186"/>
        <v/>
      </c>
      <c r="AR564" s="152" t="str">
        <f t="shared" si="187"/>
        <v/>
      </c>
      <c r="AS564" s="109" t="str">
        <f t="shared" si="188"/>
        <v/>
      </c>
      <c r="AT564" s="63" t="str">
        <f t="shared" si="189"/>
        <v xml:space="preserve">                    </v>
      </c>
    </row>
    <row r="565" spans="1:46" ht="12.75" x14ac:dyDescent="0.2">
      <c r="A565" s="63" t="str">
        <f t="shared" si="171"/>
        <v/>
      </c>
      <c r="B565" s="185"/>
      <c r="C565" s="184"/>
      <c r="D565" s="184"/>
      <c r="E565" s="184"/>
      <c r="F565" s="184"/>
      <c r="G565" s="185"/>
      <c r="H565" s="185"/>
      <c r="I565" s="186"/>
      <c r="J565" s="69"/>
      <c r="AA565" s="63">
        <f t="shared" si="172"/>
        <v>0</v>
      </c>
      <c r="AB565" s="153" t="str">
        <f t="shared" si="173"/>
        <v>000</v>
      </c>
      <c r="AC565" s="165" t="str">
        <f t="shared" si="174"/>
        <v>00000000</v>
      </c>
      <c r="AD565" s="98" t="str">
        <f t="shared" si="175"/>
        <v>00000000</v>
      </c>
      <c r="AE565" s="150">
        <f t="shared" si="176"/>
        <v>0</v>
      </c>
      <c r="AF565" s="150">
        <f t="shared" si="177"/>
        <v>0</v>
      </c>
      <c r="AG565" s="98" t="str">
        <f t="shared" si="178"/>
        <v>0000000000</v>
      </c>
      <c r="AH565" s="151">
        <f t="shared" si="179"/>
        <v>0</v>
      </c>
      <c r="AI565" s="98" t="str">
        <f t="shared" si="180"/>
        <v>00</v>
      </c>
      <c r="AJ565" s="98" t="str">
        <f t="shared" si="181"/>
        <v>000000000000</v>
      </c>
      <c r="AK565" s="161" t="str">
        <f t="shared" si="182"/>
        <v xml:space="preserve">                              </v>
      </c>
      <c r="AL565" s="154">
        <f t="shared" si="183"/>
        <v>0</v>
      </c>
      <c r="AM565" s="155">
        <f t="shared" si="184"/>
        <v>0</v>
      </c>
      <c r="AP565" s="63" t="str">
        <f t="shared" si="185"/>
        <v/>
      </c>
      <c r="AQ565" s="63" t="str">
        <f t="shared" si="186"/>
        <v/>
      </c>
      <c r="AR565" s="152" t="str">
        <f t="shared" si="187"/>
        <v/>
      </c>
      <c r="AS565" s="109" t="str">
        <f t="shared" si="188"/>
        <v/>
      </c>
      <c r="AT565" s="63" t="str">
        <f t="shared" si="189"/>
        <v xml:space="preserve">                    </v>
      </c>
    </row>
    <row r="566" spans="1:46" ht="12.75" x14ac:dyDescent="0.2">
      <c r="A566" s="63" t="str">
        <f t="shared" si="171"/>
        <v/>
      </c>
      <c r="B566" s="185"/>
      <c r="C566" s="184"/>
      <c r="D566" s="184"/>
      <c r="E566" s="184"/>
      <c r="F566" s="184"/>
      <c r="G566" s="185"/>
      <c r="H566" s="185"/>
      <c r="I566" s="186"/>
      <c r="J566" s="69"/>
      <c r="AA566" s="63">
        <f t="shared" si="172"/>
        <v>0</v>
      </c>
      <c r="AB566" s="153" t="str">
        <f t="shared" si="173"/>
        <v>000</v>
      </c>
      <c r="AC566" s="165" t="str">
        <f t="shared" si="174"/>
        <v>00000000</v>
      </c>
      <c r="AD566" s="98" t="str">
        <f t="shared" si="175"/>
        <v>00000000</v>
      </c>
      <c r="AE566" s="150">
        <f t="shared" si="176"/>
        <v>0</v>
      </c>
      <c r="AF566" s="150">
        <f t="shared" si="177"/>
        <v>0</v>
      </c>
      <c r="AG566" s="98" t="str">
        <f t="shared" si="178"/>
        <v>0000000000</v>
      </c>
      <c r="AH566" s="151">
        <f t="shared" si="179"/>
        <v>0</v>
      </c>
      <c r="AI566" s="98" t="str">
        <f t="shared" si="180"/>
        <v>00</v>
      </c>
      <c r="AJ566" s="98" t="str">
        <f t="shared" si="181"/>
        <v>000000000000</v>
      </c>
      <c r="AK566" s="161" t="str">
        <f t="shared" si="182"/>
        <v xml:space="preserve">                              </v>
      </c>
      <c r="AL566" s="154">
        <f t="shared" si="183"/>
        <v>0</v>
      </c>
      <c r="AM566" s="155">
        <f t="shared" si="184"/>
        <v>0</v>
      </c>
      <c r="AP566" s="63" t="str">
        <f t="shared" si="185"/>
        <v/>
      </c>
      <c r="AQ566" s="63" t="str">
        <f t="shared" si="186"/>
        <v/>
      </c>
      <c r="AR566" s="152" t="str">
        <f t="shared" si="187"/>
        <v/>
      </c>
      <c r="AS566" s="109" t="str">
        <f t="shared" si="188"/>
        <v/>
      </c>
      <c r="AT566" s="63" t="str">
        <f t="shared" si="189"/>
        <v xml:space="preserve">                    </v>
      </c>
    </row>
    <row r="567" spans="1:46" ht="12.75" x14ac:dyDescent="0.2">
      <c r="A567" s="63" t="str">
        <f t="shared" si="171"/>
        <v/>
      </c>
      <c r="B567" s="185"/>
      <c r="C567" s="184"/>
      <c r="D567" s="184"/>
      <c r="E567" s="184"/>
      <c r="F567" s="184"/>
      <c r="G567" s="185"/>
      <c r="H567" s="185"/>
      <c r="I567" s="186"/>
      <c r="J567" s="69"/>
      <c r="AA567" s="63">
        <f t="shared" si="172"/>
        <v>0</v>
      </c>
      <c r="AB567" s="153" t="str">
        <f t="shared" si="173"/>
        <v>000</v>
      </c>
      <c r="AC567" s="165" t="str">
        <f t="shared" si="174"/>
        <v>00000000</v>
      </c>
      <c r="AD567" s="98" t="str">
        <f t="shared" si="175"/>
        <v>00000000</v>
      </c>
      <c r="AE567" s="150">
        <f t="shared" si="176"/>
        <v>0</v>
      </c>
      <c r="AF567" s="150">
        <f t="shared" si="177"/>
        <v>0</v>
      </c>
      <c r="AG567" s="98" t="str">
        <f t="shared" si="178"/>
        <v>0000000000</v>
      </c>
      <c r="AH567" s="151">
        <f t="shared" si="179"/>
        <v>0</v>
      </c>
      <c r="AI567" s="98" t="str">
        <f t="shared" si="180"/>
        <v>00</v>
      </c>
      <c r="AJ567" s="98" t="str">
        <f t="shared" si="181"/>
        <v>000000000000</v>
      </c>
      <c r="AK567" s="161" t="str">
        <f t="shared" si="182"/>
        <v xml:space="preserve">                              </v>
      </c>
      <c r="AL567" s="154">
        <f t="shared" si="183"/>
        <v>0</v>
      </c>
      <c r="AM567" s="155">
        <f t="shared" si="184"/>
        <v>0</v>
      </c>
      <c r="AP567" s="63" t="str">
        <f t="shared" si="185"/>
        <v/>
      </c>
      <c r="AQ567" s="63" t="str">
        <f t="shared" si="186"/>
        <v/>
      </c>
      <c r="AR567" s="152" t="str">
        <f t="shared" si="187"/>
        <v/>
      </c>
      <c r="AS567" s="109" t="str">
        <f t="shared" si="188"/>
        <v/>
      </c>
      <c r="AT567" s="63" t="str">
        <f t="shared" si="189"/>
        <v xml:space="preserve">                    </v>
      </c>
    </row>
    <row r="568" spans="1:46" ht="12.75" x14ac:dyDescent="0.2">
      <c r="A568" s="63" t="str">
        <f t="shared" si="171"/>
        <v/>
      </c>
      <c r="B568" s="185"/>
      <c r="C568" s="184"/>
      <c r="D568" s="184"/>
      <c r="E568" s="184"/>
      <c r="F568" s="184"/>
      <c r="G568" s="185"/>
      <c r="H568" s="185"/>
      <c r="I568" s="186"/>
      <c r="J568" s="69"/>
      <c r="AA568" s="63">
        <f t="shared" si="172"/>
        <v>0</v>
      </c>
      <c r="AB568" s="153" t="str">
        <f t="shared" si="173"/>
        <v>000</v>
      </c>
      <c r="AC568" s="165" t="str">
        <f t="shared" si="174"/>
        <v>00000000</v>
      </c>
      <c r="AD568" s="98" t="str">
        <f t="shared" si="175"/>
        <v>00000000</v>
      </c>
      <c r="AE568" s="150">
        <f t="shared" si="176"/>
        <v>0</v>
      </c>
      <c r="AF568" s="150">
        <f t="shared" si="177"/>
        <v>0</v>
      </c>
      <c r="AG568" s="98" t="str">
        <f t="shared" si="178"/>
        <v>0000000000</v>
      </c>
      <c r="AH568" s="151">
        <f t="shared" si="179"/>
        <v>0</v>
      </c>
      <c r="AI568" s="98" t="str">
        <f t="shared" si="180"/>
        <v>00</v>
      </c>
      <c r="AJ568" s="98" t="str">
        <f t="shared" si="181"/>
        <v>000000000000</v>
      </c>
      <c r="AK568" s="161" t="str">
        <f t="shared" si="182"/>
        <v xml:space="preserve">                              </v>
      </c>
      <c r="AL568" s="154">
        <f t="shared" si="183"/>
        <v>0</v>
      </c>
      <c r="AM568" s="155">
        <f t="shared" si="184"/>
        <v>0</v>
      </c>
      <c r="AP568" s="63" t="str">
        <f t="shared" si="185"/>
        <v/>
      </c>
      <c r="AQ568" s="63" t="str">
        <f t="shared" si="186"/>
        <v/>
      </c>
      <c r="AR568" s="152" t="str">
        <f t="shared" si="187"/>
        <v/>
      </c>
      <c r="AS568" s="109" t="str">
        <f t="shared" si="188"/>
        <v/>
      </c>
      <c r="AT568" s="63" t="str">
        <f t="shared" si="189"/>
        <v xml:space="preserve">                    </v>
      </c>
    </row>
    <row r="569" spans="1:46" ht="12.75" x14ac:dyDescent="0.2">
      <c r="A569" s="63" t="str">
        <f t="shared" si="171"/>
        <v/>
      </c>
      <c r="B569" s="185"/>
      <c r="C569" s="184"/>
      <c r="D569" s="184"/>
      <c r="E569" s="184"/>
      <c r="F569" s="184"/>
      <c r="G569" s="185"/>
      <c r="H569" s="185"/>
      <c r="I569" s="186"/>
      <c r="J569" s="69"/>
      <c r="AA569" s="63">
        <f t="shared" si="172"/>
        <v>0</v>
      </c>
      <c r="AB569" s="153" t="str">
        <f t="shared" si="173"/>
        <v>000</v>
      </c>
      <c r="AC569" s="165" t="str">
        <f t="shared" si="174"/>
        <v>00000000</v>
      </c>
      <c r="AD569" s="98" t="str">
        <f t="shared" si="175"/>
        <v>00000000</v>
      </c>
      <c r="AE569" s="150">
        <f t="shared" si="176"/>
        <v>0</v>
      </c>
      <c r="AF569" s="150">
        <f t="shared" si="177"/>
        <v>0</v>
      </c>
      <c r="AG569" s="98" t="str">
        <f t="shared" si="178"/>
        <v>0000000000</v>
      </c>
      <c r="AH569" s="151">
        <f t="shared" si="179"/>
        <v>0</v>
      </c>
      <c r="AI569" s="98" t="str">
        <f t="shared" si="180"/>
        <v>00</v>
      </c>
      <c r="AJ569" s="98" t="str">
        <f t="shared" si="181"/>
        <v>000000000000</v>
      </c>
      <c r="AK569" s="161" t="str">
        <f t="shared" si="182"/>
        <v xml:space="preserve">                              </v>
      </c>
      <c r="AL569" s="154">
        <f t="shared" si="183"/>
        <v>0</v>
      </c>
      <c r="AM569" s="155">
        <f t="shared" si="184"/>
        <v>0</v>
      </c>
      <c r="AP569" s="63" t="str">
        <f t="shared" si="185"/>
        <v/>
      </c>
      <c r="AQ569" s="63" t="str">
        <f t="shared" si="186"/>
        <v/>
      </c>
      <c r="AR569" s="152" t="str">
        <f t="shared" si="187"/>
        <v/>
      </c>
      <c r="AS569" s="109" t="str">
        <f t="shared" si="188"/>
        <v/>
      </c>
      <c r="AT569" s="63" t="str">
        <f t="shared" si="189"/>
        <v xml:space="preserve">                    </v>
      </c>
    </row>
    <row r="570" spans="1:46" ht="12.75" x14ac:dyDescent="0.2">
      <c r="A570" s="63" t="str">
        <f t="shared" si="171"/>
        <v/>
      </c>
      <c r="B570" s="185"/>
      <c r="C570" s="184"/>
      <c r="D570" s="184"/>
      <c r="E570" s="184"/>
      <c r="F570" s="184"/>
      <c r="G570" s="185"/>
      <c r="H570" s="185"/>
      <c r="I570" s="186"/>
      <c r="J570" s="69"/>
      <c r="AA570" s="63">
        <f t="shared" si="172"/>
        <v>0</v>
      </c>
      <c r="AB570" s="153" t="str">
        <f t="shared" si="173"/>
        <v>000</v>
      </c>
      <c r="AC570" s="165" t="str">
        <f t="shared" si="174"/>
        <v>00000000</v>
      </c>
      <c r="AD570" s="98" t="str">
        <f t="shared" si="175"/>
        <v>00000000</v>
      </c>
      <c r="AE570" s="150">
        <f t="shared" si="176"/>
        <v>0</v>
      </c>
      <c r="AF570" s="150">
        <f t="shared" si="177"/>
        <v>0</v>
      </c>
      <c r="AG570" s="98" t="str">
        <f t="shared" si="178"/>
        <v>0000000000</v>
      </c>
      <c r="AH570" s="151">
        <f t="shared" si="179"/>
        <v>0</v>
      </c>
      <c r="AI570" s="98" t="str">
        <f t="shared" si="180"/>
        <v>00</v>
      </c>
      <c r="AJ570" s="98" t="str">
        <f t="shared" si="181"/>
        <v>000000000000</v>
      </c>
      <c r="AK570" s="161" t="str">
        <f t="shared" si="182"/>
        <v xml:space="preserve">                              </v>
      </c>
      <c r="AL570" s="154">
        <f t="shared" si="183"/>
        <v>0</v>
      </c>
      <c r="AM570" s="155">
        <f t="shared" si="184"/>
        <v>0</v>
      </c>
      <c r="AP570" s="63" t="str">
        <f t="shared" si="185"/>
        <v/>
      </c>
      <c r="AQ570" s="63" t="str">
        <f t="shared" si="186"/>
        <v/>
      </c>
      <c r="AR570" s="152" t="str">
        <f t="shared" si="187"/>
        <v/>
      </c>
      <c r="AS570" s="109" t="str">
        <f t="shared" si="188"/>
        <v/>
      </c>
      <c r="AT570" s="63" t="str">
        <f t="shared" si="189"/>
        <v xml:space="preserve">                    </v>
      </c>
    </row>
    <row r="571" spans="1:46" ht="12.75" x14ac:dyDescent="0.2">
      <c r="A571" s="63" t="str">
        <f t="shared" si="171"/>
        <v/>
      </c>
      <c r="B571" s="185"/>
      <c r="C571" s="184"/>
      <c r="D571" s="184"/>
      <c r="E571" s="184"/>
      <c r="F571" s="184"/>
      <c r="G571" s="185"/>
      <c r="H571" s="185"/>
      <c r="I571" s="186"/>
      <c r="J571" s="69"/>
      <c r="AA571" s="63">
        <f t="shared" si="172"/>
        <v>0</v>
      </c>
      <c r="AB571" s="153" t="str">
        <f t="shared" si="173"/>
        <v>000</v>
      </c>
      <c r="AC571" s="165" t="str">
        <f t="shared" si="174"/>
        <v>00000000</v>
      </c>
      <c r="AD571" s="98" t="str">
        <f t="shared" si="175"/>
        <v>00000000</v>
      </c>
      <c r="AE571" s="150">
        <f t="shared" si="176"/>
        <v>0</v>
      </c>
      <c r="AF571" s="150">
        <f t="shared" si="177"/>
        <v>0</v>
      </c>
      <c r="AG571" s="98" t="str">
        <f t="shared" si="178"/>
        <v>0000000000</v>
      </c>
      <c r="AH571" s="151">
        <f t="shared" si="179"/>
        <v>0</v>
      </c>
      <c r="AI571" s="98" t="str">
        <f t="shared" si="180"/>
        <v>00</v>
      </c>
      <c r="AJ571" s="98" t="str">
        <f t="shared" si="181"/>
        <v>000000000000</v>
      </c>
      <c r="AK571" s="161" t="str">
        <f t="shared" si="182"/>
        <v xml:space="preserve">                              </v>
      </c>
      <c r="AL571" s="154">
        <f t="shared" si="183"/>
        <v>0</v>
      </c>
      <c r="AM571" s="155">
        <f t="shared" si="184"/>
        <v>0</v>
      </c>
      <c r="AP571" s="63" t="str">
        <f t="shared" si="185"/>
        <v/>
      </c>
      <c r="AQ571" s="63" t="str">
        <f t="shared" si="186"/>
        <v/>
      </c>
      <c r="AR571" s="152" t="str">
        <f t="shared" si="187"/>
        <v/>
      </c>
      <c r="AS571" s="109" t="str">
        <f t="shared" si="188"/>
        <v/>
      </c>
      <c r="AT571" s="63" t="str">
        <f t="shared" si="189"/>
        <v xml:space="preserve">                    </v>
      </c>
    </row>
    <row r="572" spans="1:46" ht="12.75" x14ac:dyDescent="0.2">
      <c r="A572" s="63" t="str">
        <f t="shared" si="171"/>
        <v/>
      </c>
      <c r="B572" s="185"/>
      <c r="C572" s="184"/>
      <c r="D572" s="184"/>
      <c r="E572" s="184"/>
      <c r="F572" s="184"/>
      <c r="G572" s="185"/>
      <c r="H572" s="185"/>
      <c r="I572" s="186"/>
      <c r="J572" s="69"/>
      <c r="AA572" s="63">
        <f t="shared" si="172"/>
        <v>0</v>
      </c>
      <c r="AB572" s="153" t="str">
        <f t="shared" si="173"/>
        <v>000</v>
      </c>
      <c r="AC572" s="165" t="str">
        <f t="shared" si="174"/>
        <v>00000000</v>
      </c>
      <c r="AD572" s="98" t="str">
        <f t="shared" si="175"/>
        <v>00000000</v>
      </c>
      <c r="AE572" s="150">
        <f t="shared" si="176"/>
        <v>0</v>
      </c>
      <c r="AF572" s="150">
        <f t="shared" si="177"/>
        <v>0</v>
      </c>
      <c r="AG572" s="98" t="str">
        <f t="shared" si="178"/>
        <v>0000000000</v>
      </c>
      <c r="AH572" s="151">
        <f t="shared" si="179"/>
        <v>0</v>
      </c>
      <c r="AI572" s="98" t="str">
        <f t="shared" si="180"/>
        <v>00</v>
      </c>
      <c r="AJ572" s="98" t="str">
        <f t="shared" si="181"/>
        <v>000000000000</v>
      </c>
      <c r="AK572" s="161" t="str">
        <f t="shared" si="182"/>
        <v xml:space="preserve">                              </v>
      </c>
      <c r="AL572" s="154">
        <f t="shared" si="183"/>
        <v>0</v>
      </c>
      <c r="AM572" s="155">
        <f t="shared" si="184"/>
        <v>0</v>
      </c>
      <c r="AP572" s="63" t="str">
        <f t="shared" si="185"/>
        <v/>
      </c>
      <c r="AQ572" s="63" t="str">
        <f t="shared" si="186"/>
        <v/>
      </c>
      <c r="AR572" s="152" t="str">
        <f t="shared" si="187"/>
        <v/>
      </c>
      <c r="AS572" s="109" t="str">
        <f t="shared" si="188"/>
        <v/>
      </c>
      <c r="AT572" s="63" t="str">
        <f t="shared" si="189"/>
        <v xml:space="preserve">                    </v>
      </c>
    </row>
    <row r="573" spans="1:46" ht="12.75" x14ac:dyDescent="0.2">
      <c r="A573" s="63" t="str">
        <f t="shared" si="171"/>
        <v/>
      </c>
      <c r="B573" s="185"/>
      <c r="C573" s="184"/>
      <c r="D573" s="184"/>
      <c r="E573" s="184"/>
      <c r="F573" s="184"/>
      <c r="G573" s="185"/>
      <c r="H573" s="185"/>
      <c r="I573" s="186"/>
      <c r="J573" s="69"/>
      <c r="AA573" s="63">
        <f t="shared" si="172"/>
        <v>0</v>
      </c>
      <c r="AB573" s="153" t="str">
        <f t="shared" si="173"/>
        <v>000</v>
      </c>
      <c r="AC573" s="165" t="str">
        <f t="shared" si="174"/>
        <v>00000000</v>
      </c>
      <c r="AD573" s="98" t="str">
        <f t="shared" si="175"/>
        <v>00000000</v>
      </c>
      <c r="AE573" s="150">
        <f t="shared" si="176"/>
        <v>0</v>
      </c>
      <c r="AF573" s="150">
        <f t="shared" si="177"/>
        <v>0</v>
      </c>
      <c r="AG573" s="98" t="str">
        <f t="shared" si="178"/>
        <v>0000000000</v>
      </c>
      <c r="AH573" s="151">
        <f t="shared" si="179"/>
        <v>0</v>
      </c>
      <c r="AI573" s="98" t="str">
        <f t="shared" si="180"/>
        <v>00</v>
      </c>
      <c r="AJ573" s="98" t="str">
        <f t="shared" si="181"/>
        <v>000000000000</v>
      </c>
      <c r="AK573" s="161" t="str">
        <f t="shared" si="182"/>
        <v xml:space="preserve">                              </v>
      </c>
      <c r="AL573" s="154">
        <f t="shared" si="183"/>
        <v>0</v>
      </c>
      <c r="AM573" s="155">
        <f t="shared" si="184"/>
        <v>0</v>
      </c>
      <c r="AP573" s="63" t="str">
        <f t="shared" si="185"/>
        <v/>
      </c>
      <c r="AQ573" s="63" t="str">
        <f t="shared" si="186"/>
        <v/>
      </c>
      <c r="AR573" s="152" t="str">
        <f t="shared" si="187"/>
        <v/>
      </c>
      <c r="AS573" s="109" t="str">
        <f t="shared" si="188"/>
        <v/>
      </c>
      <c r="AT573" s="63" t="str">
        <f t="shared" si="189"/>
        <v xml:space="preserve">                    </v>
      </c>
    </row>
    <row r="574" spans="1:46" ht="12.75" x14ac:dyDescent="0.2">
      <c r="A574" s="63" t="str">
        <f t="shared" si="171"/>
        <v/>
      </c>
      <c r="B574" s="185"/>
      <c r="C574" s="184"/>
      <c r="D574" s="184"/>
      <c r="E574" s="184"/>
      <c r="F574" s="184"/>
      <c r="G574" s="185"/>
      <c r="H574" s="185"/>
      <c r="I574" s="186"/>
      <c r="J574" s="69"/>
      <c r="AA574" s="63">
        <f t="shared" si="172"/>
        <v>0</v>
      </c>
      <c r="AB574" s="153" t="str">
        <f t="shared" si="173"/>
        <v>000</v>
      </c>
      <c r="AC574" s="165" t="str">
        <f t="shared" si="174"/>
        <v>00000000</v>
      </c>
      <c r="AD574" s="98" t="str">
        <f t="shared" si="175"/>
        <v>00000000</v>
      </c>
      <c r="AE574" s="150">
        <f t="shared" si="176"/>
        <v>0</v>
      </c>
      <c r="AF574" s="150">
        <f t="shared" si="177"/>
        <v>0</v>
      </c>
      <c r="AG574" s="98" t="str">
        <f t="shared" si="178"/>
        <v>0000000000</v>
      </c>
      <c r="AH574" s="151">
        <f t="shared" si="179"/>
        <v>0</v>
      </c>
      <c r="AI574" s="98" t="str">
        <f t="shared" si="180"/>
        <v>00</v>
      </c>
      <c r="AJ574" s="98" t="str">
        <f t="shared" si="181"/>
        <v>000000000000</v>
      </c>
      <c r="AK574" s="161" t="str">
        <f t="shared" si="182"/>
        <v xml:space="preserve">                              </v>
      </c>
      <c r="AL574" s="154">
        <f t="shared" si="183"/>
        <v>0</v>
      </c>
      <c r="AM574" s="155">
        <f t="shared" si="184"/>
        <v>0</v>
      </c>
      <c r="AP574" s="63" t="str">
        <f t="shared" si="185"/>
        <v/>
      </c>
      <c r="AQ574" s="63" t="str">
        <f t="shared" si="186"/>
        <v/>
      </c>
      <c r="AR574" s="152" t="str">
        <f t="shared" si="187"/>
        <v/>
      </c>
      <c r="AS574" s="109" t="str">
        <f t="shared" si="188"/>
        <v/>
      </c>
      <c r="AT574" s="63" t="str">
        <f t="shared" si="189"/>
        <v xml:space="preserve">                    </v>
      </c>
    </row>
    <row r="575" spans="1:46" ht="12.75" x14ac:dyDescent="0.2">
      <c r="A575" s="63" t="str">
        <f t="shared" si="171"/>
        <v/>
      </c>
      <c r="B575" s="185"/>
      <c r="C575" s="184"/>
      <c r="D575" s="184"/>
      <c r="E575" s="184"/>
      <c r="F575" s="184"/>
      <c r="G575" s="185"/>
      <c r="H575" s="185"/>
      <c r="I575" s="186"/>
      <c r="J575" s="69"/>
      <c r="AA575" s="63">
        <f t="shared" si="172"/>
        <v>0</v>
      </c>
      <c r="AB575" s="153" t="str">
        <f t="shared" si="173"/>
        <v>000</v>
      </c>
      <c r="AC575" s="165" t="str">
        <f t="shared" si="174"/>
        <v>00000000</v>
      </c>
      <c r="AD575" s="98" t="str">
        <f t="shared" si="175"/>
        <v>00000000</v>
      </c>
      <c r="AE575" s="150">
        <f t="shared" si="176"/>
        <v>0</v>
      </c>
      <c r="AF575" s="150">
        <f t="shared" si="177"/>
        <v>0</v>
      </c>
      <c r="AG575" s="98" t="str">
        <f t="shared" si="178"/>
        <v>0000000000</v>
      </c>
      <c r="AH575" s="151">
        <f t="shared" si="179"/>
        <v>0</v>
      </c>
      <c r="AI575" s="98" t="str">
        <f t="shared" si="180"/>
        <v>00</v>
      </c>
      <c r="AJ575" s="98" t="str">
        <f t="shared" si="181"/>
        <v>000000000000</v>
      </c>
      <c r="AK575" s="161" t="str">
        <f t="shared" si="182"/>
        <v xml:space="preserve">                              </v>
      </c>
      <c r="AL575" s="154">
        <f t="shared" si="183"/>
        <v>0</v>
      </c>
      <c r="AM575" s="155">
        <f t="shared" si="184"/>
        <v>0</v>
      </c>
      <c r="AP575" s="63" t="str">
        <f t="shared" si="185"/>
        <v/>
      </c>
      <c r="AQ575" s="63" t="str">
        <f t="shared" si="186"/>
        <v/>
      </c>
      <c r="AR575" s="152" t="str">
        <f t="shared" si="187"/>
        <v/>
      </c>
      <c r="AS575" s="109" t="str">
        <f t="shared" si="188"/>
        <v/>
      </c>
      <c r="AT575" s="63" t="str">
        <f t="shared" si="189"/>
        <v xml:space="preserve">                    </v>
      </c>
    </row>
    <row r="576" spans="1:46" ht="12.75" x14ac:dyDescent="0.2">
      <c r="A576" s="63" t="str">
        <f t="shared" si="171"/>
        <v/>
      </c>
      <c r="B576" s="185"/>
      <c r="C576" s="184"/>
      <c r="D576" s="184"/>
      <c r="E576" s="184"/>
      <c r="F576" s="184"/>
      <c r="G576" s="185"/>
      <c r="H576" s="185"/>
      <c r="I576" s="186"/>
      <c r="J576" s="69"/>
      <c r="AA576" s="63">
        <f t="shared" si="172"/>
        <v>0</v>
      </c>
      <c r="AB576" s="153" t="str">
        <f t="shared" si="173"/>
        <v>000</v>
      </c>
      <c r="AC576" s="165" t="str">
        <f t="shared" si="174"/>
        <v>00000000</v>
      </c>
      <c r="AD576" s="98" t="str">
        <f t="shared" si="175"/>
        <v>00000000</v>
      </c>
      <c r="AE576" s="150">
        <f t="shared" si="176"/>
        <v>0</v>
      </c>
      <c r="AF576" s="150">
        <f t="shared" si="177"/>
        <v>0</v>
      </c>
      <c r="AG576" s="98" t="str">
        <f t="shared" si="178"/>
        <v>0000000000</v>
      </c>
      <c r="AH576" s="151">
        <f t="shared" si="179"/>
        <v>0</v>
      </c>
      <c r="AI576" s="98" t="str">
        <f t="shared" si="180"/>
        <v>00</v>
      </c>
      <c r="AJ576" s="98" t="str">
        <f t="shared" si="181"/>
        <v>000000000000</v>
      </c>
      <c r="AK576" s="161" t="str">
        <f t="shared" si="182"/>
        <v xml:space="preserve">                              </v>
      </c>
      <c r="AL576" s="154">
        <f t="shared" si="183"/>
        <v>0</v>
      </c>
      <c r="AM576" s="155">
        <f t="shared" si="184"/>
        <v>0</v>
      </c>
      <c r="AP576" s="63" t="str">
        <f t="shared" si="185"/>
        <v/>
      </c>
      <c r="AQ576" s="63" t="str">
        <f t="shared" si="186"/>
        <v/>
      </c>
      <c r="AR576" s="152" t="str">
        <f t="shared" si="187"/>
        <v/>
      </c>
      <c r="AS576" s="109" t="str">
        <f t="shared" si="188"/>
        <v/>
      </c>
      <c r="AT576" s="63" t="str">
        <f t="shared" si="189"/>
        <v xml:space="preserve">                    </v>
      </c>
    </row>
    <row r="577" spans="1:46" ht="12.75" x14ac:dyDescent="0.2">
      <c r="A577" s="63" t="str">
        <f t="shared" si="171"/>
        <v/>
      </c>
      <c r="B577" s="185"/>
      <c r="C577" s="184"/>
      <c r="D577" s="184"/>
      <c r="E577" s="184"/>
      <c r="F577" s="184"/>
      <c r="G577" s="185"/>
      <c r="H577" s="185"/>
      <c r="I577" s="186"/>
      <c r="J577" s="69"/>
      <c r="AA577" s="63">
        <f t="shared" si="172"/>
        <v>0</v>
      </c>
      <c r="AB577" s="153" t="str">
        <f t="shared" si="173"/>
        <v>000</v>
      </c>
      <c r="AC577" s="165" t="str">
        <f t="shared" si="174"/>
        <v>00000000</v>
      </c>
      <c r="AD577" s="98" t="str">
        <f t="shared" si="175"/>
        <v>00000000</v>
      </c>
      <c r="AE577" s="150">
        <f t="shared" si="176"/>
        <v>0</v>
      </c>
      <c r="AF577" s="150">
        <f t="shared" si="177"/>
        <v>0</v>
      </c>
      <c r="AG577" s="98" t="str">
        <f t="shared" si="178"/>
        <v>0000000000</v>
      </c>
      <c r="AH577" s="151">
        <f t="shared" si="179"/>
        <v>0</v>
      </c>
      <c r="AI577" s="98" t="str">
        <f t="shared" si="180"/>
        <v>00</v>
      </c>
      <c r="AJ577" s="98" t="str">
        <f t="shared" si="181"/>
        <v>000000000000</v>
      </c>
      <c r="AK577" s="161" t="str">
        <f t="shared" si="182"/>
        <v xml:space="preserve">                              </v>
      </c>
      <c r="AL577" s="154">
        <f t="shared" si="183"/>
        <v>0</v>
      </c>
      <c r="AM577" s="155">
        <f t="shared" si="184"/>
        <v>0</v>
      </c>
      <c r="AP577" s="63" t="str">
        <f t="shared" si="185"/>
        <v/>
      </c>
      <c r="AQ577" s="63" t="str">
        <f t="shared" si="186"/>
        <v/>
      </c>
      <c r="AR577" s="152" t="str">
        <f t="shared" si="187"/>
        <v/>
      </c>
      <c r="AS577" s="109" t="str">
        <f t="shared" si="188"/>
        <v/>
      </c>
      <c r="AT577" s="63" t="str">
        <f t="shared" si="189"/>
        <v xml:space="preserve">                    </v>
      </c>
    </row>
    <row r="578" spans="1:46" ht="12.75" x14ac:dyDescent="0.2">
      <c r="A578" s="63" t="str">
        <f t="shared" si="171"/>
        <v/>
      </c>
      <c r="B578" s="185"/>
      <c r="C578" s="184"/>
      <c r="D578" s="184"/>
      <c r="E578" s="184"/>
      <c r="F578" s="184"/>
      <c r="G578" s="185"/>
      <c r="H578" s="185"/>
      <c r="I578" s="186"/>
      <c r="J578" s="69"/>
      <c r="AA578" s="63">
        <f t="shared" si="172"/>
        <v>0</v>
      </c>
      <c r="AB578" s="153" t="str">
        <f t="shared" si="173"/>
        <v>000</v>
      </c>
      <c r="AC578" s="165" t="str">
        <f t="shared" si="174"/>
        <v>00000000</v>
      </c>
      <c r="AD578" s="98" t="str">
        <f t="shared" si="175"/>
        <v>00000000</v>
      </c>
      <c r="AE578" s="150">
        <f t="shared" si="176"/>
        <v>0</v>
      </c>
      <c r="AF578" s="150">
        <f t="shared" si="177"/>
        <v>0</v>
      </c>
      <c r="AG578" s="98" t="str">
        <f t="shared" si="178"/>
        <v>0000000000</v>
      </c>
      <c r="AH578" s="151">
        <f t="shared" si="179"/>
        <v>0</v>
      </c>
      <c r="AI578" s="98" t="str">
        <f t="shared" si="180"/>
        <v>00</v>
      </c>
      <c r="AJ578" s="98" t="str">
        <f t="shared" si="181"/>
        <v>000000000000</v>
      </c>
      <c r="AK578" s="161" t="str">
        <f t="shared" si="182"/>
        <v xml:space="preserve">                              </v>
      </c>
      <c r="AL578" s="154">
        <f t="shared" si="183"/>
        <v>0</v>
      </c>
      <c r="AM578" s="155">
        <f t="shared" si="184"/>
        <v>0</v>
      </c>
      <c r="AP578" s="63" t="str">
        <f t="shared" si="185"/>
        <v/>
      </c>
      <c r="AQ578" s="63" t="str">
        <f t="shared" si="186"/>
        <v/>
      </c>
      <c r="AR578" s="152" t="str">
        <f t="shared" si="187"/>
        <v/>
      </c>
      <c r="AS578" s="109" t="str">
        <f t="shared" si="188"/>
        <v/>
      </c>
      <c r="AT578" s="63" t="str">
        <f t="shared" si="189"/>
        <v xml:space="preserve">                    </v>
      </c>
    </row>
    <row r="579" spans="1:46" ht="12.75" x14ac:dyDescent="0.2">
      <c r="A579" s="63" t="str">
        <f t="shared" si="171"/>
        <v/>
      </c>
      <c r="B579" s="185"/>
      <c r="C579" s="184"/>
      <c r="D579" s="184"/>
      <c r="E579" s="184"/>
      <c r="F579" s="184"/>
      <c r="G579" s="185"/>
      <c r="H579" s="185"/>
      <c r="I579" s="186"/>
      <c r="J579" s="69"/>
      <c r="AA579" s="63">
        <f t="shared" si="172"/>
        <v>0</v>
      </c>
      <c r="AB579" s="153" t="str">
        <f t="shared" si="173"/>
        <v>000</v>
      </c>
      <c r="AC579" s="165" t="str">
        <f t="shared" si="174"/>
        <v>00000000</v>
      </c>
      <c r="AD579" s="98" t="str">
        <f t="shared" si="175"/>
        <v>00000000</v>
      </c>
      <c r="AE579" s="150">
        <f t="shared" si="176"/>
        <v>0</v>
      </c>
      <c r="AF579" s="150">
        <f t="shared" si="177"/>
        <v>0</v>
      </c>
      <c r="AG579" s="98" t="str">
        <f t="shared" si="178"/>
        <v>0000000000</v>
      </c>
      <c r="AH579" s="151">
        <f t="shared" si="179"/>
        <v>0</v>
      </c>
      <c r="AI579" s="98" t="str">
        <f t="shared" si="180"/>
        <v>00</v>
      </c>
      <c r="AJ579" s="98" t="str">
        <f t="shared" si="181"/>
        <v>000000000000</v>
      </c>
      <c r="AK579" s="161" t="str">
        <f t="shared" si="182"/>
        <v xml:space="preserve">                              </v>
      </c>
      <c r="AL579" s="154">
        <f t="shared" si="183"/>
        <v>0</v>
      </c>
      <c r="AM579" s="155">
        <f t="shared" si="184"/>
        <v>0</v>
      </c>
      <c r="AP579" s="63" t="str">
        <f t="shared" si="185"/>
        <v/>
      </c>
      <c r="AQ579" s="63" t="str">
        <f t="shared" si="186"/>
        <v/>
      </c>
      <c r="AR579" s="152" t="str">
        <f t="shared" si="187"/>
        <v/>
      </c>
      <c r="AS579" s="109" t="str">
        <f t="shared" si="188"/>
        <v/>
      </c>
      <c r="AT579" s="63" t="str">
        <f t="shared" si="189"/>
        <v xml:space="preserve">                    </v>
      </c>
    </row>
    <row r="580" spans="1:46" ht="12.75" x14ac:dyDescent="0.2">
      <c r="A580" s="63" t="str">
        <f t="shared" si="171"/>
        <v/>
      </c>
      <c r="B580" s="185"/>
      <c r="C580" s="184"/>
      <c r="D580" s="184"/>
      <c r="E580" s="184"/>
      <c r="F580" s="184"/>
      <c r="G580" s="185"/>
      <c r="H580" s="185"/>
      <c r="I580" s="186"/>
      <c r="J580" s="69"/>
      <c r="AA580" s="63">
        <f t="shared" si="172"/>
        <v>0</v>
      </c>
      <c r="AB580" s="153" t="str">
        <f t="shared" si="173"/>
        <v>000</v>
      </c>
      <c r="AC580" s="165" t="str">
        <f t="shared" si="174"/>
        <v>00000000</v>
      </c>
      <c r="AD580" s="98" t="str">
        <f t="shared" si="175"/>
        <v>00000000</v>
      </c>
      <c r="AE580" s="150">
        <f t="shared" si="176"/>
        <v>0</v>
      </c>
      <c r="AF580" s="150">
        <f t="shared" si="177"/>
        <v>0</v>
      </c>
      <c r="AG580" s="98" t="str">
        <f t="shared" si="178"/>
        <v>0000000000</v>
      </c>
      <c r="AH580" s="151">
        <f t="shared" si="179"/>
        <v>0</v>
      </c>
      <c r="AI580" s="98" t="str">
        <f t="shared" si="180"/>
        <v>00</v>
      </c>
      <c r="AJ580" s="98" t="str">
        <f t="shared" si="181"/>
        <v>000000000000</v>
      </c>
      <c r="AK580" s="161" t="str">
        <f t="shared" si="182"/>
        <v xml:space="preserve">                              </v>
      </c>
      <c r="AL580" s="154">
        <f t="shared" si="183"/>
        <v>0</v>
      </c>
      <c r="AM580" s="155">
        <f t="shared" si="184"/>
        <v>0</v>
      </c>
      <c r="AP580" s="63" t="str">
        <f t="shared" si="185"/>
        <v/>
      </c>
      <c r="AQ580" s="63" t="str">
        <f t="shared" si="186"/>
        <v/>
      </c>
      <c r="AR580" s="152" t="str">
        <f t="shared" si="187"/>
        <v/>
      </c>
      <c r="AS580" s="109" t="str">
        <f t="shared" si="188"/>
        <v/>
      </c>
      <c r="AT580" s="63" t="str">
        <f t="shared" si="189"/>
        <v xml:space="preserve">                    </v>
      </c>
    </row>
    <row r="581" spans="1:46" ht="12.75" x14ac:dyDescent="0.2">
      <c r="A581" s="63" t="str">
        <f t="shared" si="171"/>
        <v/>
      </c>
      <c r="B581" s="185"/>
      <c r="C581" s="184"/>
      <c r="D581" s="184"/>
      <c r="E581" s="184"/>
      <c r="F581" s="184"/>
      <c r="G581" s="185"/>
      <c r="H581" s="185"/>
      <c r="I581" s="186"/>
      <c r="J581" s="69"/>
      <c r="AA581" s="63">
        <f t="shared" si="172"/>
        <v>0</v>
      </c>
      <c r="AB581" s="153" t="str">
        <f t="shared" si="173"/>
        <v>000</v>
      </c>
      <c r="AC581" s="165" t="str">
        <f t="shared" si="174"/>
        <v>00000000</v>
      </c>
      <c r="AD581" s="98" t="str">
        <f t="shared" si="175"/>
        <v>00000000</v>
      </c>
      <c r="AE581" s="150">
        <f t="shared" si="176"/>
        <v>0</v>
      </c>
      <c r="AF581" s="150">
        <f t="shared" si="177"/>
        <v>0</v>
      </c>
      <c r="AG581" s="98" t="str">
        <f t="shared" si="178"/>
        <v>0000000000</v>
      </c>
      <c r="AH581" s="151">
        <f t="shared" si="179"/>
        <v>0</v>
      </c>
      <c r="AI581" s="98" t="str">
        <f t="shared" si="180"/>
        <v>00</v>
      </c>
      <c r="AJ581" s="98" t="str">
        <f t="shared" si="181"/>
        <v>000000000000</v>
      </c>
      <c r="AK581" s="161" t="str">
        <f t="shared" si="182"/>
        <v xml:space="preserve">                              </v>
      </c>
      <c r="AL581" s="154">
        <f t="shared" si="183"/>
        <v>0</v>
      </c>
      <c r="AM581" s="155">
        <f t="shared" si="184"/>
        <v>0</v>
      </c>
      <c r="AP581" s="63" t="str">
        <f t="shared" si="185"/>
        <v/>
      </c>
      <c r="AQ581" s="63" t="str">
        <f t="shared" si="186"/>
        <v/>
      </c>
      <c r="AR581" s="152" t="str">
        <f t="shared" si="187"/>
        <v/>
      </c>
      <c r="AS581" s="109" t="str">
        <f t="shared" si="188"/>
        <v/>
      </c>
      <c r="AT581" s="63" t="str">
        <f t="shared" si="189"/>
        <v xml:space="preserve">                    </v>
      </c>
    </row>
    <row r="582" spans="1:46" ht="12.75" x14ac:dyDescent="0.2">
      <c r="A582" s="63" t="str">
        <f t="shared" ref="A582:A645" si="190">IF(B582&lt;&gt;"",A581+1,"")</f>
        <v/>
      </c>
      <c r="B582" s="185"/>
      <c r="C582" s="184"/>
      <c r="D582" s="184"/>
      <c r="E582" s="184"/>
      <c r="F582" s="184"/>
      <c r="G582" s="185"/>
      <c r="H582" s="185"/>
      <c r="I582" s="186"/>
      <c r="J582" s="69"/>
      <c r="AA582" s="63">
        <f t="shared" si="172"/>
        <v>0</v>
      </c>
      <c r="AB582" s="153" t="str">
        <f t="shared" si="173"/>
        <v>000</v>
      </c>
      <c r="AC582" s="165" t="str">
        <f t="shared" si="174"/>
        <v>00000000</v>
      </c>
      <c r="AD582" s="98" t="str">
        <f t="shared" si="175"/>
        <v>00000000</v>
      </c>
      <c r="AE582" s="150">
        <f t="shared" si="176"/>
        <v>0</v>
      </c>
      <c r="AF582" s="150">
        <f t="shared" si="177"/>
        <v>0</v>
      </c>
      <c r="AG582" s="98" t="str">
        <f t="shared" si="178"/>
        <v>0000000000</v>
      </c>
      <c r="AH582" s="151">
        <f t="shared" si="179"/>
        <v>0</v>
      </c>
      <c r="AI582" s="98" t="str">
        <f t="shared" si="180"/>
        <v>00</v>
      </c>
      <c r="AJ582" s="98" t="str">
        <f t="shared" si="181"/>
        <v>000000000000</v>
      </c>
      <c r="AK582" s="161" t="str">
        <f t="shared" si="182"/>
        <v xml:space="preserve">                              </v>
      </c>
      <c r="AL582" s="154">
        <f t="shared" si="183"/>
        <v>0</v>
      </c>
      <c r="AM582" s="155">
        <f t="shared" si="184"/>
        <v>0</v>
      </c>
      <c r="AP582" s="63" t="str">
        <f t="shared" si="185"/>
        <v/>
      </c>
      <c r="AQ582" s="63" t="str">
        <f t="shared" si="186"/>
        <v/>
      </c>
      <c r="AR582" s="152" t="str">
        <f t="shared" si="187"/>
        <v/>
      </c>
      <c r="AS582" s="109" t="str">
        <f t="shared" si="188"/>
        <v/>
      </c>
      <c r="AT582" s="63" t="str">
        <f t="shared" si="189"/>
        <v xml:space="preserve">                    </v>
      </c>
    </row>
    <row r="583" spans="1:46" ht="12.75" x14ac:dyDescent="0.2">
      <c r="A583" s="63" t="str">
        <f t="shared" si="190"/>
        <v/>
      </c>
      <c r="B583" s="185"/>
      <c r="C583" s="184"/>
      <c r="D583" s="184"/>
      <c r="E583" s="184"/>
      <c r="F583" s="184"/>
      <c r="G583" s="185"/>
      <c r="H583" s="185"/>
      <c r="I583" s="186"/>
      <c r="J583" s="69"/>
      <c r="AA583" s="63">
        <f t="shared" si="172"/>
        <v>0</v>
      </c>
      <c r="AB583" s="153" t="str">
        <f t="shared" si="173"/>
        <v>000</v>
      </c>
      <c r="AC583" s="165" t="str">
        <f t="shared" si="174"/>
        <v>00000000</v>
      </c>
      <c r="AD583" s="98" t="str">
        <f t="shared" si="175"/>
        <v>00000000</v>
      </c>
      <c r="AE583" s="150">
        <f t="shared" si="176"/>
        <v>0</v>
      </c>
      <c r="AF583" s="150">
        <f t="shared" si="177"/>
        <v>0</v>
      </c>
      <c r="AG583" s="98" t="str">
        <f t="shared" si="178"/>
        <v>0000000000</v>
      </c>
      <c r="AH583" s="151">
        <f t="shared" si="179"/>
        <v>0</v>
      </c>
      <c r="AI583" s="98" t="str">
        <f t="shared" si="180"/>
        <v>00</v>
      </c>
      <c r="AJ583" s="98" t="str">
        <f t="shared" si="181"/>
        <v>000000000000</v>
      </c>
      <c r="AK583" s="161" t="str">
        <f t="shared" si="182"/>
        <v xml:space="preserve">                              </v>
      </c>
      <c r="AL583" s="154">
        <f t="shared" si="183"/>
        <v>0</v>
      </c>
      <c r="AM583" s="155">
        <f t="shared" si="184"/>
        <v>0</v>
      </c>
      <c r="AP583" s="63" t="str">
        <f t="shared" si="185"/>
        <v/>
      </c>
      <c r="AQ583" s="63" t="str">
        <f t="shared" si="186"/>
        <v/>
      </c>
      <c r="AR583" s="152" t="str">
        <f t="shared" si="187"/>
        <v/>
      </c>
      <c r="AS583" s="109" t="str">
        <f t="shared" si="188"/>
        <v/>
      </c>
      <c r="AT583" s="63" t="str">
        <f t="shared" si="189"/>
        <v xml:space="preserve">                    </v>
      </c>
    </row>
    <row r="584" spans="1:46" ht="12.75" x14ac:dyDescent="0.2">
      <c r="A584" s="63" t="str">
        <f t="shared" si="190"/>
        <v/>
      </c>
      <c r="B584" s="185"/>
      <c r="C584" s="184"/>
      <c r="D584" s="184"/>
      <c r="E584" s="184"/>
      <c r="F584" s="184"/>
      <c r="G584" s="185"/>
      <c r="H584" s="185"/>
      <c r="I584" s="186"/>
      <c r="J584" s="69"/>
      <c r="AA584" s="63">
        <f t="shared" si="172"/>
        <v>0</v>
      </c>
      <c r="AB584" s="153" t="str">
        <f t="shared" si="173"/>
        <v>000</v>
      </c>
      <c r="AC584" s="165" t="str">
        <f t="shared" si="174"/>
        <v>00000000</v>
      </c>
      <c r="AD584" s="98" t="str">
        <f t="shared" si="175"/>
        <v>00000000</v>
      </c>
      <c r="AE584" s="150">
        <f t="shared" si="176"/>
        <v>0</v>
      </c>
      <c r="AF584" s="150">
        <f t="shared" si="177"/>
        <v>0</v>
      </c>
      <c r="AG584" s="98" t="str">
        <f t="shared" si="178"/>
        <v>0000000000</v>
      </c>
      <c r="AH584" s="151">
        <f t="shared" si="179"/>
        <v>0</v>
      </c>
      <c r="AI584" s="98" t="str">
        <f t="shared" si="180"/>
        <v>00</v>
      </c>
      <c r="AJ584" s="98" t="str">
        <f t="shared" si="181"/>
        <v>000000000000</v>
      </c>
      <c r="AK584" s="161" t="str">
        <f t="shared" si="182"/>
        <v xml:space="preserve">                              </v>
      </c>
      <c r="AL584" s="154">
        <f t="shared" si="183"/>
        <v>0</v>
      </c>
      <c r="AM584" s="155">
        <f t="shared" si="184"/>
        <v>0</v>
      </c>
      <c r="AP584" s="63" t="str">
        <f t="shared" si="185"/>
        <v/>
      </c>
      <c r="AQ584" s="63" t="str">
        <f t="shared" si="186"/>
        <v/>
      </c>
      <c r="AR584" s="152" t="str">
        <f t="shared" si="187"/>
        <v/>
      </c>
      <c r="AS584" s="109" t="str">
        <f t="shared" si="188"/>
        <v/>
      </c>
      <c r="AT584" s="63" t="str">
        <f t="shared" si="189"/>
        <v xml:space="preserve">                    </v>
      </c>
    </row>
    <row r="585" spans="1:46" ht="12.75" x14ac:dyDescent="0.2">
      <c r="A585" s="63" t="str">
        <f t="shared" si="190"/>
        <v/>
      </c>
      <c r="B585" s="185"/>
      <c r="C585" s="184"/>
      <c r="D585" s="184"/>
      <c r="E585" s="184"/>
      <c r="F585" s="184"/>
      <c r="G585" s="185"/>
      <c r="H585" s="185"/>
      <c r="I585" s="186"/>
      <c r="J585" s="69"/>
      <c r="AA585" s="63">
        <f t="shared" si="172"/>
        <v>0</v>
      </c>
      <c r="AB585" s="153" t="str">
        <f t="shared" si="173"/>
        <v>000</v>
      </c>
      <c r="AC585" s="165" t="str">
        <f t="shared" si="174"/>
        <v>00000000</v>
      </c>
      <c r="AD585" s="98" t="str">
        <f t="shared" si="175"/>
        <v>00000000</v>
      </c>
      <c r="AE585" s="150">
        <f t="shared" si="176"/>
        <v>0</v>
      </c>
      <c r="AF585" s="150">
        <f t="shared" si="177"/>
        <v>0</v>
      </c>
      <c r="AG585" s="98" t="str">
        <f t="shared" si="178"/>
        <v>0000000000</v>
      </c>
      <c r="AH585" s="151">
        <f t="shared" si="179"/>
        <v>0</v>
      </c>
      <c r="AI585" s="98" t="str">
        <f t="shared" si="180"/>
        <v>00</v>
      </c>
      <c r="AJ585" s="98" t="str">
        <f t="shared" si="181"/>
        <v>000000000000</v>
      </c>
      <c r="AK585" s="161" t="str">
        <f t="shared" si="182"/>
        <v xml:space="preserve">                              </v>
      </c>
      <c r="AL585" s="154">
        <f t="shared" si="183"/>
        <v>0</v>
      </c>
      <c r="AM585" s="155">
        <f t="shared" si="184"/>
        <v>0</v>
      </c>
      <c r="AP585" s="63" t="str">
        <f t="shared" si="185"/>
        <v/>
      </c>
      <c r="AQ585" s="63" t="str">
        <f t="shared" si="186"/>
        <v/>
      </c>
      <c r="AR585" s="152" t="str">
        <f t="shared" si="187"/>
        <v/>
      </c>
      <c r="AS585" s="109" t="str">
        <f t="shared" si="188"/>
        <v/>
      </c>
      <c r="AT585" s="63" t="str">
        <f t="shared" si="189"/>
        <v xml:space="preserve">                    </v>
      </c>
    </row>
    <row r="586" spans="1:46" ht="12.75" x14ac:dyDescent="0.2">
      <c r="A586" s="63" t="str">
        <f t="shared" si="190"/>
        <v/>
      </c>
      <c r="B586" s="185"/>
      <c r="C586" s="184"/>
      <c r="D586" s="184"/>
      <c r="E586" s="184"/>
      <c r="F586" s="184"/>
      <c r="G586" s="185"/>
      <c r="H586" s="185"/>
      <c r="I586" s="186"/>
      <c r="J586" s="69"/>
      <c r="AA586" s="63">
        <f t="shared" si="172"/>
        <v>0</v>
      </c>
      <c r="AB586" s="153" t="str">
        <f t="shared" si="173"/>
        <v>000</v>
      </c>
      <c r="AC586" s="165" t="str">
        <f t="shared" si="174"/>
        <v>00000000</v>
      </c>
      <c r="AD586" s="98" t="str">
        <f t="shared" si="175"/>
        <v>00000000</v>
      </c>
      <c r="AE586" s="150">
        <f t="shared" si="176"/>
        <v>0</v>
      </c>
      <c r="AF586" s="150">
        <f t="shared" si="177"/>
        <v>0</v>
      </c>
      <c r="AG586" s="98" t="str">
        <f t="shared" si="178"/>
        <v>0000000000</v>
      </c>
      <c r="AH586" s="151">
        <f t="shared" si="179"/>
        <v>0</v>
      </c>
      <c r="AI586" s="98" t="str">
        <f t="shared" si="180"/>
        <v>00</v>
      </c>
      <c r="AJ586" s="98" t="str">
        <f t="shared" si="181"/>
        <v>000000000000</v>
      </c>
      <c r="AK586" s="161" t="str">
        <f t="shared" si="182"/>
        <v xml:space="preserve">                              </v>
      </c>
      <c r="AL586" s="154">
        <f t="shared" si="183"/>
        <v>0</v>
      </c>
      <c r="AM586" s="155">
        <f t="shared" si="184"/>
        <v>0</v>
      </c>
      <c r="AP586" s="63" t="str">
        <f t="shared" si="185"/>
        <v/>
      </c>
      <c r="AQ586" s="63" t="str">
        <f t="shared" si="186"/>
        <v/>
      </c>
      <c r="AR586" s="152" t="str">
        <f t="shared" si="187"/>
        <v/>
      </c>
      <c r="AS586" s="109" t="str">
        <f t="shared" si="188"/>
        <v/>
      </c>
      <c r="AT586" s="63" t="str">
        <f t="shared" si="189"/>
        <v xml:space="preserve">                    </v>
      </c>
    </row>
    <row r="587" spans="1:46" ht="12.75" x14ac:dyDescent="0.2">
      <c r="A587" s="63" t="str">
        <f t="shared" si="190"/>
        <v/>
      </c>
      <c r="B587" s="185"/>
      <c r="C587" s="184"/>
      <c r="D587" s="184"/>
      <c r="E587" s="184"/>
      <c r="F587" s="184"/>
      <c r="G587" s="185"/>
      <c r="H587" s="185"/>
      <c r="I587" s="186"/>
      <c r="J587" s="69"/>
      <c r="AA587" s="63">
        <f t="shared" si="172"/>
        <v>0</v>
      </c>
      <c r="AB587" s="153" t="str">
        <f t="shared" si="173"/>
        <v>000</v>
      </c>
      <c r="AC587" s="165" t="str">
        <f t="shared" si="174"/>
        <v>00000000</v>
      </c>
      <c r="AD587" s="98" t="str">
        <f t="shared" si="175"/>
        <v>00000000</v>
      </c>
      <c r="AE587" s="150">
        <f t="shared" si="176"/>
        <v>0</v>
      </c>
      <c r="AF587" s="150">
        <f t="shared" si="177"/>
        <v>0</v>
      </c>
      <c r="AG587" s="98" t="str">
        <f t="shared" si="178"/>
        <v>0000000000</v>
      </c>
      <c r="AH587" s="151">
        <f t="shared" si="179"/>
        <v>0</v>
      </c>
      <c r="AI587" s="98" t="str">
        <f t="shared" si="180"/>
        <v>00</v>
      </c>
      <c r="AJ587" s="98" t="str">
        <f t="shared" si="181"/>
        <v>000000000000</v>
      </c>
      <c r="AK587" s="161" t="str">
        <f t="shared" si="182"/>
        <v xml:space="preserve">                              </v>
      </c>
      <c r="AL587" s="154">
        <f t="shared" si="183"/>
        <v>0</v>
      </c>
      <c r="AM587" s="155">
        <f t="shared" si="184"/>
        <v>0</v>
      </c>
      <c r="AP587" s="63" t="str">
        <f t="shared" si="185"/>
        <v/>
      </c>
      <c r="AQ587" s="63" t="str">
        <f t="shared" si="186"/>
        <v/>
      </c>
      <c r="AR587" s="152" t="str">
        <f t="shared" si="187"/>
        <v/>
      </c>
      <c r="AS587" s="109" t="str">
        <f t="shared" si="188"/>
        <v/>
      </c>
      <c r="AT587" s="63" t="str">
        <f t="shared" si="189"/>
        <v xml:space="preserve">                    </v>
      </c>
    </row>
    <row r="588" spans="1:46" ht="12.75" x14ac:dyDescent="0.2">
      <c r="A588" s="63" t="str">
        <f t="shared" si="190"/>
        <v/>
      </c>
      <c r="B588" s="185"/>
      <c r="C588" s="184"/>
      <c r="D588" s="184"/>
      <c r="E588" s="184"/>
      <c r="F588" s="184"/>
      <c r="G588" s="185"/>
      <c r="H588" s="185"/>
      <c r="I588" s="186"/>
      <c r="J588" s="69"/>
      <c r="AA588" s="63">
        <f t="shared" si="172"/>
        <v>0</v>
      </c>
      <c r="AB588" s="153" t="str">
        <f t="shared" si="173"/>
        <v>000</v>
      </c>
      <c r="AC588" s="165" t="str">
        <f t="shared" si="174"/>
        <v>00000000</v>
      </c>
      <c r="AD588" s="98" t="str">
        <f t="shared" si="175"/>
        <v>00000000</v>
      </c>
      <c r="AE588" s="150">
        <f t="shared" si="176"/>
        <v>0</v>
      </c>
      <c r="AF588" s="150">
        <f t="shared" si="177"/>
        <v>0</v>
      </c>
      <c r="AG588" s="98" t="str">
        <f t="shared" si="178"/>
        <v>0000000000</v>
      </c>
      <c r="AH588" s="151">
        <f t="shared" si="179"/>
        <v>0</v>
      </c>
      <c r="AI588" s="98" t="str">
        <f t="shared" si="180"/>
        <v>00</v>
      </c>
      <c r="AJ588" s="98" t="str">
        <f t="shared" si="181"/>
        <v>000000000000</v>
      </c>
      <c r="AK588" s="161" t="str">
        <f t="shared" si="182"/>
        <v xml:space="preserve">                              </v>
      </c>
      <c r="AL588" s="154">
        <f t="shared" si="183"/>
        <v>0</v>
      </c>
      <c r="AM588" s="155">
        <f t="shared" si="184"/>
        <v>0</v>
      </c>
      <c r="AP588" s="63" t="str">
        <f t="shared" si="185"/>
        <v/>
      </c>
      <c r="AQ588" s="63" t="str">
        <f t="shared" si="186"/>
        <v/>
      </c>
      <c r="AR588" s="152" t="str">
        <f t="shared" si="187"/>
        <v/>
      </c>
      <c r="AS588" s="109" t="str">
        <f t="shared" si="188"/>
        <v/>
      </c>
      <c r="AT588" s="63" t="str">
        <f t="shared" si="189"/>
        <v xml:space="preserve">                    </v>
      </c>
    </row>
    <row r="589" spans="1:46" ht="12.75" x14ac:dyDescent="0.2">
      <c r="A589" s="63" t="str">
        <f t="shared" si="190"/>
        <v/>
      </c>
      <c r="B589" s="185"/>
      <c r="C589" s="184"/>
      <c r="D589" s="184"/>
      <c r="E589" s="184"/>
      <c r="F589" s="184"/>
      <c r="G589" s="185"/>
      <c r="H589" s="185"/>
      <c r="I589" s="186"/>
      <c r="J589" s="69"/>
      <c r="AA589" s="63">
        <f t="shared" si="172"/>
        <v>0</v>
      </c>
      <c r="AB589" s="153" t="str">
        <f t="shared" si="173"/>
        <v>000</v>
      </c>
      <c r="AC589" s="165" t="str">
        <f t="shared" si="174"/>
        <v>00000000</v>
      </c>
      <c r="AD589" s="98" t="str">
        <f t="shared" si="175"/>
        <v>00000000</v>
      </c>
      <c r="AE589" s="150">
        <f t="shared" si="176"/>
        <v>0</v>
      </c>
      <c r="AF589" s="150">
        <f t="shared" si="177"/>
        <v>0</v>
      </c>
      <c r="AG589" s="98" t="str">
        <f t="shared" si="178"/>
        <v>0000000000</v>
      </c>
      <c r="AH589" s="151">
        <f t="shared" si="179"/>
        <v>0</v>
      </c>
      <c r="AI589" s="98" t="str">
        <f t="shared" si="180"/>
        <v>00</v>
      </c>
      <c r="AJ589" s="98" t="str">
        <f t="shared" si="181"/>
        <v>000000000000</v>
      </c>
      <c r="AK589" s="161" t="str">
        <f t="shared" si="182"/>
        <v xml:space="preserve">                              </v>
      </c>
      <c r="AL589" s="154">
        <f t="shared" si="183"/>
        <v>0</v>
      </c>
      <c r="AM589" s="155">
        <f t="shared" si="184"/>
        <v>0</v>
      </c>
      <c r="AP589" s="63" t="str">
        <f t="shared" si="185"/>
        <v/>
      </c>
      <c r="AQ589" s="63" t="str">
        <f t="shared" si="186"/>
        <v/>
      </c>
      <c r="AR589" s="152" t="str">
        <f t="shared" si="187"/>
        <v/>
      </c>
      <c r="AS589" s="109" t="str">
        <f t="shared" si="188"/>
        <v/>
      </c>
      <c r="AT589" s="63" t="str">
        <f t="shared" si="189"/>
        <v xml:space="preserve">                    </v>
      </c>
    </row>
    <row r="590" spans="1:46" ht="12.75" x14ac:dyDescent="0.2">
      <c r="A590" s="63" t="str">
        <f t="shared" si="190"/>
        <v/>
      </c>
      <c r="B590" s="185"/>
      <c r="C590" s="184"/>
      <c r="D590" s="184"/>
      <c r="E590" s="184"/>
      <c r="F590" s="184"/>
      <c r="G590" s="185"/>
      <c r="H590" s="185"/>
      <c r="I590" s="186"/>
      <c r="J590" s="69"/>
      <c r="AA590" s="63">
        <f t="shared" si="172"/>
        <v>0</v>
      </c>
      <c r="AB590" s="153" t="str">
        <f t="shared" si="173"/>
        <v>000</v>
      </c>
      <c r="AC590" s="165" t="str">
        <f t="shared" si="174"/>
        <v>00000000</v>
      </c>
      <c r="AD590" s="98" t="str">
        <f t="shared" si="175"/>
        <v>00000000</v>
      </c>
      <c r="AE590" s="150">
        <f t="shared" si="176"/>
        <v>0</v>
      </c>
      <c r="AF590" s="150">
        <f t="shared" si="177"/>
        <v>0</v>
      </c>
      <c r="AG590" s="98" t="str">
        <f t="shared" si="178"/>
        <v>0000000000</v>
      </c>
      <c r="AH590" s="151">
        <f t="shared" si="179"/>
        <v>0</v>
      </c>
      <c r="AI590" s="98" t="str">
        <f t="shared" si="180"/>
        <v>00</v>
      </c>
      <c r="AJ590" s="98" t="str">
        <f t="shared" si="181"/>
        <v>000000000000</v>
      </c>
      <c r="AK590" s="161" t="str">
        <f t="shared" si="182"/>
        <v xml:space="preserve">                              </v>
      </c>
      <c r="AL590" s="154">
        <f t="shared" si="183"/>
        <v>0</v>
      </c>
      <c r="AM590" s="155">
        <f t="shared" si="184"/>
        <v>0</v>
      </c>
      <c r="AP590" s="63" t="str">
        <f t="shared" si="185"/>
        <v/>
      </c>
      <c r="AQ590" s="63" t="str">
        <f t="shared" si="186"/>
        <v/>
      </c>
      <c r="AR590" s="152" t="str">
        <f t="shared" si="187"/>
        <v/>
      </c>
      <c r="AS590" s="109" t="str">
        <f t="shared" si="188"/>
        <v/>
      </c>
      <c r="AT590" s="63" t="str">
        <f t="shared" si="189"/>
        <v xml:space="preserve">                    </v>
      </c>
    </row>
    <row r="591" spans="1:46" ht="12.75" x14ac:dyDescent="0.2">
      <c r="A591" s="63" t="str">
        <f t="shared" si="190"/>
        <v/>
      </c>
      <c r="B591" s="185"/>
      <c r="C591" s="184"/>
      <c r="D591" s="184"/>
      <c r="E591" s="184"/>
      <c r="F591" s="184"/>
      <c r="G591" s="185"/>
      <c r="H591" s="185"/>
      <c r="I591" s="186"/>
      <c r="J591" s="69"/>
      <c r="AA591" s="63">
        <f t="shared" si="172"/>
        <v>0</v>
      </c>
      <c r="AB591" s="153" t="str">
        <f t="shared" si="173"/>
        <v>000</v>
      </c>
      <c r="AC591" s="165" t="str">
        <f t="shared" si="174"/>
        <v>00000000</v>
      </c>
      <c r="AD591" s="98" t="str">
        <f t="shared" si="175"/>
        <v>00000000</v>
      </c>
      <c r="AE591" s="150">
        <f t="shared" si="176"/>
        <v>0</v>
      </c>
      <c r="AF591" s="150">
        <f t="shared" si="177"/>
        <v>0</v>
      </c>
      <c r="AG591" s="98" t="str">
        <f t="shared" si="178"/>
        <v>0000000000</v>
      </c>
      <c r="AH591" s="151">
        <f t="shared" si="179"/>
        <v>0</v>
      </c>
      <c r="AI591" s="98" t="str">
        <f t="shared" si="180"/>
        <v>00</v>
      </c>
      <c r="AJ591" s="98" t="str">
        <f t="shared" si="181"/>
        <v>000000000000</v>
      </c>
      <c r="AK591" s="161" t="str">
        <f t="shared" si="182"/>
        <v xml:space="preserve">                              </v>
      </c>
      <c r="AL591" s="154">
        <f t="shared" si="183"/>
        <v>0</v>
      </c>
      <c r="AM591" s="155">
        <f t="shared" si="184"/>
        <v>0</v>
      </c>
      <c r="AP591" s="63" t="str">
        <f t="shared" si="185"/>
        <v/>
      </c>
      <c r="AQ591" s="63" t="str">
        <f t="shared" si="186"/>
        <v/>
      </c>
      <c r="AR591" s="152" t="str">
        <f t="shared" si="187"/>
        <v/>
      </c>
      <c r="AS591" s="109" t="str">
        <f t="shared" si="188"/>
        <v/>
      </c>
      <c r="AT591" s="63" t="str">
        <f t="shared" si="189"/>
        <v xml:space="preserve">                    </v>
      </c>
    </row>
    <row r="592" spans="1:46" ht="12.75" x14ac:dyDescent="0.2">
      <c r="A592" s="63" t="str">
        <f t="shared" si="190"/>
        <v/>
      </c>
      <c r="B592" s="185"/>
      <c r="C592" s="184"/>
      <c r="D592" s="184"/>
      <c r="E592" s="184"/>
      <c r="F592" s="184"/>
      <c r="G592" s="185"/>
      <c r="H592" s="185"/>
      <c r="I592" s="186"/>
      <c r="J592" s="69"/>
      <c r="AA592" s="63">
        <f t="shared" si="172"/>
        <v>0</v>
      </c>
      <c r="AB592" s="153" t="str">
        <f t="shared" si="173"/>
        <v>000</v>
      </c>
      <c r="AC592" s="165" t="str">
        <f t="shared" si="174"/>
        <v>00000000</v>
      </c>
      <c r="AD592" s="98" t="str">
        <f t="shared" si="175"/>
        <v>00000000</v>
      </c>
      <c r="AE592" s="150">
        <f t="shared" si="176"/>
        <v>0</v>
      </c>
      <c r="AF592" s="150">
        <f t="shared" si="177"/>
        <v>0</v>
      </c>
      <c r="AG592" s="98" t="str">
        <f t="shared" si="178"/>
        <v>0000000000</v>
      </c>
      <c r="AH592" s="151">
        <f t="shared" si="179"/>
        <v>0</v>
      </c>
      <c r="AI592" s="98" t="str">
        <f t="shared" si="180"/>
        <v>00</v>
      </c>
      <c r="AJ592" s="98" t="str">
        <f t="shared" si="181"/>
        <v>000000000000</v>
      </c>
      <c r="AK592" s="161" t="str">
        <f t="shared" si="182"/>
        <v xml:space="preserve">                              </v>
      </c>
      <c r="AL592" s="154">
        <f t="shared" si="183"/>
        <v>0</v>
      </c>
      <c r="AM592" s="155">
        <f t="shared" si="184"/>
        <v>0</v>
      </c>
      <c r="AP592" s="63" t="str">
        <f t="shared" si="185"/>
        <v/>
      </c>
      <c r="AQ592" s="63" t="str">
        <f t="shared" si="186"/>
        <v/>
      </c>
      <c r="AR592" s="152" t="str">
        <f t="shared" si="187"/>
        <v/>
      </c>
      <c r="AS592" s="109" t="str">
        <f t="shared" si="188"/>
        <v/>
      </c>
      <c r="AT592" s="63" t="str">
        <f t="shared" si="189"/>
        <v xml:space="preserve">                    </v>
      </c>
    </row>
    <row r="593" spans="1:46" ht="12.75" x14ac:dyDescent="0.2">
      <c r="A593" s="63" t="str">
        <f t="shared" si="190"/>
        <v/>
      </c>
      <c r="B593" s="185"/>
      <c r="C593" s="184"/>
      <c r="D593" s="184"/>
      <c r="E593" s="184"/>
      <c r="F593" s="184"/>
      <c r="G593" s="185"/>
      <c r="H593" s="185"/>
      <c r="I593" s="186"/>
      <c r="J593" s="69"/>
      <c r="AA593" s="63">
        <f t="shared" ref="AA593:AA656" si="191">B593</f>
        <v>0</v>
      </c>
      <c r="AB593" s="153" t="str">
        <f t="shared" ref="AB593:AB656" si="192">CONCATENATE(REPT("0",3-LEN(C593)),C593)</f>
        <v>000</v>
      </c>
      <c r="AC593" s="165" t="str">
        <f t="shared" ref="AC593:AC656" si="193">CONCATENATE(REPT("0",8-LEN(D593)),D593)</f>
        <v>00000000</v>
      </c>
      <c r="AD593" s="98" t="str">
        <f t="shared" ref="AD593:AD656" si="194">CONCATENATE(REPT("0",8-LEN(F593)),F593)</f>
        <v>00000000</v>
      </c>
      <c r="AE593" s="150">
        <f t="shared" ref="AE593:AE656" si="195">INT(I593)</f>
        <v>0</v>
      </c>
      <c r="AF593" s="150">
        <f t="shared" ref="AF593:AF656" si="196">I593-AE593</f>
        <v>0</v>
      </c>
      <c r="AG593" s="98" t="str">
        <f t="shared" ref="AG593:AG656" si="197">TEXT(AE593,"0000000000")</f>
        <v>0000000000</v>
      </c>
      <c r="AH593" s="151">
        <f t="shared" ref="AH593:AH656" si="198">AF593*100</f>
        <v>0</v>
      </c>
      <c r="AI593" s="98" t="str">
        <f t="shared" ref="AI593:AI656" si="199">TEXT(AH593,"00")</f>
        <v>00</v>
      </c>
      <c r="AJ593" s="98" t="str">
        <f t="shared" ref="AJ593:AJ656" si="200">CONCATENATE(AG593,AI593)</f>
        <v>000000000000</v>
      </c>
      <c r="AK593" s="161" t="str">
        <f t="shared" ref="AK593:AK656" si="201">CONCATENATE(E593,REPT(" ",30-LEN(E593)))</f>
        <v xml:space="preserve">                              </v>
      </c>
      <c r="AL593" s="154">
        <f t="shared" ref="AL593:AL656" si="202">IF(H593&lt;&gt;"",IF(H593=$H$3,0,1),0)</f>
        <v>0</v>
      </c>
      <c r="AM593" s="155">
        <f t="shared" ref="AM593:AM656" si="203">IF(AL593=1,IF($H$3=1,I593*$K$14,I593/$K$14),I593)</f>
        <v>0</v>
      </c>
      <c r="AP593" s="63" t="str">
        <f t="shared" si="185"/>
        <v/>
      </c>
      <c r="AQ593" s="63" t="str">
        <f t="shared" si="186"/>
        <v/>
      </c>
      <c r="AR593" s="152" t="str">
        <f t="shared" si="187"/>
        <v/>
      </c>
      <c r="AS593" s="109" t="str">
        <f t="shared" si="188"/>
        <v/>
      </c>
      <c r="AT593" s="63" t="str">
        <f t="shared" si="189"/>
        <v xml:space="preserve">                    </v>
      </c>
    </row>
    <row r="594" spans="1:46" ht="12.75" x14ac:dyDescent="0.2">
      <c r="A594" s="63" t="str">
        <f t="shared" si="190"/>
        <v/>
      </c>
      <c r="B594" s="185"/>
      <c r="C594" s="184"/>
      <c r="D594" s="184"/>
      <c r="E594" s="184"/>
      <c r="F594" s="184"/>
      <c r="G594" s="185"/>
      <c r="H594" s="185"/>
      <c r="I594" s="186"/>
      <c r="J594" s="69"/>
      <c r="AA594" s="63">
        <f t="shared" si="191"/>
        <v>0</v>
      </c>
      <c r="AB594" s="153" t="str">
        <f t="shared" si="192"/>
        <v>000</v>
      </c>
      <c r="AC594" s="165" t="str">
        <f t="shared" si="193"/>
        <v>00000000</v>
      </c>
      <c r="AD594" s="98" t="str">
        <f t="shared" si="194"/>
        <v>00000000</v>
      </c>
      <c r="AE594" s="150">
        <f t="shared" si="195"/>
        <v>0</v>
      </c>
      <c r="AF594" s="150">
        <f t="shared" si="196"/>
        <v>0</v>
      </c>
      <c r="AG594" s="98" t="str">
        <f t="shared" si="197"/>
        <v>0000000000</v>
      </c>
      <c r="AH594" s="151">
        <f t="shared" si="198"/>
        <v>0</v>
      </c>
      <c r="AI594" s="98" t="str">
        <f t="shared" si="199"/>
        <v>00</v>
      </c>
      <c r="AJ594" s="98" t="str">
        <f t="shared" si="200"/>
        <v>000000000000</v>
      </c>
      <c r="AK594" s="161" t="str">
        <f t="shared" si="201"/>
        <v xml:space="preserve">                              </v>
      </c>
      <c r="AL594" s="154">
        <f t="shared" si="202"/>
        <v>0</v>
      </c>
      <c r="AM594" s="155">
        <f t="shared" si="203"/>
        <v>0</v>
      </c>
      <c r="AP594" s="63" t="str">
        <f t="shared" ref="AP594:AP657" si="204">IF(D595&lt;&gt;"",CONCATENATE("000",AS594,"0",H595,"2","    ",AD595,AJ595,"            ",AT595,AK595,"                                                                                     "),"")</f>
        <v/>
      </c>
      <c r="AQ594" s="63" t="str">
        <f t="shared" ref="AQ594:AQ657" si="205">IF(D595&lt;&gt;"",CONCATENATE("1520",AA595,AB595,AC595),"")</f>
        <v/>
      </c>
      <c r="AR594" s="152" t="str">
        <f t="shared" ref="AR594:AR657" si="206">IF(D595&lt;&gt;"",MOD(SUM(VALUE(MID($AQ$1,1,1)) * VALUE(MID(AQ594,1,1)),VALUE(MID($AQ$1,2,1)) * VALUE(MID(AQ594,2,1)),VALUE(MID($AQ$1,3,1)) * VALUE(MID(AQ594,3,1)),VALUE(MID($AQ$1,4,1)) * VALUE(MID(AQ594,4,1)),VALUE(MID($AQ$1,5,1)) * VALUE(MID(AQ594,5,1)),VALUE(MID($AQ$1,6,1)) * VALUE(MID(AQ594,6,1)),VALUE(MID($AQ$1,7,1)) * VALUE(MID(AQ594,7,1)),VALUE(MID($AQ$1,8,1)) * VALUE(MID(AQ594,8,1)),VALUE(MID($AQ$1,9,1)) * VALUE(MID(AQ594,9,1)),VALUE(MID($AQ$1,10,1)) * VALUE(MID(AQ594,10,1)),VALUE(MID($AQ$1,11,1)) * VALUE(MID(AQ594,11,1)),VALUE(MID($AQ$1,12,1)) * VALUE(MID(AQ594,12,1)),VALUE(MID($AQ$1,13,1)) * VALUE(MID(AQ594,13,1)),VALUE(MID($AQ$1,14,1)) * VALUE(MID(AQ594,14,1)),VALUE(MID($AQ$1,15,1)) * VALUE(MID(AQ594,15,1)),VALUE(MID($AQ$1,16,1)) * VALUE(MID(AQ594,16,1))),11),"")</f>
        <v/>
      </c>
      <c r="AS594" s="109" t="str">
        <f t="shared" ref="AS594:AS657" si="207">IF(D595&lt;&gt;"",CONCATENATE(AQ594,IF(AR594&gt;9,"1",AR594)),"")</f>
        <v/>
      </c>
      <c r="AT594" s="63" t="str">
        <f t="shared" ref="AT594:AT657" si="208">CONCATENATE(G594,REPT(" ",20-LEN(G594)))</f>
        <v xml:space="preserve">                    </v>
      </c>
    </row>
    <row r="595" spans="1:46" ht="12.75" x14ac:dyDescent="0.2">
      <c r="A595" s="63" t="str">
        <f t="shared" si="190"/>
        <v/>
      </c>
      <c r="B595" s="185"/>
      <c r="C595" s="184"/>
      <c r="D595" s="184"/>
      <c r="E595" s="184"/>
      <c r="F595" s="184"/>
      <c r="G595" s="185"/>
      <c r="H595" s="185"/>
      <c r="I595" s="186"/>
      <c r="J595" s="69"/>
      <c r="AA595" s="63">
        <f t="shared" si="191"/>
        <v>0</v>
      </c>
      <c r="AB595" s="153" t="str">
        <f t="shared" si="192"/>
        <v>000</v>
      </c>
      <c r="AC595" s="165" t="str">
        <f t="shared" si="193"/>
        <v>00000000</v>
      </c>
      <c r="AD595" s="98" t="str">
        <f t="shared" si="194"/>
        <v>00000000</v>
      </c>
      <c r="AE595" s="150">
        <f t="shared" si="195"/>
        <v>0</v>
      </c>
      <c r="AF595" s="150">
        <f t="shared" si="196"/>
        <v>0</v>
      </c>
      <c r="AG595" s="98" t="str">
        <f t="shared" si="197"/>
        <v>0000000000</v>
      </c>
      <c r="AH595" s="151">
        <f t="shared" si="198"/>
        <v>0</v>
      </c>
      <c r="AI595" s="98" t="str">
        <f t="shared" si="199"/>
        <v>00</v>
      </c>
      <c r="AJ595" s="98" t="str">
        <f t="shared" si="200"/>
        <v>000000000000</v>
      </c>
      <c r="AK595" s="161" t="str">
        <f t="shared" si="201"/>
        <v xml:space="preserve">                              </v>
      </c>
      <c r="AL595" s="154">
        <f t="shared" si="202"/>
        <v>0</v>
      </c>
      <c r="AM595" s="155">
        <f t="shared" si="203"/>
        <v>0</v>
      </c>
      <c r="AP595" s="63" t="str">
        <f t="shared" si="204"/>
        <v/>
      </c>
      <c r="AQ595" s="63" t="str">
        <f t="shared" si="205"/>
        <v/>
      </c>
      <c r="AR595" s="152" t="str">
        <f t="shared" si="206"/>
        <v/>
      </c>
      <c r="AS595" s="109" t="str">
        <f t="shared" si="207"/>
        <v/>
      </c>
      <c r="AT595" s="63" t="str">
        <f t="shared" si="208"/>
        <v xml:space="preserve">                    </v>
      </c>
    </row>
    <row r="596" spans="1:46" ht="12.75" x14ac:dyDescent="0.2">
      <c r="A596" s="63" t="str">
        <f t="shared" si="190"/>
        <v/>
      </c>
      <c r="B596" s="185"/>
      <c r="C596" s="184"/>
      <c r="D596" s="184"/>
      <c r="E596" s="184"/>
      <c r="F596" s="184"/>
      <c r="G596" s="185"/>
      <c r="H596" s="185"/>
      <c r="I596" s="186"/>
      <c r="J596" s="69"/>
      <c r="AA596" s="63">
        <f t="shared" si="191"/>
        <v>0</v>
      </c>
      <c r="AB596" s="153" t="str">
        <f t="shared" si="192"/>
        <v>000</v>
      </c>
      <c r="AC596" s="165" t="str">
        <f t="shared" si="193"/>
        <v>00000000</v>
      </c>
      <c r="AD596" s="98" t="str">
        <f t="shared" si="194"/>
        <v>00000000</v>
      </c>
      <c r="AE596" s="150">
        <f t="shared" si="195"/>
        <v>0</v>
      </c>
      <c r="AF596" s="150">
        <f t="shared" si="196"/>
        <v>0</v>
      </c>
      <c r="AG596" s="98" t="str">
        <f t="shared" si="197"/>
        <v>0000000000</v>
      </c>
      <c r="AH596" s="151">
        <f t="shared" si="198"/>
        <v>0</v>
      </c>
      <c r="AI596" s="98" t="str">
        <f t="shared" si="199"/>
        <v>00</v>
      </c>
      <c r="AJ596" s="98" t="str">
        <f t="shared" si="200"/>
        <v>000000000000</v>
      </c>
      <c r="AK596" s="161" t="str">
        <f t="shared" si="201"/>
        <v xml:space="preserve">                              </v>
      </c>
      <c r="AL596" s="154">
        <f t="shared" si="202"/>
        <v>0</v>
      </c>
      <c r="AM596" s="155">
        <f t="shared" si="203"/>
        <v>0</v>
      </c>
      <c r="AP596" s="63" t="str">
        <f t="shared" si="204"/>
        <v/>
      </c>
      <c r="AQ596" s="63" t="str">
        <f t="shared" si="205"/>
        <v/>
      </c>
      <c r="AR596" s="152" t="str">
        <f t="shared" si="206"/>
        <v/>
      </c>
      <c r="AS596" s="109" t="str">
        <f t="shared" si="207"/>
        <v/>
      </c>
      <c r="AT596" s="63" t="str">
        <f t="shared" si="208"/>
        <v xml:space="preserve">                    </v>
      </c>
    </row>
    <row r="597" spans="1:46" ht="12.75" x14ac:dyDescent="0.2">
      <c r="A597" s="63" t="str">
        <f t="shared" si="190"/>
        <v/>
      </c>
      <c r="B597" s="185"/>
      <c r="C597" s="184"/>
      <c r="D597" s="184"/>
      <c r="E597" s="184"/>
      <c r="F597" s="184"/>
      <c r="G597" s="185"/>
      <c r="H597" s="185"/>
      <c r="I597" s="186"/>
      <c r="J597" s="69"/>
      <c r="AA597" s="63">
        <f t="shared" si="191"/>
        <v>0</v>
      </c>
      <c r="AB597" s="153" t="str">
        <f t="shared" si="192"/>
        <v>000</v>
      </c>
      <c r="AC597" s="165" t="str">
        <f t="shared" si="193"/>
        <v>00000000</v>
      </c>
      <c r="AD597" s="98" t="str">
        <f t="shared" si="194"/>
        <v>00000000</v>
      </c>
      <c r="AE597" s="150">
        <f t="shared" si="195"/>
        <v>0</v>
      </c>
      <c r="AF597" s="150">
        <f t="shared" si="196"/>
        <v>0</v>
      </c>
      <c r="AG597" s="98" t="str">
        <f t="shared" si="197"/>
        <v>0000000000</v>
      </c>
      <c r="AH597" s="151">
        <f t="shared" si="198"/>
        <v>0</v>
      </c>
      <c r="AI597" s="98" t="str">
        <f t="shared" si="199"/>
        <v>00</v>
      </c>
      <c r="AJ597" s="98" t="str">
        <f t="shared" si="200"/>
        <v>000000000000</v>
      </c>
      <c r="AK597" s="161" t="str">
        <f t="shared" si="201"/>
        <v xml:space="preserve">                              </v>
      </c>
      <c r="AL597" s="154">
        <f t="shared" si="202"/>
        <v>0</v>
      </c>
      <c r="AM597" s="155">
        <f t="shared" si="203"/>
        <v>0</v>
      </c>
      <c r="AP597" s="63" t="str">
        <f t="shared" si="204"/>
        <v/>
      </c>
      <c r="AQ597" s="63" t="str">
        <f t="shared" si="205"/>
        <v/>
      </c>
      <c r="AR597" s="152" t="str">
        <f t="shared" si="206"/>
        <v/>
      </c>
      <c r="AS597" s="109" t="str">
        <f t="shared" si="207"/>
        <v/>
      </c>
      <c r="AT597" s="63" t="str">
        <f t="shared" si="208"/>
        <v xml:space="preserve">                    </v>
      </c>
    </row>
    <row r="598" spans="1:46" ht="12.75" x14ac:dyDescent="0.2">
      <c r="A598" s="63" t="str">
        <f t="shared" si="190"/>
        <v/>
      </c>
      <c r="B598" s="185"/>
      <c r="C598" s="184"/>
      <c r="D598" s="184"/>
      <c r="E598" s="184"/>
      <c r="F598" s="184"/>
      <c r="G598" s="185"/>
      <c r="H598" s="185"/>
      <c r="I598" s="186"/>
      <c r="J598" s="69"/>
      <c r="AA598" s="63">
        <f t="shared" si="191"/>
        <v>0</v>
      </c>
      <c r="AB598" s="153" t="str">
        <f t="shared" si="192"/>
        <v>000</v>
      </c>
      <c r="AC598" s="165" t="str">
        <f t="shared" si="193"/>
        <v>00000000</v>
      </c>
      <c r="AD598" s="98" t="str">
        <f t="shared" si="194"/>
        <v>00000000</v>
      </c>
      <c r="AE598" s="150">
        <f t="shared" si="195"/>
        <v>0</v>
      </c>
      <c r="AF598" s="150">
        <f t="shared" si="196"/>
        <v>0</v>
      </c>
      <c r="AG598" s="98" t="str">
        <f t="shared" si="197"/>
        <v>0000000000</v>
      </c>
      <c r="AH598" s="151">
        <f t="shared" si="198"/>
        <v>0</v>
      </c>
      <c r="AI598" s="98" t="str">
        <f t="shared" si="199"/>
        <v>00</v>
      </c>
      <c r="AJ598" s="98" t="str">
        <f t="shared" si="200"/>
        <v>000000000000</v>
      </c>
      <c r="AK598" s="161" t="str">
        <f t="shared" si="201"/>
        <v xml:space="preserve">                              </v>
      </c>
      <c r="AL598" s="154">
        <f t="shared" si="202"/>
        <v>0</v>
      </c>
      <c r="AM598" s="155">
        <f t="shared" si="203"/>
        <v>0</v>
      </c>
      <c r="AP598" s="63" t="str">
        <f t="shared" si="204"/>
        <v/>
      </c>
      <c r="AQ598" s="63" t="str">
        <f t="shared" si="205"/>
        <v/>
      </c>
      <c r="AR598" s="152" t="str">
        <f t="shared" si="206"/>
        <v/>
      </c>
      <c r="AS598" s="109" t="str">
        <f t="shared" si="207"/>
        <v/>
      </c>
      <c r="AT598" s="63" t="str">
        <f t="shared" si="208"/>
        <v xml:space="preserve">                    </v>
      </c>
    </row>
    <row r="599" spans="1:46" ht="12.75" x14ac:dyDescent="0.2">
      <c r="A599" s="63" t="str">
        <f t="shared" si="190"/>
        <v/>
      </c>
      <c r="B599" s="185"/>
      <c r="C599" s="184"/>
      <c r="D599" s="184"/>
      <c r="E599" s="184"/>
      <c r="F599" s="184"/>
      <c r="G599" s="185"/>
      <c r="H599" s="185"/>
      <c r="I599" s="186"/>
      <c r="J599" s="69"/>
      <c r="AA599" s="63">
        <f t="shared" si="191"/>
        <v>0</v>
      </c>
      <c r="AB599" s="153" t="str">
        <f t="shared" si="192"/>
        <v>000</v>
      </c>
      <c r="AC599" s="165" t="str">
        <f t="shared" si="193"/>
        <v>00000000</v>
      </c>
      <c r="AD599" s="98" t="str">
        <f t="shared" si="194"/>
        <v>00000000</v>
      </c>
      <c r="AE599" s="150">
        <f t="shared" si="195"/>
        <v>0</v>
      </c>
      <c r="AF599" s="150">
        <f t="shared" si="196"/>
        <v>0</v>
      </c>
      <c r="AG599" s="98" t="str">
        <f t="shared" si="197"/>
        <v>0000000000</v>
      </c>
      <c r="AH599" s="151">
        <f t="shared" si="198"/>
        <v>0</v>
      </c>
      <c r="AI599" s="98" t="str">
        <f t="shared" si="199"/>
        <v>00</v>
      </c>
      <c r="AJ599" s="98" t="str">
        <f t="shared" si="200"/>
        <v>000000000000</v>
      </c>
      <c r="AK599" s="161" t="str">
        <f t="shared" si="201"/>
        <v xml:space="preserve">                              </v>
      </c>
      <c r="AL599" s="154">
        <f t="shared" si="202"/>
        <v>0</v>
      </c>
      <c r="AM599" s="155">
        <f t="shared" si="203"/>
        <v>0</v>
      </c>
      <c r="AP599" s="63" t="str">
        <f t="shared" si="204"/>
        <v/>
      </c>
      <c r="AQ599" s="63" t="str">
        <f t="shared" si="205"/>
        <v/>
      </c>
      <c r="AR599" s="152" t="str">
        <f t="shared" si="206"/>
        <v/>
      </c>
      <c r="AS599" s="109" t="str">
        <f t="shared" si="207"/>
        <v/>
      </c>
      <c r="AT599" s="63" t="str">
        <f t="shared" si="208"/>
        <v xml:space="preserve">                    </v>
      </c>
    </row>
    <row r="600" spans="1:46" ht="12.75" x14ac:dyDescent="0.2">
      <c r="A600" s="63" t="str">
        <f t="shared" si="190"/>
        <v/>
      </c>
      <c r="B600" s="185"/>
      <c r="C600" s="184"/>
      <c r="D600" s="184"/>
      <c r="E600" s="184"/>
      <c r="F600" s="184"/>
      <c r="G600" s="185"/>
      <c r="H600" s="185"/>
      <c r="I600" s="186"/>
      <c r="J600" s="69"/>
      <c r="AA600" s="63">
        <f t="shared" si="191"/>
        <v>0</v>
      </c>
      <c r="AB600" s="153" t="str">
        <f t="shared" si="192"/>
        <v>000</v>
      </c>
      <c r="AC600" s="165" t="str">
        <f t="shared" si="193"/>
        <v>00000000</v>
      </c>
      <c r="AD600" s="98" t="str">
        <f t="shared" si="194"/>
        <v>00000000</v>
      </c>
      <c r="AE600" s="150">
        <f t="shared" si="195"/>
        <v>0</v>
      </c>
      <c r="AF600" s="150">
        <f t="shared" si="196"/>
        <v>0</v>
      </c>
      <c r="AG600" s="98" t="str">
        <f t="shared" si="197"/>
        <v>0000000000</v>
      </c>
      <c r="AH600" s="151">
        <f t="shared" si="198"/>
        <v>0</v>
      </c>
      <c r="AI600" s="98" t="str">
        <f t="shared" si="199"/>
        <v>00</v>
      </c>
      <c r="AJ600" s="98" t="str">
        <f t="shared" si="200"/>
        <v>000000000000</v>
      </c>
      <c r="AK600" s="161" t="str">
        <f t="shared" si="201"/>
        <v xml:space="preserve">                              </v>
      </c>
      <c r="AL600" s="154">
        <f t="shared" si="202"/>
        <v>0</v>
      </c>
      <c r="AM600" s="155">
        <f t="shared" si="203"/>
        <v>0</v>
      </c>
      <c r="AP600" s="63" t="str">
        <f t="shared" si="204"/>
        <v/>
      </c>
      <c r="AQ600" s="63" t="str">
        <f t="shared" si="205"/>
        <v/>
      </c>
      <c r="AR600" s="152" t="str">
        <f t="shared" si="206"/>
        <v/>
      </c>
      <c r="AS600" s="109" t="str">
        <f t="shared" si="207"/>
        <v/>
      </c>
      <c r="AT600" s="63" t="str">
        <f t="shared" si="208"/>
        <v xml:space="preserve">                    </v>
      </c>
    </row>
    <row r="601" spans="1:46" ht="12.75" x14ac:dyDescent="0.2">
      <c r="A601" s="63" t="str">
        <f t="shared" si="190"/>
        <v/>
      </c>
      <c r="B601" s="185"/>
      <c r="C601" s="184"/>
      <c r="D601" s="184"/>
      <c r="E601" s="184"/>
      <c r="F601" s="184"/>
      <c r="G601" s="185"/>
      <c r="H601" s="185"/>
      <c r="I601" s="186"/>
      <c r="J601" s="69"/>
      <c r="AA601" s="63">
        <f t="shared" si="191"/>
        <v>0</v>
      </c>
      <c r="AB601" s="153" t="str">
        <f t="shared" si="192"/>
        <v>000</v>
      </c>
      <c r="AC601" s="165" t="str">
        <f t="shared" si="193"/>
        <v>00000000</v>
      </c>
      <c r="AD601" s="98" t="str">
        <f t="shared" si="194"/>
        <v>00000000</v>
      </c>
      <c r="AE601" s="150">
        <f t="shared" si="195"/>
        <v>0</v>
      </c>
      <c r="AF601" s="150">
        <f t="shared" si="196"/>
        <v>0</v>
      </c>
      <c r="AG601" s="98" t="str">
        <f t="shared" si="197"/>
        <v>0000000000</v>
      </c>
      <c r="AH601" s="151">
        <f t="shared" si="198"/>
        <v>0</v>
      </c>
      <c r="AI601" s="98" t="str">
        <f t="shared" si="199"/>
        <v>00</v>
      </c>
      <c r="AJ601" s="98" t="str">
        <f t="shared" si="200"/>
        <v>000000000000</v>
      </c>
      <c r="AK601" s="161" t="str">
        <f t="shared" si="201"/>
        <v xml:space="preserve">                              </v>
      </c>
      <c r="AL601" s="154">
        <f t="shared" si="202"/>
        <v>0</v>
      </c>
      <c r="AM601" s="155">
        <f t="shared" si="203"/>
        <v>0</v>
      </c>
      <c r="AP601" s="63" t="str">
        <f t="shared" si="204"/>
        <v/>
      </c>
      <c r="AQ601" s="63" t="str">
        <f t="shared" si="205"/>
        <v/>
      </c>
      <c r="AR601" s="152" t="str">
        <f t="shared" si="206"/>
        <v/>
      </c>
      <c r="AS601" s="109" t="str">
        <f t="shared" si="207"/>
        <v/>
      </c>
      <c r="AT601" s="63" t="str">
        <f t="shared" si="208"/>
        <v xml:space="preserve">                    </v>
      </c>
    </row>
    <row r="602" spans="1:46" ht="12.75" x14ac:dyDescent="0.2">
      <c r="A602" s="63" t="str">
        <f t="shared" si="190"/>
        <v/>
      </c>
      <c r="B602" s="185"/>
      <c r="C602" s="184"/>
      <c r="D602" s="184"/>
      <c r="E602" s="184"/>
      <c r="F602" s="184"/>
      <c r="G602" s="185"/>
      <c r="H602" s="185"/>
      <c r="I602" s="186"/>
      <c r="J602" s="69"/>
      <c r="AA602" s="63">
        <f t="shared" si="191"/>
        <v>0</v>
      </c>
      <c r="AB602" s="153" t="str">
        <f t="shared" si="192"/>
        <v>000</v>
      </c>
      <c r="AC602" s="165" t="str">
        <f t="shared" si="193"/>
        <v>00000000</v>
      </c>
      <c r="AD602" s="98" t="str">
        <f t="shared" si="194"/>
        <v>00000000</v>
      </c>
      <c r="AE602" s="150">
        <f t="shared" si="195"/>
        <v>0</v>
      </c>
      <c r="AF602" s="150">
        <f t="shared" si="196"/>
        <v>0</v>
      </c>
      <c r="AG602" s="98" t="str">
        <f t="shared" si="197"/>
        <v>0000000000</v>
      </c>
      <c r="AH602" s="151">
        <f t="shared" si="198"/>
        <v>0</v>
      </c>
      <c r="AI602" s="98" t="str">
        <f t="shared" si="199"/>
        <v>00</v>
      </c>
      <c r="AJ602" s="98" t="str">
        <f t="shared" si="200"/>
        <v>000000000000</v>
      </c>
      <c r="AK602" s="161" t="str">
        <f t="shared" si="201"/>
        <v xml:space="preserve">                              </v>
      </c>
      <c r="AL602" s="154">
        <f t="shared" si="202"/>
        <v>0</v>
      </c>
      <c r="AM602" s="155">
        <f t="shared" si="203"/>
        <v>0</v>
      </c>
      <c r="AP602" s="63" t="str">
        <f t="shared" si="204"/>
        <v/>
      </c>
      <c r="AQ602" s="63" t="str">
        <f t="shared" si="205"/>
        <v/>
      </c>
      <c r="AR602" s="152" t="str">
        <f t="shared" si="206"/>
        <v/>
      </c>
      <c r="AS602" s="109" t="str">
        <f t="shared" si="207"/>
        <v/>
      </c>
      <c r="AT602" s="63" t="str">
        <f t="shared" si="208"/>
        <v xml:space="preserve">                    </v>
      </c>
    </row>
    <row r="603" spans="1:46" ht="12.75" x14ac:dyDescent="0.2">
      <c r="A603" s="63" t="str">
        <f t="shared" si="190"/>
        <v/>
      </c>
      <c r="B603" s="185"/>
      <c r="C603" s="184"/>
      <c r="D603" s="184"/>
      <c r="E603" s="184"/>
      <c r="F603" s="184"/>
      <c r="G603" s="185"/>
      <c r="H603" s="185"/>
      <c r="I603" s="186"/>
      <c r="J603" s="69"/>
      <c r="AA603" s="63">
        <f t="shared" si="191"/>
        <v>0</v>
      </c>
      <c r="AB603" s="153" t="str">
        <f t="shared" si="192"/>
        <v>000</v>
      </c>
      <c r="AC603" s="165" t="str">
        <f t="shared" si="193"/>
        <v>00000000</v>
      </c>
      <c r="AD603" s="98" t="str">
        <f t="shared" si="194"/>
        <v>00000000</v>
      </c>
      <c r="AE603" s="150">
        <f t="shared" si="195"/>
        <v>0</v>
      </c>
      <c r="AF603" s="150">
        <f t="shared" si="196"/>
        <v>0</v>
      </c>
      <c r="AG603" s="98" t="str">
        <f t="shared" si="197"/>
        <v>0000000000</v>
      </c>
      <c r="AH603" s="151">
        <f t="shared" si="198"/>
        <v>0</v>
      </c>
      <c r="AI603" s="98" t="str">
        <f t="shared" si="199"/>
        <v>00</v>
      </c>
      <c r="AJ603" s="98" t="str">
        <f t="shared" si="200"/>
        <v>000000000000</v>
      </c>
      <c r="AK603" s="161" t="str">
        <f t="shared" si="201"/>
        <v xml:space="preserve">                              </v>
      </c>
      <c r="AL603" s="154">
        <f t="shared" si="202"/>
        <v>0</v>
      </c>
      <c r="AM603" s="155">
        <f t="shared" si="203"/>
        <v>0</v>
      </c>
      <c r="AP603" s="63" t="str">
        <f t="shared" si="204"/>
        <v/>
      </c>
      <c r="AQ603" s="63" t="str">
        <f t="shared" si="205"/>
        <v/>
      </c>
      <c r="AR603" s="152" t="str">
        <f t="shared" si="206"/>
        <v/>
      </c>
      <c r="AS603" s="109" t="str">
        <f t="shared" si="207"/>
        <v/>
      </c>
      <c r="AT603" s="63" t="str">
        <f t="shared" si="208"/>
        <v xml:space="preserve">                    </v>
      </c>
    </row>
    <row r="604" spans="1:46" ht="12.75" x14ac:dyDescent="0.2">
      <c r="A604" s="63" t="str">
        <f t="shared" si="190"/>
        <v/>
      </c>
      <c r="B604" s="185"/>
      <c r="C604" s="184"/>
      <c r="D604" s="184"/>
      <c r="E604" s="184"/>
      <c r="F604" s="184"/>
      <c r="G604" s="185"/>
      <c r="H604" s="185"/>
      <c r="I604" s="186"/>
      <c r="J604" s="69"/>
      <c r="AA604" s="63">
        <f t="shared" si="191"/>
        <v>0</v>
      </c>
      <c r="AB604" s="153" t="str">
        <f t="shared" si="192"/>
        <v>000</v>
      </c>
      <c r="AC604" s="165" t="str">
        <f t="shared" si="193"/>
        <v>00000000</v>
      </c>
      <c r="AD604" s="98" t="str">
        <f t="shared" si="194"/>
        <v>00000000</v>
      </c>
      <c r="AE604" s="150">
        <f t="shared" si="195"/>
        <v>0</v>
      </c>
      <c r="AF604" s="150">
        <f t="shared" si="196"/>
        <v>0</v>
      </c>
      <c r="AG604" s="98" t="str">
        <f t="shared" si="197"/>
        <v>0000000000</v>
      </c>
      <c r="AH604" s="151">
        <f t="shared" si="198"/>
        <v>0</v>
      </c>
      <c r="AI604" s="98" t="str">
        <f t="shared" si="199"/>
        <v>00</v>
      </c>
      <c r="AJ604" s="98" t="str">
        <f t="shared" si="200"/>
        <v>000000000000</v>
      </c>
      <c r="AK604" s="161" t="str">
        <f t="shared" si="201"/>
        <v xml:space="preserve">                              </v>
      </c>
      <c r="AL604" s="154">
        <f t="shared" si="202"/>
        <v>0</v>
      </c>
      <c r="AM604" s="155">
        <f t="shared" si="203"/>
        <v>0</v>
      </c>
      <c r="AP604" s="63" t="str">
        <f t="shared" si="204"/>
        <v/>
      </c>
      <c r="AQ604" s="63" t="str">
        <f t="shared" si="205"/>
        <v/>
      </c>
      <c r="AR604" s="152" t="str">
        <f t="shared" si="206"/>
        <v/>
      </c>
      <c r="AS604" s="109" t="str">
        <f t="shared" si="207"/>
        <v/>
      </c>
      <c r="AT604" s="63" t="str">
        <f t="shared" si="208"/>
        <v xml:space="preserve">                    </v>
      </c>
    </row>
    <row r="605" spans="1:46" ht="12.75" x14ac:dyDescent="0.2">
      <c r="A605" s="63" t="str">
        <f t="shared" si="190"/>
        <v/>
      </c>
      <c r="B605" s="185"/>
      <c r="C605" s="184"/>
      <c r="D605" s="184"/>
      <c r="E605" s="184"/>
      <c r="F605" s="184"/>
      <c r="G605" s="185"/>
      <c r="H605" s="185"/>
      <c r="I605" s="186"/>
      <c r="J605" s="69"/>
      <c r="AA605" s="63">
        <f t="shared" si="191"/>
        <v>0</v>
      </c>
      <c r="AB605" s="153" t="str">
        <f t="shared" si="192"/>
        <v>000</v>
      </c>
      <c r="AC605" s="165" t="str">
        <f t="shared" si="193"/>
        <v>00000000</v>
      </c>
      <c r="AD605" s="98" t="str">
        <f t="shared" si="194"/>
        <v>00000000</v>
      </c>
      <c r="AE605" s="150">
        <f t="shared" si="195"/>
        <v>0</v>
      </c>
      <c r="AF605" s="150">
        <f t="shared" si="196"/>
        <v>0</v>
      </c>
      <c r="AG605" s="98" t="str">
        <f t="shared" si="197"/>
        <v>0000000000</v>
      </c>
      <c r="AH605" s="151">
        <f t="shared" si="198"/>
        <v>0</v>
      </c>
      <c r="AI605" s="98" t="str">
        <f t="shared" si="199"/>
        <v>00</v>
      </c>
      <c r="AJ605" s="98" t="str">
        <f t="shared" si="200"/>
        <v>000000000000</v>
      </c>
      <c r="AK605" s="161" t="str">
        <f t="shared" si="201"/>
        <v xml:space="preserve">                              </v>
      </c>
      <c r="AL605" s="154">
        <f t="shared" si="202"/>
        <v>0</v>
      </c>
      <c r="AM605" s="155">
        <f t="shared" si="203"/>
        <v>0</v>
      </c>
      <c r="AP605" s="63" t="str">
        <f t="shared" si="204"/>
        <v/>
      </c>
      <c r="AQ605" s="63" t="str">
        <f t="shared" si="205"/>
        <v/>
      </c>
      <c r="AR605" s="152" t="str">
        <f t="shared" si="206"/>
        <v/>
      </c>
      <c r="AS605" s="109" t="str">
        <f t="shared" si="207"/>
        <v/>
      </c>
      <c r="AT605" s="63" t="str">
        <f t="shared" si="208"/>
        <v xml:space="preserve">                    </v>
      </c>
    </row>
    <row r="606" spans="1:46" ht="12.75" x14ac:dyDescent="0.2">
      <c r="A606" s="63" t="str">
        <f t="shared" si="190"/>
        <v/>
      </c>
      <c r="B606" s="185"/>
      <c r="C606" s="184"/>
      <c r="D606" s="184"/>
      <c r="E606" s="184"/>
      <c r="F606" s="184"/>
      <c r="G606" s="185"/>
      <c r="H606" s="185"/>
      <c r="I606" s="186"/>
      <c r="J606" s="69"/>
      <c r="AA606" s="63">
        <f t="shared" si="191"/>
        <v>0</v>
      </c>
      <c r="AB606" s="153" t="str">
        <f t="shared" si="192"/>
        <v>000</v>
      </c>
      <c r="AC606" s="165" t="str">
        <f t="shared" si="193"/>
        <v>00000000</v>
      </c>
      <c r="AD606" s="98" t="str">
        <f t="shared" si="194"/>
        <v>00000000</v>
      </c>
      <c r="AE606" s="150">
        <f t="shared" si="195"/>
        <v>0</v>
      </c>
      <c r="AF606" s="150">
        <f t="shared" si="196"/>
        <v>0</v>
      </c>
      <c r="AG606" s="98" t="str">
        <f t="shared" si="197"/>
        <v>0000000000</v>
      </c>
      <c r="AH606" s="151">
        <f t="shared" si="198"/>
        <v>0</v>
      </c>
      <c r="AI606" s="98" t="str">
        <f t="shared" si="199"/>
        <v>00</v>
      </c>
      <c r="AJ606" s="98" t="str">
        <f t="shared" si="200"/>
        <v>000000000000</v>
      </c>
      <c r="AK606" s="161" t="str">
        <f t="shared" si="201"/>
        <v xml:space="preserve">                              </v>
      </c>
      <c r="AL606" s="154">
        <f t="shared" si="202"/>
        <v>0</v>
      </c>
      <c r="AM606" s="155">
        <f t="shared" si="203"/>
        <v>0</v>
      </c>
      <c r="AP606" s="63" t="str">
        <f t="shared" si="204"/>
        <v/>
      </c>
      <c r="AQ606" s="63" t="str">
        <f t="shared" si="205"/>
        <v/>
      </c>
      <c r="AR606" s="152" t="str">
        <f t="shared" si="206"/>
        <v/>
      </c>
      <c r="AS606" s="109" t="str">
        <f t="shared" si="207"/>
        <v/>
      </c>
      <c r="AT606" s="63" t="str">
        <f t="shared" si="208"/>
        <v xml:space="preserve">                    </v>
      </c>
    </row>
    <row r="607" spans="1:46" ht="12.75" x14ac:dyDescent="0.2">
      <c r="A607" s="63" t="str">
        <f t="shared" si="190"/>
        <v/>
      </c>
      <c r="B607" s="185"/>
      <c r="C607" s="184"/>
      <c r="D607" s="184"/>
      <c r="E607" s="184"/>
      <c r="F607" s="184"/>
      <c r="G607" s="185"/>
      <c r="H607" s="185"/>
      <c r="I607" s="186"/>
      <c r="J607" s="69"/>
      <c r="AA607" s="63">
        <f t="shared" si="191"/>
        <v>0</v>
      </c>
      <c r="AB607" s="153" t="str">
        <f t="shared" si="192"/>
        <v>000</v>
      </c>
      <c r="AC607" s="165" t="str">
        <f t="shared" si="193"/>
        <v>00000000</v>
      </c>
      <c r="AD607" s="98" t="str">
        <f t="shared" si="194"/>
        <v>00000000</v>
      </c>
      <c r="AE607" s="150">
        <f t="shared" si="195"/>
        <v>0</v>
      </c>
      <c r="AF607" s="150">
        <f t="shared" si="196"/>
        <v>0</v>
      </c>
      <c r="AG607" s="98" t="str">
        <f t="shared" si="197"/>
        <v>0000000000</v>
      </c>
      <c r="AH607" s="151">
        <f t="shared" si="198"/>
        <v>0</v>
      </c>
      <c r="AI607" s="98" t="str">
        <f t="shared" si="199"/>
        <v>00</v>
      </c>
      <c r="AJ607" s="98" t="str">
        <f t="shared" si="200"/>
        <v>000000000000</v>
      </c>
      <c r="AK607" s="161" t="str">
        <f t="shared" si="201"/>
        <v xml:space="preserve">                              </v>
      </c>
      <c r="AL607" s="154">
        <f t="shared" si="202"/>
        <v>0</v>
      </c>
      <c r="AM607" s="155">
        <f t="shared" si="203"/>
        <v>0</v>
      </c>
      <c r="AP607" s="63" t="str">
        <f t="shared" si="204"/>
        <v/>
      </c>
      <c r="AQ607" s="63" t="str">
        <f t="shared" si="205"/>
        <v/>
      </c>
      <c r="AR607" s="152" t="str">
        <f t="shared" si="206"/>
        <v/>
      </c>
      <c r="AS607" s="109" t="str">
        <f t="shared" si="207"/>
        <v/>
      </c>
      <c r="AT607" s="63" t="str">
        <f t="shared" si="208"/>
        <v xml:space="preserve">                    </v>
      </c>
    </row>
    <row r="608" spans="1:46" ht="12.75" x14ac:dyDescent="0.2">
      <c r="A608" s="63" t="str">
        <f t="shared" si="190"/>
        <v/>
      </c>
      <c r="B608" s="185"/>
      <c r="C608" s="184"/>
      <c r="D608" s="184"/>
      <c r="E608" s="184"/>
      <c r="F608" s="184"/>
      <c r="G608" s="185"/>
      <c r="H608" s="185"/>
      <c r="I608" s="186"/>
      <c r="J608" s="69"/>
      <c r="AA608" s="63">
        <f t="shared" si="191"/>
        <v>0</v>
      </c>
      <c r="AB608" s="153" t="str">
        <f t="shared" si="192"/>
        <v>000</v>
      </c>
      <c r="AC608" s="165" t="str">
        <f t="shared" si="193"/>
        <v>00000000</v>
      </c>
      <c r="AD608" s="98" t="str">
        <f t="shared" si="194"/>
        <v>00000000</v>
      </c>
      <c r="AE608" s="150">
        <f t="shared" si="195"/>
        <v>0</v>
      </c>
      <c r="AF608" s="150">
        <f t="shared" si="196"/>
        <v>0</v>
      </c>
      <c r="AG608" s="98" t="str">
        <f t="shared" si="197"/>
        <v>0000000000</v>
      </c>
      <c r="AH608" s="151">
        <f t="shared" si="198"/>
        <v>0</v>
      </c>
      <c r="AI608" s="98" t="str">
        <f t="shared" si="199"/>
        <v>00</v>
      </c>
      <c r="AJ608" s="98" t="str">
        <f t="shared" si="200"/>
        <v>000000000000</v>
      </c>
      <c r="AK608" s="161" t="str">
        <f t="shared" si="201"/>
        <v xml:space="preserve">                              </v>
      </c>
      <c r="AL608" s="154">
        <f t="shared" si="202"/>
        <v>0</v>
      </c>
      <c r="AM608" s="155">
        <f t="shared" si="203"/>
        <v>0</v>
      </c>
      <c r="AP608" s="63" t="str">
        <f t="shared" si="204"/>
        <v/>
      </c>
      <c r="AQ608" s="63" t="str">
        <f t="shared" si="205"/>
        <v/>
      </c>
      <c r="AR608" s="152" t="str">
        <f t="shared" si="206"/>
        <v/>
      </c>
      <c r="AS608" s="109" t="str">
        <f t="shared" si="207"/>
        <v/>
      </c>
      <c r="AT608" s="63" t="str">
        <f t="shared" si="208"/>
        <v xml:space="preserve">                    </v>
      </c>
    </row>
    <row r="609" spans="1:46" ht="12.75" x14ac:dyDescent="0.2">
      <c r="A609" s="63" t="str">
        <f t="shared" si="190"/>
        <v/>
      </c>
      <c r="B609" s="185"/>
      <c r="C609" s="184"/>
      <c r="D609" s="184"/>
      <c r="E609" s="184"/>
      <c r="F609" s="184"/>
      <c r="G609" s="185"/>
      <c r="H609" s="185"/>
      <c r="I609" s="186"/>
      <c r="J609" s="69"/>
      <c r="AA609" s="63">
        <f t="shared" si="191"/>
        <v>0</v>
      </c>
      <c r="AB609" s="153" t="str">
        <f t="shared" si="192"/>
        <v>000</v>
      </c>
      <c r="AC609" s="165" t="str">
        <f t="shared" si="193"/>
        <v>00000000</v>
      </c>
      <c r="AD609" s="98" t="str">
        <f t="shared" si="194"/>
        <v>00000000</v>
      </c>
      <c r="AE609" s="150">
        <f t="shared" si="195"/>
        <v>0</v>
      </c>
      <c r="AF609" s="150">
        <f t="shared" si="196"/>
        <v>0</v>
      </c>
      <c r="AG609" s="98" t="str">
        <f t="shared" si="197"/>
        <v>0000000000</v>
      </c>
      <c r="AH609" s="151">
        <f t="shared" si="198"/>
        <v>0</v>
      </c>
      <c r="AI609" s="98" t="str">
        <f t="shared" si="199"/>
        <v>00</v>
      </c>
      <c r="AJ609" s="98" t="str">
        <f t="shared" si="200"/>
        <v>000000000000</v>
      </c>
      <c r="AK609" s="161" t="str">
        <f t="shared" si="201"/>
        <v xml:space="preserve">                              </v>
      </c>
      <c r="AL609" s="154">
        <f t="shared" si="202"/>
        <v>0</v>
      </c>
      <c r="AM609" s="155">
        <f t="shared" si="203"/>
        <v>0</v>
      </c>
      <c r="AP609" s="63" t="str">
        <f t="shared" si="204"/>
        <v/>
      </c>
      <c r="AQ609" s="63" t="str">
        <f t="shared" si="205"/>
        <v/>
      </c>
      <c r="AR609" s="152" t="str">
        <f t="shared" si="206"/>
        <v/>
      </c>
      <c r="AS609" s="109" t="str">
        <f t="shared" si="207"/>
        <v/>
      </c>
      <c r="AT609" s="63" t="str">
        <f t="shared" si="208"/>
        <v xml:space="preserve">                    </v>
      </c>
    </row>
    <row r="610" spans="1:46" ht="12.75" x14ac:dyDescent="0.2">
      <c r="A610" s="63" t="str">
        <f t="shared" si="190"/>
        <v/>
      </c>
      <c r="B610" s="185"/>
      <c r="C610" s="184"/>
      <c r="D610" s="184"/>
      <c r="E610" s="184"/>
      <c r="F610" s="184"/>
      <c r="G610" s="185"/>
      <c r="H610" s="185"/>
      <c r="I610" s="186"/>
      <c r="J610" s="69"/>
      <c r="AA610" s="63">
        <f t="shared" si="191"/>
        <v>0</v>
      </c>
      <c r="AB610" s="153" t="str">
        <f t="shared" si="192"/>
        <v>000</v>
      </c>
      <c r="AC610" s="165" t="str">
        <f t="shared" si="193"/>
        <v>00000000</v>
      </c>
      <c r="AD610" s="98" t="str">
        <f t="shared" si="194"/>
        <v>00000000</v>
      </c>
      <c r="AE610" s="150">
        <f t="shared" si="195"/>
        <v>0</v>
      </c>
      <c r="AF610" s="150">
        <f t="shared" si="196"/>
        <v>0</v>
      </c>
      <c r="AG610" s="98" t="str">
        <f t="shared" si="197"/>
        <v>0000000000</v>
      </c>
      <c r="AH610" s="151">
        <f t="shared" si="198"/>
        <v>0</v>
      </c>
      <c r="AI610" s="98" t="str">
        <f t="shared" si="199"/>
        <v>00</v>
      </c>
      <c r="AJ610" s="98" t="str">
        <f t="shared" si="200"/>
        <v>000000000000</v>
      </c>
      <c r="AK610" s="161" t="str">
        <f t="shared" si="201"/>
        <v xml:space="preserve">                              </v>
      </c>
      <c r="AL610" s="154">
        <f t="shared" si="202"/>
        <v>0</v>
      </c>
      <c r="AM610" s="155">
        <f t="shared" si="203"/>
        <v>0</v>
      </c>
      <c r="AP610" s="63" t="str">
        <f t="shared" si="204"/>
        <v/>
      </c>
      <c r="AQ610" s="63" t="str">
        <f t="shared" si="205"/>
        <v/>
      </c>
      <c r="AR610" s="152" t="str">
        <f t="shared" si="206"/>
        <v/>
      </c>
      <c r="AS610" s="109" t="str">
        <f t="shared" si="207"/>
        <v/>
      </c>
      <c r="AT610" s="63" t="str">
        <f t="shared" si="208"/>
        <v xml:space="preserve">                    </v>
      </c>
    </row>
    <row r="611" spans="1:46" ht="12.75" x14ac:dyDescent="0.2">
      <c r="A611" s="63" t="str">
        <f t="shared" si="190"/>
        <v/>
      </c>
      <c r="B611" s="185"/>
      <c r="C611" s="184"/>
      <c r="D611" s="184"/>
      <c r="E611" s="184"/>
      <c r="F611" s="184"/>
      <c r="G611" s="185"/>
      <c r="H611" s="185"/>
      <c r="I611" s="186"/>
      <c r="J611" s="69"/>
      <c r="AA611" s="63">
        <f t="shared" si="191"/>
        <v>0</v>
      </c>
      <c r="AB611" s="153" t="str">
        <f t="shared" si="192"/>
        <v>000</v>
      </c>
      <c r="AC611" s="165" t="str">
        <f t="shared" si="193"/>
        <v>00000000</v>
      </c>
      <c r="AD611" s="98" t="str">
        <f t="shared" si="194"/>
        <v>00000000</v>
      </c>
      <c r="AE611" s="150">
        <f t="shared" si="195"/>
        <v>0</v>
      </c>
      <c r="AF611" s="150">
        <f t="shared" si="196"/>
        <v>0</v>
      </c>
      <c r="AG611" s="98" t="str">
        <f t="shared" si="197"/>
        <v>0000000000</v>
      </c>
      <c r="AH611" s="151">
        <f t="shared" si="198"/>
        <v>0</v>
      </c>
      <c r="AI611" s="98" t="str">
        <f t="shared" si="199"/>
        <v>00</v>
      </c>
      <c r="AJ611" s="98" t="str">
        <f t="shared" si="200"/>
        <v>000000000000</v>
      </c>
      <c r="AK611" s="161" t="str">
        <f t="shared" si="201"/>
        <v xml:space="preserve">                              </v>
      </c>
      <c r="AL611" s="154">
        <f t="shared" si="202"/>
        <v>0</v>
      </c>
      <c r="AM611" s="155">
        <f t="shared" si="203"/>
        <v>0</v>
      </c>
      <c r="AP611" s="63" t="str">
        <f t="shared" si="204"/>
        <v/>
      </c>
      <c r="AQ611" s="63" t="str">
        <f t="shared" si="205"/>
        <v/>
      </c>
      <c r="AR611" s="152" t="str">
        <f t="shared" si="206"/>
        <v/>
      </c>
      <c r="AS611" s="109" t="str">
        <f t="shared" si="207"/>
        <v/>
      </c>
      <c r="AT611" s="63" t="str">
        <f t="shared" si="208"/>
        <v xml:space="preserve">                    </v>
      </c>
    </row>
    <row r="612" spans="1:46" ht="12.75" x14ac:dyDescent="0.2">
      <c r="A612" s="63" t="str">
        <f t="shared" si="190"/>
        <v/>
      </c>
      <c r="B612" s="185"/>
      <c r="C612" s="184"/>
      <c r="D612" s="184"/>
      <c r="E612" s="184"/>
      <c r="F612" s="184"/>
      <c r="G612" s="185"/>
      <c r="H612" s="185"/>
      <c r="I612" s="186"/>
      <c r="J612" s="69"/>
      <c r="AA612" s="63">
        <f t="shared" si="191"/>
        <v>0</v>
      </c>
      <c r="AB612" s="153" t="str">
        <f t="shared" si="192"/>
        <v>000</v>
      </c>
      <c r="AC612" s="165" t="str">
        <f t="shared" si="193"/>
        <v>00000000</v>
      </c>
      <c r="AD612" s="98" t="str">
        <f t="shared" si="194"/>
        <v>00000000</v>
      </c>
      <c r="AE612" s="150">
        <f t="shared" si="195"/>
        <v>0</v>
      </c>
      <c r="AF612" s="150">
        <f t="shared" si="196"/>
        <v>0</v>
      </c>
      <c r="AG612" s="98" t="str">
        <f t="shared" si="197"/>
        <v>0000000000</v>
      </c>
      <c r="AH612" s="151">
        <f t="shared" si="198"/>
        <v>0</v>
      </c>
      <c r="AI612" s="98" t="str">
        <f t="shared" si="199"/>
        <v>00</v>
      </c>
      <c r="AJ612" s="98" t="str">
        <f t="shared" si="200"/>
        <v>000000000000</v>
      </c>
      <c r="AK612" s="161" t="str">
        <f t="shared" si="201"/>
        <v xml:space="preserve">                              </v>
      </c>
      <c r="AL612" s="154">
        <f t="shared" si="202"/>
        <v>0</v>
      </c>
      <c r="AM612" s="155">
        <f t="shared" si="203"/>
        <v>0</v>
      </c>
      <c r="AP612" s="63" t="str">
        <f t="shared" si="204"/>
        <v/>
      </c>
      <c r="AQ612" s="63" t="str">
        <f t="shared" si="205"/>
        <v/>
      </c>
      <c r="AR612" s="152" t="str">
        <f t="shared" si="206"/>
        <v/>
      </c>
      <c r="AS612" s="109" t="str">
        <f t="shared" si="207"/>
        <v/>
      </c>
      <c r="AT612" s="63" t="str">
        <f t="shared" si="208"/>
        <v xml:space="preserve">                    </v>
      </c>
    </row>
    <row r="613" spans="1:46" ht="12.75" x14ac:dyDescent="0.2">
      <c r="A613" s="63" t="str">
        <f t="shared" si="190"/>
        <v/>
      </c>
      <c r="B613" s="185"/>
      <c r="C613" s="184"/>
      <c r="D613" s="184"/>
      <c r="E613" s="184"/>
      <c r="F613" s="184"/>
      <c r="G613" s="185"/>
      <c r="H613" s="185"/>
      <c r="I613" s="186"/>
      <c r="J613" s="69"/>
      <c r="AA613" s="63">
        <f t="shared" si="191"/>
        <v>0</v>
      </c>
      <c r="AB613" s="153" t="str">
        <f t="shared" si="192"/>
        <v>000</v>
      </c>
      <c r="AC613" s="165" t="str">
        <f t="shared" si="193"/>
        <v>00000000</v>
      </c>
      <c r="AD613" s="98" t="str">
        <f t="shared" si="194"/>
        <v>00000000</v>
      </c>
      <c r="AE613" s="150">
        <f t="shared" si="195"/>
        <v>0</v>
      </c>
      <c r="AF613" s="150">
        <f t="shared" si="196"/>
        <v>0</v>
      </c>
      <c r="AG613" s="98" t="str">
        <f t="shared" si="197"/>
        <v>0000000000</v>
      </c>
      <c r="AH613" s="151">
        <f t="shared" si="198"/>
        <v>0</v>
      </c>
      <c r="AI613" s="98" t="str">
        <f t="shared" si="199"/>
        <v>00</v>
      </c>
      <c r="AJ613" s="98" t="str">
        <f t="shared" si="200"/>
        <v>000000000000</v>
      </c>
      <c r="AK613" s="161" t="str">
        <f t="shared" si="201"/>
        <v xml:space="preserve">                              </v>
      </c>
      <c r="AL613" s="154">
        <f t="shared" si="202"/>
        <v>0</v>
      </c>
      <c r="AM613" s="155">
        <f t="shared" si="203"/>
        <v>0</v>
      </c>
      <c r="AP613" s="63" t="str">
        <f t="shared" si="204"/>
        <v/>
      </c>
      <c r="AQ613" s="63" t="str">
        <f t="shared" si="205"/>
        <v/>
      </c>
      <c r="AR613" s="152" t="str">
        <f t="shared" si="206"/>
        <v/>
      </c>
      <c r="AS613" s="109" t="str">
        <f t="shared" si="207"/>
        <v/>
      </c>
      <c r="AT613" s="63" t="str">
        <f t="shared" si="208"/>
        <v xml:space="preserve">                    </v>
      </c>
    </row>
    <row r="614" spans="1:46" ht="12.75" x14ac:dyDescent="0.2">
      <c r="A614" s="63" t="str">
        <f t="shared" si="190"/>
        <v/>
      </c>
      <c r="B614" s="185"/>
      <c r="C614" s="184"/>
      <c r="D614" s="184"/>
      <c r="E614" s="184"/>
      <c r="F614" s="184"/>
      <c r="G614" s="185"/>
      <c r="H614" s="185"/>
      <c r="I614" s="186"/>
      <c r="J614" s="69"/>
      <c r="AA614" s="63">
        <f t="shared" si="191"/>
        <v>0</v>
      </c>
      <c r="AB614" s="153" t="str">
        <f t="shared" si="192"/>
        <v>000</v>
      </c>
      <c r="AC614" s="165" t="str">
        <f t="shared" si="193"/>
        <v>00000000</v>
      </c>
      <c r="AD614" s="98" t="str">
        <f t="shared" si="194"/>
        <v>00000000</v>
      </c>
      <c r="AE614" s="150">
        <f t="shared" si="195"/>
        <v>0</v>
      </c>
      <c r="AF614" s="150">
        <f t="shared" si="196"/>
        <v>0</v>
      </c>
      <c r="AG614" s="98" t="str">
        <f t="shared" si="197"/>
        <v>0000000000</v>
      </c>
      <c r="AH614" s="151">
        <f t="shared" si="198"/>
        <v>0</v>
      </c>
      <c r="AI614" s="98" t="str">
        <f t="shared" si="199"/>
        <v>00</v>
      </c>
      <c r="AJ614" s="98" t="str">
        <f t="shared" si="200"/>
        <v>000000000000</v>
      </c>
      <c r="AK614" s="161" t="str">
        <f t="shared" si="201"/>
        <v xml:space="preserve">                              </v>
      </c>
      <c r="AL614" s="154">
        <f t="shared" si="202"/>
        <v>0</v>
      </c>
      <c r="AM614" s="155">
        <f t="shared" si="203"/>
        <v>0</v>
      </c>
      <c r="AP614" s="63" t="str">
        <f t="shared" si="204"/>
        <v/>
      </c>
      <c r="AQ614" s="63" t="str">
        <f t="shared" si="205"/>
        <v/>
      </c>
      <c r="AR614" s="152" t="str">
        <f t="shared" si="206"/>
        <v/>
      </c>
      <c r="AS614" s="109" t="str">
        <f t="shared" si="207"/>
        <v/>
      </c>
      <c r="AT614" s="63" t="str">
        <f t="shared" si="208"/>
        <v xml:space="preserve">                    </v>
      </c>
    </row>
    <row r="615" spans="1:46" ht="12.75" x14ac:dyDescent="0.2">
      <c r="A615" s="63" t="str">
        <f t="shared" si="190"/>
        <v/>
      </c>
      <c r="B615" s="185"/>
      <c r="C615" s="184"/>
      <c r="D615" s="184"/>
      <c r="E615" s="184"/>
      <c r="F615" s="184"/>
      <c r="G615" s="185"/>
      <c r="H615" s="185"/>
      <c r="I615" s="186"/>
      <c r="J615" s="69"/>
      <c r="AA615" s="63">
        <f t="shared" si="191"/>
        <v>0</v>
      </c>
      <c r="AB615" s="153" t="str">
        <f t="shared" si="192"/>
        <v>000</v>
      </c>
      <c r="AC615" s="165" t="str">
        <f t="shared" si="193"/>
        <v>00000000</v>
      </c>
      <c r="AD615" s="98" t="str">
        <f t="shared" si="194"/>
        <v>00000000</v>
      </c>
      <c r="AE615" s="150">
        <f t="shared" si="195"/>
        <v>0</v>
      </c>
      <c r="AF615" s="150">
        <f t="shared" si="196"/>
        <v>0</v>
      </c>
      <c r="AG615" s="98" t="str">
        <f t="shared" si="197"/>
        <v>0000000000</v>
      </c>
      <c r="AH615" s="151">
        <f t="shared" si="198"/>
        <v>0</v>
      </c>
      <c r="AI615" s="98" t="str">
        <f t="shared" si="199"/>
        <v>00</v>
      </c>
      <c r="AJ615" s="98" t="str">
        <f t="shared" si="200"/>
        <v>000000000000</v>
      </c>
      <c r="AK615" s="161" t="str">
        <f t="shared" si="201"/>
        <v xml:space="preserve">                              </v>
      </c>
      <c r="AL615" s="154">
        <f t="shared" si="202"/>
        <v>0</v>
      </c>
      <c r="AM615" s="155">
        <f t="shared" si="203"/>
        <v>0</v>
      </c>
      <c r="AP615" s="63" t="str">
        <f t="shared" si="204"/>
        <v/>
      </c>
      <c r="AQ615" s="63" t="str">
        <f t="shared" si="205"/>
        <v/>
      </c>
      <c r="AR615" s="152" t="str">
        <f t="shared" si="206"/>
        <v/>
      </c>
      <c r="AS615" s="109" t="str">
        <f t="shared" si="207"/>
        <v/>
      </c>
      <c r="AT615" s="63" t="str">
        <f t="shared" si="208"/>
        <v xml:space="preserve">                    </v>
      </c>
    </row>
    <row r="616" spans="1:46" ht="12.75" x14ac:dyDescent="0.2">
      <c r="A616" s="63" t="str">
        <f t="shared" si="190"/>
        <v/>
      </c>
      <c r="B616" s="185"/>
      <c r="C616" s="184"/>
      <c r="D616" s="184"/>
      <c r="E616" s="184"/>
      <c r="F616" s="184"/>
      <c r="G616" s="185"/>
      <c r="H616" s="185"/>
      <c r="I616" s="186"/>
      <c r="J616" s="69"/>
      <c r="AA616" s="63">
        <f t="shared" si="191"/>
        <v>0</v>
      </c>
      <c r="AB616" s="153" t="str">
        <f t="shared" si="192"/>
        <v>000</v>
      </c>
      <c r="AC616" s="165" t="str">
        <f t="shared" si="193"/>
        <v>00000000</v>
      </c>
      <c r="AD616" s="98" t="str">
        <f t="shared" si="194"/>
        <v>00000000</v>
      </c>
      <c r="AE616" s="150">
        <f t="shared" si="195"/>
        <v>0</v>
      </c>
      <c r="AF616" s="150">
        <f t="shared" si="196"/>
        <v>0</v>
      </c>
      <c r="AG616" s="98" t="str">
        <f t="shared" si="197"/>
        <v>0000000000</v>
      </c>
      <c r="AH616" s="151">
        <f t="shared" si="198"/>
        <v>0</v>
      </c>
      <c r="AI616" s="98" t="str">
        <f t="shared" si="199"/>
        <v>00</v>
      </c>
      <c r="AJ616" s="98" t="str">
        <f t="shared" si="200"/>
        <v>000000000000</v>
      </c>
      <c r="AK616" s="161" t="str">
        <f t="shared" si="201"/>
        <v xml:space="preserve">                              </v>
      </c>
      <c r="AL616" s="154">
        <f t="shared" si="202"/>
        <v>0</v>
      </c>
      <c r="AM616" s="155">
        <f t="shared" si="203"/>
        <v>0</v>
      </c>
      <c r="AP616" s="63" t="str">
        <f t="shared" si="204"/>
        <v/>
      </c>
      <c r="AQ616" s="63" t="str">
        <f t="shared" si="205"/>
        <v/>
      </c>
      <c r="AR616" s="152" t="str">
        <f t="shared" si="206"/>
        <v/>
      </c>
      <c r="AS616" s="109" t="str">
        <f t="shared" si="207"/>
        <v/>
      </c>
      <c r="AT616" s="63" t="str">
        <f t="shared" si="208"/>
        <v xml:space="preserve">                    </v>
      </c>
    </row>
    <row r="617" spans="1:46" ht="12.75" x14ac:dyDescent="0.2">
      <c r="A617" s="63" t="str">
        <f t="shared" si="190"/>
        <v/>
      </c>
      <c r="B617" s="185"/>
      <c r="C617" s="184"/>
      <c r="D617" s="184"/>
      <c r="E617" s="184"/>
      <c r="F617" s="184"/>
      <c r="G617" s="185"/>
      <c r="H617" s="185"/>
      <c r="I617" s="186"/>
      <c r="J617" s="69"/>
      <c r="AA617" s="63">
        <f t="shared" si="191"/>
        <v>0</v>
      </c>
      <c r="AB617" s="153" t="str">
        <f t="shared" si="192"/>
        <v>000</v>
      </c>
      <c r="AC617" s="165" t="str">
        <f t="shared" si="193"/>
        <v>00000000</v>
      </c>
      <c r="AD617" s="98" t="str">
        <f t="shared" si="194"/>
        <v>00000000</v>
      </c>
      <c r="AE617" s="150">
        <f t="shared" si="195"/>
        <v>0</v>
      </c>
      <c r="AF617" s="150">
        <f t="shared" si="196"/>
        <v>0</v>
      </c>
      <c r="AG617" s="98" t="str">
        <f t="shared" si="197"/>
        <v>0000000000</v>
      </c>
      <c r="AH617" s="151">
        <f t="shared" si="198"/>
        <v>0</v>
      </c>
      <c r="AI617" s="98" t="str">
        <f t="shared" si="199"/>
        <v>00</v>
      </c>
      <c r="AJ617" s="98" t="str">
        <f t="shared" si="200"/>
        <v>000000000000</v>
      </c>
      <c r="AK617" s="161" t="str">
        <f t="shared" si="201"/>
        <v xml:space="preserve">                              </v>
      </c>
      <c r="AL617" s="154">
        <f t="shared" si="202"/>
        <v>0</v>
      </c>
      <c r="AM617" s="155">
        <f t="shared" si="203"/>
        <v>0</v>
      </c>
      <c r="AP617" s="63" t="str">
        <f t="shared" si="204"/>
        <v/>
      </c>
      <c r="AQ617" s="63" t="str">
        <f t="shared" si="205"/>
        <v/>
      </c>
      <c r="AR617" s="152" t="str">
        <f t="shared" si="206"/>
        <v/>
      </c>
      <c r="AS617" s="109" t="str">
        <f t="shared" si="207"/>
        <v/>
      </c>
      <c r="AT617" s="63" t="str">
        <f t="shared" si="208"/>
        <v xml:space="preserve">                    </v>
      </c>
    </row>
    <row r="618" spans="1:46" ht="12.75" x14ac:dyDescent="0.2">
      <c r="A618" s="63" t="str">
        <f t="shared" si="190"/>
        <v/>
      </c>
      <c r="B618" s="185"/>
      <c r="C618" s="184"/>
      <c r="D618" s="184"/>
      <c r="E618" s="184"/>
      <c r="F618" s="184"/>
      <c r="G618" s="185"/>
      <c r="H618" s="185"/>
      <c r="I618" s="186"/>
      <c r="J618" s="69"/>
      <c r="AA618" s="63">
        <f t="shared" si="191"/>
        <v>0</v>
      </c>
      <c r="AB618" s="153" t="str">
        <f t="shared" si="192"/>
        <v>000</v>
      </c>
      <c r="AC618" s="165" t="str">
        <f t="shared" si="193"/>
        <v>00000000</v>
      </c>
      <c r="AD618" s="98" t="str">
        <f t="shared" si="194"/>
        <v>00000000</v>
      </c>
      <c r="AE618" s="150">
        <f t="shared" si="195"/>
        <v>0</v>
      </c>
      <c r="AF618" s="150">
        <f t="shared" si="196"/>
        <v>0</v>
      </c>
      <c r="AG618" s="98" t="str">
        <f t="shared" si="197"/>
        <v>0000000000</v>
      </c>
      <c r="AH618" s="151">
        <f t="shared" si="198"/>
        <v>0</v>
      </c>
      <c r="AI618" s="98" t="str">
        <f t="shared" si="199"/>
        <v>00</v>
      </c>
      <c r="AJ618" s="98" t="str">
        <f t="shared" si="200"/>
        <v>000000000000</v>
      </c>
      <c r="AK618" s="161" t="str">
        <f t="shared" si="201"/>
        <v xml:space="preserve">                              </v>
      </c>
      <c r="AL618" s="154">
        <f t="shared" si="202"/>
        <v>0</v>
      </c>
      <c r="AM618" s="155">
        <f t="shared" si="203"/>
        <v>0</v>
      </c>
      <c r="AP618" s="63" t="str">
        <f t="shared" si="204"/>
        <v/>
      </c>
      <c r="AQ618" s="63" t="str">
        <f t="shared" si="205"/>
        <v/>
      </c>
      <c r="AR618" s="152" t="str">
        <f t="shared" si="206"/>
        <v/>
      </c>
      <c r="AS618" s="109" t="str">
        <f t="shared" si="207"/>
        <v/>
      </c>
      <c r="AT618" s="63" t="str">
        <f t="shared" si="208"/>
        <v xml:space="preserve">                    </v>
      </c>
    </row>
    <row r="619" spans="1:46" ht="12.75" x14ac:dyDescent="0.2">
      <c r="A619" s="63" t="str">
        <f t="shared" si="190"/>
        <v/>
      </c>
      <c r="B619" s="185"/>
      <c r="C619" s="184"/>
      <c r="D619" s="184"/>
      <c r="E619" s="184"/>
      <c r="F619" s="184"/>
      <c r="G619" s="185"/>
      <c r="H619" s="185"/>
      <c r="I619" s="186"/>
      <c r="J619" s="69"/>
      <c r="AA619" s="63">
        <f t="shared" si="191"/>
        <v>0</v>
      </c>
      <c r="AB619" s="153" t="str">
        <f t="shared" si="192"/>
        <v>000</v>
      </c>
      <c r="AC619" s="165" t="str">
        <f t="shared" si="193"/>
        <v>00000000</v>
      </c>
      <c r="AD619" s="98" t="str">
        <f t="shared" si="194"/>
        <v>00000000</v>
      </c>
      <c r="AE619" s="150">
        <f t="shared" si="195"/>
        <v>0</v>
      </c>
      <c r="AF619" s="150">
        <f t="shared" si="196"/>
        <v>0</v>
      </c>
      <c r="AG619" s="98" t="str">
        <f t="shared" si="197"/>
        <v>0000000000</v>
      </c>
      <c r="AH619" s="151">
        <f t="shared" si="198"/>
        <v>0</v>
      </c>
      <c r="AI619" s="98" t="str">
        <f t="shared" si="199"/>
        <v>00</v>
      </c>
      <c r="AJ619" s="98" t="str">
        <f t="shared" si="200"/>
        <v>000000000000</v>
      </c>
      <c r="AK619" s="161" t="str">
        <f t="shared" si="201"/>
        <v xml:space="preserve">                              </v>
      </c>
      <c r="AL619" s="154">
        <f t="shared" si="202"/>
        <v>0</v>
      </c>
      <c r="AM619" s="155">
        <f t="shared" si="203"/>
        <v>0</v>
      </c>
      <c r="AP619" s="63" t="str">
        <f t="shared" si="204"/>
        <v/>
      </c>
      <c r="AQ619" s="63" t="str">
        <f t="shared" si="205"/>
        <v/>
      </c>
      <c r="AR619" s="152" t="str">
        <f t="shared" si="206"/>
        <v/>
      </c>
      <c r="AS619" s="109" t="str">
        <f t="shared" si="207"/>
        <v/>
      </c>
      <c r="AT619" s="63" t="str">
        <f t="shared" si="208"/>
        <v xml:space="preserve">                    </v>
      </c>
    </row>
    <row r="620" spans="1:46" ht="12.75" x14ac:dyDescent="0.2">
      <c r="A620" s="63" t="str">
        <f t="shared" si="190"/>
        <v/>
      </c>
      <c r="B620" s="185"/>
      <c r="C620" s="184"/>
      <c r="D620" s="184"/>
      <c r="E620" s="184"/>
      <c r="F620" s="184"/>
      <c r="G620" s="185"/>
      <c r="H620" s="185"/>
      <c r="I620" s="186"/>
      <c r="J620" s="69"/>
      <c r="AA620" s="63">
        <f t="shared" si="191"/>
        <v>0</v>
      </c>
      <c r="AB620" s="153" t="str">
        <f t="shared" si="192"/>
        <v>000</v>
      </c>
      <c r="AC620" s="165" t="str">
        <f t="shared" si="193"/>
        <v>00000000</v>
      </c>
      <c r="AD620" s="98" t="str">
        <f t="shared" si="194"/>
        <v>00000000</v>
      </c>
      <c r="AE620" s="150">
        <f t="shared" si="195"/>
        <v>0</v>
      </c>
      <c r="AF620" s="150">
        <f t="shared" si="196"/>
        <v>0</v>
      </c>
      <c r="AG620" s="98" t="str">
        <f t="shared" si="197"/>
        <v>0000000000</v>
      </c>
      <c r="AH620" s="151">
        <f t="shared" si="198"/>
        <v>0</v>
      </c>
      <c r="AI620" s="98" t="str">
        <f t="shared" si="199"/>
        <v>00</v>
      </c>
      <c r="AJ620" s="98" t="str">
        <f t="shared" si="200"/>
        <v>000000000000</v>
      </c>
      <c r="AK620" s="161" t="str">
        <f t="shared" si="201"/>
        <v xml:space="preserve">                              </v>
      </c>
      <c r="AL620" s="154">
        <f t="shared" si="202"/>
        <v>0</v>
      </c>
      <c r="AM620" s="155">
        <f t="shared" si="203"/>
        <v>0</v>
      </c>
      <c r="AP620" s="63" t="str">
        <f t="shared" si="204"/>
        <v/>
      </c>
      <c r="AQ620" s="63" t="str">
        <f t="shared" si="205"/>
        <v/>
      </c>
      <c r="AR620" s="152" t="str">
        <f t="shared" si="206"/>
        <v/>
      </c>
      <c r="AS620" s="109" t="str">
        <f t="shared" si="207"/>
        <v/>
      </c>
      <c r="AT620" s="63" t="str">
        <f t="shared" si="208"/>
        <v xml:space="preserve">                    </v>
      </c>
    </row>
    <row r="621" spans="1:46" ht="12.75" x14ac:dyDescent="0.2">
      <c r="A621" s="63" t="str">
        <f t="shared" si="190"/>
        <v/>
      </c>
      <c r="B621" s="185"/>
      <c r="C621" s="184"/>
      <c r="D621" s="184"/>
      <c r="E621" s="184"/>
      <c r="F621" s="184"/>
      <c r="G621" s="185"/>
      <c r="H621" s="185"/>
      <c r="I621" s="186"/>
      <c r="J621" s="69"/>
      <c r="AA621" s="63">
        <f t="shared" si="191"/>
        <v>0</v>
      </c>
      <c r="AB621" s="153" t="str">
        <f t="shared" si="192"/>
        <v>000</v>
      </c>
      <c r="AC621" s="165" t="str">
        <f t="shared" si="193"/>
        <v>00000000</v>
      </c>
      <c r="AD621" s="98" t="str">
        <f t="shared" si="194"/>
        <v>00000000</v>
      </c>
      <c r="AE621" s="150">
        <f t="shared" si="195"/>
        <v>0</v>
      </c>
      <c r="AF621" s="150">
        <f t="shared" si="196"/>
        <v>0</v>
      </c>
      <c r="AG621" s="98" t="str">
        <f t="shared" si="197"/>
        <v>0000000000</v>
      </c>
      <c r="AH621" s="151">
        <f t="shared" si="198"/>
        <v>0</v>
      </c>
      <c r="AI621" s="98" t="str">
        <f t="shared" si="199"/>
        <v>00</v>
      </c>
      <c r="AJ621" s="98" t="str">
        <f t="shared" si="200"/>
        <v>000000000000</v>
      </c>
      <c r="AK621" s="161" t="str">
        <f t="shared" si="201"/>
        <v xml:space="preserve">                              </v>
      </c>
      <c r="AL621" s="154">
        <f t="shared" si="202"/>
        <v>0</v>
      </c>
      <c r="AM621" s="155">
        <f t="shared" si="203"/>
        <v>0</v>
      </c>
      <c r="AP621" s="63" t="str">
        <f t="shared" si="204"/>
        <v/>
      </c>
      <c r="AQ621" s="63" t="str">
        <f t="shared" si="205"/>
        <v/>
      </c>
      <c r="AR621" s="152" t="str">
        <f t="shared" si="206"/>
        <v/>
      </c>
      <c r="AS621" s="109" t="str">
        <f t="shared" si="207"/>
        <v/>
      </c>
      <c r="AT621" s="63" t="str">
        <f t="shared" si="208"/>
        <v xml:space="preserve">                    </v>
      </c>
    </row>
    <row r="622" spans="1:46" ht="12.75" x14ac:dyDescent="0.2">
      <c r="A622" s="63" t="str">
        <f t="shared" si="190"/>
        <v/>
      </c>
      <c r="B622" s="185"/>
      <c r="C622" s="184"/>
      <c r="D622" s="184"/>
      <c r="E622" s="184"/>
      <c r="F622" s="184"/>
      <c r="G622" s="185"/>
      <c r="H622" s="185"/>
      <c r="I622" s="186"/>
      <c r="J622" s="69"/>
      <c r="AA622" s="63">
        <f t="shared" si="191"/>
        <v>0</v>
      </c>
      <c r="AB622" s="153" t="str">
        <f t="shared" si="192"/>
        <v>000</v>
      </c>
      <c r="AC622" s="165" t="str">
        <f t="shared" si="193"/>
        <v>00000000</v>
      </c>
      <c r="AD622" s="98" t="str">
        <f t="shared" si="194"/>
        <v>00000000</v>
      </c>
      <c r="AE622" s="150">
        <f t="shared" si="195"/>
        <v>0</v>
      </c>
      <c r="AF622" s="150">
        <f t="shared" si="196"/>
        <v>0</v>
      </c>
      <c r="AG622" s="98" t="str">
        <f t="shared" si="197"/>
        <v>0000000000</v>
      </c>
      <c r="AH622" s="151">
        <f t="shared" si="198"/>
        <v>0</v>
      </c>
      <c r="AI622" s="98" t="str">
        <f t="shared" si="199"/>
        <v>00</v>
      </c>
      <c r="AJ622" s="98" t="str">
        <f t="shared" si="200"/>
        <v>000000000000</v>
      </c>
      <c r="AK622" s="161" t="str">
        <f t="shared" si="201"/>
        <v xml:space="preserve">                              </v>
      </c>
      <c r="AL622" s="154">
        <f t="shared" si="202"/>
        <v>0</v>
      </c>
      <c r="AM622" s="155">
        <f t="shared" si="203"/>
        <v>0</v>
      </c>
      <c r="AP622" s="63" t="str">
        <f t="shared" si="204"/>
        <v/>
      </c>
      <c r="AQ622" s="63" t="str">
        <f t="shared" si="205"/>
        <v/>
      </c>
      <c r="AR622" s="152" t="str">
        <f t="shared" si="206"/>
        <v/>
      </c>
      <c r="AS622" s="109" t="str">
        <f t="shared" si="207"/>
        <v/>
      </c>
      <c r="AT622" s="63" t="str">
        <f t="shared" si="208"/>
        <v xml:space="preserve">                    </v>
      </c>
    </row>
    <row r="623" spans="1:46" ht="12.75" x14ac:dyDescent="0.2">
      <c r="A623" s="63" t="str">
        <f t="shared" si="190"/>
        <v/>
      </c>
      <c r="B623" s="185"/>
      <c r="C623" s="184"/>
      <c r="D623" s="184"/>
      <c r="E623" s="184"/>
      <c r="F623" s="184"/>
      <c r="G623" s="185"/>
      <c r="H623" s="185"/>
      <c r="I623" s="186"/>
      <c r="J623" s="69"/>
      <c r="AA623" s="63">
        <f t="shared" si="191"/>
        <v>0</v>
      </c>
      <c r="AB623" s="153" t="str">
        <f t="shared" si="192"/>
        <v>000</v>
      </c>
      <c r="AC623" s="165" t="str">
        <f t="shared" si="193"/>
        <v>00000000</v>
      </c>
      <c r="AD623" s="98" t="str">
        <f t="shared" si="194"/>
        <v>00000000</v>
      </c>
      <c r="AE623" s="150">
        <f t="shared" si="195"/>
        <v>0</v>
      </c>
      <c r="AF623" s="150">
        <f t="shared" si="196"/>
        <v>0</v>
      </c>
      <c r="AG623" s="98" t="str">
        <f t="shared" si="197"/>
        <v>0000000000</v>
      </c>
      <c r="AH623" s="151">
        <f t="shared" si="198"/>
        <v>0</v>
      </c>
      <c r="AI623" s="98" t="str">
        <f t="shared" si="199"/>
        <v>00</v>
      </c>
      <c r="AJ623" s="98" t="str">
        <f t="shared" si="200"/>
        <v>000000000000</v>
      </c>
      <c r="AK623" s="161" t="str">
        <f t="shared" si="201"/>
        <v xml:space="preserve">                              </v>
      </c>
      <c r="AL623" s="154">
        <f t="shared" si="202"/>
        <v>0</v>
      </c>
      <c r="AM623" s="155">
        <f t="shared" si="203"/>
        <v>0</v>
      </c>
      <c r="AP623" s="63" t="str">
        <f t="shared" si="204"/>
        <v/>
      </c>
      <c r="AQ623" s="63" t="str">
        <f t="shared" si="205"/>
        <v/>
      </c>
      <c r="AR623" s="152" t="str">
        <f t="shared" si="206"/>
        <v/>
      </c>
      <c r="AS623" s="109" t="str">
        <f t="shared" si="207"/>
        <v/>
      </c>
      <c r="AT623" s="63" t="str">
        <f t="shared" si="208"/>
        <v xml:space="preserve">                    </v>
      </c>
    </row>
    <row r="624" spans="1:46" ht="12.75" x14ac:dyDescent="0.2">
      <c r="A624" s="63" t="str">
        <f t="shared" si="190"/>
        <v/>
      </c>
      <c r="B624" s="185"/>
      <c r="C624" s="184"/>
      <c r="D624" s="184"/>
      <c r="E624" s="184"/>
      <c r="F624" s="184"/>
      <c r="G624" s="185"/>
      <c r="H624" s="185"/>
      <c r="I624" s="186"/>
      <c r="J624" s="69"/>
      <c r="AA624" s="63">
        <f t="shared" si="191"/>
        <v>0</v>
      </c>
      <c r="AB624" s="153" t="str">
        <f t="shared" si="192"/>
        <v>000</v>
      </c>
      <c r="AC624" s="165" t="str">
        <f t="shared" si="193"/>
        <v>00000000</v>
      </c>
      <c r="AD624" s="98" t="str">
        <f t="shared" si="194"/>
        <v>00000000</v>
      </c>
      <c r="AE624" s="150">
        <f t="shared" si="195"/>
        <v>0</v>
      </c>
      <c r="AF624" s="150">
        <f t="shared" si="196"/>
        <v>0</v>
      </c>
      <c r="AG624" s="98" t="str">
        <f t="shared" si="197"/>
        <v>0000000000</v>
      </c>
      <c r="AH624" s="151">
        <f t="shared" si="198"/>
        <v>0</v>
      </c>
      <c r="AI624" s="98" t="str">
        <f t="shared" si="199"/>
        <v>00</v>
      </c>
      <c r="AJ624" s="98" t="str">
        <f t="shared" si="200"/>
        <v>000000000000</v>
      </c>
      <c r="AK624" s="161" t="str">
        <f t="shared" si="201"/>
        <v xml:space="preserve">                              </v>
      </c>
      <c r="AL624" s="154">
        <f t="shared" si="202"/>
        <v>0</v>
      </c>
      <c r="AM624" s="155">
        <f t="shared" si="203"/>
        <v>0</v>
      </c>
      <c r="AP624" s="63" t="str">
        <f t="shared" si="204"/>
        <v/>
      </c>
      <c r="AQ624" s="63" t="str">
        <f t="shared" si="205"/>
        <v/>
      </c>
      <c r="AR624" s="152" t="str">
        <f t="shared" si="206"/>
        <v/>
      </c>
      <c r="AS624" s="109" t="str">
        <f t="shared" si="207"/>
        <v/>
      </c>
      <c r="AT624" s="63" t="str">
        <f t="shared" si="208"/>
        <v xml:space="preserve">                    </v>
      </c>
    </row>
    <row r="625" spans="1:46" ht="12.75" x14ac:dyDescent="0.2">
      <c r="A625" s="63" t="str">
        <f t="shared" si="190"/>
        <v/>
      </c>
      <c r="B625" s="185"/>
      <c r="C625" s="184"/>
      <c r="D625" s="184"/>
      <c r="E625" s="184"/>
      <c r="F625" s="184"/>
      <c r="G625" s="185"/>
      <c r="H625" s="185"/>
      <c r="I625" s="186"/>
      <c r="J625" s="69"/>
      <c r="AA625" s="63">
        <f t="shared" si="191"/>
        <v>0</v>
      </c>
      <c r="AB625" s="153" t="str">
        <f t="shared" si="192"/>
        <v>000</v>
      </c>
      <c r="AC625" s="165" t="str">
        <f t="shared" si="193"/>
        <v>00000000</v>
      </c>
      <c r="AD625" s="98" t="str">
        <f t="shared" si="194"/>
        <v>00000000</v>
      </c>
      <c r="AE625" s="150">
        <f t="shared" si="195"/>
        <v>0</v>
      </c>
      <c r="AF625" s="150">
        <f t="shared" si="196"/>
        <v>0</v>
      </c>
      <c r="AG625" s="98" t="str">
        <f t="shared" si="197"/>
        <v>0000000000</v>
      </c>
      <c r="AH625" s="151">
        <f t="shared" si="198"/>
        <v>0</v>
      </c>
      <c r="AI625" s="98" t="str">
        <f t="shared" si="199"/>
        <v>00</v>
      </c>
      <c r="AJ625" s="98" t="str">
        <f t="shared" si="200"/>
        <v>000000000000</v>
      </c>
      <c r="AK625" s="161" t="str">
        <f t="shared" si="201"/>
        <v xml:space="preserve">                              </v>
      </c>
      <c r="AL625" s="154">
        <f t="shared" si="202"/>
        <v>0</v>
      </c>
      <c r="AM625" s="155">
        <f t="shared" si="203"/>
        <v>0</v>
      </c>
      <c r="AP625" s="63" t="str">
        <f t="shared" si="204"/>
        <v/>
      </c>
      <c r="AQ625" s="63" t="str">
        <f t="shared" si="205"/>
        <v/>
      </c>
      <c r="AR625" s="152" t="str">
        <f t="shared" si="206"/>
        <v/>
      </c>
      <c r="AS625" s="109" t="str">
        <f t="shared" si="207"/>
        <v/>
      </c>
      <c r="AT625" s="63" t="str">
        <f t="shared" si="208"/>
        <v xml:space="preserve">                    </v>
      </c>
    </row>
    <row r="626" spans="1:46" ht="12.75" x14ac:dyDescent="0.2">
      <c r="A626" s="63" t="str">
        <f t="shared" si="190"/>
        <v/>
      </c>
      <c r="B626" s="185"/>
      <c r="C626" s="184"/>
      <c r="D626" s="184"/>
      <c r="E626" s="184"/>
      <c r="F626" s="184"/>
      <c r="G626" s="185"/>
      <c r="H626" s="185"/>
      <c r="I626" s="186"/>
      <c r="J626" s="69"/>
      <c r="AA626" s="63">
        <f t="shared" si="191"/>
        <v>0</v>
      </c>
      <c r="AB626" s="153" t="str">
        <f t="shared" si="192"/>
        <v>000</v>
      </c>
      <c r="AC626" s="165" t="str">
        <f t="shared" si="193"/>
        <v>00000000</v>
      </c>
      <c r="AD626" s="98" t="str">
        <f t="shared" si="194"/>
        <v>00000000</v>
      </c>
      <c r="AE626" s="150">
        <f t="shared" si="195"/>
        <v>0</v>
      </c>
      <c r="AF626" s="150">
        <f t="shared" si="196"/>
        <v>0</v>
      </c>
      <c r="AG626" s="98" t="str">
        <f t="shared" si="197"/>
        <v>0000000000</v>
      </c>
      <c r="AH626" s="151">
        <f t="shared" si="198"/>
        <v>0</v>
      </c>
      <c r="AI626" s="98" t="str">
        <f t="shared" si="199"/>
        <v>00</v>
      </c>
      <c r="AJ626" s="98" t="str">
        <f t="shared" si="200"/>
        <v>000000000000</v>
      </c>
      <c r="AK626" s="161" t="str">
        <f t="shared" si="201"/>
        <v xml:space="preserve">                              </v>
      </c>
      <c r="AL626" s="154">
        <f t="shared" si="202"/>
        <v>0</v>
      </c>
      <c r="AM626" s="155">
        <f t="shared" si="203"/>
        <v>0</v>
      </c>
      <c r="AP626" s="63" t="str">
        <f t="shared" si="204"/>
        <v/>
      </c>
      <c r="AQ626" s="63" t="str">
        <f t="shared" si="205"/>
        <v/>
      </c>
      <c r="AR626" s="152" t="str">
        <f t="shared" si="206"/>
        <v/>
      </c>
      <c r="AS626" s="109" t="str">
        <f t="shared" si="207"/>
        <v/>
      </c>
      <c r="AT626" s="63" t="str">
        <f t="shared" si="208"/>
        <v xml:space="preserve">                    </v>
      </c>
    </row>
    <row r="627" spans="1:46" ht="12.75" x14ac:dyDescent="0.2">
      <c r="A627" s="63" t="str">
        <f t="shared" si="190"/>
        <v/>
      </c>
      <c r="B627" s="185"/>
      <c r="C627" s="184"/>
      <c r="D627" s="184"/>
      <c r="E627" s="184"/>
      <c r="F627" s="184"/>
      <c r="G627" s="185"/>
      <c r="H627" s="185"/>
      <c r="I627" s="186"/>
      <c r="J627" s="69"/>
      <c r="AA627" s="63">
        <f t="shared" si="191"/>
        <v>0</v>
      </c>
      <c r="AB627" s="153" t="str">
        <f t="shared" si="192"/>
        <v>000</v>
      </c>
      <c r="AC627" s="165" t="str">
        <f t="shared" si="193"/>
        <v>00000000</v>
      </c>
      <c r="AD627" s="98" t="str">
        <f t="shared" si="194"/>
        <v>00000000</v>
      </c>
      <c r="AE627" s="150">
        <f t="shared" si="195"/>
        <v>0</v>
      </c>
      <c r="AF627" s="150">
        <f t="shared" si="196"/>
        <v>0</v>
      </c>
      <c r="AG627" s="98" t="str">
        <f t="shared" si="197"/>
        <v>0000000000</v>
      </c>
      <c r="AH627" s="151">
        <f t="shared" si="198"/>
        <v>0</v>
      </c>
      <c r="AI627" s="98" t="str">
        <f t="shared" si="199"/>
        <v>00</v>
      </c>
      <c r="AJ627" s="98" t="str">
        <f t="shared" si="200"/>
        <v>000000000000</v>
      </c>
      <c r="AK627" s="161" t="str">
        <f t="shared" si="201"/>
        <v xml:space="preserve">                              </v>
      </c>
      <c r="AL627" s="154">
        <f t="shared" si="202"/>
        <v>0</v>
      </c>
      <c r="AM627" s="155">
        <f t="shared" si="203"/>
        <v>0</v>
      </c>
      <c r="AP627" s="63" t="str">
        <f t="shared" si="204"/>
        <v/>
      </c>
      <c r="AQ627" s="63" t="str">
        <f t="shared" si="205"/>
        <v/>
      </c>
      <c r="AR627" s="152" t="str">
        <f t="shared" si="206"/>
        <v/>
      </c>
      <c r="AS627" s="109" t="str">
        <f t="shared" si="207"/>
        <v/>
      </c>
      <c r="AT627" s="63" t="str">
        <f t="shared" si="208"/>
        <v xml:space="preserve">                    </v>
      </c>
    </row>
    <row r="628" spans="1:46" ht="12.75" x14ac:dyDescent="0.2">
      <c r="A628" s="63" t="str">
        <f t="shared" si="190"/>
        <v/>
      </c>
      <c r="B628" s="185"/>
      <c r="C628" s="184"/>
      <c r="D628" s="184"/>
      <c r="E628" s="184"/>
      <c r="F628" s="184"/>
      <c r="G628" s="185"/>
      <c r="H628" s="185"/>
      <c r="I628" s="186"/>
      <c r="J628" s="69"/>
      <c r="AA628" s="63">
        <f t="shared" si="191"/>
        <v>0</v>
      </c>
      <c r="AB628" s="153" t="str">
        <f t="shared" si="192"/>
        <v>000</v>
      </c>
      <c r="AC628" s="165" t="str">
        <f t="shared" si="193"/>
        <v>00000000</v>
      </c>
      <c r="AD628" s="98" t="str">
        <f t="shared" si="194"/>
        <v>00000000</v>
      </c>
      <c r="AE628" s="150">
        <f t="shared" si="195"/>
        <v>0</v>
      </c>
      <c r="AF628" s="150">
        <f t="shared" si="196"/>
        <v>0</v>
      </c>
      <c r="AG628" s="98" t="str">
        <f t="shared" si="197"/>
        <v>0000000000</v>
      </c>
      <c r="AH628" s="151">
        <f t="shared" si="198"/>
        <v>0</v>
      </c>
      <c r="AI628" s="98" t="str">
        <f t="shared" si="199"/>
        <v>00</v>
      </c>
      <c r="AJ628" s="98" t="str">
        <f t="shared" si="200"/>
        <v>000000000000</v>
      </c>
      <c r="AK628" s="161" t="str">
        <f t="shared" si="201"/>
        <v xml:space="preserve">                              </v>
      </c>
      <c r="AL628" s="154">
        <f t="shared" si="202"/>
        <v>0</v>
      </c>
      <c r="AM628" s="155">
        <f t="shared" si="203"/>
        <v>0</v>
      </c>
      <c r="AP628" s="63" t="str">
        <f t="shared" si="204"/>
        <v/>
      </c>
      <c r="AQ628" s="63" t="str">
        <f t="shared" si="205"/>
        <v/>
      </c>
      <c r="AR628" s="152" t="str">
        <f t="shared" si="206"/>
        <v/>
      </c>
      <c r="AS628" s="109" t="str">
        <f t="shared" si="207"/>
        <v/>
      </c>
      <c r="AT628" s="63" t="str">
        <f t="shared" si="208"/>
        <v xml:space="preserve">                    </v>
      </c>
    </row>
    <row r="629" spans="1:46" ht="12.75" x14ac:dyDescent="0.2">
      <c r="A629" s="63" t="str">
        <f t="shared" si="190"/>
        <v/>
      </c>
      <c r="B629" s="185"/>
      <c r="C629" s="184"/>
      <c r="D629" s="184"/>
      <c r="E629" s="184"/>
      <c r="F629" s="184"/>
      <c r="G629" s="185"/>
      <c r="H629" s="185"/>
      <c r="I629" s="186"/>
      <c r="J629" s="69"/>
      <c r="AA629" s="63">
        <f t="shared" si="191"/>
        <v>0</v>
      </c>
      <c r="AB629" s="153" t="str">
        <f t="shared" si="192"/>
        <v>000</v>
      </c>
      <c r="AC629" s="165" t="str">
        <f t="shared" si="193"/>
        <v>00000000</v>
      </c>
      <c r="AD629" s="98" t="str">
        <f t="shared" si="194"/>
        <v>00000000</v>
      </c>
      <c r="AE629" s="150">
        <f t="shared" si="195"/>
        <v>0</v>
      </c>
      <c r="AF629" s="150">
        <f t="shared" si="196"/>
        <v>0</v>
      </c>
      <c r="AG629" s="98" t="str">
        <f t="shared" si="197"/>
        <v>0000000000</v>
      </c>
      <c r="AH629" s="151">
        <f t="shared" si="198"/>
        <v>0</v>
      </c>
      <c r="AI629" s="98" t="str">
        <f t="shared" si="199"/>
        <v>00</v>
      </c>
      <c r="AJ629" s="98" t="str">
        <f t="shared" si="200"/>
        <v>000000000000</v>
      </c>
      <c r="AK629" s="161" t="str">
        <f t="shared" si="201"/>
        <v xml:space="preserve">                              </v>
      </c>
      <c r="AL629" s="154">
        <f t="shared" si="202"/>
        <v>0</v>
      </c>
      <c r="AM629" s="155">
        <f t="shared" si="203"/>
        <v>0</v>
      </c>
      <c r="AP629" s="63" t="str">
        <f t="shared" si="204"/>
        <v/>
      </c>
      <c r="AQ629" s="63" t="str">
        <f t="shared" si="205"/>
        <v/>
      </c>
      <c r="AR629" s="152" t="str">
        <f t="shared" si="206"/>
        <v/>
      </c>
      <c r="AS629" s="109" t="str">
        <f t="shared" si="207"/>
        <v/>
      </c>
      <c r="AT629" s="63" t="str">
        <f t="shared" si="208"/>
        <v xml:space="preserve">                    </v>
      </c>
    </row>
    <row r="630" spans="1:46" ht="12.75" x14ac:dyDescent="0.2">
      <c r="A630" s="63" t="str">
        <f t="shared" si="190"/>
        <v/>
      </c>
      <c r="B630" s="185"/>
      <c r="C630" s="184"/>
      <c r="D630" s="184"/>
      <c r="E630" s="184"/>
      <c r="F630" s="184"/>
      <c r="G630" s="185"/>
      <c r="H630" s="185"/>
      <c r="I630" s="186"/>
      <c r="J630" s="69"/>
      <c r="AA630" s="63">
        <f t="shared" si="191"/>
        <v>0</v>
      </c>
      <c r="AB630" s="153" t="str">
        <f t="shared" si="192"/>
        <v>000</v>
      </c>
      <c r="AC630" s="165" t="str">
        <f t="shared" si="193"/>
        <v>00000000</v>
      </c>
      <c r="AD630" s="98" t="str">
        <f t="shared" si="194"/>
        <v>00000000</v>
      </c>
      <c r="AE630" s="150">
        <f t="shared" si="195"/>
        <v>0</v>
      </c>
      <c r="AF630" s="150">
        <f t="shared" si="196"/>
        <v>0</v>
      </c>
      <c r="AG630" s="98" t="str">
        <f t="shared" si="197"/>
        <v>0000000000</v>
      </c>
      <c r="AH630" s="151">
        <f t="shared" si="198"/>
        <v>0</v>
      </c>
      <c r="AI630" s="98" t="str">
        <f t="shared" si="199"/>
        <v>00</v>
      </c>
      <c r="AJ630" s="98" t="str">
        <f t="shared" si="200"/>
        <v>000000000000</v>
      </c>
      <c r="AK630" s="161" t="str">
        <f t="shared" si="201"/>
        <v xml:space="preserve">                              </v>
      </c>
      <c r="AL630" s="154">
        <f t="shared" si="202"/>
        <v>0</v>
      </c>
      <c r="AM630" s="155">
        <f t="shared" si="203"/>
        <v>0</v>
      </c>
      <c r="AP630" s="63" t="str">
        <f t="shared" si="204"/>
        <v/>
      </c>
      <c r="AQ630" s="63" t="str">
        <f t="shared" si="205"/>
        <v/>
      </c>
      <c r="AR630" s="152" t="str">
        <f t="shared" si="206"/>
        <v/>
      </c>
      <c r="AS630" s="109" t="str">
        <f t="shared" si="207"/>
        <v/>
      </c>
      <c r="AT630" s="63" t="str">
        <f t="shared" si="208"/>
        <v xml:space="preserve">                    </v>
      </c>
    </row>
    <row r="631" spans="1:46" ht="12.75" x14ac:dyDescent="0.2">
      <c r="A631" s="63" t="str">
        <f t="shared" si="190"/>
        <v/>
      </c>
      <c r="B631" s="185"/>
      <c r="C631" s="184"/>
      <c r="D631" s="184"/>
      <c r="E631" s="184"/>
      <c r="F631" s="184"/>
      <c r="G631" s="185"/>
      <c r="H631" s="185"/>
      <c r="I631" s="186"/>
      <c r="J631" s="69"/>
      <c r="AA631" s="63">
        <f t="shared" si="191"/>
        <v>0</v>
      </c>
      <c r="AB631" s="153" t="str">
        <f t="shared" si="192"/>
        <v>000</v>
      </c>
      <c r="AC631" s="165" t="str">
        <f t="shared" si="193"/>
        <v>00000000</v>
      </c>
      <c r="AD631" s="98" t="str">
        <f t="shared" si="194"/>
        <v>00000000</v>
      </c>
      <c r="AE631" s="150">
        <f t="shared" si="195"/>
        <v>0</v>
      </c>
      <c r="AF631" s="150">
        <f t="shared" si="196"/>
        <v>0</v>
      </c>
      <c r="AG631" s="98" t="str">
        <f t="shared" si="197"/>
        <v>0000000000</v>
      </c>
      <c r="AH631" s="151">
        <f t="shared" si="198"/>
        <v>0</v>
      </c>
      <c r="AI631" s="98" t="str">
        <f t="shared" si="199"/>
        <v>00</v>
      </c>
      <c r="AJ631" s="98" t="str">
        <f t="shared" si="200"/>
        <v>000000000000</v>
      </c>
      <c r="AK631" s="161" t="str">
        <f t="shared" si="201"/>
        <v xml:space="preserve">                              </v>
      </c>
      <c r="AL631" s="154">
        <f t="shared" si="202"/>
        <v>0</v>
      </c>
      <c r="AM631" s="155">
        <f t="shared" si="203"/>
        <v>0</v>
      </c>
      <c r="AP631" s="63" t="str">
        <f t="shared" si="204"/>
        <v/>
      </c>
      <c r="AQ631" s="63" t="str">
        <f t="shared" si="205"/>
        <v/>
      </c>
      <c r="AR631" s="152" t="str">
        <f t="shared" si="206"/>
        <v/>
      </c>
      <c r="AS631" s="109" t="str">
        <f t="shared" si="207"/>
        <v/>
      </c>
      <c r="AT631" s="63" t="str">
        <f t="shared" si="208"/>
        <v xml:space="preserve">                    </v>
      </c>
    </row>
    <row r="632" spans="1:46" ht="12.75" x14ac:dyDescent="0.2">
      <c r="A632" s="63" t="str">
        <f t="shared" si="190"/>
        <v/>
      </c>
      <c r="B632" s="185"/>
      <c r="C632" s="184"/>
      <c r="D632" s="184"/>
      <c r="E632" s="184"/>
      <c r="F632" s="184"/>
      <c r="G632" s="185"/>
      <c r="H632" s="185"/>
      <c r="I632" s="186"/>
      <c r="J632" s="69"/>
      <c r="AA632" s="63">
        <f t="shared" si="191"/>
        <v>0</v>
      </c>
      <c r="AB632" s="153" t="str">
        <f t="shared" si="192"/>
        <v>000</v>
      </c>
      <c r="AC632" s="165" t="str">
        <f t="shared" si="193"/>
        <v>00000000</v>
      </c>
      <c r="AD632" s="98" t="str">
        <f t="shared" si="194"/>
        <v>00000000</v>
      </c>
      <c r="AE632" s="150">
        <f t="shared" si="195"/>
        <v>0</v>
      </c>
      <c r="AF632" s="150">
        <f t="shared" si="196"/>
        <v>0</v>
      </c>
      <c r="AG632" s="98" t="str">
        <f t="shared" si="197"/>
        <v>0000000000</v>
      </c>
      <c r="AH632" s="151">
        <f t="shared" si="198"/>
        <v>0</v>
      </c>
      <c r="AI632" s="98" t="str">
        <f t="shared" si="199"/>
        <v>00</v>
      </c>
      <c r="AJ632" s="98" t="str">
        <f t="shared" si="200"/>
        <v>000000000000</v>
      </c>
      <c r="AK632" s="161" t="str">
        <f t="shared" si="201"/>
        <v xml:space="preserve">                              </v>
      </c>
      <c r="AL632" s="154">
        <f t="shared" si="202"/>
        <v>0</v>
      </c>
      <c r="AM632" s="155">
        <f t="shared" si="203"/>
        <v>0</v>
      </c>
      <c r="AP632" s="63" t="str">
        <f t="shared" si="204"/>
        <v/>
      </c>
      <c r="AQ632" s="63" t="str">
        <f t="shared" si="205"/>
        <v/>
      </c>
      <c r="AR632" s="152" t="str">
        <f t="shared" si="206"/>
        <v/>
      </c>
      <c r="AS632" s="109" t="str">
        <f t="shared" si="207"/>
        <v/>
      </c>
      <c r="AT632" s="63" t="str">
        <f t="shared" si="208"/>
        <v xml:space="preserve">                    </v>
      </c>
    </row>
    <row r="633" spans="1:46" ht="12.75" x14ac:dyDescent="0.2">
      <c r="A633" s="63" t="str">
        <f t="shared" si="190"/>
        <v/>
      </c>
      <c r="B633" s="185"/>
      <c r="C633" s="184"/>
      <c r="D633" s="184"/>
      <c r="E633" s="184"/>
      <c r="F633" s="184"/>
      <c r="G633" s="185"/>
      <c r="H633" s="185"/>
      <c r="I633" s="186"/>
      <c r="J633" s="69"/>
      <c r="AA633" s="63">
        <f t="shared" si="191"/>
        <v>0</v>
      </c>
      <c r="AB633" s="153" t="str">
        <f t="shared" si="192"/>
        <v>000</v>
      </c>
      <c r="AC633" s="165" t="str">
        <f t="shared" si="193"/>
        <v>00000000</v>
      </c>
      <c r="AD633" s="98" t="str">
        <f t="shared" si="194"/>
        <v>00000000</v>
      </c>
      <c r="AE633" s="150">
        <f t="shared" si="195"/>
        <v>0</v>
      </c>
      <c r="AF633" s="150">
        <f t="shared" si="196"/>
        <v>0</v>
      </c>
      <c r="AG633" s="98" t="str">
        <f t="shared" si="197"/>
        <v>0000000000</v>
      </c>
      <c r="AH633" s="151">
        <f t="shared" si="198"/>
        <v>0</v>
      </c>
      <c r="AI633" s="98" t="str">
        <f t="shared" si="199"/>
        <v>00</v>
      </c>
      <c r="AJ633" s="98" t="str">
        <f t="shared" si="200"/>
        <v>000000000000</v>
      </c>
      <c r="AK633" s="161" t="str">
        <f t="shared" si="201"/>
        <v xml:space="preserve">                              </v>
      </c>
      <c r="AL633" s="154">
        <f t="shared" si="202"/>
        <v>0</v>
      </c>
      <c r="AM633" s="155">
        <f t="shared" si="203"/>
        <v>0</v>
      </c>
      <c r="AP633" s="63" t="str">
        <f t="shared" si="204"/>
        <v/>
      </c>
      <c r="AQ633" s="63" t="str">
        <f t="shared" si="205"/>
        <v/>
      </c>
      <c r="AR633" s="152" t="str">
        <f t="shared" si="206"/>
        <v/>
      </c>
      <c r="AS633" s="109" t="str">
        <f t="shared" si="207"/>
        <v/>
      </c>
      <c r="AT633" s="63" t="str">
        <f t="shared" si="208"/>
        <v xml:space="preserve">                    </v>
      </c>
    </row>
    <row r="634" spans="1:46" ht="12.75" x14ac:dyDescent="0.2">
      <c r="A634" s="63" t="str">
        <f t="shared" si="190"/>
        <v/>
      </c>
      <c r="B634" s="185"/>
      <c r="C634" s="184"/>
      <c r="D634" s="184"/>
      <c r="E634" s="184"/>
      <c r="F634" s="184"/>
      <c r="G634" s="185"/>
      <c r="H634" s="185"/>
      <c r="I634" s="186"/>
      <c r="J634" s="69"/>
      <c r="AA634" s="63">
        <f t="shared" si="191"/>
        <v>0</v>
      </c>
      <c r="AB634" s="153" t="str">
        <f t="shared" si="192"/>
        <v>000</v>
      </c>
      <c r="AC634" s="165" t="str">
        <f t="shared" si="193"/>
        <v>00000000</v>
      </c>
      <c r="AD634" s="98" t="str">
        <f t="shared" si="194"/>
        <v>00000000</v>
      </c>
      <c r="AE634" s="150">
        <f t="shared" si="195"/>
        <v>0</v>
      </c>
      <c r="AF634" s="150">
        <f t="shared" si="196"/>
        <v>0</v>
      </c>
      <c r="AG634" s="98" t="str">
        <f t="shared" si="197"/>
        <v>0000000000</v>
      </c>
      <c r="AH634" s="151">
        <f t="shared" si="198"/>
        <v>0</v>
      </c>
      <c r="AI634" s="98" t="str">
        <f t="shared" si="199"/>
        <v>00</v>
      </c>
      <c r="AJ634" s="98" t="str">
        <f t="shared" si="200"/>
        <v>000000000000</v>
      </c>
      <c r="AK634" s="161" t="str">
        <f t="shared" si="201"/>
        <v xml:space="preserve">                              </v>
      </c>
      <c r="AL634" s="154">
        <f t="shared" si="202"/>
        <v>0</v>
      </c>
      <c r="AM634" s="155">
        <f t="shared" si="203"/>
        <v>0</v>
      </c>
      <c r="AP634" s="63" t="str">
        <f t="shared" si="204"/>
        <v/>
      </c>
      <c r="AQ634" s="63" t="str">
        <f t="shared" si="205"/>
        <v/>
      </c>
      <c r="AR634" s="152" t="str">
        <f t="shared" si="206"/>
        <v/>
      </c>
      <c r="AS634" s="109" t="str">
        <f t="shared" si="207"/>
        <v/>
      </c>
      <c r="AT634" s="63" t="str">
        <f t="shared" si="208"/>
        <v xml:space="preserve">                    </v>
      </c>
    </row>
    <row r="635" spans="1:46" ht="12.75" x14ac:dyDescent="0.2">
      <c r="A635" s="63" t="str">
        <f t="shared" si="190"/>
        <v/>
      </c>
      <c r="B635" s="185"/>
      <c r="C635" s="184"/>
      <c r="D635" s="184"/>
      <c r="E635" s="184"/>
      <c r="F635" s="184"/>
      <c r="G635" s="185"/>
      <c r="H635" s="185"/>
      <c r="I635" s="186"/>
      <c r="J635" s="69"/>
      <c r="AA635" s="63">
        <f t="shared" si="191"/>
        <v>0</v>
      </c>
      <c r="AB635" s="153" t="str">
        <f t="shared" si="192"/>
        <v>000</v>
      </c>
      <c r="AC635" s="165" t="str">
        <f t="shared" si="193"/>
        <v>00000000</v>
      </c>
      <c r="AD635" s="98" t="str">
        <f t="shared" si="194"/>
        <v>00000000</v>
      </c>
      <c r="AE635" s="150">
        <f t="shared" si="195"/>
        <v>0</v>
      </c>
      <c r="AF635" s="150">
        <f t="shared" si="196"/>
        <v>0</v>
      </c>
      <c r="AG635" s="98" t="str">
        <f t="shared" si="197"/>
        <v>0000000000</v>
      </c>
      <c r="AH635" s="151">
        <f t="shared" si="198"/>
        <v>0</v>
      </c>
      <c r="AI635" s="98" t="str">
        <f t="shared" si="199"/>
        <v>00</v>
      </c>
      <c r="AJ635" s="98" t="str">
        <f t="shared" si="200"/>
        <v>000000000000</v>
      </c>
      <c r="AK635" s="161" t="str">
        <f t="shared" si="201"/>
        <v xml:space="preserve">                              </v>
      </c>
      <c r="AL635" s="154">
        <f t="shared" si="202"/>
        <v>0</v>
      </c>
      <c r="AM635" s="155">
        <f t="shared" si="203"/>
        <v>0</v>
      </c>
      <c r="AP635" s="63" t="str">
        <f t="shared" si="204"/>
        <v/>
      </c>
      <c r="AQ635" s="63" t="str">
        <f t="shared" si="205"/>
        <v/>
      </c>
      <c r="AR635" s="152" t="str">
        <f t="shared" si="206"/>
        <v/>
      </c>
      <c r="AS635" s="109" t="str">
        <f t="shared" si="207"/>
        <v/>
      </c>
      <c r="AT635" s="63" t="str">
        <f t="shared" si="208"/>
        <v xml:space="preserve">                    </v>
      </c>
    </row>
    <row r="636" spans="1:46" ht="12.75" x14ac:dyDescent="0.2">
      <c r="A636" s="63" t="str">
        <f t="shared" si="190"/>
        <v/>
      </c>
      <c r="B636" s="185"/>
      <c r="C636" s="184"/>
      <c r="D636" s="184"/>
      <c r="E636" s="184"/>
      <c r="F636" s="184"/>
      <c r="G636" s="185"/>
      <c r="H636" s="185"/>
      <c r="I636" s="186"/>
      <c r="J636" s="69"/>
      <c r="AA636" s="63">
        <f t="shared" si="191"/>
        <v>0</v>
      </c>
      <c r="AB636" s="153" t="str">
        <f t="shared" si="192"/>
        <v>000</v>
      </c>
      <c r="AC636" s="165" t="str">
        <f t="shared" si="193"/>
        <v>00000000</v>
      </c>
      <c r="AD636" s="98" t="str">
        <f t="shared" si="194"/>
        <v>00000000</v>
      </c>
      <c r="AE636" s="150">
        <f t="shared" si="195"/>
        <v>0</v>
      </c>
      <c r="AF636" s="150">
        <f t="shared" si="196"/>
        <v>0</v>
      </c>
      <c r="AG636" s="98" t="str">
        <f t="shared" si="197"/>
        <v>0000000000</v>
      </c>
      <c r="AH636" s="151">
        <f t="shared" si="198"/>
        <v>0</v>
      </c>
      <c r="AI636" s="98" t="str">
        <f t="shared" si="199"/>
        <v>00</v>
      </c>
      <c r="AJ636" s="98" t="str">
        <f t="shared" si="200"/>
        <v>000000000000</v>
      </c>
      <c r="AK636" s="161" t="str">
        <f t="shared" si="201"/>
        <v xml:space="preserve">                              </v>
      </c>
      <c r="AL636" s="154">
        <f t="shared" si="202"/>
        <v>0</v>
      </c>
      <c r="AM636" s="155">
        <f t="shared" si="203"/>
        <v>0</v>
      </c>
      <c r="AP636" s="63" t="str">
        <f t="shared" si="204"/>
        <v/>
      </c>
      <c r="AQ636" s="63" t="str">
        <f t="shared" si="205"/>
        <v/>
      </c>
      <c r="AR636" s="152" t="str">
        <f t="shared" si="206"/>
        <v/>
      </c>
      <c r="AS636" s="109" t="str">
        <f t="shared" si="207"/>
        <v/>
      </c>
      <c r="AT636" s="63" t="str">
        <f t="shared" si="208"/>
        <v xml:space="preserve">                    </v>
      </c>
    </row>
    <row r="637" spans="1:46" ht="12.75" x14ac:dyDescent="0.2">
      <c r="A637" s="63" t="str">
        <f t="shared" si="190"/>
        <v/>
      </c>
      <c r="B637" s="185"/>
      <c r="C637" s="184"/>
      <c r="D637" s="184"/>
      <c r="E637" s="184"/>
      <c r="F637" s="184"/>
      <c r="G637" s="185"/>
      <c r="H637" s="185"/>
      <c r="I637" s="186"/>
      <c r="J637" s="69"/>
      <c r="AA637" s="63">
        <f t="shared" si="191"/>
        <v>0</v>
      </c>
      <c r="AB637" s="153" t="str">
        <f t="shared" si="192"/>
        <v>000</v>
      </c>
      <c r="AC637" s="165" t="str">
        <f t="shared" si="193"/>
        <v>00000000</v>
      </c>
      <c r="AD637" s="98" t="str">
        <f t="shared" si="194"/>
        <v>00000000</v>
      </c>
      <c r="AE637" s="150">
        <f t="shared" si="195"/>
        <v>0</v>
      </c>
      <c r="AF637" s="150">
        <f t="shared" si="196"/>
        <v>0</v>
      </c>
      <c r="AG637" s="98" t="str">
        <f t="shared" si="197"/>
        <v>0000000000</v>
      </c>
      <c r="AH637" s="151">
        <f t="shared" si="198"/>
        <v>0</v>
      </c>
      <c r="AI637" s="98" t="str">
        <f t="shared" si="199"/>
        <v>00</v>
      </c>
      <c r="AJ637" s="98" t="str">
        <f t="shared" si="200"/>
        <v>000000000000</v>
      </c>
      <c r="AK637" s="161" t="str">
        <f t="shared" si="201"/>
        <v xml:space="preserve">                              </v>
      </c>
      <c r="AL637" s="154">
        <f t="shared" si="202"/>
        <v>0</v>
      </c>
      <c r="AM637" s="155">
        <f t="shared" si="203"/>
        <v>0</v>
      </c>
      <c r="AP637" s="63" t="str">
        <f t="shared" si="204"/>
        <v/>
      </c>
      <c r="AQ637" s="63" t="str">
        <f t="shared" si="205"/>
        <v/>
      </c>
      <c r="AR637" s="152" t="str">
        <f t="shared" si="206"/>
        <v/>
      </c>
      <c r="AS637" s="109" t="str">
        <f t="shared" si="207"/>
        <v/>
      </c>
      <c r="AT637" s="63" t="str">
        <f t="shared" si="208"/>
        <v xml:space="preserve">                    </v>
      </c>
    </row>
    <row r="638" spans="1:46" ht="12.75" x14ac:dyDescent="0.2">
      <c r="A638" s="63" t="str">
        <f t="shared" si="190"/>
        <v/>
      </c>
      <c r="B638" s="185"/>
      <c r="C638" s="184"/>
      <c r="D638" s="184"/>
      <c r="E638" s="184"/>
      <c r="F638" s="184"/>
      <c r="G638" s="185"/>
      <c r="H638" s="185"/>
      <c r="I638" s="186"/>
      <c r="J638" s="69"/>
      <c r="AA638" s="63">
        <f t="shared" si="191"/>
        <v>0</v>
      </c>
      <c r="AB638" s="153" t="str">
        <f t="shared" si="192"/>
        <v>000</v>
      </c>
      <c r="AC638" s="165" t="str">
        <f t="shared" si="193"/>
        <v>00000000</v>
      </c>
      <c r="AD638" s="98" t="str">
        <f t="shared" si="194"/>
        <v>00000000</v>
      </c>
      <c r="AE638" s="150">
        <f t="shared" si="195"/>
        <v>0</v>
      </c>
      <c r="AF638" s="150">
        <f t="shared" si="196"/>
        <v>0</v>
      </c>
      <c r="AG638" s="98" t="str">
        <f t="shared" si="197"/>
        <v>0000000000</v>
      </c>
      <c r="AH638" s="151">
        <f t="shared" si="198"/>
        <v>0</v>
      </c>
      <c r="AI638" s="98" t="str">
        <f t="shared" si="199"/>
        <v>00</v>
      </c>
      <c r="AJ638" s="98" t="str">
        <f t="shared" si="200"/>
        <v>000000000000</v>
      </c>
      <c r="AK638" s="161" t="str">
        <f t="shared" si="201"/>
        <v xml:space="preserve">                              </v>
      </c>
      <c r="AL638" s="154">
        <f t="shared" si="202"/>
        <v>0</v>
      </c>
      <c r="AM638" s="155">
        <f t="shared" si="203"/>
        <v>0</v>
      </c>
      <c r="AP638" s="63" t="str">
        <f t="shared" si="204"/>
        <v/>
      </c>
      <c r="AQ638" s="63" t="str">
        <f t="shared" si="205"/>
        <v/>
      </c>
      <c r="AR638" s="152" t="str">
        <f t="shared" si="206"/>
        <v/>
      </c>
      <c r="AS638" s="109" t="str">
        <f t="shared" si="207"/>
        <v/>
      </c>
      <c r="AT638" s="63" t="str">
        <f t="shared" si="208"/>
        <v xml:space="preserve">                    </v>
      </c>
    </row>
    <row r="639" spans="1:46" ht="12.75" x14ac:dyDescent="0.2">
      <c r="A639" s="63" t="str">
        <f t="shared" si="190"/>
        <v/>
      </c>
      <c r="B639" s="185"/>
      <c r="C639" s="184"/>
      <c r="D639" s="184"/>
      <c r="E639" s="184"/>
      <c r="F639" s="184"/>
      <c r="G639" s="185"/>
      <c r="H639" s="185"/>
      <c r="I639" s="186"/>
      <c r="J639" s="69"/>
      <c r="AA639" s="63">
        <f t="shared" si="191"/>
        <v>0</v>
      </c>
      <c r="AB639" s="153" t="str">
        <f t="shared" si="192"/>
        <v>000</v>
      </c>
      <c r="AC639" s="165" t="str">
        <f t="shared" si="193"/>
        <v>00000000</v>
      </c>
      <c r="AD639" s="98" t="str">
        <f t="shared" si="194"/>
        <v>00000000</v>
      </c>
      <c r="AE639" s="150">
        <f t="shared" si="195"/>
        <v>0</v>
      </c>
      <c r="AF639" s="150">
        <f t="shared" si="196"/>
        <v>0</v>
      </c>
      <c r="AG639" s="98" t="str">
        <f t="shared" si="197"/>
        <v>0000000000</v>
      </c>
      <c r="AH639" s="151">
        <f t="shared" si="198"/>
        <v>0</v>
      </c>
      <c r="AI639" s="98" t="str">
        <f t="shared" si="199"/>
        <v>00</v>
      </c>
      <c r="AJ639" s="98" t="str">
        <f t="shared" si="200"/>
        <v>000000000000</v>
      </c>
      <c r="AK639" s="161" t="str">
        <f t="shared" si="201"/>
        <v xml:space="preserve">                              </v>
      </c>
      <c r="AL639" s="154">
        <f t="shared" si="202"/>
        <v>0</v>
      </c>
      <c r="AM639" s="155">
        <f t="shared" si="203"/>
        <v>0</v>
      </c>
      <c r="AP639" s="63" t="str">
        <f t="shared" si="204"/>
        <v/>
      </c>
      <c r="AQ639" s="63" t="str">
        <f t="shared" si="205"/>
        <v/>
      </c>
      <c r="AR639" s="152" t="str">
        <f t="shared" si="206"/>
        <v/>
      </c>
      <c r="AS639" s="109" t="str">
        <f t="shared" si="207"/>
        <v/>
      </c>
      <c r="AT639" s="63" t="str">
        <f t="shared" si="208"/>
        <v xml:space="preserve">                    </v>
      </c>
    </row>
    <row r="640" spans="1:46" ht="12.75" x14ac:dyDescent="0.2">
      <c r="A640" s="63" t="str">
        <f t="shared" si="190"/>
        <v/>
      </c>
      <c r="B640" s="185"/>
      <c r="C640" s="184"/>
      <c r="D640" s="184"/>
      <c r="E640" s="184"/>
      <c r="F640" s="184"/>
      <c r="G640" s="185"/>
      <c r="H640" s="185"/>
      <c r="I640" s="186"/>
      <c r="J640" s="69"/>
      <c r="AA640" s="63">
        <f t="shared" si="191"/>
        <v>0</v>
      </c>
      <c r="AB640" s="153" t="str">
        <f t="shared" si="192"/>
        <v>000</v>
      </c>
      <c r="AC640" s="165" t="str">
        <f t="shared" si="193"/>
        <v>00000000</v>
      </c>
      <c r="AD640" s="98" t="str">
        <f t="shared" si="194"/>
        <v>00000000</v>
      </c>
      <c r="AE640" s="150">
        <f t="shared" si="195"/>
        <v>0</v>
      </c>
      <c r="AF640" s="150">
        <f t="shared" si="196"/>
        <v>0</v>
      </c>
      <c r="AG640" s="98" t="str">
        <f t="shared" si="197"/>
        <v>0000000000</v>
      </c>
      <c r="AH640" s="151">
        <f t="shared" si="198"/>
        <v>0</v>
      </c>
      <c r="AI640" s="98" t="str">
        <f t="shared" si="199"/>
        <v>00</v>
      </c>
      <c r="AJ640" s="98" t="str">
        <f t="shared" si="200"/>
        <v>000000000000</v>
      </c>
      <c r="AK640" s="161" t="str">
        <f t="shared" si="201"/>
        <v xml:space="preserve">                              </v>
      </c>
      <c r="AL640" s="154">
        <f t="shared" si="202"/>
        <v>0</v>
      </c>
      <c r="AM640" s="155">
        <f t="shared" si="203"/>
        <v>0</v>
      </c>
      <c r="AP640" s="63" t="str">
        <f t="shared" si="204"/>
        <v/>
      </c>
      <c r="AQ640" s="63" t="str">
        <f t="shared" si="205"/>
        <v/>
      </c>
      <c r="AR640" s="152" t="str">
        <f t="shared" si="206"/>
        <v/>
      </c>
      <c r="AS640" s="109" t="str">
        <f t="shared" si="207"/>
        <v/>
      </c>
      <c r="AT640" s="63" t="str">
        <f t="shared" si="208"/>
        <v xml:space="preserve">                    </v>
      </c>
    </row>
    <row r="641" spans="1:46" ht="12.75" x14ac:dyDescent="0.2">
      <c r="A641" s="63" t="str">
        <f t="shared" si="190"/>
        <v/>
      </c>
      <c r="B641" s="185"/>
      <c r="C641" s="184"/>
      <c r="D641" s="184"/>
      <c r="E641" s="184"/>
      <c r="F641" s="184"/>
      <c r="G641" s="185"/>
      <c r="H641" s="185"/>
      <c r="I641" s="186"/>
      <c r="J641" s="69"/>
      <c r="AA641" s="63">
        <f t="shared" si="191"/>
        <v>0</v>
      </c>
      <c r="AB641" s="153" t="str">
        <f t="shared" si="192"/>
        <v>000</v>
      </c>
      <c r="AC641" s="165" t="str">
        <f t="shared" si="193"/>
        <v>00000000</v>
      </c>
      <c r="AD641" s="98" t="str">
        <f t="shared" si="194"/>
        <v>00000000</v>
      </c>
      <c r="AE641" s="150">
        <f t="shared" si="195"/>
        <v>0</v>
      </c>
      <c r="AF641" s="150">
        <f t="shared" si="196"/>
        <v>0</v>
      </c>
      <c r="AG641" s="98" t="str">
        <f t="shared" si="197"/>
        <v>0000000000</v>
      </c>
      <c r="AH641" s="151">
        <f t="shared" si="198"/>
        <v>0</v>
      </c>
      <c r="AI641" s="98" t="str">
        <f t="shared" si="199"/>
        <v>00</v>
      </c>
      <c r="AJ641" s="98" t="str">
        <f t="shared" si="200"/>
        <v>000000000000</v>
      </c>
      <c r="AK641" s="161" t="str">
        <f t="shared" si="201"/>
        <v xml:space="preserve">                              </v>
      </c>
      <c r="AL641" s="154">
        <f t="shared" si="202"/>
        <v>0</v>
      </c>
      <c r="AM641" s="155">
        <f t="shared" si="203"/>
        <v>0</v>
      </c>
      <c r="AP641" s="63" t="str">
        <f t="shared" si="204"/>
        <v/>
      </c>
      <c r="AQ641" s="63" t="str">
        <f t="shared" si="205"/>
        <v/>
      </c>
      <c r="AR641" s="152" t="str">
        <f t="shared" si="206"/>
        <v/>
      </c>
      <c r="AS641" s="109" t="str">
        <f t="shared" si="207"/>
        <v/>
      </c>
      <c r="AT641" s="63" t="str">
        <f t="shared" si="208"/>
        <v xml:space="preserve">                    </v>
      </c>
    </row>
    <row r="642" spans="1:46" ht="12.75" x14ac:dyDescent="0.2">
      <c r="A642" s="63" t="str">
        <f t="shared" si="190"/>
        <v/>
      </c>
      <c r="B642" s="185"/>
      <c r="C642" s="184"/>
      <c r="D642" s="184"/>
      <c r="E642" s="184"/>
      <c r="F642" s="184"/>
      <c r="G642" s="185"/>
      <c r="H642" s="185"/>
      <c r="I642" s="186"/>
      <c r="J642" s="69"/>
      <c r="AA642" s="63">
        <f t="shared" si="191"/>
        <v>0</v>
      </c>
      <c r="AB642" s="153" t="str">
        <f t="shared" si="192"/>
        <v>000</v>
      </c>
      <c r="AC642" s="165" t="str">
        <f t="shared" si="193"/>
        <v>00000000</v>
      </c>
      <c r="AD642" s="98" t="str">
        <f t="shared" si="194"/>
        <v>00000000</v>
      </c>
      <c r="AE642" s="150">
        <f t="shared" si="195"/>
        <v>0</v>
      </c>
      <c r="AF642" s="150">
        <f t="shared" si="196"/>
        <v>0</v>
      </c>
      <c r="AG642" s="98" t="str">
        <f t="shared" si="197"/>
        <v>0000000000</v>
      </c>
      <c r="AH642" s="151">
        <f t="shared" si="198"/>
        <v>0</v>
      </c>
      <c r="AI642" s="98" t="str">
        <f t="shared" si="199"/>
        <v>00</v>
      </c>
      <c r="AJ642" s="98" t="str">
        <f t="shared" si="200"/>
        <v>000000000000</v>
      </c>
      <c r="AK642" s="161" t="str">
        <f t="shared" si="201"/>
        <v xml:space="preserve">                              </v>
      </c>
      <c r="AL642" s="154">
        <f t="shared" si="202"/>
        <v>0</v>
      </c>
      <c r="AM642" s="155">
        <f t="shared" si="203"/>
        <v>0</v>
      </c>
      <c r="AP642" s="63" t="str">
        <f t="shared" si="204"/>
        <v/>
      </c>
      <c r="AQ642" s="63" t="str">
        <f t="shared" si="205"/>
        <v/>
      </c>
      <c r="AR642" s="152" t="str">
        <f t="shared" si="206"/>
        <v/>
      </c>
      <c r="AS642" s="109" t="str">
        <f t="shared" si="207"/>
        <v/>
      </c>
      <c r="AT642" s="63" t="str">
        <f t="shared" si="208"/>
        <v xml:space="preserve">                    </v>
      </c>
    </row>
    <row r="643" spans="1:46" ht="12.75" x14ac:dyDescent="0.2">
      <c r="A643" s="63" t="str">
        <f t="shared" si="190"/>
        <v/>
      </c>
      <c r="B643" s="185"/>
      <c r="C643" s="184"/>
      <c r="D643" s="184"/>
      <c r="E643" s="184"/>
      <c r="F643" s="184"/>
      <c r="G643" s="185"/>
      <c r="H643" s="185"/>
      <c r="I643" s="186"/>
      <c r="J643" s="69"/>
      <c r="AA643" s="63">
        <f t="shared" si="191"/>
        <v>0</v>
      </c>
      <c r="AB643" s="153" t="str">
        <f t="shared" si="192"/>
        <v>000</v>
      </c>
      <c r="AC643" s="165" t="str">
        <f t="shared" si="193"/>
        <v>00000000</v>
      </c>
      <c r="AD643" s="98" t="str">
        <f t="shared" si="194"/>
        <v>00000000</v>
      </c>
      <c r="AE643" s="150">
        <f t="shared" si="195"/>
        <v>0</v>
      </c>
      <c r="AF643" s="150">
        <f t="shared" si="196"/>
        <v>0</v>
      </c>
      <c r="AG643" s="98" t="str">
        <f t="shared" si="197"/>
        <v>0000000000</v>
      </c>
      <c r="AH643" s="151">
        <f t="shared" si="198"/>
        <v>0</v>
      </c>
      <c r="AI643" s="98" t="str">
        <f t="shared" si="199"/>
        <v>00</v>
      </c>
      <c r="AJ643" s="98" t="str">
        <f t="shared" si="200"/>
        <v>000000000000</v>
      </c>
      <c r="AK643" s="161" t="str">
        <f t="shared" si="201"/>
        <v xml:space="preserve">                              </v>
      </c>
      <c r="AL643" s="154">
        <f t="shared" si="202"/>
        <v>0</v>
      </c>
      <c r="AM643" s="155">
        <f t="shared" si="203"/>
        <v>0</v>
      </c>
      <c r="AP643" s="63" t="str">
        <f t="shared" si="204"/>
        <v/>
      </c>
      <c r="AQ643" s="63" t="str">
        <f t="shared" si="205"/>
        <v/>
      </c>
      <c r="AR643" s="152" t="str">
        <f t="shared" si="206"/>
        <v/>
      </c>
      <c r="AS643" s="109" t="str">
        <f t="shared" si="207"/>
        <v/>
      </c>
      <c r="AT643" s="63" t="str">
        <f t="shared" si="208"/>
        <v xml:space="preserve">                    </v>
      </c>
    </row>
    <row r="644" spans="1:46" ht="12.75" x14ac:dyDescent="0.2">
      <c r="A644" s="63" t="str">
        <f t="shared" si="190"/>
        <v/>
      </c>
      <c r="B644" s="185"/>
      <c r="C644" s="184"/>
      <c r="D644" s="184"/>
      <c r="E644" s="184"/>
      <c r="F644" s="184"/>
      <c r="G644" s="185"/>
      <c r="H644" s="185"/>
      <c r="I644" s="186"/>
      <c r="J644" s="69"/>
      <c r="AA644" s="63">
        <f t="shared" si="191"/>
        <v>0</v>
      </c>
      <c r="AB644" s="153" t="str">
        <f t="shared" si="192"/>
        <v>000</v>
      </c>
      <c r="AC644" s="165" t="str">
        <f t="shared" si="193"/>
        <v>00000000</v>
      </c>
      <c r="AD644" s="98" t="str">
        <f t="shared" si="194"/>
        <v>00000000</v>
      </c>
      <c r="AE644" s="150">
        <f t="shared" si="195"/>
        <v>0</v>
      </c>
      <c r="AF644" s="150">
        <f t="shared" si="196"/>
        <v>0</v>
      </c>
      <c r="AG644" s="98" t="str">
        <f t="shared" si="197"/>
        <v>0000000000</v>
      </c>
      <c r="AH644" s="151">
        <f t="shared" si="198"/>
        <v>0</v>
      </c>
      <c r="AI644" s="98" t="str">
        <f t="shared" si="199"/>
        <v>00</v>
      </c>
      <c r="AJ644" s="98" t="str">
        <f t="shared" si="200"/>
        <v>000000000000</v>
      </c>
      <c r="AK644" s="161" t="str">
        <f t="shared" si="201"/>
        <v xml:space="preserve">                              </v>
      </c>
      <c r="AL644" s="154">
        <f t="shared" si="202"/>
        <v>0</v>
      </c>
      <c r="AM644" s="155">
        <f t="shared" si="203"/>
        <v>0</v>
      </c>
      <c r="AP644" s="63" t="str">
        <f t="shared" si="204"/>
        <v/>
      </c>
      <c r="AQ644" s="63" t="str">
        <f t="shared" si="205"/>
        <v/>
      </c>
      <c r="AR644" s="152" t="str">
        <f t="shared" si="206"/>
        <v/>
      </c>
      <c r="AS644" s="109" t="str">
        <f t="shared" si="207"/>
        <v/>
      </c>
      <c r="AT644" s="63" t="str">
        <f t="shared" si="208"/>
        <v xml:space="preserve">                    </v>
      </c>
    </row>
    <row r="645" spans="1:46" ht="12.75" x14ac:dyDescent="0.2">
      <c r="A645" s="63" t="str">
        <f t="shared" si="190"/>
        <v/>
      </c>
      <c r="B645" s="185"/>
      <c r="C645" s="184"/>
      <c r="D645" s="184"/>
      <c r="E645" s="184"/>
      <c r="F645" s="184"/>
      <c r="G645" s="185"/>
      <c r="H645" s="185"/>
      <c r="I645" s="186"/>
      <c r="J645" s="69"/>
      <c r="AA645" s="63">
        <f t="shared" si="191"/>
        <v>0</v>
      </c>
      <c r="AB645" s="153" t="str">
        <f t="shared" si="192"/>
        <v>000</v>
      </c>
      <c r="AC645" s="165" t="str">
        <f t="shared" si="193"/>
        <v>00000000</v>
      </c>
      <c r="AD645" s="98" t="str">
        <f t="shared" si="194"/>
        <v>00000000</v>
      </c>
      <c r="AE645" s="150">
        <f t="shared" si="195"/>
        <v>0</v>
      </c>
      <c r="AF645" s="150">
        <f t="shared" si="196"/>
        <v>0</v>
      </c>
      <c r="AG645" s="98" t="str">
        <f t="shared" si="197"/>
        <v>0000000000</v>
      </c>
      <c r="AH645" s="151">
        <f t="shared" si="198"/>
        <v>0</v>
      </c>
      <c r="AI645" s="98" t="str">
        <f t="shared" si="199"/>
        <v>00</v>
      </c>
      <c r="AJ645" s="98" t="str">
        <f t="shared" si="200"/>
        <v>000000000000</v>
      </c>
      <c r="AK645" s="161" t="str">
        <f t="shared" si="201"/>
        <v xml:space="preserve">                              </v>
      </c>
      <c r="AL645" s="154">
        <f t="shared" si="202"/>
        <v>0</v>
      </c>
      <c r="AM645" s="155">
        <f t="shared" si="203"/>
        <v>0</v>
      </c>
      <c r="AP645" s="63" t="str">
        <f t="shared" si="204"/>
        <v/>
      </c>
      <c r="AQ645" s="63" t="str">
        <f t="shared" si="205"/>
        <v/>
      </c>
      <c r="AR645" s="152" t="str">
        <f t="shared" si="206"/>
        <v/>
      </c>
      <c r="AS645" s="109" t="str">
        <f t="shared" si="207"/>
        <v/>
      </c>
      <c r="AT645" s="63" t="str">
        <f t="shared" si="208"/>
        <v xml:space="preserve">                    </v>
      </c>
    </row>
    <row r="646" spans="1:46" ht="12.75" x14ac:dyDescent="0.2">
      <c r="A646" s="63" t="str">
        <f t="shared" ref="A646:A709" si="209">IF(B646&lt;&gt;"",A645+1,"")</f>
        <v/>
      </c>
      <c r="B646" s="185"/>
      <c r="C646" s="184"/>
      <c r="D646" s="184"/>
      <c r="E646" s="184"/>
      <c r="F646" s="184"/>
      <c r="G646" s="185"/>
      <c r="H646" s="185"/>
      <c r="I646" s="186"/>
      <c r="J646" s="69"/>
      <c r="AA646" s="63">
        <f t="shared" si="191"/>
        <v>0</v>
      </c>
      <c r="AB646" s="153" t="str">
        <f t="shared" si="192"/>
        <v>000</v>
      </c>
      <c r="AC646" s="165" t="str">
        <f t="shared" si="193"/>
        <v>00000000</v>
      </c>
      <c r="AD646" s="98" t="str">
        <f t="shared" si="194"/>
        <v>00000000</v>
      </c>
      <c r="AE646" s="150">
        <f t="shared" si="195"/>
        <v>0</v>
      </c>
      <c r="AF646" s="150">
        <f t="shared" si="196"/>
        <v>0</v>
      </c>
      <c r="AG646" s="98" t="str">
        <f t="shared" si="197"/>
        <v>0000000000</v>
      </c>
      <c r="AH646" s="151">
        <f t="shared" si="198"/>
        <v>0</v>
      </c>
      <c r="AI646" s="98" t="str">
        <f t="shared" si="199"/>
        <v>00</v>
      </c>
      <c r="AJ646" s="98" t="str">
        <f t="shared" si="200"/>
        <v>000000000000</v>
      </c>
      <c r="AK646" s="161" t="str">
        <f t="shared" si="201"/>
        <v xml:space="preserve">                              </v>
      </c>
      <c r="AL646" s="154">
        <f t="shared" si="202"/>
        <v>0</v>
      </c>
      <c r="AM646" s="155">
        <f t="shared" si="203"/>
        <v>0</v>
      </c>
      <c r="AP646" s="63" t="str">
        <f t="shared" si="204"/>
        <v/>
      </c>
      <c r="AQ646" s="63" t="str">
        <f t="shared" si="205"/>
        <v/>
      </c>
      <c r="AR646" s="152" t="str">
        <f t="shared" si="206"/>
        <v/>
      </c>
      <c r="AS646" s="109" t="str">
        <f t="shared" si="207"/>
        <v/>
      </c>
      <c r="AT646" s="63" t="str">
        <f t="shared" si="208"/>
        <v xml:space="preserve">                    </v>
      </c>
    </row>
    <row r="647" spans="1:46" ht="12.75" x14ac:dyDescent="0.2">
      <c r="A647" s="63" t="str">
        <f t="shared" si="209"/>
        <v/>
      </c>
      <c r="B647" s="185"/>
      <c r="C647" s="184"/>
      <c r="D647" s="184"/>
      <c r="E647" s="184"/>
      <c r="F647" s="184"/>
      <c r="G647" s="185"/>
      <c r="H647" s="185"/>
      <c r="I647" s="186"/>
      <c r="J647" s="69"/>
      <c r="AA647" s="63">
        <f t="shared" si="191"/>
        <v>0</v>
      </c>
      <c r="AB647" s="153" t="str">
        <f t="shared" si="192"/>
        <v>000</v>
      </c>
      <c r="AC647" s="165" t="str">
        <f t="shared" si="193"/>
        <v>00000000</v>
      </c>
      <c r="AD647" s="98" t="str">
        <f t="shared" si="194"/>
        <v>00000000</v>
      </c>
      <c r="AE647" s="150">
        <f t="shared" si="195"/>
        <v>0</v>
      </c>
      <c r="AF647" s="150">
        <f t="shared" si="196"/>
        <v>0</v>
      </c>
      <c r="AG647" s="98" t="str">
        <f t="shared" si="197"/>
        <v>0000000000</v>
      </c>
      <c r="AH647" s="151">
        <f t="shared" si="198"/>
        <v>0</v>
      </c>
      <c r="AI647" s="98" t="str">
        <f t="shared" si="199"/>
        <v>00</v>
      </c>
      <c r="AJ647" s="98" t="str">
        <f t="shared" si="200"/>
        <v>000000000000</v>
      </c>
      <c r="AK647" s="161" t="str">
        <f t="shared" si="201"/>
        <v xml:space="preserve">                              </v>
      </c>
      <c r="AL647" s="154">
        <f t="shared" si="202"/>
        <v>0</v>
      </c>
      <c r="AM647" s="155">
        <f t="shared" si="203"/>
        <v>0</v>
      </c>
      <c r="AP647" s="63" t="str">
        <f t="shared" si="204"/>
        <v/>
      </c>
      <c r="AQ647" s="63" t="str">
        <f t="shared" si="205"/>
        <v/>
      </c>
      <c r="AR647" s="152" t="str">
        <f t="shared" si="206"/>
        <v/>
      </c>
      <c r="AS647" s="109" t="str">
        <f t="shared" si="207"/>
        <v/>
      </c>
      <c r="AT647" s="63" t="str">
        <f t="shared" si="208"/>
        <v xml:space="preserve">                    </v>
      </c>
    </row>
    <row r="648" spans="1:46" ht="12.75" x14ac:dyDescent="0.2">
      <c r="A648" s="63" t="str">
        <f t="shared" si="209"/>
        <v/>
      </c>
      <c r="B648" s="185"/>
      <c r="C648" s="184"/>
      <c r="D648" s="184"/>
      <c r="E648" s="184"/>
      <c r="F648" s="184"/>
      <c r="G648" s="185"/>
      <c r="H648" s="185"/>
      <c r="I648" s="186"/>
      <c r="J648" s="69"/>
      <c r="AA648" s="63">
        <f t="shared" si="191"/>
        <v>0</v>
      </c>
      <c r="AB648" s="153" t="str">
        <f t="shared" si="192"/>
        <v>000</v>
      </c>
      <c r="AC648" s="165" t="str">
        <f t="shared" si="193"/>
        <v>00000000</v>
      </c>
      <c r="AD648" s="98" t="str">
        <f t="shared" si="194"/>
        <v>00000000</v>
      </c>
      <c r="AE648" s="150">
        <f t="shared" si="195"/>
        <v>0</v>
      </c>
      <c r="AF648" s="150">
        <f t="shared" si="196"/>
        <v>0</v>
      </c>
      <c r="AG648" s="98" t="str">
        <f t="shared" si="197"/>
        <v>0000000000</v>
      </c>
      <c r="AH648" s="151">
        <f t="shared" si="198"/>
        <v>0</v>
      </c>
      <c r="AI648" s="98" t="str">
        <f t="shared" si="199"/>
        <v>00</v>
      </c>
      <c r="AJ648" s="98" t="str">
        <f t="shared" si="200"/>
        <v>000000000000</v>
      </c>
      <c r="AK648" s="161" t="str">
        <f t="shared" si="201"/>
        <v xml:space="preserve">                              </v>
      </c>
      <c r="AL648" s="154">
        <f t="shared" si="202"/>
        <v>0</v>
      </c>
      <c r="AM648" s="155">
        <f t="shared" si="203"/>
        <v>0</v>
      </c>
      <c r="AP648" s="63" t="str">
        <f t="shared" si="204"/>
        <v/>
      </c>
      <c r="AQ648" s="63" t="str">
        <f t="shared" si="205"/>
        <v/>
      </c>
      <c r="AR648" s="152" t="str">
        <f t="shared" si="206"/>
        <v/>
      </c>
      <c r="AS648" s="109" t="str">
        <f t="shared" si="207"/>
        <v/>
      </c>
      <c r="AT648" s="63" t="str">
        <f t="shared" si="208"/>
        <v xml:space="preserve">                    </v>
      </c>
    </row>
    <row r="649" spans="1:46" ht="12.75" x14ac:dyDescent="0.2">
      <c r="A649" s="63" t="str">
        <f t="shared" si="209"/>
        <v/>
      </c>
      <c r="B649" s="185"/>
      <c r="C649" s="184"/>
      <c r="D649" s="184"/>
      <c r="E649" s="184"/>
      <c r="F649" s="184"/>
      <c r="G649" s="185"/>
      <c r="H649" s="185"/>
      <c r="I649" s="186"/>
      <c r="J649" s="69"/>
      <c r="AA649" s="63">
        <f t="shared" si="191"/>
        <v>0</v>
      </c>
      <c r="AB649" s="153" t="str">
        <f t="shared" si="192"/>
        <v>000</v>
      </c>
      <c r="AC649" s="165" t="str">
        <f t="shared" si="193"/>
        <v>00000000</v>
      </c>
      <c r="AD649" s="98" t="str">
        <f t="shared" si="194"/>
        <v>00000000</v>
      </c>
      <c r="AE649" s="150">
        <f t="shared" si="195"/>
        <v>0</v>
      </c>
      <c r="AF649" s="150">
        <f t="shared" si="196"/>
        <v>0</v>
      </c>
      <c r="AG649" s="98" t="str">
        <f t="shared" si="197"/>
        <v>0000000000</v>
      </c>
      <c r="AH649" s="151">
        <f t="shared" si="198"/>
        <v>0</v>
      </c>
      <c r="AI649" s="98" t="str">
        <f t="shared" si="199"/>
        <v>00</v>
      </c>
      <c r="AJ649" s="98" t="str">
        <f t="shared" si="200"/>
        <v>000000000000</v>
      </c>
      <c r="AK649" s="161" t="str">
        <f t="shared" si="201"/>
        <v xml:space="preserve">                              </v>
      </c>
      <c r="AL649" s="154">
        <f t="shared" si="202"/>
        <v>0</v>
      </c>
      <c r="AM649" s="155">
        <f t="shared" si="203"/>
        <v>0</v>
      </c>
      <c r="AP649" s="63" t="str">
        <f t="shared" si="204"/>
        <v/>
      </c>
      <c r="AQ649" s="63" t="str">
        <f t="shared" si="205"/>
        <v/>
      </c>
      <c r="AR649" s="152" t="str">
        <f t="shared" si="206"/>
        <v/>
      </c>
      <c r="AS649" s="109" t="str">
        <f t="shared" si="207"/>
        <v/>
      </c>
      <c r="AT649" s="63" t="str">
        <f t="shared" si="208"/>
        <v xml:space="preserve">                    </v>
      </c>
    </row>
    <row r="650" spans="1:46" ht="12.75" x14ac:dyDescent="0.2">
      <c r="A650" s="63" t="str">
        <f t="shared" si="209"/>
        <v/>
      </c>
      <c r="B650" s="185"/>
      <c r="C650" s="184"/>
      <c r="D650" s="184"/>
      <c r="E650" s="184"/>
      <c r="F650" s="184"/>
      <c r="G650" s="185"/>
      <c r="H650" s="185"/>
      <c r="I650" s="186"/>
      <c r="J650" s="69"/>
      <c r="AA650" s="63">
        <f t="shared" si="191"/>
        <v>0</v>
      </c>
      <c r="AB650" s="153" t="str">
        <f t="shared" si="192"/>
        <v>000</v>
      </c>
      <c r="AC650" s="165" t="str">
        <f t="shared" si="193"/>
        <v>00000000</v>
      </c>
      <c r="AD650" s="98" t="str">
        <f t="shared" si="194"/>
        <v>00000000</v>
      </c>
      <c r="AE650" s="150">
        <f t="shared" si="195"/>
        <v>0</v>
      </c>
      <c r="AF650" s="150">
        <f t="shared" si="196"/>
        <v>0</v>
      </c>
      <c r="AG650" s="98" t="str">
        <f t="shared" si="197"/>
        <v>0000000000</v>
      </c>
      <c r="AH650" s="151">
        <f t="shared" si="198"/>
        <v>0</v>
      </c>
      <c r="AI650" s="98" t="str">
        <f t="shared" si="199"/>
        <v>00</v>
      </c>
      <c r="AJ650" s="98" t="str">
        <f t="shared" si="200"/>
        <v>000000000000</v>
      </c>
      <c r="AK650" s="161" t="str">
        <f t="shared" si="201"/>
        <v xml:space="preserve">                              </v>
      </c>
      <c r="AL650" s="154">
        <f t="shared" si="202"/>
        <v>0</v>
      </c>
      <c r="AM650" s="155">
        <f t="shared" si="203"/>
        <v>0</v>
      </c>
      <c r="AP650" s="63" t="str">
        <f t="shared" si="204"/>
        <v/>
      </c>
      <c r="AQ650" s="63" t="str">
        <f t="shared" si="205"/>
        <v/>
      </c>
      <c r="AR650" s="152" t="str">
        <f t="shared" si="206"/>
        <v/>
      </c>
      <c r="AS650" s="109" t="str">
        <f t="shared" si="207"/>
        <v/>
      </c>
      <c r="AT650" s="63" t="str">
        <f t="shared" si="208"/>
        <v xml:space="preserve">                    </v>
      </c>
    </row>
    <row r="651" spans="1:46" ht="12.75" x14ac:dyDescent="0.2">
      <c r="A651" s="63" t="str">
        <f t="shared" si="209"/>
        <v/>
      </c>
      <c r="B651" s="185"/>
      <c r="C651" s="184"/>
      <c r="D651" s="184"/>
      <c r="E651" s="184"/>
      <c r="F651" s="184"/>
      <c r="G651" s="185"/>
      <c r="H651" s="185"/>
      <c r="I651" s="186"/>
      <c r="J651" s="69"/>
      <c r="AA651" s="63">
        <f t="shared" si="191"/>
        <v>0</v>
      </c>
      <c r="AB651" s="153" t="str">
        <f t="shared" si="192"/>
        <v>000</v>
      </c>
      <c r="AC651" s="165" t="str">
        <f t="shared" si="193"/>
        <v>00000000</v>
      </c>
      <c r="AD651" s="98" t="str">
        <f t="shared" si="194"/>
        <v>00000000</v>
      </c>
      <c r="AE651" s="150">
        <f t="shared" si="195"/>
        <v>0</v>
      </c>
      <c r="AF651" s="150">
        <f t="shared" si="196"/>
        <v>0</v>
      </c>
      <c r="AG651" s="98" t="str">
        <f t="shared" si="197"/>
        <v>0000000000</v>
      </c>
      <c r="AH651" s="151">
        <f t="shared" si="198"/>
        <v>0</v>
      </c>
      <c r="AI651" s="98" t="str">
        <f t="shared" si="199"/>
        <v>00</v>
      </c>
      <c r="AJ651" s="98" t="str">
        <f t="shared" si="200"/>
        <v>000000000000</v>
      </c>
      <c r="AK651" s="161" t="str">
        <f t="shared" si="201"/>
        <v xml:space="preserve">                              </v>
      </c>
      <c r="AL651" s="154">
        <f t="shared" si="202"/>
        <v>0</v>
      </c>
      <c r="AM651" s="155">
        <f t="shared" si="203"/>
        <v>0</v>
      </c>
      <c r="AP651" s="63" t="str">
        <f t="shared" si="204"/>
        <v/>
      </c>
      <c r="AQ651" s="63" t="str">
        <f t="shared" si="205"/>
        <v/>
      </c>
      <c r="AR651" s="152" t="str">
        <f t="shared" si="206"/>
        <v/>
      </c>
      <c r="AS651" s="109" t="str">
        <f t="shared" si="207"/>
        <v/>
      </c>
      <c r="AT651" s="63" t="str">
        <f t="shared" si="208"/>
        <v xml:space="preserve">                    </v>
      </c>
    </row>
    <row r="652" spans="1:46" ht="12.75" x14ac:dyDescent="0.2">
      <c r="A652" s="63" t="str">
        <f t="shared" si="209"/>
        <v/>
      </c>
      <c r="B652" s="185"/>
      <c r="C652" s="184"/>
      <c r="D652" s="184"/>
      <c r="E652" s="184"/>
      <c r="F652" s="184"/>
      <c r="G652" s="185"/>
      <c r="H652" s="185"/>
      <c r="I652" s="186"/>
      <c r="J652" s="69"/>
      <c r="AA652" s="63">
        <f t="shared" si="191"/>
        <v>0</v>
      </c>
      <c r="AB652" s="153" t="str">
        <f t="shared" si="192"/>
        <v>000</v>
      </c>
      <c r="AC652" s="165" t="str">
        <f t="shared" si="193"/>
        <v>00000000</v>
      </c>
      <c r="AD652" s="98" t="str">
        <f t="shared" si="194"/>
        <v>00000000</v>
      </c>
      <c r="AE652" s="150">
        <f t="shared" si="195"/>
        <v>0</v>
      </c>
      <c r="AF652" s="150">
        <f t="shared" si="196"/>
        <v>0</v>
      </c>
      <c r="AG652" s="98" t="str">
        <f t="shared" si="197"/>
        <v>0000000000</v>
      </c>
      <c r="AH652" s="151">
        <f t="shared" si="198"/>
        <v>0</v>
      </c>
      <c r="AI652" s="98" t="str">
        <f t="shared" si="199"/>
        <v>00</v>
      </c>
      <c r="AJ652" s="98" t="str">
        <f t="shared" si="200"/>
        <v>000000000000</v>
      </c>
      <c r="AK652" s="161" t="str">
        <f t="shared" si="201"/>
        <v xml:space="preserve">                              </v>
      </c>
      <c r="AL652" s="154">
        <f t="shared" si="202"/>
        <v>0</v>
      </c>
      <c r="AM652" s="155">
        <f t="shared" si="203"/>
        <v>0</v>
      </c>
      <c r="AP652" s="63" t="str">
        <f t="shared" si="204"/>
        <v/>
      </c>
      <c r="AQ652" s="63" t="str">
        <f t="shared" si="205"/>
        <v/>
      </c>
      <c r="AR652" s="152" t="str">
        <f t="shared" si="206"/>
        <v/>
      </c>
      <c r="AS652" s="109" t="str">
        <f t="shared" si="207"/>
        <v/>
      </c>
      <c r="AT652" s="63" t="str">
        <f t="shared" si="208"/>
        <v xml:space="preserve">                    </v>
      </c>
    </row>
    <row r="653" spans="1:46" ht="12.75" x14ac:dyDescent="0.2">
      <c r="A653" s="63" t="str">
        <f t="shared" si="209"/>
        <v/>
      </c>
      <c r="B653" s="185"/>
      <c r="C653" s="184"/>
      <c r="D653" s="184"/>
      <c r="E653" s="184"/>
      <c r="F653" s="184"/>
      <c r="G653" s="185"/>
      <c r="H653" s="185"/>
      <c r="I653" s="186"/>
      <c r="J653" s="69"/>
      <c r="AA653" s="63">
        <f t="shared" si="191"/>
        <v>0</v>
      </c>
      <c r="AB653" s="153" t="str">
        <f t="shared" si="192"/>
        <v>000</v>
      </c>
      <c r="AC653" s="165" t="str">
        <f t="shared" si="193"/>
        <v>00000000</v>
      </c>
      <c r="AD653" s="98" t="str">
        <f t="shared" si="194"/>
        <v>00000000</v>
      </c>
      <c r="AE653" s="150">
        <f t="shared" si="195"/>
        <v>0</v>
      </c>
      <c r="AF653" s="150">
        <f t="shared" si="196"/>
        <v>0</v>
      </c>
      <c r="AG653" s="98" t="str">
        <f t="shared" si="197"/>
        <v>0000000000</v>
      </c>
      <c r="AH653" s="151">
        <f t="shared" si="198"/>
        <v>0</v>
      </c>
      <c r="AI653" s="98" t="str">
        <f t="shared" si="199"/>
        <v>00</v>
      </c>
      <c r="AJ653" s="98" t="str">
        <f t="shared" si="200"/>
        <v>000000000000</v>
      </c>
      <c r="AK653" s="161" t="str">
        <f t="shared" si="201"/>
        <v xml:space="preserve">                              </v>
      </c>
      <c r="AL653" s="154">
        <f t="shared" si="202"/>
        <v>0</v>
      </c>
      <c r="AM653" s="155">
        <f t="shared" si="203"/>
        <v>0</v>
      </c>
      <c r="AP653" s="63" t="str">
        <f t="shared" si="204"/>
        <v/>
      </c>
      <c r="AQ653" s="63" t="str">
        <f t="shared" si="205"/>
        <v/>
      </c>
      <c r="AR653" s="152" t="str">
        <f t="shared" si="206"/>
        <v/>
      </c>
      <c r="AS653" s="109" t="str">
        <f t="shared" si="207"/>
        <v/>
      </c>
      <c r="AT653" s="63" t="str">
        <f t="shared" si="208"/>
        <v xml:space="preserve">                    </v>
      </c>
    </row>
    <row r="654" spans="1:46" ht="12.75" x14ac:dyDescent="0.2">
      <c r="A654" s="63" t="str">
        <f t="shared" si="209"/>
        <v/>
      </c>
      <c r="B654" s="185"/>
      <c r="C654" s="184"/>
      <c r="D654" s="184"/>
      <c r="E654" s="184"/>
      <c r="F654" s="184"/>
      <c r="G654" s="185"/>
      <c r="H654" s="185"/>
      <c r="I654" s="186"/>
      <c r="J654" s="69"/>
      <c r="AA654" s="63">
        <f t="shared" si="191"/>
        <v>0</v>
      </c>
      <c r="AB654" s="153" t="str">
        <f t="shared" si="192"/>
        <v>000</v>
      </c>
      <c r="AC654" s="165" t="str">
        <f t="shared" si="193"/>
        <v>00000000</v>
      </c>
      <c r="AD654" s="98" t="str">
        <f t="shared" si="194"/>
        <v>00000000</v>
      </c>
      <c r="AE654" s="150">
        <f t="shared" si="195"/>
        <v>0</v>
      </c>
      <c r="AF654" s="150">
        <f t="shared" si="196"/>
        <v>0</v>
      </c>
      <c r="AG654" s="98" t="str">
        <f t="shared" si="197"/>
        <v>0000000000</v>
      </c>
      <c r="AH654" s="151">
        <f t="shared" si="198"/>
        <v>0</v>
      </c>
      <c r="AI654" s="98" t="str">
        <f t="shared" si="199"/>
        <v>00</v>
      </c>
      <c r="AJ654" s="98" t="str">
        <f t="shared" si="200"/>
        <v>000000000000</v>
      </c>
      <c r="AK654" s="161" t="str">
        <f t="shared" si="201"/>
        <v xml:space="preserve">                              </v>
      </c>
      <c r="AL654" s="154">
        <f t="shared" si="202"/>
        <v>0</v>
      </c>
      <c r="AM654" s="155">
        <f t="shared" si="203"/>
        <v>0</v>
      </c>
      <c r="AP654" s="63" t="str">
        <f t="shared" si="204"/>
        <v/>
      </c>
      <c r="AQ654" s="63" t="str">
        <f t="shared" si="205"/>
        <v/>
      </c>
      <c r="AR654" s="152" t="str">
        <f t="shared" si="206"/>
        <v/>
      </c>
      <c r="AS654" s="109" t="str">
        <f t="shared" si="207"/>
        <v/>
      </c>
      <c r="AT654" s="63" t="str">
        <f t="shared" si="208"/>
        <v xml:space="preserve">                    </v>
      </c>
    </row>
    <row r="655" spans="1:46" ht="12.75" x14ac:dyDescent="0.2">
      <c r="A655" s="63" t="str">
        <f t="shared" si="209"/>
        <v/>
      </c>
      <c r="B655" s="185"/>
      <c r="C655" s="184"/>
      <c r="D655" s="184"/>
      <c r="E655" s="184"/>
      <c r="F655" s="184"/>
      <c r="G655" s="185"/>
      <c r="H655" s="185"/>
      <c r="I655" s="186"/>
      <c r="J655" s="69"/>
      <c r="AA655" s="63">
        <f t="shared" si="191"/>
        <v>0</v>
      </c>
      <c r="AB655" s="153" t="str">
        <f t="shared" si="192"/>
        <v>000</v>
      </c>
      <c r="AC655" s="165" t="str">
        <f t="shared" si="193"/>
        <v>00000000</v>
      </c>
      <c r="AD655" s="98" t="str">
        <f t="shared" si="194"/>
        <v>00000000</v>
      </c>
      <c r="AE655" s="150">
        <f t="shared" si="195"/>
        <v>0</v>
      </c>
      <c r="AF655" s="150">
        <f t="shared" si="196"/>
        <v>0</v>
      </c>
      <c r="AG655" s="98" t="str">
        <f t="shared" si="197"/>
        <v>0000000000</v>
      </c>
      <c r="AH655" s="151">
        <f t="shared" si="198"/>
        <v>0</v>
      </c>
      <c r="AI655" s="98" t="str">
        <f t="shared" si="199"/>
        <v>00</v>
      </c>
      <c r="AJ655" s="98" t="str">
        <f t="shared" si="200"/>
        <v>000000000000</v>
      </c>
      <c r="AK655" s="161" t="str">
        <f t="shared" si="201"/>
        <v xml:space="preserve">                              </v>
      </c>
      <c r="AL655" s="154">
        <f t="shared" si="202"/>
        <v>0</v>
      </c>
      <c r="AM655" s="155">
        <f t="shared" si="203"/>
        <v>0</v>
      </c>
      <c r="AP655" s="63" t="str">
        <f t="shared" si="204"/>
        <v/>
      </c>
      <c r="AQ655" s="63" t="str">
        <f t="shared" si="205"/>
        <v/>
      </c>
      <c r="AR655" s="152" t="str">
        <f t="shared" si="206"/>
        <v/>
      </c>
      <c r="AS655" s="109" t="str">
        <f t="shared" si="207"/>
        <v/>
      </c>
      <c r="AT655" s="63" t="str">
        <f t="shared" si="208"/>
        <v xml:space="preserve">                    </v>
      </c>
    </row>
    <row r="656" spans="1:46" ht="12.75" x14ac:dyDescent="0.2">
      <c r="A656" s="63" t="str">
        <f t="shared" si="209"/>
        <v/>
      </c>
      <c r="B656" s="185"/>
      <c r="C656" s="184"/>
      <c r="D656" s="184"/>
      <c r="E656" s="184"/>
      <c r="F656" s="184"/>
      <c r="G656" s="185"/>
      <c r="H656" s="185"/>
      <c r="I656" s="186"/>
      <c r="J656" s="69"/>
      <c r="AA656" s="63">
        <f t="shared" si="191"/>
        <v>0</v>
      </c>
      <c r="AB656" s="153" t="str">
        <f t="shared" si="192"/>
        <v>000</v>
      </c>
      <c r="AC656" s="165" t="str">
        <f t="shared" si="193"/>
        <v>00000000</v>
      </c>
      <c r="AD656" s="98" t="str">
        <f t="shared" si="194"/>
        <v>00000000</v>
      </c>
      <c r="AE656" s="150">
        <f t="shared" si="195"/>
        <v>0</v>
      </c>
      <c r="AF656" s="150">
        <f t="shared" si="196"/>
        <v>0</v>
      </c>
      <c r="AG656" s="98" t="str">
        <f t="shared" si="197"/>
        <v>0000000000</v>
      </c>
      <c r="AH656" s="151">
        <f t="shared" si="198"/>
        <v>0</v>
      </c>
      <c r="AI656" s="98" t="str">
        <f t="shared" si="199"/>
        <v>00</v>
      </c>
      <c r="AJ656" s="98" t="str">
        <f t="shared" si="200"/>
        <v>000000000000</v>
      </c>
      <c r="AK656" s="161" t="str">
        <f t="shared" si="201"/>
        <v xml:space="preserve">                              </v>
      </c>
      <c r="AL656" s="154">
        <f t="shared" si="202"/>
        <v>0</v>
      </c>
      <c r="AM656" s="155">
        <f t="shared" si="203"/>
        <v>0</v>
      </c>
      <c r="AP656" s="63" t="str">
        <f t="shared" si="204"/>
        <v/>
      </c>
      <c r="AQ656" s="63" t="str">
        <f t="shared" si="205"/>
        <v/>
      </c>
      <c r="AR656" s="152" t="str">
        <f t="shared" si="206"/>
        <v/>
      </c>
      <c r="AS656" s="109" t="str">
        <f t="shared" si="207"/>
        <v/>
      </c>
      <c r="AT656" s="63" t="str">
        <f t="shared" si="208"/>
        <v xml:space="preserve">                    </v>
      </c>
    </row>
    <row r="657" spans="1:46" ht="12.75" x14ac:dyDescent="0.2">
      <c r="A657" s="63" t="str">
        <f t="shared" si="209"/>
        <v/>
      </c>
      <c r="B657" s="185"/>
      <c r="C657" s="184"/>
      <c r="D657" s="184"/>
      <c r="E657" s="184"/>
      <c r="F657" s="184"/>
      <c r="G657" s="185"/>
      <c r="H657" s="185"/>
      <c r="I657" s="186"/>
      <c r="J657" s="69"/>
      <c r="AA657" s="63">
        <f t="shared" ref="AA657:AA720" si="210">B657</f>
        <v>0</v>
      </c>
      <c r="AB657" s="153" t="str">
        <f t="shared" ref="AB657:AB720" si="211">CONCATENATE(REPT("0",3-LEN(C657)),C657)</f>
        <v>000</v>
      </c>
      <c r="AC657" s="165" t="str">
        <f t="shared" ref="AC657:AC720" si="212">CONCATENATE(REPT("0",8-LEN(D657)),D657)</f>
        <v>00000000</v>
      </c>
      <c r="AD657" s="98" t="str">
        <f t="shared" ref="AD657:AD720" si="213">CONCATENATE(REPT("0",8-LEN(F657)),F657)</f>
        <v>00000000</v>
      </c>
      <c r="AE657" s="150">
        <f t="shared" ref="AE657:AE720" si="214">INT(I657)</f>
        <v>0</v>
      </c>
      <c r="AF657" s="150">
        <f t="shared" ref="AF657:AF720" si="215">I657-AE657</f>
        <v>0</v>
      </c>
      <c r="AG657" s="98" t="str">
        <f t="shared" ref="AG657:AG720" si="216">TEXT(AE657,"0000000000")</f>
        <v>0000000000</v>
      </c>
      <c r="AH657" s="151">
        <f t="shared" ref="AH657:AH720" si="217">AF657*100</f>
        <v>0</v>
      </c>
      <c r="AI657" s="98" t="str">
        <f t="shared" ref="AI657:AI720" si="218">TEXT(AH657,"00")</f>
        <v>00</v>
      </c>
      <c r="AJ657" s="98" t="str">
        <f t="shared" ref="AJ657:AJ720" si="219">CONCATENATE(AG657,AI657)</f>
        <v>000000000000</v>
      </c>
      <c r="AK657" s="161" t="str">
        <f t="shared" ref="AK657:AK720" si="220">CONCATENATE(E657,REPT(" ",30-LEN(E657)))</f>
        <v xml:space="preserve">                              </v>
      </c>
      <c r="AL657" s="154">
        <f t="shared" ref="AL657:AL720" si="221">IF(H657&lt;&gt;"",IF(H657=$H$3,0,1),0)</f>
        <v>0</v>
      </c>
      <c r="AM657" s="155">
        <f t="shared" ref="AM657:AM720" si="222">IF(AL657=1,IF($H$3=1,I657*$K$14,I657/$K$14),I657)</f>
        <v>0</v>
      </c>
      <c r="AP657" s="63" t="str">
        <f t="shared" si="204"/>
        <v/>
      </c>
      <c r="AQ657" s="63" t="str">
        <f t="shared" si="205"/>
        <v/>
      </c>
      <c r="AR657" s="152" t="str">
        <f t="shared" si="206"/>
        <v/>
      </c>
      <c r="AS657" s="109" t="str">
        <f t="shared" si="207"/>
        <v/>
      </c>
      <c r="AT657" s="63" t="str">
        <f t="shared" si="208"/>
        <v xml:space="preserve">                    </v>
      </c>
    </row>
    <row r="658" spans="1:46" ht="12.75" x14ac:dyDescent="0.2">
      <c r="A658" s="63" t="str">
        <f t="shared" si="209"/>
        <v/>
      </c>
      <c r="B658" s="185"/>
      <c r="C658" s="184"/>
      <c r="D658" s="184"/>
      <c r="E658" s="184"/>
      <c r="F658" s="184"/>
      <c r="G658" s="185"/>
      <c r="H658" s="185"/>
      <c r="I658" s="186"/>
      <c r="J658" s="69"/>
      <c r="AA658" s="63">
        <f t="shared" si="210"/>
        <v>0</v>
      </c>
      <c r="AB658" s="153" t="str">
        <f t="shared" si="211"/>
        <v>000</v>
      </c>
      <c r="AC658" s="165" t="str">
        <f t="shared" si="212"/>
        <v>00000000</v>
      </c>
      <c r="AD658" s="98" t="str">
        <f t="shared" si="213"/>
        <v>00000000</v>
      </c>
      <c r="AE658" s="150">
        <f t="shared" si="214"/>
        <v>0</v>
      </c>
      <c r="AF658" s="150">
        <f t="shared" si="215"/>
        <v>0</v>
      </c>
      <c r="AG658" s="98" t="str">
        <f t="shared" si="216"/>
        <v>0000000000</v>
      </c>
      <c r="AH658" s="151">
        <f t="shared" si="217"/>
        <v>0</v>
      </c>
      <c r="AI658" s="98" t="str">
        <f t="shared" si="218"/>
        <v>00</v>
      </c>
      <c r="AJ658" s="98" t="str">
        <f t="shared" si="219"/>
        <v>000000000000</v>
      </c>
      <c r="AK658" s="161" t="str">
        <f t="shared" si="220"/>
        <v xml:space="preserve">                              </v>
      </c>
      <c r="AL658" s="154">
        <f t="shared" si="221"/>
        <v>0</v>
      </c>
      <c r="AM658" s="155">
        <f t="shared" si="222"/>
        <v>0</v>
      </c>
      <c r="AP658" s="63" t="str">
        <f t="shared" ref="AP658:AP721" si="223">IF(D659&lt;&gt;"",CONCATENATE("000",AS658,"0",H659,"2","    ",AD659,AJ659,"            ",AT659,AK659,"                                                                                     "),"")</f>
        <v/>
      </c>
      <c r="AQ658" s="63" t="str">
        <f t="shared" ref="AQ658:AQ721" si="224">IF(D659&lt;&gt;"",CONCATENATE("1520",AA659,AB659,AC659),"")</f>
        <v/>
      </c>
      <c r="AR658" s="152" t="str">
        <f t="shared" ref="AR658:AR721" si="225">IF(D659&lt;&gt;"",MOD(SUM(VALUE(MID($AQ$1,1,1)) * VALUE(MID(AQ658,1,1)),VALUE(MID($AQ$1,2,1)) * VALUE(MID(AQ658,2,1)),VALUE(MID($AQ$1,3,1)) * VALUE(MID(AQ658,3,1)),VALUE(MID($AQ$1,4,1)) * VALUE(MID(AQ658,4,1)),VALUE(MID($AQ$1,5,1)) * VALUE(MID(AQ658,5,1)),VALUE(MID($AQ$1,6,1)) * VALUE(MID(AQ658,6,1)),VALUE(MID($AQ$1,7,1)) * VALUE(MID(AQ658,7,1)),VALUE(MID($AQ$1,8,1)) * VALUE(MID(AQ658,8,1)),VALUE(MID($AQ$1,9,1)) * VALUE(MID(AQ658,9,1)),VALUE(MID($AQ$1,10,1)) * VALUE(MID(AQ658,10,1)),VALUE(MID($AQ$1,11,1)) * VALUE(MID(AQ658,11,1)),VALUE(MID($AQ$1,12,1)) * VALUE(MID(AQ658,12,1)),VALUE(MID($AQ$1,13,1)) * VALUE(MID(AQ658,13,1)),VALUE(MID($AQ$1,14,1)) * VALUE(MID(AQ658,14,1)),VALUE(MID($AQ$1,15,1)) * VALUE(MID(AQ658,15,1)),VALUE(MID($AQ$1,16,1)) * VALUE(MID(AQ658,16,1))),11),"")</f>
        <v/>
      </c>
      <c r="AS658" s="109" t="str">
        <f t="shared" ref="AS658:AS721" si="226">IF(D659&lt;&gt;"",CONCATENATE(AQ658,IF(AR658&gt;9,"1",AR658)),"")</f>
        <v/>
      </c>
      <c r="AT658" s="63" t="str">
        <f t="shared" ref="AT658:AT721" si="227">CONCATENATE(G658,REPT(" ",20-LEN(G658)))</f>
        <v xml:space="preserve">                    </v>
      </c>
    </row>
    <row r="659" spans="1:46" ht="12.75" x14ac:dyDescent="0.2">
      <c r="A659" s="63" t="str">
        <f t="shared" si="209"/>
        <v/>
      </c>
      <c r="B659" s="185"/>
      <c r="C659" s="184"/>
      <c r="D659" s="184"/>
      <c r="E659" s="184"/>
      <c r="F659" s="184"/>
      <c r="G659" s="185"/>
      <c r="H659" s="185"/>
      <c r="I659" s="186"/>
      <c r="J659" s="69"/>
      <c r="AA659" s="63">
        <f t="shared" si="210"/>
        <v>0</v>
      </c>
      <c r="AB659" s="153" t="str">
        <f t="shared" si="211"/>
        <v>000</v>
      </c>
      <c r="AC659" s="165" t="str">
        <f t="shared" si="212"/>
        <v>00000000</v>
      </c>
      <c r="AD659" s="98" t="str">
        <f t="shared" si="213"/>
        <v>00000000</v>
      </c>
      <c r="AE659" s="150">
        <f t="shared" si="214"/>
        <v>0</v>
      </c>
      <c r="AF659" s="150">
        <f t="shared" si="215"/>
        <v>0</v>
      </c>
      <c r="AG659" s="98" t="str">
        <f t="shared" si="216"/>
        <v>0000000000</v>
      </c>
      <c r="AH659" s="151">
        <f t="shared" si="217"/>
        <v>0</v>
      </c>
      <c r="AI659" s="98" t="str">
        <f t="shared" si="218"/>
        <v>00</v>
      </c>
      <c r="AJ659" s="98" t="str">
        <f t="shared" si="219"/>
        <v>000000000000</v>
      </c>
      <c r="AK659" s="161" t="str">
        <f t="shared" si="220"/>
        <v xml:space="preserve">                              </v>
      </c>
      <c r="AL659" s="154">
        <f t="shared" si="221"/>
        <v>0</v>
      </c>
      <c r="AM659" s="155">
        <f t="shared" si="222"/>
        <v>0</v>
      </c>
      <c r="AP659" s="63" t="str">
        <f t="shared" si="223"/>
        <v/>
      </c>
      <c r="AQ659" s="63" t="str">
        <f t="shared" si="224"/>
        <v/>
      </c>
      <c r="AR659" s="152" t="str">
        <f t="shared" si="225"/>
        <v/>
      </c>
      <c r="AS659" s="109" t="str">
        <f t="shared" si="226"/>
        <v/>
      </c>
      <c r="AT659" s="63" t="str">
        <f t="shared" si="227"/>
        <v xml:space="preserve">                    </v>
      </c>
    </row>
    <row r="660" spans="1:46" ht="12.75" x14ac:dyDescent="0.2">
      <c r="A660" s="63" t="str">
        <f t="shared" si="209"/>
        <v/>
      </c>
      <c r="B660" s="185"/>
      <c r="C660" s="184"/>
      <c r="D660" s="184"/>
      <c r="E660" s="184"/>
      <c r="F660" s="184"/>
      <c r="G660" s="185"/>
      <c r="H660" s="185"/>
      <c r="I660" s="186"/>
      <c r="J660" s="69"/>
      <c r="AA660" s="63">
        <f t="shared" si="210"/>
        <v>0</v>
      </c>
      <c r="AB660" s="153" t="str">
        <f t="shared" si="211"/>
        <v>000</v>
      </c>
      <c r="AC660" s="165" t="str">
        <f t="shared" si="212"/>
        <v>00000000</v>
      </c>
      <c r="AD660" s="98" t="str">
        <f t="shared" si="213"/>
        <v>00000000</v>
      </c>
      <c r="AE660" s="150">
        <f t="shared" si="214"/>
        <v>0</v>
      </c>
      <c r="AF660" s="150">
        <f t="shared" si="215"/>
        <v>0</v>
      </c>
      <c r="AG660" s="98" t="str">
        <f t="shared" si="216"/>
        <v>0000000000</v>
      </c>
      <c r="AH660" s="151">
        <f t="shared" si="217"/>
        <v>0</v>
      </c>
      <c r="AI660" s="98" t="str">
        <f t="shared" si="218"/>
        <v>00</v>
      </c>
      <c r="AJ660" s="98" t="str">
        <f t="shared" si="219"/>
        <v>000000000000</v>
      </c>
      <c r="AK660" s="161" t="str">
        <f t="shared" si="220"/>
        <v xml:space="preserve">                              </v>
      </c>
      <c r="AL660" s="154">
        <f t="shared" si="221"/>
        <v>0</v>
      </c>
      <c r="AM660" s="155">
        <f t="shared" si="222"/>
        <v>0</v>
      </c>
      <c r="AP660" s="63" t="str">
        <f t="shared" si="223"/>
        <v/>
      </c>
      <c r="AQ660" s="63" t="str">
        <f t="shared" si="224"/>
        <v/>
      </c>
      <c r="AR660" s="152" t="str">
        <f t="shared" si="225"/>
        <v/>
      </c>
      <c r="AS660" s="109" t="str">
        <f t="shared" si="226"/>
        <v/>
      </c>
      <c r="AT660" s="63" t="str">
        <f t="shared" si="227"/>
        <v xml:space="preserve">                    </v>
      </c>
    </row>
    <row r="661" spans="1:46" ht="12.75" x14ac:dyDescent="0.2">
      <c r="A661" s="63" t="str">
        <f t="shared" si="209"/>
        <v/>
      </c>
      <c r="B661" s="185"/>
      <c r="C661" s="184"/>
      <c r="D661" s="184"/>
      <c r="E661" s="184"/>
      <c r="F661" s="184"/>
      <c r="G661" s="185"/>
      <c r="H661" s="185"/>
      <c r="I661" s="186"/>
      <c r="J661" s="69"/>
      <c r="AA661" s="63">
        <f t="shared" si="210"/>
        <v>0</v>
      </c>
      <c r="AB661" s="153" t="str">
        <f t="shared" si="211"/>
        <v>000</v>
      </c>
      <c r="AC661" s="165" t="str">
        <f t="shared" si="212"/>
        <v>00000000</v>
      </c>
      <c r="AD661" s="98" t="str">
        <f t="shared" si="213"/>
        <v>00000000</v>
      </c>
      <c r="AE661" s="150">
        <f t="shared" si="214"/>
        <v>0</v>
      </c>
      <c r="AF661" s="150">
        <f t="shared" si="215"/>
        <v>0</v>
      </c>
      <c r="AG661" s="98" t="str">
        <f t="shared" si="216"/>
        <v>0000000000</v>
      </c>
      <c r="AH661" s="151">
        <f t="shared" si="217"/>
        <v>0</v>
      </c>
      <c r="AI661" s="98" t="str">
        <f t="shared" si="218"/>
        <v>00</v>
      </c>
      <c r="AJ661" s="98" t="str">
        <f t="shared" si="219"/>
        <v>000000000000</v>
      </c>
      <c r="AK661" s="161" t="str">
        <f t="shared" si="220"/>
        <v xml:space="preserve">                              </v>
      </c>
      <c r="AL661" s="154">
        <f t="shared" si="221"/>
        <v>0</v>
      </c>
      <c r="AM661" s="155">
        <f t="shared" si="222"/>
        <v>0</v>
      </c>
      <c r="AP661" s="63" t="str">
        <f t="shared" si="223"/>
        <v/>
      </c>
      <c r="AQ661" s="63" t="str">
        <f t="shared" si="224"/>
        <v/>
      </c>
      <c r="AR661" s="152" t="str">
        <f t="shared" si="225"/>
        <v/>
      </c>
      <c r="AS661" s="109" t="str">
        <f t="shared" si="226"/>
        <v/>
      </c>
      <c r="AT661" s="63" t="str">
        <f t="shared" si="227"/>
        <v xml:space="preserve">                    </v>
      </c>
    </row>
    <row r="662" spans="1:46" ht="12.75" x14ac:dyDescent="0.2">
      <c r="A662" s="63" t="str">
        <f t="shared" si="209"/>
        <v/>
      </c>
      <c r="B662" s="185"/>
      <c r="C662" s="184"/>
      <c r="D662" s="184"/>
      <c r="E662" s="184"/>
      <c r="F662" s="184"/>
      <c r="G662" s="185"/>
      <c r="H662" s="185"/>
      <c r="I662" s="186"/>
      <c r="J662" s="69"/>
      <c r="AA662" s="63">
        <f t="shared" si="210"/>
        <v>0</v>
      </c>
      <c r="AB662" s="153" t="str">
        <f t="shared" si="211"/>
        <v>000</v>
      </c>
      <c r="AC662" s="165" t="str">
        <f t="shared" si="212"/>
        <v>00000000</v>
      </c>
      <c r="AD662" s="98" t="str">
        <f t="shared" si="213"/>
        <v>00000000</v>
      </c>
      <c r="AE662" s="150">
        <f t="shared" si="214"/>
        <v>0</v>
      </c>
      <c r="AF662" s="150">
        <f t="shared" si="215"/>
        <v>0</v>
      </c>
      <c r="AG662" s="98" t="str">
        <f t="shared" si="216"/>
        <v>0000000000</v>
      </c>
      <c r="AH662" s="151">
        <f t="shared" si="217"/>
        <v>0</v>
      </c>
      <c r="AI662" s="98" t="str">
        <f t="shared" si="218"/>
        <v>00</v>
      </c>
      <c r="AJ662" s="98" t="str">
        <f t="shared" si="219"/>
        <v>000000000000</v>
      </c>
      <c r="AK662" s="161" t="str">
        <f t="shared" si="220"/>
        <v xml:space="preserve">                              </v>
      </c>
      <c r="AL662" s="154">
        <f t="shared" si="221"/>
        <v>0</v>
      </c>
      <c r="AM662" s="155">
        <f t="shared" si="222"/>
        <v>0</v>
      </c>
      <c r="AP662" s="63" t="str">
        <f t="shared" si="223"/>
        <v/>
      </c>
      <c r="AQ662" s="63" t="str">
        <f t="shared" si="224"/>
        <v/>
      </c>
      <c r="AR662" s="152" t="str">
        <f t="shared" si="225"/>
        <v/>
      </c>
      <c r="AS662" s="109" t="str">
        <f t="shared" si="226"/>
        <v/>
      </c>
      <c r="AT662" s="63" t="str">
        <f t="shared" si="227"/>
        <v xml:space="preserve">                    </v>
      </c>
    </row>
    <row r="663" spans="1:46" ht="12.75" x14ac:dyDescent="0.2">
      <c r="A663" s="63" t="str">
        <f t="shared" si="209"/>
        <v/>
      </c>
      <c r="B663" s="185"/>
      <c r="C663" s="184"/>
      <c r="D663" s="184"/>
      <c r="E663" s="184"/>
      <c r="F663" s="184"/>
      <c r="G663" s="185"/>
      <c r="H663" s="185"/>
      <c r="I663" s="186"/>
      <c r="J663" s="69"/>
      <c r="AA663" s="63">
        <f t="shared" si="210"/>
        <v>0</v>
      </c>
      <c r="AB663" s="153" t="str">
        <f t="shared" si="211"/>
        <v>000</v>
      </c>
      <c r="AC663" s="165" t="str">
        <f t="shared" si="212"/>
        <v>00000000</v>
      </c>
      <c r="AD663" s="98" t="str">
        <f t="shared" si="213"/>
        <v>00000000</v>
      </c>
      <c r="AE663" s="150">
        <f t="shared" si="214"/>
        <v>0</v>
      </c>
      <c r="AF663" s="150">
        <f t="shared" si="215"/>
        <v>0</v>
      </c>
      <c r="AG663" s="98" t="str">
        <f t="shared" si="216"/>
        <v>0000000000</v>
      </c>
      <c r="AH663" s="151">
        <f t="shared" si="217"/>
        <v>0</v>
      </c>
      <c r="AI663" s="98" t="str">
        <f t="shared" si="218"/>
        <v>00</v>
      </c>
      <c r="AJ663" s="98" t="str">
        <f t="shared" si="219"/>
        <v>000000000000</v>
      </c>
      <c r="AK663" s="161" t="str">
        <f t="shared" si="220"/>
        <v xml:space="preserve">                              </v>
      </c>
      <c r="AL663" s="154">
        <f t="shared" si="221"/>
        <v>0</v>
      </c>
      <c r="AM663" s="155">
        <f t="shared" si="222"/>
        <v>0</v>
      </c>
      <c r="AP663" s="63" t="str">
        <f t="shared" si="223"/>
        <v/>
      </c>
      <c r="AQ663" s="63" t="str">
        <f t="shared" si="224"/>
        <v/>
      </c>
      <c r="AR663" s="152" t="str">
        <f t="shared" si="225"/>
        <v/>
      </c>
      <c r="AS663" s="109" t="str">
        <f t="shared" si="226"/>
        <v/>
      </c>
      <c r="AT663" s="63" t="str">
        <f t="shared" si="227"/>
        <v xml:space="preserve">                    </v>
      </c>
    </row>
    <row r="664" spans="1:46" ht="12.75" x14ac:dyDescent="0.2">
      <c r="A664" s="63" t="str">
        <f t="shared" si="209"/>
        <v/>
      </c>
      <c r="B664" s="185"/>
      <c r="C664" s="184"/>
      <c r="D664" s="184"/>
      <c r="E664" s="184"/>
      <c r="F664" s="184"/>
      <c r="G664" s="185"/>
      <c r="H664" s="185"/>
      <c r="I664" s="186"/>
      <c r="J664" s="69"/>
      <c r="AA664" s="63">
        <f t="shared" si="210"/>
        <v>0</v>
      </c>
      <c r="AB664" s="153" t="str">
        <f t="shared" si="211"/>
        <v>000</v>
      </c>
      <c r="AC664" s="165" t="str">
        <f t="shared" si="212"/>
        <v>00000000</v>
      </c>
      <c r="AD664" s="98" t="str">
        <f t="shared" si="213"/>
        <v>00000000</v>
      </c>
      <c r="AE664" s="150">
        <f t="shared" si="214"/>
        <v>0</v>
      </c>
      <c r="AF664" s="150">
        <f t="shared" si="215"/>
        <v>0</v>
      </c>
      <c r="AG664" s="98" t="str">
        <f t="shared" si="216"/>
        <v>0000000000</v>
      </c>
      <c r="AH664" s="151">
        <f t="shared" si="217"/>
        <v>0</v>
      </c>
      <c r="AI664" s="98" t="str">
        <f t="shared" si="218"/>
        <v>00</v>
      </c>
      <c r="AJ664" s="98" t="str">
        <f t="shared" si="219"/>
        <v>000000000000</v>
      </c>
      <c r="AK664" s="161" t="str">
        <f t="shared" si="220"/>
        <v xml:space="preserve">                              </v>
      </c>
      <c r="AL664" s="154">
        <f t="shared" si="221"/>
        <v>0</v>
      </c>
      <c r="AM664" s="155">
        <f t="shared" si="222"/>
        <v>0</v>
      </c>
      <c r="AP664" s="63" t="str">
        <f t="shared" si="223"/>
        <v/>
      </c>
      <c r="AQ664" s="63" t="str">
        <f t="shared" si="224"/>
        <v/>
      </c>
      <c r="AR664" s="152" t="str">
        <f t="shared" si="225"/>
        <v/>
      </c>
      <c r="AS664" s="109" t="str">
        <f t="shared" si="226"/>
        <v/>
      </c>
      <c r="AT664" s="63" t="str">
        <f t="shared" si="227"/>
        <v xml:space="preserve">                    </v>
      </c>
    </row>
    <row r="665" spans="1:46" ht="12.75" x14ac:dyDescent="0.2">
      <c r="A665" s="63" t="str">
        <f t="shared" si="209"/>
        <v/>
      </c>
      <c r="B665" s="185"/>
      <c r="C665" s="184"/>
      <c r="D665" s="184"/>
      <c r="E665" s="184"/>
      <c r="F665" s="184"/>
      <c r="G665" s="185"/>
      <c r="H665" s="185"/>
      <c r="I665" s="186"/>
      <c r="J665" s="69"/>
      <c r="AA665" s="63">
        <f t="shared" si="210"/>
        <v>0</v>
      </c>
      <c r="AB665" s="153" t="str">
        <f t="shared" si="211"/>
        <v>000</v>
      </c>
      <c r="AC665" s="165" t="str">
        <f t="shared" si="212"/>
        <v>00000000</v>
      </c>
      <c r="AD665" s="98" t="str">
        <f t="shared" si="213"/>
        <v>00000000</v>
      </c>
      <c r="AE665" s="150">
        <f t="shared" si="214"/>
        <v>0</v>
      </c>
      <c r="AF665" s="150">
        <f t="shared" si="215"/>
        <v>0</v>
      </c>
      <c r="AG665" s="98" t="str">
        <f t="shared" si="216"/>
        <v>0000000000</v>
      </c>
      <c r="AH665" s="151">
        <f t="shared" si="217"/>
        <v>0</v>
      </c>
      <c r="AI665" s="98" t="str">
        <f t="shared" si="218"/>
        <v>00</v>
      </c>
      <c r="AJ665" s="98" t="str">
        <f t="shared" si="219"/>
        <v>000000000000</v>
      </c>
      <c r="AK665" s="161" t="str">
        <f t="shared" si="220"/>
        <v xml:space="preserve">                              </v>
      </c>
      <c r="AL665" s="154">
        <f t="shared" si="221"/>
        <v>0</v>
      </c>
      <c r="AM665" s="155">
        <f t="shared" si="222"/>
        <v>0</v>
      </c>
      <c r="AP665" s="63" t="str">
        <f t="shared" si="223"/>
        <v/>
      </c>
      <c r="AQ665" s="63" t="str">
        <f t="shared" si="224"/>
        <v/>
      </c>
      <c r="AR665" s="152" t="str">
        <f t="shared" si="225"/>
        <v/>
      </c>
      <c r="AS665" s="109" t="str">
        <f t="shared" si="226"/>
        <v/>
      </c>
      <c r="AT665" s="63" t="str">
        <f t="shared" si="227"/>
        <v xml:space="preserve">                    </v>
      </c>
    </row>
    <row r="666" spans="1:46" ht="12.75" x14ac:dyDescent="0.2">
      <c r="A666" s="63" t="str">
        <f t="shared" si="209"/>
        <v/>
      </c>
      <c r="B666" s="185"/>
      <c r="C666" s="184"/>
      <c r="D666" s="184"/>
      <c r="E666" s="184"/>
      <c r="F666" s="184"/>
      <c r="G666" s="185"/>
      <c r="H666" s="185"/>
      <c r="I666" s="186"/>
      <c r="J666" s="69"/>
      <c r="AA666" s="63">
        <f t="shared" si="210"/>
        <v>0</v>
      </c>
      <c r="AB666" s="153" t="str">
        <f t="shared" si="211"/>
        <v>000</v>
      </c>
      <c r="AC666" s="165" t="str">
        <f t="shared" si="212"/>
        <v>00000000</v>
      </c>
      <c r="AD666" s="98" t="str">
        <f t="shared" si="213"/>
        <v>00000000</v>
      </c>
      <c r="AE666" s="150">
        <f t="shared" si="214"/>
        <v>0</v>
      </c>
      <c r="AF666" s="150">
        <f t="shared" si="215"/>
        <v>0</v>
      </c>
      <c r="AG666" s="98" t="str">
        <f t="shared" si="216"/>
        <v>0000000000</v>
      </c>
      <c r="AH666" s="151">
        <f t="shared" si="217"/>
        <v>0</v>
      </c>
      <c r="AI666" s="98" t="str">
        <f t="shared" si="218"/>
        <v>00</v>
      </c>
      <c r="AJ666" s="98" t="str">
        <f t="shared" si="219"/>
        <v>000000000000</v>
      </c>
      <c r="AK666" s="161" t="str">
        <f t="shared" si="220"/>
        <v xml:space="preserve">                              </v>
      </c>
      <c r="AL666" s="154">
        <f t="shared" si="221"/>
        <v>0</v>
      </c>
      <c r="AM666" s="155">
        <f t="shared" si="222"/>
        <v>0</v>
      </c>
      <c r="AP666" s="63" t="str">
        <f t="shared" si="223"/>
        <v/>
      </c>
      <c r="AQ666" s="63" t="str">
        <f t="shared" si="224"/>
        <v/>
      </c>
      <c r="AR666" s="152" t="str">
        <f t="shared" si="225"/>
        <v/>
      </c>
      <c r="AS666" s="109" t="str">
        <f t="shared" si="226"/>
        <v/>
      </c>
      <c r="AT666" s="63" t="str">
        <f t="shared" si="227"/>
        <v xml:space="preserve">                    </v>
      </c>
    </row>
    <row r="667" spans="1:46" ht="12.75" x14ac:dyDescent="0.2">
      <c r="A667" s="63" t="str">
        <f t="shared" si="209"/>
        <v/>
      </c>
      <c r="B667" s="185"/>
      <c r="C667" s="184"/>
      <c r="D667" s="184"/>
      <c r="E667" s="184"/>
      <c r="F667" s="184"/>
      <c r="G667" s="185"/>
      <c r="H667" s="185"/>
      <c r="I667" s="186"/>
      <c r="J667" s="69"/>
      <c r="AA667" s="63">
        <f t="shared" si="210"/>
        <v>0</v>
      </c>
      <c r="AB667" s="153" t="str">
        <f t="shared" si="211"/>
        <v>000</v>
      </c>
      <c r="AC667" s="165" t="str">
        <f t="shared" si="212"/>
        <v>00000000</v>
      </c>
      <c r="AD667" s="98" t="str">
        <f t="shared" si="213"/>
        <v>00000000</v>
      </c>
      <c r="AE667" s="150">
        <f t="shared" si="214"/>
        <v>0</v>
      </c>
      <c r="AF667" s="150">
        <f t="shared" si="215"/>
        <v>0</v>
      </c>
      <c r="AG667" s="98" t="str">
        <f t="shared" si="216"/>
        <v>0000000000</v>
      </c>
      <c r="AH667" s="151">
        <f t="shared" si="217"/>
        <v>0</v>
      </c>
      <c r="AI667" s="98" t="str">
        <f t="shared" si="218"/>
        <v>00</v>
      </c>
      <c r="AJ667" s="98" t="str">
        <f t="shared" si="219"/>
        <v>000000000000</v>
      </c>
      <c r="AK667" s="161" t="str">
        <f t="shared" si="220"/>
        <v xml:space="preserve">                              </v>
      </c>
      <c r="AL667" s="154">
        <f t="shared" si="221"/>
        <v>0</v>
      </c>
      <c r="AM667" s="155">
        <f t="shared" si="222"/>
        <v>0</v>
      </c>
      <c r="AP667" s="63" t="str">
        <f t="shared" si="223"/>
        <v/>
      </c>
      <c r="AQ667" s="63" t="str">
        <f t="shared" si="224"/>
        <v/>
      </c>
      <c r="AR667" s="152" t="str">
        <f t="shared" si="225"/>
        <v/>
      </c>
      <c r="AS667" s="109" t="str">
        <f t="shared" si="226"/>
        <v/>
      </c>
      <c r="AT667" s="63" t="str">
        <f t="shared" si="227"/>
        <v xml:space="preserve">                    </v>
      </c>
    </row>
    <row r="668" spans="1:46" ht="12.75" x14ac:dyDescent="0.2">
      <c r="A668" s="63" t="str">
        <f t="shared" si="209"/>
        <v/>
      </c>
      <c r="B668" s="185"/>
      <c r="C668" s="184"/>
      <c r="D668" s="184"/>
      <c r="E668" s="184"/>
      <c r="F668" s="184"/>
      <c r="G668" s="185"/>
      <c r="H668" s="185"/>
      <c r="I668" s="186"/>
      <c r="J668" s="69"/>
      <c r="AA668" s="63">
        <f t="shared" si="210"/>
        <v>0</v>
      </c>
      <c r="AB668" s="153" t="str">
        <f t="shared" si="211"/>
        <v>000</v>
      </c>
      <c r="AC668" s="165" t="str">
        <f t="shared" si="212"/>
        <v>00000000</v>
      </c>
      <c r="AD668" s="98" t="str">
        <f t="shared" si="213"/>
        <v>00000000</v>
      </c>
      <c r="AE668" s="150">
        <f t="shared" si="214"/>
        <v>0</v>
      </c>
      <c r="AF668" s="150">
        <f t="shared" si="215"/>
        <v>0</v>
      </c>
      <c r="AG668" s="98" t="str">
        <f t="shared" si="216"/>
        <v>0000000000</v>
      </c>
      <c r="AH668" s="151">
        <f t="shared" si="217"/>
        <v>0</v>
      </c>
      <c r="AI668" s="98" t="str">
        <f t="shared" si="218"/>
        <v>00</v>
      </c>
      <c r="AJ668" s="98" t="str">
        <f t="shared" si="219"/>
        <v>000000000000</v>
      </c>
      <c r="AK668" s="161" t="str">
        <f t="shared" si="220"/>
        <v xml:space="preserve">                              </v>
      </c>
      <c r="AL668" s="154">
        <f t="shared" si="221"/>
        <v>0</v>
      </c>
      <c r="AM668" s="155">
        <f t="shared" si="222"/>
        <v>0</v>
      </c>
      <c r="AP668" s="63" t="str">
        <f t="shared" si="223"/>
        <v/>
      </c>
      <c r="AQ668" s="63" t="str">
        <f t="shared" si="224"/>
        <v/>
      </c>
      <c r="AR668" s="152" t="str">
        <f t="shared" si="225"/>
        <v/>
      </c>
      <c r="AS668" s="109" t="str">
        <f t="shared" si="226"/>
        <v/>
      </c>
      <c r="AT668" s="63" t="str">
        <f t="shared" si="227"/>
        <v xml:space="preserve">                    </v>
      </c>
    </row>
    <row r="669" spans="1:46" ht="12.75" x14ac:dyDescent="0.2">
      <c r="A669" s="63" t="str">
        <f t="shared" si="209"/>
        <v/>
      </c>
      <c r="B669" s="185"/>
      <c r="C669" s="184"/>
      <c r="D669" s="184"/>
      <c r="E669" s="184"/>
      <c r="F669" s="184"/>
      <c r="G669" s="185"/>
      <c r="H669" s="185"/>
      <c r="I669" s="186"/>
      <c r="J669" s="69"/>
      <c r="AA669" s="63">
        <f t="shared" si="210"/>
        <v>0</v>
      </c>
      <c r="AB669" s="153" t="str">
        <f t="shared" si="211"/>
        <v>000</v>
      </c>
      <c r="AC669" s="165" t="str">
        <f t="shared" si="212"/>
        <v>00000000</v>
      </c>
      <c r="AD669" s="98" t="str">
        <f t="shared" si="213"/>
        <v>00000000</v>
      </c>
      <c r="AE669" s="150">
        <f t="shared" si="214"/>
        <v>0</v>
      </c>
      <c r="AF669" s="150">
        <f t="shared" si="215"/>
        <v>0</v>
      </c>
      <c r="AG669" s="98" t="str">
        <f t="shared" si="216"/>
        <v>0000000000</v>
      </c>
      <c r="AH669" s="151">
        <f t="shared" si="217"/>
        <v>0</v>
      </c>
      <c r="AI669" s="98" t="str">
        <f t="shared" si="218"/>
        <v>00</v>
      </c>
      <c r="AJ669" s="98" t="str">
        <f t="shared" si="219"/>
        <v>000000000000</v>
      </c>
      <c r="AK669" s="161" t="str">
        <f t="shared" si="220"/>
        <v xml:space="preserve">                              </v>
      </c>
      <c r="AL669" s="154">
        <f t="shared" si="221"/>
        <v>0</v>
      </c>
      <c r="AM669" s="155">
        <f t="shared" si="222"/>
        <v>0</v>
      </c>
      <c r="AP669" s="63" t="str">
        <f t="shared" si="223"/>
        <v/>
      </c>
      <c r="AQ669" s="63" t="str">
        <f t="shared" si="224"/>
        <v/>
      </c>
      <c r="AR669" s="152" t="str">
        <f t="shared" si="225"/>
        <v/>
      </c>
      <c r="AS669" s="109" t="str">
        <f t="shared" si="226"/>
        <v/>
      </c>
      <c r="AT669" s="63" t="str">
        <f t="shared" si="227"/>
        <v xml:space="preserve">                    </v>
      </c>
    </row>
    <row r="670" spans="1:46" ht="12.75" x14ac:dyDescent="0.2">
      <c r="A670" s="63" t="str">
        <f t="shared" si="209"/>
        <v/>
      </c>
      <c r="B670" s="185"/>
      <c r="C670" s="184"/>
      <c r="D670" s="184"/>
      <c r="E670" s="184"/>
      <c r="F670" s="184"/>
      <c r="G670" s="185"/>
      <c r="H670" s="185"/>
      <c r="I670" s="186"/>
      <c r="J670" s="69"/>
      <c r="AA670" s="63">
        <f t="shared" si="210"/>
        <v>0</v>
      </c>
      <c r="AB670" s="153" t="str">
        <f t="shared" si="211"/>
        <v>000</v>
      </c>
      <c r="AC670" s="165" t="str">
        <f t="shared" si="212"/>
        <v>00000000</v>
      </c>
      <c r="AD670" s="98" t="str">
        <f t="shared" si="213"/>
        <v>00000000</v>
      </c>
      <c r="AE670" s="150">
        <f t="shared" si="214"/>
        <v>0</v>
      </c>
      <c r="AF670" s="150">
        <f t="shared" si="215"/>
        <v>0</v>
      </c>
      <c r="AG670" s="98" t="str">
        <f t="shared" si="216"/>
        <v>0000000000</v>
      </c>
      <c r="AH670" s="151">
        <f t="shared" si="217"/>
        <v>0</v>
      </c>
      <c r="AI670" s="98" t="str">
        <f t="shared" si="218"/>
        <v>00</v>
      </c>
      <c r="AJ670" s="98" t="str">
        <f t="shared" si="219"/>
        <v>000000000000</v>
      </c>
      <c r="AK670" s="161" t="str">
        <f t="shared" si="220"/>
        <v xml:space="preserve">                              </v>
      </c>
      <c r="AL670" s="154">
        <f t="shared" si="221"/>
        <v>0</v>
      </c>
      <c r="AM670" s="155">
        <f t="shared" si="222"/>
        <v>0</v>
      </c>
      <c r="AP670" s="63" t="str">
        <f t="shared" si="223"/>
        <v/>
      </c>
      <c r="AQ670" s="63" t="str">
        <f t="shared" si="224"/>
        <v/>
      </c>
      <c r="AR670" s="152" t="str">
        <f t="shared" si="225"/>
        <v/>
      </c>
      <c r="AS670" s="109" t="str">
        <f t="shared" si="226"/>
        <v/>
      </c>
      <c r="AT670" s="63" t="str">
        <f t="shared" si="227"/>
        <v xml:space="preserve">                    </v>
      </c>
    </row>
    <row r="671" spans="1:46" ht="12.75" x14ac:dyDescent="0.2">
      <c r="A671" s="63" t="str">
        <f t="shared" si="209"/>
        <v/>
      </c>
      <c r="B671" s="185"/>
      <c r="C671" s="184"/>
      <c r="D671" s="184"/>
      <c r="E671" s="184"/>
      <c r="F671" s="184"/>
      <c r="G671" s="185"/>
      <c r="H671" s="185"/>
      <c r="I671" s="186"/>
      <c r="J671" s="69"/>
      <c r="AA671" s="63">
        <f t="shared" si="210"/>
        <v>0</v>
      </c>
      <c r="AB671" s="153" t="str">
        <f t="shared" si="211"/>
        <v>000</v>
      </c>
      <c r="AC671" s="165" t="str">
        <f t="shared" si="212"/>
        <v>00000000</v>
      </c>
      <c r="AD671" s="98" t="str">
        <f t="shared" si="213"/>
        <v>00000000</v>
      </c>
      <c r="AE671" s="150">
        <f t="shared" si="214"/>
        <v>0</v>
      </c>
      <c r="AF671" s="150">
        <f t="shared" si="215"/>
        <v>0</v>
      </c>
      <c r="AG671" s="98" t="str">
        <f t="shared" si="216"/>
        <v>0000000000</v>
      </c>
      <c r="AH671" s="151">
        <f t="shared" si="217"/>
        <v>0</v>
      </c>
      <c r="AI671" s="98" t="str">
        <f t="shared" si="218"/>
        <v>00</v>
      </c>
      <c r="AJ671" s="98" t="str">
        <f t="shared" si="219"/>
        <v>000000000000</v>
      </c>
      <c r="AK671" s="161" t="str">
        <f t="shared" si="220"/>
        <v xml:space="preserve">                              </v>
      </c>
      <c r="AL671" s="154">
        <f t="shared" si="221"/>
        <v>0</v>
      </c>
      <c r="AM671" s="155">
        <f t="shared" si="222"/>
        <v>0</v>
      </c>
      <c r="AP671" s="63" t="str">
        <f t="shared" si="223"/>
        <v/>
      </c>
      <c r="AQ671" s="63" t="str">
        <f t="shared" si="224"/>
        <v/>
      </c>
      <c r="AR671" s="152" t="str">
        <f t="shared" si="225"/>
        <v/>
      </c>
      <c r="AS671" s="109" t="str">
        <f t="shared" si="226"/>
        <v/>
      </c>
      <c r="AT671" s="63" t="str">
        <f t="shared" si="227"/>
        <v xml:space="preserve">                    </v>
      </c>
    </row>
    <row r="672" spans="1:46" ht="12.75" x14ac:dyDescent="0.2">
      <c r="A672" s="63" t="str">
        <f t="shared" si="209"/>
        <v/>
      </c>
      <c r="B672" s="185"/>
      <c r="C672" s="184"/>
      <c r="D672" s="184"/>
      <c r="E672" s="184"/>
      <c r="F672" s="184"/>
      <c r="G672" s="185"/>
      <c r="H672" s="185"/>
      <c r="I672" s="186"/>
      <c r="J672" s="69"/>
      <c r="AA672" s="63">
        <f t="shared" si="210"/>
        <v>0</v>
      </c>
      <c r="AB672" s="153" t="str">
        <f t="shared" si="211"/>
        <v>000</v>
      </c>
      <c r="AC672" s="165" t="str">
        <f t="shared" si="212"/>
        <v>00000000</v>
      </c>
      <c r="AD672" s="98" t="str">
        <f t="shared" si="213"/>
        <v>00000000</v>
      </c>
      <c r="AE672" s="150">
        <f t="shared" si="214"/>
        <v>0</v>
      </c>
      <c r="AF672" s="150">
        <f t="shared" si="215"/>
        <v>0</v>
      </c>
      <c r="AG672" s="98" t="str">
        <f t="shared" si="216"/>
        <v>0000000000</v>
      </c>
      <c r="AH672" s="151">
        <f t="shared" si="217"/>
        <v>0</v>
      </c>
      <c r="AI672" s="98" t="str">
        <f t="shared" si="218"/>
        <v>00</v>
      </c>
      <c r="AJ672" s="98" t="str">
        <f t="shared" si="219"/>
        <v>000000000000</v>
      </c>
      <c r="AK672" s="161" t="str">
        <f t="shared" si="220"/>
        <v xml:space="preserve">                              </v>
      </c>
      <c r="AL672" s="154">
        <f t="shared" si="221"/>
        <v>0</v>
      </c>
      <c r="AM672" s="155">
        <f t="shared" si="222"/>
        <v>0</v>
      </c>
      <c r="AP672" s="63" t="str">
        <f t="shared" si="223"/>
        <v/>
      </c>
      <c r="AQ672" s="63" t="str">
        <f t="shared" si="224"/>
        <v/>
      </c>
      <c r="AR672" s="152" t="str">
        <f t="shared" si="225"/>
        <v/>
      </c>
      <c r="AS672" s="109" t="str">
        <f t="shared" si="226"/>
        <v/>
      </c>
      <c r="AT672" s="63" t="str">
        <f t="shared" si="227"/>
        <v xml:space="preserve">                    </v>
      </c>
    </row>
    <row r="673" spans="1:46" ht="12.75" x14ac:dyDescent="0.2">
      <c r="A673" s="63" t="str">
        <f t="shared" si="209"/>
        <v/>
      </c>
      <c r="B673" s="185"/>
      <c r="C673" s="184"/>
      <c r="D673" s="184"/>
      <c r="E673" s="184"/>
      <c r="F673" s="184"/>
      <c r="G673" s="185"/>
      <c r="H673" s="185"/>
      <c r="I673" s="186"/>
      <c r="J673" s="69"/>
      <c r="AA673" s="63">
        <f t="shared" si="210"/>
        <v>0</v>
      </c>
      <c r="AB673" s="153" t="str">
        <f t="shared" si="211"/>
        <v>000</v>
      </c>
      <c r="AC673" s="165" t="str">
        <f t="shared" si="212"/>
        <v>00000000</v>
      </c>
      <c r="AD673" s="98" t="str">
        <f t="shared" si="213"/>
        <v>00000000</v>
      </c>
      <c r="AE673" s="150">
        <f t="shared" si="214"/>
        <v>0</v>
      </c>
      <c r="AF673" s="150">
        <f t="shared" si="215"/>
        <v>0</v>
      </c>
      <c r="AG673" s="98" t="str">
        <f t="shared" si="216"/>
        <v>0000000000</v>
      </c>
      <c r="AH673" s="151">
        <f t="shared" si="217"/>
        <v>0</v>
      </c>
      <c r="AI673" s="98" t="str">
        <f t="shared" si="218"/>
        <v>00</v>
      </c>
      <c r="AJ673" s="98" t="str">
        <f t="shared" si="219"/>
        <v>000000000000</v>
      </c>
      <c r="AK673" s="161" t="str">
        <f t="shared" si="220"/>
        <v xml:space="preserve">                              </v>
      </c>
      <c r="AL673" s="154">
        <f t="shared" si="221"/>
        <v>0</v>
      </c>
      <c r="AM673" s="155">
        <f t="shared" si="222"/>
        <v>0</v>
      </c>
      <c r="AP673" s="63" t="str">
        <f t="shared" si="223"/>
        <v/>
      </c>
      <c r="AQ673" s="63" t="str">
        <f t="shared" si="224"/>
        <v/>
      </c>
      <c r="AR673" s="152" t="str">
        <f t="shared" si="225"/>
        <v/>
      </c>
      <c r="AS673" s="109" t="str">
        <f t="shared" si="226"/>
        <v/>
      </c>
      <c r="AT673" s="63" t="str">
        <f t="shared" si="227"/>
        <v xml:space="preserve">                    </v>
      </c>
    </row>
    <row r="674" spans="1:46" ht="12.75" x14ac:dyDescent="0.2">
      <c r="A674" s="63" t="str">
        <f t="shared" si="209"/>
        <v/>
      </c>
      <c r="B674" s="185"/>
      <c r="C674" s="184"/>
      <c r="D674" s="184"/>
      <c r="E674" s="184"/>
      <c r="F674" s="184"/>
      <c r="G674" s="185"/>
      <c r="H674" s="185"/>
      <c r="I674" s="186"/>
      <c r="J674" s="69"/>
      <c r="AA674" s="63">
        <f t="shared" si="210"/>
        <v>0</v>
      </c>
      <c r="AB674" s="153" t="str">
        <f t="shared" si="211"/>
        <v>000</v>
      </c>
      <c r="AC674" s="165" t="str">
        <f t="shared" si="212"/>
        <v>00000000</v>
      </c>
      <c r="AD674" s="98" t="str">
        <f t="shared" si="213"/>
        <v>00000000</v>
      </c>
      <c r="AE674" s="150">
        <f t="shared" si="214"/>
        <v>0</v>
      </c>
      <c r="AF674" s="150">
        <f t="shared" si="215"/>
        <v>0</v>
      </c>
      <c r="AG674" s="98" t="str">
        <f t="shared" si="216"/>
        <v>0000000000</v>
      </c>
      <c r="AH674" s="151">
        <f t="shared" si="217"/>
        <v>0</v>
      </c>
      <c r="AI674" s="98" t="str">
        <f t="shared" si="218"/>
        <v>00</v>
      </c>
      <c r="AJ674" s="98" t="str">
        <f t="shared" si="219"/>
        <v>000000000000</v>
      </c>
      <c r="AK674" s="161" t="str">
        <f t="shared" si="220"/>
        <v xml:space="preserve">                              </v>
      </c>
      <c r="AL674" s="154">
        <f t="shared" si="221"/>
        <v>0</v>
      </c>
      <c r="AM674" s="155">
        <f t="shared" si="222"/>
        <v>0</v>
      </c>
      <c r="AP674" s="63" t="str">
        <f t="shared" si="223"/>
        <v/>
      </c>
      <c r="AQ674" s="63" t="str">
        <f t="shared" si="224"/>
        <v/>
      </c>
      <c r="AR674" s="152" t="str">
        <f t="shared" si="225"/>
        <v/>
      </c>
      <c r="AS674" s="109" t="str">
        <f t="shared" si="226"/>
        <v/>
      </c>
      <c r="AT674" s="63" t="str">
        <f t="shared" si="227"/>
        <v xml:space="preserve">                    </v>
      </c>
    </row>
    <row r="675" spans="1:46" ht="12.75" x14ac:dyDescent="0.2">
      <c r="A675" s="63" t="str">
        <f t="shared" si="209"/>
        <v/>
      </c>
      <c r="B675" s="185"/>
      <c r="C675" s="184"/>
      <c r="D675" s="184"/>
      <c r="E675" s="184"/>
      <c r="F675" s="184"/>
      <c r="G675" s="185"/>
      <c r="H675" s="185"/>
      <c r="I675" s="186"/>
      <c r="J675" s="69"/>
      <c r="AA675" s="63">
        <f t="shared" si="210"/>
        <v>0</v>
      </c>
      <c r="AB675" s="153" t="str">
        <f t="shared" si="211"/>
        <v>000</v>
      </c>
      <c r="AC675" s="165" t="str">
        <f t="shared" si="212"/>
        <v>00000000</v>
      </c>
      <c r="AD675" s="98" t="str">
        <f t="shared" si="213"/>
        <v>00000000</v>
      </c>
      <c r="AE675" s="150">
        <f t="shared" si="214"/>
        <v>0</v>
      </c>
      <c r="AF675" s="150">
        <f t="shared" si="215"/>
        <v>0</v>
      </c>
      <c r="AG675" s="98" t="str">
        <f t="shared" si="216"/>
        <v>0000000000</v>
      </c>
      <c r="AH675" s="151">
        <f t="shared" si="217"/>
        <v>0</v>
      </c>
      <c r="AI675" s="98" t="str">
        <f t="shared" si="218"/>
        <v>00</v>
      </c>
      <c r="AJ675" s="98" t="str">
        <f t="shared" si="219"/>
        <v>000000000000</v>
      </c>
      <c r="AK675" s="161" t="str">
        <f t="shared" si="220"/>
        <v xml:space="preserve">                              </v>
      </c>
      <c r="AL675" s="154">
        <f t="shared" si="221"/>
        <v>0</v>
      </c>
      <c r="AM675" s="155">
        <f t="shared" si="222"/>
        <v>0</v>
      </c>
      <c r="AP675" s="63" t="str">
        <f t="shared" si="223"/>
        <v/>
      </c>
      <c r="AQ675" s="63" t="str">
        <f t="shared" si="224"/>
        <v/>
      </c>
      <c r="AR675" s="152" t="str">
        <f t="shared" si="225"/>
        <v/>
      </c>
      <c r="AS675" s="109" t="str">
        <f t="shared" si="226"/>
        <v/>
      </c>
      <c r="AT675" s="63" t="str">
        <f t="shared" si="227"/>
        <v xml:space="preserve">                    </v>
      </c>
    </row>
    <row r="676" spans="1:46" ht="12.75" x14ac:dyDescent="0.2">
      <c r="A676" s="63" t="str">
        <f t="shared" si="209"/>
        <v/>
      </c>
      <c r="B676" s="185"/>
      <c r="C676" s="184"/>
      <c r="D676" s="184"/>
      <c r="E676" s="184"/>
      <c r="F676" s="184"/>
      <c r="G676" s="185"/>
      <c r="H676" s="185"/>
      <c r="I676" s="186"/>
      <c r="J676" s="69"/>
      <c r="AA676" s="63">
        <f t="shared" si="210"/>
        <v>0</v>
      </c>
      <c r="AB676" s="153" t="str">
        <f t="shared" si="211"/>
        <v>000</v>
      </c>
      <c r="AC676" s="165" t="str">
        <f t="shared" si="212"/>
        <v>00000000</v>
      </c>
      <c r="AD676" s="98" t="str">
        <f t="shared" si="213"/>
        <v>00000000</v>
      </c>
      <c r="AE676" s="150">
        <f t="shared" si="214"/>
        <v>0</v>
      </c>
      <c r="AF676" s="150">
        <f t="shared" si="215"/>
        <v>0</v>
      </c>
      <c r="AG676" s="98" t="str">
        <f t="shared" si="216"/>
        <v>0000000000</v>
      </c>
      <c r="AH676" s="151">
        <f t="shared" si="217"/>
        <v>0</v>
      </c>
      <c r="AI676" s="98" t="str">
        <f t="shared" si="218"/>
        <v>00</v>
      </c>
      <c r="AJ676" s="98" t="str">
        <f t="shared" si="219"/>
        <v>000000000000</v>
      </c>
      <c r="AK676" s="161" t="str">
        <f t="shared" si="220"/>
        <v xml:space="preserve">                              </v>
      </c>
      <c r="AL676" s="154">
        <f t="shared" si="221"/>
        <v>0</v>
      </c>
      <c r="AM676" s="155">
        <f t="shared" si="222"/>
        <v>0</v>
      </c>
      <c r="AP676" s="63" t="str">
        <f t="shared" si="223"/>
        <v/>
      </c>
      <c r="AQ676" s="63" t="str">
        <f t="shared" si="224"/>
        <v/>
      </c>
      <c r="AR676" s="152" t="str">
        <f t="shared" si="225"/>
        <v/>
      </c>
      <c r="AS676" s="109" t="str">
        <f t="shared" si="226"/>
        <v/>
      </c>
      <c r="AT676" s="63" t="str">
        <f t="shared" si="227"/>
        <v xml:space="preserve">                    </v>
      </c>
    </row>
    <row r="677" spans="1:46" ht="12.75" x14ac:dyDescent="0.2">
      <c r="A677" s="63" t="str">
        <f t="shared" si="209"/>
        <v/>
      </c>
      <c r="B677" s="185"/>
      <c r="C677" s="184"/>
      <c r="D677" s="184"/>
      <c r="E677" s="184"/>
      <c r="F677" s="184"/>
      <c r="G677" s="185"/>
      <c r="H677" s="185"/>
      <c r="I677" s="186"/>
      <c r="J677" s="69"/>
      <c r="AA677" s="63">
        <f t="shared" si="210"/>
        <v>0</v>
      </c>
      <c r="AB677" s="153" t="str">
        <f t="shared" si="211"/>
        <v>000</v>
      </c>
      <c r="AC677" s="165" t="str">
        <f t="shared" si="212"/>
        <v>00000000</v>
      </c>
      <c r="AD677" s="98" t="str">
        <f t="shared" si="213"/>
        <v>00000000</v>
      </c>
      <c r="AE677" s="150">
        <f t="shared" si="214"/>
        <v>0</v>
      </c>
      <c r="AF677" s="150">
        <f t="shared" si="215"/>
        <v>0</v>
      </c>
      <c r="AG677" s="98" t="str">
        <f t="shared" si="216"/>
        <v>0000000000</v>
      </c>
      <c r="AH677" s="151">
        <f t="shared" si="217"/>
        <v>0</v>
      </c>
      <c r="AI677" s="98" t="str">
        <f t="shared" si="218"/>
        <v>00</v>
      </c>
      <c r="AJ677" s="98" t="str">
        <f t="shared" si="219"/>
        <v>000000000000</v>
      </c>
      <c r="AK677" s="161" t="str">
        <f t="shared" si="220"/>
        <v xml:space="preserve">                              </v>
      </c>
      <c r="AL677" s="154">
        <f t="shared" si="221"/>
        <v>0</v>
      </c>
      <c r="AM677" s="155">
        <f t="shared" si="222"/>
        <v>0</v>
      </c>
      <c r="AP677" s="63" t="str">
        <f t="shared" si="223"/>
        <v/>
      </c>
      <c r="AQ677" s="63" t="str">
        <f t="shared" si="224"/>
        <v/>
      </c>
      <c r="AR677" s="152" t="str">
        <f t="shared" si="225"/>
        <v/>
      </c>
      <c r="AS677" s="109" t="str">
        <f t="shared" si="226"/>
        <v/>
      </c>
      <c r="AT677" s="63" t="str">
        <f t="shared" si="227"/>
        <v xml:space="preserve">                    </v>
      </c>
    </row>
    <row r="678" spans="1:46" ht="12.75" x14ac:dyDescent="0.2">
      <c r="A678" s="63" t="str">
        <f t="shared" si="209"/>
        <v/>
      </c>
      <c r="B678" s="185"/>
      <c r="C678" s="184"/>
      <c r="D678" s="184"/>
      <c r="E678" s="184"/>
      <c r="F678" s="184"/>
      <c r="G678" s="185"/>
      <c r="H678" s="185"/>
      <c r="I678" s="186"/>
      <c r="J678" s="69"/>
      <c r="AA678" s="63">
        <f t="shared" si="210"/>
        <v>0</v>
      </c>
      <c r="AB678" s="153" t="str">
        <f t="shared" si="211"/>
        <v>000</v>
      </c>
      <c r="AC678" s="165" t="str">
        <f t="shared" si="212"/>
        <v>00000000</v>
      </c>
      <c r="AD678" s="98" t="str">
        <f t="shared" si="213"/>
        <v>00000000</v>
      </c>
      <c r="AE678" s="150">
        <f t="shared" si="214"/>
        <v>0</v>
      </c>
      <c r="AF678" s="150">
        <f t="shared" si="215"/>
        <v>0</v>
      </c>
      <c r="AG678" s="98" t="str">
        <f t="shared" si="216"/>
        <v>0000000000</v>
      </c>
      <c r="AH678" s="151">
        <f t="shared" si="217"/>
        <v>0</v>
      </c>
      <c r="AI678" s="98" t="str">
        <f t="shared" si="218"/>
        <v>00</v>
      </c>
      <c r="AJ678" s="98" t="str">
        <f t="shared" si="219"/>
        <v>000000000000</v>
      </c>
      <c r="AK678" s="161" t="str">
        <f t="shared" si="220"/>
        <v xml:space="preserve">                              </v>
      </c>
      <c r="AL678" s="154">
        <f t="shared" si="221"/>
        <v>0</v>
      </c>
      <c r="AM678" s="155">
        <f t="shared" si="222"/>
        <v>0</v>
      </c>
      <c r="AP678" s="63" t="str">
        <f t="shared" si="223"/>
        <v/>
      </c>
      <c r="AQ678" s="63" t="str">
        <f t="shared" si="224"/>
        <v/>
      </c>
      <c r="AR678" s="152" t="str">
        <f t="shared" si="225"/>
        <v/>
      </c>
      <c r="AS678" s="109" t="str">
        <f t="shared" si="226"/>
        <v/>
      </c>
      <c r="AT678" s="63" t="str">
        <f t="shared" si="227"/>
        <v xml:space="preserve">                    </v>
      </c>
    </row>
    <row r="679" spans="1:46" ht="12.75" x14ac:dyDescent="0.2">
      <c r="A679" s="63" t="str">
        <f t="shared" si="209"/>
        <v/>
      </c>
      <c r="B679" s="185"/>
      <c r="C679" s="184"/>
      <c r="D679" s="184"/>
      <c r="E679" s="184"/>
      <c r="F679" s="184"/>
      <c r="G679" s="185"/>
      <c r="H679" s="185"/>
      <c r="I679" s="186"/>
      <c r="J679" s="69"/>
      <c r="AA679" s="63">
        <f t="shared" si="210"/>
        <v>0</v>
      </c>
      <c r="AB679" s="153" t="str">
        <f t="shared" si="211"/>
        <v>000</v>
      </c>
      <c r="AC679" s="165" t="str">
        <f t="shared" si="212"/>
        <v>00000000</v>
      </c>
      <c r="AD679" s="98" t="str">
        <f t="shared" si="213"/>
        <v>00000000</v>
      </c>
      <c r="AE679" s="150">
        <f t="shared" si="214"/>
        <v>0</v>
      </c>
      <c r="AF679" s="150">
        <f t="shared" si="215"/>
        <v>0</v>
      </c>
      <c r="AG679" s="98" t="str">
        <f t="shared" si="216"/>
        <v>0000000000</v>
      </c>
      <c r="AH679" s="151">
        <f t="shared" si="217"/>
        <v>0</v>
      </c>
      <c r="AI679" s="98" t="str">
        <f t="shared" si="218"/>
        <v>00</v>
      </c>
      <c r="AJ679" s="98" t="str">
        <f t="shared" si="219"/>
        <v>000000000000</v>
      </c>
      <c r="AK679" s="161" t="str">
        <f t="shared" si="220"/>
        <v xml:space="preserve">                              </v>
      </c>
      <c r="AL679" s="154">
        <f t="shared" si="221"/>
        <v>0</v>
      </c>
      <c r="AM679" s="155">
        <f t="shared" si="222"/>
        <v>0</v>
      </c>
      <c r="AP679" s="63" t="str">
        <f t="shared" si="223"/>
        <v/>
      </c>
      <c r="AQ679" s="63" t="str">
        <f t="shared" si="224"/>
        <v/>
      </c>
      <c r="AR679" s="152" t="str">
        <f t="shared" si="225"/>
        <v/>
      </c>
      <c r="AS679" s="109" t="str">
        <f t="shared" si="226"/>
        <v/>
      </c>
      <c r="AT679" s="63" t="str">
        <f t="shared" si="227"/>
        <v xml:space="preserve">                    </v>
      </c>
    </row>
    <row r="680" spans="1:46" ht="12.75" x14ac:dyDescent="0.2">
      <c r="A680" s="63" t="str">
        <f t="shared" si="209"/>
        <v/>
      </c>
      <c r="B680" s="185"/>
      <c r="C680" s="184"/>
      <c r="D680" s="184"/>
      <c r="E680" s="184"/>
      <c r="F680" s="184"/>
      <c r="G680" s="185"/>
      <c r="H680" s="185"/>
      <c r="I680" s="186"/>
      <c r="J680" s="69"/>
      <c r="AA680" s="63">
        <f t="shared" si="210"/>
        <v>0</v>
      </c>
      <c r="AB680" s="153" t="str">
        <f t="shared" si="211"/>
        <v>000</v>
      </c>
      <c r="AC680" s="165" t="str">
        <f t="shared" si="212"/>
        <v>00000000</v>
      </c>
      <c r="AD680" s="98" t="str">
        <f t="shared" si="213"/>
        <v>00000000</v>
      </c>
      <c r="AE680" s="150">
        <f t="shared" si="214"/>
        <v>0</v>
      </c>
      <c r="AF680" s="150">
        <f t="shared" si="215"/>
        <v>0</v>
      </c>
      <c r="AG680" s="98" t="str">
        <f t="shared" si="216"/>
        <v>0000000000</v>
      </c>
      <c r="AH680" s="151">
        <f t="shared" si="217"/>
        <v>0</v>
      </c>
      <c r="AI680" s="98" t="str">
        <f t="shared" si="218"/>
        <v>00</v>
      </c>
      <c r="AJ680" s="98" t="str">
        <f t="shared" si="219"/>
        <v>000000000000</v>
      </c>
      <c r="AK680" s="161" t="str">
        <f t="shared" si="220"/>
        <v xml:space="preserve">                              </v>
      </c>
      <c r="AL680" s="154">
        <f t="shared" si="221"/>
        <v>0</v>
      </c>
      <c r="AM680" s="155">
        <f t="shared" si="222"/>
        <v>0</v>
      </c>
      <c r="AP680" s="63" t="str">
        <f t="shared" si="223"/>
        <v/>
      </c>
      <c r="AQ680" s="63" t="str">
        <f t="shared" si="224"/>
        <v/>
      </c>
      <c r="AR680" s="152" t="str">
        <f t="shared" si="225"/>
        <v/>
      </c>
      <c r="AS680" s="109" t="str">
        <f t="shared" si="226"/>
        <v/>
      </c>
      <c r="AT680" s="63" t="str">
        <f t="shared" si="227"/>
        <v xml:space="preserve">                    </v>
      </c>
    </row>
    <row r="681" spans="1:46" ht="12.75" x14ac:dyDescent="0.2">
      <c r="A681" s="63" t="str">
        <f t="shared" si="209"/>
        <v/>
      </c>
      <c r="B681" s="185"/>
      <c r="C681" s="184"/>
      <c r="D681" s="184"/>
      <c r="E681" s="184"/>
      <c r="F681" s="184"/>
      <c r="G681" s="185"/>
      <c r="H681" s="185"/>
      <c r="I681" s="186"/>
      <c r="J681" s="69"/>
      <c r="AA681" s="63">
        <f t="shared" si="210"/>
        <v>0</v>
      </c>
      <c r="AB681" s="153" t="str">
        <f t="shared" si="211"/>
        <v>000</v>
      </c>
      <c r="AC681" s="165" t="str">
        <f t="shared" si="212"/>
        <v>00000000</v>
      </c>
      <c r="AD681" s="98" t="str">
        <f t="shared" si="213"/>
        <v>00000000</v>
      </c>
      <c r="AE681" s="150">
        <f t="shared" si="214"/>
        <v>0</v>
      </c>
      <c r="AF681" s="150">
        <f t="shared" si="215"/>
        <v>0</v>
      </c>
      <c r="AG681" s="98" t="str">
        <f t="shared" si="216"/>
        <v>0000000000</v>
      </c>
      <c r="AH681" s="151">
        <f t="shared" si="217"/>
        <v>0</v>
      </c>
      <c r="AI681" s="98" t="str">
        <f t="shared" si="218"/>
        <v>00</v>
      </c>
      <c r="AJ681" s="98" t="str">
        <f t="shared" si="219"/>
        <v>000000000000</v>
      </c>
      <c r="AK681" s="161" t="str">
        <f t="shared" si="220"/>
        <v xml:space="preserve">                              </v>
      </c>
      <c r="AL681" s="154">
        <f t="shared" si="221"/>
        <v>0</v>
      </c>
      <c r="AM681" s="155">
        <f t="shared" si="222"/>
        <v>0</v>
      </c>
      <c r="AP681" s="63" t="str">
        <f t="shared" si="223"/>
        <v/>
      </c>
      <c r="AQ681" s="63" t="str">
        <f t="shared" si="224"/>
        <v/>
      </c>
      <c r="AR681" s="152" t="str">
        <f t="shared" si="225"/>
        <v/>
      </c>
      <c r="AS681" s="109" t="str">
        <f t="shared" si="226"/>
        <v/>
      </c>
      <c r="AT681" s="63" t="str">
        <f t="shared" si="227"/>
        <v xml:space="preserve">                    </v>
      </c>
    </row>
    <row r="682" spans="1:46" ht="12.75" x14ac:dyDescent="0.2">
      <c r="A682" s="63" t="str">
        <f t="shared" si="209"/>
        <v/>
      </c>
      <c r="B682" s="185"/>
      <c r="C682" s="184"/>
      <c r="D682" s="184"/>
      <c r="E682" s="184"/>
      <c r="F682" s="184"/>
      <c r="G682" s="185"/>
      <c r="H682" s="185"/>
      <c r="I682" s="186"/>
      <c r="J682" s="69"/>
      <c r="AA682" s="63">
        <f t="shared" si="210"/>
        <v>0</v>
      </c>
      <c r="AB682" s="153" t="str">
        <f t="shared" si="211"/>
        <v>000</v>
      </c>
      <c r="AC682" s="165" t="str">
        <f t="shared" si="212"/>
        <v>00000000</v>
      </c>
      <c r="AD682" s="98" t="str">
        <f t="shared" si="213"/>
        <v>00000000</v>
      </c>
      <c r="AE682" s="150">
        <f t="shared" si="214"/>
        <v>0</v>
      </c>
      <c r="AF682" s="150">
        <f t="shared" si="215"/>
        <v>0</v>
      </c>
      <c r="AG682" s="98" t="str">
        <f t="shared" si="216"/>
        <v>0000000000</v>
      </c>
      <c r="AH682" s="151">
        <f t="shared" si="217"/>
        <v>0</v>
      </c>
      <c r="AI682" s="98" t="str">
        <f t="shared" si="218"/>
        <v>00</v>
      </c>
      <c r="AJ682" s="98" t="str">
        <f t="shared" si="219"/>
        <v>000000000000</v>
      </c>
      <c r="AK682" s="161" t="str">
        <f t="shared" si="220"/>
        <v xml:space="preserve">                              </v>
      </c>
      <c r="AL682" s="154">
        <f t="shared" si="221"/>
        <v>0</v>
      </c>
      <c r="AM682" s="155">
        <f t="shared" si="222"/>
        <v>0</v>
      </c>
      <c r="AP682" s="63" t="str">
        <f t="shared" si="223"/>
        <v/>
      </c>
      <c r="AQ682" s="63" t="str">
        <f t="shared" si="224"/>
        <v/>
      </c>
      <c r="AR682" s="152" t="str">
        <f t="shared" si="225"/>
        <v/>
      </c>
      <c r="AS682" s="109" t="str">
        <f t="shared" si="226"/>
        <v/>
      </c>
      <c r="AT682" s="63" t="str">
        <f t="shared" si="227"/>
        <v xml:space="preserve">                    </v>
      </c>
    </row>
    <row r="683" spans="1:46" ht="12.75" x14ac:dyDescent="0.2">
      <c r="A683" s="63" t="str">
        <f t="shared" si="209"/>
        <v/>
      </c>
      <c r="B683" s="185"/>
      <c r="C683" s="184"/>
      <c r="D683" s="184"/>
      <c r="E683" s="184"/>
      <c r="F683" s="184"/>
      <c r="G683" s="185"/>
      <c r="H683" s="185"/>
      <c r="I683" s="186"/>
      <c r="J683" s="69"/>
      <c r="AA683" s="63">
        <f t="shared" si="210"/>
        <v>0</v>
      </c>
      <c r="AB683" s="153" t="str">
        <f t="shared" si="211"/>
        <v>000</v>
      </c>
      <c r="AC683" s="165" t="str">
        <f t="shared" si="212"/>
        <v>00000000</v>
      </c>
      <c r="AD683" s="98" t="str">
        <f t="shared" si="213"/>
        <v>00000000</v>
      </c>
      <c r="AE683" s="150">
        <f t="shared" si="214"/>
        <v>0</v>
      </c>
      <c r="AF683" s="150">
        <f t="shared" si="215"/>
        <v>0</v>
      </c>
      <c r="AG683" s="98" t="str">
        <f t="shared" si="216"/>
        <v>0000000000</v>
      </c>
      <c r="AH683" s="151">
        <f t="shared" si="217"/>
        <v>0</v>
      </c>
      <c r="AI683" s="98" t="str">
        <f t="shared" si="218"/>
        <v>00</v>
      </c>
      <c r="AJ683" s="98" t="str">
        <f t="shared" si="219"/>
        <v>000000000000</v>
      </c>
      <c r="AK683" s="161" t="str">
        <f t="shared" si="220"/>
        <v xml:space="preserve">                              </v>
      </c>
      <c r="AL683" s="154">
        <f t="shared" si="221"/>
        <v>0</v>
      </c>
      <c r="AM683" s="155">
        <f t="shared" si="222"/>
        <v>0</v>
      </c>
      <c r="AP683" s="63" t="str">
        <f t="shared" si="223"/>
        <v/>
      </c>
      <c r="AQ683" s="63" t="str">
        <f t="shared" si="224"/>
        <v/>
      </c>
      <c r="AR683" s="152" t="str">
        <f t="shared" si="225"/>
        <v/>
      </c>
      <c r="AS683" s="109" t="str">
        <f t="shared" si="226"/>
        <v/>
      </c>
      <c r="AT683" s="63" t="str">
        <f t="shared" si="227"/>
        <v xml:space="preserve">                    </v>
      </c>
    </row>
    <row r="684" spans="1:46" ht="12.75" x14ac:dyDescent="0.2">
      <c r="A684" s="63" t="str">
        <f t="shared" si="209"/>
        <v/>
      </c>
      <c r="B684" s="185"/>
      <c r="C684" s="184"/>
      <c r="D684" s="184"/>
      <c r="E684" s="184"/>
      <c r="F684" s="184"/>
      <c r="G684" s="185"/>
      <c r="H684" s="185"/>
      <c r="I684" s="186"/>
      <c r="J684" s="69"/>
      <c r="AA684" s="63">
        <f t="shared" si="210"/>
        <v>0</v>
      </c>
      <c r="AB684" s="153" t="str">
        <f t="shared" si="211"/>
        <v>000</v>
      </c>
      <c r="AC684" s="165" t="str">
        <f t="shared" si="212"/>
        <v>00000000</v>
      </c>
      <c r="AD684" s="98" t="str">
        <f t="shared" si="213"/>
        <v>00000000</v>
      </c>
      <c r="AE684" s="150">
        <f t="shared" si="214"/>
        <v>0</v>
      </c>
      <c r="AF684" s="150">
        <f t="shared" si="215"/>
        <v>0</v>
      </c>
      <c r="AG684" s="98" t="str">
        <f t="shared" si="216"/>
        <v>0000000000</v>
      </c>
      <c r="AH684" s="151">
        <f t="shared" si="217"/>
        <v>0</v>
      </c>
      <c r="AI684" s="98" t="str">
        <f t="shared" si="218"/>
        <v>00</v>
      </c>
      <c r="AJ684" s="98" t="str">
        <f t="shared" si="219"/>
        <v>000000000000</v>
      </c>
      <c r="AK684" s="161" t="str">
        <f t="shared" si="220"/>
        <v xml:space="preserve">                              </v>
      </c>
      <c r="AL684" s="154">
        <f t="shared" si="221"/>
        <v>0</v>
      </c>
      <c r="AM684" s="155">
        <f t="shared" si="222"/>
        <v>0</v>
      </c>
      <c r="AP684" s="63" t="str">
        <f t="shared" si="223"/>
        <v/>
      </c>
      <c r="AQ684" s="63" t="str">
        <f t="shared" si="224"/>
        <v/>
      </c>
      <c r="AR684" s="152" t="str">
        <f t="shared" si="225"/>
        <v/>
      </c>
      <c r="AS684" s="109" t="str">
        <f t="shared" si="226"/>
        <v/>
      </c>
      <c r="AT684" s="63" t="str">
        <f t="shared" si="227"/>
        <v xml:space="preserve">                    </v>
      </c>
    </row>
    <row r="685" spans="1:46" ht="12.75" x14ac:dyDescent="0.2">
      <c r="A685" s="63" t="str">
        <f t="shared" si="209"/>
        <v/>
      </c>
      <c r="B685" s="185"/>
      <c r="C685" s="184"/>
      <c r="D685" s="184"/>
      <c r="E685" s="184"/>
      <c r="F685" s="184"/>
      <c r="G685" s="185"/>
      <c r="H685" s="185"/>
      <c r="I685" s="186"/>
      <c r="J685" s="69"/>
      <c r="AA685" s="63">
        <f t="shared" si="210"/>
        <v>0</v>
      </c>
      <c r="AB685" s="153" t="str">
        <f t="shared" si="211"/>
        <v>000</v>
      </c>
      <c r="AC685" s="165" t="str">
        <f t="shared" si="212"/>
        <v>00000000</v>
      </c>
      <c r="AD685" s="98" t="str">
        <f t="shared" si="213"/>
        <v>00000000</v>
      </c>
      <c r="AE685" s="150">
        <f t="shared" si="214"/>
        <v>0</v>
      </c>
      <c r="AF685" s="150">
        <f t="shared" si="215"/>
        <v>0</v>
      </c>
      <c r="AG685" s="98" t="str">
        <f t="shared" si="216"/>
        <v>0000000000</v>
      </c>
      <c r="AH685" s="151">
        <f t="shared" si="217"/>
        <v>0</v>
      </c>
      <c r="AI685" s="98" t="str">
        <f t="shared" si="218"/>
        <v>00</v>
      </c>
      <c r="AJ685" s="98" t="str">
        <f t="shared" si="219"/>
        <v>000000000000</v>
      </c>
      <c r="AK685" s="161" t="str">
        <f t="shared" si="220"/>
        <v xml:space="preserve">                              </v>
      </c>
      <c r="AL685" s="154">
        <f t="shared" si="221"/>
        <v>0</v>
      </c>
      <c r="AM685" s="155">
        <f t="shared" si="222"/>
        <v>0</v>
      </c>
      <c r="AP685" s="63" t="str">
        <f t="shared" si="223"/>
        <v/>
      </c>
      <c r="AQ685" s="63" t="str">
        <f t="shared" si="224"/>
        <v/>
      </c>
      <c r="AR685" s="152" t="str">
        <f t="shared" si="225"/>
        <v/>
      </c>
      <c r="AS685" s="109" t="str">
        <f t="shared" si="226"/>
        <v/>
      </c>
      <c r="AT685" s="63" t="str">
        <f t="shared" si="227"/>
        <v xml:space="preserve">                    </v>
      </c>
    </row>
    <row r="686" spans="1:46" ht="12.75" x14ac:dyDescent="0.2">
      <c r="A686" s="63" t="str">
        <f t="shared" si="209"/>
        <v/>
      </c>
      <c r="B686" s="185"/>
      <c r="C686" s="184"/>
      <c r="D686" s="184"/>
      <c r="E686" s="184"/>
      <c r="F686" s="184"/>
      <c r="G686" s="185"/>
      <c r="H686" s="185"/>
      <c r="I686" s="186"/>
      <c r="J686" s="69"/>
      <c r="AA686" s="63">
        <f t="shared" si="210"/>
        <v>0</v>
      </c>
      <c r="AB686" s="153" t="str">
        <f t="shared" si="211"/>
        <v>000</v>
      </c>
      <c r="AC686" s="165" t="str">
        <f t="shared" si="212"/>
        <v>00000000</v>
      </c>
      <c r="AD686" s="98" t="str">
        <f t="shared" si="213"/>
        <v>00000000</v>
      </c>
      <c r="AE686" s="150">
        <f t="shared" si="214"/>
        <v>0</v>
      </c>
      <c r="AF686" s="150">
        <f t="shared" si="215"/>
        <v>0</v>
      </c>
      <c r="AG686" s="98" t="str">
        <f t="shared" si="216"/>
        <v>0000000000</v>
      </c>
      <c r="AH686" s="151">
        <f t="shared" si="217"/>
        <v>0</v>
      </c>
      <c r="AI686" s="98" t="str">
        <f t="shared" si="218"/>
        <v>00</v>
      </c>
      <c r="AJ686" s="98" t="str">
        <f t="shared" si="219"/>
        <v>000000000000</v>
      </c>
      <c r="AK686" s="161" t="str">
        <f t="shared" si="220"/>
        <v xml:space="preserve">                              </v>
      </c>
      <c r="AL686" s="154">
        <f t="shared" si="221"/>
        <v>0</v>
      </c>
      <c r="AM686" s="155">
        <f t="shared" si="222"/>
        <v>0</v>
      </c>
      <c r="AP686" s="63" t="str">
        <f t="shared" si="223"/>
        <v/>
      </c>
      <c r="AQ686" s="63" t="str">
        <f t="shared" si="224"/>
        <v/>
      </c>
      <c r="AR686" s="152" t="str">
        <f t="shared" si="225"/>
        <v/>
      </c>
      <c r="AS686" s="109" t="str">
        <f t="shared" si="226"/>
        <v/>
      </c>
      <c r="AT686" s="63" t="str">
        <f t="shared" si="227"/>
        <v xml:space="preserve">                    </v>
      </c>
    </row>
    <row r="687" spans="1:46" ht="12.75" x14ac:dyDescent="0.2">
      <c r="A687" s="63" t="str">
        <f t="shared" si="209"/>
        <v/>
      </c>
      <c r="B687" s="185"/>
      <c r="C687" s="184"/>
      <c r="D687" s="184"/>
      <c r="E687" s="184"/>
      <c r="F687" s="184"/>
      <c r="G687" s="185"/>
      <c r="H687" s="185"/>
      <c r="I687" s="186"/>
      <c r="J687" s="69"/>
      <c r="AA687" s="63">
        <f t="shared" si="210"/>
        <v>0</v>
      </c>
      <c r="AB687" s="153" t="str">
        <f t="shared" si="211"/>
        <v>000</v>
      </c>
      <c r="AC687" s="165" t="str">
        <f t="shared" si="212"/>
        <v>00000000</v>
      </c>
      <c r="AD687" s="98" t="str">
        <f t="shared" si="213"/>
        <v>00000000</v>
      </c>
      <c r="AE687" s="150">
        <f t="shared" si="214"/>
        <v>0</v>
      </c>
      <c r="AF687" s="150">
        <f t="shared" si="215"/>
        <v>0</v>
      </c>
      <c r="AG687" s="98" t="str">
        <f t="shared" si="216"/>
        <v>0000000000</v>
      </c>
      <c r="AH687" s="151">
        <f t="shared" si="217"/>
        <v>0</v>
      </c>
      <c r="AI687" s="98" t="str">
        <f t="shared" si="218"/>
        <v>00</v>
      </c>
      <c r="AJ687" s="98" t="str">
        <f t="shared" si="219"/>
        <v>000000000000</v>
      </c>
      <c r="AK687" s="161" t="str">
        <f t="shared" si="220"/>
        <v xml:space="preserve">                              </v>
      </c>
      <c r="AL687" s="154">
        <f t="shared" si="221"/>
        <v>0</v>
      </c>
      <c r="AM687" s="155">
        <f t="shared" si="222"/>
        <v>0</v>
      </c>
      <c r="AP687" s="63" t="str">
        <f t="shared" si="223"/>
        <v/>
      </c>
      <c r="AQ687" s="63" t="str">
        <f t="shared" si="224"/>
        <v/>
      </c>
      <c r="AR687" s="152" t="str">
        <f t="shared" si="225"/>
        <v/>
      </c>
      <c r="AS687" s="109" t="str">
        <f t="shared" si="226"/>
        <v/>
      </c>
      <c r="AT687" s="63" t="str">
        <f t="shared" si="227"/>
        <v xml:space="preserve">                    </v>
      </c>
    </row>
    <row r="688" spans="1:46" ht="12.75" x14ac:dyDescent="0.2">
      <c r="A688" s="63" t="str">
        <f t="shared" si="209"/>
        <v/>
      </c>
      <c r="B688" s="185"/>
      <c r="C688" s="184"/>
      <c r="D688" s="184"/>
      <c r="E688" s="184"/>
      <c r="F688" s="184"/>
      <c r="G688" s="185"/>
      <c r="H688" s="185"/>
      <c r="I688" s="186"/>
      <c r="J688" s="69"/>
      <c r="AA688" s="63">
        <f t="shared" si="210"/>
        <v>0</v>
      </c>
      <c r="AB688" s="153" t="str">
        <f t="shared" si="211"/>
        <v>000</v>
      </c>
      <c r="AC688" s="165" t="str">
        <f t="shared" si="212"/>
        <v>00000000</v>
      </c>
      <c r="AD688" s="98" t="str">
        <f t="shared" si="213"/>
        <v>00000000</v>
      </c>
      <c r="AE688" s="150">
        <f t="shared" si="214"/>
        <v>0</v>
      </c>
      <c r="AF688" s="150">
        <f t="shared" si="215"/>
        <v>0</v>
      </c>
      <c r="AG688" s="98" t="str">
        <f t="shared" si="216"/>
        <v>0000000000</v>
      </c>
      <c r="AH688" s="151">
        <f t="shared" si="217"/>
        <v>0</v>
      </c>
      <c r="AI688" s="98" t="str">
        <f t="shared" si="218"/>
        <v>00</v>
      </c>
      <c r="AJ688" s="98" t="str">
        <f t="shared" si="219"/>
        <v>000000000000</v>
      </c>
      <c r="AK688" s="161" t="str">
        <f t="shared" si="220"/>
        <v xml:space="preserve">                              </v>
      </c>
      <c r="AL688" s="154">
        <f t="shared" si="221"/>
        <v>0</v>
      </c>
      <c r="AM688" s="155">
        <f t="shared" si="222"/>
        <v>0</v>
      </c>
      <c r="AP688" s="63" t="str">
        <f t="shared" si="223"/>
        <v/>
      </c>
      <c r="AQ688" s="63" t="str">
        <f t="shared" si="224"/>
        <v/>
      </c>
      <c r="AR688" s="152" t="str">
        <f t="shared" si="225"/>
        <v/>
      </c>
      <c r="AS688" s="109" t="str">
        <f t="shared" si="226"/>
        <v/>
      </c>
      <c r="AT688" s="63" t="str">
        <f t="shared" si="227"/>
        <v xml:space="preserve">                    </v>
      </c>
    </row>
    <row r="689" spans="1:46" ht="12.75" x14ac:dyDescent="0.2">
      <c r="A689" s="63" t="str">
        <f t="shared" si="209"/>
        <v/>
      </c>
      <c r="B689" s="185"/>
      <c r="C689" s="184"/>
      <c r="D689" s="184"/>
      <c r="E689" s="184"/>
      <c r="F689" s="184"/>
      <c r="G689" s="185"/>
      <c r="H689" s="185"/>
      <c r="I689" s="186"/>
      <c r="J689" s="69"/>
      <c r="AA689" s="63">
        <f t="shared" si="210"/>
        <v>0</v>
      </c>
      <c r="AB689" s="153" t="str">
        <f t="shared" si="211"/>
        <v>000</v>
      </c>
      <c r="AC689" s="165" t="str">
        <f t="shared" si="212"/>
        <v>00000000</v>
      </c>
      <c r="AD689" s="98" t="str">
        <f t="shared" si="213"/>
        <v>00000000</v>
      </c>
      <c r="AE689" s="150">
        <f t="shared" si="214"/>
        <v>0</v>
      </c>
      <c r="AF689" s="150">
        <f t="shared" si="215"/>
        <v>0</v>
      </c>
      <c r="AG689" s="98" t="str">
        <f t="shared" si="216"/>
        <v>0000000000</v>
      </c>
      <c r="AH689" s="151">
        <f t="shared" si="217"/>
        <v>0</v>
      </c>
      <c r="AI689" s="98" t="str">
        <f t="shared" si="218"/>
        <v>00</v>
      </c>
      <c r="AJ689" s="98" t="str">
        <f t="shared" si="219"/>
        <v>000000000000</v>
      </c>
      <c r="AK689" s="161" t="str">
        <f t="shared" si="220"/>
        <v xml:space="preserve">                              </v>
      </c>
      <c r="AL689" s="154">
        <f t="shared" si="221"/>
        <v>0</v>
      </c>
      <c r="AM689" s="155">
        <f t="shared" si="222"/>
        <v>0</v>
      </c>
      <c r="AP689" s="63" t="str">
        <f t="shared" si="223"/>
        <v/>
      </c>
      <c r="AQ689" s="63" t="str">
        <f t="shared" si="224"/>
        <v/>
      </c>
      <c r="AR689" s="152" t="str">
        <f t="shared" si="225"/>
        <v/>
      </c>
      <c r="AS689" s="109" t="str">
        <f t="shared" si="226"/>
        <v/>
      </c>
      <c r="AT689" s="63" t="str">
        <f t="shared" si="227"/>
        <v xml:space="preserve">                    </v>
      </c>
    </row>
    <row r="690" spans="1:46" ht="12.75" x14ac:dyDescent="0.2">
      <c r="A690" s="63" t="str">
        <f t="shared" si="209"/>
        <v/>
      </c>
      <c r="B690" s="185"/>
      <c r="C690" s="184"/>
      <c r="D690" s="184"/>
      <c r="E690" s="184"/>
      <c r="F690" s="184"/>
      <c r="G690" s="185"/>
      <c r="H690" s="185"/>
      <c r="I690" s="186"/>
      <c r="J690" s="69"/>
      <c r="AA690" s="63">
        <f t="shared" si="210"/>
        <v>0</v>
      </c>
      <c r="AB690" s="153" t="str">
        <f t="shared" si="211"/>
        <v>000</v>
      </c>
      <c r="AC690" s="165" t="str">
        <f t="shared" si="212"/>
        <v>00000000</v>
      </c>
      <c r="AD690" s="98" t="str">
        <f t="shared" si="213"/>
        <v>00000000</v>
      </c>
      <c r="AE690" s="150">
        <f t="shared" si="214"/>
        <v>0</v>
      </c>
      <c r="AF690" s="150">
        <f t="shared" si="215"/>
        <v>0</v>
      </c>
      <c r="AG690" s="98" t="str">
        <f t="shared" si="216"/>
        <v>0000000000</v>
      </c>
      <c r="AH690" s="151">
        <f t="shared" si="217"/>
        <v>0</v>
      </c>
      <c r="AI690" s="98" t="str">
        <f t="shared" si="218"/>
        <v>00</v>
      </c>
      <c r="AJ690" s="98" t="str">
        <f t="shared" si="219"/>
        <v>000000000000</v>
      </c>
      <c r="AK690" s="161" t="str">
        <f t="shared" si="220"/>
        <v xml:space="preserve">                              </v>
      </c>
      <c r="AL690" s="154">
        <f t="shared" si="221"/>
        <v>0</v>
      </c>
      <c r="AM690" s="155">
        <f t="shared" si="222"/>
        <v>0</v>
      </c>
      <c r="AP690" s="63" t="str">
        <f t="shared" si="223"/>
        <v/>
      </c>
      <c r="AQ690" s="63" t="str">
        <f t="shared" si="224"/>
        <v/>
      </c>
      <c r="AR690" s="152" t="str">
        <f t="shared" si="225"/>
        <v/>
      </c>
      <c r="AS690" s="109" t="str">
        <f t="shared" si="226"/>
        <v/>
      </c>
      <c r="AT690" s="63" t="str">
        <f t="shared" si="227"/>
        <v xml:space="preserve">                    </v>
      </c>
    </row>
    <row r="691" spans="1:46" ht="12.75" x14ac:dyDescent="0.2">
      <c r="A691" s="63" t="str">
        <f t="shared" si="209"/>
        <v/>
      </c>
      <c r="B691" s="185"/>
      <c r="C691" s="184"/>
      <c r="D691" s="184"/>
      <c r="E691" s="184"/>
      <c r="F691" s="184"/>
      <c r="G691" s="185"/>
      <c r="H691" s="185"/>
      <c r="I691" s="186"/>
      <c r="J691" s="69"/>
      <c r="AA691" s="63">
        <f t="shared" si="210"/>
        <v>0</v>
      </c>
      <c r="AB691" s="153" t="str">
        <f t="shared" si="211"/>
        <v>000</v>
      </c>
      <c r="AC691" s="165" t="str">
        <f t="shared" si="212"/>
        <v>00000000</v>
      </c>
      <c r="AD691" s="98" t="str">
        <f t="shared" si="213"/>
        <v>00000000</v>
      </c>
      <c r="AE691" s="150">
        <f t="shared" si="214"/>
        <v>0</v>
      </c>
      <c r="AF691" s="150">
        <f t="shared" si="215"/>
        <v>0</v>
      </c>
      <c r="AG691" s="98" t="str">
        <f t="shared" si="216"/>
        <v>0000000000</v>
      </c>
      <c r="AH691" s="151">
        <f t="shared" si="217"/>
        <v>0</v>
      </c>
      <c r="AI691" s="98" t="str">
        <f t="shared" si="218"/>
        <v>00</v>
      </c>
      <c r="AJ691" s="98" t="str">
        <f t="shared" si="219"/>
        <v>000000000000</v>
      </c>
      <c r="AK691" s="161" t="str">
        <f t="shared" si="220"/>
        <v xml:space="preserve">                              </v>
      </c>
      <c r="AL691" s="154">
        <f t="shared" si="221"/>
        <v>0</v>
      </c>
      <c r="AM691" s="155">
        <f t="shared" si="222"/>
        <v>0</v>
      </c>
      <c r="AP691" s="63" t="str">
        <f t="shared" si="223"/>
        <v/>
      </c>
      <c r="AQ691" s="63" t="str">
        <f t="shared" si="224"/>
        <v/>
      </c>
      <c r="AR691" s="152" t="str">
        <f t="shared" si="225"/>
        <v/>
      </c>
      <c r="AS691" s="109" t="str">
        <f t="shared" si="226"/>
        <v/>
      </c>
      <c r="AT691" s="63" t="str">
        <f t="shared" si="227"/>
        <v xml:space="preserve">                    </v>
      </c>
    </row>
    <row r="692" spans="1:46" ht="12.75" x14ac:dyDescent="0.2">
      <c r="A692" s="63" t="str">
        <f t="shared" si="209"/>
        <v/>
      </c>
      <c r="B692" s="185"/>
      <c r="C692" s="184"/>
      <c r="D692" s="184"/>
      <c r="E692" s="184"/>
      <c r="F692" s="184"/>
      <c r="G692" s="185"/>
      <c r="H692" s="185"/>
      <c r="I692" s="186"/>
      <c r="J692" s="69"/>
      <c r="AA692" s="63">
        <f t="shared" si="210"/>
        <v>0</v>
      </c>
      <c r="AB692" s="153" t="str">
        <f t="shared" si="211"/>
        <v>000</v>
      </c>
      <c r="AC692" s="165" t="str">
        <f t="shared" si="212"/>
        <v>00000000</v>
      </c>
      <c r="AD692" s="98" t="str">
        <f t="shared" si="213"/>
        <v>00000000</v>
      </c>
      <c r="AE692" s="150">
        <f t="shared" si="214"/>
        <v>0</v>
      </c>
      <c r="AF692" s="150">
        <f t="shared" si="215"/>
        <v>0</v>
      </c>
      <c r="AG692" s="98" t="str">
        <f t="shared" si="216"/>
        <v>0000000000</v>
      </c>
      <c r="AH692" s="151">
        <f t="shared" si="217"/>
        <v>0</v>
      </c>
      <c r="AI692" s="98" t="str">
        <f t="shared" si="218"/>
        <v>00</v>
      </c>
      <c r="AJ692" s="98" t="str">
        <f t="shared" si="219"/>
        <v>000000000000</v>
      </c>
      <c r="AK692" s="161" t="str">
        <f t="shared" si="220"/>
        <v xml:space="preserve">                              </v>
      </c>
      <c r="AL692" s="154">
        <f t="shared" si="221"/>
        <v>0</v>
      </c>
      <c r="AM692" s="155">
        <f t="shared" si="222"/>
        <v>0</v>
      </c>
      <c r="AP692" s="63" t="str">
        <f t="shared" si="223"/>
        <v/>
      </c>
      <c r="AQ692" s="63" t="str">
        <f t="shared" si="224"/>
        <v/>
      </c>
      <c r="AR692" s="152" t="str">
        <f t="shared" si="225"/>
        <v/>
      </c>
      <c r="AS692" s="109" t="str">
        <f t="shared" si="226"/>
        <v/>
      </c>
      <c r="AT692" s="63" t="str">
        <f t="shared" si="227"/>
        <v xml:space="preserve">                    </v>
      </c>
    </row>
    <row r="693" spans="1:46" ht="12.75" x14ac:dyDescent="0.2">
      <c r="A693" s="63" t="str">
        <f t="shared" si="209"/>
        <v/>
      </c>
      <c r="B693" s="185"/>
      <c r="C693" s="184"/>
      <c r="D693" s="184"/>
      <c r="E693" s="184"/>
      <c r="F693" s="184"/>
      <c r="G693" s="185"/>
      <c r="H693" s="185"/>
      <c r="I693" s="186"/>
      <c r="J693" s="69"/>
      <c r="AA693" s="63">
        <f t="shared" si="210"/>
        <v>0</v>
      </c>
      <c r="AB693" s="153" t="str">
        <f t="shared" si="211"/>
        <v>000</v>
      </c>
      <c r="AC693" s="165" t="str">
        <f t="shared" si="212"/>
        <v>00000000</v>
      </c>
      <c r="AD693" s="98" t="str">
        <f t="shared" si="213"/>
        <v>00000000</v>
      </c>
      <c r="AE693" s="150">
        <f t="shared" si="214"/>
        <v>0</v>
      </c>
      <c r="AF693" s="150">
        <f t="shared" si="215"/>
        <v>0</v>
      </c>
      <c r="AG693" s="98" t="str">
        <f t="shared" si="216"/>
        <v>0000000000</v>
      </c>
      <c r="AH693" s="151">
        <f t="shared" si="217"/>
        <v>0</v>
      </c>
      <c r="AI693" s="98" t="str">
        <f t="shared" si="218"/>
        <v>00</v>
      </c>
      <c r="AJ693" s="98" t="str">
        <f t="shared" si="219"/>
        <v>000000000000</v>
      </c>
      <c r="AK693" s="161" t="str">
        <f t="shared" si="220"/>
        <v xml:space="preserve">                              </v>
      </c>
      <c r="AL693" s="154">
        <f t="shared" si="221"/>
        <v>0</v>
      </c>
      <c r="AM693" s="155">
        <f t="shared" si="222"/>
        <v>0</v>
      </c>
      <c r="AP693" s="63" t="str">
        <f t="shared" si="223"/>
        <v/>
      </c>
      <c r="AQ693" s="63" t="str">
        <f t="shared" si="224"/>
        <v/>
      </c>
      <c r="AR693" s="152" t="str">
        <f t="shared" si="225"/>
        <v/>
      </c>
      <c r="AS693" s="109" t="str">
        <f t="shared" si="226"/>
        <v/>
      </c>
      <c r="AT693" s="63" t="str">
        <f t="shared" si="227"/>
        <v xml:space="preserve">                    </v>
      </c>
    </row>
    <row r="694" spans="1:46" ht="12.75" x14ac:dyDescent="0.2">
      <c r="A694" s="63" t="str">
        <f t="shared" si="209"/>
        <v/>
      </c>
      <c r="B694" s="185"/>
      <c r="C694" s="184"/>
      <c r="D694" s="184"/>
      <c r="E694" s="184"/>
      <c r="F694" s="184"/>
      <c r="G694" s="185"/>
      <c r="H694" s="185"/>
      <c r="I694" s="186"/>
      <c r="J694" s="69"/>
      <c r="AA694" s="63">
        <f t="shared" si="210"/>
        <v>0</v>
      </c>
      <c r="AB694" s="153" t="str">
        <f t="shared" si="211"/>
        <v>000</v>
      </c>
      <c r="AC694" s="165" t="str">
        <f t="shared" si="212"/>
        <v>00000000</v>
      </c>
      <c r="AD694" s="98" t="str">
        <f t="shared" si="213"/>
        <v>00000000</v>
      </c>
      <c r="AE694" s="150">
        <f t="shared" si="214"/>
        <v>0</v>
      </c>
      <c r="AF694" s="150">
        <f t="shared" si="215"/>
        <v>0</v>
      </c>
      <c r="AG694" s="98" t="str">
        <f t="shared" si="216"/>
        <v>0000000000</v>
      </c>
      <c r="AH694" s="151">
        <f t="shared" si="217"/>
        <v>0</v>
      </c>
      <c r="AI694" s="98" t="str">
        <f t="shared" si="218"/>
        <v>00</v>
      </c>
      <c r="AJ694" s="98" t="str">
        <f t="shared" si="219"/>
        <v>000000000000</v>
      </c>
      <c r="AK694" s="161" t="str">
        <f t="shared" si="220"/>
        <v xml:space="preserve">                              </v>
      </c>
      <c r="AL694" s="154">
        <f t="shared" si="221"/>
        <v>0</v>
      </c>
      <c r="AM694" s="155">
        <f t="shared" si="222"/>
        <v>0</v>
      </c>
      <c r="AP694" s="63" t="str">
        <f t="shared" si="223"/>
        <v/>
      </c>
      <c r="AQ694" s="63" t="str">
        <f t="shared" si="224"/>
        <v/>
      </c>
      <c r="AR694" s="152" t="str">
        <f t="shared" si="225"/>
        <v/>
      </c>
      <c r="AS694" s="109" t="str">
        <f t="shared" si="226"/>
        <v/>
      </c>
      <c r="AT694" s="63" t="str">
        <f t="shared" si="227"/>
        <v xml:space="preserve">                    </v>
      </c>
    </row>
    <row r="695" spans="1:46" ht="12.75" x14ac:dyDescent="0.2">
      <c r="A695" s="63" t="str">
        <f t="shared" si="209"/>
        <v/>
      </c>
      <c r="B695" s="185"/>
      <c r="C695" s="184"/>
      <c r="D695" s="184"/>
      <c r="E695" s="184"/>
      <c r="F695" s="184"/>
      <c r="G695" s="185"/>
      <c r="H695" s="185"/>
      <c r="I695" s="186"/>
      <c r="J695" s="69"/>
      <c r="AA695" s="63">
        <f t="shared" si="210"/>
        <v>0</v>
      </c>
      <c r="AB695" s="153" t="str">
        <f t="shared" si="211"/>
        <v>000</v>
      </c>
      <c r="AC695" s="165" t="str">
        <f t="shared" si="212"/>
        <v>00000000</v>
      </c>
      <c r="AD695" s="98" t="str">
        <f t="shared" si="213"/>
        <v>00000000</v>
      </c>
      <c r="AE695" s="150">
        <f t="shared" si="214"/>
        <v>0</v>
      </c>
      <c r="AF695" s="150">
        <f t="shared" si="215"/>
        <v>0</v>
      </c>
      <c r="AG695" s="98" t="str">
        <f t="shared" si="216"/>
        <v>0000000000</v>
      </c>
      <c r="AH695" s="151">
        <f t="shared" si="217"/>
        <v>0</v>
      </c>
      <c r="AI695" s="98" t="str">
        <f t="shared" si="218"/>
        <v>00</v>
      </c>
      <c r="AJ695" s="98" t="str">
        <f t="shared" si="219"/>
        <v>000000000000</v>
      </c>
      <c r="AK695" s="161" t="str">
        <f t="shared" si="220"/>
        <v xml:space="preserve">                              </v>
      </c>
      <c r="AL695" s="154">
        <f t="shared" si="221"/>
        <v>0</v>
      </c>
      <c r="AM695" s="155">
        <f t="shared" si="222"/>
        <v>0</v>
      </c>
      <c r="AP695" s="63" t="str">
        <f t="shared" si="223"/>
        <v/>
      </c>
      <c r="AQ695" s="63" t="str">
        <f t="shared" si="224"/>
        <v/>
      </c>
      <c r="AR695" s="152" t="str">
        <f t="shared" si="225"/>
        <v/>
      </c>
      <c r="AS695" s="109" t="str">
        <f t="shared" si="226"/>
        <v/>
      </c>
      <c r="AT695" s="63" t="str">
        <f t="shared" si="227"/>
        <v xml:space="preserve">                    </v>
      </c>
    </row>
    <row r="696" spans="1:46" ht="12.75" x14ac:dyDescent="0.2">
      <c r="A696" s="63" t="str">
        <f t="shared" si="209"/>
        <v/>
      </c>
      <c r="B696" s="185"/>
      <c r="C696" s="184"/>
      <c r="D696" s="184"/>
      <c r="E696" s="184"/>
      <c r="F696" s="184"/>
      <c r="G696" s="185"/>
      <c r="H696" s="185"/>
      <c r="I696" s="186"/>
      <c r="J696" s="69"/>
      <c r="AA696" s="63">
        <f t="shared" si="210"/>
        <v>0</v>
      </c>
      <c r="AB696" s="153" t="str">
        <f t="shared" si="211"/>
        <v>000</v>
      </c>
      <c r="AC696" s="165" t="str">
        <f t="shared" si="212"/>
        <v>00000000</v>
      </c>
      <c r="AD696" s="98" t="str">
        <f t="shared" si="213"/>
        <v>00000000</v>
      </c>
      <c r="AE696" s="150">
        <f t="shared" si="214"/>
        <v>0</v>
      </c>
      <c r="AF696" s="150">
        <f t="shared" si="215"/>
        <v>0</v>
      </c>
      <c r="AG696" s="98" t="str">
        <f t="shared" si="216"/>
        <v>0000000000</v>
      </c>
      <c r="AH696" s="151">
        <f t="shared" si="217"/>
        <v>0</v>
      </c>
      <c r="AI696" s="98" t="str">
        <f t="shared" si="218"/>
        <v>00</v>
      </c>
      <c r="AJ696" s="98" t="str">
        <f t="shared" si="219"/>
        <v>000000000000</v>
      </c>
      <c r="AK696" s="161" t="str">
        <f t="shared" si="220"/>
        <v xml:space="preserve">                              </v>
      </c>
      <c r="AL696" s="154">
        <f t="shared" si="221"/>
        <v>0</v>
      </c>
      <c r="AM696" s="155">
        <f t="shared" si="222"/>
        <v>0</v>
      </c>
      <c r="AP696" s="63" t="str">
        <f t="shared" si="223"/>
        <v/>
      </c>
      <c r="AQ696" s="63" t="str">
        <f t="shared" si="224"/>
        <v/>
      </c>
      <c r="AR696" s="152" t="str">
        <f t="shared" si="225"/>
        <v/>
      </c>
      <c r="AS696" s="109" t="str">
        <f t="shared" si="226"/>
        <v/>
      </c>
      <c r="AT696" s="63" t="str">
        <f t="shared" si="227"/>
        <v xml:space="preserve">                    </v>
      </c>
    </row>
    <row r="697" spans="1:46" ht="12.75" x14ac:dyDescent="0.2">
      <c r="A697" s="63" t="str">
        <f t="shared" si="209"/>
        <v/>
      </c>
      <c r="B697" s="185"/>
      <c r="C697" s="184"/>
      <c r="D697" s="184"/>
      <c r="E697" s="184"/>
      <c r="F697" s="184"/>
      <c r="G697" s="185"/>
      <c r="H697" s="185"/>
      <c r="I697" s="186"/>
      <c r="J697" s="69"/>
      <c r="AA697" s="63">
        <f t="shared" si="210"/>
        <v>0</v>
      </c>
      <c r="AB697" s="153" t="str">
        <f t="shared" si="211"/>
        <v>000</v>
      </c>
      <c r="AC697" s="165" t="str">
        <f t="shared" si="212"/>
        <v>00000000</v>
      </c>
      <c r="AD697" s="98" t="str">
        <f t="shared" si="213"/>
        <v>00000000</v>
      </c>
      <c r="AE697" s="150">
        <f t="shared" si="214"/>
        <v>0</v>
      </c>
      <c r="AF697" s="150">
        <f t="shared" si="215"/>
        <v>0</v>
      </c>
      <c r="AG697" s="98" t="str">
        <f t="shared" si="216"/>
        <v>0000000000</v>
      </c>
      <c r="AH697" s="151">
        <f t="shared" si="217"/>
        <v>0</v>
      </c>
      <c r="AI697" s="98" t="str">
        <f t="shared" si="218"/>
        <v>00</v>
      </c>
      <c r="AJ697" s="98" t="str">
        <f t="shared" si="219"/>
        <v>000000000000</v>
      </c>
      <c r="AK697" s="161" t="str">
        <f t="shared" si="220"/>
        <v xml:space="preserve">                              </v>
      </c>
      <c r="AL697" s="154">
        <f t="shared" si="221"/>
        <v>0</v>
      </c>
      <c r="AM697" s="155">
        <f t="shared" si="222"/>
        <v>0</v>
      </c>
      <c r="AP697" s="63" t="str">
        <f t="shared" si="223"/>
        <v/>
      </c>
      <c r="AQ697" s="63" t="str">
        <f t="shared" si="224"/>
        <v/>
      </c>
      <c r="AR697" s="152" t="str">
        <f t="shared" si="225"/>
        <v/>
      </c>
      <c r="AS697" s="109" t="str">
        <f t="shared" si="226"/>
        <v/>
      </c>
      <c r="AT697" s="63" t="str">
        <f t="shared" si="227"/>
        <v xml:space="preserve">                    </v>
      </c>
    </row>
    <row r="698" spans="1:46" ht="12.75" x14ac:dyDescent="0.2">
      <c r="A698" s="63" t="str">
        <f t="shared" si="209"/>
        <v/>
      </c>
      <c r="B698" s="185"/>
      <c r="C698" s="184"/>
      <c r="D698" s="184"/>
      <c r="E698" s="184"/>
      <c r="F698" s="184"/>
      <c r="G698" s="185"/>
      <c r="H698" s="185"/>
      <c r="I698" s="186"/>
      <c r="J698" s="69"/>
      <c r="AA698" s="63">
        <f t="shared" si="210"/>
        <v>0</v>
      </c>
      <c r="AB698" s="153" t="str">
        <f t="shared" si="211"/>
        <v>000</v>
      </c>
      <c r="AC698" s="165" t="str">
        <f t="shared" si="212"/>
        <v>00000000</v>
      </c>
      <c r="AD698" s="98" t="str">
        <f t="shared" si="213"/>
        <v>00000000</v>
      </c>
      <c r="AE698" s="150">
        <f t="shared" si="214"/>
        <v>0</v>
      </c>
      <c r="AF698" s="150">
        <f t="shared" si="215"/>
        <v>0</v>
      </c>
      <c r="AG698" s="98" t="str">
        <f t="shared" si="216"/>
        <v>0000000000</v>
      </c>
      <c r="AH698" s="151">
        <f t="shared" si="217"/>
        <v>0</v>
      </c>
      <c r="AI698" s="98" t="str">
        <f t="shared" si="218"/>
        <v>00</v>
      </c>
      <c r="AJ698" s="98" t="str">
        <f t="shared" si="219"/>
        <v>000000000000</v>
      </c>
      <c r="AK698" s="161" t="str">
        <f t="shared" si="220"/>
        <v xml:space="preserve">                              </v>
      </c>
      <c r="AL698" s="154">
        <f t="shared" si="221"/>
        <v>0</v>
      </c>
      <c r="AM698" s="155">
        <f t="shared" si="222"/>
        <v>0</v>
      </c>
      <c r="AP698" s="63" t="str">
        <f t="shared" si="223"/>
        <v/>
      </c>
      <c r="AQ698" s="63" t="str">
        <f t="shared" si="224"/>
        <v/>
      </c>
      <c r="AR698" s="152" t="str">
        <f t="shared" si="225"/>
        <v/>
      </c>
      <c r="AS698" s="109" t="str">
        <f t="shared" si="226"/>
        <v/>
      </c>
      <c r="AT698" s="63" t="str">
        <f t="shared" si="227"/>
        <v xml:space="preserve">                    </v>
      </c>
    </row>
    <row r="699" spans="1:46" ht="12.75" x14ac:dyDescent="0.2">
      <c r="A699" s="63" t="str">
        <f t="shared" si="209"/>
        <v/>
      </c>
      <c r="B699" s="185"/>
      <c r="C699" s="184"/>
      <c r="D699" s="184"/>
      <c r="E699" s="184"/>
      <c r="F699" s="184"/>
      <c r="G699" s="185"/>
      <c r="H699" s="185"/>
      <c r="I699" s="186"/>
      <c r="J699" s="69"/>
      <c r="AA699" s="63">
        <f t="shared" si="210"/>
        <v>0</v>
      </c>
      <c r="AB699" s="153" t="str">
        <f t="shared" si="211"/>
        <v>000</v>
      </c>
      <c r="AC699" s="165" t="str">
        <f t="shared" si="212"/>
        <v>00000000</v>
      </c>
      <c r="AD699" s="98" t="str">
        <f t="shared" si="213"/>
        <v>00000000</v>
      </c>
      <c r="AE699" s="150">
        <f t="shared" si="214"/>
        <v>0</v>
      </c>
      <c r="AF699" s="150">
        <f t="shared" si="215"/>
        <v>0</v>
      </c>
      <c r="AG699" s="98" t="str">
        <f t="shared" si="216"/>
        <v>0000000000</v>
      </c>
      <c r="AH699" s="151">
        <f t="shared" si="217"/>
        <v>0</v>
      </c>
      <c r="AI699" s="98" t="str">
        <f t="shared" si="218"/>
        <v>00</v>
      </c>
      <c r="AJ699" s="98" t="str">
        <f t="shared" si="219"/>
        <v>000000000000</v>
      </c>
      <c r="AK699" s="161" t="str">
        <f t="shared" si="220"/>
        <v xml:space="preserve">                              </v>
      </c>
      <c r="AL699" s="154">
        <f t="shared" si="221"/>
        <v>0</v>
      </c>
      <c r="AM699" s="155">
        <f t="shared" si="222"/>
        <v>0</v>
      </c>
      <c r="AP699" s="63" t="str">
        <f t="shared" si="223"/>
        <v/>
      </c>
      <c r="AQ699" s="63" t="str">
        <f t="shared" si="224"/>
        <v/>
      </c>
      <c r="AR699" s="152" t="str">
        <f t="shared" si="225"/>
        <v/>
      </c>
      <c r="AS699" s="109" t="str">
        <f t="shared" si="226"/>
        <v/>
      </c>
      <c r="AT699" s="63" t="str">
        <f t="shared" si="227"/>
        <v xml:space="preserve">                    </v>
      </c>
    </row>
    <row r="700" spans="1:46" ht="12.75" x14ac:dyDescent="0.2">
      <c r="A700" s="63" t="str">
        <f t="shared" si="209"/>
        <v/>
      </c>
      <c r="B700" s="185"/>
      <c r="C700" s="184"/>
      <c r="D700" s="184"/>
      <c r="E700" s="184"/>
      <c r="F700" s="184"/>
      <c r="G700" s="185"/>
      <c r="H700" s="185"/>
      <c r="I700" s="186"/>
      <c r="J700" s="69"/>
      <c r="AA700" s="63">
        <f t="shared" si="210"/>
        <v>0</v>
      </c>
      <c r="AB700" s="153" t="str">
        <f t="shared" si="211"/>
        <v>000</v>
      </c>
      <c r="AC700" s="165" t="str">
        <f t="shared" si="212"/>
        <v>00000000</v>
      </c>
      <c r="AD700" s="98" t="str">
        <f t="shared" si="213"/>
        <v>00000000</v>
      </c>
      <c r="AE700" s="150">
        <f t="shared" si="214"/>
        <v>0</v>
      </c>
      <c r="AF700" s="150">
        <f t="shared" si="215"/>
        <v>0</v>
      </c>
      <c r="AG700" s="98" t="str">
        <f t="shared" si="216"/>
        <v>0000000000</v>
      </c>
      <c r="AH700" s="151">
        <f t="shared" si="217"/>
        <v>0</v>
      </c>
      <c r="AI700" s="98" t="str">
        <f t="shared" si="218"/>
        <v>00</v>
      </c>
      <c r="AJ700" s="98" t="str">
        <f t="shared" si="219"/>
        <v>000000000000</v>
      </c>
      <c r="AK700" s="161" t="str">
        <f t="shared" si="220"/>
        <v xml:space="preserve">                              </v>
      </c>
      <c r="AL700" s="154">
        <f t="shared" si="221"/>
        <v>0</v>
      </c>
      <c r="AM700" s="155">
        <f t="shared" si="222"/>
        <v>0</v>
      </c>
      <c r="AP700" s="63" t="str">
        <f t="shared" si="223"/>
        <v/>
      </c>
      <c r="AQ700" s="63" t="str">
        <f t="shared" si="224"/>
        <v/>
      </c>
      <c r="AR700" s="152" t="str">
        <f t="shared" si="225"/>
        <v/>
      </c>
      <c r="AS700" s="109" t="str">
        <f t="shared" si="226"/>
        <v/>
      </c>
      <c r="AT700" s="63" t="str">
        <f t="shared" si="227"/>
        <v xml:space="preserve">                    </v>
      </c>
    </row>
    <row r="701" spans="1:46" ht="12.75" x14ac:dyDescent="0.2">
      <c r="A701" s="63" t="str">
        <f t="shared" si="209"/>
        <v/>
      </c>
      <c r="B701" s="185"/>
      <c r="C701" s="184"/>
      <c r="D701" s="184"/>
      <c r="E701" s="184"/>
      <c r="F701" s="184"/>
      <c r="G701" s="185"/>
      <c r="H701" s="185"/>
      <c r="I701" s="186"/>
      <c r="J701" s="69"/>
      <c r="AA701" s="63">
        <f t="shared" si="210"/>
        <v>0</v>
      </c>
      <c r="AB701" s="153" t="str">
        <f t="shared" si="211"/>
        <v>000</v>
      </c>
      <c r="AC701" s="165" t="str">
        <f t="shared" si="212"/>
        <v>00000000</v>
      </c>
      <c r="AD701" s="98" t="str">
        <f t="shared" si="213"/>
        <v>00000000</v>
      </c>
      <c r="AE701" s="150">
        <f t="shared" si="214"/>
        <v>0</v>
      </c>
      <c r="AF701" s="150">
        <f t="shared" si="215"/>
        <v>0</v>
      </c>
      <c r="AG701" s="98" t="str">
        <f t="shared" si="216"/>
        <v>0000000000</v>
      </c>
      <c r="AH701" s="151">
        <f t="shared" si="217"/>
        <v>0</v>
      </c>
      <c r="AI701" s="98" t="str">
        <f t="shared" si="218"/>
        <v>00</v>
      </c>
      <c r="AJ701" s="98" t="str">
        <f t="shared" si="219"/>
        <v>000000000000</v>
      </c>
      <c r="AK701" s="161" t="str">
        <f t="shared" si="220"/>
        <v xml:space="preserve">                              </v>
      </c>
      <c r="AL701" s="154">
        <f t="shared" si="221"/>
        <v>0</v>
      </c>
      <c r="AM701" s="155">
        <f t="shared" si="222"/>
        <v>0</v>
      </c>
      <c r="AP701" s="63" t="str">
        <f t="shared" si="223"/>
        <v/>
      </c>
      <c r="AQ701" s="63" t="str">
        <f t="shared" si="224"/>
        <v/>
      </c>
      <c r="AR701" s="152" t="str">
        <f t="shared" si="225"/>
        <v/>
      </c>
      <c r="AS701" s="109" t="str">
        <f t="shared" si="226"/>
        <v/>
      </c>
      <c r="AT701" s="63" t="str">
        <f t="shared" si="227"/>
        <v xml:space="preserve">                    </v>
      </c>
    </row>
    <row r="702" spans="1:46" ht="12.75" x14ac:dyDescent="0.2">
      <c r="A702" s="63" t="str">
        <f t="shared" si="209"/>
        <v/>
      </c>
      <c r="B702" s="185"/>
      <c r="C702" s="184"/>
      <c r="D702" s="184"/>
      <c r="E702" s="184"/>
      <c r="F702" s="184"/>
      <c r="G702" s="185"/>
      <c r="H702" s="185"/>
      <c r="I702" s="186"/>
      <c r="J702" s="69"/>
      <c r="AA702" s="63">
        <f t="shared" si="210"/>
        <v>0</v>
      </c>
      <c r="AB702" s="153" t="str">
        <f t="shared" si="211"/>
        <v>000</v>
      </c>
      <c r="AC702" s="165" t="str">
        <f t="shared" si="212"/>
        <v>00000000</v>
      </c>
      <c r="AD702" s="98" t="str">
        <f t="shared" si="213"/>
        <v>00000000</v>
      </c>
      <c r="AE702" s="150">
        <f t="shared" si="214"/>
        <v>0</v>
      </c>
      <c r="AF702" s="150">
        <f t="shared" si="215"/>
        <v>0</v>
      </c>
      <c r="AG702" s="98" t="str">
        <f t="shared" si="216"/>
        <v>0000000000</v>
      </c>
      <c r="AH702" s="151">
        <f t="shared" si="217"/>
        <v>0</v>
      </c>
      <c r="AI702" s="98" t="str">
        <f t="shared" si="218"/>
        <v>00</v>
      </c>
      <c r="AJ702" s="98" t="str">
        <f t="shared" si="219"/>
        <v>000000000000</v>
      </c>
      <c r="AK702" s="161" t="str">
        <f t="shared" si="220"/>
        <v xml:space="preserve">                              </v>
      </c>
      <c r="AL702" s="154">
        <f t="shared" si="221"/>
        <v>0</v>
      </c>
      <c r="AM702" s="155">
        <f t="shared" si="222"/>
        <v>0</v>
      </c>
      <c r="AP702" s="63" t="str">
        <f t="shared" si="223"/>
        <v/>
      </c>
      <c r="AQ702" s="63" t="str">
        <f t="shared" si="224"/>
        <v/>
      </c>
      <c r="AR702" s="152" t="str">
        <f t="shared" si="225"/>
        <v/>
      </c>
      <c r="AS702" s="109" t="str">
        <f t="shared" si="226"/>
        <v/>
      </c>
      <c r="AT702" s="63" t="str">
        <f t="shared" si="227"/>
        <v xml:space="preserve">                    </v>
      </c>
    </row>
    <row r="703" spans="1:46" ht="12.75" x14ac:dyDescent="0.2">
      <c r="A703" s="63" t="str">
        <f t="shared" si="209"/>
        <v/>
      </c>
      <c r="B703" s="185"/>
      <c r="C703" s="184"/>
      <c r="D703" s="184"/>
      <c r="E703" s="184"/>
      <c r="F703" s="184"/>
      <c r="G703" s="185"/>
      <c r="H703" s="185"/>
      <c r="I703" s="186"/>
      <c r="J703" s="69"/>
      <c r="AA703" s="63">
        <f t="shared" si="210"/>
        <v>0</v>
      </c>
      <c r="AB703" s="153" t="str">
        <f t="shared" si="211"/>
        <v>000</v>
      </c>
      <c r="AC703" s="165" t="str">
        <f t="shared" si="212"/>
        <v>00000000</v>
      </c>
      <c r="AD703" s="98" t="str">
        <f t="shared" si="213"/>
        <v>00000000</v>
      </c>
      <c r="AE703" s="150">
        <f t="shared" si="214"/>
        <v>0</v>
      </c>
      <c r="AF703" s="150">
        <f t="shared" si="215"/>
        <v>0</v>
      </c>
      <c r="AG703" s="98" t="str">
        <f t="shared" si="216"/>
        <v>0000000000</v>
      </c>
      <c r="AH703" s="151">
        <f t="shared" si="217"/>
        <v>0</v>
      </c>
      <c r="AI703" s="98" t="str">
        <f t="shared" si="218"/>
        <v>00</v>
      </c>
      <c r="AJ703" s="98" t="str">
        <f t="shared" si="219"/>
        <v>000000000000</v>
      </c>
      <c r="AK703" s="161" t="str">
        <f t="shared" si="220"/>
        <v xml:space="preserve">                              </v>
      </c>
      <c r="AL703" s="154">
        <f t="shared" si="221"/>
        <v>0</v>
      </c>
      <c r="AM703" s="155">
        <f t="shared" si="222"/>
        <v>0</v>
      </c>
      <c r="AP703" s="63" t="str">
        <f t="shared" si="223"/>
        <v/>
      </c>
      <c r="AQ703" s="63" t="str">
        <f t="shared" si="224"/>
        <v/>
      </c>
      <c r="AR703" s="152" t="str">
        <f t="shared" si="225"/>
        <v/>
      </c>
      <c r="AS703" s="109" t="str">
        <f t="shared" si="226"/>
        <v/>
      </c>
      <c r="AT703" s="63" t="str">
        <f t="shared" si="227"/>
        <v xml:space="preserve">                    </v>
      </c>
    </row>
    <row r="704" spans="1:46" ht="12.75" x14ac:dyDescent="0.2">
      <c r="A704" s="63" t="str">
        <f t="shared" si="209"/>
        <v/>
      </c>
      <c r="B704" s="185"/>
      <c r="C704" s="184"/>
      <c r="D704" s="184"/>
      <c r="E704" s="184"/>
      <c r="F704" s="184"/>
      <c r="G704" s="185"/>
      <c r="H704" s="185"/>
      <c r="I704" s="186"/>
      <c r="J704" s="69"/>
      <c r="AA704" s="63">
        <f t="shared" si="210"/>
        <v>0</v>
      </c>
      <c r="AB704" s="153" t="str">
        <f t="shared" si="211"/>
        <v>000</v>
      </c>
      <c r="AC704" s="165" t="str">
        <f t="shared" si="212"/>
        <v>00000000</v>
      </c>
      <c r="AD704" s="98" t="str">
        <f t="shared" si="213"/>
        <v>00000000</v>
      </c>
      <c r="AE704" s="150">
        <f t="shared" si="214"/>
        <v>0</v>
      </c>
      <c r="AF704" s="150">
        <f t="shared" si="215"/>
        <v>0</v>
      </c>
      <c r="AG704" s="98" t="str">
        <f t="shared" si="216"/>
        <v>0000000000</v>
      </c>
      <c r="AH704" s="151">
        <f t="shared" si="217"/>
        <v>0</v>
      </c>
      <c r="AI704" s="98" t="str">
        <f t="shared" si="218"/>
        <v>00</v>
      </c>
      <c r="AJ704" s="98" t="str">
        <f t="shared" si="219"/>
        <v>000000000000</v>
      </c>
      <c r="AK704" s="161" t="str">
        <f t="shared" si="220"/>
        <v xml:space="preserve">                              </v>
      </c>
      <c r="AL704" s="154">
        <f t="shared" si="221"/>
        <v>0</v>
      </c>
      <c r="AM704" s="155">
        <f t="shared" si="222"/>
        <v>0</v>
      </c>
      <c r="AP704" s="63" t="str">
        <f t="shared" si="223"/>
        <v/>
      </c>
      <c r="AQ704" s="63" t="str">
        <f t="shared" si="224"/>
        <v/>
      </c>
      <c r="AR704" s="152" t="str">
        <f t="shared" si="225"/>
        <v/>
      </c>
      <c r="AS704" s="109" t="str">
        <f t="shared" si="226"/>
        <v/>
      </c>
      <c r="AT704" s="63" t="str">
        <f t="shared" si="227"/>
        <v xml:space="preserve">                    </v>
      </c>
    </row>
    <row r="705" spans="1:46" ht="12.75" x14ac:dyDescent="0.2">
      <c r="A705" s="63" t="str">
        <f t="shared" si="209"/>
        <v/>
      </c>
      <c r="B705" s="185"/>
      <c r="C705" s="184"/>
      <c r="D705" s="184"/>
      <c r="E705" s="184"/>
      <c r="F705" s="184"/>
      <c r="G705" s="185"/>
      <c r="H705" s="185"/>
      <c r="I705" s="186"/>
      <c r="J705" s="69"/>
      <c r="AA705" s="63">
        <f t="shared" si="210"/>
        <v>0</v>
      </c>
      <c r="AB705" s="153" t="str">
        <f t="shared" si="211"/>
        <v>000</v>
      </c>
      <c r="AC705" s="165" t="str">
        <f t="shared" si="212"/>
        <v>00000000</v>
      </c>
      <c r="AD705" s="98" t="str">
        <f t="shared" si="213"/>
        <v>00000000</v>
      </c>
      <c r="AE705" s="150">
        <f t="shared" si="214"/>
        <v>0</v>
      </c>
      <c r="AF705" s="150">
        <f t="shared" si="215"/>
        <v>0</v>
      </c>
      <c r="AG705" s="98" t="str">
        <f t="shared" si="216"/>
        <v>0000000000</v>
      </c>
      <c r="AH705" s="151">
        <f t="shared" si="217"/>
        <v>0</v>
      </c>
      <c r="AI705" s="98" t="str">
        <f t="shared" si="218"/>
        <v>00</v>
      </c>
      <c r="AJ705" s="98" t="str">
        <f t="shared" si="219"/>
        <v>000000000000</v>
      </c>
      <c r="AK705" s="161" t="str">
        <f t="shared" si="220"/>
        <v xml:space="preserve">                              </v>
      </c>
      <c r="AL705" s="154">
        <f t="shared" si="221"/>
        <v>0</v>
      </c>
      <c r="AM705" s="155">
        <f t="shared" si="222"/>
        <v>0</v>
      </c>
      <c r="AP705" s="63" t="str">
        <f t="shared" si="223"/>
        <v/>
      </c>
      <c r="AQ705" s="63" t="str">
        <f t="shared" si="224"/>
        <v/>
      </c>
      <c r="AR705" s="152" t="str">
        <f t="shared" si="225"/>
        <v/>
      </c>
      <c r="AS705" s="109" t="str">
        <f t="shared" si="226"/>
        <v/>
      </c>
      <c r="AT705" s="63" t="str">
        <f t="shared" si="227"/>
        <v xml:space="preserve">                    </v>
      </c>
    </row>
    <row r="706" spans="1:46" ht="12.75" x14ac:dyDescent="0.2">
      <c r="A706" s="63" t="str">
        <f t="shared" si="209"/>
        <v/>
      </c>
      <c r="B706" s="185"/>
      <c r="C706" s="184"/>
      <c r="D706" s="184"/>
      <c r="E706" s="184"/>
      <c r="F706" s="184"/>
      <c r="G706" s="185"/>
      <c r="H706" s="185"/>
      <c r="I706" s="186"/>
      <c r="J706" s="69"/>
      <c r="AA706" s="63">
        <f t="shared" si="210"/>
        <v>0</v>
      </c>
      <c r="AB706" s="153" t="str">
        <f t="shared" si="211"/>
        <v>000</v>
      </c>
      <c r="AC706" s="165" t="str">
        <f t="shared" si="212"/>
        <v>00000000</v>
      </c>
      <c r="AD706" s="98" t="str">
        <f t="shared" si="213"/>
        <v>00000000</v>
      </c>
      <c r="AE706" s="150">
        <f t="shared" si="214"/>
        <v>0</v>
      </c>
      <c r="AF706" s="150">
        <f t="shared" si="215"/>
        <v>0</v>
      </c>
      <c r="AG706" s="98" t="str">
        <f t="shared" si="216"/>
        <v>0000000000</v>
      </c>
      <c r="AH706" s="151">
        <f t="shared" si="217"/>
        <v>0</v>
      </c>
      <c r="AI706" s="98" t="str">
        <f t="shared" si="218"/>
        <v>00</v>
      </c>
      <c r="AJ706" s="98" t="str">
        <f t="shared" si="219"/>
        <v>000000000000</v>
      </c>
      <c r="AK706" s="161" t="str">
        <f t="shared" si="220"/>
        <v xml:space="preserve">                              </v>
      </c>
      <c r="AL706" s="154">
        <f t="shared" si="221"/>
        <v>0</v>
      </c>
      <c r="AM706" s="155">
        <f t="shared" si="222"/>
        <v>0</v>
      </c>
      <c r="AP706" s="63" t="str">
        <f t="shared" si="223"/>
        <v/>
      </c>
      <c r="AQ706" s="63" t="str">
        <f t="shared" si="224"/>
        <v/>
      </c>
      <c r="AR706" s="152" t="str">
        <f t="shared" si="225"/>
        <v/>
      </c>
      <c r="AS706" s="109" t="str">
        <f t="shared" si="226"/>
        <v/>
      </c>
      <c r="AT706" s="63" t="str">
        <f t="shared" si="227"/>
        <v xml:space="preserve">                    </v>
      </c>
    </row>
    <row r="707" spans="1:46" ht="12.75" x14ac:dyDescent="0.2">
      <c r="A707" s="63" t="str">
        <f t="shared" si="209"/>
        <v/>
      </c>
      <c r="B707" s="185"/>
      <c r="C707" s="184"/>
      <c r="D707" s="184"/>
      <c r="E707" s="184"/>
      <c r="F707" s="184"/>
      <c r="G707" s="185"/>
      <c r="H707" s="185"/>
      <c r="I707" s="186"/>
      <c r="J707" s="69"/>
      <c r="AA707" s="63">
        <f t="shared" si="210"/>
        <v>0</v>
      </c>
      <c r="AB707" s="153" t="str">
        <f t="shared" si="211"/>
        <v>000</v>
      </c>
      <c r="AC707" s="165" t="str">
        <f t="shared" si="212"/>
        <v>00000000</v>
      </c>
      <c r="AD707" s="98" t="str">
        <f t="shared" si="213"/>
        <v>00000000</v>
      </c>
      <c r="AE707" s="150">
        <f t="shared" si="214"/>
        <v>0</v>
      </c>
      <c r="AF707" s="150">
        <f t="shared" si="215"/>
        <v>0</v>
      </c>
      <c r="AG707" s="98" t="str">
        <f t="shared" si="216"/>
        <v>0000000000</v>
      </c>
      <c r="AH707" s="151">
        <f t="shared" si="217"/>
        <v>0</v>
      </c>
      <c r="AI707" s="98" t="str">
        <f t="shared" si="218"/>
        <v>00</v>
      </c>
      <c r="AJ707" s="98" t="str">
        <f t="shared" si="219"/>
        <v>000000000000</v>
      </c>
      <c r="AK707" s="161" t="str">
        <f t="shared" si="220"/>
        <v xml:space="preserve">                              </v>
      </c>
      <c r="AL707" s="154">
        <f t="shared" si="221"/>
        <v>0</v>
      </c>
      <c r="AM707" s="155">
        <f t="shared" si="222"/>
        <v>0</v>
      </c>
      <c r="AP707" s="63" t="str">
        <f t="shared" si="223"/>
        <v/>
      </c>
      <c r="AQ707" s="63" t="str">
        <f t="shared" si="224"/>
        <v/>
      </c>
      <c r="AR707" s="152" t="str">
        <f t="shared" si="225"/>
        <v/>
      </c>
      <c r="AS707" s="109" t="str">
        <f t="shared" si="226"/>
        <v/>
      </c>
      <c r="AT707" s="63" t="str">
        <f t="shared" si="227"/>
        <v xml:space="preserve">                    </v>
      </c>
    </row>
    <row r="708" spans="1:46" ht="12.75" x14ac:dyDescent="0.2">
      <c r="A708" s="63" t="str">
        <f t="shared" si="209"/>
        <v/>
      </c>
      <c r="B708" s="185"/>
      <c r="C708" s="184"/>
      <c r="D708" s="184"/>
      <c r="E708" s="184"/>
      <c r="F708" s="184"/>
      <c r="G708" s="185"/>
      <c r="H708" s="185"/>
      <c r="I708" s="186"/>
      <c r="J708" s="69"/>
      <c r="AA708" s="63">
        <f t="shared" si="210"/>
        <v>0</v>
      </c>
      <c r="AB708" s="153" t="str">
        <f t="shared" si="211"/>
        <v>000</v>
      </c>
      <c r="AC708" s="165" t="str">
        <f t="shared" si="212"/>
        <v>00000000</v>
      </c>
      <c r="AD708" s="98" t="str">
        <f t="shared" si="213"/>
        <v>00000000</v>
      </c>
      <c r="AE708" s="150">
        <f t="shared" si="214"/>
        <v>0</v>
      </c>
      <c r="AF708" s="150">
        <f t="shared" si="215"/>
        <v>0</v>
      </c>
      <c r="AG708" s="98" t="str">
        <f t="shared" si="216"/>
        <v>0000000000</v>
      </c>
      <c r="AH708" s="151">
        <f t="shared" si="217"/>
        <v>0</v>
      </c>
      <c r="AI708" s="98" t="str">
        <f t="shared" si="218"/>
        <v>00</v>
      </c>
      <c r="AJ708" s="98" t="str">
        <f t="shared" si="219"/>
        <v>000000000000</v>
      </c>
      <c r="AK708" s="161" t="str">
        <f t="shared" si="220"/>
        <v xml:space="preserve">                              </v>
      </c>
      <c r="AL708" s="154">
        <f t="shared" si="221"/>
        <v>0</v>
      </c>
      <c r="AM708" s="155">
        <f t="shared" si="222"/>
        <v>0</v>
      </c>
      <c r="AP708" s="63" t="str">
        <f t="shared" si="223"/>
        <v/>
      </c>
      <c r="AQ708" s="63" t="str">
        <f t="shared" si="224"/>
        <v/>
      </c>
      <c r="AR708" s="152" t="str">
        <f t="shared" si="225"/>
        <v/>
      </c>
      <c r="AS708" s="109" t="str">
        <f t="shared" si="226"/>
        <v/>
      </c>
      <c r="AT708" s="63" t="str">
        <f t="shared" si="227"/>
        <v xml:space="preserve">                    </v>
      </c>
    </row>
    <row r="709" spans="1:46" ht="12.75" x14ac:dyDescent="0.2">
      <c r="A709" s="63" t="str">
        <f t="shared" si="209"/>
        <v/>
      </c>
      <c r="B709" s="185"/>
      <c r="C709" s="184"/>
      <c r="D709" s="184"/>
      <c r="E709" s="184"/>
      <c r="F709" s="184"/>
      <c r="G709" s="185"/>
      <c r="H709" s="185"/>
      <c r="I709" s="186"/>
      <c r="J709" s="69"/>
      <c r="AA709" s="63">
        <f t="shared" si="210"/>
        <v>0</v>
      </c>
      <c r="AB709" s="153" t="str">
        <f t="shared" si="211"/>
        <v>000</v>
      </c>
      <c r="AC709" s="165" t="str">
        <f t="shared" si="212"/>
        <v>00000000</v>
      </c>
      <c r="AD709" s="98" t="str">
        <f t="shared" si="213"/>
        <v>00000000</v>
      </c>
      <c r="AE709" s="150">
        <f t="shared" si="214"/>
        <v>0</v>
      </c>
      <c r="AF709" s="150">
        <f t="shared" si="215"/>
        <v>0</v>
      </c>
      <c r="AG709" s="98" t="str">
        <f t="shared" si="216"/>
        <v>0000000000</v>
      </c>
      <c r="AH709" s="151">
        <f t="shared" si="217"/>
        <v>0</v>
      </c>
      <c r="AI709" s="98" t="str">
        <f t="shared" si="218"/>
        <v>00</v>
      </c>
      <c r="AJ709" s="98" t="str">
        <f t="shared" si="219"/>
        <v>000000000000</v>
      </c>
      <c r="AK709" s="161" t="str">
        <f t="shared" si="220"/>
        <v xml:space="preserve">                              </v>
      </c>
      <c r="AL709" s="154">
        <f t="shared" si="221"/>
        <v>0</v>
      </c>
      <c r="AM709" s="155">
        <f t="shared" si="222"/>
        <v>0</v>
      </c>
      <c r="AP709" s="63" t="str">
        <f t="shared" si="223"/>
        <v/>
      </c>
      <c r="AQ709" s="63" t="str">
        <f t="shared" si="224"/>
        <v/>
      </c>
      <c r="AR709" s="152" t="str">
        <f t="shared" si="225"/>
        <v/>
      </c>
      <c r="AS709" s="109" t="str">
        <f t="shared" si="226"/>
        <v/>
      </c>
      <c r="AT709" s="63" t="str">
        <f t="shared" si="227"/>
        <v xml:space="preserve">                    </v>
      </c>
    </row>
    <row r="710" spans="1:46" ht="12.75" x14ac:dyDescent="0.2">
      <c r="A710" s="63" t="str">
        <f t="shared" ref="A710:A773" si="228">IF(B710&lt;&gt;"",A709+1,"")</f>
        <v/>
      </c>
      <c r="B710" s="185"/>
      <c r="C710" s="184"/>
      <c r="D710" s="184"/>
      <c r="E710" s="184"/>
      <c r="F710" s="184"/>
      <c r="G710" s="185"/>
      <c r="H710" s="185"/>
      <c r="I710" s="186"/>
      <c r="J710" s="69"/>
      <c r="AA710" s="63">
        <f t="shared" si="210"/>
        <v>0</v>
      </c>
      <c r="AB710" s="153" t="str">
        <f t="shared" si="211"/>
        <v>000</v>
      </c>
      <c r="AC710" s="165" t="str">
        <f t="shared" si="212"/>
        <v>00000000</v>
      </c>
      <c r="AD710" s="98" t="str">
        <f t="shared" si="213"/>
        <v>00000000</v>
      </c>
      <c r="AE710" s="150">
        <f t="shared" si="214"/>
        <v>0</v>
      </c>
      <c r="AF710" s="150">
        <f t="shared" si="215"/>
        <v>0</v>
      </c>
      <c r="AG710" s="98" t="str">
        <f t="shared" si="216"/>
        <v>0000000000</v>
      </c>
      <c r="AH710" s="151">
        <f t="shared" si="217"/>
        <v>0</v>
      </c>
      <c r="AI710" s="98" t="str">
        <f t="shared" si="218"/>
        <v>00</v>
      </c>
      <c r="AJ710" s="98" t="str">
        <f t="shared" si="219"/>
        <v>000000000000</v>
      </c>
      <c r="AK710" s="161" t="str">
        <f t="shared" si="220"/>
        <v xml:space="preserve">                              </v>
      </c>
      <c r="AL710" s="154">
        <f t="shared" si="221"/>
        <v>0</v>
      </c>
      <c r="AM710" s="155">
        <f t="shared" si="222"/>
        <v>0</v>
      </c>
      <c r="AP710" s="63" t="str">
        <f t="shared" si="223"/>
        <v/>
      </c>
      <c r="AQ710" s="63" t="str">
        <f t="shared" si="224"/>
        <v/>
      </c>
      <c r="AR710" s="152" t="str">
        <f t="shared" si="225"/>
        <v/>
      </c>
      <c r="AS710" s="109" t="str">
        <f t="shared" si="226"/>
        <v/>
      </c>
      <c r="AT710" s="63" t="str">
        <f t="shared" si="227"/>
        <v xml:space="preserve">                    </v>
      </c>
    </row>
    <row r="711" spans="1:46" ht="12.75" x14ac:dyDescent="0.2">
      <c r="A711" s="63" t="str">
        <f t="shared" si="228"/>
        <v/>
      </c>
      <c r="B711" s="185"/>
      <c r="C711" s="184"/>
      <c r="D711" s="184"/>
      <c r="E711" s="184"/>
      <c r="F711" s="184"/>
      <c r="G711" s="185"/>
      <c r="H711" s="185"/>
      <c r="I711" s="186"/>
      <c r="J711" s="69"/>
      <c r="AA711" s="63">
        <f t="shared" si="210"/>
        <v>0</v>
      </c>
      <c r="AB711" s="153" t="str">
        <f t="shared" si="211"/>
        <v>000</v>
      </c>
      <c r="AC711" s="165" t="str">
        <f t="shared" si="212"/>
        <v>00000000</v>
      </c>
      <c r="AD711" s="98" t="str">
        <f t="shared" si="213"/>
        <v>00000000</v>
      </c>
      <c r="AE711" s="150">
        <f t="shared" si="214"/>
        <v>0</v>
      </c>
      <c r="AF711" s="150">
        <f t="shared" si="215"/>
        <v>0</v>
      </c>
      <c r="AG711" s="98" t="str">
        <f t="shared" si="216"/>
        <v>0000000000</v>
      </c>
      <c r="AH711" s="151">
        <f t="shared" si="217"/>
        <v>0</v>
      </c>
      <c r="AI711" s="98" t="str">
        <f t="shared" si="218"/>
        <v>00</v>
      </c>
      <c r="AJ711" s="98" t="str">
        <f t="shared" si="219"/>
        <v>000000000000</v>
      </c>
      <c r="AK711" s="161" t="str">
        <f t="shared" si="220"/>
        <v xml:space="preserve">                              </v>
      </c>
      <c r="AL711" s="154">
        <f t="shared" si="221"/>
        <v>0</v>
      </c>
      <c r="AM711" s="155">
        <f t="shared" si="222"/>
        <v>0</v>
      </c>
      <c r="AP711" s="63" t="str">
        <f t="shared" si="223"/>
        <v/>
      </c>
      <c r="AQ711" s="63" t="str">
        <f t="shared" si="224"/>
        <v/>
      </c>
      <c r="AR711" s="152" t="str">
        <f t="shared" si="225"/>
        <v/>
      </c>
      <c r="AS711" s="109" t="str">
        <f t="shared" si="226"/>
        <v/>
      </c>
      <c r="AT711" s="63" t="str">
        <f t="shared" si="227"/>
        <v xml:space="preserve">                    </v>
      </c>
    </row>
    <row r="712" spans="1:46" ht="12.75" x14ac:dyDescent="0.2">
      <c r="A712" s="63" t="str">
        <f t="shared" si="228"/>
        <v/>
      </c>
      <c r="B712" s="185"/>
      <c r="C712" s="184"/>
      <c r="D712" s="184"/>
      <c r="E712" s="184"/>
      <c r="F712" s="184"/>
      <c r="G712" s="185"/>
      <c r="H712" s="185"/>
      <c r="I712" s="186"/>
      <c r="J712" s="69"/>
      <c r="AA712" s="63">
        <f t="shared" si="210"/>
        <v>0</v>
      </c>
      <c r="AB712" s="153" t="str">
        <f t="shared" si="211"/>
        <v>000</v>
      </c>
      <c r="AC712" s="165" t="str">
        <f t="shared" si="212"/>
        <v>00000000</v>
      </c>
      <c r="AD712" s="98" t="str">
        <f t="shared" si="213"/>
        <v>00000000</v>
      </c>
      <c r="AE712" s="150">
        <f t="shared" si="214"/>
        <v>0</v>
      </c>
      <c r="AF712" s="150">
        <f t="shared" si="215"/>
        <v>0</v>
      </c>
      <c r="AG712" s="98" t="str">
        <f t="shared" si="216"/>
        <v>0000000000</v>
      </c>
      <c r="AH712" s="151">
        <f t="shared" si="217"/>
        <v>0</v>
      </c>
      <c r="AI712" s="98" t="str">
        <f t="shared" si="218"/>
        <v>00</v>
      </c>
      <c r="AJ712" s="98" t="str">
        <f t="shared" si="219"/>
        <v>000000000000</v>
      </c>
      <c r="AK712" s="161" t="str">
        <f t="shared" si="220"/>
        <v xml:space="preserve">                              </v>
      </c>
      <c r="AL712" s="154">
        <f t="shared" si="221"/>
        <v>0</v>
      </c>
      <c r="AM712" s="155">
        <f t="shared" si="222"/>
        <v>0</v>
      </c>
      <c r="AP712" s="63" t="str">
        <f t="shared" si="223"/>
        <v/>
      </c>
      <c r="AQ712" s="63" t="str">
        <f t="shared" si="224"/>
        <v/>
      </c>
      <c r="AR712" s="152" t="str">
        <f t="shared" si="225"/>
        <v/>
      </c>
      <c r="AS712" s="109" t="str">
        <f t="shared" si="226"/>
        <v/>
      </c>
      <c r="AT712" s="63" t="str">
        <f t="shared" si="227"/>
        <v xml:space="preserve">                    </v>
      </c>
    </row>
    <row r="713" spans="1:46" ht="12.75" x14ac:dyDescent="0.2">
      <c r="A713" s="63" t="str">
        <f t="shared" si="228"/>
        <v/>
      </c>
      <c r="B713" s="185"/>
      <c r="C713" s="184"/>
      <c r="D713" s="184"/>
      <c r="E713" s="184"/>
      <c r="F713" s="184"/>
      <c r="G713" s="185"/>
      <c r="H713" s="185"/>
      <c r="I713" s="186"/>
      <c r="J713" s="69"/>
      <c r="AA713" s="63">
        <f t="shared" si="210"/>
        <v>0</v>
      </c>
      <c r="AB713" s="153" t="str">
        <f t="shared" si="211"/>
        <v>000</v>
      </c>
      <c r="AC713" s="165" t="str">
        <f t="shared" si="212"/>
        <v>00000000</v>
      </c>
      <c r="AD713" s="98" t="str">
        <f t="shared" si="213"/>
        <v>00000000</v>
      </c>
      <c r="AE713" s="150">
        <f t="shared" si="214"/>
        <v>0</v>
      </c>
      <c r="AF713" s="150">
        <f t="shared" si="215"/>
        <v>0</v>
      </c>
      <c r="AG713" s="98" t="str">
        <f t="shared" si="216"/>
        <v>0000000000</v>
      </c>
      <c r="AH713" s="151">
        <f t="shared" si="217"/>
        <v>0</v>
      </c>
      <c r="AI713" s="98" t="str">
        <f t="shared" si="218"/>
        <v>00</v>
      </c>
      <c r="AJ713" s="98" t="str">
        <f t="shared" si="219"/>
        <v>000000000000</v>
      </c>
      <c r="AK713" s="161" t="str">
        <f t="shared" si="220"/>
        <v xml:space="preserve">                              </v>
      </c>
      <c r="AL713" s="154">
        <f t="shared" si="221"/>
        <v>0</v>
      </c>
      <c r="AM713" s="155">
        <f t="shared" si="222"/>
        <v>0</v>
      </c>
      <c r="AP713" s="63" t="str">
        <f t="shared" si="223"/>
        <v/>
      </c>
      <c r="AQ713" s="63" t="str">
        <f t="shared" si="224"/>
        <v/>
      </c>
      <c r="AR713" s="152" t="str">
        <f t="shared" si="225"/>
        <v/>
      </c>
      <c r="AS713" s="109" t="str">
        <f t="shared" si="226"/>
        <v/>
      </c>
      <c r="AT713" s="63" t="str">
        <f t="shared" si="227"/>
        <v xml:space="preserve">                    </v>
      </c>
    </row>
    <row r="714" spans="1:46" ht="12.75" x14ac:dyDescent="0.2">
      <c r="A714" s="63" t="str">
        <f t="shared" si="228"/>
        <v/>
      </c>
      <c r="B714" s="185"/>
      <c r="C714" s="184"/>
      <c r="D714" s="184"/>
      <c r="E714" s="184"/>
      <c r="F714" s="184"/>
      <c r="G714" s="185"/>
      <c r="H714" s="185"/>
      <c r="I714" s="186"/>
      <c r="J714" s="69"/>
      <c r="AA714" s="63">
        <f t="shared" si="210"/>
        <v>0</v>
      </c>
      <c r="AB714" s="153" t="str">
        <f t="shared" si="211"/>
        <v>000</v>
      </c>
      <c r="AC714" s="165" t="str">
        <f t="shared" si="212"/>
        <v>00000000</v>
      </c>
      <c r="AD714" s="98" t="str">
        <f t="shared" si="213"/>
        <v>00000000</v>
      </c>
      <c r="AE714" s="150">
        <f t="shared" si="214"/>
        <v>0</v>
      </c>
      <c r="AF714" s="150">
        <f t="shared" si="215"/>
        <v>0</v>
      </c>
      <c r="AG714" s="98" t="str">
        <f t="shared" si="216"/>
        <v>0000000000</v>
      </c>
      <c r="AH714" s="151">
        <f t="shared" si="217"/>
        <v>0</v>
      </c>
      <c r="AI714" s="98" t="str">
        <f t="shared" si="218"/>
        <v>00</v>
      </c>
      <c r="AJ714" s="98" t="str">
        <f t="shared" si="219"/>
        <v>000000000000</v>
      </c>
      <c r="AK714" s="161" t="str">
        <f t="shared" si="220"/>
        <v xml:space="preserve">                              </v>
      </c>
      <c r="AL714" s="154">
        <f t="shared" si="221"/>
        <v>0</v>
      </c>
      <c r="AM714" s="155">
        <f t="shared" si="222"/>
        <v>0</v>
      </c>
      <c r="AP714" s="63" t="str">
        <f t="shared" si="223"/>
        <v/>
      </c>
      <c r="AQ714" s="63" t="str">
        <f t="shared" si="224"/>
        <v/>
      </c>
      <c r="AR714" s="152" t="str">
        <f t="shared" si="225"/>
        <v/>
      </c>
      <c r="AS714" s="109" t="str">
        <f t="shared" si="226"/>
        <v/>
      </c>
      <c r="AT714" s="63" t="str">
        <f t="shared" si="227"/>
        <v xml:space="preserve">                    </v>
      </c>
    </row>
    <row r="715" spans="1:46" ht="12.75" x14ac:dyDescent="0.2">
      <c r="A715" s="63" t="str">
        <f t="shared" si="228"/>
        <v/>
      </c>
      <c r="B715" s="185"/>
      <c r="C715" s="184"/>
      <c r="D715" s="184"/>
      <c r="E715" s="184"/>
      <c r="F715" s="184"/>
      <c r="G715" s="185"/>
      <c r="H715" s="185"/>
      <c r="I715" s="186"/>
      <c r="J715" s="69"/>
      <c r="AA715" s="63">
        <f t="shared" si="210"/>
        <v>0</v>
      </c>
      <c r="AB715" s="153" t="str">
        <f t="shared" si="211"/>
        <v>000</v>
      </c>
      <c r="AC715" s="165" t="str">
        <f t="shared" si="212"/>
        <v>00000000</v>
      </c>
      <c r="AD715" s="98" t="str">
        <f t="shared" si="213"/>
        <v>00000000</v>
      </c>
      <c r="AE715" s="150">
        <f t="shared" si="214"/>
        <v>0</v>
      </c>
      <c r="AF715" s="150">
        <f t="shared" si="215"/>
        <v>0</v>
      </c>
      <c r="AG715" s="98" t="str">
        <f t="shared" si="216"/>
        <v>0000000000</v>
      </c>
      <c r="AH715" s="151">
        <f t="shared" si="217"/>
        <v>0</v>
      </c>
      <c r="AI715" s="98" t="str">
        <f t="shared" si="218"/>
        <v>00</v>
      </c>
      <c r="AJ715" s="98" t="str">
        <f t="shared" si="219"/>
        <v>000000000000</v>
      </c>
      <c r="AK715" s="161" t="str">
        <f t="shared" si="220"/>
        <v xml:space="preserve">                              </v>
      </c>
      <c r="AL715" s="154">
        <f t="shared" si="221"/>
        <v>0</v>
      </c>
      <c r="AM715" s="155">
        <f t="shared" si="222"/>
        <v>0</v>
      </c>
      <c r="AP715" s="63" t="str">
        <f t="shared" si="223"/>
        <v/>
      </c>
      <c r="AQ715" s="63" t="str">
        <f t="shared" si="224"/>
        <v/>
      </c>
      <c r="AR715" s="152" t="str">
        <f t="shared" si="225"/>
        <v/>
      </c>
      <c r="AS715" s="109" t="str">
        <f t="shared" si="226"/>
        <v/>
      </c>
      <c r="AT715" s="63" t="str">
        <f t="shared" si="227"/>
        <v xml:space="preserve">                    </v>
      </c>
    </row>
    <row r="716" spans="1:46" ht="12.75" x14ac:dyDescent="0.2">
      <c r="A716" s="63" t="str">
        <f t="shared" si="228"/>
        <v/>
      </c>
      <c r="B716" s="185"/>
      <c r="C716" s="184"/>
      <c r="D716" s="184"/>
      <c r="E716" s="184"/>
      <c r="F716" s="184"/>
      <c r="G716" s="185"/>
      <c r="H716" s="185"/>
      <c r="I716" s="186"/>
      <c r="J716" s="69"/>
      <c r="AA716" s="63">
        <f t="shared" si="210"/>
        <v>0</v>
      </c>
      <c r="AB716" s="153" t="str">
        <f t="shared" si="211"/>
        <v>000</v>
      </c>
      <c r="AC716" s="165" t="str">
        <f t="shared" si="212"/>
        <v>00000000</v>
      </c>
      <c r="AD716" s="98" t="str">
        <f t="shared" si="213"/>
        <v>00000000</v>
      </c>
      <c r="AE716" s="150">
        <f t="shared" si="214"/>
        <v>0</v>
      </c>
      <c r="AF716" s="150">
        <f t="shared" si="215"/>
        <v>0</v>
      </c>
      <c r="AG716" s="98" t="str">
        <f t="shared" si="216"/>
        <v>0000000000</v>
      </c>
      <c r="AH716" s="151">
        <f t="shared" si="217"/>
        <v>0</v>
      </c>
      <c r="AI716" s="98" t="str">
        <f t="shared" si="218"/>
        <v>00</v>
      </c>
      <c r="AJ716" s="98" t="str">
        <f t="shared" si="219"/>
        <v>000000000000</v>
      </c>
      <c r="AK716" s="161" t="str">
        <f t="shared" si="220"/>
        <v xml:space="preserve">                              </v>
      </c>
      <c r="AL716" s="154">
        <f t="shared" si="221"/>
        <v>0</v>
      </c>
      <c r="AM716" s="155">
        <f t="shared" si="222"/>
        <v>0</v>
      </c>
      <c r="AP716" s="63" t="str">
        <f t="shared" si="223"/>
        <v/>
      </c>
      <c r="AQ716" s="63" t="str">
        <f t="shared" si="224"/>
        <v/>
      </c>
      <c r="AR716" s="152" t="str">
        <f t="shared" si="225"/>
        <v/>
      </c>
      <c r="AS716" s="109" t="str">
        <f t="shared" si="226"/>
        <v/>
      </c>
      <c r="AT716" s="63" t="str">
        <f t="shared" si="227"/>
        <v xml:space="preserve">                    </v>
      </c>
    </row>
    <row r="717" spans="1:46" ht="12.75" x14ac:dyDescent="0.2">
      <c r="A717" s="63" t="str">
        <f t="shared" si="228"/>
        <v/>
      </c>
      <c r="B717" s="185"/>
      <c r="C717" s="184"/>
      <c r="D717" s="184"/>
      <c r="E717" s="184"/>
      <c r="F717" s="184"/>
      <c r="G717" s="185"/>
      <c r="H717" s="185"/>
      <c r="I717" s="186"/>
      <c r="J717" s="69"/>
      <c r="AA717" s="63">
        <f t="shared" si="210"/>
        <v>0</v>
      </c>
      <c r="AB717" s="153" t="str">
        <f t="shared" si="211"/>
        <v>000</v>
      </c>
      <c r="AC717" s="165" t="str">
        <f t="shared" si="212"/>
        <v>00000000</v>
      </c>
      <c r="AD717" s="98" t="str">
        <f t="shared" si="213"/>
        <v>00000000</v>
      </c>
      <c r="AE717" s="150">
        <f t="shared" si="214"/>
        <v>0</v>
      </c>
      <c r="AF717" s="150">
        <f t="shared" si="215"/>
        <v>0</v>
      </c>
      <c r="AG717" s="98" t="str">
        <f t="shared" si="216"/>
        <v>0000000000</v>
      </c>
      <c r="AH717" s="151">
        <f t="shared" si="217"/>
        <v>0</v>
      </c>
      <c r="AI717" s="98" t="str">
        <f t="shared" si="218"/>
        <v>00</v>
      </c>
      <c r="AJ717" s="98" t="str">
        <f t="shared" si="219"/>
        <v>000000000000</v>
      </c>
      <c r="AK717" s="161" t="str">
        <f t="shared" si="220"/>
        <v xml:space="preserve">                              </v>
      </c>
      <c r="AL717" s="154">
        <f t="shared" si="221"/>
        <v>0</v>
      </c>
      <c r="AM717" s="155">
        <f t="shared" si="222"/>
        <v>0</v>
      </c>
      <c r="AP717" s="63" t="str">
        <f t="shared" si="223"/>
        <v/>
      </c>
      <c r="AQ717" s="63" t="str">
        <f t="shared" si="224"/>
        <v/>
      </c>
      <c r="AR717" s="152" t="str">
        <f t="shared" si="225"/>
        <v/>
      </c>
      <c r="AS717" s="109" t="str">
        <f t="shared" si="226"/>
        <v/>
      </c>
      <c r="AT717" s="63" t="str">
        <f t="shared" si="227"/>
        <v xml:space="preserve">                    </v>
      </c>
    </row>
    <row r="718" spans="1:46" ht="12.75" x14ac:dyDescent="0.2">
      <c r="A718" s="63" t="str">
        <f t="shared" si="228"/>
        <v/>
      </c>
      <c r="B718" s="185"/>
      <c r="C718" s="184"/>
      <c r="D718" s="184"/>
      <c r="E718" s="184"/>
      <c r="F718" s="184"/>
      <c r="G718" s="185"/>
      <c r="H718" s="185"/>
      <c r="I718" s="186"/>
      <c r="J718" s="69"/>
      <c r="AA718" s="63">
        <f t="shared" si="210"/>
        <v>0</v>
      </c>
      <c r="AB718" s="153" t="str">
        <f t="shared" si="211"/>
        <v>000</v>
      </c>
      <c r="AC718" s="165" t="str">
        <f t="shared" si="212"/>
        <v>00000000</v>
      </c>
      <c r="AD718" s="98" t="str">
        <f t="shared" si="213"/>
        <v>00000000</v>
      </c>
      <c r="AE718" s="150">
        <f t="shared" si="214"/>
        <v>0</v>
      </c>
      <c r="AF718" s="150">
        <f t="shared" si="215"/>
        <v>0</v>
      </c>
      <c r="AG718" s="98" t="str">
        <f t="shared" si="216"/>
        <v>0000000000</v>
      </c>
      <c r="AH718" s="151">
        <f t="shared" si="217"/>
        <v>0</v>
      </c>
      <c r="AI718" s="98" t="str">
        <f t="shared" si="218"/>
        <v>00</v>
      </c>
      <c r="AJ718" s="98" t="str">
        <f t="shared" si="219"/>
        <v>000000000000</v>
      </c>
      <c r="AK718" s="161" t="str">
        <f t="shared" si="220"/>
        <v xml:space="preserve">                              </v>
      </c>
      <c r="AL718" s="154">
        <f t="shared" si="221"/>
        <v>0</v>
      </c>
      <c r="AM718" s="155">
        <f t="shared" si="222"/>
        <v>0</v>
      </c>
      <c r="AP718" s="63" t="str">
        <f t="shared" si="223"/>
        <v/>
      </c>
      <c r="AQ718" s="63" t="str">
        <f t="shared" si="224"/>
        <v/>
      </c>
      <c r="AR718" s="152" t="str">
        <f t="shared" si="225"/>
        <v/>
      </c>
      <c r="AS718" s="109" t="str">
        <f t="shared" si="226"/>
        <v/>
      </c>
      <c r="AT718" s="63" t="str">
        <f t="shared" si="227"/>
        <v xml:space="preserve">                    </v>
      </c>
    </row>
    <row r="719" spans="1:46" ht="12.75" x14ac:dyDescent="0.2">
      <c r="A719" s="63" t="str">
        <f t="shared" si="228"/>
        <v/>
      </c>
      <c r="B719" s="185"/>
      <c r="C719" s="184"/>
      <c r="D719" s="184"/>
      <c r="E719" s="184"/>
      <c r="F719" s="184"/>
      <c r="G719" s="185"/>
      <c r="H719" s="185"/>
      <c r="I719" s="186"/>
      <c r="J719" s="69"/>
      <c r="AA719" s="63">
        <f t="shared" si="210"/>
        <v>0</v>
      </c>
      <c r="AB719" s="153" t="str">
        <f t="shared" si="211"/>
        <v>000</v>
      </c>
      <c r="AC719" s="165" t="str">
        <f t="shared" si="212"/>
        <v>00000000</v>
      </c>
      <c r="AD719" s="98" t="str">
        <f t="shared" si="213"/>
        <v>00000000</v>
      </c>
      <c r="AE719" s="150">
        <f t="shared" si="214"/>
        <v>0</v>
      </c>
      <c r="AF719" s="150">
        <f t="shared" si="215"/>
        <v>0</v>
      </c>
      <c r="AG719" s="98" t="str">
        <f t="shared" si="216"/>
        <v>0000000000</v>
      </c>
      <c r="AH719" s="151">
        <f t="shared" si="217"/>
        <v>0</v>
      </c>
      <c r="AI719" s="98" t="str">
        <f t="shared" si="218"/>
        <v>00</v>
      </c>
      <c r="AJ719" s="98" t="str">
        <f t="shared" si="219"/>
        <v>000000000000</v>
      </c>
      <c r="AK719" s="161" t="str">
        <f t="shared" si="220"/>
        <v xml:space="preserve">                              </v>
      </c>
      <c r="AL719" s="154">
        <f t="shared" si="221"/>
        <v>0</v>
      </c>
      <c r="AM719" s="155">
        <f t="shared" si="222"/>
        <v>0</v>
      </c>
      <c r="AP719" s="63" t="str">
        <f t="shared" si="223"/>
        <v/>
      </c>
      <c r="AQ719" s="63" t="str">
        <f t="shared" si="224"/>
        <v/>
      </c>
      <c r="AR719" s="152" t="str">
        <f t="shared" si="225"/>
        <v/>
      </c>
      <c r="AS719" s="109" t="str">
        <f t="shared" si="226"/>
        <v/>
      </c>
      <c r="AT719" s="63" t="str">
        <f t="shared" si="227"/>
        <v xml:space="preserve">                    </v>
      </c>
    </row>
    <row r="720" spans="1:46" ht="12.75" x14ac:dyDescent="0.2">
      <c r="A720" s="63" t="str">
        <f t="shared" si="228"/>
        <v/>
      </c>
      <c r="B720" s="185"/>
      <c r="C720" s="184"/>
      <c r="D720" s="184"/>
      <c r="E720" s="184"/>
      <c r="F720" s="184"/>
      <c r="G720" s="185"/>
      <c r="H720" s="185"/>
      <c r="I720" s="186"/>
      <c r="J720" s="69"/>
      <c r="AA720" s="63">
        <f t="shared" si="210"/>
        <v>0</v>
      </c>
      <c r="AB720" s="153" t="str">
        <f t="shared" si="211"/>
        <v>000</v>
      </c>
      <c r="AC720" s="165" t="str">
        <f t="shared" si="212"/>
        <v>00000000</v>
      </c>
      <c r="AD720" s="98" t="str">
        <f t="shared" si="213"/>
        <v>00000000</v>
      </c>
      <c r="AE720" s="150">
        <f t="shared" si="214"/>
        <v>0</v>
      </c>
      <c r="AF720" s="150">
        <f t="shared" si="215"/>
        <v>0</v>
      </c>
      <c r="AG720" s="98" t="str">
        <f t="shared" si="216"/>
        <v>0000000000</v>
      </c>
      <c r="AH720" s="151">
        <f t="shared" si="217"/>
        <v>0</v>
      </c>
      <c r="AI720" s="98" t="str">
        <f t="shared" si="218"/>
        <v>00</v>
      </c>
      <c r="AJ720" s="98" t="str">
        <f t="shared" si="219"/>
        <v>000000000000</v>
      </c>
      <c r="AK720" s="161" t="str">
        <f t="shared" si="220"/>
        <v xml:space="preserve">                              </v>
      </c>
      <c r="AL720" s="154">
        <f t="shared" si="221"/>
        <v>0</v>
      </c>
      <c r="AM720" s="155">
        <f t="shared" si="222"/>
        <v>0</v>
      </c>
      <c r="AP720" s="63" t="str">
        <f t="shared" si="223"/>
        <v/>
      </c>
      <c r="AQ720" s="63" t="str">
        <f t="shared" si="224"/>
        <v/>
      </c>
      <c r="AR720" s="152" t="str">
        <f t="shared" si="225"/>
        <v/>
      </c>
      <c r="AS720" s="109" t="str">
        <f t="shared" si="226"/>
        <v/>
      </c>
      <c r="AT720" s="63" t="str">
        <f t="shared" si="227"/>
        <v xml:space="preserve">                    </v>
      </c>
    </row>
    <row r="721" spans="1:46" ht="12.75" x14ac:dyDescent="0.2">
      <c r="A721" s="63" t="str">
        <f t="shared" si="228"/>
        <v/>
      </c>
      <c r="B721" s="185"/>
      <c r="C721" s="184"/>
      <c r="D721" s="184"/>
      <c r="E721" s="184"/>
      <c r="F721" s="184"/>
      <c r="G721" s="185"/>
      <c r="H721" s="185"/>
      <c r="I721" s="186"/>
      <c r="J721" s="69"/>
      <c r="AA721" s="63">
        <f t="shared" ref="AA721:AA784" si="229">B721</f>
        <v>0</v>
      </c>
      <c r="AB721" s="153" t="str">
        <f t="shared" ref="AB721:AB784" si="230">CONCATENATE(REPT("0",3-LEN(C721)),C721)</f>
        <v>000</v>
      </c>
      <c r="AC721" s="165" t="str">
        <f t="shared" ref="AC721:AC784" si="231">CONCATENATE(REPT("0",8-LEN(D721)),D721)</f>
        <v>00000000</v>
      </c>
      <c r="AD721" s="98" t="str">
        <f t="shared" ref="AD721:AD784" si="232">CONCATENATE(REPT("0",8-LEN(F721)),F721)</f>
        <v>00000000</v>
      </c>
      <c r="AE721" s="150">
        <f t="shared" ref="AE721:AE784" si="233">INT(I721)</f>
        <v>0</v>
      </c>
      <c r="AF721" s="150">
        <f t="shared" ref="AF721:AF784" si="234">I721-AE721</f>
        <v>0</v>
      </c>
      <c r="AG721" s="98" t="str">
        <f t="shared" ref="AG721:AG784" si="235">TEXT(AE721,"0000000000")</f>
        <v>0000000000</v>
      </c>
      <c r="AH721" s="151">
        <f t="shared" ref="AH721:AH784" si="236">AF721*100</f>
        <v>0</v>
      </c>
      <c r="AI721" s="98" t="str">
        <f t="shared" ref="AI721:AI784" si="237">TEXT(AH721,"00")</f>
        <v>00</v>
      </c>
      <c r="AJ721" s="98" t="str">
        <f t="shared" ref="AJ721:AJ784" si="238">CONCATENATE(AG721,AI721)</f>
        <v>000000000000</v>
      </c>
      <c r="AK721" s="161" t="str">
        <f t="shared" ref="AK721:AK784" si="239">CONCATENATE(E721,REPT(" ",30-LEN(E721)))</f>
        <v xml:space="preserve">                              </v>
      </c>
      <c r="AL721" s="154">
        <f t="shared" ref="AL721:AL784" si="240">IF(H721&lt;&gt;"",IF(H721=$H$3,0,1),0)</f>
        <v>0</v>
      </c>
      <c r="AM721" s="155">
        <f t="shared" ref="AM721:AM784" si="241">IF(AL721=1,IF($H$3=1,I721*$K$14,I721/$K$14),I721)</f>
        <v>0</v>
      </c>
      <c r="AP721" s="63" t="str">
        <f t="shared" si="223"/>
        <v/>
      </c>
      <c r="AQ721" s="63" t="str">
        <f t="shared" si="224"/>
        <v/>
      </c>
      <c r="AR721" s="152" t="str">
        <f t="shared" si="225"/>
        <v/>
      </c>
      <c r="AS721" s="109" t="str">
        <f t="shared" si="226"/>
        <v/>
      </c>
      <c r="AT721" s="63" t="str">
        <f t="shared" si="227"/>
        <v xml:space="preserve">                    </v>
      </c>
    </row>
    <row r="722" spans="1:46" ht="12.75" x14ac:dyDescent="0.2">
      <c r="A722" s="63" t="str">
        <f t="shared" si="228"/>
        <v/>
      </c>
      <c r="B722" s="185"/>
      <c r="C722" s="184"/>
      <c r="D722" s="184"/>
      <c r="E722" s="184"/>
      <c r="F722" s="184"/>
      <c r="G722" s="185"/>
      <c r="H722" s="185"/>
      <c r="I722" s="186"/>
      <c r="J722" s="69"/>
      <c r="AA722" s="63">
        <f t="shared" si="229"/>
        <v>0</v>
      </c>
      <c r="AB722" s="153" t="str">
        <f t="shared" si="230"/>
        <v>000</v>
      </c>
      <c r="AC722" s="165" t="str">
        <f t="shared" si="231"/>
        <v>00000000</v>
      </c>
      <c r="AD722" s="98" t="str">
        <f t="shared" si="232"/>
        <v>00000000</v>
      </c>
      <c r="AE722" s="150">
        <f t="shared" si="233"/>
        <v>0</v>
      </c>
      <c r="AF722" s="150">
        <f t="shared" si="234"/>
        <v>0</v>
      </c>
      <c r="AG722" s="98" t="str">
        <f t="shared" si="235"/>
        <v>0000000000</v>
      </c>
      <c r="AH722" s="151">
        <f t="shared" si="236"/>
        <v>0</v>
      </c>
      <c r="AI722" s="98" t="str">
        <f t="shared" si="237"/>
        <v>00</v>
      </c>
      <c r="AJ722" s="98" t="str">
        <f t="shared" si="238"/>
        <v>000000000000</v>
      </c>
      <c r="AK722" s="161" t="str">
        <f t="shared" si="239"/>
        <v xml:space="preserve">                              </v>
      </c>
      <c r="AL722" s="154">
        <f t="shared" si="240"/>
        <v>0</v>
      </c>
      <c r="AM722" s="155">
        <f t="shared" si="241"/>
        <v>0</v>
      </c>
      <c r="AP722" s="63" t="str">
        <f t="shared" ref="AP722:AP785" si="242">IF(D723&lt;&gt;"",CONCATENATE("000",AS722,"0",H723,"2","    ",AD723,AJ723,"            ",AT723,AK723,"                                                                                     "),"")</f>
        <v/>
      </c>
      <c r="AQ722" s="63" t="str">
        <f t="shared" ref="AQ722:AQ785" si="243">IF(D723&lt;&gt;"",CONCATENATE("1520",AA723,AB723,AC723),"")</f>
        <v/>
      </c>
      <c r="AR722" s="152" t="str">
        <f t="shared" ref="AR722:AR785" si="244">IF(D723&lt;&gt;"",MOD(SUM(VALUE(MID($AQ$1,1,1)) * VALUE(MID(AQ722,1,1)),VALUE(MID($AQ$1,2,1)) * VALUE(MID(AQ722,2,1)),VALUE(MID($AQ$1,3,1)) * VALUE(MID(AQ722,3,1)),VALUE(MID($AQ$1,4,1)) * VALUE(MID(AQ722,4,1)),VALUE(MID($AQ$1,5,1)) * VALUE(MID(AQ722,5,1)),VALUE(MID($AQ$1,6,1)) * VALUE(MID(AQ722,6,1)),VALUE(MID($AQ$1,7,1)) * VALUE(MID(AQ722,7,1)),VALUE(MID($AQ$1,8,1)) * VALUE(MID(AQ722,8,1)),VALUE(MID($AQ$1,9,1)) * VALUE(MID(AQ722,9,1)),VALUE(MID($AQ$1,10,1)) * VALUE(MID(AQ722,10,1)),VALUE(MID($AQ$1,11,1)) * VALUE(MID(AQ722,11,1)),VALUE(MID($AQ$1,12,1)) * VALUE(MID(AQ722,12,1)),VALUE(MID($AQ$1,13,1)) * VALUE(MID(AQ722,13,1)),VALUE(MID($AQ$1,14,1)) * VALUE(MID(AQ722,14,1)),VALUE(MID($AQ$1,15,1)) * VALUE(MID(AQ722,15,1)),VALUE(MID($AQ$1,16,1)) * VALUE(MID(AQ722,16,1))),11),"")</f>
        <v/>
      </c>
      <c r="AS722" s="109" t="str">
        <f t="shared" ref="AS722:AS785" si="245">IF(D723&lt;&gt;"",CONCATENATE(AQ722,IF(AR722&gt;9,"1",AR722)),"")</f>
        <v/>
      </c>
      <c r="AT722" s="63" t="str">
        <f t="shared" ref="AT722:AT785" si="246">CONCATENATE(G722,REPT(" ",20-LEN(G722)))</f>
        <v xml:space="preserve">                    </v>
      </c>
    </row>
    <row r="723" spans="1:46" ht="12.75" x14ac:dyDescent="0.2">
      <c r="A723" s="63" t="str">
        <f t="shared" si="228"/>
        <v/>
      </c>
      <c r="B723" s="185"/>
      <c r="C723" s="184"/>
      <c r="D723" s="184"/>
      <c r="E723" s="184"/>
      <c r="F723" s="184"/>
      <c r="G723" s="185"/>
      <c r="H723" s="185"/>
      <c r="I723" s="186"/>
      <c r="J723" s="69"/>
      <c r="AA723" s="63">
        <f t="shared" si="229"/>
        <v>0</v>
      </c>
      <c r="AB723" s="153" t="str">
        <f t="shared" si="230"/>
        <v>000</v>
      </c>
      <c r="AC723" s="165" t="str">
        <f t="shared" si="231"/>
        <v>00000000</v>
      </c>
      <c r="AD723" s="98" t="str">
        <f t="shared" si="232"/>
        <v>00000000</v>
      </c>
      <c r="AE723" s="150">
        <f t="shared" si="233"/>
        <v>0</v>
      </c>
      <c r="AF723" s="150">
        <f t="shared" si="234"/>
        <v>0</v>
      </c>
      <c r="AG723" s="98" t="str">
        <f t="shared" si="235"/>
        <v>0000000000</v>
      </c>
      <c r="AH723" s="151">
        <f t="shared" si="236"/>
        <v>0</v>
      </c>
      <c r="AI723" s="98" t="str">
        <f t="shared" si="237"/>
        <v>00</v>
      </c>
      <c r="AJ723" s="98" t="str">
        <f t="shared" si="238"/>
        <v>000000000000</v>
      </c>
      <c r="AK723" s="161" t="str">
        <f t="shared" si="239"/>
        <v xml:space="preserve">                              </v>
      </c>
      <c r="AL723" s="154">
        <f t="shared" si="240"/>
        <v>0</v>
      </c>
      <c r="AM723" s="155">
        <f t="shared" si="241"/>
        <v>0</v>
      </c>
      <c r="AP723" s="63" t="str">
        <f t="shared" si="242"/>
        <v/>
      </c>
      <c r="AQ723" s="63" t="str">
        <f t="shared" si="243"/>
        <v/>
      </c>
      <c r="AR723" s="152" t="str">
        <f t="shared" si="244"/>
        <v/>
      </c>
      <c r="AS723" s="109" t="str">
        <f t="shared" si="245"/>
        <v/>
      </c>
      <c r="AT723" s="63" t="str">
        <f t="shared" si="246"/>
        <v xml:space="preserve">                    </v>
      </c>
    </row>
    <row r="724" spans="1:46" ht="12.75" x14ac:dyDescent="0.2">
      <c r="A724" s="63" t="str">
        <f t="shared" si="228"/>
        <v/>
      </c>
      <c r="B724" s="185"/>
      <c r="C724" s="184"/>
      <c r="D724" s="184"/>
      <c r="E724" s="184"/>
      <c r="F724" s="184"/>
      <c r="G724" s="185"/>
      <c r="H724" s="185"/>
      <c r="I724" s="186"/>
      <c r="J724" s="69"/>
      <c r="AA724" s="63">
        <f t="shared" si="229"/>
        <v>0</v>
      </c>
      <c r="AB724" s="153" t="str">
        <f t="shared" si="230"/>
        <v>000</v>
      </c>
      <c r="AC724" s="165" t="str">
        <f t="shared" si="231"/>
        <v>00000000</v>
      </c>
      <c r="AD724" s="98" t="str">
        <f t="shared" si="232"/>
        <v>00000000</v>
      </c>
      <c r="AE724" s="150">
        <f t="shared" si="233"/>
        <v>0</v>
      </c>
      <c r="AF724" s="150">
        <f t="shared" si="234"/>
        <v>0</v>
      </c>
      <c r="AG724" s="98" t="str">
        <f t="shared" si="235"/>
        <v>0000000000</v>
      </c>
      <c r="AH724" s="151">
        <f t="shared" si="236"/>
        <v>0</v>
      </c>
      <c r="AI724" s="98" t="str">
        <f t="shared" si="237"/>
        <v>00</v>
      </c>
      <c r="AJ724" s="98" t="str">
        <f t="shared" si="238"/>
        <v>000000000000</v>
      </c>
      <c r="AK724" s="161" t="str">
        <f t="shared" si="239"/>
        <v xml:space="preserve">                              </v>
      </c>
      <c r="AL724" s="154">
        <f t="shared" si="240"/>
        <v>0</v>
      </c>
      <c r="AM724" s="155">
        <f t="shared" si="241"/>
        <v>0</v>
      </c>
      <c r="AP724" s="63" t="str">
        <f t="shared" si="242"/>
        <v/>
      </c>
      <c r="AQ724" s="63" t="str">
        <f t="shared" si="243"/>
        <v/>
      </c>
      <c r="AR724" s="152" t="str">
        <f t="shared" si="244"/>
        <v/>
      </c>
      <c r="AS724" s="109" t="str">
        <f t="shared" si="245"/>
        <v/>
      </c>
      <c r="AT724" s="63" t="str">
        <f t="shared" si="246"/>
        <v xml:space="preserve">                    </v>
      </c>
    </row>
    <row r="725" spans="1:46" ht="12.75" x14ac:dyDescent="0.2">
      <c r="A725" s="63" t="str">
        <f t="shared" si="228"/>
        <v/>
      </c>
      <c r="B725" s="185"/>
      <c r="C725" s="185"/>
      <c r="D725" s="185"/>
      <c r="E725" s="185"/>
      <c r="F725" s="185"/>
      <c r="G725" s="185"/>
      <c r="H725" s="185"/>
      <c r="I725" s="186"/>
      <c r="J725" s="69"/>
      <c r="AA725" s="63">
        <f t="shared" si="229"/>
        <v>0</v>
      </c>
      <c r="AB725" s="153" t="str">
        <f t="shared" si="230"/>
        <v>000</v>
      </c>
      <c r="AC725" s="165" t="str">
        <f t="shared" si="231"/>
        <v>00000000</v>
      </c>
      <c r="AD725" s="98" t="str">
        <f t="shared" si="232"/>
        <v>00000000</v>
      </c>
      <c r="AE725" s="150">
        <f t="shared" si="233"/>
        <v>0</v>
      </c>
      <c r="AF725" s="150">
        <f t="shared" si="234"/>
        <v>0</v>
      </c>
      <c r="AG725" s="98" t="str">
        <f t="shared" si="235"/>
        <v>0000000000</v>
      </c>
      <c r="AH725" s="151">
        <f t="shared" si="236"/>
        <v>0</v>
      </c>
      <c r="AI725" s="98" t="str">
        <f t="shared" si="237"/>
        <v>00</v>
      </c>
      <c r="AJ725" s="98" t="str">
        <f t="shared" si="238"/>
        <v>000000000000</v>
      </c>
      <c r="AK725" s="161" t="str">
        <f t="shared" si="239"/>
        <v xml:space="preserve">                              </v>
      </c>
      <c r="AL725" s="154">
        <f t="shared" si="240"/>
        <v>0</v>
      </c>
      <c r="AM725" s="155">
        <f t="shared" si="241"/>
        <v>0</v>
      </c>
      <c r="AP725" s="63" t="str">
        <f t="shared" si="242"/>
        <v/>
      </c>
      <c r="AQ725" s="63" t="str">
        <f t="shared" si="243"/>
        <v/>
      </c>
      <c r="AR725" s="152" t="str">
        <f t="shared" si="244"/>
        <v/>
      </c>
      <c r="AS725" s="109" t="str">
        <f t="shared" si="245"/>
        <v/>
      </c>
      <c r="AT725" s="63" t="str">
        <f t="shared" si="246"/>
        <v xml:space="preserve">                    </v>
      </c>
    </row>
    <row r="726" spans="1:46" ht="12.75" x14ac:dyDescent="0.2">
      <c r="A726" s="63" t="str">
        <f t="shared" si="228"/>
        <v/>
      </c>
      <c r="B726" s="185"/>
      <c r="C726" s="185"/>
      <c r="D726" s="185"/>
      <c r="E726" s="185"/>
      <c r="F726" s="185"/>
      <c r="G726" s="185"/>
      <c r="H726" s="185"/>
      <c r="I726" s="186"/>
      <c r="J726" s="69"/>
      <c r="AA726" s="63">
        <f t="shared" si="229"/>
        <v>0</v>
      </c>
      <c r="AB726" s="153" t="str">
        <f t="shared" si="230"/>
        <v>000</v>
      </c>
      <c r="AC726" s="165" t="str">
        <f t="shared" si="231"/>
        <v>00000000</v>
      </c>
      <c r="AD726" s="98" t="str">
        <f t="shared" si="232"/>
        <v>00000000</v>
      </c>
      <c r="AE726" s="150">
        <f t="shared" si="233"/>
        <v>0</v>
      </c>
      <c r="AF726" s="150">
        <f t="shared" si="234"/>
        <v>0</v>
      </c>
      <c r="AG726" s="98" t="str">
        <f t="shared" si="235"/>
        <v>0000000000</v>
      </c>
      <c r="AH726" s="151">
        <f t="shared" si="236"/>
        <v>0</v>
      </c>
      <c r="AI726" s="98" t="str">
        <f t="shared" si="237"/>
        <v>00</v>
      </c>
      <c r="AJ726" s="98" t="str">
        <f t="shared" si="238"/>
        <v>000000000000</v>
      </c>
      <c r="AK726" s="161" t="str">
        <f t="shared" si="239"/>
        <v xml:space="preserve">                              </v>
      </c>
      <c r="AL726" s="154">
        <f t="shared" si="240"/>
        <v>0</v>
      </c>
      <c r="AM726" s="155">
        <f t="shared" si="241"/>
        <v>0</v>
      </c>
      <c r="AP726" s="63" t="str">
        <f t="shared" si="242"/>
        <v/>
      </c>
      <c r="AQ726" s="63" t="str">
        <f t="shared" si="243"/>
        <v/>
      </c>
      <c r="AR726" s="152" t="str">
        <f t="shared" si="244"/>
        <v/>
      </c>
      <c r="AS726" s="109" t="str">
        <f t="shared" si="245"/>
        <v/>
      </c>
      <c r="AT726" s="63" t="str">
        <f t="shared" si="246"/>
        <v xml:space="preserve">                    </v>
      </c>
    </row>
    <row r="727" spans="1:46" ht="12.75" x14ac:dyDescent="0.2">
      <c r="A727" s="63" t="str">
        <f t="shared" si="228"/>
        <v/>
      </c>
      <c r="B727" s="185"/>
      <c r="C727" s="185"/>
      <c r="D727" s="185"/>
      <c r="E727" s="185"/>
      <c r="F727" s="185"/>
      <c r="G727" s="185"/>
      <c r="H727" s="185"/>
      <c r="I727" s="186"/>
      <c r="J727" s="69"/>
      <c r="AA727" s="63">
        <f t="shared" si="229"/>
        <v>0</v>
      </c>
      <c r="AB727" s="153" t="str">
        <f t="shared" si="230"/>
        <v>000</v>
      </c>
      <c r="AC727" s="165" t="str">
        <f t="shared" si="231"/>
        <v>00000000</v>
      </c>
      <c r="AD727" s="98" t="str">
        <f t="shared" si="232"/>
        <v>00000000</v>
      </c>
      <c r="AE727" s="150">
        <f t="shared" si="233"/>
        <v>0</v>
      </c>
      <c r="AF727" s="150">
        <f t="shared" si="234"/>
        <v>0</v>
      </c>
      <c r="AG727" s="98" t="str">
        <f t="shared" si="235"/>
        <v>0000000000</v>
      </c>
      <c r="AH727" s="151">
        <f t="shared" si="236"/>
        <v>0</v>
      </c>
      <c r="AI727" s="98" t="str">
        <f t="shared" si="237"/>
        <v>00</v>
      </c>
      <c r="AJ727" s="98" t="str">
        <f t="shared" si="238"/>
        <v>000000000000</v>
      </c>
      <c r="AK727" s="161" t="str">
        <f t="shared" si="239"/>
        <v xml:space="preserve">                              </v>
      </c>
      <c r="AL727" s="154">
        <f t="shared" si="240"/>
        <v>0</v>
      </c>
      <c r="AM727" s="155">
        <f t="shared" si="241"/>
        <v>0</v>
      </c>
      <c r="AP727" s="63" t="str">
        <f t="shared" si="242"/>
        <v/>
      </c>
      <c r="AQ727" s="63" t="str">
        <f t="shared" si="243"/>
        <v/>
      </c>
      <c r="AR727" s="152" t="str">
        <f t="shared" si="244"/>
        <v/>
      </c>
      <c r="AS727" s="109" t="str">
        <f t="shared" si="245"/>
        <v/>
      </c>
      <c r="AT727" s="63" t="str">
        <f t="shared" si="246"/>
        <v xml:space="preserve">                    </v>
      </c>
    </row>
    <row r="728" spans="1:46" ht="12.75" x14ac:dyDescent="0.2">
      <c r="A728" s="63" t="str">
        <f t="shared" si="228"/>
        <v/>
      </c>
      <c r="B728" s="185"/>
      <c r="C728" s="185"/>
      <c r="D728" s="185"/>
      <c r="E728" s="185"/>
      <c r="F728" s="185"/>
      <c r="G728" s="185"/>
      <c r="H728" s="185"/>
      <c r="I728" s="186"/>
      <c r="J728" s="69"/>
      <c r="AA728" s="63">
        <f t="shared" si="229"/>
        <v>0</v>
      </c>
      <c r="AB728" s="153" t="str">
        <f t="shared" si="230"/>
        <v>000</v>
      </c>
      <c r="AC728" s="165" t="str">
        <f t="shared" si="231"/>
        <v>00000000</v>
      </c>
      <c r="AD728" s="98" t="str">
        <f t="shared" si="232"/>
        <v>00000000</v>
      </c>
      <c r="AE728" s="150">
        <f t="shared" si="233"/>
        <v>0</v>
      </c>
      <c r="AF728" s="150">
        <f t="shared" si="234"/>
        <v>0</v>
      </c>
      <c r="AG728" s="98" t="str">
        <f t="shared" si="235"/>
        <v>0000000000</v>
      </c>
      <c r="AH728" s="151">
        <f t="shared" si="236"/>
        <v>0</v>
      </c>
      <c r="AI728" s="98" t="str">
        <f t="shared" si="237"/>
        <v>00</v>
      </c>
      <c r="AJ728" s="98" t="str">
        <f t="shared" si="238"/>
        <v>000000000000</v>
      </c>
      <c r="AK728" s="161" t="str">
        <f t="shared" si="239"/>
        <v xml:space="preserve">                              </v>
      </c>
      <c r="AL728" s="154">
        <f t="shared" si="240"/>
        <v>0</v>
      </c>
      <c r="AM728" s="155">
        <f t="shared" si="241"/>
        <v>0</v>
      </c>
      <c r="AP728" s="63" t="str">
        <f t="shared" si="242"/>
        <v/>
      </c>
      <c r="AQ728" s="63" t="str">
        <f t="shared" si="243"/>
        <v/>
      </c>
      <c r="AR728" s="152" t="str">
        <f t="shared" si="244"/>
        <v/>
      </c>
      <c r="AS728" s="109" t="str">
        <f t="shared" si="245"/>
        <v/>
      </c>
      <c r="AT728" s="63" t="str">
        <f t="shared" si="246"/>
        <v xml:space="preserve">                    </v>
      </c>
    </row>
    <row r="729" spans="1:46" ht="12.75" x14ac:dyDescent="0.2">
      <c r="A729" s="63" t="str">
        <f t="shared" si="228"/>
        <v/>
      </c>
      <c r="B729" s="185"/>
      <c r="C729" s="185"/>
      <c r="D729" s="185"/>
      <c r="E729" s="185"/>
      <c r="F729" s="185"/>
      <c r="G729" s="185"/>
      <c r="H729" s="185"/>
      <c r="I729" s="186"/>
      <c r="J729" s="69"/>
      <c r="AA729" s="63">
        <f t="shared" si="229"/>
        <v>0</v>
      </c>
      <c r="AB729" s="153" t="str">
        <f t="shared" si="230"/>
        <v>000</v>
      </c>
      <c r="AC729" s="165" t="str">
        <f t="shared" si="231"/>
        <v>00000000</v>
      </c>
      <c r="AD729" s="98" t="str">
        <f t="shared" si="232"/>
        <v>00000000</v>
      </c>
      <c r="AE729" s="150">
        <f t="shared" si="233"/>
        <v>0</v>
      </c>
      <c r="AF729" s="150">
        <f t="shared" si="234"/>
        <v>0</v>
      </c>
      <c r="AG729" s="98" t="str">
        <f t="shared" si="235"/>
        <v>0000000000</v>
      </c>
      <c r="AH729" s="151">
        <f t="shared" si="236"/>
        <v>0</v>
      </c>
      <c r="AI729" s="98" t="str">
        <f t="shared" si="237"/>
        <v>00</v>
      </c>
      <c r="AJ729" s="98" t="str">
        <f t="shared" si="238"/>
        <v>000000000000</v>
      </c>
      <c r="AK729" s="161" t="str">
        <f t="shared" si="239"/>
        <v xml:space="preserve">                              </v>
      </c>
      <c r="AL729" s="154">
        <f t="shared" si="240"/>
        <v>0</v>
      </c>
      <c r="AM729" s="155">
        <f t="shared" si="241"/>
        <v>0</v>
      </c>
      <c r="AP729" s="63" t="str">
        <f t="shared" si="242"/>
        <v/>
      </c>
      <c r="AQ729" s="63" t="str">
        <f t="shared" si="243"/>
        <v/>
      </c>
      <c r="AR729" s="152" t="str">
        <f t="shared" si="244"/>
        <v/>
      </c>
      <c r="AS729" s="109" t="str">
        <f t="shared" si="245"/>
        <v/>
      </c>
      <c r="AT729" s="63" t="str">
        <f t="shared" si="246"/>
        <v xml:space="preserve">                    </v>
      </c>
    </row>
    <row r="730" spans="1:46" ht="12.75" x14ac:dyDescent="0.2">
      <c r="A730" s="63" t="str">
        <f t="shared" si="228"/>
        <v/>
      </c>
      <c r="B730" s="185"/>
      <c r="C730" s="185"/>
      <c r="D730" s="185"/>
      <c r="E730" s="185"/>
      <c r="F730" s="185"/>
      <c r="G730" s="185"/>
      <c r="H730" s="185"/>
      <c r="I730" s="186"/>
      <c r="J730" s="69"/>
      <c r="AA730" s="63">
        <f t="shared" si="229"/>
        <v>0</v>
      </c>
      <c r="AB730" s="153" t="str">
        <f t="shared" si="230"/>
        <v>000</v>
      </c>
      <c r="AC730" s="165" t="str">
        <f t="shared" si="231"/>
        <v>00000000</v>
      </c>
      <c r="AD730" s="98" t="str">
        <f t="shared" si="232"/>
        <v>00000000</v>
      </c>
      <c r="AE730" s="150">
        <f t="shared" si="233"/>
        <v>0</v>
      </c>
      <c r="AF730" s="150">
        <f t="shared" si="234"/>
        <v>0</v>
      </c>
      <c r="AG730" s="98" t="str">
        <f t="shared" si="235"/>
        <v>0000000000</v>
      </c>
      <c r="AH730" s="151">
        <f t="shared" si="236"/>
        <v>0</v>
      </c>
      <c r="AI730" s="98" t="str">
        <f t="shared" si="237"/>
        <v>00</v>
      </c>
      <c r="AJ730" s="98" t="str">
        <f t="shared" si="238"/>
        <v>000000000000</v>
      </c>
      <c r="AK730" s="161" t="str">
        <f t="shared" si="239"/>
        <v xml:space="preserve">                              </v>
      </c>
      <c r="AL730" s="154">
        <f t="shared" si="240"/>
        <v>0</v>
      </c>
      <c r="AM730" s="155">
        <f t="shared" si="241"/>
        <v>0</v>
      </c>
      <c r="AP730" s="63" t="str">
        <f t="shared" si="242"/>
        <v/>
      </c>
      <c r="AQ730" s="63" t="str">
        <f t="shared" si="243"/>
        <v/>
      </c>
      <c r="AR730" s="152" t="str">
        <f t="shared" si="244"/>
        <v/>
      </c>
      <c r="AS730" s="109" t="str">
        <f t="shared" si="245"/>
        <v/>
      </c>
      <c r="AT730" s="63" t="str">
        <f t="shared" si="246"/>
        <v xml:space="preserve">                    </v>
      </c>
    </row>
    <row r="731" spans="1:46" ht="12.75" x14ac:dyDescent="0.2">
      <c r="A731" s="63" t="str">
        <f t="shared" si="228"/>
        <v/>
      </c>
      <c r="B731" s="185"/>
      <c r="C731" s="185"/>
      <c r="D731" s="185"/>
      <c r="E731" s="185"/>
      <c r="F731" s="185"/>
      <c r="G731" s="185"/>
      <c r="H731" s="185"/>
      <c r="I731" s="186"/>
      <c r="J731" s="69"/>
      <c r="AA731" s="63">
        <f t="shared" si="229"/>
        <v>0</v>
      </c>
      <c r="AB731" s="153" t="str">
        <f t="shared" si="230"/>
        <v>000</v>
      </c>
      <c r="AC731" s="165" t="str">
        <f t="shared" si="231"/>
        <v>00000000</v>
      </c>
      <c r="AD731" s="98" t="str">
        <f t="shared" si="232"/>
        <v>00000000</v>
      </c>
      <c r="AE731" s="150">
        <f t="shared" si="233"/>
        <v>0</v>
      </c>
      <c r="AF731" s="150">
        <f t="shared" si="234"/>
        <v>0</v>
      </c>
      <c r="AG731" s="98" t="str">
        <f t="shared" si="235"/>
        <v>0000000000</v>
      </c>
      <c r="AH731" s="151">
        <f t="shared" si="236"/>
        <v>0</v>
      </c>
      <c r="AI731" s="98" t="str">
        <f t="shared" si="237"/>
        <v>00</v>
      </c>
      <c r="AJ731" s="98" t="str">
        <f t="shared" si="238"/>
        <v>000000000000</v>
      </c>
      <c r="AK731" s="161" t="str">
        <f t="shared" si="239"/>
        <v xml:space="preserve">                              </v>
      </c>
      <c r="AL731" s="154">
        <f t="shared" si="240"/>
        <v>0</v>
      </c>
      <c r="AM731" s="155">
        <f t="shared" si="241"/>
        <v>0</v>
      </c>
      <c r="AP731" s="63" t="str">
        <f t="shared" si="242"/>
        <v/>
      </c>
      <c r="AQ731" s="63" t="str">
        <f t="shared" si="243"/>
        <v/>
      </c>
      <c r="AR731" s="152" t="str">
        <f t="shared" si="244"/>
        <v/>
      </c>
      <c r="AS731" s="109" t="str">
        <f t="shared" si="245"/>
        <v/>
      </c>
      <c r="AT731" s="63" t="str">
        <f t="shared" si="246"/>
        <v xml:space="preserve">                    </v>
      </c>
    </row>
    <row r="732" spans="1:46" ht="12.75" x14ac:dyDescent="0.2">
      <c r="A732" s="63" t="str">
        <f t="shared" si="228"/>
        <v/>
      </c>
      <c r="B732" s="185"/>
      <c r="C732" s="185"/>
      <c r="D732" s="185"/>
      <c r="E732" s="185"/>
      <c r="F732" s="185"/>
      <c r="G732" s="185"/>
      <c r="H732" s="185"/>
      <c r="I732" s="186"/>
      <c r="J732" s="69"/>
      <c r="AA732" s="63">
        <f t="shared" si="229"/>
        <v>0</v>
      </c>
      <c r="AB732" s="153" t="str">
        <f t="shared" si="230"/>
        <v>000</v>
      </c>
      <c r="AC732" s="165" t="str">
        <f t="shared" si="231"/>
        <v>00000000</v>
      </c>
      <c r="AD732" s="98" t="str">
        <f t="shared" si="232"/>
        <v>00000000</v>
      </c>
      <c r="AE732" s="150">
        <f t="shared" si="233"/>
        <v>0</v>
      </c>
      <c r="AF732" s="150">
        <f t="shared" si="234"/>
        <v>0</v>
      </c>
      <c r="AG732" s="98" t="str">
        <f t="shared" si="235"/>
        <v>0000000000</v>
      </c>
      <c r="AH732" s="151">
        <f t="shared" si="236"/>
        <v>0</v>
      </c>
      <c r="AI732" s="98" t="str">
        <f t="shared" si="237"/>
        <v>00</v>
      </c>
      <c r="AJ732" s="98" t="str">
        <f t="shared" si="238"/>
        <v>000000000000</v>
      </c>
      <c r="AK732" s="161" t="str">
        <f t="shared" si="239"/>
        <v xml:space="preserve">                              </v>
      </c>
      <c r="AL732" s="154">
        <f t="shared" si="240"/>
        <v>0</v>
      </c>
      <c r="AM732" s="155">
        <f t="shared" si="241"/>
        <v>0</v>
      </c>
      <c r="AP732" s="63" t="str">
        <f t="shared" si="242"/>
        <v/>
      </c>
      <c r="AQ732" s="63" t="str">
        <f t="shared" si="243"/>
        <v/>
      </c>
      <c r="AR732" s="152" t="str">
        <f t="shared" si="244"/>
        <v/>
      </c>
      <c r="AS732" s="109" t="str">
        <f t="shared" si="245"/>
        <v/>
      </c>
      <c r="AT732" s="63" t="str">
        <f t="shared" si="246"/>
        <v xml:space="preserve">                    </v>
      </c>
    </row>
    <row r="733" spans="1:46" ht="12.75" x14ac:dyDescent="0.2">
      <c r="A733" s="63" t="str">
        <f t="shared" si="228"/>
        <v/>
      </c>
      <c r="B733" s="185"/>
      <c r="C733" s="185"/>
      <c r="D733" s="185"/>
      <c r="E733" s="185"/>
      <c r="F733" s="185"/>
      <c r="G733" s="185"/>
      <c r="H733" s="185"/>
      <c r="I733" s="186"/>
      <c r="J733" s="69"/>
      <c r="AA733" s="63">
        <f t="shared" si="229"/>
        <v>0</v>
      </c>
      <c r="AB733" s="153" t="str">
        <f t="shared" si="230"/>
        <v>000</v>
      </c>
      <c r="AC733" s="165" t="str">
        <f t="shared" si="231"/>
        <v>00000000</v>
      </c>
      <c r="AD733" s="98" t="str">
        <f t="shared" si="232"/>
        <v>00000000</v>
      </c>
      <c r="AE733" s="150">
        <f t="shared" si="233"/>
        <v>0</v>
      </c>
      <c r="AF733" s="150">
        <f t="shared" si="234"/>
        <v>0</v>
      </c>
      <c r="AG733" s="98" t="str">
        <f t="shared" si="235"/>
        <v>0000000000</v>
      </c>
      <c r="AH733" s="151">
        <f t="shared" si="236"/>
        <v>0</v>
      </c>
      <c r="AI733" s="98" t="str">
        <f t="shared" si="237"/>
        <v>00</v>
      </c>
      <c r="AJ733" s="98" t="str">
        <f t="shared" si="238"/>
        <v>000000000000</v>
      </c>
      <c r="AK733" s="161" t="str">
        <f t="shared" si="239"/>
        <v xml:space="preserve">                              </v>
      </c>
      <c r="AL733" s="154">
        <f t="shared" si="240"/>
        <v>0</v>
      </c>
      <c r="AM733" s="155">
        <f t="shared" si="241"/>
        <v>0</v>
      </c>
      <c r="AP733" s="63" t="str">
        <f t="shared" si="242"/>
        <v/>
      </c>
      <c r="AQ733" s="63" t="str">
        <f t="shared" si="243"/>
        <v/>
      </c>
      <c r="AR733" s="152" t="str">
        <f t="shared" si="244"/>
        <v/>
      </c>
      <c r="AS733" s="109" t="str">
        <f t="shared" si="245"/>
        <v/>
      </c>
      <c r="AT733" s="63" t="str">
        <f t="shared" si="246"/>
        <v xml:space="preserve">                    </v>
      </c>
    </row>
    <row r="734" spans="1:46" ht="12.75" x14ac:dyDescent="0.2">
      <c r="A734" s="63" t="str">
        <f t="shared" si="228"/>
        <v/>
      </c>
      <c r="B734" s="185"/>
      <c r="C734" s="185"/>
      <c r="D734" s="185"/>
      <c r="E734" s="185"/>
      <c r="F734" s="185"/>
      <c r="G734" s="185"/>
      <c r="H734" s="185"/>
      <c r="I734" s="186"/>
      <c r="J734" s="69"/>
      <c r="AA734" s="63">
        <f t="shared" si="229"/>
        <v>0</v>
      </c>
      <c r="AB734" s="153" t="str">
        <f t="shared" si="230"/>
        <v>000</v>
      </c>
      <c r="AC734" s="165" t="str">
        <f t="shared" si="231"/>
        <v>00000000</v>
      </c>
      <c r="AD734" s="98" t="str">
        <f t="shared" si="232"/>
        <v>00000000</v>
      </c>
      <c r="AE734" s="150">
        <f t="shared" si="233"/>
        <v>0</v>
      </c>
      <c r="AF734" s="150">
        <f t="shared" si="234"/>
        <v>0</v>
      </c>
      <c r="AG734" s="98" t="str">
        <f t="shared" si="235"/>
        <v>0000000000</v>
      </c>
      <c r="AH734" s="151">
        <f t="shared" si="236"/>
        <v>0</v>
      </c>
      <c r="AI734" s="98" t="str">
        <f t="shared" si="237"/>
        <v>00</v>
      </c>
      <c r="AJ734" s="98" t="str">
        <f t="shared" si="238"/>
        <v>000000000000</v>
      </c>
      <c r="AK734" s="161" t="str">
        <f t="shared" si="239"/>
        <v xml:space="preserve">                              </v>
      </c>
      <c r="AL734" s="154">
        <f t="shared" si="240"/>
        <v>0</v>
      </c>
      <c r="AM734" s="155">
        <f t="shared" si="241"/>
        <v>0</v>
      </c>
      <c r="AP734" s="63" t="str">
        <f t="shared" si="242"/>
        <v/>
      </c>
      <c r="AQ734" s="63" t="str">
        <f t="shared" si="243"/>
        <v/>
      </c>
      <c r="AR734" s="152" t="str">
        <f t="shared" si="244"/>
        <v/>
      </c>
      <c r="AS734" s="109" t="str">
        <f t="shared" si="245"/>
        <v/>
      </c>
      <c r="AT734" s="63" t="str">
        <f t="shared" si="246"/>
        <v xml:space="preserve">                    </v>
      </c>
    </row>
    <row r="735" spans="1:46" ht="12.75" x14ac:dyDescent="0.2">
      <c r="A735" s="63" t="str">
        <f t="shared" si="228"/>
        <v/>
      </c>
      <c r="B735" s="185"/>
      <c r="C735" s="185"/>
      <c r="D735" s="185"/>
      <c r="E735" s="185"/>
      <c r="F735" s="185"/>
      <c r="G735" s="185"/>
      <c r="H735" s="185"/>
      <c r="I735" s="186"/>
      <c r="J735" s="69"/>
      <c r="AA735" s="63">
        <f t="shared" si="229"/>
        <v>0</v>
      </c>
      <c r="AB735" s="153" t="str">
        <f t="shared" si="230"/>
        <v>000</v>
      </c>
      <c r="AC735" s="165" t="str">
        <f t="shared" si="231"/>
        <v>00000000</v>
      </c>
      <c r="AD735" s="98" t="str">
        <f t="shared" si="232"/>
        <v>00000000</v>
      </c>
      <c r="AE735" s="150">
        <f t="shared" si="233"/>
        <v>0</v>
      </c>
      <c r="AF735" s="150">
        <f t="shared" si="234"/>
        <v>0</v>
      </c>
      <c r="AG735" s="98" t="str">
        <f t="shared" si="235"/>
        <v>0000000000</v>
      </c>
      <c r="AH735" s="151">
        <f t="shared" si="236"/>
        <v>0</v>
      </c>
      <c r="AI735" s="98" t="str">
        <f t="shared" si="237"/>
        <v>00</v>
      </c>
      <c r="AJ735" s="98" t="str">
        <f t="shared" si="238"/>
        <v>000000000000</v>
      </c>
      <c r="AK735" s="161" t="str">
        <f t="shared" si="239"/>
        <v xml:space="preserve">                              </v>
      </c>
      <c r="AL735" s="154">
        <f t="shared" si="240"/>
        <v>0</v>
      </c>
      <c r="AM735" s="155">
        <f t="shared" si="241"/>
        <v>0</v>
      </c>
      <c r="AP735" s="63" t="str">
        <f t="shared" si="242"/>
        <v/>
      </c>
      <c r="AQ735" s="63" t="str">
        <f t="shared" si="243"/>
        <v/>
      </c>
      <c r="AR735" s="152" t="str">
        <f t="shared" si="244"/>
        <v/>
      </c>
      <c r="AS735" s="109" t="str">
        <f t="shared" si="245"/>
        <v/>
      </c>
      <c r="AT735" s="63" t="str">
        <f t="shared" si="246"/>
        <v xml:space="preserve">                    </v>
      </c>
    </row>
    <row r="736" spans="1:46" ht="12.75" x14ac:dyDescent="0.2">
      <c r="A736" s="63" t="str">
        <f t="shared" si="228"/>
        <v/>
      </c>
      <c r="B736" s="185"/>
      <c r="C736" s="185"/>
      <c r="D736" s="185"/>
      <c r="E736" s="185"/>
      <c r="F736" s="185"/>
      <c r="G736" s="185"/>
      <c r="H736" s="185"/>
      <c r="I736" s="186"/>
      <c r="J736" s="69"/>
      <c r="AA736" s="63">
        <f t="shared" si="229"/>
        <v>0</v>
      </c>
      <c r="AB736" s="153" t="str">
        <f t="shared" si="230"/>
        <v>000</v>
      </c>
      <c r="AC736" s="165" t="str">
        <f t="shared" si="231"/>
        <v>00000000</v>
      </c>
      <c r="AD736" s="98" t="str">
        <f t="shared" si="232"/>
        <v>00000000</v>
      </c>
      <c r="AE736" s="150">
        <f t="shared" si="233"/>
        <v>0</v>
      </c>
      <c r="AF736" s="150">
        <f t="shared" si="234"/>
        <v>0</v>
      </c>
      <c r="AG736" s="98" t="str">
        <f t="shared" si="235"/>
        <v>0000000000</v>
      </c>
      <c r="AH736" s="151">
        <f t="shared" si="236"/>
        <v>0</v>
      </c>
      <c r="AI736" s="98" t="str">
        <f t="shared" si="237"/>
        <v>00</v>
      </c>
      <c r="AJ736" s="98" t="str">
        <f t="shared" si="238"/>
        <v>000000000000</v>
      </c>
      <c r="AK736" s="161" t="str">
        <f t="shared" si="239"/>
        <v xml:space="preserve">                              </v>
      </c>
      <c r="AL736" s="154">
        <f t="shared" si="240"/>
        <v>0</v>
      </c>
      <c r="AM736" s="155">
        <f t="shared" si="241"/>
        <v>0</v>
      </c>
      <c r="AP736" s="63" t="str">
        <f t="shared" si="242"/>
        <v/>
      </c>
      <c r="AQ736" s="63" t="str">
        <f t="shared" si="243"/>
        <v/>
      </c>
      <c r="AR736" s="152" t="str">
        <f t="shared" si="244"/>
        <v/>
      </c>
      <c r="AS736" s="109" t="str">
        <f t="shared" si="245"/>
        <v/>
      </c>
      <c r="AT736" s="63" t="str">
        <f t="shared" si="246"/>
        <v xml:space="preserve">                    </v>
      </c>
    </row>
    <row r="737" spans="1:46" ht="12.75" x14ac:dyDescent="0.2">
      <c r="A737" s="63" t="str">
        <f t="shared" si="228"/>
        <v/>
      </c>
      <c r="B737" s="185"/>
      <c r="C737" s="185"/>
      <c r="D737" s="185"/>
      <c r="E737" s="185"/>
      <c r="F737" s="185"/>
      <c r="G737" s="185"/>
      <c r="H737" s="185"/>
      <c r="I737" s="186"/>
      <c r="J737" s="69"/>
      <c r="AA737" s="63">
        <f t="shared" si="229"/>
        <v>0</v>
      </c>
      <c r="AB737" s="153" t="str">
        <f t="shared" si="230"/>
        <v>000</v>
      </c>
      <c r="AC737" s="165" t="str">
        <f t="shared" si="231"/>
        <v>00000000</v>
      </c>
      <c r="AD737" s="98" t="str">
        <f t="shared" si="232"/>
        <v>00000000</v>
      </c>
      <c r="AE737" s="150">
        <f t="shared" si="233"/>
        <v>0</v>
      </c>
      <c r="AF737" s="150">
        <f t="shared" si="234"/>
        <v>0</v>
      </c>
      <c r="AG737" s="98" t="str">
        <f t="shared" si="235"/>
        <v>0000000000</v>
      </c>
      <c r="AH737" s="151">
        <f t="shared" si="236"/>
        <v>0</v>
      </c>
      <c r="AI737" s="98" t="str">
        <f t="shared" si="237"/>
        <v>00</v>
      </c>
      <c r="AJ737" s="98" t="str">
        <f t="shared" si="238"/>
        <v>000000000000</v>
      </c>
      <c r="AK737" s="161" t="str">
        <f t="shared" si="239"/>
        <v xml:space="preserve">                              </v>
      </c>
      <c r="AL737" s="154">
        <f t="shared" si="240"/>
        <v>0</v>
      </c>
      <c r="AM737" s="155">
        <f t="shared" si="241"/>
        <v>0</v>
      </c>
      <c r="AP737" s="63" t="str">
        <f t="shared" si="242"/>
        <v/>
      </c>
      <c r="AQ737" s="63" t="str">
        <f t="shared" si="243"/>
        <v/>
      </c>
      <c r="AR737" s="152" t="str">
        <f t="shared" si="244"/>
        <v/>
      </c>
      <c r="AS737" s="109" t="str">
        <f t="shared" si="245"/>
        <v/>
      </c>
      <c r="AT737" s="63" t="str">
        <f t="shared" si="246"/>
        <v xml:space="preserve">                    </v>
      </c>
    </row>
    <row r="738" spans="1:46" ht="12.75" x14ac:dyDescent="0.2">
      <c r="A738" s="63" t="str">
        <f t="shared" si="228"/>
        <v/>
      </c>
      <c r="B738" s="185"/>
      <c r="C738" s="185"/>
      <c r="D738" s="185"/>
      <c r="E738" s="185"/>
      <c r="F738" s="185"/>
      <c r="G738" s="185"/>
      <c r="H738" s="185"/>
      <c r="I738" s="186"/>
      <c r="J738" s="69"/>
      <c r="AA738" s="63">
        <f t="shared" si="229"/>
        <v>0</v>
      </c>
      <c r="AB738" s="153" t="str">
        <f t="shared" si="230"/>
        <v>000</v>
      </c>
      <c r="AC738" s="165" t="str">
        <f t="shared" si="231"/>
        <v>00000000</v>
      </c>
      <c r="AD738" s="98" t="str">
        <f t="shared" si="232"/>
        <v>00000000</v>
      </c>
      <c r="AE738" s="150">
        <f t="shared" si="233"/>
        <v>0</v>
      </c>
      <c r="AF738" s="150">
        <f t="shared" si="234"/>
        <v>0</v>
      </c>
      <c r="AG738" s="98" t="str">
        <f t="shared" si="235"/>
        <v>0000000000</v>
      </c>
      <c r="AH738" s="151">
        <f t="shared" si="236"/>
        <v>0</v>
      </c>
      <c r="AI738" s="98" t="str">
        <f t="shared" si="237"/>
        <v>00</v>
      </c>
      <c r="AJ738" s="98" t="str">
        <f t="shared" si="238"/>
        <v>000000000000</v>
      </c>
      <c r="AK738" s="161" t="str">
        <f t="shared" si="239"/>
        <v xml:space="preserve">                              </v>
      </c>
      <c r="AL738" s="154">
        <f t="shared" si="240"/>
        <v>0</v>
      </c>
      <c r="AM738" s="155">
        <f t="shared" si="241"/>
        <v>0</v>
      </c>
      <c r="AP738" s="63" t="str">
        <f t="shared" si="242"/>
        <v/>
      </c>
      <c r="AQ738" s="63" t="str">
        <f t="shared" si="243"/>
        <v/>
      </c>
      <c r="AR738" s="152" t="str">
        <f t="shared" si="244"/>
        <v/>
      </c>
      <c r="AS738" s="109" t="str">
        <f t="shared" si="245"/>
        <v/>
      </c>
      <c r="AT738" s="63" t="str">
        <f t="shared" si="246"/>
        <v xml:space="preserve">                    </v>
      </c>
    </row>
    <row r="739" spans="1:46" ht="12.75" x14ac:dyDescent="0.2">
      <c r="A739" s="63" t="str">
        <f t="shared" si="228"/>
        <v/>
      </c>
      <c r="B739" s="185"/>
      <c r="C739" s="185"/>
      <c r="D739" s="185"/>
      <c r="E739" s="185"/>
      <c r="F739" s="185"/>
      <c r="G739" s="185"/>
      <c r="H739" s="185"/>
      <c r="I739" s="186"/>
      <c r="J739" s="69"/>
      <c r="AA739" s="63">
        <f t="shared" si="229"/>
        <v>0</v>
      </c>
      <c r="AB739" s="153" t="str">
        <f t="shared" si="230"/>
        <v>000</v>
      </c>
      <c r="AC739" s="165" t="str">
        <f t="shared" si="231"/>
        <v>00000000</v>
      </c>
      <c r="AD739" s="98" t="str">
        <f t="shared" si="232"/>
        <v>00000000</v>
      </c>
      <c r="AE739" s="150">
        <f t="shared" si="233"/>
        <v>0</v>
      </c>
      <c r="AF739" s="150">
        <f t="shared" si="234"/>
        <v>0</v>
      </c>
      <c r="AG739" s="98" t="str">
        <f t="shared" si="235"/>
        <v>0000000000</v>
      </c>
      <c r="AH739" s="151">
        <f t="shared" si="236"/>
        <v>0</v>
      </c>
      <c r="AI739" s="98" t="str">
        <f t="shared" si="237"/>
        <v>00</v>
      </c>
      <c r="AJ739" s="98" t="str">
        <f t="shared" si="238"/>
        <v>000000000000</v>
      </c>
      <c r="AK739" s="161" t="str">
        <f t="shared" si="239"/>
        <v xml:space="preserve">                              </v>
      </c>
      <c r="AL739" s="154">
        <f t="shared" si="240"/>
        <v>0</v>
      </c>
      <c r="AM739" s="155">
        <f t="shared" si="241"/>
        <v>0</v>
      </c>
      <c r="AP739" s="63" t="str">
        <f t="shared" si="242"/>
        <v/>
      </c>
      <c r="AQ739" s="63" t="str">
        <f t="shared" si="243"/>
        <v/>
      </c>
      <c r="AR739" s="152" t="str">
        <f t="shared" si="244"/>
        <v/>
      </c>
      <c r="AS739" s="109" t="str">
        <f t="shared" si="245"/>
        <v/>
      </c>
      <c r="AT739" s="63" t="str">
        <f t="shared" si="246"/>
        <v xml:space="preserve">                    </v>
      </c>
    </row>
    <row r="740" spans="1:46" ht="12.75" x14ac:dyDescent="0.2">
      <c r="A740" s="63" t="str">
        <f t="shared" si="228"/>
        <v/>
      </c>
      <c r="B740" s="185"/>
      <c r="C740" s="185"/>
      <c r="D740" s="185"/>
      <c r="E740" s="185"/>
      <c r="F740" s="185"/>
      <c r="G740" s="185"/>
      <c r="H740" s="185"/>
      <c r="I740" s="186"/>
      <c r="J740" s="69"/>
      <c r="AA740" s="63">
        <f t="shared" si="229"/>
        <v>0</v>
      </c>
      <c r="AB740" s="153" t="str">
        <f t="shared" si="230"/>
        <v>000</v>
      </c>
      <c r="AC740" s="165" t="str">
        <f t="shared" si="231"/>
        <v>00000000</v>
      </c>
      <c r="AD740" s="98" t="str">
        <f t="shared" si="232"/>
        <v>00000000</v>
      </c>
      <c r="AE740" s="150">
        <f t="shared" si="233"/>
        <v>0</v>
      </c>
      <c r="AF740" s="150">
        <f t="shared" si="234"/>
        <v>0</v>
      </c>
      <c r="AG740" s="98" t="str">
        <f t="shared" si="235"/>
        <v>0000000000</v>
      </c>
      <c r="AH740" s="151">
        <f t="shared" si="236"/>
        <v>0</v>
      </c>
      <c r="AI740" s="98" t="str">
        <f t="shared" si="237"/>
        <v>00</v>
      </c>
      <c r="AJ740" s="98" t="str">
        <f t="shared" si="238"/>
        <v>000000000000</v>
      </c>
      <c r="AK740" s="161" t="str">
        <f t="shared" si="239"/>
        <v xml:space="preserve">                              </v>
      </c>
      <c r="AL740" s="154">
        <f t="shared" si="240"/>
        <v>0</v>
      </c>
      <c r="AM740" s="155">
        <f t="shared" si="241"/>
        <v>0</v>
      </c>
      <c r="AP740" s="63" t="str">
        <f t="shared" si="242"/>
        <v/>
      </c>
      <c r="AQ740" s="63" t="str">
        <f t="shared" si="243"/>
        <v/>
      </c>
      <c r="AR740" s="152" t="str">
        <f t="shared" si="244"/>
        <v/>
      </c>
      <c r="AS740" s="109" t="str">
        <f t="shared" si="245"/>
        <v/>
      </c>
      <c r="AT740" s="63" t="str">
        <f t="shared" si="246"/>
        <v xml:space="preserve">                    </v>
      </c>
    </row>
    <row r="741" spans="1:46" ht="12.75" x14ac:dyDescent="0.2">
      <c r="A741" s="63" t="str">
        <f t="shared" si="228"/>
        <v/>
      </c>
      <c r="B741" s="185"/>
      <c r="C741" s="185"/>
      <c r="D741" s="185"/>
      <c r="E741" s="185"/>
      <c r="F741" s="185"/>
      <c r="G741" s="185"/>
      <c r="H741" s="185"/>
      <c r="I741" s="186"/>
      <c r="J741" s="69"/>
      <c r="AA741" s="63">
        <f t="shared" si="229"/>
        <v>0</v>
      </c>
      <c r="AB741" s="153" t="str">
        <f t="shared" si="230"/>
        <v>000</v>
      </c>
      <c r="AC741" s="165" t="str">
        <f t="shared" si="231"/>
        <v>00000000</v>
      </c>
      <c r="AD741" s="98" t="str">
        <f t="shared" si="232"/>
        <v>00000000</v>
      </c>
      <c r="AE741" s="150">
        <f t="shared" si="233"/>
        <v>0</v>
      </c>
      <c r="AF741" s="150">
        <f t="shared" si="234"/>
        <v>0</v>
      </c>
      <c r="AG741" s="98" t="str">
        <f t="shared" si="235"/>
        <v>0000000000</v>
      </c>
      <c r="AH741" s="151">
        <f t="shared" si="236"/>
        <v>0</v>
      </c>
      <c r="AI741" s="98" t="str">
        <f t="shared" si="237"/>
        <v>00</v>
      </c>
      <c r="AJ741" s="98" t="str">
        <f t="shared" si="238"/>
        <v>000000000000</v>
      </c>
      <c r="AK741" s="161" t="str">
        <f t="shared" si="239"/>
        <v xml:space="preserve">                              </v>
      </c>
      <c r="AL741" s="154">
        <f t="shared" si="240"/>
        <v>0</v>
      </c>
      <c r="AM741" s="155">
        <f t="shared" si="241"/>
        <v>0</v>
      </c>
      <c r="AP741" s="63" t="str">
        <f t="shared" si="242"/>
        <v/>
      </c>
      <c r="AQ741" s="63" t="str">
        <f t="shared" si="243"/>
        <v/>
      </c>
      <c r="AR741" s="152" t="str">
        <f t="shared" si="244"/>
        <v/>
      </c>
      <c r="AS741" s="109" t="str">
        <f t="shared" si="245"/>
        <v/>
      </c>
      <c r="AT741" s="63" t="str">
        <f t="shared" si="246"/>
        <v xml:space="preserve">                    </v>
      </c>
    </row>
    <row r="742" spans="1:46" ht="12.75" x14ac:dyDescent="0.2">
      <c r="A742" s="63" t="str">
        <f t="shared" si="228"/>
        <v/>
      </c>
      <c r="B742" s="185"/>
      <c r="C742" s="185"/>
      <c r="D742" s="185"/>
      <c r="E742" s="185"/>
      <c r="F742" s="185"/>
      <c r="G742" s="185"/>
      <c r="H742" s="185"/>
      <c r="I742" s="186"/>
      <c r="J742" s="69"/>
      <c r="AA742" s="63">
        <f t="shared" si="229"/>
        <v>0</v>
      </c>
      <c r="AB742" s="153" t="str">
        <f t="shared" si="230"/>
        <v>000</v>
      </c>
      <c r="AC742" s="165" t="str">
        <f t="shared" si="231"/>
        <v>00000000</v>
      </c>
      <c r="AD742" s="98" t="str">
        <f t="shared" si="232"/>
        <v>00000000</v>
      </c>
      <c r="AE742" s="150">
        <f t="shared" si="233"/>
        <v>0</v>
      </c>
      <c r="AF742" s="150">
        <f t="shared" si="234"/>
        <v>0</v>
      </c>
      <c r="AG742" s="98" t="str">
        <f t="shared" si="235"/>
        <v>0000000000</v>
      </c>
      <c r="AH742" s="151">
        <f t="shared" si="236"/>
        <v>0</v>
      </c>
      <c r="AI742" s="98" t="str">
        <f t="shared" si="237"/>
        <v>00</v>
      </c>
      <c r="AJ742" s="98" t="str">
        <f t="shared" si="238"/>
        <v>000000000000</v>
      </c>
      <c r="AK742" s="161" t="str">
        <f t="shared" si="239"/>
        <v xml:space="preserve">                              </v>
      </c>
      <c r="AL742" s="154">
        <f t="shared" si="240"/>
        <v>0</v>
      </c>
      <c r="AM742" s="155">
        <f t="shared" si="241"/>
        <v>0</v>
      </c>
      <c r="AP742" s="63" t="str">
        <f t="shared" si="242"/>
        <v/>
      </c>
      <c r="AQ742" s="63" t="str">
        <f t="shared" si="243"/>
        <v/>
      </c>
      <c r="AR742" s="152" t="str">
        <f t="shared" si="244"/>
        <v/>
      </c>
      <c r="AS742" s="109" t="str">
        <f t="shared" si="245"/>
        <v/>
      </c>
      <c r="AT742" s="63" t="str">
        <f t="shared" si="246"/>
        <v xml:space="preserve">                    </v>
      </c>
    </row>
    <row r="743" spans="1:46" ht="12.75" x14ac:dyDescent="0.2">
      <c r="A743" s="63" t="str">
        <f t="shared" si="228"/>
        <v/>
      </c>
      <c r="B743" s="185"/>
      <c r="C743" s="185"/>
      <c r="D743" s="185"/>
      <c r="E743" s="185"/>
      <c r="F743" s="185"/>
      <c r="G743" s="185"/>
      <c r="H743" s="185"/>
      <c r="I743" s="186"/>
      <c r="J743" s="69"/>
      <c r="AA743" s="63">
        <f t="shared" si="229"/>
        <v>0</v>
      </c>
      <c r="AB743" s="153" t="str">
        <f t="shared" si="230"/>
        <v>000</v>
      </c>
      <c r="AC743" s="165" t="str">
        <f t="shared" si="231"/>
        <v>00000000</v>
      </c>
      <c r="AD743" s="98" t="str">
        <f t="shared" si="232"/>
        <v>00000000</v>
      </c>
      <c r="AE743" s="150">
        <f t="shared" si="233"/>
        <v>0</v>
      </c>
      <c r="AF743" s="150">
        <f t="shared" si="234"/>
        <v>0</v>
      </c>
      <c r="AG743" s="98" t="str">
        <f t="shared" si="235"/>
        <v>0000000000</v>
      </c>
      <c r="AH743" s="151">
        <f t="shared" si="236"/>
        <v>0</v>
      </c>
      <c r="AI743" s="98" t="str">
        <f t="shared" si="237"/>
        <v>00</v>
      </c>
      <c r="AJ743" s="98" t="str">
        <f t="shared" si="238"/>
        <v>000000000000</v>
      </c>
      <c r="AK743" s="161" t="str">
        <f t="shared" si="239"/>
        <v xml:space="preserve">                              </v>
      </c>
      <c r="AL743" s="154">
        <f t="shared" si="240"/>
        <v>0</v>
      </c>
      <c r="AM743" s="155">
        <f t="shared" si="241"/>
        <v>0</v>
      </c>
      <c r="AP743" s="63" t="str">
        <f t="shared" si="242"/>
        <v/>
      </c>
      <c r="AQ743" s="63" t="str">
        <f t="shared" si="243"/>
        <v/>
      </c>
      <c r="AR743" s="152" t="str">
        <f t="shared" si="244"/>
        <v/>
      </c>
      <c r="AS743" s="109" t="str">
        <f t="shared" si="245"/>
        <v/>
      </c>
      <c r="AT743" s="63" t="str">
        <f t="shared" si="246"/>
        <v xml:space="preserve">                    </v>
      </c>
    </row>
    <row r="744" spans="1:46" ht="12.75" x14ac:dyDescent="0.2">
      <c r="A744" s="63" t="str">
        <f t="shared" si="228"/>
        <v/>
      </c>
      <c r="B744" s="185"/>
      <c r="C744" s="185"/>
      <c r="D744" s="185"/>
      <c r="E744" s="185"/>
      <c r="F744" s="185"/>
      <c r="G744" s="185"/>
      <c r="H744" s="185"/>
      <c r="I744" s="186"/>
      <c r="J744" s="69"/>
      <c r="AA744" s="63">
        <f t="shared" si="229"/>
        <v>0</v>
      </c>
      <c r="AB744" s="153" t="str">
        <f t="shared" si="230"/>
        <v>000</v>
      </c>
      <c r="AC744" s="165" t="str">
        <f t="shared" si="231"/>
        <v>00000000</v>
      </c>
      <c r="AD744" s="98" t="str">
        <f t="shared" si="232"/>
        <v>00000000</v>
      </c>
      <c r="AE744" s="150">
        <f t="shared" si="233"/>
        <v>0</v>
      </c>
      <c r="AF744" s="150">
        <f t="shared" si="234"/>
        <v>0</v>
      </c>
      <c r="AG744" s="98" t="str">
        <f t="shared" si="235"/>
        <v>0000000000</v>
      </c>
      <c r="AH744" s="151">
        <f t="shared" si="236"/>
        <v>0</v>
      </c>
      <c r="AI744" s="98" t="str">
        <f t="shared" si="237"/>
        <v>00</v>
      </c>
      <c r="AJ744" s="98" t="str">
        <f t="shared" si="238"/>
        <v>000000000000</v>
      </c>
      <c r="AK744" s="161" t="str">
        <f t="shared" si="239"/>
        <v xml:space="preserve">                              </v>
      </c>
      <c r="AL744" s="154">
        <f t="shared" si="240"/>
        <v>0</v>
      </c>
      <c r="AM744" s="155">
        <f t="shared" si="241"/>
        <v>0</v>
      </c>
      <c r="AP744" s="63" t="str">
        <f t="shared" si="242"/>
        <v/>
      </c>
      <c r="AQ744" s="63" t="str">
        <f t="shared" si="243"/>
        <v/>
      </c>
      <c r="AR744" s="152" t="str">
        <f t="shared" si="244"/>
        <v/>
      </c>
      <c r="AS744" s="109" t="str">
        <f t="shared" si="245"/>
        <v/>
      </c>
      <c r="AT744" s="63" t="str">
        <f t="shared" si="246"/>
        <v xml:space="preserve">                    </v>
      </c>
    </row>
    <row r="745" spans="1:46" ht="12.75" x14ac:dyDescent="0.2">
      <c r="A745" s="63" t="str">
        <f t="shared" si="228"/>
        <v/>
      </c>
      <c r="B745" s="185"/>
      <c r="C745" s="185"/>
      <c r="D745" s="185"/>
      <c r="E745" s="185"/>
      <c r="F745" s="185"/>
      <c r="G745" s="185"/>
      <c r="H745" s="185"/>
      <c r="I745" s="186"/>
      <c r="J745" s="69"/>
      <c r="AA745" s="63">
        <f t="shared" si="229"/>
        <v>0</v>
      </c>
      <c r="AB745" s="153" t="str">
        <f t="shared" si="230"/>
        <v>000</v>
      </c>
      <c r="AC745" s="165" t="str">
        <f t="shared" si="231"/>
        <v>00000000</v>
      </c>
      <c r="AD745" s="98" t="str">
        <f t="shared" si="232"/>
        <v>00000000</v>
      </c>
      <c r="AE745" s="150">
        <f t="shared" si="233"/>
        <v>0</v>
      </c>
      <c r="AF745" s="150">
        <f t="shared" si="234"/>
        <v>0</v>
      </c>
      <c r="AG745" s="98" t="str">
        <f t="shared" si="235"/>
        <v>0000000000</v>
      </c>
      <c r="AH745" s="151">
        <f t="shared" si="236"/>
        <v>0</v>
      </c>
      <c r="AI745" s="98" t="str">
        <f t="shared" si="237"/>
        <v>00</v>
      </c>
      <c r="AJ745" s="98" t="str">
        <f t="shared" si="238"/>
        <v>000000000000</v>
      </c>
      <c r="AK745" s="161" t="str">
        <f t="shared" si="239"/>
        <v xml:space="preserve">                              </v>
      </c>
      <c r="AL745" s="154">
        <f t="shared" si="240"/>
        <v>0</v>
      </c>
      <c r="AM745" s="155">
        <f t="shared" si="241"/>
        <v>0</v>
      </c>
      <c r="AP745" s="63" t="str">
        <f t="shared" si="242"/>
        <v/>
      </c>
      <c r="AQ745" s="63" t="str">
        <f t="shared" si="243"/>
        <v/>
      </c>
      <c r="AR745" s="152" t="str">
        <f t="shared" si="244"/>
        <v/>
      </c>
      <c r="AS745" s="109" t="str">
        <f t="shared" si="245"/>
        <v/>
      </c>
      <c r="AT745" s="63" t="str">
        <f t="shared" si="246"/>
        <v xml:space="preserve">                    </v>
      </c>
    </row>
    <row r="746" spans="1:46" ht="12.75" x14ac:dyDescent="0.2">
      <c r="A746" s="63" t="str">
        <f t="shared" si="228"/>
        <v/>
      </c>
      <c r="B746" s="185"/>
      <c r="C746" s="185"/>
      <c r="D746" s="185"/>
      <c r="E746" s="185"/>
      <c r="F746" s="185"/>
      <c r="G746" s="185"/>
      <c r="H746" s="185"/>
      <c r="I746" s="186"/>
      <c r="J746" s="69"/>
      <c r="AA746" s="63">
        <f t="shared" si="229"/>
        <v>0</v>
      </c>
      <c r="AB746" s="153" t="str">
        <f t="shared" si="230"/>
        <v>000</v>
      </c>
      <c r="AC746" s="165" t="str">
        <f t="shared" si="231"/>
        <v>00000000</v>
      </c>
      <c r="AD746" s="98" t="str">
        <f t="shared" si="232"/>
        <v>00000000</v>
      </c>
      <c r="AE746" s="150">
        <f t="shared" si="233"/>
        <v>0</v>
      </c>
      <c r="AF746" s="150">
        <f t="shared" si="234"/>
        <v>0</v>
      </c>
      <c r="AG746" s="98" t="str">
        <f t="shared" si="235"/>
        <v>0000000000</v>
      </c>
      <c r="AH746" s="151">
        <f t="shared" si="236"/>
        <v>0</v>
      </c>
      <c r="AI746" s="98" t="str">
        <f t="shared" si="237"/>
        <v>00</v>
      </c>
      <c r="AJ746" s="98" t="str">
        <f t="shared" si="238"/>
        <v>000000000000</v>
      </c>
      <c r="AK746" s="161" t="str">
        <f t="shared" si="239"/>
        <v xml:space="preserve">                              </v>
      </c>
      <c r="AL746" s="154">
        <f t="shared" si="240"/>
        <v>0</v>
      </c>
      <c r="AM746" s="155">
        <f t="shared" si="241"/>
        <v>0</v>
      </c>
      <c r="AP746" s="63" t="str">
        <f t="shared" si="242"/>
        <v/>
      </c>
      <c r="AQ746" s="63" t="str">
        <f t="shared" si="243"/>
        <v/>
      </c>
      <c r="AR746" s="152" t="str">
        <f t="shared" si="244"/>
        <v/>
      </c>
      <c r="AS746" s="109" t="str">
        <f t="shared" si="245"/>
        <v/>
      </c>
      <c r="AT746" s="63" t="str">
        <f t="shared" si="246"/>
        <v xml:space="preserve">                    </v>
      </c>
    </row>
    <row r="747" spans="1:46" ht="12.75" x14ac:dyDescent="0.2">
      <c r="A747" s="63" t="str">
        <f t="shared" si="228"/>
        <v/>
      </c>
      <c r="B747" s="185"/>
      <c r="C747" s="185"/>
      <c r="D747" s="185"/>
      <c r="E747" s="185"/>
      <c r="F747" s="185"/>
      <c r="G747" s="185"/>
      <c r="H747" s="185"/>
      <c r="I747" s="186"/>
      <c r="J747" s="69"/>
      <c r="AA747" s="63">
        <f t="shared" si="229"/>
        <v>0</v>
      </c>
      <c r="AB747" s="153" t="str">
        <f t="shared" si="230"/>
        <v>000</v>
      </c>
      <c r="AC747" s="165" t="str">
        <f t="shared" si="231"/>
        <v>00000000</v>
      </c>
      <c r="AD747" s="98" t="str">
        <f t="shared" si="232"/>
        <v>00000000</v>
      </c>
      <c r="AE747" s="150">
        <f t="shared" si="233"/>
        <v>0</v>
      </c>
      <c r="AF747" s="150">
        <f t="shared" si="234"/>
        <v>0</v>
      </c>
      <c r="AG747" s="98" t="str">
        <f t="shared" si="235"/>
        <v>0000000000</v>
      </c>
      <c r="AH747" s="151">
        <f t="shared" si="236"/>
        <v>0</v>
      </c>
      <c r="AI747" s="98" t="str">
        <f t="shared" si="237"/>
        <v>00</v>
      </c>
      <c r="AJ747" s="98" t="str">
        <f t="shared" si="238"/>
        <v>000000000000</v>
      </c>
      <c r="AK747" s="161" t="str">
        <f t="shared" si="239"/>
        <v xml:space="preserve">                              </v>
      </c>
      <c r="AL747" s="154">
        <f t="shared" si="240"/>
        <v>0</v>
      </c>
      <c r="AM747" s="155">
        <f t="shared" si="241"/>
        <v>0</v>
      </c>
      <c r="AP747" s="63" t="str">
        <f t="shared" si="242"/>
        <v/>
      </c>
      <c r="AQ747" s="63" t="str">
        <f t="shared" si="243"/>
        <v/>
      </c>
      <c r="AR747" s="152" t="str">
        <f t="shared" si="244"/>
        <v/>
      </c>
      <c r="AS747" s="109" t="str">
        <f t="shared" si="245"/>
        <v/>
      </c>
      <c r="AT747" s="63" t="str">
        <f t="shared" si="246"/>
        <v xml:space="preserve">                    </v>
      </c>
    </row>
    <row r="748" spans="1:46" ht="12.75" x14ac:dyDescent="0.2">
      <c r="A748" s="63" t="str">
        <f t="shared" si="228"/>
        <v/>
      </c>
      <c r="B748" s="185"/>
      <c r="C748" s="185"/>
      <c r="D748" s="185"/>
      <c r="E748" s="185"/>
      <c r="F748" s="185"/>
      <c r="G748" s="185"/>
      <c r="H748" s="185"/>
      <c r="I748" s="186"/>
      <c r="J748" s="69"/>
      <c r="AA748" s="63">
        <f t="shared" si="229"/>
        <v>0</v>
      </c>
      <c r="AB748" s="153" t="str">
        <f t="shared" si="230"/>
        <v>000</v>
      </c>
      <c r="AC748" s="165" t="str">
        <f t="shared" si="231"/>
        <v>00000000</v>
      </c>
      <c r="AD748" s="98" t="str">
        <f t="shared" si="232"/>
        <v>00000000</v>
      </c>
      <c r="AE748" s="150">
        <f t="shared" si="233"/>
        <v>0</v>
      </c>
      <c r="AF748" s="150">
        <f t="shared" si="234"/>
        <v>0</v>
      </c>
      <c r="AG748" s="98" t="str">
        <f t="shared" si="235"/>
        <v>0000000000</v>
      </c>
      <c r="AH748" s="151">
        <f t="shared" si="236"/>
        <v>0</v>
      </c>
      <c r="AI748" s="98" t="str">
        <f t="shared" si="237"/>
        <v>00</v>
      </c>
      <c r="AJ748" s="98" t="str">
        <f t="shared" si="238"/>
        <v>000000000000</v>
      </c>
      <c r="AK748" s="161" t="str">
        <f t="shared" si="239"/>
        <v xml:space="preserve">                              </v>
      </c>
      <c r="AL748" s="154">
        <f t="shared" si="240"/>
        <v>0</v>
      </c>
      <c r="AM748" s="155">
        <f t="shared" si="241"/>
        <v>0</v>
      </c>
      <c r="AP748" s="63" t="str">
        <f t="shared" si="242"/>
        <v/>
      </c>
      <c r="AQ748" s="63" t="str">
        <f t="shared" si="243"/>
        <v/>
      </c>
      <c r="AR748" s="152" t="str">
        <f t="shared" si="244"/>
        <v/>
      </c>
      <c r="AS748" s="109" t="str">
        <f t="shared" si="245"/>
        <v/>
      </c>
      <c r="AT748" s="63" t="str">
        <f t="shared" si="246"/>
        <v xml:space="preserve">                    </v>
      </c>
    </row>
    <row r="749" spans="1:46" ht="12.75" x14ac:dyDescent="0.2">
      <c r="A749" s="63" t="str">
        <f t="shared" si="228"/>
        <v/>
      </c>
      <c r="B749" s="185"/>
      <c r="C749" s="185"/>
      <c r="D749" s="185"/>
      <c r="E749" s="185"/>
      <c r="F749" s="185"/>
      <c r="G749" s="185"/>
      <c r="H749" s="185"/>
      <c r="I749" s="186"/>
      <c r="J749" s="69"/>
      <c r="AA749" s="63">
        <f t="shared" si="229"/>
        <v>0</v>
      </c>
      <c r="AB749" s="153" t="str">
        <f t="shared" si="230"/>
        <v>000</v>
      </c>
      <c r="AC749" s="165" t="str">
        <f t="shared" si="231"/>
        <v>00000000</v>
      </c>
      <c r="AD749" s="98" t="str">
        <f t="shared" si="232"/>
        <v>00000000</v>
      </c>
      <c r="AE749" s="150">
        <f t="shared" si="233"/>
        <v>0</v>
      </c>
      <c r="AF749" s="150">
        <f t="shared" si="234"/>
        <v>0</v>
      </c>
      <c r="AG749" s="98" t="str">
        <f t="shared" si="235"/>
        <v>0000000000</v>
      </c>
      <c r="AH749" s="151">
        <f t="shared" si="236"/>
        <v>0</v>
      </c>
      <c r="AI749" s="98" t="str">
        <f t="shared" si="237"/>
        <v>00</v>
      </c>
      <c r="AJ749" s="98" t="str">
        <f t="shared" si="238"/>
        <v>000000000000</v>
      </c>
      <c r="AK749" s="161" t="str">
        <f t="shared" si="239"/>
        <v xml:space="preserve">                              </v>
      </c>
      <c r="AL749" s="154">
        <f t="shared" si="240"/>
        <v>0</v>
      </c>
      <c r="AM749" s="155">
        <f t="shared" si="241"/>
        <v>0</v>
      </c>
      <c r="AP749" s="63" t="str">
        <f t="shared" si="242"/>
        <v/>
      </c>
      <c r="AQ749" s="63" t="str">
        <f t="shared" si="243"/>
        <v/>
      </c>
      <c r="AR749" s="152" t="str">
        <f t="shared" si="244"/>
        <v/>
      </c>
      <c r="AS749" s="109" t="str">
        <f t="shared" si="245"/>
        <v/>
      </c>
      <c r="AT749" s="63" t="str">
        <f t="shared" si="246"/>
        <v xml:space="preserve">                    </v>
      </c>
    </row>
    <row r="750" spans="1:46" ht="12.75" x14ac:dyDescent="0.2">
      <c r="A750" s="63" t="str">
        <f t="shared" si="228"/>
        <v/>
      </c>
      <c r="B750" s="185"/>
      <c r="C750" s="185"/>
      <c r="D750" s="185"/>
      <c r="E750" s="185"/>
      <c r="F750" s="185"/>
      <c r="G750" s="185"/>
      <c r="H750" s="185"/>
      <c r="I750" s="186"/>
      <c r="J750" s="69"/>
      <c r="AA750" s="63">
        <f t="shared" si="229"/>
        <v>0</v>
      </c>
      <c r="AB750" s="153" t="str">
        <f t="shared" si="230"/>
        <v>000</v>
      </c>
      <c r="AC750" s="165" t="str">
        <f t="shared" si="231"/>
        <v>00000000</v>
      </c>
      <c r="AD750" s="98" t="str">
        <f t="shared" si="232"/>
        <v>00000000</v>
      </c>
      <c r="AE750" s="150">
        <f t="shared" si="233"/>
        <v>0</v>
      </c>
      <c r="AF750" s="150">
        <f t="shared" si="234"/>
        <v>0</v>
      </c>
      <c r="AG750" s="98" t="str">
        <f t="shared" si="235"/>
        <v>0000000000</v>
      </c>
      <c r="AH750" s="151">
        <f t="shared" si="236"/>
        <v>0</v>
      </c>
      <c r="AI750" s="98" t="str">
        <f t="shared" si="237"/>
        <v>00</v>
      </c>
      <c r="AJ750" s="98" t="str">
        <f t="shared" si="238"/>
        <v>000000000000</v>
      </c>
      <c r="AK750" s="161" t="str">
        <f t="shared" si="239"/>
        <v xml:space="preserve">                              </v>
      </c>
      <c r="AL750" s="154">
        <f t="shared" si="240"/>
        <v>0</v>
      </c>
      <c r="AM750" s="155">
        <f t="shared" si="241"/>
        <v>0</v>
      </c>
      <c r="AP750" s="63" t="str">
        <f t="shared" si="242"/>
        <v/>
      </c>
      <c r="AQ750" s="63" t="str">
        <f t="shared" si="243"/>
        <v/>
      </c>
      <c r="AR750" s="152" t="str">
        <f t="shared" si="244"/>
        <v/>
      </c>
      <c r="AS750" s="109" t="str">
        <f t="shared" si="245"/>
        <v/>
      </c>
      <c r="AT750" s="63" t="str">
        <f t="shared" si="246"/>
        <v xml:space="preserve">                    </v>
      </c>
    </row>
    <row r="751" spans="1:46" ht="12.75" x14ac:dyDescent="0.2">
      <c r="A751" s="63" t="str">
        <f t="shared" si="228"/>
        <v/>
      </c>
      <c r="B751" s="185"/>
      <c r="C751" s="185"/>
      <c r="D751" s="185"/>
      <c r="E751" s="185"/>
      <c r="F751" s="185"/>
      <c r="G751" s="185"/>
      <c r="H751" s="185"/>
      <c r="I751" s="186"/>
      <c r="J751" s="69"/>
      <c r="AA751" s="63">
        <f t="shared" si="229"/>
        <v>0</v>
      </c>
      <c r="AB751" s="153" t="str">
        <f t="shared" si="230"/>
        <v>000</v>
      </c>
      <c r="AC751" s="165" t="str">
        <f t="shared" si="231"/>
        <v>00000000</v>
      </c>
      <c r="AD751" s="98" t="str">
        <f t="shared" si="232"/>
        <v>00000000</v>
      </c>
      <c r="AE751" s="150">
        <f t="shared" si="233"/>
        <v>0</v>
      </c>
      <c r="AF751" s="150">
        <f t="shared" si="234"/>
        <v>0</v>
      </c>
      <c r="AG751" s="98" t="str">
        <f t="shared" si="235"/>
        <v>0000000000</v>
      </c>
      <c r="AH751" s="151">
        <f t="shared" si="236"/>
        <v>0</v>
      </c>
      <c r="AI751" s="98" t="str">
        <f t="shared" si="237"/>
        <v>00</v>
      </c>
      <c r="AJ751" s="98" t="str">
        <f t="shared" si="238"/>
        <v>000000000000</v>
      </c>
      <c r="AK751" s="161" t="str">
        <f t="shared" si="239"/>
        <v xml:space="preserve">                              </v>
      </c>
      <c r="AL751" s="154">
        <f t="shared" si="240"/>
        <v>0</v>
      </c>
      <c r="AM751" s="155">
        <f t="shared" si="241"/>
        <v>0</v>
      </c>
      <c r="AP751" s="63" t="str">
        <f t="shared" si="242"/>
        <v/>
      </c>
      <c r="AQ751" s="63" t="str">
        <f t="shared" si="243"/>
        <v/>
      </c>
      <c r="AR751" s="152" t="str">
        <f t="shared" si="244"/>
        <v/>
      </c>
      <c r="AS751" s="109" t="str">
        <f t="shared" si="245"/>
        <v/>
      </c>
      <c r="AT751" s="63" t="str">
        <f t="shared" si="246"/>
        <v xml:space="preserve">                    </v>
      </c>
    </row>
    <row r="752" spans="1:46" ht="12.75" x14ac:dyDescent="0.2">
      <c r="A752" s="63" t="str">
        <f t="shared" si="228"/>
        <v/>
      </c>
      <c r="B752" s="185"/>
      <c r="C752" s="185"/>
      <c r="D752" s="185"/>
      <c r="E752" s="185"/>
      <c r="F752" s="185"/>
      <c r="G752" s="185"/>
      <c r="H752" s="185"/>
      <c r="I752" s="186"/>
      <c r="J752" s="69"/>
      <c r="AA752" s="63">
        <f t="shared" si="229"/>
        <v>0</v>
      </c>
      <c r="AB752" s="153" t="str">
        <f t="shared" si="230"/>
        <v>000</v>
      </c>
      <c r="AC752" s="165" t="str">
        <f t="shared" si="231"/>
        <v>00000000</v>
      </c>
      <c r="AD752" s="98" t="str">
        <f t="shared" si="232"/>
        <v>00000000</v>
      </c>
      <c r="AE752" s="150">
        <f t="shared" si="233"/>
        <v>0</v>
      </c>
      <c r="AF752" s="150">
        <f t="shared" si="234"/>
        <v>0</v>
      </c>
      <c r="AG752" s="98" t="str">
        <f t="shared" si="235"/>
        <v>0000000000</v>
      </c>
      <c r="AH752" s="151">
        <f t="shared" si="236"/>
        <v>0</v>
      </c>
      <c r="AI752" s="98" t="str">
        <f t="shared" si="237"/>
        <v>00</v>
      </c>
      <c r="AJ752" s="98" t="str">
        <f t="shared" si="238"/>
        <v>000000000000</v>
      </c>
      <c r="AK752" s="161" t="str">
        <f t="shared" si="239"/>
        <v xml:space="preserve">                              </v>
      </c>
      <c r="AL752" s="154">
        <f t="shared" si="240"/>
        <v>0</v>
      </c>
      <c r="AM752" s="155">
        <f t="shared" si="241"/>
        <v>0</v>
      </c>
      <c r="AP752" s="63" t="str">
        <f t="shared" si="242"/>
        <v/>
      </c>
      <c r="AQ752" s="63" t="str">
        <f t="shared" si="243"/>
        <v/>
      </c>
      <c r="AR752" s="152" t="str">
        <f t="shared" si="244"/>
        <v/>
      </c>
      <c r="AS752" s="109" t="str">
        <f t="shared" si="245"/>
        <v/>
      </c>
      <c r="AT752" s="63" t="str">
        <f t="shared" si="246"/>
        <v xml:space="preserve">                    </v>
      </c>
    </row>
    <row r="753" spans="1:46" ht="12.75" x14ac:dyDescent="0.2">
      <c r="A753" s="63" t="str">
        <f t="shared" si="228"/>
        <v/>
      </c>
      <c r="B753" s="185"/>
      <c r="C753" s="185"/>
      <c r="D753" s="185"/>
      <c r="E753" s="185"/>
      <c r="F753" s="185"/>
      <c r="G753" s="185"/>
      <c r="H753" s="185"/>
      <c r="I753" s="186"/>
      <c r="J753" s="69"/>
      <c r="AA753" s="63">
        <f t="shared" si="229"/>
        <v>0</v>
      </c>
      <c r="AB753" s="153" t="str">
        <f t="shared" si="230"/>
        <v>000</v>
      </c>
      <c r="AC753" s="165" t="str">
        <f t="shared" si="231"/>
        <v>00000000</v>
      </c>
      <c r="AD753" s="98" t="str">
        <f t="shared" si="232"/>
        <v>00000000</v>
      </c>
      <c r="AE753" s="150">
        <f t="shared" si="233"/>
        <v>0</v>
      </c>
      <c r="AF753" s="150">
        <f t="shared" si="234"/>
        <v>0</v>
      </c>
      <c r="AG753" s="98" t="str">
        <f t="shared" si="235"/>
        <v>0000000000</v>
      </c>
      <c r="AH753" s="151">
        <f t="shared" si="236"/>
        <v>0</v>
      </c>
      <c r="AI753" s="98" t="str">
        <f t="shared" si="237"/>
        <v>00</v>
      </c>
      <c r="AJ753" s="98" t="str">
        <f t="shared" si="238"/>
        <v>000000000000</v>
      </c>
      <c r="AK753" s="161" t="str">
        <f t="shared" si="239"/>
        <v xml:space="preserve">                              </v>
      </c>
      <c r="AL753" s="154">
        <f t="shared" si="240"/>
        <v>0</v>
      </c>
      <c r="AM753" s="155">
        <f t="shared" si="241"/>
        <v>0</v>
      </c>
      <c r="AP753" s="63" t="str">
        <f t="shared" si="242"/>
        <v/>
      </c>
      <c r="AQ753" s="63" t="str">
        <f t="shared" si="243"/>
        <v/>
      </c>
      <c r="AR753" s="152" t="str">
        <f t="shared" si="244"/>
        <v/>
      </c>
      <c r="AS753" s="109" t="str">
        <f t="shared" si="245"/>
        <v/>
      </c>
      <c r="AT753" s="63" t="str">
        <f t="shared" si="246"/>
        <v xml:space="preserve">                    </v>
      </c>
    </row>
    <row r="754" spans="1:46" ht="12.75" x14ac:dyDescent="0.2">
      <c r="A754" s="63" t="str">
        <f t="shared" si="228"/>
        <v/>
      </c>
      <c r="B754" s="185"/>
      <c r="C754" s="185"/>
      <c r="D754" s="185"/>
      <c r="E754" s="185"/>
      <c r="F754" s="185"/>
      <c r="G754" s="185"/>
      <c r="H754" s="185"/>
      <c r="I754" s="186"/>
      <c r="J754" s="69"/>
      <c r="AA754" s="63">
        <f t="shared" si="229"/>
        <v>0</v>
      </c>
      <c r="AB754" s="153" t="str">
        <f t="shared" si="230"/>
        <v>000</v>
      </c>
      <c r="AC754" s="165" t="str">
        <f t="shared" si="231"/>
        <v>00000000</v>
      </c>
      <c r="AD754" s="98" t="str">
        <f t="shared" si="232"/>
        <v>00000000</v>
      </c>
      <c r="AE754" s="150">
        <f t="shared" si="233"/>
        <v>0</v>
      </c>
      <c r="AF754" s="150">
        <f t="shared" si="234"/>
        <v>0</v>
      </c>
      <c r="AG754" s="98" t="str">
        <f t="shared" si="235"/>
        <v>0000000000</v>
      </c>
      <c r="AH754" s="151">
        <f t="shared" si="236"/>
        <v>0</v>
      </c>
      <c r="AI754" s="98" t="str">
        <f t="shared" si="237"/>
        <v>00</v>
      </c>
      <c r="AJ754" s="98" t="str">
        <f t="shared" si="238"/>
        <v>000000000000</v>
      </c>
      <c r="AK754" s="161" t="str">
        <f t="shared" si="239"/>
        <v xml:space="preserve">                              </v>
      </c>
      <c r="AL754" s="154">
        <f t="shared" si="240"/>
        <v>0</v>
      </c>
      <c r="AM754" s="155">
        <f t="shared" si="241"/>
        <v>0</v>
      </c>
      <c r="AP754" s="63" t="str">
        <f t="shared" si="242"/>
        <v/>
      </c>
      <c r="AQ754" s="63" t="str">
        <f t="shared" si="243"/>
        <v/>
      </c>
      <c r="AR754" s="152" t="str">
        <f t="shared" si="244"/>
        <v/>
      </c>
      <c r="AS754" s="109" t="str">
        <f t="shared" si="245"/>
        <v/>
      </c>
      <c r="AT754" s="63" t="str">
        <f t="shared" si="246"/>
        <v xml:space="preserve">                    </v>
      </c>
    </row>
    <row r="755" spans="1:46" ht="12.75" x14ac:dyDescent="0.2">
      <c r="A755" s="63" t="str">
        <f t="shared" si="228"/>
        <v/>
      </c>
      <c r="B755" s="185"/>
      <c r="C755" s="185"/>
      <c r="D755" s="185"/>
      <c r="E755" s="185"/>
      <c r="F755" s="185"/>
      <c r="G755" s="185"/>
      <c r="H755" s="185"/>
      <c r="I755" s="186"/>
      <c r="J755" s="69"/>
      <c r="AA755" s="63">
        <f t="shared" si="229"/>
        <v>0</v>
      </c>
      <c r="AB755" s="153" t="str">
        <f t="shared" si="230"/>
        <v>000</v>
      </c>
      <c r="AC755" s="165" t="str">
        <f t="shared" si="231"/>
        <v>00000000</v>
      </c>
      <c r="AD755" s="98" t="str">
        <f t="shared" si="232"/>
        <v>00000000</v>
      </c>
      <c r="AE755" s="150">
        <f t="shared" si="233"/>
        <v>0</v>
      </c>
      <c r="AF755" s="150">
        <f t="shared" si="234"/>
        <v>0</v>
      </c>
      <c r="AG755" s="98" t="str">
        <f t="shared" si="235"/>
        <v>0000000000</v>
      </c>
      <c r="AH755" s="151">
        <f t="shared" si="236"/>
        <v>0</v>
      </c>
      <c r="AI755" s="98" t="str">
        <f t="shared" si="237"/>
        <v>00</v>
      </c>
      <c r="AJ755" s="98" t="str">
        <f t="shared" si="238"/>
        <v>000000000000</v>
      </c>
      <c r="AK755" s="161" t="str">
        <f t="shared" si="239"/>
        <v xml:space="preserve">                              </v>
      </c>
      <c r="AL755" s="154">
        <f t="shared" si="240"/>
        <v>0</v>
      </c>
      <c r="AM755" s="155">
        <f t="shared" si="241"/>
        <v>0</v>
      </c>
      <c r="AP755" s="63" t="str">
        <f t="shared" si="242"/>
        <v/>
      </c>
      <c r="AQ755" s="63" t="str">
        <f t="shared" si="243"/>
        <v/>
      </c>
      <c r="AR755" s="152" t="str">
        <f t="shared" si="244"/>
        <v/>
      </c>
      <c r="AS755" s="109" t="str">
        <f t="shared" si="245"/>
        <v/>
      </c>
      <c r="AT755" s="63" t="str">
        <f t="shared" si="246"/>
        <v xml:space="preserve">                    </v>
      </c>
    </row>
    <row r="756" spans="1:46" ht="12.75" x14ac:dyDescent="0.2">
      <c r="A756" s="63" t="str">
        <f t="shared" si="228"/>
        <v/>
      </c>
      <c r="B756" s="185"/>
      <c r="C756" s="185"/>
      <c r="D756" s="185"/>
      <c r="E756" s="185"/>
      <c r="F756" s="185"/>
      <c r="G756" s="185"/>
      <c r="H756" s="185"/>
      <c r="I756" s="186"/>
      <c r="J756" s="69"/>
      <c r="AA756" s="63">
        <f t="shared" si="229"/>
        <v>0</v>
      </c>
      <c r="AB756" s="153" t="str">
        <f t="shared" si="230"/>
        <v>000</v>
      </c>
      <c r="AC756" s="165" t="str">
        <f t="shared" si="231"/>
        <v>00000000</v>
      </c>
      <c r="AD756" s="98" t="str">
        <f t="shared" si="232"/>
        <v>00000000</v>
      </c>
      <c r="AE756" s="150">
        <f t="shared" si="233"/>
        <v>0</v>
      </c>
      <c r="AF756" s="150">
        <f t="shared" si="234"/>
        <v>0</v>
      </c>
      <c r="AG756" s="98" t="str">
        <f t="shared" si="235"/>
        <v>0000000000</v>
      </c>
      <c r="AH756" s="151">
        <f t="shared" si="236"/>
        <v>0</v>
      </c>
      <c r="AI756" s="98" t="str">
        <f t="shared" si="237"/>
        <v>00</v>
      </c>
      <c r="AJ756" s="98" t="str">
        <f t="shared" si="238"/>
        <v>000000000000</v>
      </c>
      <c r="AK756" s="161" t="str">
        <f t="shared" si="239"/>
        <v xml:space="preserve">                              </v>
      </c>
      <c r="AL756" s="154">
        <f t="shared" si="240"/>
        <v>0</v>
      </c>
      <c r="AM756" s="155">
        <f t="shared" si="241"/>
        <v>0</v>
      </c>
      <c r="AP756" s="63" t="str">
        <f t="shared" si="242"/>
        <v/>
      </c>
      <c r="AQ756" s="63" t="str">
        <f t="shared" si="243"/>
        <v/>
      </c>
      <c r="AR756" s="152" t="str">
        <f t="shared" si="244"/>
        <v/>
      </c>
      <c r="AS756" s="109" t="str">
        <f t="shared" si="245"/>
        <v/>
      </c>
      <c r="AT756" s="63" t="str">
        <f t="shared" si="246"/>
        <v xml:space="preserve">                    </v>
      </c>
    </row>
    <row r="757" spans="1:46" ht="12.75" x14ac:dyDescent="0.2">
      <c r="A757" s="63" t="str">
        <f t="shared" si="228"/>
        <v/>
      </c>
      <c r="B757" s="185"/>
      <c r="C757" s="185"/>
      <c r="D757" s="185"/>
      <c r="E757" s="185"/>
      <c r="F757" s="185"/>
      <c r="G757" s="185"/>
      <c r="H757" s="185"/>
      <c r="I757" s="186"/>
      <c r="J757" s="69"/>
      <c r="AA757" s="63">
        <f t="shared" si="229"/>
        <v>0</v>
      </c>
      <c r="AB757" s="153" t="str">
        <f t="shared" si="230"/>
        <v>000</v>
      </c>
      <c r="AC757" s="165" t="str">
        <f t="shared" si="231"/>
        <v>00000000</v>
      </c>
      <c r="AD757" s="98" t="str">
        <f t="shared" si="232"/>
        <v>00000000</v>
      </c>
      <c r="AE757" s="150">
        <f t="shared" si="233"/>
        <v>0</v>
      </c>
      <c r="AF757" s="150">
        <f t="shared" si="234"/>
        <v>0</v>
      </c>
      <c r="AG757" s="98" t="str">
        <f t="shared" si="235"/>
        <v>0000000000</v>
      </c>
      <c r="AH757" s="151">
        <f t="shared" si="236"/>
        <v>0</v>
      </c>
      <c r="AI757" s="98" t="str">
        <f t="shared" si="237"/>
        <v>00</v>
      </c>
      <c r="AJ757" s="98" t="str">
        <f t="shared" si="238"/>
        <v>000000000000</v>
      </c>
      <c r="AK757" s="161" t="str">
        <f t="shared" si="239"/>
        <v xml:space="preserve">                              </v>
      </c>
      <c r="AL757" s="154">
        <f t="shared" si="240"/>
        <v>0</v>
      </c>
      <c r="AM757" s="155">
        <f t="shared" si="241"/>
        <v>0</v>
      </c>
      <c r="AP757" s="63" t="str">
        <f t="shared" si="242"/>
        <v/>
      </c>
      <c r="AQ757" s="63" t="str">
        <f t="shared" si="243"/>
        <v/>
      </c>
      <c r="AR757" s="152" t="str">
        <f t="shared" si="244"/>
        <v/>
      </c>
      <c r="AS757" s="109" t="str">
        <f t="shared" si="245"/>
        <v/>
      </c>
      <c r="AT757" s="63" t="str">
        <f t="shared" si="246"/>
        <v xml:space="preserve">                    </v>
      </c>
    </row>
    <row r="758" spans="1:46" ht="12.75" x14ac:dyDescent="0.2">
      <c r="A758" s="63" t="str">
        <f t="shared" si="228"/>
        <v/>
      </c>
      <c r="B758" s="185"/>
      <c r="C758" s="185"/>
      <c r="D758" s="185"/>
      <c r="E758" s="185"/>
      <c r="F758" s="185"/>
      <c r="G758" s="185"/>
      <c r="H758" s="185"/>
      <c r="I758" s="186"/>
      <c r="J758" s="69"/>
      <c r="AA758" s="63">
        <f t="shared" si="229"/>
        <v>0</v>
      </c>
      <c r="AB758" s="153" t="str">
        <f t="shared" si="230"/>
        <v>000</v>
      </c>
      <c r="AC758" s="165" t="str">
        <f t="shared" si="231"/>
        <v>00000000</v>
      </c>
      <c r="AD758" s="98" t="str">
        <f t="shared" si="232"/>
        <v>00000000</v>
      </c>
      <c r="AE758" s="150">
        <f t="shared" si="233"/>
        <v>0</v>
      </c>
      <c r="AF758" s="150">
        <f t="shared" si="234"/>
        <v>0</v>
      </c>
      <c r="AG758" s="98" t="str">
        <f t="shared" si="235"/>
        <v>0000000000</v>
      </c>
      <c r="AH758" s="151">
        <f t="shared" si="236"/>
        <v>0</v>
      </c>
      <c r="AI758" s="98" t="str">
        <f t="shared" si="237"/>
        <v>00</v>
      </c>
      <c r="AJ758" s="98" t="str">
        <f t="shared" si="238"/>
        <v>000000000000</v>
      </c>
      <c r="AK758" s="161" t="str">
        <f t="shared" si="239"/>
        <v xml:space="preserve">                              </v>
      </c>
      <c r="AL758" s="154">
        <f t="shared" si="240"/>
        <v>0</v>
      </c>
      <c r="AM758" s="155">
        <f t="shared" si="241"/>
        <v>0</v>
      </c>
      <c r="AP758" s="63" t="str">
        <f t="shared" si="242"/>
        <v/>
      </c>
      <c r="AQ758" s="63" t="str">
        <f t="shared" si="243"/>
        <v/>
      </c>
      <c r="AR758" s="152" t="str">
        <f t="shared" si="244"/>
        <v/>
      </c>
      <c r="AS758" s="109" t="str">
        <f t="shared" si="245"/>
        <v/>
      </c>
      <c r="AT758" s="63" t="str">
        <f t="shared" si="246"/>
        <v xml:space="preserve">                    </v>
      </c>
    </row>
    <row r="759" spans="1:46" ht="12.75" x14ac:dyDescent="0.2">
      <c r="A759" s="63" t="str">
        <f t="shared" si="228"/>
        <v/>
      </c>
      <c r="B759" s="185"/>
      <c r="C759" s="185"/>
      <c r="D759" s="185"/>
      <c r="E759" s="185"/>
      <c r="F759" s="185"/>
      <c r="G759" s="185"/>
      <c r="H759" s="185"/>
      <c r="I759" s="186"/>
      <c r="J759" s="69"/>
      <c r="AA759" s="63">
        <f t="shared" si="229"/>
        <v>0</v>
      </c>
      <c r="AB759" s="153" t="str">
        <f t="shared" si="230"/>
        <v>000</v>
      </c>
      <c r="AC759" s="165" t="str">
        <f t="shared" si="231"/>
        <v>00000000</v>
      </c>
      <c r="AD759" s="98" t="str">
        <f t="shared" si="232"/>
        <v>00000000</v>
      </c>
      <c r="AE759" s="150">
        <f t="shared" si="233"/>
        <v>0</v>
      </c>
      <c r="AF759" s="150">
        <f t="shared" si="234"/>
        <v>0</v>
      </c>
      <c r="AG759" s="98" t="str">
        <f t="shared" si="235"/>
        <v>0000000000</v>
      </c>
      <c r="AH759" s="151">
        <f t="shared" si="236"/>
        <v>0</v>
      </c>
      <c r="AI759" s="98" t="str">
        <f t="shared" si="237"/>
        <v>00</v>
      </c>
      <c r="AJ759" s="98" t="str">
        <f t="shared" si="238"/>
        <v>000000000000</v>
      </c>
      <c r="AK759" s="161" t="str">
        <f t="shared" si="239"/>
        <v xml:space="preserve">                              </v>
      </c>
      <c r="AL759" s="154">
        <f t="shared" si="240"/>
        <v>0</v>
      </c>
      <c r="AM759" s="155">
        <f t="shared" si="241"/>
        <v>0</v>
      </c>
      <c r="AP759" s="63" t="str">
        <f t="shared" si="242"/>
        <v/>
      </c>
      <c r="AQ759" s="63" t="str">
        <f t="shared" si="243"/>
        <v/>
      </c>
      <c r="AR759" s="152" t="str">
        <f t="shared" si="244"/>
        <v/>
      </c>
      <c r="AS759" s="109" t="str">
        <f t="shared" si="245"/>
        <v/>
      </c>
      <c r="AT759" s="63" t="str">
        <f t="shared" si="246"/>
        <v xml:space="preserve">                    </v>
      </c>
    </row>
    <row r="760" spans="1:46" ht="12.75" x14ac:dyDescent="0.2">
      <c r="A760" s="63" t="str">
        <f t="shared" si="228"/>
        <v/>
      </c>
      <c r="B760" s="185"/>
      <c r="C760" s="185"/>
      <c r="D760" s="185"/>
      <c r="E760" s="185"/>
      <c r="F760" s="185"/>
      <c r="G760" s="185"/>
      <c r="H760" s="185"/>
      <c r="I760" s="186"/>
      <c r="J760" s="69"/>
      <c r="AA760" s="63">
        <f t="shared" si="229"/>
        <v>0</v>
      </c>
      <c r="AB760" s="153" t="str">
        <f t="shared" si="230"/>
        <v>000</v>
      </c>
      <c r="AC760" s="165" t="str">
        <f t="shared" si="231"/>
        <v>00000000</v>
      </c>
      <c r="AD760" s="98" t="str">
        <f t="shared" si="232"/>
        <v>00000000</v>
      </c>
      <c r="AE760" s="150">
        <f t="shared" si="233"/>
        <v>0</v>
      </c>
      <c r="AF760" s="150">
        <f t="shared" si="234"/>
        <v>0</v>
      </c>
      <c r="AG760" s="98" t="str">
        <f t="shared" si="235"/>
        <v>0000000000</v>
      </c>
      <c r="AH760" s="151">
        <f t="shared" si="236"/>
        <v>0</v>
      </c>
      <c r="AI760" s="98" t="str">
        <f t="shared" si="237"/>
        <v>00</v>
      </c>
      <c r="AJ760" s="98" t="str">
        <f t="shared" si="238"/>
        <v>000000000000</v>
      </c>
      <c r="AK760" s="161" t="str">
        <f t="shared" si="239"/>
        <v xml:space="preserve">                              </v>
      </c>
      <c r="AL760" s="154">
        <f t="shared" si="240"/>
        <v>0</v>
      </c>
      <c r="AM760" s="155">
        <f t="shared" si="241"/>
        <v>0</v>
      </c>
      <c r="AP760" s="63" t="str">
        <f t="shared" si="242"/>
        <v/>
      </c>
      <c r="AQ760" s="63" t="str">
        <f t="shared" si="243"/>
        <v/>
      </c>
      <c r="AR760" s="152" t="str">
        <f t="shared" si="244"/>
        <v/>
      </c>
      <c r="AS760" s="109" t="str">
        <f t="shared" si="245"/>
        <v/>
      </c>
      <c r="AT760" s="63" t="str">
        <f t="shared" si="246"/>
        <v xml:space="preserve">                    </v>
      </c>
    </row>
    <row r="761" spans="1:46" ht="12.75" x14ac:dyDescent="0.2">
      <c r="A761" s="63" t="str">
        <f t="shared" si="228"/>
        <v/>
      </c>
      <c r="B761" s="185"/>
      <c r="C761" s="185"/>
      <c r="D761" s="185"/>
      <c r="E761" s="185"/>
      <c r="F761" s="185"/>
      <c r="G761" s="185"/>
      <c r="H761" s="185"/>
      <c r="I761" s="186"/>
      <c r="J761" s="69"/>
      <c r="AA761" s="63">
        <f t="shared" si="229"/>
        <v>0</v>
      </c>
      <c r="AB761" s="153" t="str">
        <f t="shared" si="230"/>
        <v>000</v>
      </c>
      <c r="AC761" s="165" t="str">
        <f t="shared" si="231"/>
        <v>00000000</v>
      </c>
      <c r="AD761" s="98" t="str">
        <f t="shared" si="232"/>
        <v>00000000</v>
      </c>
      <c r="AE761" s="150">
        <f t="shared" si="233"/>
        <v>0</v>
      </c>
      <c r="AF761" s="150">
        <f t="shared" si="234"/>
        <v>0</v>
      </c>
      <c r="AG761" s="98" t="str">
        <f t="shared" si="235"/>
        <v>0000000000</v>
      </c>
      <c r="AH761" s="151">
        <f t="shared" si="236"/>
        <v>0</v>
      </c>
      <c r="AI761" s="98" t="str">
        <f t="shared" si="237"/>
        <v>00</v>
      </c>
      <c r="AJ761" s="98" t="str">
        <f t="shared" si="238"/>
        <v>000000000000</v>
      </c>
      <c r="AK761" s="161" t="str">
        <f t="shared" si="239"/>
        <v xml:space="preserve">                              </v>
      </c>
      <c r="AL761" s="154">
        <f t="shared" si="240"/>
        <v>0</v>
      </c>
      <c r="AM761" s="155">
        <f t="shared" si="241"/>
        <v>0</v>
      </c>
      <c r="AP761" s="63" t="str">
        <f t="shared" si="242"/>
        <v/>
      </c>
      <c r="AQ761" s="63" t="str">
        <f t="shared" si="243"/>
        <v/>
      </c>
      <c r="AR761" s="152" t="str">
        <f t="shared" si="244"/>
        <v/>
      </c>
      <c r="AS761" s="109" t="str">
        <f t="shared" si="245"/>
        <v/>
      </c>
      <c r="AT761" s="63" t="str">
        <f t="shared" si="246"/>
        <v xml:space="preserve">                    </v>
      </c>
    </row>
    <row r="762" spans="1:46" ht="12.75" x14ac:dyDescent="0.2">
      <c r="A762" s="63" t="str">
        <f t="shared" si="228"/>
        <v/>
      </c>
      <c r="B762" s="185"/>
      <c r="C762" s="185"/>
      <c r="D762" s="185"/>
      <c r="E762" s="185"/>
      <c r="F762" s="185"/>
      <c r="G762" s="185"/>
      <c r="H762" s="185"/>
      <c r="I762" s="186"/>
      <c r="J762" s="69"/>
      <c r="AA762" s="63">
        <f t="shared" si="229"/>
        <v>0</v>
      </c>
      <c r="AB762" s="153" t="str">
        <f t="shared" si="230"/>
        <v>000</v>
      </c>
      <c r="AC762" s="165" t="str">
        <f t="shared" si="231"/>
        <v>00000000</v>
      </c>
      <c r="AD762" s="98" t="str">
        <f t="shared" si="232"/>
        <v>00000000</v>
      </c>
      <c r="AE762" s="150">
        <f t="shared" si="233"/>
        <v>0</v>
      </c>
      <c r="AF762" s="150">
        <f t="shared" si="234"/>
        <v>0</v>
      </c>
      <c r="AG762" s="98" t="str">
        <f t="shared" si="235"/>
        <v>0000000000</v>
      </c>
      <c r="AH762" s="151">
        <f t="shared" si="236"/>
        <v>0</v>
      </c>
      <c r="AI762" s="98" t="str">
        <f t="shared" si="237"/>
        <v>00</v>
      </c>
      <c r="AJ762" s="98" t="str">
        <f t="shared" si="238"/>
        <v>000000000000</v>
      </c>
      <c r="AK762" s="161" t="str">
        <f t="shared" si="239"/>
        <v xml:space="preserve">                              </v>
      </c>
      <c r="AL762" s="154">
        <f t="shared" si="240"/>
        <v>0</v>
      </c>
      <c r="AM762" s="155">
        <f t="shared" si="241"/>
        <v>0</v>
      </c>
      <c r="AP762" s="63" t="str">
        <f t="shared" si="242"/>
        <v/>
      </c>
      <c r="AQ762" s="63" t="str">
        <f t="shared" si="243"/>
        <v/>
      </c>
      <c r="AR762" s="152" t="str">
        <f t="shared" si="244"/>
        <v/>
      </c>
      <c r="AS762" s="109" t="str">
        <f t="shared" si="245"/>
        <v/>
      </c>
      <c r="AT762" s="63" t="str">
        <f t="shared" si="246"/>
        <v xml:space="preserve">                    </v>
      </c>
    </row>
    <row r="763" spans="1:46" ht="12.75" x14ac:dyDescent="0.2">
      <c r="A763" s="63" t="str">
        <f t="shared" si="228"/>
        <v/>
      </c>
      <c r="B763" s="185"/>
      <c r="C763" s="185"/>
      <c r="D763" s="185"/>
      <c r="E763" s="185"/>
      <c r="F763" s="185"/>
      <c r="G763" s="185"/>
      <c r="H763" s="185"/>
      <c r="I763" s="186"/>
      <c r="J763" s="69"/>
      <c r="AA763" s="63">
        <f t="shared" si="229"/>
        <v>0</v>
      </c>
      <c r="AB763" s="153" t="str">
        <f t="shared" si="230"/>
        <v>000</v>
      </c>
      <c r="AC763" s="165" t="str">
        <f t="shared" si="231"/>
        <v>00000000</v>
      </c>
      <c r="AD763" s="98" t="str">
        <f t="shared" si="232"/>
        <v>00000000</v>
      </c>
      <c r="AE763" s="150">
        <f t="shared" si="233"/>
        <v>0</v>
      </c>
      <c r="AF763" s="150">
        <f t="shared" si="234"/>
        <v>0</v>
      </c>
      <c r="AG763" s="98" t="str">
        <f t="shared" si="235"/>
        <v>0000000000</v>
      </c>
      <c r="AH763" s="151">
        <f t="shared" si="236"/>
        <v>0</v>
      </c>
      <c r="AI763" s="98" t="str">
        <f t="shared" si="237"/>
        <v>00</v>
      </c>
      <c r="AJ763" s="98" t="str">
        <f t="shared" si="238"/>
        <v>000000000000</v>
      </c>
      <c r="AK763" s="161" t="str">
        <f t="shared" si="239"/>
        <v xml:space="preserve">                              </v>
      </c>
      <c r="AL763" s="154">
        <f t="shared" si="240"/>
        <v>0</v>
      </c>
      <c r="AM763" s="155">
        <f t="shared" si="241"/>
        <v>0</v>
      </c>
      <c r="AP763" s="63" t="str">
        <f t="shared" si="242"/>
        <v/>
      </c>
      <c r="AQ763" s="63" t="str">
        <f t="shared" si="243"/>
        <v/>
      </c>
      <c r="AR763" s="152" t="str">
        <f t="shared" si="244"/>
        <v/>
      </c>
      <c r="AS763" s="109" t="str">
        <f t="shared" si="245"/>
        <v/>
      </c>
      <c r="AT763" s="63" t="str">
        <f t="shared" si="246"/>
        <v xml:space="preserve">                    </v>
      </c>
    </row>
    <row r="764" spans="1:46" ht="12.75" x14ac:dyDescent="0.2">
      <c r="A764" s="63" t="str">
        <f t="shared" si="228"/>
        <v/>
      </c>
      <c r="B764" s="185"/>
      <c r="C764" s="185"/>
      <c r="D764" s="185"/>
      <c r="E764" s="185"/>
      <c r="F764" s="185"/>
      <c r="G764" s="185"/>
      <c r="H764" s="185"/>
      <c r="I764" s="186"/>
      <c r="J764" s="69"/>
      <c r="AA764" s="63">
        <f t="shared" si="229"/>
        <v>0</v>
      </c>
      <c r="AB764" s="153" t="str">
        <f t="shared" si="230"/>
        <v>000</v>
      </c>
      <c r="AC764" s="165" t="str">
        <f t="shared" si="231"/>
        <v>00000000</v>
      </c>
      <c r="AD764" s="98" t="str">
        <f t="shared" si="232"/>
        <v>00000000</v>
      </c>
      <c r="AE764" s="150">
        <f t="shared" si="233"/>
        <v>0</v>
      </c>
      <c r="AF764" s="150">
        <f t="shared" si="234"/>
        <v>0</v>
      </c>
      <c r="AG764" s="98" t="str">
        <f t="shared" si="235"/>
        <v>0000000000</v>
      </c>
      <c r="AH764" s="151">
        <f t="shared" si="236"/>
        <v>0</v>
      </c>
      <c r="AI764" s="98" t="str">
        <f t="shared" si="237"/>
        <v>00</v>
      </c>
      <c r="AJ764" s="98" t="str">
        <f t="shared" si="238"/>
        <v>000000000000</v>
      </c>
      <c r="AK764" s="161" t="str">
        <f t="shared" si="239"/>
        <v xml:space="preserve">                              </v>
      </c>
      <c r="AL764" s="154">
        <f t="shared" si="240"/>
        <v>0</v>
      </c>
      <c r="AM764" s="155">
        <f t="shared" si="241"/>
        <v>0</v>
      </c>
      <c r="AP764" s="63" t="str">
        <f t="shared" si="242"/>
        <v/>
      </c>
      <c r="AQ764" s="63" t="str">
        <f t="shared" si="243"/>
        <v/>
      </c>
      <c r="AR764" s="152" t="str">
        <f t="shared" si="244"/>
        <v/>
      </c>
      <c r="AS764" s="109" t="str">
        <f t="shared" si="245"/>
        <v/>
      </c>
      <c r="AT764" s="63" t="str">
        <f t="shared" si="246"/>
        <v xml:space="preserve">                    </v>
      </c>
    </row>
    <row r="765" spans="1:46" ht="12.75" x14ac:dyDescent="0.2">
      <c r="A765" s="63" t="str">
        <f t="shared" si="228"/>
        <v/>
      </c>
      <c r="B765" s="185"/>
      <c r="C765" s="185"/>
      <c r="D765" s="185"/>
      <c r="E765" s="185"/>
      <c r="F765" s="185"/>
      <c r="G765" s="185"/>
      <c r="H765" s="185"/>
      <c r="I765" s="186"/>
      <c r="J765" s="69"/>
      <c r="AA765" s="63">
        <f t="shared" si="229"/>
        <v>0</v>
      </c>
      <c r="AB765" s="153" t="str">
        <f t="shared" si="230"/>
        <v>000</v>
      </c>
      <c r="AC765" s="165" t="str">
        <f t="shared" si="231"/>
        <v>00000000</v>
      </c>
      <c r="AD765" s="98" t="str">
        <f t="shared" si="232"/>
        <v>00000000</v>
      </c>
      <c r="AE765" s="150">
        <f t="shared" si="233"/>
        <v>0</v>
      </c>
      <c r="AF765" s="150">
        <f t="shared" si="234"/>
        <v>0</v>
      </c>
      <c r="AG765" s="98" t="str">
        <f t="shared" si="235"/>
        <v>0000000000</v>
      </c>
      <c r="AH765" s="151">
        <f t="shared" si="236"/>
        <v>0</v>
      </c>
      <c r="AI765" s="98" t="str">
        <f t="shared" si="237"/>
        <v>00</v>
      </c>
      <c r="AJ765" s="98" t="str">
        <f t="shared" si="238"/>
        <v>000000000000</v>
      </c>
      <c r="AK765" s="161" t="str">
        <f t="shared" si="239"/>
        <v xml:space="preserve">                              </v>
      </c>
      <c r="AL765" s="154">
        <f t="shared" si="240"/>
        <v>0</v>
      </c>
      <c r="AM765" s="155">
        <f t="shared" si="241"/>
        <v>0</v>
      </c>
      <c r="AP765" s="63" t="str">
        <f t="shared" si="242"/>
        <v/>
      </c>
      <c r="AQ765" s="63" t="str">
        <f t="shared" si="243"/>
        <v/>
      </c>
      <c r="AR765" s="152" t="str">
        <f t="shared" si="244"/>
        <v/>
      </c>
      <c r="AS765" s="109" t="str">
        <f t="shared" si="245"/>
        <v/>
      </c>
      <c r="AT765" s="63" t="str">
        <f t="shared" si="246"/>
        <v xml:space="preserve">                    </v>
      </c>
    </row>
    <row r="766" spans="1:46" ht="12.75" x14ac:dyDescent="0.2">
      <c r="A766" s="63" t="str">
        <f t="shared" si="228"/>
        <v/>
      </c>
      <c r="B766" s="185"/>
      <c r="C766" s="185"/>
      <c r="D766" s="185"/>
      <c r="E766" s="185"/>
      <c r="F766" s="185"/>
      <c r="G766" s="185"/>
      <c r="H766" s="185"/>
      <c r="I766" s="186"/>
      <c r="J766" s="69"/>
      <c r="AA766" s="63">
        <f t="shared" si="229"/>
        <v>0</v>
      </c>
      <c r="AB766" s="153" t="str">
        <f t="shared" si="230"/>
        <v>000</v>
      </c>
      <c r="AC766" s="165" t="str">
        <f t="shared" si="231"/>
        <v>00000000</v>
      </c>
      <c r="AD766" s="98" t="str">
        <f t="shared" si="232"/>
        <v>00000000</v>
      </c>
      <c r="AE766" s="150">
        <f t="shared" si="233"/>
        <v>0</v>
      </c>
      <c r="AF766" s="150">
        <f t="shared" si="234"/>
        <v>0</v>
      </c>
      <c r="AG766" s="98" t="str">
        <f t="shared" si="235"/>
        <v>0000000000</v>
      </c>
      <c r="AH766" s="151">
        <f t="shared" si="236"/>
        <v>0</v>
      </c>
      <c r="AI766" s="98" t="str">
        <f t="shared" si="237"/>
        <v>00</v>
      </c>
      <c r="AJ766" s="98" t="str">
        <f t="shared" si="238"/>
        <v>000000000000</v>
      </c>
      <c r="AK766" s="161" t="str">
        <f t="shared" si="239"/>
        <v xml:space="preserve">                              </v>
      </c>
      <c r="AL766" s="154">
        <f t="shared" si="240"/>
        <v>0</v>
      </c>
      <c r="AM766" s="155">
        <f t="shared" si="241"/>
        <v>0</v>
      </c>
      <c r="AP766" s="63" t="str">
        <f t="shared" si="242"/>
        <v/>
      </c>
      <c r="AQ766" s="63" t="str">
        <f t="shared" si="243"/>
        <v/>
      </c>
      <c r="AR766" s="152" t="str">
        <f t="shared" si="244"/>
        <v/>
      </c>
      <c r="AS766" s="109" t="str">
        <f t="shared" si="245"/>
        <v/>
      </c>
      <c r="AT766" s="63" t="str">
        <f t="shared" si="246"/>
        <v xml:space="preserve">                    </v>
      </c>
    </row>
    <row r="767" spans="1:46" ht="12.75" x14ac:dyDescent="0.2">
      <c r="A767" s="63" t="str">
        <f t="shared" si="228"/>
        <v/>
      </c>
      <c r="B767" s="185"/>
      <c r="C767" s="185"/>
      <c r="D767" s="185"/>
      <c r="E767" s="185"/>
      <c r="F767" s="185"/>
      <c r="G767" s="185"/>
      <c r="H767" s="185"/>
      <c r="I767" s="186"/>
      <c r="J767" s="69"/>
      <c r="AA767" s="63">
        <f t="shared" si="229"/>
        <v>0</v>
      </c>
      <c r="AB767" s="153" t="str">
        <f t="shared" si="230"/>
        <v>000</v>
      </c>
      <c r="AC767" s="165" t="str">
        <f t="shared" si="231"/>
        <v>00000000</v>
      </c>
      <c r="AD767" s="98" t="str">
        <f t="shared" si="232"/>
        <v>00000000</v>
      </c>
      <c r="AE767" s="150">
        <f t="shared" si="233"/>
        <v>0</v>
      </c>
      <c r="AF767" s="150">
        <f t="shared" si="234"/>
        <v>0</v>
      </c>
      <c r="AG767" s="98" t="str">
        <f t="shared" si="235"/>
        <v>0000000000</v>
      </c>
      <c r="AH767" s="151">
        <f t="shared" si="236"/>
        <v>0</v>
      </c>
      <c r="AI767" s="98" t="str">
        <f t="shared" si="237"/>
        <v>00</v>
      </c>
      <c r="AJ767" s="98" t="str">
        <f t="shared" si="238"/>
        <v>000000000000</v>
      </c>
      <c r="AK767" s="161" t="str">
        <f t="shared" si="239"/>
        <v xml:space="preserve">                              </v>
      </c>
      <c r="AL767" s="154">
        <f t="shared" si="240"/>
        <v>0</v>
      </c>
      <c r="AM767" s="155">
        <f t="shared" si="241"/>
        <v>0</v>
      </c>
      <c r="AP767" s="63" t="str">
        <f t="shared" si="242"/>
        <v/>
      </c>
      <c r="AQ767" s="63" t="str">
        <f t="shared" si="243"/>
        <v/>
      </c>
      <c r="AR767" s="152" t="str">
        <f t="shared" si="244"/>
        <v/>
      </c>
      <c r="AS767" s="109" t="str">
        <f t="shared" si="245"/>
        <v/>
      </c>
      <c r="AT767" s="63" t="str">
        <f t="shared" si="246"/>
        <v xml:space="preserve">                    </v>
      </c>
    </row>
    <row r="768" spans="1:46" ht="12.75" x14ac:dyDescent="0.2">
      <c r="A768" s="63" t="str">
        <f t="shared" si="228"/>
        <v/>
      </c>
      <c r="B768" s="185"/>
      <c r="C768" s="185"/>
      <c r="D768" s="185"/>
      <c r="E768" s="185"/>
      <c r="F768" s="185"/>
      <c r="G768" s="185"/>
      <c r="H768" s="185"/>
      <c r="I768" s="186"/>
      <c r="J768" s="69"/>
      <c r="AA768" s="63">
        <f t="shared" si="229"/>
        <v>0</v>
      </c>
      <c r="AB768" s="153" t="str">
        <f t="shared" si="230"/>
        <v>000</v>
      </c>
      <c r="AC768" s="165" t="str">
        <f t="shared" si="231"/>
        <v>00000000</v>
      </c>
      <c r="AD768" s="98" t="str">
        <f t="shared" si="232"/>
        <v>00000000</v>
      </c>
      <c r="AE768" s="150">
        <f t="shared" si="233"/>
        <v>0</v>
      </c>
      <c r="AF768" s="150">
        <f t="shared" si="234"/>
        <v>0</v>
      </c>
      <c r="AG768" s="98" t="str">
        <f t="shared" si="235"/>
        <v>0000000000</v>
      </c>
      <c r="AH768" s="151">
        <f t="shared" si="236"/>
        <v>0</v>
      </c>
      <c r="AI768" s="98" t="str">
        <f t="shared" si="237"/>
        <v>00</v>
      </c>
      <c r="AJ768" s="98" t="str">
        <f t="shared" si="238"/>
        <v>000000000000</v>
      </c>
      <c r="AK768" s="161" t="str">
        <f t="shared" si="239"/>
        <v xml:space="preserve">                              </v>
      </c>
      <c r="AL768" s="154">
        <f t="shared" si="240"/>
        <v>0</v>
      </c>
      <c r="AM768" s="155">
        <f t="shared" si="241"/>
        <v>0</v>
      </c>
      <c r="AP768" s="63" t="str">
        <f t="shared" si="242"/>
        <v/>
      </c>
      <c r="AQ768" s="63" t="str">
        <f t="shared" si="243"/>
        <v/>
      </c>
      <c r="AR768" s="152" t="str">
        <f t="shared" si="244"/>
        <v/>
      </c>
      <c r="AS768" s="109" t="str">
        <f t="shared" si="245"/>
        <v/>
      </c>
      <c r="AT768" s="63" t="str">
        <f t="shared" si="246"/>
        <v xml:space="preserve">                    </v>
      </c>
    </row>
    <row r="769" spans="1:46" ht="12.75" x14ac:dyDescent="0.2">
      <c r="A769" s="63" t="str">
        <f t="shared" si="228"/>
        <v/>
      </c>
      <c r="B769" s="185"/>
      <c r="C769" s="185"/>
      <c r="D769" s="185"/>
      <c r="E769" s="185"/>
      <c r="F769" s="185"/>
      <c r="G769" s="185"/>
      <c r="H769" s="185"/>
      <c r="I769" s="186"/>
      <c r="J769" s="69"/>
      <c r="AA769" s="63">
        <f t="shared" si="229"/>
        <v>0</v>
      </c>
      <c r="AB769" s="153" t="str">
        <f t="shared" si="230"/>
        <v>000</v>
      </c>
      <c r="AC769" s="165" t="str">
        <f t="shared" si="231"/>
        <v>00000000</v>
      </c>
      <c r="AD769" s="98" t="str">
        <f t="shared" si="232"/>
        <v>00000000</v>
      </c>
      <c r="AE769" s="150">
        <f t="shared" si="233"/>
        <v>0</v>
      </c>
      <c r="AF769" s="150">
        <f t="shared" si="234"/>
        <v>0</v>
      </c>
      <c r="AG769" s="98" t="str">
        <f t="shared" si="235"/>
        <v>0000000000</v>
      </c>
      <c r="AH769" s="151">
        <f t="shared" si="236"/>
        <v>0</v>
      </c>
      <c r="AI769" s="98" t="str">
        <f t="shared" si="237"/>
        <v>00</v>
      </c>
      <c r="AJ769" s="98" t="str">
        <f t="shared" si="238"/>
        <v>000000000000</v>
      </c>
      <c r="AK769" s="161" t="str">
        <f t="shared" si="239"/>
        <v xml:space="preserve">                              </v>
      </c>
      <c r="AL769" s="154">
        <f t="shared" si="240"/>
        <v>0</v>
      </c>
      <c r="AM769" s="155">
        <f t="shared" si="241"/>
        <v>0</v>
      </c>
      <c r="AP769" s="63" t="str">
        <f t="shared" si="242"/>
        <v/>
      </c>
      <c r="AQ769" s="63" t="str">
        <f t="shared" si="243"/>
        <v/>
      </c>
      <c r="AR769" s="152" t="str">
        <f t="shared" si="244"/>
        <v/>
      </c>
      <c r="AS769" s="109" t="str">
        <f t="shared" si="245"/>
        <v/>
      </c>
      <c r="AT769" s="63" t="str">
        <f t="shared" si="246"/>
        <v xml:space="preserve">                    </v>
      </c>
    </row>
    <row r="770" spans="1:46" ht="12.75" x14ac:dyDescent="0.2">
      <c r="A770" s="63" t="str">
        <f t="shared" si="228"/>
        <v/>
      </c>
      <c r="B770" s="185"/>
      <c r="C770" s="185"/>
      <c r="D770" s="185"/>
      <c r="E770" s="185"/>
      <c r="F770" s="185"/>
      <c r="G770" s="185"/>
      <c r="H770" s="185"/>
      <c r="I770" s="186"/>
      <c r="J770" s="69"/>
      <c r="AA770" s="63">
        <f t="shared" si="229"/>
        <v>0</v>
      </c>
      <c r="AB770" s="153" t="str">
        <f t="shared" si="230"/>
        <v>000</v>
      </c>
      <c r="AC770" s="165" t="str">
        <f t="shared" si="231"/>
        <v>00000000</v>
      </c>
      <c r="AD770" s="98" t="str">
        <f t="shared" si="232"/>
        <v>00000000</v>
      </c>
      <c r="AE770" s="150">
        <f t="shared" si="233"/>
        <v>0</v>
      </c>
      <c r="AF770" s="150">
        <f t="shared" si="234"/>
        <v>0</v>
      </c>
      <c r="AG770" s="98" t="str">
        <f t="shared" si="235"/>
        <v>0000000000</v>
      </c>
      <c r="AH770" s="151">
        <f t="shared" si="236"/>
        <v>0</v>
      </c>
      <c r="AI770" s="98" t="str">
        <f t="shared" si="237"/>
        <v>00</v>
      </c>
      <c r="AJ770" s="98" t="str">
        <f t="shared" si="238"/>
        <v>000000000000</v>
      </c>
      <c r="AK770" s="161" t="str">
        <f t="shared" si="239"/>
        <v xml:space="preserve">                              </v>
      </c>
      <c r="AL770" s="154">
        <f t="shared" si="240"/>
        <v>0</v>
      </c>
      <c r="AM770" s="155">
        <f t="shared" si="241"/>
        <v>0</v>
      </c>
      <c r="AP770" s="63" t="str">
        <f t="shared" si="242"/>
        <v/>
      </c>
      <c r="AQ770" s="63" t="str">
        <f t="shared" si="243"/>
        <v/>
      </c>
      <c r="AR770" s="152" t="str">
        <f t="shared" si="244"/>
        <v/>
      </c>
      <c r="AS770" s="109" t="str">
        <f t="shared" si="245"/>
        <v/>
      </c>
      <c r="AT770" s="63" t="str">
        <f t="shared" si="246"/>
        <v xml:space="preserve">                    </v>
      </c>
    </row>
    <row r="771" spans="1:46" ht="12.75" x14ac:dyDescent="0.2">
      <c r="A771" s="63" t="str">
        <f t="shared" si="228"/>
        <v/>
      </c>
      <c r="B771" s="185"/>
      <c r="C771" s="185"/>
      <c r="D771" s="185"/>
      <c r="E771" s="185"/>
      <c r="F771" s="185"/>
      <c r="G771" s="185"/>
      <c r="H771" s="185"/>
      <c r="I771" s="186"/>
      <c r="J771" s="69"/>
      <c r="AA771" s="63">
        <f t="shared" si="229"/>
        <v>0</v>
      </c>
      <c r="AB771" s="153" t="str">
        <f t="shared" si="230"/>
        <v>000</v>
      </c>
      <c r="AC771" s="165" t="str">
        <f t="shared" si="231"/>
        <v>00000000</v>
      </c>
      <c r="AD771" s="98" t="str">
        <f t="shared" si="232"/>
        <v>00000000</v>
      </c>
      <c r="AE771" s="150">
        <f t="shared" si="233"/>
        <v>0</v>
      </c>
      <c r="AF771" s="150">
        <f t="shared" si="234"/>
        <v>0</v>
      </c>
      <c r="AG771" s="98" t="str">
        <f t="shared" si="235"/>
        <v>0000000000</v>
      </c>
      <c r="AH771" s="151">
        <f t="shared" si="236"/>
        <v>0</v>
      </c>
      <c r="AI771" s="98" t="str">
        <f t="shared" si="237"/>
        <v>00</v>
      </c>
      <c r="AJ771" s="98" t="str">
        <f t="shared" si="238"/>
        <v>000000000000</v>
      </c>
      <c r="AK771" s="161" t="str">
        <f t="shared" si="239"/>
        <v xml:space="preserve">                              </v>
      </c>
      <c r="AL771" s="154">
        <f t="shared" si="240"/>
        <v>0</v>
      </c>
      <c r="AM771" s="155">
        <f t="shared" si="241"/>
        <v>0</v>
      </c>
      <c r="AP771" s="63" t="str">
        <f t="shared" si="242"/>
        <v/>
      </c>
      <c r="AQ771" s="63" t="str">
        <f t="shared" si="243"/>
        <v/>
      </c>
      <c r="AR771" s="152" t="str">
        <f t="shared" si="244"/>
        <v/>
      </c>
      <c r="AS771" s="109" t="str">
        <f t="shared" si="245"/>
        <v/>
      </c>
      <c r="AT771" s="63" t="str">
        <f t="shared" si="246"/>
        <v xml:space="preserve">                    </v>
      </c>
    </row>
    <row r="772" spans="1:46" ht="12.75" x14ac:dyDescent="0.2">
      <c r="A772" s="63" t="str">
        <f t="shared" si="228"/>
        <v/>
      </c>
      <c r="B772" s="185"/>
      <c r="C772" s="185"/>
      <c r="D772" s="185"/>
      <c r="E772" s="185"/>
      <c r="F772" s="185"/>
      <c r="G772" s="185"/>
      <c r="H772" s="185"/>
      <c r="I772" s="186"/>
      <c r="J772" s="69"/>
      <c r="AA772" s="63">
        <f t="shared" si="229"/>
        <v>0</v>
      </c>
      <c r="AB772" s="153" t="str">
        <f t="shared" si="230"/>
        <v>000</v>
      </c>
      <c r="AC772" s="165" t="str">
        <f t="shared" si="231"/>
        <v>00000000</v>
      </c>
      <c r="AD772" s="98" t="str">
        <f t="shared" si="232"/>
        <v>00000000</v>
      </c>
      <c r="AE772" s="150">
        <f t="shared" si="233"/>
        <v>0</v>
      </c>
      <c r="AF772" s="150">
        <f t="shared" si="234"/>
        <v>0</v>
      </c>
      <c r="AG772" s="98" t="str">
        <f t="shared" si="235"/>
        <v>0000000000</v>
      </c>
      <c r="AH772" s="151">
        <f t="shared" si="236"/>
        <v>0</v>
      </c>
      <c r="AI772" s="98" t="str">
        <f t="shared" si="237"/>
        <v>00</v>
      </c>
      <c r="AJ772" s="98" t="str">
        <f t="shared" si="238"/>
        <v>000000000000</v>
      </c>
      <c r="AK772" s="161" t="str">
        <f t="shared" si="239"/>
        <v xml:space="preserve">                              </v>
      </c>
      <c r="AL772" s="154">
        <f t="shared" si="240"/>
        <v>0</v>
      </c>
      <c r="AM772" s="155">
        <f t="shared" si="241"/>
        <v>0</v>
      </c>
      <c r="AP772" s="63" t="str">
        <f t="shared" si="242"/>
        <v/>
      </c>
      <c r="AQ772" s="63" t="str">
        <f t="shared" si="243"/>
        <v/>
      </c>
      <c r="AR772" s="152" t="str">
        <f t="shared" si="244"/>
        <v/>
      </c>
      <c r="AS772" s="109" t="str">
        <f t="shared" si="245"/>
        <v/>
      </c>
      <c r="AT772" s="63" t="str">
        <f t="shared" si="246"/>
        <v xml:space="preserve">                    </v>
      </c>
    </row>
    <row r="773" spans="1:46" ht="12.75" x14ac:dyDescent="0.2">
      <c r="A773" s="63" t="str">
        <f t="shared" si="228"/>
        <v/>
      </c>
      <c r="B773" s="185"/>
      <c r="C773" s="185"/>
      <c r="D773" s="185"/>
      <c r="E773" s="185"/>
      <c r="F773" s="185"/>
      <c r="G773" s="185"/>
      <c r="H773" s="185"/>
      <c r="I773" s="186"/>
      <c r="J773" s="69"/>
      <c r="AA773" s="63">
        <f t="shared" si="229"/>
        <v>0</v>
      </c>
      <c r="AB773" s="153" t="str">
        <f t="shared" si="230"/>
        <v>000</v>
      </c>
      <c r="AC773" s="165" t="str">
        <f t="shared" si="231"/>
        <v>00000000</v>
      </c>
      <c r="AD773" s="98" t="str">
        <f t="shared" si="232"/>
        <v>00000000</v>
      </c>
      <c r="AE773" s="150">
        <f t="shared" si="233"/>
        <v>0</v>
      </c>
      <c r="AF773" s="150">
        <f t="shared" si="234"/>
        <v>0</v>
      </c>
      <c r="AG773" s="98" t="str">
        <f t="shared" si="235"/>
        <v>0000000000</v>
      </c>
      <c r="AH773" s="151">
        <f t="shared" si="236"/>
        <v>0</v>
      </c>
      <c r="AI773" s="98" t="str">
        <f t="shared" si="237"/>
        <v>00</v>
      </c>
      <c r="AJ773" s="98" t="str">
        <f t="shared" si="238"/>
        <v>000000000000</v>
      </c>
      <c r="AK773" s="161" t="str">
        <f t="shared" si="239"/>
        <v xml:space="preserve">                              </v>
      </c>
      <c r="AL773" s="154">
        <f t="shared" si="240"/>
        <v>0</v>
      </c>
      <c r="AM773" s="155">
        <f t="shared" si="241"/>
        <v>0</v>
      </c>
      <c r="AP773" s="63" t="str">
        <f t="shared" si="242"/>
        <v/>
      </c>
      <c r="AQ773" s="63" t="str">
        <f t="shared" si="243"/>
        <v/>
      </c>
      <c r="AR773" s="152" t="str">
        <f t="shared" si="244"/>
        <v/>
      </c>
      <c r="AS773" s="109" t="str">
        <f t="shared" si="245"/>
        <v/>
      </c>
      <c r="AT773" s="63" t="str">
        <f t="shared" si="246"/>
        <v xml:space="preserve">                    </v>
      </c>
    </row>
    <row r="774" spans="1:46" ht="12.75" x14ac:dyDescent="0.2">
      <c r="A774" s="63" t="str">
        <f t="shared" ref="A774:A837" si="247">IF(B774&lt;&gt;"",A773+1,"")</f>
        <v/>
      </c>
      <c r="B774" s="185"/>
      <c r="C774" s="185"/>
      <c r="D774" s="185"/>
      <c r="E774" s="185"/>
      <c r="F774" s="185"/>
      <c r="G774" s="185"/>
      <c r="H774" s="185"/>
      <c r="I774" s="186"/>
      <c r="J774" s="69"/>
      <c r="AA774" s="63">
        <f t="shared" si="229"/>
        <v>0</v>
      </c>
      <c r="AB774" s="153" t="str">
        <f t="shared" si="230"/>
        <v>000</v>
      </c>
      <c r="AC774" s="165" t="str">
        <f t="shared" si="231"/>
        <v>00000000</v>
      </c>
      <c r="AD774" s="98" t="str">
        <f t="shared" si="232"/>
        <v>00000000</v>
      </c>
      <c r="AE774" s="150">
        <f t="shared" si="233"/>
        <v>0</v>
      </c>
      <c r="AF774" s="150">
        <f t="shared" si="234"/>
        <v>0</v>
      </c>
      <c r="AG774" s="98" t="str">
        <f t="shared" si="235"/>
        <v>0000000000</v>
      </c>
      <c r="AH774" s="151">
        <f t="shared" si="236"/>
        <v>0</v>
      </c>
      <c r="AI774" s="98" t="str">
        <f t="shared" si="237"/>
        <v>00</v>
      </c>
      <c r="AJ774" s="98" t="str">
        <f t="shared" si="238"/>
        <v>000000000000</v>
      </c>
      <c r="AK774" s="161" t="str">
        <f t="shared" si="239"/>
        <v xml:space="preserve">                              </v>
      </c>
      <c r="AL774" s="154">
        <f t="shared" si="240"/>
        <v>0</v>
      </c>
      <c r="AM774" s="155">
        <f t="shared" si="241"/>
        <v>0</v>
      </c>
      <c r="AP774" s="63" t="str">
        <f t="shared" si="242"/>
        <v/>
      </c>
      <c r="AQ774" s="63" t="str">
        <f t="shared" si="243"/>
        <v/>
      </c>
      <c r="AR774" s="152" t="str">
        <f t="shared" si="244"/>
        <v/>
      </c>
      <c r="AS774" s="109" t="str">
        <f t="shared" si="245"/>
        <v/>
      </c>
      <c r="AT774" s="63" t="str">
        <f t="shared" si="246"/>
        <v xml:space="preserve">                    </v>
      </c>
    </row>
    <row r="775" spans="1:46" ht="12.75" x14ac:dyDescent="0.2">
      <c r="A775" s="63" t="str">
        <f t="shared" si="247"/>
        <v/>
      </c>
      <c r="B775" s="185"/>
      <c r="C775" s="185"/>
      <c r="D775" s="185"/>
      <c r="E775" s="185"/>
      <c r="F775" s="185"/>
      <c r="G775" s="185"/>
      <c r="H775" s="185"/>
      <c r="I775" s="186"/>
      <c r="J775" s="69"/>
      <c r="AA775" s="63">
        <f t="shared" si="229"/>
        <v>0</v>
      </c>
      <c r="AB775" s="153" t="str">
        <f t="shared" si="230"/>
        <v>000</v>
      </c>
      <c r="AC775" s="165" t="str">
        <f t="shared" si="231"/>
        <v>00000000</v>
      </c>
      <c r="AD775" s="98" t="str">
        <f t="shared" si="232"/>
        <v>00000000</v>
      </c>
      <c r="AE775" s="150">
        <f t="shared" si="233"/>
        <v>0</v>
      </c>
      <c r="AF775" s="150">
        <f t="shared" si="234"/>
        <v>0</v>
      </c>
      <c r="AG775" s="98" t="str">
        <f t="shared" si="235"/>
        <v>0000000000</v>
      </c>
      <c r="AH775" s="151">
        <f t="shared" si="236"/>
        <v>0</v>
      </c>
      <c r="AI775" s="98" t="str">
        <f t="shared" si="237"/>
        <v>00</v>
      </c>
      <c r="AJ775" s="98" t="str">
        <f t="shared" si="238"/>
        <v>000000000000</v>
      </c>
      <c r="AK775" s="161" t="str">
        <f t="shared" si="239"/>
        <v xml:space="preserve">                              </v>
      </c>
      <c r="AL775" s="154">
        <f t="shared" si="240"/>
        <v>0</v>
      </c>
      <c r="AM775" s="155">
        <f t="shared" si="241"/>
        <v>0</v>
      </c>
      <c r="AP775" s="63" t="str">
        <f t="shared" si="242"/>
        <v/>
      </c>
      <c r="AQ775" s="63" t="str">
        <f t="shared" si="243"/>
        <v/>
      </c>
      <c r="AR775" s="152" t="str">
        <f t="shared" si="244"/>
        <v/>
      </c>
      <c r="AS775" s="109" t="str">
        <f t="shared" si="245"/>
        <v/>
      </c>
      <c r="AT775" s="63" t="str">
        <f t="shared" si="246"/>
        <v xml:space="preserve">                    </v>
      </c>
    </row>
    <row r="776" spans="1:46" ht="12.75" x14ac:dyDescent="0.2">
      <c r="A776" s="63" t="str">
        <f t="shared" si="247"/>
        <v/>
      </c>
      <c r="B776" s="185"/>
      <c r="C776" s="185"/>
      <c r="D776" s="185"/>
      <c r="E776" s="185"/>
      <c r="F776" s="185"/>
      <c r="G776" s="185"/>
      <c r="H776" s="185"/>
      <c r="I776" s="186"/>
      <c r="J776" s="69"/>
      <c r="AA776" s="63">
        <f t="shared" si="229"/>
        <v>0</v>
      </c>
      <c r="AB776" s="153" t="str">
        <f t="shared" si="230"/>
        <v>000</v>
      </c>
      <c r="AC776" s="165" t="str">
        <f t="shared" si="231"/>
        <v>00000000</v>
      </c>
      <c r="AD776" s="98" t="str">
        <f t="shared" si="232"/>
        <v>00000000</v>
      </c>
      <c r="AE776" s="150">
        <f t="shared" si="233"/>
        <v>0</v>
      </c>
      <c r="AF776" s="150">
        <f t="shared" si="234"/>
        <v>0</v>
      </c>
      <c r="AG776" s="98" t="str">
        <f t="shared" si="235"/>
        <v>0000000000</v>
      </c>
      <c r="AH776" s="151">
        <f t="shared" si="236"/>
        <v>0</v>
      </c>
      <c r="AI776" s="98" t="str">
        <f t="shared" si="237"/>
        <v>00</v>
      </c>
      <c r="AJ776" s="98" t="str">
        <f t="shared" si="238"/>
        <v>000000000000</v>
      </c>
      <c r="AK776" s="161" t="str">
        <f t="shared" si="239"/>
        <v xml:space="preserve">                              </v>
      </c>
      <c r="AL776" s="154">
        <f t="shared" si="240"/>
        <v>0</v>
      </c>
      <c r="AM776" s="155">
        <f t="shared" si="241"/>
        <v>0</v>
      </c>
      <c r="AP776" s="63" t="str">
        <f t="shared" si="242"/>
        <v/>
      </c>
      <c r="AQ776" s="63" t="str">
        <f t="shared" si="243"/>
        <v/>
      </c>
      <c r="AR776" s="152" t="str">
        <f t="shared" si="244"/>
        <v/>
      </c>
      <c r="AS776" s="109" t="str">
        <f t="shared" si="245"/>
        <v/>
      </c>
      <c r="AT776" s="63" t="str">
        <f t="shared" si="246"/>
        <v xml:space="preserve">                    </v>
      </c>
    </row>
    <row r="777" spans="1:46" ht="12.75" x14ac:dyDescent="0.2">
      <c r="A777" s="63" t="str">
        <f t="shared" si="247"/>
        <v/>
      </c>
      <c r="B777" s="185"/>
      <c r="C777" s="185"/>
      <c r="D777" s="185"/>
      <c r="E777" s="185"/>
      <c r="F777" s="185"/>
      <c r="G777" s="185"/>
      <c r="H777" s="185"/>
      <c r="I777" s="186"/>
      <c r="J777" s="69"/>
      <c r="AA777" s="63">
        <f t="shared" si="229"/>
        <v>0</v>
      </c>
      <c r="AB777" s="153" t="str">
        <f t="shared" si="230"/>
        <v>000</v>
      </c>
      <c r="AC777" s="165" t="str">
        <f t="shared" si="231"/>
        <v>00000000</v>
      </c>
      <c r="AD777" s="98" t="str">
        <f t="shared" si="232"/>
        <v>00000000</v>
      </c>
      <c r="AE777" s="150">
        <f t="shared" si="233"/>
        <v>0</v>
      </c>
      <c r="AF777" s="150">
        <f t="shared" si="234"/>
        <v>0</v>
      </c>
      <c r="AG777" s="98" t="str">
        <f t="shared" si="235"/>
        <v>0000000000</v>
      </c>
      <c r="AH777" s="151">
        <f t="shared" si="236"/>
        <v>0</v>
      </c>
      <c r="AI777" s="98" t="str">
        <f t="shared" si="237"/>
        <v>00</v>
      </c>
      <c r="AJ777" s="98" t="str">
        <f t="shared" si="238"/>
        <v>000000000000</v>
      </c>
      <c r="AK777" s="161" t="str">
        <f t="shared" si="239"/>
        <v xml:space="preserve">                              </v>
      </c>
      <c r="AL777" s="154">
        <f t="shared" si="240"/>
        <v>0</v>
      </c>
      <c r="AM777" s="155">
        <f t="shared" si="241"/>
        <v>0</v>
      </c>
      <c r="AP777" s="63" t="str">
        <f t="shared" si="242"/>
        <v/>
      </c>
      <c r="AQ777" s="63" t="str">
        <f t="shared" si="243"/>
        <v/>
      </c>
      <c r="AR777" s="152" t="str">
        <f t="shared" si="244"/>
        <v/>
      </c>
      <c r="AS777" s="109" t="str">
        <f t="shared" si="245"/>
        <v/>
      </c>
      <c r="AT777" s="63" t="str">
        <f t="shared" si="246"/>
        <v xml:space="preserve">                    </v>
      </c>
    </row>
    <row r="778" spans="1:46" ht="12.75" x14ac:dyDescent="0.2">
      <c r="A778" s="63" t="str">
        <f t="shared" si="247"/>
        <v/>
      </c>
      <c r="B778" s="185"/>
      <c r="C778" s="185"/>
      <c r="D778" s="185"/>
      <c r="E778" s="185"/>
      <c r="F778" s="185"/>
      <c r="G778" s="185"/>
      <c r="H778" s="185"/>
      <c r="I778" s="186"/>
      <c r="J778" s="69"/>
      <c r="AA778" s="63">
        <f t="shared" si="229"/>
        <v>0</v>
      </c>
      <c r="AB778" s="153" t="str">
        <f t="shared" si="230"/>
        <v>000</v>
      </c>
      <c r="AC778" s="165" t="str">
        <f t="shared" si="231"/>
        <v>00000000</v>
      </c>
      <c r="AD778" s="98" t="str">
        <f t="shared" si="232"/>
        <v>00000000</v>
      </c>
      <c r="AE778" s="150">
        <f t="shared" si="233"/>
        <v>0</v>
      </c>
      <c r="AF778" s="150">
        <f t="shared" si="234"/>
        <v>0</v>
      </c>
      <c r="AG778" s="98" t="str">
        <f t="shared" si="235"/>
        <v>0000000000</v>
      </c>
      <c r="AH778" s="151">
        <f t="shared" si="236"/>
        <v>0</v>
      </c>
      <c r="AI778" s="98" t="str">
        <f t="shared" si="237"/>
        <v>00</v>
      </c>
      <c r="AJ778" s="98" t="str">
        <f t="shared" si="238"/>
        <v>000000000000</v>
      </c>
      <c r="AK778" s="161" t="str">
        <f t="shared" si="239"/>
        <v xml:space="preserve">                              </v>
      </c>
      <c r="AL778" s="154">
        <f t="shared" si="240"/>
        <v>0</v>
      </c>
      <c r="AM778" s="155">
        <f t="shared" si="241"/>
        <v>0</v>
      </c>
      <c r="AP778" s="63" t="str">
        <f t="shared" si="242"/>
        <v/>
      </c>
      <c r="AQ778" s="63" t="str">
        <f t="shared" si="243"/>
        <v/>
      </c>
      <c r="AR778" s="152" t="str">
        <f t="shared" si="244"/>
        <v/>
      </c>
      <c r="AS778" s="109" t="str">
        <f t="shared" si="245"/>
        <v/>
      </c>
      <c r="AT778" s="63" t="str">
        <f t="shared" si="246"/>
        <v xml:space="preserve">                    </v>
      </c>
    </row>
    <row r="779" spans="1:46" ht="12.75" x14ac:dyDescent="0.2">
      <c r="A779" s="63" t="str">
        <f t="shared" si="247"/>
        <v/>
      </c>
      <c r="B779" s="185"/>
      <c r="C779" s="185"/>
      <c r="D779" s="185"/>
      <c r="E779" s="185"/>
      <c r="F779" s="185"/>
      <c r="G779" s="185"/>
      <c r="H779" s="185"/>
      <c r="I779" s="186"/>
      <c r="J779" s="69"/>
      <c r="AA779" s="63">
        <f t="shared" si="229"/>
        <v>0</v>
      </c>
      <c r="AB779" s="153" t="str">
        <f t="shared" si="230"/>
        <v>000</v>
      </c>
      <c r="AC779" s="165" t="str">
        <f t="shared" si="231"/>
        <v>00000000</v>
      </c>
      <c r="AD779" s="98" t="str">
        <f t="shared" si="232"/>
        <v>00000000</v>
      </c>
      <c r="AE779" s="150">
        <f t="shared" si="233"/>
        <v>0</v>
      </c>
      <c r="AF779" s="150">
        <f t="shared" si="234"/>
        <v>0</v>
      </c>
      <c r="AG779" s="98" t="str">
        <f t="shared" si="235"/>
        <v>0000000000</v>
      </c>
      <c r="AH779" s="151">
        <f t="shared" si="236"/>
        <v>0</v>
      </c>
      <c r="AI779" s="98" t="str">
        <f t="shared" si="237"/>
        <v>00</v>
      </c>
      <c r="AJ779" s="98" t="str">
        <f t="shared" si="238"/>
        <v>000000000000</v>
      </c>
      <c r="AK779" s="161" t="str">
        <f t="shared" si="239"/>
        <v xml:space="preserve">                              </v>
      </c>
      <c r="AL779" s="154">
        <f t="shared" si="240"/>
        <v>0</v>
      </c>
      <c r="AM779" s="155">
        <f t="shared" si="241"/>
        <v>0</v>
      </c>
      <c r="AP779" s="63" t="str">
        <f t="shared" si="242"/>
        <v/>
      </c>
      <c r="AQ779" s="63" t="str">
        <f t="shared" si="243"/>
        <v/>
      </c>
      <c r="AR779" s="152" t="str">
        <f t="shared" si="244"/>
        <v/>
      </c>
      <c r="AS779" s="109" t="str">
        <f t="shared" si="245"/>
        <v/>
      </c>
      <c r="AT779" s="63" t="str">
        <f t="shared" si="246"/>
        <v xml:space="preserve">                    </v>
      </c>
    </row>
    <row r="780" spans="1:46" ht="12.75" x14ac:dyDescent="0.2">
      <c r="A780" s="63" t="str">
        <f t="shared" si="247"/>
        <v/>
      </c>
      <c r="B780" s="185"/>
      <c r="C780" s="185"/>
      <c r="D780" s="185"/>
      <c r="E780" s="185"/>
      <c r="F780" s="185"/>
      <c r="G780" s="185"/>
      <c r="H780" s="185"/>
      <c r="I780" s="186"/>
      <c r="J780" s="69"/>
      <c r="AA780" s="63">
        <f t="shared" si="229"/>
        <v>0</v>
      </c>
      <c r="AB780" s="153" t="str">
        <f t="shared" si="230"/>
        <v>000</v>
      </c>
      <c r="AC780" s="165" t="str">
        <f t="shared" si="231"/>
        <v>00000000</v>
      </c>
      <c r="AD780" s="98" t="str">
        <f t="shared" si="232"/>
        <v>00000000</v>
      </c>
      <c r="AE780" s="150">
        <f t="shared" si="233"/>
        <v>0</v>
      </c>
      <c r="AF780" s="150">
        <f t="shared" si="234"/>
        <v>0</v>
      </c>
      <c r="AG780" s="98" t="str">
        <f t="shared" si="235"/>
        <v>0000000000</v>
      </c>
      <c r="AH780" s="151">
        <f t="shared" si="236"/>
        <v>0</v>
      </c>
      <c r="AI780" s="98" t="str">
        <f t="shared" si="237"/>
        <v>00</v>
      </c>
      <c r="AJ780" s="98" t="str">
        <f t="shared" si="238"/>
        <v>000000000000</v>
      </c>
      <c r="AK780" s="161" t="str">
        <f t="shared" si="239"/>
        <v xml:space="preserve">                              </v>
      </c>
      <c r="AL780" s="154">
        <f t="shared" si="240"/>
        <v>0</v>
      </c>
      <c r="AM780" s="155">
        <f t="shared" si="241"/>
        <v>0</v>
      </c>
      <c r="AP780" s="63" t="str">
        <f t="shared" si="242"/>
        <v/>
      </c>
      <c r="AQ780" s="63" t="str">
        <f t="shared" si="243"/>
        <v/>
      </c>
      <c r="AR780" s="152" t="str">
        <f t="shared" si="244"/>
        <v/>
      </c>
      <c r="AS780" s="109" t="str">
        <f t="shared" si="245"/>
        <v/>
      </c>
      <c r="AT780" s="63" t="str">
        <f t="shared" si="246"/>
        <v xml:space="preserve">                    </v>
      </c>
    </row>
    <row r="781" spans="1:46" ht="12.75" x14ac:dyDescent="0.2">
      <c r="A781" s="63" t="str">
        <f t="shared" si="247"/>
        <v/>
      </c>
      <c r="B781" s="185"/>
      <c r="C781" s="185"/>
      <c r="D781" s="185"/>
      <c r="E781" s="185"/>
      <c r="F781" s="185"/>
      <c r="G781" s="185"/>
      <c r="H781" s="185"/>
      <c r="I781" s="186"/>
      <c r="J781" s="69"/>
      <c r="AA781" s="63">
        <f t="shared" si="229"/>
        <v>0</v>
      </c>
      <c r="AB781" s="153" t="str">
        <f t="shared" si="230"/>
        <v>000</v>
      </c>
      <c r="AC781" s="165" t="str">
        <f t="shared" si="231"/>
        <v>00000000</v>
      </c>
      <c r="AD781" s="98" t="str">
        <f t="shared" si="232"/>
        <v>00000000</v>
      </c>
      <c r="AE781" s="150">
        <f t="shared" si="233"/>
        <v>0</v>
      </c>
      <c r="AF781" s="150">
        <f t="shared" si="234"/>
        <v>0</v>
      </c>
      <c r="AG781" s="98" t="str">
        <f t="shared" si="235"/>
        <v>0000000000</v>
      </c>
      <c r="AH781" s="151">
        <f t="shared" si="236"/>
        <v>0</v>
      </c>
      <c r="AI781" s="98" t="str">
        <f t="shared" si="237"/>
        <v>00</v>
      </c>
      <c r="AJ781" s="98" t="str">
        <f t="shared" si="238"/>
        <v>000000000000</v>
      </c>
      <c r="AK781" s="161" t="str">
        <f t="shared" si="239"/>
        <v xml:space="preserve">                              </v>
      </c>
      <c r="AL781" s="154">
        <f t="shared" si="240"/>
        <v>0</v>
      </c>
      <c r="AM781" s="155">
        <f t="shared" si="241"/>
        <v>0</v>
      </c>
      <c r="AP781" s="63" t="str">
        <f t="shared" si="242"/>
        <v/>
      </c>
      <c r="AQ781" s="63" t="str">
        <f t="shared" si="243"/>
        <v/>
      </c>
      <c r="AR781" s="152" t="str">
        <f t="shared" si="244"/>
        <v/>
      </c>
      <c r="AS781" s="109" t="str">
        <f t="shared" si="245"/>
        <v/>
      </c>
      <c r="AT781" s="63" t="str">
        <f t="shared" si="246"/>
        <v xml:space="preserve">                    </v>
      </c>
    </row>
    <row r="782" spans="1:46" ht="12.75" x14ac:dyDescent="0.2">
      <c r="A782" s="63" t="str">
        <f t="shared" si="247"/>
        <v/>
      </c>
      <c r="B782" s="185"/>
      <c r="C782" s="185"/>
      <c r="D782" s="185"/>
      <c r="E782" s="185"/>
      <c r="F782" s="185"/>
      <c r="G782" s="185"/>
      <c r="H782" s="185"/>
      <c r="I782" s="186"/>
      <c r="J782" s="69"/>
      <c r="AA782" s="63">
        <f t="shared" si="229"/>
        <v>0</v>
      </c>
      <c r="AB782" s="153" t="str">
        <f t="shared" si="230"/>
        <v>000</v>
      </c>
      <c r="AC782" s="165" t="str">
        <f t="shared" si="231"/>
        <v>00000000</v>
      </c>
      <c r="AD782" s="98" t="str">
        <f t="shared" si="232"/>
        <v>00000000</v>
      </c>
      <c r="AE782" s="150">
        <f t="shared" si="233"/>
        <v>0</v>
      </c>
      <c r="AF782" s="150">
        <f t="shared" si="234"/>
        <v>0</v>
      </c>
      <c r="AG782" s="98" t="str">
        <f t="shared" si="235"/>
        <v>0000000000</v>
      </c>
      <c r="AH782" s="151">
        <f t="shared" si="236"/>
        <v>0</v>
      </c>
      <c r="AI782" s="98" t="str">
        <f t="shared" si="237"/>
        <v>00</v>
      </c>
      <c r="AJ782" s="98" t="str">
        <f t="shared" si="238"/>
        <v>000000000000</v>
      </c>
      <c r="AK782" s="161" t="str">
        <f t="shared" si="239"/>
        <v xml:space="preserve">                              </v>
      </c>
      <c r="AL782" s="154">
        <f t="shared" si="240"/>
        <v>0</v>
      </c>
      <c r="AM782" s="155">
        <f t="shared" si="241"/>
        <v>0</v>
      </c>
      <c r="AP782" s="63" t="str">
        <f t="shared" si="242"/>
        <v/>
      </c>
      <c r="AQ782" s="63" t="str">
        <f t="shared" si="243"/>
        <v/>
      </c>
      <c r="AR782" s="152" t="str">
        <f t="shared" si="244"/>
        <v/>
      </c>
      <c r="AS782" s="109" t="str">
        <f t="shared" si="245"/>
        <v/>
      </c>
      <c r="AT782" s="63" t="str">
        <f t="shared" si="246"/>
        <v xml:space="preserve">                    </v>
      </c>
    </row>
    <row r="783" spans="1:46" ht="12.75" x14ac:dyDescent="0.2">
      <c r="A783" s="63" t="str">
        <f t="shared" si="247"/>
        <v/>
      </c>
      <c r="B783" s="185"/>
      <c r="C783" s="185"/>
      <c r="D783" s="185"/>
      <c r="E783" s="185"/>
      <c r="F783" s="185"/>
      <c r="G783" s="185"/>
      <c r="H783" s="185"/>
      <c r="I783" s="186"/>
      <c r="J783" s="69"/>
      <c r="AA783" s="63">
        <f t="shared" si="229"/>
        <v>0</v>
      </c>
      <c r="AB783" s="153" t="str">
        <f t="shared" si="230"/>
        <v>000</v>
      </c>
      <c r="AC783" s="165" t="str">
        <f t="shared" si="231"/>
        <v>00000000</v>
      </c>
      <c r="AD783" s="98" t="str">
        <f t="shared" si="232"/>
        <v>00000000</v>
      </c>
      <c r="AE783" s="150">
        <f t="shared" si="233"/>
        <v>0</v>
      </c>
      <c r="AF783" s="150">
        <f t="shared" si="234"/>
        <v>0</v>
      </c>
      <c r="AG783" s="98" t="str">
        <f t="shared" si="235"/>
        <v>0000000000</v>
      </c>
      <c r="AH783" s="151">
        <f t="shared" si="236"/>
        <v>0</v>
      </c>
      <c r="AI783" s="98" t="str">
        <f t="shared" si="237"/>
        <v>00</v>
      </c>
      <c r="AJ783" s="98" t="str">
        <f t="shared" si="238"/>
        <v>000000000000</v>
      </c>
      <c r="AK783" s="161" t="str">
        <f t="shared" si="239"/>
        <v xml:space="preserve">                              </v>
      </c>
      <c r="AL783" s="154">
        <f t="shared" si="240"/>
        <v>0</v>
      </c>
      <c r="AM783" s="155">
        <f t="shared" si="241"/>
        <v>0</v>
      </c>
      <c r="AP783" s="63" t="str">
        <f t="shared" si="242"/>
        <v/>
      </c>
      <c r="AQ783" s="63" t="str">
        <f t="shared" si="243"/>
        <v/>
      </c>
      <c r="AR783" s="152" t="str">
        <f t="shared" si="244"/>
        <v/>
      </c>
      <c r="AS783" s="109" t="str">
        <f t="shared" si="245"/>
        <v/>
      </c>
      <c r="AT783" s="63" t="str">
        <f t="shared" si="246"/>
        <v xml:space="preserve">                    </v>
      </c>
    </row>
    <row r="784" spans="1:46" ht="12.75" x14ac:dyDescent="0.2">
      <c r="A784" s="63" t="str">
        <f t="shared" si="247"/>
        <v/>
      </c>
      <c r="B784" s="185"/>
      <c r="C784" s="185"/>
      <c r="D784" s="185"/>
      <c r="E784" s="185"/>
      <c r="F784" s="185"/>
      <c r="G784" s="185"/>
      <c r="H784" s="185"/>
      <c r="I784" s="186"/>
      <c r="J784" s="69"/>
      <c r="AA784" s="63">
        <f t="shared" si="229"/>
        <v>0</v>
      </c>
      <c r="AB784" s="153" t="str">
        <f t="shared" si="230"/>
        <v>000</v>
      </c>
      <c r="AC784" s="165" t="str">
        <f t="shared" si="231"/>
        <v>00000000</v>
      </c>
      <c r="AD784" s="98" t="str">
        <f t="shared" si="232"/>
        <v>00000000</v>
      </c>
      <c r="AE784" s="150">
        <f t="shared" si="233"/>
        <v>0</v>
      </c>
      <c r="AF784" s="150">
        <f t="shared" si="234"/>
        <v>0</v>
      </c>
      <c r="AG784" s="98" t="str">
        <f t="shared" si="235"/>
        <v>0000000000</v>
      </c>
      <c r="AH784" s="151">
        <f t="shared" si="236"/>
        <v>0</v>
      </c>
      <c r="AI784" s="98" t="str">
        <f t="shared" si="237"/>
        <v>00</v>
      </c>
      <c r="AJ784" s="98" t="str">
        <f t="shared" si="238"/>
        <v>000000000000</v>
      </c>
      <c r="AK784" s="161" t="str">
        <f t="shared" si="239"/>
        <v xml:space="preserve">                              </v>
      </c>
      <c r="AL784" s="154">
        <f t="shared" si="240"/>
        <v>0</v>
      </c>
      <c r="AM784" s="155">
        <f t="shared" si="241"/>
        <v>0</v>
      </c>
      <c r="AP784" s="63" t="str">
        <f t="shared" si="242"/>
        <v/>
      </c>
      <c r="AQ784" s="63" t="str">
        <f t="shared" si="243"/>
        <v/>
      </c>
      <c r="AR784" s="152" t="str">
        <f t="shared" si="244"/>
        <v/>
      </c>
      <c r="AS784" s="109" t="str">
        <f t="shared" si="245"/>
        <v/>
      </c>
      <c r="AT784" s="63" t="str">
        <f t="shared" si="246"/>
        <v xml:space="preserve">                    </v>
      </c>
    </row>
    <row r="785" spans="1:46" ht="12.75" x14ac:dyDescent="0.2">
      <c r="A785" s="63" t="str">
        <f t="shared" si="247"/>
        <v/>
      </c>
      <c r="B785" s="185"/>
      <c r="C785" s="185"/>
      <c r="D785" s="185"/>
      <c r="E785" s="185"/>
      <c r="F785" s="185"/>
      <c r="G785" s="185"/>
      <c r="H785" s="185"/>
      <c r="I785" s="186"/>
      <c r="J785" s="69"/>
      <c r="AA785" s="63">
        <f t="shared" ref="AA785:AA848" si="248">B785</f>
        <v>0</v>
      </c>
      <c r="AB785" s="153" t="str">
        <f t="shared" ref="AB785:AB848" si="249">CONCATENATE(REPT("0",3-LEN(C785)),C785)</f>
        <v>000</v>
      </c>
      <c r="AC785" s="165" t="str">
        <f t="shared" ref="AC785:AC848" si="250">CONCATENATE(REPT("0",8-LEN(D785)),D785)</f>
        <v>00000000</v>
      </c>
      <c r="AD785" s="98" t="str">
        <f t="shared" ref="AD785:AD848" si="251">CONCATENATE(REPT("0",8-LEN(F785)),F785)</f>
        <v>00000000</v>
      </c>
      <c r="AE785" s="150">
        <f t="shared" ref="AE785:AE848" si="252">INT(I785)</f>
        <v>0</v>
      </c>
      <c r="AF785" s="150">
        <f t="shared" ref="AF785:AF848" si="253">I785-AE785</f>
        <v>0</v>
      </c>
      <c r="AG785" s="98" t="str">
        <f t="shared" ref="AG785:AG848" si="254">TEXT(AE785,"0000000000")</f>
        <v>0000000000</v>
      </c>
      <c r="AH785" s="151">
        <f t="shared" ref="AH785:AH848" si="255">AF785*100</f>
        <v>0</v>
      </c>
      <c r="AI785" s="98" t="str">
        <f t="shared" ref="AI785:AI848" si="256">TEXT(AH785,"00")</f>
        <v>00</v>
      </c>
      <c r="AJ785" s="98" t="str">
        <f t="shared" ref="AJ785:AJ848" si="257">CONCATENATE(AG785,AI785)</f>
        <v>000000000000</v>
      </c>
      <c r="AK785" s="161" t="str">
        <f t="shared" ref="AK785:AK848" si="258">CONCATENATE(E785,REPT(" ",30-LEN(E785)))</f>
        <v xml:space="preserve">                              </v>
      </c>
      <c r="AL785" s="154">
        <f t="shared" ref="AL785:AL848" si="259">IF(H785&lt;&gt;"",IF(H785=$H$3,0,1),0)</f>
        <v>0</v>
      </c>
      <c r="AM785" s="155">
        <f t="shared" ref="AM785:AM848" si="260">IF(AL785=1,IF($H$3=1,I785*$K$14,I785/$K$14),I785)</f>
        <v>0</v>
      </c>
      <c r="AP785" s="63" t="str">
        <f t="shared" si="242"/>
        <v/>
      </c>
      <c r="AQ785" s="63" t="str">
        <f t="shared" si="243"/>
        <v/>
      </c>
      <c r="AR785" s="152" t="str">
        <f t="shared" si="244"/>
        <v/>
      </c>
      <c r="AS785" s="109" t="str">
        <f t="shared" si="245"/>
        <v/>
      </c>
      <c r="AT785" s="63" t="str">
        <f t="shared" si="246"/>
        <v xml:space="preserve">                    </v>
      </c>
    </row>
    <row r="786" spans="1:46" ht="12.75" x14ac:dyDescent="0.2">
      <c r="A786" s="63" t="str">
        <f t="shared" si="247"/>
        <v/>
      </c>
      <c r="B786" s="185"/>
      <c r="C786" s="185"/>
      <c r="D786" s="185"/>
      <c r="E786" s="185"/>
      <c r="F786" s="185"/>
      <c r="G786" s="185"/>
      <c r="H786" s="185"/>
      <c r="I786" s="186"/>
      <c r="J786" s="69"/>
      <c r="AA786" s="63">
        <f t="shared" si="248"/>
        <v>0</v>
      </c>
      <c r="AB786" s="153" t="str">
        <f t="shared" si="249"/>
        <v>000</v>
      </c>
      <c r="AC786" s="165" t="str">
        <f t="shared" si="250"/>
        <v>00000000</v>
      </c>
      <c r="AD786" s="98" t="str">
        <f t="shared" si="251"/>
        <v>00000000</v>
      </c>
      <c r="AE786" s="150">
        <f t="shared" si="252"/>
        <v>0</v>
      </c>
      <c r="AF786" s="150">
        <f t="shared" si="253"/>
        <v>0</v>
      </c>
      <c r="AG786" s="98" t="str">
        <f t="shared" si="254"/>
        <v>0000000000</v>
      </c>
      <c r="AH786" s="151">
        <f t="shared" si="255"/>
        <v>0</v>
      </c>
      <c r="AI786" s="98" t="str">
        <f t="shared" si="256"/>
        <v>00</v>
      </c>
      <c r="AJ786" s="98" t="str">
        <f t="shared" si="257"/>
        <v>000000000000</v>
      </c>
      <c r="AK786" s="161" t="str">
        <f t="shared" si="258"/>
        <v xml:space="preserve">                              </v>
      </c>
      <c r="AL786" s="154">
        <f t="shared" si="259"/>
        <v>0</v>
      </c>
      <c r="AM786" s="155">
        <f t="shared" si="260"/>
        <v>0</v>
      </c>
      <c r="AP786" s="63" t="str">
        <f t="shared" ref="AP786:AP849" si="261">IF(D787&lt;&gt;"",CONCATENATE("000",AS786,"0",H787,"2","    ",AD787,AJ787,"            ",AT787,AK787,"                                                                                     "),"")</f>
        <v/>
      </c>
      <c r="AQ786" s="63" t="str">
        <f t="shared" ref="AQ786:AQ849" si="262">IF(D787&lt;&gt;"",CONCATENATE("1520",AA787,AB787,AC787),"")</f>
        <v/>
      </c>
      <c r="AR786" s="152" t="str">
        <f t="shared" ref="AR786:AR849" si="263">IF(D787&lt;&gt;"",MOD(SUM(VALUE(MID($AQ$1,1,1)) * VALUE(MID(AQ786,1,1)),VALUE(MID($AQ$1,2,1)) * VALUE(MID(AQ786,2,1)),VALUE(MID($AQ$1,3,1)) * VALUE(MID(AQ786,3,1)),VALUE(MID($AQ$1,4,1)) * VALUE(MID(AQ786,4,1)),VALUE(MID($AQ$1,5,1)) * VALUE(MID(AQ786,5,1)),VALUE(MID($AQ$1,6,1)) * VALUE(MID(AQ786,6,1)),VALUE(MID($AQ$1,7,1)) * VALUE(MID(AQ786,7,1)),VALUE(MID($AQ$1,8,1)) * VALUE(MID(AQ786,8,1)),VALUE(MID($AQ$1,9,1)) * VALUE(MID(AQ786,9,1)),VALUE(MID($AQ$1,10,1)) * VALUE(MID(AQ786,10,1)),VALUE(MID($AQ$1,11,1)) * VALUE(MID(AQ786,11,1)),VALUE(MID($AQ$1,12,1)) * VALUE(MID(AQ786,12,1)),VALUE(MID($AQ$1,13,1)) * VALUE(MID(AQ786,13,1)),VALUE(MID($AQ$1,14,1)) * VALUE(MID(AQ786,14,1)),VALUE(MID($AQ$1,15,1)) * VALUE(MID(AQ786,15,1)),VALUE(MID($AQ$1,16,1)) * VALUE(MID(AQ786,16,1))),11),"")</f>
        <v/>
      </c>
      <c r="AS786" s="109" t="str">
        <f t="shared" ref="AS786:AS849" si="264">IF(D787&lt;&gt;"",CONCATENATE(AQ786,IF(AR786&gt;9,"1",AR786)),"")</f>
        <v/>
      </c>
      <c r="AT786" s="63" t="str">
        <f t="shared" ref="AT786:AT849" si="265">CONCATENATE(G786,REPT(" ",20-LEN(G786)))</f>
        <v xml:space="preserve">                    </v>
      </c>
    </row>
    <row r="787" spans="1:46" ht="12.75" x14ac:dyDescent="0.2">
      <c r="A787" s="63" t="str">
        <f t="shared" si="247"/>
        <v/>
      </c>
      <c r="B787" s="185"/>
      <c r="C787" s="185"/>
      <c r="D787" s="185"/>
      <c r="E787" s="185"/>
      <c r="F787" s="185"/>
      <c r="G787" s="185"/>
      <c r="H787" s="185"/>
      <c r="I787" s="186"/>
      <c r="J787" s="69"/>
      <c r="AA787" s="63">
        <f t="shared" si="248"/>
        <v>0</v>
      </c>
      <c r="AB787" s="153" t="str">
        <f t="shared" si="249"/>
        <v>000</v>
      </c>
      <c r="AC787" s="165" t="str">
        <f t="shared" si="250"/>
        <v>00000000</v>
      </c>
      <c r="AD787" s="98" t="str">
        <f t="shared" si="251"/>
        <v>00000000</v>
      </c>
      <c r="AE787" s="150">
        <f t="shared" si="252"/>
        <v>0</v>
      </c>
      <c r="AF787" s="150">
        <f t="shared" si="253"/>
        <v>0</v>
      </c>
      <c r="AG787" s="98" t="str">
        <f t="shared" si="254"/>
        <v>0000000000</v>
      </c>
      <c r="AH787" s="151">
        <f t="shared" si="255"/>
        <v>0</v>
      </c>
      <c r="AI787" s="98" t="str">
        <f t="shared" si="256"/>
        <v>00</v>
      </c>
      <c r="AJ787" s="98" t="str">
        <f t="shared" si="257"/>
        <v>000000000000</v>
      </c>
      <c r="AK787" s="161" t="str">
        <f t="shared" si="258"/>
        <v xml:space="preserve">                              </v>
      </c>
      <c r="AL787" s="154">
        <f t="shared" si="259"/>
        <v>0</v>
      </c>
      <c r="AM787" s="155">
        <f t="shared" si="260"/>
        <v>0</v>
      </c>
      <c r="AP787" s="63" t="str">
        <f t="shared" si="261"/>
        <v/>
      </c>
      <c r="AQ787" s="63" t="str">
        <f t="shared" si="262"/>
        <v/>
      </c>
      <c r="AR787" s="152" t="str">
        <f t="shared" si="263"/>
        <v/>
      </c>
      <c r="AS787" s="109" t="str">
        <f t="shared" si="264"/>
        <v/>
      </c>
      <c r="AT787" s="63" t="str">
        <f t="shared" si="265"/>
        <v xml:space="preserve">                    </v>
      </c>
    </row>
    <row r="788" spans="1:46" ht="12.75" x14ac:dyDescent="0.2">
      <c r="A788" s="63" t="str">
        <f t="shared" si="247"/>
        <v/>
      </c>
      <c r="B788" s="185"/>
      <c r="C788" s="185"/>
      <c r="D788" s="185"/>
      <c r="E788" s="185"/>
      <c r="F788" s="185"/>
      <c r="G788" s="185"/>
      <c r="H788" s="185"/>
      <c r="I788" s="186"/>
      <c r="J788" s="69"/>
      <c r="AA788" s="63">
        <f t="shared" si="248"/>
        <v>0</v>
      </c>
      <c r="AB788" s="153" t="str">
        <f t="shared" si="249"/>
        <v>000</v>
      </c>
      <c r="AC788" s="165" t="str">
        <f t="shared" si="250"/>
        <v>00000000</v>
      </c>
      <c r="AD788" s="98" t="str">
        <f t="shared" si="251"/>
        <v>00000000</v>
      </c>
      <c r="AE788" s="150">
        <f t="shared" si="252"/>
        <v>0</v>
      </c>
      <c r="AF788" s="150">
        <f t="shared" si="253"/>
        <v>0</v>
      </c>
      <c r="AG788" s="98" t="str">
        <f t="shared" si="254"/>
        <v>0000000000</v>
      </c>
      <c r="AH788" s="151">
        <f t="shared" si="255"/>
        <v>0</v>
      </c>
      <c r="AI788" s="98" t="str">
        <f t="shared" si="256"/>
        <v>00</v>
      </c>
      <c r="AJ788" s="98" t="str">
        <f t="shared" si="257"/>
        <v>000000000000</v>
      </c>
      <c r="AK788" s="161" t="str">
        <f t="shared" si="258"/>
        <v xml:space="preserve">                              </v>
      </c>
      <c r="AL788" s="154">
        <f t="shared" si="259"/>
        <v>0</v>
      </c>
      <c r="AM788" s="155">
        <f t="shared" si="260"/>
        <v>0</v>
      </c>
      <c r="AP788" s="63" t="str">
        <f t="shared" si="261"/>
        <v/>
      </c>
      <c r="AQ788" s="63" t="str">
        <f t="shared" si="262"/>
        <v/>
      </c>
      <c r="AR788" s="152" t="str">
        <f t="shared" si="263"/>
        <v/>
      </c>
      <c r="AS788" s="109" t="str">
        <f t="shared" si="264"/>
        <v/>
      </c>
      <c r="AT788" s="63" t="str">
        <f t="shared" si="265"/>
        <v xml:space="preserve">                    </v>
      </c>
    </row>
    <row r="789" spans="1:46" ht="12.75" x14ac:dyDescent="0.2">
      <c r="A789" s="63" t="str">
        <f t="shared" si="247"/>
        <v/>
      </c>
      <c r="B789" s="185"/>
      <c r="C789" s="185"/>
      <c r="D789" s="185"/>
      <c r="E789" s="185"/>
      <c r="F789" s="185"/>
      <c r="G789" s="185"/>
      <c r="H789" s="185"/>
      <c r="I789" s="186"/>
      <c r="J789" s="69"/>
      <c r="AA789" s="63">
        <f t="shared" si="248"/>
        <v>0</v>
      </c>
      <c r="AB789" s="153" t="str">
        <f t="shared" si="249"/>
        <v>000</v>
      </c>
      <c r="AC789" s="165" t="str">
        <f t="shared" si="250"/>
        <v>00000000</v>
      </c>
      <c r="AD789" s="98" t="str">
        <f t="shared" si="251"/>
        <v>00000000</v>
      </c>
      <c r="AE789" s="150">
        <f t="shared" si="252"/>
        <v>0</v>
      </c>
      <c r="AF789" s="150">
        <f t="shared" si="253"/>
        <v>0</v>
      </c>
      <c r="AG789" s="98" t="str">
        <f t="shared" si="254"/>
        <v>0000000000</v>
      </c>
      <c r="AH789" s="151">
        <f t="shared" si="255"/>
        <v>0</v>
      </c>
      <c r="AI789" s="98" t="str">
        <f t="shared" si="256"/>
        <v>00</v>
      </c>
      <c r="AJ789" s="98" t="str">
        <f t="shared" si="257"/>
        <v>000000000000</v>
      </c>
      <c r="AK789" s="161" t="str">
        <f t="shared" si="258"/>
        <v xml:space="preserve">                              </v>
      </c>
      <c r="AL789" s="154">
        <f t="shared" si="259"/>
        <v>0</v>
      </c>
      <c r="AM789" s="155">
        <f t="shared" si="260"/>
        <v>0</v>
      </c>
      <c r="AP789" s="63" t="str">
        <f t="shared" si="261"/>
        <v/>
      </c>
      <c r="AQ789" s="63" t="str">
        <f t="shared" si="262"/>
        <v/>
      </c>
      <c r="AR789" s="152" t="str">
        <f t="shared" si="263"/>
        <v/>
      </c>
      <c r="AS789" s="109" t="str">
        <f t="shared" si="264"/>
        <v/>
      </c>
      <c r="AT789" s="63" t="str">
        <f t="shared" si="265"/>
        <v xml:space="preserve">                    </v>
      </c>
    </row>
    <row r="790" spans="1:46" ht="12.75" x14ac:dyDescent="0.2">
      <c r="A790" s="63" t="str">
        <f t="shared" si="247"/>
        <v/>
      </c>
      <c r="B790" s="185"/>
      <c r="C790" s="185"/>
      <c r="D790" s="185"/>
      <c r="E790" s="185"/>
      <c r="F790" s="185"/>
      <c r="G790" s="185"/>
      <c r="H790" s="185"/>
      <c r="I790" s="186"/>
      <c r="J790" s="69"/>
      <c r="AA790" s="63">
        <f t="shared" si="248"/>
        <v>0</v>
      </c>
      <c r="AB790" s="153" t="str">
        <f t="shared" si="249"/>
        <v>000</v>
      </c>
      <c r="AC790" s="165" t="str">
        <f t="shared" si="250"/>
        <v>00000000</v>
      </c>
      <c r="AD790" s="98" t="str">
        <f t="shared" si="251"/>
        <v>00000000</v>
      </c>
      <c r="AE790" s="150">
        <f t="shared" si="252"/>
        <v>0</v>
      </c>
      <c r="AF790" s="150">
        <f t="shared" si="253"/>
        <v>0</v>
      </c>
      <c r="AG790" s="98" t="str">
        <f t="shared" si="254"/>
        <v>0000000000</v>
      </c>
      <c r="AH790" s="151">
        <f t="shared" si="255"/>
        <v>0</v>
      </c>
      <c r="AI790" s="98" t="str">
        <f t="shared" si="256"/>
        <v>00</v>
      </c>
      <c r="AJ790" s="98" t="str">
        <f t="shared" si="257"/>
        <v>000000000000</v>
      </c>
      <c r="AK790" s="161" t="str">
        <f t="shared" si="258"/>
        <v xml:space="preserve">                              </v>
      </c>
      <c r="AL790" s="154">
        <f t="shared" si="259"/>
        <v>0</v>
      </c>
      <c r="AM790" s="155">
        <f t="shared" si="260"/>
        <v>0</v>
      </c>
      <c r="AP790" s="63" t="str">
        <f t="shared" si="261"/>
        <v/>
      </c>
      <c r="AQ790" s="63" t="str">
        <f t="shared" si="262"/>
        <v/>
      </c>
      <c r="AR790" s="152" t="str">
        <f t="shared" si="263"/>
        <v/>
      </c>
      <c r="AS790" s="109" t="str">
        <f t="shared" si="264"/>
        <v/>
      </c>
      <c r="AT790" s="63" t="str">
        <f t="shared" si="265"/>
        <v xml:space="preserve">                    </v>
      </c>
    </row>
    <row r="791" spans="1:46" ht="12.75" x14ac:dyDescent="0.2">
      <c r="A791" s="63" t="str">
        <f t="shared" si="247"/>
        <v/>
      </c>
      <c r="B791" s="185"/>
      <c r="C791" s="185"/>
      <c r="D791" s="185"/>
      <c r="E791" s="185"/>
      <c r="F791" s="185"/>
      <c r="G791" s="185"/>
      <c r="H791" s="185"/>
      <c r="I791" s="186"/>
      <c r="J791" s="69"/>
      <c r="AA791" s="63">
        <f t="shared" si="248"/>
        <v>0</v>
      </c>
      <c r="AB791" s="153" t="str">
        <f t="shared" si="249"/>
        <v>000</v>
      </c>
      <c r="AC791" s="165" t="str">
        <f t="shared" si="250"/>
        <v>00000000</v>
      </c>
      <c r="AD791" s="98" t="str">
        <f t="shared" si="251"/>
        <v>00000000</v>
      </c>
      <c r="AE791" s="150">
        <f t="shared" si="252"/>
        <v>0</v>
      </c>
      <c r="AF791" s="150">
        <f t="shared" si="253"/>
        <v>0</v>
      </c>
      <c r="AG791" s="98" t="str">
        <f t="shared" si="254"/>
        <v>0000000000</v>
      </c>
      <c r="AH791" s="151">
        <f t="shared" si="255"/>
        <v>0</v>
      </c>
      <c r="AI791" s="98" t="str">
        <f t="shared" si="256"/>
        <v>00</v>
      </c>
      <c r="AJ791" s="98" t="str">
        <f t="shared" si="257"/>
        <v>000000000000</v>
      </c>
      <c r="AK791" s="161" t="str">
        <f t="shared" si="258"/>
        <v xml:space="preserve">                              </v>
      </c>
      <c r="AL791" s="154">
        <f t="shared" si="259"/>
        <v>0</v>
      </c>
      <c r="AM791" s="155">
        <f t="shared" si="260"/>
        <v>0</v>
      </c>
      <c r="AP791" s="63" t="str">
        <f t="shared" si="261"/>
        <v/>
      </c>
      <c r="AQ791" s="63" t="str">
        <f t="shared" si="262"/>
        <v/>
      </c>
      <c r="AR791" s="152" t="str">
        <f t="shared" si="263"/>
        <v/>
      </c>
      <c r="AS791" s="109" t="str">
        <f t="shared" si="264"/>
        <v/>
      </c>
      <c r="AT791" s="63" t="str">
        <f t="shared" si="265"/>
        <v xml:space="preserve">                    </v>
      </c>
    </row>
    <row r="792" spans="1:46" ht="12.75" x14ac:dyDescent="0.2">
      <c r="A792" s="63" t="str">
        <f t="shared" si="247"/>
        <v/>
      </c>
      <c r="B792" s="185"/>
      <c r="C792" s="185"/>
      <c r="D792" s="185"/>
      <c r="E792" s="185"/>
      <c r="F792" s="185"/>
      <c r="G792" s="185"/>
      <c r="H792" s="185"/>
      <c r="I792" s="186"/>
      <c r="J792" s="69"/>
      <c r="AA792" s="63">
        <f t="shared" si="248"/>
        <v>0</v>
      </c>
      <c r="AB792" s="153" t="str">
        <f t="shared" si="249"/>
        <v>000</v>
      </c>
      <c r="AC792" s="165" t="str">
        <f t="shared" si="250"/>
        <v>00000000</v>
      </c>
      <c r="AD792" s="98" t="str">
        <f t="shared" si="251"/>
        <v>00000000</v>
      </c>
      <c r="AE792" s="150">
        <f t="shared" si="252"/>
        <v>0</v>
      </c>
      <c r="AF792" s="150">
        <f t="shared" si="253"/>
        <v>0</v>
      </c>
      <c r="AG792" s="98" t="str">
        <f t="shared" si="254"/>
        <v>0000000000</v>
      </c>
      <c r="AH792" s="151">
        <f t="shared" si="255"/>
        <v>0</v>
      </c>
      <c r="AI792" s="98" t="str">
        <f t="shared" si="256"/>
        <v>00</v>
      </c>
      <c r="AJ792" s="98" t="str">
        <f t="shared" si="257"/>
        <v>000000000000</v>
      </c>
      <c r="AK792" s="161" t="str">
        <f t="shared" si="258"/>
        <v xml:space="preserve">                              </v>
      </c>
      <c r="AL792" s="154">
        <f t="shared" si="259"/>
        <v>0</v>
      </c>
      <c r="AM792" s="155">
        <f t="shared" si="260"/>
        <v>0</v>
      </c>
      <c r="AP792" s="63" t="str">
        <f t="shared" si="261"/>
        <v/>
      </c>
      <c r="AQ792" s="63" t="str">
        <f t="shared" si="262"/>
        <v/>
      </c>
      <c r="AR792" s="152" t="str">
        <f t="shared" si="263"/>
        <v/>
      </c>
      <c r="AS792" s="109" t="str">
        <f t="shared" si="264"/>
        <v/>
      </c>
      <c r="AT792" s="63" t="str">
        <f t="shared" si="265"/>
        <v xml:space="preserve">                    </v>
      </c>
    </row>
    <row r="793" spans="1:46" ht="12.75" x14ac:dyDescent="0.2">
      <c r="A793" s="63" t="str">
        <f t="shared" si="247"/>
        <v/>
      </c>
      <c r="B793" s="185"/>
      <c r="C793" s="185"/>
      <c r="D793" s="185"/>
      <c r="E793" s="185"/>
      <c r="F793" s="185"/>
      <c r="G793" s="185"/>
      <c r="H793" s="185"/>
      <c r="I793" s="186"/>
      <c r="J793" s="69"/>
      <c r="AA793" s="63">
        <f t="shared" si="248"/>
        <v>0</v>
      </c>
      <c r="AB793" s="153" t="str">
        <f t="shared" si="249"/>
        <v>000</v>
      </c>
      <c r="AC793" s="165" t="str">
        <f t="shared" si="250"/>
        <v>00000000</v>
      </c>
      <c r="AD793" s="98" t="str">
        <f t="shared" si="251"/>
        <v>00000000</v>
      </c>
      <c r="AE793" s="150">
        <f t="shared" si="252"/>
        <v>0</v>
      </c>
      <c r="AF793" s="150">
        <f t="shared" si="253"/>
        <v>0</v>
      </c>
      <c r="AG793" s="98" t="str">
        <f t="shared" si="254"/>
        <v>0000000000</v>
      </c>
      <c r="AH793" s="151">
        <f t="shared" si="255"/>
        <v>0</v>
      </c>
      <c r="AI793" s="98" t="str">
        <f t="shared" si="256"/>
        <v>00</v>
      </c>
      <c r="AJ793" s="98" t="str">
        <f t="shared" si="257"/>
        <v>000000000000</v>
      </c>
      <c r="AK793" s="161" t="str">
        <f t="shared" si="258"/>
        <v xml:space="preserve">                              </v>
      </c>
      <c r="AL793" s="154">
        <f t="shared" si="259"/>
        <v>0</v>
      </c>
      <c r="AM793" s="155">
        <f t="shared" si="260"/>
        <v>0</v>
      </c>
      <c r="AP793" s="63" t="str">
        <f t="shared" si="261"/>
        <v/>
      </c>
      <c r="AQ793" s="63" t="str">
        <f t="shared" si="262"/>
        <v/>
      </c>
      <c r="AR793" s="152" t="str">
        <f t="shared" si="263"/>
        <v/>
      </c>
      <c r="AS793" s="109" t="str">
        <f t="shared" si="264"/>
        <v/>
      </c>
      <c r="AT793" s="63" t="str">
        <f t="shared" si="265"/>
        <v xml:space="preserve">                    </v>
      </c>
    </row>
    <row r="794" spans="1:46" ht="12.75" x14ac:dyDescent="0.2">
      <c r="A794" s="63" t="str">
        <f t="shared" si="247"/>
        <v/>
      </c>
      <c r="B794" s="185"/>
      <c r="C794" s="185"/>
      <c r="D794" s="185"/>
      <c r="E794" s="185"/>
      <c r="F794" s="185"/>
      <c r="G794" s="185"/>
      <c r="H794" s="185"/>
      <c r="I794" s="186"/>
      <c r="J794" s="69"/>
      <c r="AA794" s="63">
        <f t="shared" si="248"/>
        <v>0</v>
      </c>
      <c r="AB794" s="153" t="str">
        <f t="shared" si="249"/>
        <v>000</v>
      </c>
      <c r="AC794" s="165" t="str">
        <f t="shared" si="250"/>
        <v>00000000</v>
      </c>
      <c r="AD794" s="98" t="str">
        <f t="shared" si="251"/>
        <v>00000000</v>
      </c>
      <c r="AE794" s="150">
        <f t="shared" si="252"/>
        <v>0</v>
      </c>
      <c r="AF794" s="150">
        <f t="shared" si="253"/>
        <v>0</v>
      </c>
      <c r="AG794" s="98" t="str">
        <f t="shared" si="254"/>
        <v>0000000000</v>
      </c>
      <c r="AH794" s="151">
        <f t="shared" si="255"/>
        <v>0</v>
      </c>
      <c r="AI794" s="98" t="str">
        <f t="shared" si="256"/>
        <v>00</v>
      </c>
      <c r="AJ794" s="98" t="str">
        <f t="shared" si="257"/>
        <v>000000000000</v>
      </c>
      <c r="AK794" s="161" t="str">
        <f t="shared" si="258"/>
        <v xml:space="preserve">                              </v>
      </c>
      <c r="AL794" s="154">
        <f t="shared" si="259"/>
        <v>0</v>
      </c>
      <c r="AM794" s="155">
        <f t="shared" si="260"/>
        <v>0</v>
      </c>
      <c r="AP794" s="63" t="str">
        <f t="shared" si="261"/>
        <v/>
      </c>
      <c r="AQ794" s="63" t="str">
        <f t="shared" si="262"/>
        <v/>
      </c>
      <c r="AR794" s="152" t="str">
        <f t="shared" si="263"/>
        <v/>
      </c>
      <c r="AS794" s="109" t="str">
        <f t="shared" si="264"/>
        <v/>
      </c>
      <c r="AT794" s="63" t="str">
        <f t="shared" si="265"/>
        <v xml:space="preserve">                    </v>
      </c>
    </row>
    <row r="795" spans="1:46" ht="12.75" x14ac:dyDescent="0.2">
      <c r="A795" s="63" t="str">
        <f t="shared" si="247"/>
        <v/>
      </c>
      <c r="B795" s="185"/>
      <c r="C795" s="185"/>
      <c r="D795" s="185"/>
      <c r="E795" s="185"/>
      <c r="F795" s="185"/>
      <c r="G795" s="185"/>
      <c r="H795" s="185"/>
      <c r="I795" s="186"/>
      <c r="J795" s="69"/>
      <c r="AA795" s="63">
        <f t="shared" si="248"/>
        <v>0</v>
      </c>
      <c r="AB795" s="153" t="str">
        <f t="shared" si="249"/>
        <v>000</v>
      </c>
      <c r="AC795" s="165" t="str">
        <f t="shared" si="250"/>
        <v>00000000</v>
      </c>
      <c r="AD795" s="98" t="str">
        <f t="shared" si="251"/>
        <v>00000000</v>
      </c>
      <c r="AE795" s="150">
        <f t="shared" si="252"/>
        <v>0</v>
      </c>
      <c r="AF795" s="150">
        <f t="shared" si="253"/>
        <v>0</v>
      </c>
      <c r="AG795" s="98" t="str">
        <f t="shared" si="254"/>
        <v>0000000000</v>
      </c>
      <c r="AH795" s="151">
        <f t="shared" si="255"/>
        <v>0</v>
      </c>
      <c r="AI795" s="98" t="str">
        <f t="shared" si="256"/>
        <v>00</v>
      </c>
      <c r="AJ795" s="98" t="str">
        <f t="shared" si="257"/>
        <v>000000000000</v>
      </c>
      <c r="AK795" s="161" t="str">
        <f t="shared" si="258"/>
        <v xml:space="preserve">                              </v>
      </c>
      <c r="AL795" s="154">
        <f t="shared" si="259"/>
        <v>0</v>
      </c>
      <c r="AM795" s="155">
        <f t="shared" si="260"/>
        <v>0</v>
      </c>
      <c r="AP795" s="63" t="str">
        <f t="shared" si="261"/>
        <v/>
      </c>
      <c r="AQ795" s="63" t="str">
        <f t="shared" si="262"/>
        <v/>
      </c>
      <c r="AR795" s="152" t="str">
        <f t="shared" si="263"/>
        <v/>
      </c>
      <c r="AS795" s="109" t="str">
        <f t="shared" si="264"/>
        <v/>
      </c>
      <c r="AT795" s="63" t="str">
        <f t="shared" si="265"/>
        <v xml:space="preserve">                    </v>
      </c>
    </row>
    <row r="796" spans="1:46" ht="12.75" x14ac:dyDescent="0.2">
      <c r="A796" s="63" t="str">
        <f t="shared" si="247"/>
        <v/>
      </c>
      <c r="B796" s="185"/>
      <c r="C796" s="185"/>
      <c r="D796" s="185"/>
      <c r="E796" s="185"/>
      <c r="F796" s="185"/>
      <c r="G796" s="185"/>
      <c r="H796" s="185"/>
      <c r="I796" s="186"/>
      <c r="J796" s="69"/>
      <c r="AA796" s="63">
        <f t="shared" si="248"/>
        <v>0</v>
      </c>
      <c r="AB796" s="153" t="str">
        <f t="shared" si="249"/>
        <v>000</v>
      </c>
      <c r="AC796" s="165" t="str">
        <f t="shared" si="250"/>
        <v>00000000</v>
      </c>
      <c r="AD796" s="98" t="str">
        <f t="shared" si="251"/>
        <v>00000000</v>
      </c>
      <c r="AE796" s="150">
        <f t="shared" si="252"/>
        <v>0</v>
      </c>
      <c r="AF796" s="150">
        <f t="shared" si="253"/>
        <v>0</v>
      </c>
      <c r="AG796" s="98" t="str">
        <f t="shared" si="254"/>
        <v>0000000000</v>
      </c>
      <c r="AH796" s="151">
        <f t="shared" si="255"/>
        <v>0</v>
      </c>
      <c r="AI796" s="98" t="str">
        <f t="shared" si="256"/>
        <v>00</v>
      </c>
      <c r="AJ796" s="98" t="str">
        <f t="shared" si="257"/>
        <v>000000000000</v>
      </c>
      <c r="AK796" s="161" t="str">
        <f t="shared" si="258"/>
        <v xml:space="preserve">                              </v>
      </c>
      <c r="AL796" s="154">
        <f t="shared" si="259"/>
        <v>0</v>
      </c>
      <c r="AM796" s="155">
        <f t="shared" si="260"/>
        <v>0</v>
      </c>
      <c r="AP796" s="63" t="str">
        <f t="shared" si="261"/>
        <v/>
      </c>
      <c r="AQ796" s="63" t="str">
        <f t="shared" si="262"/>
        <v/>
      </c>
      <c r="AR796" s="152" t="str">
        <f t="shared" si="263"/>
        <v/>
      </c>
      <c r="AS796" s="109" t="str">
        <f t="shared" si="264"/>
        <v/>
      </c>
      <c r="AT796" s="63" t="str">
        <f t="shared" si="265"/>
        <v xml:space="preserve">                    </v>
      </c>
    </row>
    <row r="797" spans="1:46" ht="12.75" x14ac:dyDescent="0.2">
      <c r="A797" s="63" t="str">
        <f t="shared" si="247"/>
        <v/>
      </c>
      <c r="B797" s="185"/>
      <c r="C797" s="185"/>
      <c r="D797" s="185"/>
      <c r="E797" s="185"/>
      <c r="F797" s="185"/>
      <c r="G797" s="185"/>
      <c r="H797" s="185"/>
      <c r="I797" s="186"/>
      <c r="J797" s="69"/>
      <c r="AA797" s="63">
        <f t="shared" si="248"/>
        <v>0</v>
      </c>
      <c r="AB797" s="153" t="str">
        <f t="shared" si="249"/>
        <v>000</v>
      </c>
      <c r="AC797" s="165" t="str">
        <f t="shared" si="250"/>
        <v>00000000</v>
      </c>
      <c r="AD797" s="98" t="str">
        <f t="shared" si="251"/>
        <v>00000000</v>
      </c>
      <c r="AE797" s="150">
        <f t="shared" si="252"/>
        <v>0</v>
      </c>
      <c r="AF797" s="150">
        <f t="shared" si="253"/>
        <v>0</v>
      </c>
      <c r="AG797" s="98" t="str">
        <f t="shared" si="254"/>
        <v>0000000000</v>
      </c>
      <c r="AH797" s="151">
        <f t="shared" si="255"/>
        <v>0</v>
      </c>
      <c r="AI797" s="98" t="str">
        <f t="shared" si="256"/>
        <v>00</v>
      </c>
      <c r="AJ797" s="98" t="str">
        <f t="shared" si="257"/>
        <v>000000000000</v>
      </c>
      <c r="AK797" s="161" t="str">
        <f t="shared" si="258"/>
        <v xml:space="preserve">                              </v>
      </c>
      <c r="AL797" s="154">
        <f t="shared" si="259"/>
        <v>0</v>
      </c>
      <c r="AM797" s="155">
        <f t="shared" si="260"/>
        <v>0</v>
      </c>
      <c r="AP797" s="63" t="str">
        <f t="shared" si="261"/>
        <v/>
      </c>
      <c r="AQ797" s="63" t="str">
        <f t="shared" si="262"/>
        <v/>
      </c>
      <c r="AR797" s="152" t="str">
        <f t="shared" si="263"/>
        <v/>
      </c>
      <c r="AS797" s="109" t="str">
        <f t="shared" si="264"/>
        <v/>
      </c>
      <c r="AT797" s="63" t="str">
        <f t="shared" si="265"/>
        <v xml:space="preserve">                    </v>
      </c>
    </row>
    <row r="798" spans="1:46" ht="12.75" x14ac:dyDescent="0.2">
      <c r="A798" s="63" t="str">
        <f t="shared" si="247"/>
        <v/>
      </c>
      <c r="B798" s="185"/>
      <c r="C798" s="185"/>
      <c r="D798" s="185"/>
      <c r="E798" s="185"/>
      <c r="F798" s="185"/>
      <c r="G798" s="185"/>
      <c r="H798" s="185"/>
      <c r="I798" s="186"/>
      <c r="J798" s="69"/>
      <c r="AA798" s="63">
        <f t="shared" si="248"/>
        <v>0</v>
      </c>
      <c r="AB798" s="153" t="str">
        <f t="shared" si="249"/>
        <v>000</v>
      </c>
      <c r="AC798" s="165" t="str">
        <f t="shared" si="250"/>
        <v>00000000</v>
      </c>
      <c r="AD798" s="98" t="str">
        <f t="shared" si="251"/>
        <v>00000000</v>
      </c>
      <c r="AE798" s="150">
        <f t="shared" si="252"/>
        <v>0</v>
      </c>
      <c r="AF798" s="150">
        <f t="shared" si="253"/>
        <v>0</v>
      </c>
      <c r="AG798" s="98" t="str">
        <f t="shared" si="254"/>
        <v>0000000000</v>
      </c>
      <c r="AH798" s="151">
        <f t="shared" si="255"/>
        <v>0</v>
      </c>
      <c r="AI798" s="98" t="str">
        <f t="shared" si="256"/>
        <v>00</v>
      </c>
      <c r="AJ798" s="98" t="str">
        <f t="shared" si="257"/>
        <v>000000000000</v>
      </c>
      <c r="AK798" s="161" t="str">
        <f t="shared" si="258"/>
        <v xml:space="preserve">                              </v>
      </c>
      <c r="AL798" s="154">
        <f t="shared" si="259"/>
        <v>0</v>
      </c>
      <c r="AM798" s="155">
        <f t="shared" si="260"/>
        <v>0</v>
      </c>
      <c r="AP798" s="63" t="str">
        <f t="shared" si="261"/>
        <v/>
      </c>
      <c r="AQ798" s="63" t="str">
        <f t="shared" si="262"/>
        <v/>
      </c>
      <c r="AR798" s="152" t="str">
        <f t="shared" si="263"/>
        <v/>
      </c>
      <c r="AS798" s="109" t="str">
        <f t="shared" si="264"/>
        <v/>
      </c>
      <c r="AT798" s="63" t="str">
        <f t="shared" si="265"/>
        <v xml:space="preserve">                    </v>
      </c>
    </row>
    <row r="799" spans="1:46" ht="12.75" x14ac:dyDescent="0.2">
      <c r="A799" s="63" t="str">
        <f t="shared" si="247"/>
        <v/>
      </c>
      <c r="B799" s="185"/>
      <c r="C799" s="185"/>
      <c r="D799" s="185"/>
      <c r="E799" s="185"/>
      <c r="F799" s="185"/>
      <c r="G799" s="185"/>
      <c r="H799" s="185"/>
      <c r="I799" s="186"/>
      <c r="J799" s="69"/>
      <c r="AA799" s="63">
        <f t="shared" si="248"/>
        <v>0</v>
      </c>
      <c r="AB799" s="153" t="str">
        <f t="shared" si="249"/>
        <v>000</v>
      </c>
      <c r="AC799" s="165" t="str">
        <f t="shared" si="250"/>
        <v>00000000</v>
      </c>
      <c r="AD799" s="98" t="str">
        <f t="shared" si="251"/>
        <v>00000000</v>
      </c>
      <c r="AE799" s="150">
        <f t="shared" si="252"/>
        <v>0</v>
      </c>
      <c r="AF799" s="150">
        <f t="shared" si="253"/>
        <v>0</v>
      </c>
      <c r="AG799" s="98" t="str">
        <f t="shared" si="254"/>
        <v>0000000000</v>
      </c>
      <c r="AH799" s="151">
        <f t="shared" si="255"/>
        <v>0</v>
      </c>
      <c r="AI799" s="98" t="str">
        <f t="shared" si="256"/>
        <v>00</v>
      </c>
      <c r="AJ799" s="98" t="str">
        <f t="shared" si="257"/>
        <v>000000000000</v>
      </c>
      <c r="AK799" s="161" t="str">
        <f t="shared" si="258"/>
        <v xml:space="preserve">                              </v>
      </c>
      <c r="AL799" s="154">
        <f t="shared" si="259"/>
        <v>0</v>
      </c>
      <c r="AM799" s="155">
        <f t="shared" si="260"/>
        <v>0</v>
      </c>
      <c r="AP799" s="63" t="str">
        <f t="shared" si="261"/>
        <v/>
      </c>
      <c r="AQ799" s="63" t="str">
        <f t="shared" si="262"/>
        <v/>
      </c>
      <c r="AR799" s="152" t="str">
        <f t="shared" si="263"/>
        <v/>
      </c>
      <c r="AS799" s="109" t="str">
        <f t="shared" si="264"/>
        <v/>
      </c>
      <c r="AT799" s="63" t="str">
        <f t="shared" si="265"/>
        <v xml:space="preserve">                    </v>
      </c>
    </row>
    <row r="800" spans="1:46" ht="12.75" x14ac:dyDescent="0.2">
      <c r="A800" s="63" t="str">
        <f t="shared" si="247"/>
        <v/>
      </c>
      <c r="B800" s="185"/>
      <c r="C800" s="185"/>
      <c r="D800" s="185"/>
      <c r="E800" s="185"/>
      <c r="F800" s="185"/>
      <c r="G800" s="185"/>
      <c r="H800" s="185"/>
      <c r="I800" s="186"/>
      <c r="J800" s="69"/>
      <c r="AA800" s="63">
        <f t="shared" si="248"/>
        <v>0</v>
      </c>
      <c r="AB800" s="153" t="str">
        <f t="shared" si="249"/>
        <v>000</v>
      </c>
      <c r="AC800" s="165" t="str">
        <f t="shared" si="250"/>
        <v>00000000</v>
      </c>
      <c r="AD800" s="98" t="str">
        <f t="shared" si="251"/>
        <v>00000000</v>
      </c>
      <c r="AE800" s="150">
        <f t="shared" si="252"/>
        <v>0</v>
      </c>
      <c r="AF800" s="150">
        <f t="shared" si="253"/>
        <v>0</v>
      </c>
      <c r="AG800" s="98" t="str">
        <f t="shared" si="254"/>
        <v>0000000000</v>
      </c>
      <c r="AH800" s="151">
        <f t="shared" si="255"/>
        <v>0</v>
      </c>
      <c r="AI800" s="98" t="str">
        <f t="shared" si="256"/>
        <v>00</v>
      </c>
      <c r="AJ800" s="98" t="str">
        <f t="shared" si="257"/>
        <v>000000000000</v>
      </c>
      <c r="AK800" s="161" t="str">
        <f t="shared" si="258"/>
        <v xml:space="preserve">                              </v>
      </c>
      <c r="AL800" s="154">
        <f t="shared" si="259"/>
        <v>0</v>
      </c>
      <c r="AM800" s="155">
        <f t="shared" si="260"/>
        <v>0</v>
      </c>
      <c r="AP800" s="63" t="str">
        <f t="shared" si="261"/>
        <v/>
      </c>
      <c r="AQ800" s="63" t="str">
        <f t="shared" si="262"/>
        <v/>
      </c>
      <c r="AR800" s="152" t="str">
        <f t="shared" si="263"/>
        <v/>
      </c>
      <c r="AS800" s="109" t="str">
        <f t="shared" si="264"/>
        <v/>
      </c>
      <c r="AT800" s="63" t="str">
        <f t="shared" si="265"/>
        <v xml:space="preserve">                    </v>
      </c>
    </row>
    <row r="801" spans="1:46" ht="12.75" x14ac:dyDescent="0.2">
      <c r="A801" s="63" t="str">
        <f t="shared" si="247"/>
        <v/>
      </c>
      <c r="B801" s="185"/>
      <c r="C801" s="185"/>
      <c r="D801" s="185"/>
      <c r="E801" s="185"/>
      <c r="F801" s="185"/>
      <c r="G801" s="185"/>
      <c r="H801" s="185"/>
      <c r="I801" s="186"/>
      <c r="J801" s="69"/>
      <c r="AA801" s="63">
        <f t="shared" si="248"/>
        <v>0</v>
      </c>
      <c r="AB801" s="153" t="str">
        <f t="shared" si="249"/>
        <v>000</v>
      </c>
      <c r="AC801" s="165" t="str">
        <f t="shared" si="250"/>
        <v>00000000</v>
      </c>
      <c r="AD801" s="98" t="str">
        <f t="shared" si="251"/>
        <v>00000000</v>
      </c>
      <c r="AE801" s="150">
        <f t="shared" si="252"/>
        <v>0</v>
      </c>
      <c r="AF801" s="150">
        <f t="shared" si="253"/>
        <v>0</v>
      </c>
      <c r="AG801" s="98" t="str">
        <f t="shared" si="254"/>
        <v>0000000000</v>
      </c>
      <c r="AH801" s="151">
        <f t="shared" si="255"/>
        <v>0</v>
      </c>
      <c r="AI801" s="98" t="str">
        <f t="shared" si="256"/>
        <v>00</v>
      </c>
      <c r="AJ801" s="98" t="str">
        <f t="shared" si="257"/>
        <v>000000000000</v>
      </c>
      <c r="AK801" s="161" t="str">
        <f t="shared" si="258"/>
        <v xml:space="preserve">                              </v>
      </c>
      <c r="AL801" s="154">
        <f t="shared" si="259"/>
        <v>0</v>
      </c>
      <c r="AM801" s="155">
        <f t="shared" si="260"/>
        <v>0</v>
      </c>
      <c r="AP801" s="63" t="str">
        <f t="shared" si="261"/>
        <v/>
      </c>
      <c r="AQ801" s="63" t="str">
        <f t="shared" si="262"/>
        <v/>
      </c>
      <c r="AR801" s="152" t="str">
        <f t="shared" si="263"/>
        <v/>
      </c>
      <c r="AS801" s="109" t="str">
        <f t="shared" si="264"/>
        <v/>
      </c>
      <c r="AT801" s="63" t="str">
        <f t="shared" si="265"/>
        <v xml:space="preserve">                    </v>
      </c>
    </row>
    <row r="802" spans="1:46" ht="12.75" x14ac:dyDescent="0.2">
      <c r="A802" s="63" t="str">
        <f t="shared" si="247"/>
        <v/>
      </c>
      <c r="B802" s="185"/>
      <c r="C802" s="185"/>
      <c r="D802" s="185"/>
      <c r="E802" s="185"/>
      <c r="F802" s="185"/>
      <c r="G802" s="185"/>
      <c r="H802" s="185"/>
      <c r="I802" s="186"/>
      <c r="J802" s="69"/>
      <c r="AA802" s="63">
        <f t="shared" si="248"/>
        <v>0</v>
      </c>
      <c r="AB802" s="153" t="str">
        <f t="shared" si="249"/>
        <v>000</v>
      </c>
      <c r="AC802" s="165" t="str">
        <f t="shared" si="250"/>
        <v>00000000</v>
      </c>
      <c r="AD802" s="98" t="str">
        <f t="shared" si="251"/>
        <v>00000000</v>
      </c>
      <c r="AE802" s="150">
        <f t="shared" si="252"/>
        <v>0</v>
      </c>
      <c r="AF802" s="150">
        <f t="shared" si="253"/>
        <v>0</v>
      </c>
      <c r="AG802" s="98" t="str">
        <f t="shared" si="254"/>
        <v>0000000000</v>
      </c>
      <c r="AH802" s="151">
        <f t="shared" si="255"/>
        <v>0</v>
      </c>
      <c r="AI802" s="98" t="str">
        <f t="shared" si="256"/>
        <v>00</v>
      </c>
      <c r="AJ802" s="98" t="str">
        <f t="shared" si="257"/>
        <v>000000000000</v>
      </c>
      <c r="AK802" s="161" t="str">
        <f t="shared" si="258"/>
        <v xml:space="preserve">                              </v>
      </c>
      <c r="AL802" s="154">
        <f t="shared" si="259"/>
        <v>0</v>
      </c>
      <c r="AM802" s="155">
        <f t="shared" si="260"/>
        <v>0</v>
      </c>
      <c r="AP802" s="63" t="str">
        <f t="shared" si="261"/>
        <v/>
      </c>
      <c r="AQ802" s="63" t="str">
        <f t="shared" si="262"/>
        <v/>
      </c>
      <c r="AR802" s="152" t="str">
        <f t="shared" si="263"/>
        <v/>
      </c>
      <c r="AS802" s="109" t="str">
        <f t="shared" si="264"/>
        <v/>
      </c>
      <c r="AT802" s="63" t="str">
        <f t="shared" si="265"/>
        <v xml:space="preserve">                    </v>
      </c>
    </row>
    <row r="803" spans="1:46" ht="12.75" x14ac:dyDescent="0.2">
      <c r="A803" s="63" t="str">
        <f t="shared" si="247"/>
        <v/>
      </c>
      <c r="B803" s="185"/>
      <c r="C803" s="185"/>
      <c r="D803" s="185"/>
      <c r="E803" s="185"/>
      <c r="F803" s="185"/>
      <c r="G803" s="185"/>
      <c r="H803" s="185"/>
      <c r="I803" s="186"/>
      <c r="J803" s="69"/>
      <c r="AA803" s="63">
        <f t="shared" si="248"/>
        <v>0</v>
      </c>
      <c r="AB803" s="153" t="str">
        <f t="shared" si="249"/>
        <v>000</v>
      </c>
      <c r="AC803" s="165" t="str">
        <f t="shared" si="250"/>
        <v>00000000</v>
      </c>
      <c r="AD803" s="98" t="str">
        <f t="shared" si="251"/>
        <v>00000000</v>
      </c>
      <c r="AE803" s="150">
        <f t="shared" si="252"/>
        <v>0</v>
      </c>
      <c r="AF803" s="150">
        <f t="shared" si="253"/>
        <v>0</v>
      </c>
      <c r="AG803" s="98" t="str">
        <f t="shared" si="254"/>
        <v>0000000000</v>
      </c>
      <c r="AH803" s="151">
        <f t="shared" si="255"/>
        <v>0</v>
      </c>
      <c r="AI803" s="98" t="str">
        <f t="shared" si="256"/>
        <v>00</v>
      </c>
      <c r="AJ803" s="98" t="str">
        <f t="shared" si="257"/>
        <v>000000000000</v>
      </c>
      <c r="AK803" s="161" t="str">
        <f t="shared" si="258"/>
        <v xml:space="preserve">                              </v>
      </c>
      <c r="AL803" s="154">
        <f t="shared" si="259"/>
        <v>0</v>
      </c>
      <c r="AM803" s="155">
        <f t="shared" si="260"/>
        <v>0</v>
      </c>
      <c r="AP803" s="63" t="str">
        <f t="shared" si="261"/>
        <v/>
      </c>
      <c r="AQ803" s="63" t="str">
        <f t="shared" si="262"/>
        <v/>
      </c>
      <c r="AR803" s="152" t="str">
        <f t="shared" si="263"/>
        <v/>
      </c>
      <c r="AS803" s="109" t="str">
        <f t="shared" si="264"/>
        <v/>
      </c>
      <c r="AT803" s="63" t="str">
        <f t="shared" si="265"/>
        <v xml:space="preserve">                    </v>
      </c>
    </row>
    <row r="804" spans="1:46" ht="12.75" x14ac:dyDescent="0.2">
      <c r="A804" s="63" t="str">
        <f t="shared" si="247"/>
        <v/>
      </c>
      <c r="B804" s="185"/>
      <c r="C804" s="185"/>
      <c r="D804" s="185"/>
      <c r="E804" s="185"/>
      <c r="F804" s="185"/>
      <c r="G804" s="185"/>
      <c r="H804" s="185"/>
      <c r="I804" s="186"/>
      <c r="J804" s="69"/>
      <c r="AA804" s="63">
        <f t="shared" si="248"/>
        <v>0</v>
      </c>
      <c r="AB804" s="153" t="str">
        <f t="shared" si="249"/>
        <v>000</v>
      </c>
      <c r="AC804" s="165" t="str">
        <f t="shared" si="250"/>
        <v>00000000</v>
      </c>
      <c r="AD804" s="98" t="str">
        <f t="shared" si="251"/>
        <v>00000000</v>
      </c>
      <c r="AE804" s="150">
        <f t="shared" si="252"/>
        <v>0</v>
      </c>
      <c r="AF804" s="150">
        <f t="shared" si="253"/>
        <v>0</v>
      </c>
      <c r="AG804" s="98" t="str">
        <f t="shared" si="254"/>
        <v>0000000000</v>
      </c>
      <c r="AH804" s="151">
        <f t="shared" si="255"/>
        <v>0</v>
      </c>
      <c r="AI804" s="98" t="str">
        <f t="shared" si="256"/>
        <v>00</v>
      </c>
      <c r="AJ804" s="98" t="str">
        <f t="shared" si="257"/>
        <v>000000000000</v>
      </c>
      <c r="AK804" s="161" t="str">
        <f t="shared" si="258"/>
        <v xml:space="preserve">                              </v>
      </c>
      <c r="AL804" s="154">
        <f t="shared" si="259"/>
        <v>0</v>
      </c>
      <c r="AM804" s="155">
        <f t="shared" si="260"/>
        <v>0</v>
      </c>
      <c r="AP804" s="63" t="str">
        <f t="shared" si="261"/>
        <v/>
      </c>
      <c r="AQ804" s="63" t="str">
        <f t="shared" si="262"/>
        <v/>
      </c>
      <c r="AR804" s="152" t="str">
        <f t="shared" si="263"/>
        <v/>
      </c>
      <c r="AS804" s="109" t="str">
        <f t="shared" si="264"/>
        <v/>
      </c>
      <c r="AT804" s="63" t="str">
        <f t="shared" si="265"/>
        <v xml:space="preserve">                    </v>
      </c>
    </row>
    <row r="805" spans="1:46" ht="12.75" x14ac:dyDescent="0.2">
      <c r="A805" s="63" t="str">
        <f t="shared" si="247"/>
        <v/>
      </c>
      <c r="B805" s="185"/>
      <c r="C805" s="185"/>
      <c r="D805" s="185"/>
      <c r="E805" s="185"/>
      <c r="F805" s="185"/>
      <c r="G805" s="185"/>
      <c r="H805" s="185"/>
      <c r="I805" s="186"/>
      <c r="J805" s="69"/>
      <c r="AA805" s="63">
        <f t="shared" si="248"/>
        <v>0</v>
      </c>
      <c r="AB805" s="153" t="str">
        <f t="shared" si="249"/>
        <v>000</v>
      </c>
      <c r="AC805" s="165" t="str">
        <f t="shared" si="250"/>
        <v>00000000</v>
      </c>
      <c r="AD805" s="98" t="str">
        <f t="shared" si="251"/>
        <v>00000000</v>
      </c>
      <c r="AE805" s="150">
        <f t="shared" si="252"/>
        <v>0</v>
      </c>
      <c r="AF805" s="150">
        <f t="shared" si="253"/>
        <v>0</v>
      </c>
      <c r="AG805" s="98" t="str">
        <f t="shared" si="254"/>
        <v>0000000000</v>
      </c>
      <c r="AH805" s="151">
        <f t="shared" si="255"/>
        <v>0</v>
      </c>
      <c r="AI805" s="98" t="str">
        <f t="shared" si="256"/>
        <v>00</v>
      </c>
      <c r="AJ805" s="98" t="str">
        <f t="shared" si="257"/>
        <v>000000000000</v>
      </c>
      <c r="AK805" s="161" t="str">
        <f t="shared" si="258"/>
        <v xml:space="preserve">                              </v>
      </c>
      <c r="AL805" s="154">
        <f t="shared" si="259"/>
        <v>0</v>
      </c>
      <c r="AM805" s="155">
        <f t="shared" si="260"/>
        <v>0</v>
      </c>
      <c r="AP805" s="63" t="str">
        <f t="shared" si="261"/>
        <v/>
      </c>
      <c r="AQ805" s="63" t="str">
        <f t="shared" si="262"/>
        <v/>
      </c>
      <c r="AR805" s="152" t="str">
        <f t="shared" si="263"/>
        <v/>
      </c>
      <c r="AS805" s="109" t="str">
        <f t="shared" si="264"/>
        <v/>
      </c>
      <c r="AT805" s="63" t="str">
        <f t="shared" si="265"/>
        <v xml:space="preserve">                    </v>
      </c>
    </row>
    <row r="806" spans="1:46" ht="12.75" x14ac:dyDescent="0.2">
      <c r="A806" s="63" t="str">
        <f t="shared" si="247"/>
        <v/>
      </c>
      <c r="B806" s="185"/>
      <c r="C806" s="185"/>
      <c r="D806" s="185"/>
      <c r="E806" s="185"/>
      <c r="F806" s="185"/>
      <c r="G806" s="185"/>
      <c r="H806" s="185"/>
      <c r="I806" s="186"/>
      <c r="J806" s="69"/>
      <c r="AA806" s="63">
        <f t="shared" si="248"/>
        <v>0</v>
      </c>
      <c r="AB806" s="153" t="str">
        <f t="shared" si="249"/>
        <v>000</v>
      </c>
      <c r="AC806" s="165" t="str">
        <f t="shared" si="250"/>
        <v>00000000</v>
      </c>
      <c r="AD806" s="98" t="str">
        <f t="shared" si="251"/>
        <v>00000000</v>
      </c>
      <c r="AE806" s="150">
        <f t="shared" si="252"/>
        <v>0</v>
      </c>
      <c r="AF806" s="150">
        <f t="shared" si="253"/>
        <v>0</v>
      </c>
      <c r="AG806" s="98" t="str">
        <f t="shared" si="254"/>
        <v>0000000000</v>
      </c>
      <c r="AH806" s="151">
        <f t="shared" si="255"/>
        <v>0</v>
      </c>
      <c r="AI806" s="98" t="str">
        <f t="shared" si="256"/>
        <v>00</v>
      </c>
      <c r="AJ806" s="98" t="str">
        <f t="shared" si="257"/>
        <v>000000000000</v>
      </c>
      <c r="AK806" s="161" t="str">
        <f t="shared" si="258"/>
        <v xml:space="preserve">                              </v>
      </c>
      <c r="AL806" s="154">
        <f t="shared" si="259"/>
        <v>0</v>
      </c>
      <c r="AM806" s="155">
        <f t="shared" si="260"/>
        <v>0</v>
      </c>
      <c r="AP806" s="63" t="str">
        <f t="shared" si="261"/>
        <v/>
      </c>
      <c r="AQ806" s="63" t="str">
        <f t="shared" si="262"/>
        <v/>
      </c>
      <c r="AR806" s="152" t="str">
        <f t="shared" si="263"/>
        <v/>
      </c>
      <c r="AS806" s="109" t="str">
        <f t="shared" si="264"/>
        <v/>
      </c>
      <c r="AT806" s="63" t="str">
        <f t="shared" si="265"/>
        <v xml:space="preserve">                    </v>
      </c>
    </row>
    <row r="807" spans="1:46" ht="12.75" x14ac:dyDescent="0.2">
      <c r="A807" s="63" t="str">
        <f t="shared" si="247"/>
        <v/>
      </c>
      <c r="B807" s="185"/>
      <c r="C807" s="185"/>
      <c r="D807" s="185"/>
      <c r="E807" s="185"/>
      <c r="F807" s="185"/>
      <c r="G807" s="185"/>
      <c r="H807" s="185"/>
      <c r="I807" s="186"/>
      <c r="J807" s="69"/>
      <c r="AA807" s="63">
        <f t="shared" si="248"/>
        <v>0</v>
      </c>
      <c r="AB807" s="153" t="str">
        <f t="shared" si="249"/>
        <v>000</v>
      </c>
      <c r="AC807" s="165" t="str">
        <f t="shared" si="250"/>
        <v>00000000</v>
      </c>
      <c r="AD807" s="98" t="str">
        <f t="shared" si="251"/>
        <v>00000000</v>
      </c>
      <c r="AE807" s="150">
        <f t="shared" si="252"/>
        <v>0</v>
      </c>
      <c r="AF807" s="150">
        <f t="shared" si="253"/>
        <v>0</v>
      </c>
      <c r="AG807" s="98" t="str">
        <f t="shared" si="254"/>
        <v>0000000000</v>
      </c>
      <c r="AH807" s="151">
        <f t="shared" si="255"/>
        <v>0</v>
      </c>
      <c r="AI807" s="98" t="str">
        <f t="shared" si="256"/>
        <v>00</v>
      </c>
      <c r="AJ807" s="98" t="str">
        <f t="shared" si="257"/>
        <v>000000000000</v>
      </c>
      <c r="AK807" s="161" t="str">
        <f t="shared" si="258"/>
        <v xml:space="preserve">                              </v>
      </c>
      <c r="AL807" s="154">
        <f t="shared" si="259"/>
        <v>0</v>
      </c>
      <c r="AM807" s="155">
        <f t="shared" si="260"/>
        <v>0</v>
      </c>
      <c r="AP807" s="63" t="str">
        <f t="shared" si="261"/>
        <v/>
      </c>
      <c r="AQ807" s="63" t="str">
        <f t="shared" si="262"/>
        <v/>
      </c>
      <c r="AR807" s="152" t="str">
        <f t="shared" si="263"/>
        <v/>
      </c>
      <c r="AS807" s="109" t="str">
        <f t="shared" si="264"/>
        <v/>
      </c>
      <c r="AT807" s="63" t="str">
        <f t="shared" si="265"/>
        <v xml:space="preserve">                    </v>
      </c>
    </row>
    <row r="808" spans="1:46" ht="12.75" x14ac:dyDescent="0.2">
      <c r="A808" s="63" t="str">
        <f t="shared" si="247"/>
        <v/>
      </c>
      <c r="B808" s="185"/>
      <c r="C808" s="185"/>
      <c r="D808" s="185"/>
      <c r="E808" s="185"/>
      <c r="F808" s="185"/>
      <c r="G808" s="185"/>
      <c r="H808" s="185"/>
      <c r="I808" s="186"/>
      <c r="J808" s="69"/>
      <c r="AA808" s="63">
        <f t="shared" si="248"/>
        <v>0</v>
      </c>
      <c r="AB808" s="153" t="str">
        <f t="shared" si="249"/>
        <v>000</v>
      </c>
      <c r="AC808" s="165" t="str">
        <f t="shared" si="250"/>
        <v>00000000</v>
      </c>
      <c r="AD808" s="98" t="str">
        <f t="shared" si="251"/>
        <v>00000000</v>
      </c>
      <c r="AE808" s="150">
        <f t="shared" si="252"/>
        <v>0</v>
      </c>
      <c r="AF808" s="150">
        <f t="shared" si="253"/>
        <v>0</v>
      </c>
      <c r="AG808" s="98" t="str">
        <f t="shared" si="254"/>
        <v>0000000000</v>
      </c>
      <c r="AH808" s="151">
        <f t="shared" si="255"/>
        <v>0</v>
      </c>
      <c r="AI808" s="98" t="str">
        <f t="shared" si="256"/>
        <v>00</v>
      </c>
      <c r="AJ808" s="98" t="str">
        <f t="shared" si="257"/>
        <v>000000000000</v>
      </c>
      <c r="AK808" s="161" t="str">
        <f t="shared" si="258"/>
        <v xml:space="preserve">                              </v>
      </c>
      <c r="AL808" s="154">
        <f t="shared" si="259"/>
        <v>0</v>
      </c>
      <c r="AM808" s="155">
        <f t="shared" si="260"/>
        <v>0</v>
      </c>
      <c r="AP808" s="63" t="str">
        <f t="shared" si="261"/>
        <v/>
      </c>
      <c r="AQ808" s="63" t="str">
        <f t="shared" si="262"/>
        <v/>
      </c>
      <c r="AR808" s="152" t="str">
        <f t="shared" si="263"/>
        <v/>
      </c>
      <c r="AS808" s="109" t="str">
        <f t="shared" si="264"/>
        <v/>
      </c>
      <c r="AT808" s="63" t="str">
        <f t="shared" si="265"/>
        <v xml:space="preserve">                    </v>
      </c>
    </row>
    <row r="809" spans="1:46" ht="12.75" x14ac:dyDescent="0.2">
      <c r="A809" s="63" t="str">
        <f t="shared" si="247"/>
        <v/>
      </c>
      <c r="B809" s="185"/>
      <c r="C809" s="185"/>
      <c r="D809" s="185"/>
      <c r="E809" s="185"/>
      <c r="F809" s="185"/>
      <c r="G809" s="185"/>
      <c r="H809" s="185"/>
      <c r="I809" s="186"/>
      <c r="J809" s="69"/>
      <c r="AA809" s="63">
        <f t="shared" si="248"/>
        <v>0</v>
      </c>
      <c r="AB809" s="153" t="str">
        <f t="shared" si="249"/>
        <v>000</v>
      </c>
      <c r="AC809" s="165" t="str">
        <f t="shared" si="250"/>
        <v>00000000</v>
      </c>
      <c r="AD809" s="98" t="str">
        <f t="shared" si="251"/>
        <v>00000000</v>
      </c>
      <c r="AE809" s="150">
        <f t="shared" si="252"/>
        <v>0</v>
      </c>
      <c r="AF809" s="150">
        <f t="shared" si="253"/>
        <v>0</v>
      </c>
      <c r="AG809" s="98" t="str">
        <f t="shared" si="254"/>
        <v>0000000000</v>
      </c>
      <c r="AH809" s="151">
        <f t="shared" si="255"/>
        <v>0</v>
      </c>
      <c r="AI809" s="98" t="str">
        <f t="shared" si="256"/>
        <v>00</v>
      </c>
      <c r="AJ809" s="98" t="str">
        <f t="shared" si="257"/>
        <v>000000000000</v>
      </c>
      <c r="AK809" s="161" t="str">
        <f t="shared" si="258"/>
        <v xml:space="preserve">                              </v>
      </c>
      <c r="AL809" s="154">
        <f t="shared" si="259"/>
        <v>0</v>
      </c>
      <c r="AM809" s="155">
        <f t="shared" si="260"/>
        <v>0</v>
      </c>
      <c r="AP809" s="63" t="str">
        <f t="shared" si="261"/>
        <v/>
      </c>
      <c r="AQ809" s="63" t="str">
        <f t="shared" si="262"/>
        <v/>
      </c>
      <c r="AR809" s="152" t="str">
        <f t="shared" si="263"/>
        <v/>
      </c>
      <c r="AS809" s="109" t="str">
        <f t="shared" si="264"/>
        <v/>
      </c>
      <c r="AT809" s="63" t="str">
        <f t="shared" si="265"/>
        <v xml:space="preserve">                    </v>
      </c>
    </row>
    <row r="810" spans="1:46" ht="12.75" x14ac:dyDescent="0.2">
      <c r="A810" s="63" t="str">
        <f t="shared" si="247"/>
        <v/>
      </c>
      <c r="B810" s="185"/>
      <c r="C810" s="185"/>
      <c r="D810" s="185"/>
      <c r="E810" s="185"/>
      <c r="F810" s="185"/>
      <c r="G810" s="185"/>
      <c r="H810" s="185"/>
      <c r="I810" s="186"/>
      <c r="J810" s="69"/>
      <c r="AA810" s="63">
        <f t="shared" si="248"/>
        <v>0</v>
      </c>
      <c r="AB810" s="153" t="str">
        <f t="shared" si="249"/>
        <v>000</v>
      </c>
      <c r="AC810" s="165" t="str">
        <f t="shared" si="250"/>
        <v>00000000</v>
      </c>
      <c r="AD810" s="98" t="str">
        <f t="shared" si="251"/>
        <v>00000000</v>
      </c>
      <c r="AE810" s="150">
        <f t="shared" si="252"/>
        <v>0</v>
      </c>
      <c r="AF810" s="150">
        <f t="shared" si="253"/>
        <v>0</v>
      </c>
      <c r="AG810" s="98" t="str">
        <f t="shared" si="254"/>
        <v>0000000000</v>
      </c>
      <c r="AH810" s="151">
        <f t="shared" si="255"/>
        <v>0</v>
      </c>
      <c r="AI810" s="98" t="str">
        <f t="shared" si="256"/>
        <v>00</v>
      </c>
      <c r="AJ810" s="98" t="str">
        <f t="shared" si="257"/>
        <v>000000000000</v>
      </c>
      <c r="AK810" s="161" t="str">
        <f t="shared" si="258"/>
        <v xml:space="preserve">                              </v>
      </c>
      <c r="AL810" s="154">
        <f t="shared" si="259"/>
        <v>0</v>
      </c>
      <c r="AM810" s="155">
        <f t="shared" si="260"/>
        <v>0</v>
      </c>
      <c r="AP810" s="63" t="str">
        <f t="shared" si="261"/>
        <v/>
      </c>
      <c r="AQ810" s="63" t="str">
        <f t="shared" si="262"/>
        <v/>
      </c>
      <c r="AR810" s="152" t="str">
        <f t="shared" si="263"/>
        <v/>
      </c>
      <c r="AS810" s="109" t="str">
        <f t="shared" si="264"/>
        <v/>
      </c>
      <c r="AT810" s="63" t="str">
        <f t="shared" si="265"/>
        <v xml:space="preserve">                    </v>
      </c>
    </row>
    <row r="811" spans="1:46" ht="12.75" x14ac:dyDescent="0.2">
      <c r="A811" s="63" t="str">
        <f t="shared" si="247"/>
        <v/>
      </c>
      <c r="B811" s="185"/>
      <c r="C811" s="185"/>
      <c r="D811" s="185"/>
      <c r="E811" s="185"/>
      <c r="F811" s="185"/>
      <c r="G811" s="185"/>
      <c r="H811" s="185"/>
      <c r="I811" s="186"/>
      <c r="J811" s="69"/>
      <c r="AA811" s="63">
        <f t="shared" si="248"/>
        <v>0</v>
      </c>
      <c r="AB811" s="153" t="str">
        <f t="shared" si="249"/>
        <v>000</v>
      </c>
      <c r="AC811" s="165" t="str">
        <f t="shared" si="250"/>
        <v>00000000</v>
      </c>
      <c r="AD811" s="98" t="str">
        <f t="shared" si="251"/>
        <v>00000000</v>
      </c>
      <c r="AE811" s="150">
        <f t="shared" si="252"/>
        <v>0</v>
      </c>
      <c r="AF811" s="150">
        <f t="shared" si="253"/>
        <v>0</v>
      </c>
      <c r="AG811" s="98" t="str">
        <f t="shared" si="254"/>
        <v>0000000000</v>
      </c>
      <c r="AH811" s="151">
        <f t="shared" si="255"/>
        <v>0</v>
      </c>
      <c r="AI811" s="98" t="str">
        <f t="shared" si="256"/>
        <v>00</v>
      </c>
      <c r="AJ811" s="98" t="str">
        <f t="shared" si="257"/>
        <v>000000000000</v>
      </c>
      <c r="AK811" s="161" t="str">
        <f t="shared" si="258"/>
        <v xml:space="preserve">                              </v>
      </c>
      <c r="AL811" s="154">
        <f t="shared" si="259"/>
        <v>0</v>
      </c>
      <c r="AM811" s="155">
        <f t="shared" si="260"/>
        <v>0</v>
      </c>
      <c r="AP811" s="63" t="str">
        <f t="shared" si="261"/>
        <v/>
      </c>
      <c r="AQ811" s="63" t="str">
        <f t="shared" si="262"/>
        <v/>
      </c>
      <c r="AR811" s="152" t="str">
        <f t="shared" si="263"/>
        <v/>
      </c>
      <c r="AS811" s="109" t="str">
        <f t="shared" si="264"/>
        <v/>
      </c>
      <c r="AT811" s="63" t="str">
        <f t="shared" si="265"/>
        <v xml:space="preserve">                    </v>
      </c>
    </row>
    <row r="812" spans="1:46" ht="12.75" x14ac:dyDescent="0.2">
      <c r="A812" s="63" t="str">
        <f t="shared" si="247"/>
        <v/>
      </c>
      <c r="B812" s="185"/>
      <c r="C812" s="185"/>
      <c r="D812" s="185"/>
      <c r="E812" s="185"/>
      <c r="F812" s="185"/>
      <c r="G812" s="185"/>
      <c r="H812" s="185"/>
      <c r="I812" s="186"/>
      <c r="J812" s="69"/>
      <c r="AA812" s="63">
        <f t="shared" si="248"/>
        <v>0</v>
      </c>
      <c r="AB812" s="153" t="str">
        <f t="shared" si="249"/>
        <v>000</v>
      </c>
      <c r="AC812" s="165" t="str">
        <f t="shared" si="250"/>
        <v>00000000</v>
      </c>
      <c r="AD812" s="98" t="str">
        <f t="shared" si="251"/>
        <v>00000000</v>
      </c>
      <c r="AE812" s="150">
        <f t="shared" si="252"/>
        <v>0</v>
      </c>
      <c r="AF812" s="150">
        <f t="shared" si="253"/>
        <v>0</v>
      </c>
      <c r="AG812" s="98" t="str">
        <f t="shared" si="254"/>
        <v>0000000000</v>
      </c>
      <c r="AH812" s="151">
        <f t="shared" si="255"/>
        <v>0</v>
      </c>
      <c r="AI812" s="98" t="str">
        <f t="shared" si="256"/>
        <v>00</v>
      </c>
      <c r="AJ812" s="98" t="str">
        <f t="shared" si="257"/>
        <v>000000000000</v>
      </c>
      <c r="AK812" s="161" t="str">
        <f t="shared" si="258"/>
        <v xml:space="preserve">                              </v>
      </c>
      <c r="AL812" s="154">
        <f t="shared" si="259"/>
        <v>0</v>
      </c>
      <c r="AM812" s="155">
        <f t="shared" si="260"/>
        <v>0</v>
      </c>
      <c r="AP812" s="63" t="str">
        <f t="shared" si="261"/>
        <v/>
      </c>
      <c r="AQ812" s="63" t="str">
        <f t="shared" si="262"/>
        <v/>
      </c>
      <c r="AR812" s="152" t="str">
        <f t="shared" si="263"/>
        <v/>
      </c>
      <c r="AS812" s="109" t="str">
        <f t="shared" si="264"/>
        <v/>
      </c>
      <c r="AT812" s="63" t="str">
        <f t="shared" si="265"/>
        <v xml:space="preserve">                    </v>
      </c>
    </row>
    <row r="813" spans="1:46" ht="12.75" x14ac:dyDescent="0.2">
      <c r="A813" s="63" t="str">
        <f t="shared" si="247"/>
        <v/>
      </c>
      <c r="B813" s="185"/>
      <c r="C813" s="185"/>
      <c r="D813" s="185"/>
      <c r="E813" s="185"/>
      <c r="F813" s="185"/>
      <c r="G813" s="185"/>
      <c r="H813" s="185"/>
      <c r="I813" s="186"/>
      <c r="J813" s="69"/>
      <c r="AA813" s="63">
        <f t="shared" si="248"/>
        <v>0</v>
      </c>
      <c r="AB813" s="153" t="str">
        <f t="shared" si="249"/>
        <v>000</v>
      </c>
      <c r="AC813" s="165" t="str">
        <f t="shared" si="250"/>
        <v>00000000</v>
      </c>
      <c r="AD813" s="98" t="str">
        <f t="shared" si="251"/>
        <v>00000000</v>
      </c>
      <c r="AE813" s="150">
        <f t="shared" si="252"/>
        <v>0</v>
      </c>
      <c r="AF813" s="150">
        <f t="shared" si="253"/>
        <v>0</v>
      </c>
      <c r="AG813" s="98" t="str">
        <f t="shared" si="254"/>
        <v>0000000000</v>
      </c>
      <c r="AH813" s="151">
        <f t="shared" si="255"/>
        <v>0</v>
      </c>
      <c r="AI813" s="98" t="str">
        <f t="shared" si="256"/>
        <v>00</v>
      </c>
      <c r="AJ813" s="98" t="str">
        <f t="shared" si="257"/>
        <v>000000000000</v>
      </c>
      <c r="AK813" s="161" t="str">
        <f t="shared" si="258"/>
        <v xml:space="preserve">                              </v>
      </c>
      <c r="AL813" s="154">
        <f t="shared" si="259"/>
        <v>0</v>
      </c>
      <c r="AM813" s="155">
        <f t="shared" si="260"/>
        <v>0</v>
      </c>
      <c r="AP813" s="63" t="str">
        <f t="shared" si="261"/>
        <v/>
      </c>
      <c r="AQ813" s="63" t="str">
        <f t="shared" si="262"/>
        <v/>
      </c>
      <c r="AR813" s="152" t="str">
        <f t="shared" si="263"/>
        <v/>
      </c>
      <c r="AS813" s="109" t="str">
        <f t="shared" si="264"/>
        <v/>
      </c>
      <c r="AT813" s="63" t="str">
        <f t="shared" si="265"/>
        <v xml:space="preserve">                    </v>
      </c>
    </row>
    <row r="814" spans="1:46" ht="12.75" x14ac:dyDescent="0.2">
      <c r="A814" s="63" t="str">
        <f t="shared" si="247"/>
        <v/>
      </c>
      <c r="B814" s="185"/>
      <c r="C814" s="185"/>
      <c r="D814" s="185"/>
      <c r="E814" s="185"/>
      <c r="F814" s="185"/>
      <c r="G814" s="185"/>
      <c r="H814" s="185"/>
      <c r="I814" s="186"/>
      <c r="J814" s="69"/>
      <c r="AA814" s="63">
        <f t="shared" si="248"/>
        <v>0</v>
      </c>
      <c r="AB814" s="153" t="str">
        <f t="shared" si="249"/>
        <v>000</v>
      </c>
      <c r="AC814" s="165" t="str">
        <f t="shared" si="250"/>
        <v>00000000</v>
      </c>
      <c r="AD814" s="98" t="str">
        <f t="shared" si="251"/>
        <v>00000000</v>
      </c>
      <c r="AE814" s="150">
        <f t="shared" si="252"/>
        <v>0</v>
      </c>
      <c r="AF814" s="150">
        <f t="shared" si="253"/>
        <v>0</v>
      </c>
      <c r="AG814" s="98" t="str">
        <f t="shared" si="254"/>
        <v>0000000000</v>
      </c>
      <c r="AH814" s="151">
        <f t="shared" si="255"/>
        <v>0</v>
      </c>
      <c r="AI814" s="98" t="str">
        <f t="shared" si="256"/>
        <v>00</v>
      </c>
      <c r="AJ814" s="98" t="str">
        <f t="shared" si="257"/>
        <v>000000000000</v>
      </c>
      <c r="AK814" s="161" t="str">
        <f t="shared" si="258"/>
        <v xml:space="preserve">                              </v>
      </c>
      <c r="AL814" s="154">
        <f t="shared" si="259"/>
        <v>0</v>
      </c>
      <c r="AM814" s="155">
        <f t="shared" si="260"/>
        <v>0</v>
      </c>
      <c r="AP814" s="63" t="str">
        <f t="shared" si="261"/>
        <v/>
      </c>
      <c r="AQ814" s="63" t="str">
        <f t="shared" si="262"/>
        <v/>
      </c>
      <c r="AR814" s="152" t="str">
        <f t="shared" si="263"/>
        <v/>
      </c>
      <c r="AS814" s="109" t="str">
        <f t="shared" si="264"/>
        <v/>
      </c>
      <c r="AT814" s="63" t="str">
        <f t="shared" si="265"/>
        <v xml:space="preserve">                    </v>
      </c>
    </row>
    <row r="815" spans="1:46" ht="12.75" x14ac:dyDescent="0.2">
      <c r="A815" s="63" t="str">
        <f t="shared" si="247"/>
        <v/>
      </c>
      <c r="B815" s="185"/>
      <c r="C815" s="185"/>
      <c r="D815" s="185"/>
      <c r="E815" s="185"/>
      <c r="F815" s="185"/>
      <c r="G815" s="185"/>
      <c r="H815" s="185"/>
      <c r="I815" s="186"/>
      <c r="J815" s="69"/>
      <c r="AA815" s="63">
        <f t="shared" si="248"/>
        <v>0</v>
      </c>
      <c r="AB815" s="153" t="str">
        <f t="shared" si="249"/>
        <v>000</v>
      </c>
      <c r="AC815" s="165" t="str">
        <f t="shared" si="250"/>
        <v>00000000</v>
      </c>
      <c r="AD815" s="98" t="str">
        <f t="shared" si="251"/>
        <v>00000000</v>
      </c>
      <c r="AE815" s="150">
        <f t="shared" si="252"/>
        <v>0</v>
      </c>
      <c r="AF815" s="150">
        <f t="shared" si="253"/>
        <v>0</v>
      </c>
      <c r="AG815" s="98" t="str">
        <f t="shared" si="254"/>
        <v>0000000000</v>
      </c>
      <c r="AH815" s="151">
        <f t="shared" si="255"/>
        <v>0</v>
      </c>
      <c r="AI815" s="98" t="str">
        <f t="shared" si="256"/>
        <v>00</v>
      </c>
      <c r="AJ815" s="98" t="str">
        <f t="shared" si="257"/>
        <v>000000000000</v>
      </c>
      <c r="AK815" s="161" t="str">
        <f t="shared" si="258"/>
        <v xml:space="preserve">                              </v>
      </c>
      <c r="AL815" s="154">
        <f t="shared" si="259"/>
        <v>0</v>
      </c>
      <c r="AM815" s="155">
        <f t="shared" si="260"/>
        <v>0</v>
      </c>
      <c r="AP815" s="63" t="str">
        <f t="shared" si="261"/>
        <v/>
      </c>
      <c r="AQ815" s="63" t="str">
        <f t="shared" si="262"/>
        <v/>
      </c>
      <c r="AR815" s="152" t="str">
        <f t="shared" si="263"/>
        <v/>
      </c>
      <c r="AS815" s="109" t="str">
        <f t="shared" si="264"/>
        <v/>
      </c>
      <c r="AT815" s="63" t="str">
        <f t="shared" si="265"/>
        <v xml:space="preserve">                    </v>
      </c>
    </row>
    <row r="816" spans="1:46" ht="12.75" x14ac:dyDescent="0.2">
      <c r="A816" s="63" t="str">
        <f t="shared" si="247"/>
        <v/>
      </c>
      <c r="B816" s="185"/>
      <c r="C816" s="185"/>
      <c r="D816" s="185"/>
      <c r="E816" s="185"/>
      <c r="F816" s="185"/>
      <c r="G816" s="185"/>
      <c r="H816" s="185"/>
      <c r="I816" s="186"/>
      <c r="J816" s="69"/>
      <c r="AA816" s="63">
        <f t="shared" si="248"/>
        <v>0</v>
      </c>
      <c r="AB816" s="153" t="str">
        <f t="shared" si="249"/>
        <v>000</v>
      </c>
      <c r="AC816" s="165" t="str">
        <f t="shared" si="250"/>
        <v>00000000</v>
      </c>
      <c r="AD816" s="98" t="str">
        <f t="shared" si="251"/>
        <v>00000000</v>
      </c>
      <c r="AE816" s="150">
        <f t="shared" si="252"/>
        <v>0</v>
      </c>
      <c r="AF816" s="150">
        <f t="shared" si="253"/>
        <v>0</v>
      </c>
      <c r="AG816" s="98" t="str">
        <f t="shared" si="254"/>
        <v>0000000000</v>
      </c>
      <c r="AH816" s="151">
        <f t="shared" si="255"/>
        <v>0</v>
      </c>
      <c r="AI816" s="98" t="str">
        <f t="shared" si="256"/>
        <v>00</v>
      </c>
      <c r="AJ816" s="98" t="str">
        <f t="shared" si="257"/>
        <v>000000000000</v>
      </c>
      <c r="AK816" s="161" t="str">
        <f t="shared" si="258"/>
        <v xml:space="preserve">                              </v>
      </c>
      <c r="AL816" s="154">
        <f t="shared" si="259"/>
        <v>0</v>
      </c>
      <c r="AM816" s="155">
        <f t="shared" si="260"/>
        <v>0</v>
      </c>
      <c r="AP816" s="63" t="str">
        <f t="shared" si="261"/>
        <v/>
      </c>
      <c r="AQ816" s="63" t="str">
        <f t="shared" si="262"/>
        <v/>
      </c>
      <c r="AR816" s="152" t="str">
        <f t="shared" si="263"/>
        <v/>
      </c>
      <c r="AS816" s="109" t="str">
        <f t="shared" si="264"/>
        <v/>
      </c>
      <c r="AT816" s="63" t="str">
        <f t="shared" si="265"/>
        <v xml:space="preserve">                    </v>
      </c>
    </row>
    <row r="817" spans="1:46" ht="12.75" x14ac:dyDescent="0.2">
      <c r="A817" s="63" t="str">
        <f t="shared" si="247"/>
        <v/>
      </c>
      <c r="B817" s="185"/>
      <c r="C817" s="185"/>
      <c r="D817" s="185"/>
      <c r="E817" s="185"/>
      <c r="F817" s="185"/>
      <c r="G817" s="185"/>
      <c r="H817" s="185"/>
      <c r="I817" s="186"/>
      <c r="J817" s="69"/>
      <c r="AA817" s="63">
        <f t="shared" si="248"/>
        <v>0</v>
      </c>
      <c r="AB817" s="153" t="str">
        <f t="shared" si="249"/>
        <v>000</v>
      </c>
      <c r="AC817" s="165" t="str">
        <f t="shared" si="250"/>
        <v>00000000</v>
      </c>
      <c r="AD817" s="98" t="str">
        <f t="shared" si="251"/>
        <v>00000000</v>
      </c>
      <c r="AE817" s="150">
        <f t="shared" si="252"/>
        <v>0</v>
      </c>
      <c r="AF817" s="150">
        <f t="shared" si="253"/>
        <v>0</v>
      </c>
      <c r="AG817" s="98" t="str">
        <f t="shared" si="254"/>
        <v>0000000000</v>
      </c>
      <c r="AH817" s="151">
        <f t="shared" si="255"/>
        <v>0</v>
      </c>
      <c r="AI817" s="98" t="str">
        <f t="shared" si="256"/>
        <v>00</v>
      </c>
      <c r="AJ817" s="98" t="str">
        <f t="shared" si="257"/>
        <v>000000000000</v>
      </c>
      <c r="AK817" s="161" t="str">
        <f t="shared" si="258"/>
        <v xml:space="preserve">                              </v>
      </c>
      <c r="AL817" s="154">
        <f t="shared" si="259"/>
        <v>0</v>
      </c>
      <c r="AM817" s="155">
        <f t="shared" si="260"/>
        <v>0</v>
      </c>
      <c r="AP817" s="63" t="str">
        <f t="shared" si="261"/>
        <v/>
      </c>
      <c r="AQ817" s="63" t="str">
        <f t="shared" si="262"/>
        <v/>
      </c>
      <c r="AR817" s="152" t="str">
        <f t="shared" si="263"/>
        <v/>
      </c>
      <c r="AS817" s="109" t="str">
        <f t="shared" si="264"/>
        <v/>
      </c>
      <c r="AT817" s="63" t="str">
        <f t="shared" si="265"/>
        <v xml:space="preserve">                    </v>
      </c>
    </row>
    <row r="818" spans="1:46" ht="12.75" x14ac:dyDescent="0.2">
      <c r="A818" s="63" t="str">
        <f t="shared" si="247"/>
        <v/>
      </c>
      <c r="B818" s="185"/>
      <c r="C818" s="185"/>
      <c r="D818" s="185"/>
      <c r="E818" s="185"/>
      <c r="F818" s="185"/>
      <c r="G818" s="185"/>
      <c r="H818" s="185"/>
      <c r="I818" s="186"/>
      <c r="J818" s="69"/>
      <c r="AA818" s="63">
        <f t="shared" si="248"/>
        <v>0</v>
      </c>
      <c r="AB818" s="153" t="str">
        <f t="shared" si="249"/>
        <v>000</v>
      </c>
      <c r="AC818" s="165" t="str">
        <f t="shared" si="250"/>
        <v>00000000</v>
      </c>
      <c r="AD818" s="98" t="str">
        <f t="shared" si="251"/>
        <v>00000000</v>
      </c>
      <c r="AE818" s="150">
        <f t="shared" si="252"/>
        <v>0</v>
      </c>
      <c r="AF818" s="150">
        <f t="shared" si="253"/>
        <v>0</v>
      </c>
      <c r="AG818" s="98" t="str">
        <f t="shared" si="254"/>
        <v>0000000000</v>
      </c>
      <c r="AH818" s="151">
        <f t="shared" si="255"/>
        <v>0</v>
      </c>
      <c r="AI818" s="98" t="str">
        <f t="shared" si="256"/>
        <v>00</v>
      </c>
      <c r="AJ818" s="98" t="str">
        <f t="shared" si="257"/>
        <v>000000000000</v>
      </c>
      <c r="AK818" s="161" t="str">
        <f t="shared" si="258"/>
        <v xml:space="preserve">                              </v>
      </c>
      <c r="AL818" s="154">
        <f t="shared" si="259"/>
        <v>0</v>
      </c>
      <c r="AM818" s="155">
        <f t="shared" si="260"/>
        <v>0</v>
      </c>
      <c r="AP818" s="63" t="str">
        <f t="shared" si="261"/>
        <v/>
      </c>
      <c r="AQ818" s="63" t="str">
        <f t="shared" si="262"/>
        <v/>
      </c>
      <c r="AR818" s="152" t="str">
        <f t="shared" si="263"/>
        <v/>
      </c>
      <c r="AS818" s="109" t="str">
        <f t="shared" si="264"/>
        <v/>
      </c>
      <c r="AT818" s="63" t="str">
        <f t="shared" si="265"/>
        <v xml:space="preserve">                    </v>
      </c>
    </row>
    <row r="819" spans="1:46" ht="12.75" x14ac:dyDescent="0.2">
      <c r="A819" s="63" t="str">
        <f t="shared" si="247"/>
        <v/>
      </c>
      <c r="B819" s="185"/>
      <c r="C819" s="185"/>
      <c r="D819" s="185"/>
      <c r="E819" s="185"/>
      <c r="F819" s="185"/>
      <c r="G819" s="185"/>
      <c r="H819" s="185"/>
      <c r="I819" s="186"/>
      <c r="J819" s="69"/>
      <c r="AA819" s="63">
        <f t="shared" si="248"/>
        <v>0</v>
      </c>
      <c r="AB819" s="153" t="str">
        <f t="shared" si="249"/>
        <v>000</v>
      </c>
      <c r="AC819" s="165" t="str">
        <f t="shared" si="250"/>
        <v>00000000</v>
      </c>
      <c r="AD819" s="98" t="str">
        <f t="shared" si="251"/>
        <v>00000000</v>
      </c>
      <c r="AE819" s="150">
        <f t="shared" si="252"/>
        <v>0</v>
      </c>
      <c r="AF819" s="150">
        <f t="shared" si="253"/>
        <v>0</v>
      </c>
      <c r="AG819" s="98" t="str">
        <f t="shared" si="254"/>
        <v>0000000000</v>
      </c>
      <c r="AH819" s="151">
        <f t="shared" si="255"/>
        <v>0</v>
      </c>
      <c r="AI819" s="98" t="str">
        <f t="shared" si="256"/>
        <v>00</v>
      </c>
      <c r="AJ819" s="98" t="str">
        <f t="shared" si="257"/>
        <v>000000000000</v>
      </c>
      <c r="AK819" s="161" t="str">
        <f t="shared" si="258"/>
        <v xml:space="preserve">                              </v>
      </c>
      <c r="AL819" s="154">
        <f t="shared" si="259"/>
        <v>0</v>
      </c>
      <c r="AM819" s="155">
        <f t="shared" si="260"/>
        <v>0</v>
      </c>
      <c r="AP819" s="63" t="str">
        <f t="shared" si="261"/>
        <v/>
      </c>
      <c r="AQ819" s="63" t="str">
        <f t="shared" si="262"/>
        <v/>
      </c>
      <c r="AR819" s="152" t="str">
        <f t="shared" si="263"/>
        <v/>
      </c>
      <c r="AS819" s="109" t="str">
        <f t="shared" si="264"/>
        <v/>
      </c>
      <c r="AT819" s="63" t="str">
        <f t="shared" si="265"/>
        <v xml:space="preserve">                    </v>
      </c>
    </row>
    <row r="820" spans="1:46" ht="12.75" x14ac:dyDescent="0.2">
      <c r="A820" s="63" t="str">
        <f t="shared" si="247"/>
        <v/>
      </c>
      <c r="B820" s="185"/>
      <c r="C820" s="185"/>
      <c r="D820" s="185"/>
      <c r="E820" s="185"/>
      <c r="F820" s="185"/>
      <c r="G820" s="185"/>
      <c r="H820" s="185"/>
      <c r="I820" s="186"/>
      <c r="J820" s="69"/>
      <c r="AA820" s="63">
        <f t="shared" si="248"/>
        <v>0</v>
      </c>
      <c r="AB820" s="153" t="str">
        <f t="shared" si="249"/>
        <v>000</v>
      </c>
      <c r="AC820" s="165" t="str">
        <f t="shared" si="250"/>
        <v>00000000</v>
      </c>
      <c r="AD820" s="98" t="str">
        <f t="shared" si="251"/>
        <v>00000000</v>
      </c>
      <c r="AE820" s="150">
        <f t="shared" si="252"/>
        <v>0</v>
      </c>
      <c r="AF820" s="150">
        <f t="shared" si="253"/>
        <v>0</v>
      </c>
      <c r="AG820" s="98" t="str">
        <f t="shared" si="254"/>
        <v>0000000000</v>
      </c>
      <c r="AH820" s="151">
        <f t="shared" si="255"/>
        <v>0</v>
      </c>
      <c r="AI820" s="98" t="str">
        <f t="shared" si="256"/>
        <v>00</v>
      </c>
      <c r="AJ820" s="98" t="str">
        <f t="shared" si="257"/>
        <v>000000000000</v>
      </c>
      <c r="AK820" s="161" t="str">
        <f t="shared" si="258"/>
        <v xml:space="preserve">                              </v>
      </c>
      <c r="AL820" s="154">
        <f t="shared" si="259"/>
        <v>0</v>
      </c>
      <c r="AM820" s="155">
        <f t="shared" si="260"/>
        <v>0</v>
      </c>
      <c r="AP820" s="63" t="str">
        <f t="shared" si="261"/>
        <v/>
      </c>
      <c r="AQ820" s="63" t="str">
        <f t="shared" si="262"/>
        <v/>
      </c>
      <c r="AR820" s="152" t="str">
        <f t="shared" si="263"/>
        <v/>
      </c>
      <c r="AS820" s="109" t="str">
        <f t="shared" si="264"/>
        <v/>
      </c>
      <c r="AT820" s="63" t="str">
        <f t="shared" si="265"/>
        <v xml:space="preserve">                    </v>
      </c>
    </row>
    <row r="821" spans="1:46" ht="12.75" x14ac:dyDescent="0.2">
      <c r="A821" s="63" t="str">
        <f t="shared" si="247"/>
        <v/>
      </c>
      <c r="B821" s="185"/>
      <c r="C821" s="185"/>
      <c r="D821" s="185"/>
      <c r="E821" s="185"/>
      <c r="F821" s="185"/>
      <c r="G821" s="185"/>
      <c r="H821" s="185"/>
      <c r="I821" s="186"/>
      <c r="J821" s="69"/>
      <c r="AA821" s="63">
        <f t="shared" si="248"/>
        <v>0</v>
      </c>
      <c r="AB821" s="153" t="str">
        <f t="shared" si="249"/>
        <v>000</v>
      </c>
      <c r="AC821" s="165" t="str">
        <f t="shared" si="250"/>
        <v>00000000</v>
      </c>
      <c r="AD821" s="98" t="str">
        <f t="shared" si="251"/>
        <v>00000000</v>
      </c>
      <c r="AE821" s="150">
        <f t="shared" si="252"/>
        <v>0</v>
      </c>
      <c r="AF821" s="150">
        <f t="shared" si="253"/>
        <v>0</v>
      </c>
      <c r="AG821" s="98" t="str">
        <f t="shared" si="254"/>
        <v>0000000000</v>
      </c>
      <c r="AH821" s="151">
        <f t="shared" si="255"/>
        <v>0</v>
      </c>
      <c r="AI821" s="98" t="str">
        <f t="shared" si="256"/>
        <v>00</v>
      </c>
      <c r="AJ821" s="98" t="str">
        <f t="shared" si="257"/>
        <v>000000000000</v>
      </c>
      <c r="AK821" s="161" t="str">
        <f t="shared" si="258"/>
        <v xml:space="preserve">                              </v>
      </c>
      <c r="AL821" s="154">
        <f t="shared" si="259"/>
        <v>0</v>
      </c>
      <c r="AM821" s="155">
        <f t="shared" si="260"/>
        <v>0</v>
      </c>
      <c r="AP821" s="63" t="str">
        <f t="shared" si="261"/>
        <v/>
      </c>
      <c r="AQ821" s="63" t="str">
        <f t="shared" si="262"/>
        <v/>
      </c>
      <c r="AR821" s="152" t="str">
        <f t="shared" si="263"/>
        <v/>
      </c>
      <c r="AS821" s="109" t="str">
        <f t="shared" si="264"/>
        <v/>
      </c>
      <c r="AT821" s="63" t="str">
        <f t="shared" si="265"/>
        <v xml:space="preserve">                    </v>
      </c>
    </row>
    <row r="822" spans="1:46" ht="12.75" x14ac:dyDescent="0.2">
      <c r="A822" s="63" t="str">
        <f t="shared" si="247"/>
        <v/>
      </c>
      <c r="B822" s="185"/>
      <c r="C822" s="185"/>
      <c r="D822" s="185"/>
      <c r="E822" s="185"/>
      <c r="F822" s="185"/>
      <c r="G822" s="185"/>
      <c r="H822" s="185"/>
      <c r="I822" s="186"/>
      <c r="J822" s="69"/>
      <c r="AA822" s="63">
        <f t="shared" si="248"/>
        <v>0</v>
      </c>
      <c r="AB822" s="153" t="str">
        <f t="shared" si="249"/>
        <v>000</v>
      </c>
      <c r="AC822" s="165" t="str">
        <f t="shared" si="250"/>
        <v>00000000</v>
      </c>
      <c r="AD822" s="98" t="str">
        <f t="shared" si="251"/>
        <v>00000000</v>
      </c>
      <c r="AE822" s="150">
        <f t="shared" si="252"/>
        <v>0</v>
      </c>
      <c r="AF822" s="150">
        <f t="shared" si="253"/>
        <v>0</v>
      </c>
      <c r="AG822" s="98" t="str">
        <f t="shared" si="254"/>
        <v>0000000000</v>
      </c>
      <c r="AH822" s="151">
        <f t="shared" si="255"/>
        <v>0</v>
      </c>
      <c r="AI822" s="98" t="str">
        <f t="shared" si="256"/>
        <v>00</v>
      </c>
      <c r="AJ822" s="98" t="str">
        <f t="shared" si="257"/>
        <v>000000000000</v>
      </c>
      <c r="AK822" s="161" t="str">
        <f t="shared" si="258"/>
        <v xml:space="preserve">                              </v>
      </c>
      <c r="AL822" s="154">
        <f t="shared" si="259"/>
        <v>0</v>
      </c>
      <c r="AM822" s="155">
        <f t="shared" si="260"/>
        <v>0</v>
      </c>
      <c r="AP822" s="63" t="str">
        <f t="shared" si="261"/>
        <v/>
      </c>
      <c r="AQ822" s="63" t="str">
        <f t="shared" si="262"/>
        <v/>
      </c>
      <c r="AR822" s="152" t="str">
        <f t="shared" si="263"/>
        <v/>
      </c>
      <c r="AS822" s="109" t="str">
        <f t="shared" si="264"/>
        <v/>
      </c>
      <c r="AT822" s="63" t="str">
        <f t="shared" si="265"/>
        <v xml:space="preserve">                    </v>
      </c>
    </row>
    <row r="823" spans="1:46" ht="12.75" x14ac:dyDescent="0.2">
      <c r="A823" s="63" t="str">
        <f t="shared" si="247"/>
        <v/>
      </c>
      <c r="B823" s="185"/>
      <c r="C823" s="185"/>
      <c r="D823" s="185"/>
      <c r="E823" s="185"/>
      <c r="F823" s="185"/>
      <c r="G823" s="185"/>
      <c r="H823" s="185"/>
      <c r="I823" s="186"/>
      <c r="J823" s="69"/>
      <c r="AA823" s="63">
        <f t="shared" si="248"/>
        <v>0</v>
      </c>
      <c r="AB823" s="153" t="str">
        <f t="shared" si="249"/>
        <v>000</v>
      </c>
      <c r="AC823" s="165" t="str">
        <f t="shared" si="250"/>
        <v>00000000</v>
      </c>
      <c r="AD823" s="98" t="str">
        <f t="shared" si="251"/>
        <v>00000000</v>
      </c>
      <c r="AE823" s="150">
        <f t="shared" si="252"/>
        <v>0</v>
      </c>
      <c r="AF823" s="150">
        <f t="shared" si="253"/>
        <v>0</v>
      </c>
      <c r="AG823" s="98" t="str">
        <f t="shared" si="254"/>
        <v>0000000000</v>
      </c>
      <c r="AH823" s="151">
        <f t="shared" si="255"/>
        <v>0</v>
      </c>
      <c r="AI823" s="98" t="str">
        <f t="shared" si="256"/>
        <v>00</v>
      </c>
      <c r="AJ823" s="98" t="str">
        <f t="shared" si="257"/>
        <v>000000000000</v>
      </c>
      <c r="AK823" s="161" t="str">
        <f t="shared" si="258"/>
        <v xml:space="preserve">                              </v>
      </c>
      <c r="AL823" s="154">
        <f t="shared" si="259"/>
        <v>0</v>
      </c>
      <c r="AM823" s="155">
        <f t="shared" si="260"/>
        <v>0</v>
      </c>
      <c r="AP823" s="63" t="str">
        <f t="shared" si="261"/>
        <v/>
      </c>
      <c r="AQ823" s="63" t="str">
        <f t="shared" si="262"/>
        <v/>
      </c>
      <c r="AR823" s="152" t="str">
        <f t="shared" si="263"/>
        <v/>
      </c>
      <c r="AS823" s="109" t="str">
        <f t="shared" si="264"/>
        <v/>
      </c>
      <c r="AT823" s="63" t="str">
        <f t="shared" si="265"/>
        <v xml:space="preserve">                    </v>
      </c>
    </row>
    <row r="824" spans="1:46" ht="12.75" x14ac:dyDescent="0.2">
      <c r="A824" s="63" t="str">
        <f t="shared" si="247"/>
        <v/>
      </c>
      <c r="B824" s="185"/>
      <c r="C824" s="185"/>
      <c r="D824" s="185"/>
      <c r="E824" s="185"/>
      <c r="F824" s="185"/>
      <c r="G824" s="185"/>
      <c r="H824" s="185"/>
      <c r="I824" s="186"/>
      <c r="J824" s="69"/>
      <c r="AA824" s="63">
        <f t="shared" si="248"/>
        <v>0</v>
      </c>
      <c r="AB824" s="153" t="str">
        <f t="shared" si="249"/>
        <v>000</v>
      </c>
      <c r="AC824" s="165" t="str">
        <f t="shared" si="250"/>
        <v>00000000</v>
      </c>
      <c r="AD824" s="98" t="str">
        <f t="shared" si="251"/>
        <v>00000000</v>
      </c>
      <c r="AE824" s="150">
        <f t="shared" si="252"/>
        <v>0</v>
      </c>
      <c r="AF824" s="150">
        <f t="shared" si="253"/>
        <v>0</v>
      </c>
      <c r="AG824" s="98" t="str">
        <f t="shared" si="254"/>
        <v>0000000000</v>
      </c>
      <c r="AH824" s="151">
        <f t="shared" si="255"/>
        <v>0</v>
      </c>
      <c r="AI824" s="98" t="str">
        <f t="shared" si="256"/>
        <v>00</v>
      </c>
      <c r="AJ824" s="98" t="str">
        <f t="shared" si="257"/>
        <v>000000000000</v>
      </c>
      <c r="AK824" s="161" t="str">
        <f t="shared" si="258"/>
        <v xml:space="preserve">                              </v>
      </c>
      <c r="AL824" s="154">
        <f t="shared" si="259"/>
        <v>0</v>
      </c>
      <c r="AM824" s="155">
        <f t="shared" si="260"/>
        <v>0</v>
      </c>
      <c r="AP824" s="63" t="str">
        <f t="shared" si="261"/>
        <v/>
      </c>
      <c r="AQ824" s="63" t="str">
        <f t="shared" si="262"/>
        <v/>
      </c>
      <c r="AR824" s="152" t="str">
        <f t="shared" si="263"/>
        <v/>
      </c>
      <c r="AS824" s="109" t="str">
        <f t="shared" si="264"/>
        <v/>
      </c>
      <c r="AT824" s="63" t="str">
        <f t="shared" si="265"/>
        <v xml:space="preserve">                    </v>
      </c>
    </row>
    <row r="825" spans="1:46" ht="12.75" x14ac:dyDescent="0.2">
      <c r="A825" s="63" t="str">
        <f t="shared" si="247"/>
        <v/>
      </c>
      <c r="B825" s="185"/>
      <c r="C825" s="185"/>
      <c r="D825" s="185"/>
      <c r="E825" s="185"/>
      <c r="F825" s="185"/>
      <c r="G825" s="185"/>
      <c r="H825" s="185"/>
      <c r="I825" s="186"/>
      <c r="J825" s="69"/>
      <c r="AA825" s="63">
        <f t="shared" si="248"/>
        <v>0</v>
      </c>
      <c r="AB825" s="153" t="str">
        <f t="shared" si="249"/>
        <v>000</v>
      </c>
      <c r="AC825" s="165" t="str">
        <f t="shared" si="250"/>
        <v>00000000</v>
      </c>
      <c r="AD825" s="98" t="str">
        <f t="shared" si="251"/>
        <v>00000000</v>
      </c>
      <c r="AE825" s="150">
        <f t="shared" si="252"/>
        <v>0</v>
      </c>
      <c r="AF825" s="150">
        <f t="shared" si="253"/>
        <v>0</v>
      </c>
      <c r="AG825" s="98" t="str">
        <f t="shared" si="254"/>
        <v>0000000000</v>
      </c>
      <c r="AH825" s="151">
        <f t="shared" si="255"/>
        <v>0</v>
      </c>
      <c r="AI825" s="98" t="str">
        <f t="shared" si="256"/>
        <v>00</v>
      </c>
      <c r="AJ825" s="98" t="str">
        <f t="shared" si="257"/>
        <v>000000000000</v>
      </c>
      <c r="AK825" s="161" t="str">
        <f t="shared" si="258"/>
        <v xml:space="preserve">                              </v>
      </c>
      <c r="AL825" s="154">
        <f t="shared" si="259"/>
        <v>0</v>
      </c>
      <c r="AM825" s="155">
        <f t="shared" si="260"/>
        <v>0</v>
      </c>
      <c r="AP825" s="63" t="str">
        <f t="shared" si="261"/>
        <v/>
      </c>
      <c r="AQ825" s="63" t="str">
        <f t="shared" si="262"/>
        <v/>
      </c>
      <c r="AR825" s="152" t="str">
        <f t="shared" si="263"/>
        <v/>
      </c>
      <c r="AS825" s="109" t="str">
        <f t="shared" si="264"/>
        <v/>
      </c>
      <c r="AT825" s="63" t="str">
        <f t="shared" si="265"/>
        <v xml:space="preserve">                    </v>
      </c>
    </row>
    <row r="826" spans="1:46" ht="12.75" x14ac:dyDescent="0.2">
      <c r="A826" s="63" t="str">
        <f t="shared" si="247"/>
        <v/>
      </c>
      <c r="B826" s="185"/>
      <c r="C826" s="185"/>
      <c r="D826" s="185"/>
      <c r="E826" s="185"/>
      <c r="F826" s="185"/>
      <c r="G826" s="185"/>
      <c r="H826" s="185"/>
      <c r="I826" s="186"/>
      <c r="J826" s="69"/>
      <c r="AA826" s="63">
        <f t="shared" si="248"/>
        <v>0</v>
      </c>
      <c r="AB826" s="153" t="str">
        <f t="shared" si="249"/>
        <v>000</v>
      </c>
      <c r="AC826" s="165" t="str">
        <f t="shared" si="250"/>
        <v>00000000</v>
      </c>
      <c r="AD826" s="98" t="str">
        <f t="shared" si="251"/>
        <v>00000000</v>
      </c>
      <c r="AE826" s="150">
        <f t="shared" si="252"/>
        <v>0</v>
      </c>
      <c r="AF826" s="150">
        <f t="shared" si="253"/>
        <v>0</v>
      </c>
      <c r="AG826" s="98" t="str">
        <f t="shared" si="254"/>
        <v>0000000000</v>
      </c>
      <c r="AH826" s="151">
        <f t="shared" si="255"/>
        <v>0</v>
      </c>
      <c r="AI826" s="98" t="str">
        <f t="shared" si="256"/>
        <v>00</v>
      </c>
      <c r="AJ826" s="98" t="str">
        <f t="shared" si="257"/>
        <v>000000000000</v>
      </c>
      <c r="AK826" s="161" t="str">
        <f t="shared" si="258"/>
        <v xml:space="preserve">                              </v>
      </c>
      <c r="AL826" s="154">
        <f t="shared" si="259"/>
        <v>0</v>
      </c>
      <c r="AM826" s="155">
        <f t="shared" si="260"/>
        <v>0</v>
      </c>
      <c r="AP826" s="63" t="str">
        <f t="shared" si="261"/>
        <v/>
      </c>
      <c r="AQ826" s="63" t="str">
        <f t="shared" si="262"/>
        <v/>
      </c>
      <c r="AR826" s="152" t="str">
        <f t="shared" si="263"/>
        <v/>
      </c>
      <c r="AS826" s="109" t="str">
        <f t="shared" si="264"/>
        <v/>
      </c>
      <c r="AT826" s="63" t="str">
        <f t="shared" si="265"/>
        <v xml:space="preserve">                    </v>
      </c>
    </row>
    <row r="827" spans="1:46" ht="12.75" x14ac:dyDescent="0.2">
      <c r="A827" s="63" t="str">
        <f t="shared" si="247"/>
        <v/>
      </c>
      <c r="B827" s="185"/>
      <c r="C827" s="185"/>
      <c r="D827" s="185"/>
      <c r="E827" s="185"/>
      <c r="F827" s="185"/>
      <c r="G827" s="185"/>
      <c r="H827" s="185"/>
      <c r="I827" s="186"/>
      <c r="J827" s="69"/>
      <c r="AA827" s="63">
        <f t="shared" si="248"/>
        <v>0</v>
      </c>
      <c r="AB827" s="153" t="str">
        <f t="shared" si="249"/>
        <v>000</v>
      </c>
      <c r="AC827" s="165" t="str">
        <f t="shared" si="250"/>
        <v>00000000</v>
      </c>
      <c r="AD827" s="98" t="str">
        <f t="shared" si="251"/>
        <v>00000000</v>
      </c>
      <c r="AE827" s="150">
        <f t="shared" si="252"/>
        <v>0</v>
      </c>
      <c r="AF827" s="150">
        <f t="shared" si="253"/>
        <v>0</v>
      </c>
      <c r="AG827" s="98" t="str">
        <f t="shared" si="254"/>
        <v>0000000000</v>
      </c>
      <c r="AH827" s="151">
        <f t="shared" si="255"/>
        <v>0</v>
      </c>
      <c r="AI827" s="98" t="str">
        <f t="shared" si="256"/>
        <v>00</v>
      </c>
      <c r="AJ827" s="98" t="str">
        <f t="shared" si="257"/>
        <v>000000000000</v>
      </c>
      <c r="AK827" s="161" t="str">
        <f t="shared" si="258"/>
        <v xml:space="preserve">                              </v>
      </c>
      <c r="AL827" s="154">
        <f t="shared" si="259"/>
        <v>0</v>
      </c>
      <c r="AM827" s="155">
        <f t="shared" si="260"/>
        <v>0</v>
      </c>
      <c r="AP827" s="63" t="str">
        <f t="shared" si="261"/>
        <v/>
      </c>
      <c r="AQ827" s="63" t="str">
        <f t="shared" si="262"/>
        <v/>
      </c>
      <c r="AR827" s="152" t="str">
        <f t="shared" si="263"/>
        <v/>
      </c>
      <c r="AS827" s="109" t="str">
        <f t="shared" si="264"/>
        <v/>
      </c>
      <c r="AT827" s="63" t="str">
        <f t="shared" si="265"/>
        <v xml:space="preserve">                    </v>
      </c>
    </row>
    <row r="828" spans="1:46" ht="12.75" x14ac:dyDescent="0.2">
      <c r="A828" s="63" t="str">
        <f t="shared" si="247"/>
        <v/>
      </c>
      <c r="B828" s="185"/>
      <c r="C828" s="185"/>
      <c r="D828" s="185"/>
      <c r="E828" s="185"/>
      <c r="F828" s="185"/>
      <c r="G828" s="185"/>
      <c r="H828" s="185"/>
      <c r="I828" s="186"/>
      <c r="J828" s="69"/>
      <c r="AA828" s="63">
        <f t="shared" si="248"/>
        <v>0</v>
      </c>
      <c r="AB828" s="153" t="str">
        <f t="shared" si="249"/>
        <v>000</v>
      </c>
      <c r="AC828" s="165" t="str">
        <f t="shared" si="250"/>
        <v>00000000</v>
      </c>
      <c r="AD828" s="98" t="str">
        <f t="shared" si="251"/>
        <v>00000000</v>
      </c>
      <c r="AE828" s="150">
        <f t="shared" si="252"/>
        <v>0</v>
      </c>
      <c r="AF828" s="150">
        <f t="shared" si="253"/>
        <v>0</v>
      </c>
      <c r="AG828" s="98" t="str">
        <f t="shared" si="254"/>
        <v>0000000000</v>
      </c>
      <c r="AH828" s="151">
        <f t="shared" si="255"/>
        <v>0</v>
      </c>
      <c r="AI828" s="98" t="str">
        <f t="shared" si="256"/>
        <v>00</v>
      </c>
      <c r="AJ828" s="98" t="str">
        <f t="shared" si="257"/>
        <v>000000000000</v>
      </c>
      <c r="AK828" s="161" t="str">
        <f t="shared" si="258"/>
        <v xml:space="preserve">                              </v>
      </c>
      <c r="AL828" s="154">
        <f t="shared" si="259"/>
        <v>0</v>
      </c>
      <c r="AM828" s="155">
        <f t="shared" si="260"/>
        <v>0</v>
      </c>
      <c r="AP828" s="63" t="str">
        <f t="shared" si="261"/>
        <v/>
      </c>
      <c r="AQ828" s="63" t="str">
        <f t="shared" si="262"/>
        <v/>
      </c>
      <c r="AR828" s="152" t="str">
        <f t="shared" si="263"/>
        <v/>
      </c>
      <c r="AS828" s="109" t="str">
        <f t="shared" si="264"/>
        <v/>
      </c>
      <c r="AT828" s="63" t="str">
        <f t="shared" si="265"/>
        <v xml:space="preserve">                    </v>
      </c>
    </row>
    <row r="829" spans="1:46" ht="12.75" x14ac:dyDescent="0.2">
      <c r="A829" s="63" t="str">
        <f t="shared" si="247"/>
        <v/>
      </c>
      <c r="B829" s="185"/>
      <c r="C829" s="185"/>
      <c r="D829" s="185"/>
      <c r="E829" s="185"/>
      <c r="F829" s="185"/>
      <c r="G829" s="185"/>
      <c r="H829" s="185"/>
      <c r="I829" s="186"/>
      <c r="J829" s="69"/>
      <c r="AA829" s="63">
        <f t="shared" si="248"/>
        <v>0</v>
      </c>
      <c r="AB829" s="153" t="str">
        <f t="shared" si="249"/>
        <v>000</v>
      </c>
      <c r="AC829" s="165" t="str">
        <f t="shared" si="250"/>
        <v>00000000</v>
      </c>
      <c r="AD829" s="98" t="str">
        <f t="shared" si="251"/>
        <v>00000000</v>
      </c>
      <c r="AE829" s="150">
        <f t="shared" si="252"/>
        <v>0</v>
      </c>
      <c r="AF829" s="150">
        <f t="shared" si="253"/>
        <v>0</v>
      </c>
      <c r="AG829" s="98" t="str">
        <f t="shared" si="254"/>
        <v>0000000000</v>
      </c>
      <c r="AH829" s="151">
        <f t="shared" si="255"/>
        <v>0</v>
      </c>
      <c r="AI829" s="98" t="str">
        <f t="shared" si="256"/>
        <v>00</v>
      </c>
      <c r="AJ829" s="98" t="str">
        <f t="shared" si="257"/>
        <v>000000000000</v>
      </c>
      <c r="AK829" s="161" t="str">
        <f t="shared" si="258"/>
        <v xml:space="preserve">                              </v>
      </c>
      <c r="AL829" s="154">
        <f t="shared" si="259"/>
        <v>0</v>
      </c>
      <c r="AM829" s="155">
        <f t="shared" si="260"/>
        <v>0</v>
      </c>
      <c r="AP829" s="63" t="str">
        <f t="shared" si="261"/>
        <v/>
      </c>
      <c r="AQ829" s="63" t="str">
        <f t="shared" si="262"/>
        <v/>
      </c>
      <c r="AR829" s="152" t="str">
        <f t="shared" si="263"/>
        <v/>
      </c>
      <c r="AS829" s="109" t="str">
        <f t="shared" si="264"/>
        <v/>
      </c>
      <c r="AT829" s="63" t="str">
        <f t="shared" si="265"/>
        <v xml:space="preserve">                    </v>
      </c>
    </row>
    <row r="830" spans="1:46" ht="12.75" x14ac:dyDescent="0.2">
      <c r="A830" s="63" t="str">
        <f t="shared" si="247"/>
        <v/>
      </c>
      <c r="B830" s="185"/>
      <c r="C830" s="185"/>
      <c r="D830" s="185"/>
      <c r="E830" s="185"/>
      <c r="F830" s="185"/>
      <c r="G830" s="185"/>
      <c r="H830" s="185"/>
      <c r="I830" s="186"/>
      <c r="J830" s="69"/>
      <c r="AA830" s="63">
        <f t="shared" si="248"/>
        <v>0</v>
      </c>
      <c r="AB830" s="153" t="str">
        <f t="shared" si="249"/>
        <v>000</v>
      </c>
      <c r="AC830" s="165" t="str">
        <f t="shared" si="250"/>
        <v>00000000</v>
      </c>
      <c r="AD830" s="98" t="str">
        <f t="shared" si="251"/>
        <v>00000000</v>
      </c>
      <c r="AE830" s="150">
        <f t="shared" si="252"/>
        <v>0</v>
      </c>
      <c r="AF830" s="150">
        <f t="shared" si="253"/>
        <v>0</v>
      </c>
      <c r="AG830" s="98" t="str">
        <f t="shared" si="254"/>
        <v>0000000000</v>
      </c>
      <c r="AH830" s="151">
        <f t="shared" si="255"/>
        <v>0</v>
      </c>
      <c r="AI830" s="98" t="str">
        <f t="shared" si="256"/>
        <v>00</v>
      </c>
      <c r="AJ830" s="98" t="str">
        <f t="shared" si="257"/>
        <v>000000000000</v>
      </c>
      <c r="AK830" s="161" t="str">
        <f t="shared" si="258"/>
        <v xml:space="preserve">                              </v>
      </c>
      <c r="AL830" s="154">
        <f t="shared" si="259"/>
        <v>0</v>
      </c>
      <c r="AM830" s="155">
        <f t="shared" si="260"/>
        <v>0</v>
      </c>
      <c r="AP830" s="63" t="str">
        <f t="shared" si="261"/>
        <v/>
      </c>
      <c r="AQ830" s="63" t="str">
        <f t="shared" si="262"/>
        <v/>
      </c>
      <c r="AR830" s="152" t="str">
        <f t="shared" si="263"/>
        <v/>
      </c>
      <c r="AS830" s="109" t="str">
        <f t="shared" si="264"/>
        <v/>
      </c>
      <c r="AT830" s="63" t="str">
        <f t="shared" si="265"/>
        <v xml:space="preserve">                    </v>
      </c>
    </row>
    <row r="831" spans="1:46" ht="12.75" x14ac:dyDescent="0.2">
      <c r="A831" s="63" t="str">
        <f t="shared" si="247"/>
        <v/>
      </c>
      <c r="B831" s="185"/>
      <c r="C831" s="185"/>
      <c r="D831" s="185"/>
      <c r="E831" s="185"/>
      <c r="F831" s="185"/>
      <c r="G831" s="185"/>
      <c r="H831" s="185"/>
      <c r="I831" s="186"/>
      <c r="J831" s="69"/>
      <c r="AA831" s="63">
        <f t="shared" si="248"/>
        <v>0</v>
      </c>
      <c r="AB831" s="153" t="str">
        <f t="shared" si="249"/>
        <v>000</v>
      </c>
      <c r="AC831" s="165" t="str">
        <f t="shared" si="250"/>
        <v>00000000</v>
      </c>
      <c r="AD831" s="98" t="str">
        <f t="shared" si="251"/>
        <v>00000000</v>
      </c>
      <c r="AE831" s="150">
        <f t="shared" si="252"/>
        <v>0</v>
      </c>
      <c r="AF831" s="150">
        <f t="shared" si="253"/>
        <v>0</v>
      </c>
      <c r="AG831" s="98" t="str">
        <f t="shared" si="254"/>
        <v>0000000000</v>
      </c>
      <c r="AH831" s="151">
        <f t="shared" si="255"/>
        <v>0</v>
      </c>
      <c r="AI831" s="98" t="str">
        <f t="shared" si="256"/>
        <v>00</v>
      </c>
      <c r="AJ831" s="98" t="str">
        <f t="shared" si="257"/>
        <v>000000000000</v>
      </c>
      <c r="AK831" s="161" t="str">
        <f t="shared" si="258"/>
        <v xml:space="preserve">                              </v>
      </c>
      <c r="AL831" s="154">
        <f t="shared" si="259"/>
        <v>0</v>
      </c>
      <c r="AM831" s="155">
        <f t="shared" si="260"/>
        <v>0</v>
      </c>
      <c r="AP831" s="63" t="str">
        <f t="shared" si="261"/>
        <v/>
      </c>
      <c r="AQ831" s="63" t="str">
        <f t="shared" si="262"/>
        <v/>
      </c>
      <c r="AR831" s="152" t="str">
        <f t="shared" si="263"/>
        <v/>
      </c>
      <c r="AS831" s="109" t="str">
        <f t="shared" si="264"/>
        <v/>
      </c>
      <c r="AT831" s="63" t="str">
        <f t="shared" si="265"/>
        <v xml:space="preserve">                    </v>
      </c>
    </row>
    <row r="832" spans="1:46" ht="12.75" x14ac:dyDescent="0.2">
      <c r="A832" s="63" t="str">
        <f t="shared" si="247"/>
        <v/>
      </c>
      <c r="B832" s="185"/>
      <c r="C832" s="185"/>
      <c r="D832" s="185"/>
      <c r="E832" s="185"/>
      <c r="F832" s="185"/>
      <c r="G832" s="185"/>
      <c r="H832" s="185"/>
      <c r="I832" s="186"/>
      <c r="J832" s="69"/>
      <c r="AA832" s="63">
        <f t="shared" si="248"/>
        <v>0</v>
      </c>
      <c r="AB832" s="153" t="str">
        <f t="shared" si="249"/>
        <v>000</v>
      </c>
      <c r="AC832" s="165" t="str">
        <f t="shared" si="250"/>
        <v>00000000</v>
      </c>
      <c r="AD832" s="98" t="str">
        <f t="shared" si="251"/>
        <v>00000000</v>
      </c>
      <c r="AE832" s="150">
        <f t="shared" si="252"/>
        <v>0</v>
      </c>
      <c r="AF832" s="150">
        <f t="shared" si="253"/>
        <v>0</v>
      </c>
      <c r="AG832" s="98" t="str">
        <f t="shared" si="254"/>
        <v>0000000000</v>
      </c>
      <c r="AH832" s="151">
        <f t="shared" si="255"/>
        <v>0</v>
      </c>
      <c r="AI832" s="98" t="str">
        <f t="shared" si="256"/>
        <v>00</v>
      </c>
      <c r="AJ832" s="98" t="str">
        <f t="shared" si="257"/>
        <v>000000000000</v>
      </c>
      <c r="AK832" s="161" t="str">
        <f t="shared" si="258"/>
        <v xml:space="preserve">                              </v>
      </c>
      <c r="AL832" s="154">
        <f t="shared" si="259"/>
        <v>0</v>
      </c>
      <c r="AM832" s="155">
        <f t="shared" si="260"/>
        <v>0</v>
      </c>
      <c r="AP832" s="63" t="str">
        <f t="shared" si="261"/>
        <v/>
      </c>
      <c r="AQ832" s="63" t="str">
        <f t="shared" si="262"/>
        <v/>
      </c>
      <c r="AR832" s="152" t="str">
        <f t="shared" si="263"/>
        <v/>
      </c>
      <c r="AS832" s="109" t="str">
        <f t="shared" si="264"/>
        <v/>
      </c>
      <c r="AT832" s="63" t="str">
        <f t="shared" si="265"/>
        <v xml:space="preserve">                    </v>
      </c>
    </row>
    <row r="833" spans="1:46" ht="12.75" x14ac:dyDescent="0.2">
      <c r="A833" s="63" t="str">
        <f t="shared" si="247"/>
        <v/>
      </c>
      <c r="B833" s="185"/>
      <c r="C833" s="185"/>
      <c r="D833" s="185"/>
      <c r="E833" s="185"/>
      <c r="F833" s="185"/>
      <c r="G833" s="185"/>
      <c r="H833" s="185"/>
      <c r="I833" s="186"/>
      <c r="J833" s="69"/>
      <c r="AA833" s="63">
        <f t="shared" si="248"/>
        <v>0</v>
      </c>
      <c r="AB833" s="153" t="str">
        <f t="shared" si="249"/>
        <v>000</v>
      </c>
      <c r="AC833" s="165" t="str">
        <f t="shared" si="250"/>
        <v>00000000</v>
      </c>
      <c r="AD833" s="98" t="str">
        <f t="shared" si="251"/>
        <v>00000000</v>
      </c>
      <c r="AE833" s="150">
        <f t="shared" si="252"/>
        <v>0</v>
      </c>
      <c r="AF833" s="150">
        <f t="shared" si="253"/>
        <v>0</v>
      </c>
      <c r="AG833" s="98" t="str">
        <f t="shared" si="254"/>
        <v>0000000000</v>
      </c>
      <c r="AH833" s="151">
        <f t="shared" si="255"/>
        <v>0</v>
      </c>
      <c r="AI833" s="98" t="str">
        <f t="shared" si="256"/>
        <v>00</v>
      </c>
      <c r="AJ833" s="98" t="str">
        <f t="shared" si="257"/>
        <v>000000000000</v>
      </c>
      <c r="AK833" s="161" t="str">
        <f t="shared" si="258"/>
        <v xml:space="preserve">                              </v>
      </c>
      <c r="AL833" s="154">
        <f t="shared" si="259"/>
        <v>0</v>
      </c>
      <c r="AM833" s="155">
        <f t="shared" si="260"/>
        <v>0</v>
      </c>
      <c r="AP833" s="63" t="str">
        <f t="shared" si="261"/>
        <v/>
      </c>
      <c r="AQ833" s="63" t="str">
        <f t="shared" si="262"/>
        <v/>
      </c>
      <c r="AR833" s="152" t="str">
        <f t="shared" si="263"/>
        <v/>
      </c>
      <c r="AS833" s="109" t="str">
        <f t="shared" si="264"/>
        <v/>
      </c>
      <c r="AT833" s="63" t="str">
        <f t="shared" si="265"/>
        <v xml:space="preserve">                    </v>
      </c>
    </row>
    <row r="834" spans="1:46" ht="12.75" x14ac:dyDescent="0.2">
      <c r="A834" s="63" t="str">
        <f t="shared" si="247"/>
        <v/>
      </c>
      <c r="B834" s="185"/>
      <c r="C834" s="185"/>
      <c r="D834" s="185"/>
      <c r="E834" s="185"/>
      <c r="F834" s="185"/>
      <c r="G834" s="185"/>
      <c r="H834" s="185"/>
      <c r="I834" s="186"/>
      <c r="J834" s="69"/>
      <c r="AA834" s="63">
        <f t="shared" si="248"/>
        <v>0</v>
      </c>
      <c r="AB834" s="153" t="str">
        <f t="shared" si="249"/>
        <v>000</v>
      </c>
      <c r="AC834" s="165" t="str">
        <f t="shared" si="250"/>
        <v>00000000</v>
      </c>
      <c r="AD834" s="98" t="str">
        <f t="shared" si="251"/>
        <v>00000000</v>
      </c>
      <c r="AE834" s="150">
        <f t="shared" si="252"/>
        <v>0</v>
      </c>
      <c r="AF834" s="150">
        <f t="shared" si="253"/>
        <v>0</v>
      </c>
      <c r="AG834" s="98" t="str">
        <f t="shared" si="254"/>
        <v>0000000000</v>
      </c>
      <c r="AH834" s="151">
        <f t="shared" si="255"/>
        <v>0</v>
      </c>
      <c r="AI834" s="98" t="str">
        <f t="shared" si="256"/>
        <v>00</v>
      </c>
      <c r="AJ834" s="98" t="str">
        <f t="shared" si="257"/>
        <v>000000000000</v>
      </c>
      <c r="AK834" s="161" t="str">
        <f t="shared" si="258"/>
        <v xml:space="preserve">                              </v>
      </c>
      <c r="AL834" s="154">
        <f t="shared" si="259"/>
        <v>0</v>
      </c>
      <c r="AM834" s="155">
        <f t="shared" si="260"/>
        <v>0</v>
      </c>
      <c r="AP834" s="63" t="str">
        <f t="shared" si="261"/>
        <v/>
      </c>
      <c r="AQ834" s="63" t="str">
        <f t="shared" si="262"/>
        <v/>
      </c>
      <c r="AR834" s="152" t="str">
        <f t="shared" si="263"/>
        <v/>
      </c>
      <c r="AS834" s="109" t="str">
        <f t="shared" si="264"/>
        <v/>
      </c>
      <c r="AT834" s="63" t="str">
        <f t="shared" si="265"/>
        <v xml:space="preserve">                    </v>
      </c>
    </row>
    <row r="835" spans="1:46" ht="12.75" x14ac:dyDescent="0.2">
      <c r="A835" s="63" t="str">
        <f t="shared" si="247"/>
        <v/>
      </c>
      <c r="B835" s="185"/>
      <c r="C835" s="185"/>
      <c r="D835" s="185"/>
      <c r="E835" s="185"/>
      <c r="F835" s="185"/>
      <c r="G835" s="185"/>
      <c r="H835" s="185"/>
      <c r="I835" s="186"/>
      <c r="J835" s="69"/>
      <c r="AA835" s="63">
        <f t="shared" si="248"/>
        <v>0</v>
      </c>
      <c r="AB835" s="153" t="str">
        <f t="shared" si="249"/>
        <v>000</v>
      </c>
      <c r="AC835" s="165" t="str">
        <f t="shared" si="250"/>
        <v>00000000</v>
      </c>
      <c r="AD835" s="98" t="str">
        <f t="shared" si="251"/>
        <v>00000000</v>
      </c>
      <c r="AE835" s="150">
        <f t="shared" si="252"/>
        <v>0</v>
      </c>
      <c r="AF835" s="150">
        <f t="shared" si="253"/>
        <v>0</v>
      </c>
      <c r="AG835" s="98" t="str">
        <f t="shared" si="254"/>
        <v>0000000000</v>
      </c>
      <c r="AH835" s="151">
        <f t="shared" si="255"/>
        <v>0</v>
      </c>
      <c r="AI835" s="98" t="str">
        <f t="shared" si="256"/>
        <v>00</v>
      </c>
      <c r="AJ835" s="98" t="str">
        <f t="shared" si="257"/>
        <v>000000000000</v>
      </c>
      <c r="AK835" s="161" t="str">
        <f t="shared" si="258"/>
        <v xml:space="preserve">                              </v>
      </c>
      <c r="AL835" s="154">
        <f t="shared" si="259"/>
        <v>0</v>
      </c>
      <c r="AM835" s="155">
        <f t="shared" si="260"/>
        <v>0</v>
      </c>
      <c r="AP835" s="63" t="str">
        <f t="shared" si="261"/>
        <v/>
      </c>
      <c r="AQ835" s="63" t="str">
        <f t="shared" si="262"/>
        <v/>
      </c>
      <c r="AR835" s="152" t="str">
        <f t="shared" si="263"/>
        <v/>
      </c>
      <c r="AS835" s="109" t="str">
        <f t="shared" si="264"/>
        <v/>
      </c>
      <c r="AT835" s="63" t="str">
        <f t="shared" si="265"/>
        <v xml:space="preserve">                    </v>
      </c>
    </row>
    <row r="836" spans="1:46" ht="12.75" x14ac:dyDescent="0.2">
      <c r="A836" s="63" t="str">
        <f t="shared" si="247"/>
        <v/>
      </c>
      <c r="B836" s="185"/>
      <c r="C836" s="185"/>
      <c r="D836" s="185"/>
      <c r="E836" s="185"/>
      <c r="F836" s="185"/>
      <c r="G836" s="185"/>
      <c r="H836" s="185"/>
      <c r="I836" s="186"/>
      <c r="J836" s="69"/>
      <c r="AA836" s="63">
        <f t="shared" si="248"/>
        <v>0</v>
      </c>
      <c r="AB836" s="153" t="str">
        <f t="shared" si="249"/>
        <v>000</v>
      </c>
      <c r="AC836" s="165" t="str">
        <f t="shared" si="250"/>
        <v>00000000</v>
      </c>
      <c r="AD836" s="98" t="str">
        <f t="shared" si="251"/>
        <v>00000000</v>
      </c>
      <c r="AE836" s="150">
        <f t="shared" si="252"/>
        <v>0</v>
      </c>
      <c r="AF836" s="150">
        <f t="shared" si="253"/>
        <v>0</v>
      </c>
      <c r="AG836" s="98" t="str">
        <f t="shared" si="254"/>
        <v>0000000000</v>
      </c>
      <c r="AH836" s="151">
        <f t="shared" si="255"/>
        <v>0</v>
      </c>
      <c r="AI836" s="98" t="str">
        <f t="shared" si="256"/>
        <v>00</v>
      </c>
      <c r="AJ836" s="98" t="str">
        <f t="shared" si="257"/>
        <v>000000000000</v>
      </c>
      <c r="AK836" s="161" t="str">
        <f t="shared" si="258"/>
        <v xml:space="preserve">                              </v>
      </c>
      <c r="AL836" s="154">
        <f t="shared" si="259"/>
        <v>0</v>
      </c>
      <c r="AM836" s="155">
        <f t="shared" si="260"/>
        <v>0</v>
      </c>
      <c r="AP836" s="63" t="str">
        <f t="shared" si="261"/>
        <v/>
      </c>
      <c r="AQ836" s="63" t="str">
        <f t="shared" si="262"/>
        <v/>
      </c>
      <c r="AR836" s="152" t="str">
        <f t="shared" si="263"/>
        <v/>
      </c>
      <c r="AS836" s="109" t="str">
        <f t="shared" si="264"/>
        <v/>
      </c>
      <c r="AT836" s="63" t="str">
        <f t="shared" si="265"/>
        <v xml:space="preserve">                    </v>
      </c>
    </row>
    <row r="837" spans="1:46" ht="12.75" x14ac:dyDescent="0.2">
      <c r="A837" s="63" t="str">
        <f t="shared" si="247"/>
        <v/>
      </c>
      <c r="B837" s="185"/>
      <c r="C837" s="185"/>
      <c r="D837" s="185"/>
      <c r="E837" s="185"/>
      <c r="F837" s="185"/>
      <c r="G837" s="185"/>
      <c r="H837" s="185"/>
      <c r="I837" s="186"/>
      <c r="J837" s="69"/>
      <c r="AA837" s="63">
        <f t="shared" si="248"/>
        <v>0</v>
      </c>
      <c r="AB837" s="153" t="str">
        <f t="shared" si="249"/>
        <v>000</v>
      </c>
      <c r="AC837" s="165" t="str">
        <f t="shared" si="250"/>
        <v>00000000</v>
      </c>
      <c r="AD837" s="98" t="str">
        <f t="shared" si="251"/>
        <v>00000000</v>
      </c>
      <c r="AE837" s="150">
        <f t="shared" si="252"/>
        <v>0</v>
      </c>
      <c r="AF837" s="150">
        <f t="shared" si="253"/>
        <v>0</v>
      </c>
      <c r="AG837" s="98" t="str">
        <f t="shared" si="254"/>
        <v>0000000000</v>
      </c>
      <c r="AH837" s="151">
        <f t="shared" si="255"/>
        <v>0</v>
      </c>
      <c r="AI837" s="98" t="str">
        <f t="shared" si="256"/>
        <v>00</v>
      </c>
      <c r="AJ837" s="98" t="str">
        <f t="shared" si="257"/>
        <v>000000000000</v>
      </c>
      <c r="AK837" s="161" t="str">
        <f t="shared" si="258"/>
        <v xml:space="preserve">                              </v>
      </c>
      <c r="AL837" s="154">
        <f t="shared" si="259"/>
        <v>0</v>
      </c>
      <c r="AM837" s="155">
        <f t="shared" si="260"/>
        <v>0</v>
      </c>
      <c r="AP837" s="63" t="str">
        <f t="shared" si="261"/>
        <v/>
      </c>
      <c r="AQ837" s="63" t="str">
        <f t="shared" si="262"/>
        <v/>
      </c>
      <c r="AR837" s="152" t="str">
        <f t="shared" si="263"/>
        <v/>
      </c>
      <c r="AS837" s="109" t="str">
        <f t="shared" si="264"/>
        <v/>
      </c>
      <c r="AT837" s="63" t="str">
        <f t="shared" si="265"/>
        <v xml:space="preserve">                    </v>
      </c>
    </row>
    <row r="838" spans="1:46" ht="12.75" x14ac:dyDescent="0.2">
      <c r="A838" s="63" t="str">
        <f t="shared" ref="A838:A901" si="266">IF(B838&lt;&gt;"",A837+1,"")</f>
        <v/>
      </c>
      <c r="B838" s="185"/>
      <c r="C838" s="185"/>
      <c r="D838" s="185"/>
      <c r="E838" s="185"/>
      <c r="F838" s="185"/>
      <c r="G838" s="185"/>
      <c r="H838" s="185"/>
      <c r="I838" s="186"/>
      <c r="J838" s="69"/>
      <c r="AA838" s="63">
        <f t="shared" si="248"/>
        <v>0</v>
      </c>
      <c r="AB838" s="153" t="str">
        <f t="shared" si="249"/>
        <v>000</v>
      </c>
      <c r="AC838" s="165" t="str">
        <f t="shared" si="250"/>
        <v>00000000</v>
      </c>
      <c r="AD838" s="98" t="str">
        <f t="shared" si="251"/>
        <v>00000000</v>
      </c>
      <c r="AE838" s="150">
        <f t="shared" si="252"/>
        <v>0</v>
      </c>
      <c r="AF838" s="150">
        <f t="shared" si="253"/>
        <v>0</v>
      </c>
      <c r="AG838" s="98" t="str">
        <f t="shared" si="254"/>
        <v>0000000000</v>
      </c>
      <c r="AH838" s="151">
        <f t="shared" si="255"/>
        <v>0</v>
      </c>
      <c r="AI838" s="98" t="str">
        <f t="shared" si="256"/>
        <v>00</v>
      </c>
      <c r="AJ838" s="98" t="str">
        <f t="shared" si="257"/>
        <v>000000000000</v>
      </c>
      <c r="AK838" s="161" t="str">
        <f t="shared" si="258"/>
        <v xml:space="preserve">                              </v>
      </c>
      <c r="AL838" s="154">
        <f t="shared" si="259"/>
        <v>0</v>
      </c>
      <c r="AM838" s="155">
        <f t="shared" si="260"/>
        <v>0</v>
      </c>
      <c r="AP838" s="63" t="str">
        <f t="shared" si="261"/>
        <v/>
      </c>
      <c r="AQ838" s="63" t="str">
        <f t="shared" si="262"/>
        <v/>
      </c>
      <c r="AR838" s="152" t="str">
        <f t="shared" si="263"/>
        <v/>
      </c>
      <c r="AS838" s="109" t="str">
        <f t="shared" si="264"/>
        <v/>
      </c>
      <c r="AT838" s="63" t="str">
        <f t="shared" si="265"/>
        <v xml:space="preserve">                    </v>
      </c>
    </row>
    <row r="839" spans="1:46" ht="12.75" x14ac:dyDescent="0.2">
      <c r="A839" s="63" t="str">
        <f t="shared" si="266"/>
        <v/>
      </c>
      <c r="B839" s="185"/>
      <c r="C839" s="185"/>
      <c r="D839" s="185"/>
      <c r="E839" s="185"/>
      <c r="F839" s="185"/>
      <c r="G839" s="185"/>
      <c r="H839" s="185"/>
      <c r="I839" s="186"/>
      <c r="J839" s="69"/>
      <c r="AA839" s="63">
        <f t="shared" si="248"/>
        <v>0</v>
      </c>
      <c r="AB839" s="153" t="str">
        <f t="shared" si="249"/>
        <v>000</v>
      </c>
      <c r="AC839" s="165" t="str">
        <f t="shared" si="250"/>
        <v>00000000</v>
      </c>
      <c r="AD839" s="98" t="str">
        <f t="shared" si="251"/>
        <v>00000000</v>
      </c>
      <c r="AE839" s="150">
        <f t="shared" si="252"/>
        <v>0</v>
      </c>
      <c r="AF839" s="150">
        <f t="shared" si="253"/>
        <v>0</v>
      </c>
      <c r="AG839" s="98" t="str">
        <f t="shared" si="254"/>
        <v>0000000000</v>
      </c>
      <c r="AH839" s="151">
        <f t="shared" si="255"/>
        <v>0</v>
      </c>
      <c r="AI839" s="98" t="str">
        <f t="shared" si="256"/>
        <v>00</v>
      </c>
      <c r="AJ839" s="98" t="str">
        <f t="shared" si="257"/>
        <v>000000000000</v>
      </c>
      <c r="AK839" s="161" t="str">
        <f t="shared" si="258"/>
        <v xml:space="preserve">                              </v>
      </c>
      <c r="AL839" s="154">
        <f t="shared" si="259"/>
        <v>0</v>
      </c>
      <c r="AM839" s="155">
        <f t="shared" si="260"/>
        <v>0</v>
      </c>
      <c r="AP839" s="63" t="str">
        <f t="shared" si="261"/>
        <v/>
      </c>
      <c r="AQ839" s="63" t="str">
        <f t="shared" si="262"/>
        <v/>
      </c>
      <c r="AR839" s="152" t="str">
        <f t="shared" si="263"/>
        <v/>
      </c>
      <c r="AS839" s="109" t="str">
        <f t="shared" si="264"/>
        <v/>
      </c>
      <c r="AT839" s="63" t="str">
        <f t="shared" si="265"/>
        <v xml:space="preserve">                    </v>
      </c>
    </row>
    <row r="840" spans="1:46" ht="12.75" x14ac:dyDescent="0.2">
      <c r="A840" s="63" t="str">
        <f t="shared" si="266"/>
        <v/>
      </c>
      <c r="B840" s="185"/>
      <c r="C840" s="185"/>
      <c r="D840" s="185"/>
      <c r="E840" s="185"/>
      <c r="F840" s="185"/>
      <c r="G840" s="185"/>
      <c r="H840" s="185"/>
      <c r="I840" s="186"/>
      <c r="J840" s="69"/>
      <c r="AA840" s="63">
        <f t="shared" si="248"/>
        <v>0</v>
      </c>
      <c r="AB840" s="153" t="str">
        <f t="shared" si="249"/>
        <v>000</v>
      </c>
      <c r="AC840" s="165" t="str">
        <f t="shared" si="250"/>
        <v>00000000</v>
      </c>
      <c r="AD840" s="98" t="str">
        <f t="shared" si="251"/>
        <v>00000000</v>
      </c>
      <c r="AE840" s="150">
        <f t="shared" si="252"/>
        <v>0</v>
      </c>
      <c r="AF840" s="150">
        <f t="shared" si="253"/>
        <v>0</v>
      </c>
      <c r="AG840" s="98" t="str">
        <f t="shared" si="254"/>
        <v>0000000000</v>
      </c>
      <c r="AH840" s="151">
        <f t="shared" si="255"/>
        <v>0</v>
      </c>
      <c r="AI840" s="98" t="str">
        <f t="shared" si="256"/>
        <v>00</v>
      </c>
      <c r="AJ840" s="98" t="str">
        <f t="shared" si="257"/>
        <v>000000000000</v>
      </c>
      <c r="AK840" s="161" t="str">
        <f t="shared" si="258"/>
        <v xml:space="preserve">                              </v>
      </c>
      <c r="AL840" s="154">
        <f t="shared" si="259"/>
        <v>0</v>
      </c>
      <c r="AM840" s="155">
        <f t="shared" si="260"/>
        <v>0</v>
      </c>
      <c r="AP840" s="63" t="str">
        <f t="shared" si="261"/>
        <v/>
      </c>
      <c r="AQ840" s="63" t="str">
        <f t="shared" si="262"/>
        <v/>
      </c>
      <c r="AR840" s="152" t="str">
        <f t="shared" si="263"/>
        <v/>
      </c>
      <c r="AS840" s="109" t="str">
        <f t="shared" si="264"/>
        <v/>
      </c>
      <c r="AT840" s="63" t="str">
        <f t="shared" si="265"/>
        <v xml:space="preserve">                    </v>
      </c>
    </row>
    <row r="841" spans="1:46" ht="12.75" x14ac:dyDescent="0.2">
      <c r="A841" s="63" t="str">
        <f t="shared" si="266"/>
        <v/>
      </c>
      <c r="B841" s="185"/>
      <c r="C841" s="185"/>
      <c r="D841" s="185"/>
      <c r="E841" s="185"/>
      <c r="F841" s="185"/>
      <c r="G841" s="185"/>
      <c r="H841" s="185"/>
      <c r="I841" s="186"/>
      <c r="J841" s="69"/>
      <c r="AA841" s="63">
        <f t="shared" si="248"/>
        <v>0</v>
      </c>
      <c r="AB841" s="153" t="str">
        <f t="shared" si="249"/>
        <v>000</v>
      </c>
      <c r="AC841" s="165" t="str">
        <f t="shared" si="250"/>
        <v>00000000</v>
      </c>
      <c r="AD841" s="98" t="str">
        <f t="shared" si="251"/>
        <v>00000000</v>
      </c>
      <c r="AE841" s="150">
        <f t="shared" si="252"/>
        <v>0</v>
      </c>
      <c r="AF841" s="150">
        <f t="shared" si="253"/>
        <v>0</v>
      </c>
      <c r="AG841" s="98" t="str">
        <f t="shared" si="254"/>
        <v>0000000000</v>
      </c>
      <c r="AH841" s="151">
        <f t="shared" si="255"/>
        <v>0</v>
      </c>
      <c r="AI841" s="98" t="str">
        <f t="shared" si="256"/>
        <v>00</v>
      </c>
      <c r="AJ841" s="98" t="str">
        <f t="shared" si="257"/>
        <v>000000000000</v>
      </c>
      <c r="AK841" s="161" t="str">
        <f t="shared" si="258"/>
        <v xml:space="preserve">                              </v>
      </c>
      <c r="AL841" s="154">
        <f t="shared" si="259"/>
        <v>0</v>
      </c>
      <c r="AM841" s="155">
        <f t="shared" si="260"/>
        <v>0</v>
      </c>
      <c r="AP841" s="63" t="str">
        <f t="shared" si="261"/>
        <v/>
      </c>
      <c r="AQ841" s="63" t="str">
        <f t="shared" si="262"/>
        <v/>
      </c>
      <c r="AR841" s="152" t="str">
        <f t="shared" si="263"/>
        <v/>
      </c>
      <c r="AS841" s="109" t="str">
        <f t="shared" si="264"/>
        <v/>
      </c>
      <c r="AT841" s="63" t="str">
        <f t="shared" si="265"/>
        <v xml:space="preserve">                    </v>
      </c>
    </row>
    <row r="842" spans="1:46" ht="12.75" x14ac:dyDescent="0.2">
      <c r="A842" s="63" t="str">
        <f t="shared" si="266"/>
        <v/>
      </c>
      <c r="B842" s="185"/>
      <c r="C842" s="185"/>
      <c r="D842" s="185"/>
      <c r="E842" s="185"/>
      <c r="F842" s="185"/>
      <c r="G842" s="185"/>
      <c r="H842" s="185"/>
      <c r="I842" s="186"/>
      <c r="J842" s="69"/>
      <c r="AA842" s="63">
        <f t="shared" si="248"/>
        <v>0</v>
      </c>
      <c r="AB842" s="153" t="str">
        <f t="shared" si="249"/>
        <v>000</v>
      </c>
      <c r="AC842" s="165" t="str">
        <f t="shared" si="250"/>
        <v>00000000</v>
      </c>
      <c r="AD842" s="98" t="str">
        <f t="shared" si="251"/>
        <v>00000000</v>
      </c>
      <c r="AE842" s="150">
        <f t="shared" si="252"/>
        <v>0</v>
      </c>
      <c r="AF842" s="150">
        <f t="shared" si="253"/>
        <v>0</v>
      </c>
      <c r="AG842" s="98" t="str">
        <f t="shared" si="254"/>
        <v>0000000000</v>
      </c>
      <c r="AH842" s="151">
        <f t="shared" si="255"/>
        <v>0</v>
      </c>
      <c r="AI842" s="98" t="str">
        <f t="shared" si="256"/>
        <v>00</v>
      </c>
      <c r="AJ842" s="98" t="str">
        <f t="shared" si="257"/>
        <v>000000000000</v>
      </c>
      <c r="AK842" s="161" t="str">
        <f t="shared" si="258"/>
        <v xml:space="preserve">                              </v>
      </c>
      <c r="AL842" s="154">
        <f t="shared" si="259"/>
        <v>0</v>
      </c>
      <c r="AM842" s="155">
        <f t="shared" si="260"/>
        <v>0</v>
      </c>
      <c r="AP842" s="63" t="str">
        <f t="shared" si="261"/>
        <v/>
      </c>
      <c r="AQ842" s="63" t="str">
        <f t="shared" si="262"/>
        <v/>
      </c>
      <c r="AR842" s="152" t="str">
        <f t="shared" si="263"/>
        <v/>
      </c>
      <c r="AS842" s="109" t="str">
        <f t="shared" si="264"/>
        <v/>
      </c>
      <c r="AT842" s="63" t="str">
        <f t="shared" si="265"/>
        <v xml:space="preserve">                    </v>
      </c>
    </row>
    <row r="843" spans="1:46" ht="12.75" x14ac:dyDescent="0.2">
      <c r="A843" s="63" t="str">
        <f t="shared" si="266"/>
        <v/>
      </c>
      <c r="B843" s="185"/>
      <c r="C843" s="185"/>
      <c r="D843" s="185"/>
      <c r="E843" s="185"/>
      <c r="F843" s="185"/>
      <c r="G843" s="185"/>
      <c r="H843" s="185"/>
      <c r="I843" s="186"/>
      <c r="J843" s="69"/>
      <c r="AA843" s="63">
        <f t="shared" si="248"/>
        <v>0</v>
      </c>
      <c r="AB843" s="153" t="str">
        <f t="shared" si="249"/>
        <v>000</v>
      </c>
      <c r="AC843" s="165" t="str">
        <f t="shared" si="250"/>
        <v>00000000</v>
      </c>
      <c r="AD843" s="98" t="str">
        <f t="shared" si="251"/>
        <v>00000000</v>
      </c>
      <c r="AE843" s="150">
        <f t="shared" si="252"/>
        <v>0</v>
      </c>
      <c r="AF843" s="150">
        <f t="shared" si="253"/>
        <v>0</v>
      </c>
      <c r="AG843" s="98" t="str">
        <f t="shared" si="254"/>
        <v>0000000000</v>
      </c>
      <c r="AH843" s="151">
        <f t="shared" si="255"/>
        <v>0</v>
      </c>
      <c r="AI843" s="98" t="str">
        <f t="shared" si="256"/>
        <v>00</v>
      </c>
      <c r="AJ843" s="98" t="str">
        <f t="shared" si="257"/>
        <v>000000000000</v>
      </c>
      <c r="AK843" s="161" t="str">
        <f t="shared" si="258"/>
        <v xml:space="preserve">                              </v>
      </c>
      <c r="AL843" s="154">
        <f t="shared" si="259"/>
        <v>0</v>
      </c>
      <c r="AM843" s="155">
        <f t="shared" si="260"/>
        <v>0</v>
      </c>
      <c r="AP843" s="63" t="str">
        <f t="shared" si="261"/>
        <v/>
      </c>
      <c r="AQ843" s="63" t="str">
        <f t="shared" si="262"/>
        <v/>
      </c>
      <c r="AR843" s="152" t="str">
        <f t="shared" si="263"/>
        <v/>
      </c>
      <c r="AS843" s="109" t="str">
        <f t="shared" si="264"/>
        <v/>
      </c>
      <c r="AT843" s="63" t="str">
        <f t="shared" si="265"/>
        <v xml:space="preserve">                    </v>
      </c>
    </row>
    <row r="844" spans="1:46" ht="12.75" x14ac:dyDescent="0.2">
      <c r="A844" s="63" t="str">
        <f t="shared" si="266"/>
        <v/>
      </c>
      <c r="B844" s="185"/>
      <c r="C844" s="185"/>
      <c r="D844" s="185"/>
      <c r="E844" s="185"/>
      <c r="F844" s="185"/>
      <c r="G844" s="185"/>
      <c r="H844" s="185"/>
      <c r="I844" s="186"/>
      <c r="J844" s="69"/>
      <c r="AA844" s="63">
        <f t="shared" si="248"/>
        <v>0</v>
      </c>
      <c r="AB844" s="153" t="str">
        <f t="shared" si="249"/>
        <v>000</v>
      </c>
      <c r="AC844" s="165" t="str">
        <f t="shared" si="250"/>
        <v>00000000</v>
      </c>
      <c r="AD844" s="98" t="str">
        <f t="shared" si="251"/>
        <v>00000000</v>
      </c>
      <c r="AE844" s="150">
        <f t="shared" si="252"/>
        <v>0</v>
      </c>
      <c r="AF844" s="150">
        <f t="shared" si="253"/>
        <v>0</v>
      </c>
      <c r="AG844" s="98" t="str">
        <f t="shared" si="254"/>
        <v>0000000000</v>
      </c>
      <c r="AH844" s="151">
        <f t="shared" si="255"/>
        <v>0</v>
      </c>
      <c r="AI844" s="98" t="str">
        <f t="shared" si="256"/>
        <v>00</v>
      </c>
      <c r="AJ844" s="98" t="str">
        <f t="shared" si="257"/>
        <v>000000000000</v>
      </c>
      <c r="AK844" s="161" t="str">
        <f t="shared" si="258"/>
        <v xml:space="preserve">                              </v>
      </c>
      <c r="AL844" s="154">
        <f t="shared" si="259"/>
        <v>0</v>
      </c>
      <c r="AM844" s="155">
        <f t="shared" si="260"/>
        <v>0</v>
      </c>
      <c r="AP844" s="63" t="str">
        <f t="shared" si="261"/>
        <v/>
      </c>
      <c r="AQ844" s="63" t="str">
        <f t="shared" si="262"/>
        <v/>
      </c>
      <c r="AR844" s="152" t="str">
        <f t="shared" si="263"/>
        <v/>
      </c>
      <c r="AS844" s="109" t="str">
        <f t="shared" si="264"/>
        <v/>
      </c>
      <c r="AT844" s="63" t="str">
        <f t="shared" si="265"/>
        <v xml:space="preserve">                    </v>
      </c>
    </row>
    <row r="845" spans="1:46" ht="12.75" x14ac:dyDescent="0.2">
      <c r="A845" s="63" t="str">
        <f t="shared" si="266"/>
        <v/>
      </c>
      <c r="B845" s="185"/>
      <c r="C845" s="185"/>
      <c r="D845" s="185"/>
      <c r="E845" s="185"/>
      <c r="F845" s="185"/>
      <c r="G845" s="185"/>
      <c r="H845" s="185"/>
      <c r="I845" s="186"/>
      <c r="J845" s="69"/>
      <c r="AA845" s="63">
        <f t="shared" si="248"/>
        <v>0</v>
      </c>
      <c r="AB845" s="153" t="str">
        <f t="shared" si="249"/>
        <v>000</v>
      </c>
      <c r="AC845" s="165" t="str">
        <f t="shared" si="250"/>
        <v>00000000</v>
      </c>
      <c r="AD845" s="98" t="str">
        <f t="shared" si="251"/>
        <v>00000000</v>
      </c>
      <c r="AE845" s="150">
        <f t="shared" si="252"/>
        <v>0</v>
      </c>
      <c r="AF845" s="150">
        <f t="shared" si="253"/>
        <v>0</v>
      </c>
      <c r="AG845" s="98" t="str">
        <f t="shared" si="254"/>
        <v>0000000000</v>
      </c>
      <c r="AH845" s="151">
        <f t="shared" si="255"/>
        <v>0</v>
      </c>
      <c r="AI845" s="98" t="str">
        <f t="shared" si="256"/>
        <v>00</v>
      </c>
      <c r="AJ845" s="98" t="str">
        <f t="shared" si="257"/>
        <v>000000000000</v>
      </c>
      <c r="AK845" s="161" t="str">
        <f t="shared" si="258"/>
        <v xml:space="preserve">                              </v>
      </c>
      <c r="AL845" s="154">
        <f t="shared" si="259"/>
        <v>0</v>
      </c>
      <c r="AM845" s="155">
        <f t="shared" si="260"/>
        <v>0</v>
      </c>
      <c r="AP845" s="63" t="str">
        <f t="shared" si="261"/>
        <v/>
      </c>
      <c r="AQ845" s="63" t="str">
        <f t="shared" si="262"/>
        <v/>
      </c>
      <c r="AR845" s="152" t="str">
        <f t="shared" si="263"/>
        <v/>
      </c>
      <c r="AS845" s="109" t="str">
        <f t="shared" si="264"/>
        <v/>
      </c>
      <c r="AT845" s="63" t="str">
        <f t="shared" si="265"/>
        <v xml:space="preserve">                    </v>
      </c>
    </row>
    <row r="846" spans="1:46" ht="12.75" x14ac:dyDescent="0.2">
      <c r="A846" s="63" t="str">
        <f t="shared" si="266"/>
        <v/>
      </c>
      <c r="B846" s="185"/>
      <c r="C846" s="185"/>
      <c r="D846" s="185"/>
      <c r="E846" s="185"/>
      <c r="F846" s="185"/>
      <c r="G846" s="185"/>
      <c r="H846" s="185"/>
      <c r="I846" s="186"/>
      <c r="J846" s="69"/>
      <c r="AA846" s="63">
        <f t="shared" si="248"/>
        <v>0</v>
      </c>
      <c r="AB846" s="153" t="str">
        <f t="shared" si="249"/>
        <v>000</v>
      </c>
      <c r="AC846" s="165" t="str">
        <f t="shared" si="250"/>
        <v>00000000</v>
      </c>
      <c r="AD846" s="98" t="str">
        <f t="shared" si="251"/>
        <v>00000000</v>
      </c>
      <c r="AE846" s="150">
        <f t="shared" si="252"/>
        <v>0</v>
      </c>
      <c r="AF846" s="150">
        <f t="shared" si="253"/>
        <v>0</v>
      </c>
      <c r="AG846" s="98" t="str">
        <f t="shared" si="254"/>
        <v>0000000000</v>
      </c>
      <c r="AH846" s="151">
        <f t="shared" si="255"/>
        <v>0</v>
      </c>
      <c r="AI846" s="98" t="str">
        <f t="shared" si="256"/>
        <v>00</v>
      </c>
      <c r="AJ846" s="98" t="str">
        <f t="shared" si="257"/>
        <v>000000000000</v>
      </c>
      <c r="AK846" s="161" t="str">
        <f t="shared" si="258"/>
        <v xml:space="preserve">                              </v>
      </c>
      <c r="AL846" s="154">
        <f t="shared" si="259"/>
        <v>0</v>
      </c>
      <c r="AM846" s="155">
        <f t="shared" si="260"/>
        <v>0</v>
      </c>
      <c r="AP846" s="63" t="str">
        <f t="shared" si="261"/>
        <v/>
      </c>
      <c r="AQ846" s="63" t="str">
        <f t="shared" si="262"/>
        <v/>
      </c>
      <c r="AR846" s="152" t="str">
        <f t="shared" si="263"/>
        <v/>
      </c>
      <c r="AS846" s="109" t="str">
        <f t="shared" si="264"/>
        <v/>
      </c>
      <c r="AT846" s="63" t="str">
        <f t="shared" si="265"/>
        <v xml:space="preserve">                    </v>
      </c>
    </row>
    <row r="847" spans="1:46" ht="12.75" x14ac:dyDescent="0.2">
      <c r="A847" s="63" t="str">
        <f t="shared" si="266"/>
        <v/>
      </c>
      <c r="B847" s="185"/>
      <c r="C847" s="185"/>
      <c r="D847" s="185"/>
      <c r="E847" s="185"/>
      <c r="F847" s="185"/>
      <c r="G847" s="185"/>
      <c r="H847" s="185"/>
      <c r="I847" s="186"/>
      <c r="J847" s="69"/>
      <c r="AA847" s="63">
        <f t="shared" si="248"/>
        <v>0</v>
      </c>
      <c r="AB847" s="153" t="str">
        <f t="shared" si="249"/>
        <v>000</v>
      </c>
      <c r="AC847" s="165" t="str">
        <f t="shared" si="250"/>
        <v>00000000</v>
      </c>
      <c r="AD847" s="98" t="str">
        <f t="shared" si="251"/>
        <v>00000000</v>
      </c>
      <c r="AE847" s="150">
        <f t="shared" si="252"/>
        <v>0</v>
      </c>
      <c r="AF847" s="150">
        <f t="shared" si="253"/>
        <v>0</v>
      </c>
      <c r="AG847" s="98" t="str">
        <f t="shared" si="254"/>
        <v>0000000000</v>
      </c>
      <c r="AH847" s="151">
        <f t="shared" si="255"/>
        <v>0</v>
      </c>
      <c r="AI847" s="98" t="str">
        <f t="shared" si="256"/>
        <v>00</v>
      </c>
      <c r="AJ847" s="98" t="str">
        <f t="shared" si="257"/>
        <v>000000000000</v>
      </c>
      <c r="AK847" s="161" t="str">
        <f t="shared" si="258"/>
        <v xml:space="preserve">                              </v>
      </c>
      <c r="AL847" s="154">
        <f t="shared" si="259"/>
        <v>0</v>
      </c>
      <c r="AM847" s="155">
        <f t="shared" si="260"/>
        <v>0</v>
      </c>
      <c r="AP847" s="63" t="str">
        <f t="shared" si="261"/>
        <v/>
      </c>
      <c r="AQ847" s="63" t="str">
        <f t="shared" si="262"/>
        <v/>
      </c>
      <c r="AR847" s="152" t="str">
        <f t="shared" si="263"/>
        <v/>
      </c>
      <c r="AS847" s="109" t="str">
        <f t="shared" si="264"/>
        <v/>
      </c>
      <c r="AT847" s="63" t="str">
        <f t="shared" si="265"/>
        <v xml:space="preserve">                    </v>
      </c>
    </row>
    <row r="848" spans="1:46" ht="12.75" x14ac:dyDescent="0.2">
      <c r="A848" s="63" t="str">
        <f t="shared" si="266"/>
        <v/>
      </c>
      <c r="B848" s="185"/>
      <c r="C848" s="185"/>
      <c r="D848" s="185"/>
      <c r="E848" s="185"/>
      <c r="F848" s="185"/>
      <c r="G848" s="185"/>
      <c r="H848" s="185"/>
      <c r="I848" s="186"/>
      <c r="J848" s="69"/>
      <c r="AA848" s="63">
        <f t="shared" si="248"/>
        <v>0</v>
      </c>
      <c r="AB848" s="153" t="str">
        <f t="shared" si="249"/>
        <v>000</v>
      </c>
      <c r="AC848" s="165" t="str">
        <f t="shared" si="250"/>
        <v>00000000</v>
      </c>
      <c r="AD848" s="98" t="str">
        <f t="shared" si="251"/>
        <v>00000000</v>
      </c>
      <c r="AE848" s="150">
        <f t="shared" si="252"/>
        <v>0</v>
      </c>
      <c r="AF848" s="150">
        <f t="shared" si="253"/>
        <v>0</v>
      </c>
      <c r="AG848" s="98" t="str">
        <f t="shared" si="254"/>
        <v>0000000000</v>
      </c>
      <c r="AH848" s="151">
        <f t="shared" si="255"/>
        <v>0</v>
      </c>
      <c r="AI848" s="98" t="str">
        <f t="shared" si="256"/>
        <v>00</v>
      </c>
      <c r="AJ848" s="98" t="str">
        <f t="shared" si="257"/>
        <v>000000000000</v>
      </c>
      <c r="AK848" s="161" t="str">
        <f t="shared" si="258"/>
        <v xml:space="preserve">                              </v>
      </c>
      <c r="AL848" s="154">
        <f t="shared" si="259"/>
        <v>0</v>
      </c>
      <c r="AM848" s="155">
        <f t="shared" si="260"/>
        <v>0</v>
      </c>
      <c r="AP848" s="63" t="str">
        <f t="shared" si="261"/>
        <v/>
      </c>
      <c r="AQ848" s="63" t="str">
        <f t="shared" si="262"/>
        <v/>
      </c>
      <c r="AR848" s="152" t="str">
        <f t="shared" si="263"/>
        <v/>
      </c>
      <c r="AS848" s="109" t="str">
        <f t="shared" si="264"/>
        <v/>
      </c>
      <c r="AT848" s="63" t="str">
        <f t="shared" si="265"/>
        <v xml:space="preserve">                    </v>
      </c>
    </row>
    <row r="849" spans="1:46" ht="12.75" x14ac:dyDescent="0.2">
      <c r="A849" s="63" t="str">
        <f t="shared" si="266"/>
        <v/>
      </c>
      <c r="B849" s="185"/>
      <c r="C849" s="185"/>
      <c r="D849" s="185"/>
      <c r="E849" s="185"/>
      <c r="F849" s="185"/>
      <c r="G849" s="185"/>
      <c r="H849" s="185"/>
      <c r="I849" s="186"/>
      <c r="J849" s="69"/>
      <c r="AA849" s="63">
        <f t="shared" ref="AA849:AA912" si="267">B849</f>
        <v>0</v>
      </c>
      <c r="AB849" s="153" t="str">
        <f t="shared" ref="AB849:AB912" si="268">CONCATENATE(REPT("0",3-LEN(C849)),C849)</f>
        <v>000</v>
      </c>
      <c r="AC849" s="165" t="str">
        <f t="shared" ref="AC849:AC912" si="269">CONCATENATE(REPT("0",8-LEN(D849)),D849)</f>
        <v>00000000</v>
      </c>
      <c r="AD849" s="98" t="str">
        <f t="shared" ref="AD849:AD912" si="270">CONCATENATE(REPT("0",8-LEN(F849)),F849)</f>
        <v>00000000</v>
      </c>
      <c r="AE849" s="150">
        <f t="shared" ref="AE849:AE912" si="271">INT(I849)</f>
        <v>0</v>
      </c>
      <c r="AF849" s="150">
        <f t="shared" ref="AF849:AF912" si="272">I849-AE849</f>
        <v>0</v>
      </c>
      <c r="AG849" s="98" t="str">
        <f t="shared" ref="AG849:AG912" si="273">TEXT(AE849,"0000000000")</f>
        <v>0000000000</v>
      </c>
      <c r="AH849" s="151">
        <f t="shared" ref="AH849:AH912" si="274">AF849*100</f>
        <v>0</v>
      </c>
      <c r="AI849" s="98" t="str">
        <f t="shared" ref="AI849:AI912" si="275">TEXT(AH849,"00")</f>
        <v>00</v>
      </c>
      <c r="AJ849" s="98" t="str">
        <f t="shared" ref="AJ849:AJ912" si="276">CONCATENATE(AG849,AI849)</f>
        <v>000000000000</v>
      </c>
      <c r="AK849" s="161" t="str">
        <f t="shared" ref="AK849:AK912" si="277">CONCATENATE(E849,REPT(" ",30-LEN(E849)))</f>
        <v xml:space="preserve">                              </v>
      </c>
      <c r="AL849" s="154">
        <f t="shared" ref="AL849:AL912" si="278">IF(H849&lt;&gt;"",IF(H849=$H$3,0,1),0)</f>
        <v>0</v>
      </c>
      <c r="AM849" s="155">
        <f t="shared" ref="AM849:AM912" si="279">IF(AL849=1,IF($H$3=1,I849*$K$14,I849/$K$14),I849)</f>
        <v>0</v>
      </c>
      <c r="AP849" s="63" t="str">
        <f t="shared" si="261"/>
        <v/>
      </c>
      <c r="AQ849" s="63" t="str">
        <f t="shared" si="262"/>
        <v/>
      </c>
      <c r="AR849" s="152" t="str">
        <f t="shared" si="263"/>
        <v/>
      </c>
      <c r="AS849" s="109" t="str">
        <f t="shared" si="264"/>
        <v/>
      </c>
      <c r="AT849" s="63" t="str">
        <f t="shared" si="265"/>
        <v xml:space="preserve">                    </v>
      </c>
    </row>
    <row r="850" spans="1:46" ht="12.75" x14ac:dyDescent="0.2">
      <c r="A850" s="63" t="str">
        <f t="shared" si="266"/>
        <v/>
      </c>
      <c r="B850" s="185"/>
      <c r="C850" s="185"/>
      <c r="D850" s="185"/>
      <c r="E850" s="185"/>
      <c r="F850" s="185"/>
      <c r="G850" s="185"/>
      <c r="H850" s="185"/>
      <c r="I850" s="186"/>
      <c r="J850" s="69"/>
      <c r="AA850" s="63">
        <f t="shared" si="267"/>
        <v>0</v>
      </c>
      <c r="AB850" s="153" t="str">
        <f t="shared" si="268"/>
        <v>000</v>
      </c>
      <c r="AC850" s="165" t="str">
        <f t="shared" si="269"/>
        <v>00000000</v>
      </c>
      <c r="AD850" s="98" t="str">
        <f t="shared" si="270"/>
        <v>00000000</v>
      </c>
      <c r="AE850" s="150">
        <f t="shared" si="271"/>
        <v>0</v>
      </c>
      <c r="AF850" s="150">
        <f t="shared" si="272"/>
        <v>0</v>
      </c>
      <c r="AG850" s="98" t="str">
        <f t="shared" si="273"/>
        <v>0000000000</v>
      </c>
      <c r="AH850" s="151">
        <f t="shared" si="274"/>
        <v>0</v>
      </c>
      <c r="AI850" s="98" t="str">
        <f t="shared" si="275"/>
        <v>00</v>
      </c>
      <c r="AJ850" s="98" t="str">
        <f t="shared" si="276"/>
        <v>000000000000</v>
      </c>
      <c r="AK850" s="161" t="str">
        <f t="shared" si="277"/>
        <v xml:space="preserve">                              </v>
      </c>
      <c r="AL850" s="154">
        <f t="shared" si="278"/>
        <v>0</v>
      </c>
      <c r="AM850" s="155">
        <f t="shared" si="279"/>
        <v>0</v>
      </c>
      <c r="AP850" s="63" t="str">
        <f t="shared" ref="AP850:AP913" si="280">IF(D851&lt;&gt;"",CONCATENATE("000",AS850,"0",H851,"2","    ",AD851,AJ851,"            ",AT851,AK851,"                                                                                     "),"")</f>
        <v/>
      </c>
      <c r="AQ850" s="63" t="str">
        <f t="shared" ref="AQ850:AQ913" si="281">IF(D851&lt;&gt;"",CONCATENATE("1520",AA851,AB851,AC851),"")</f>
        <v/>
      </c>
      <c r="AR850" s="152" t="str">
        <f t="shared" ref="AR850:AR913" si="282">IF(D851&lt;&gt;"",MOD(SUM(VALUE(MID($AQ$1,1,1)) * VALUE(MID(AQ850,1,1)),VALUE(MID($AQ$1,2,1)) * VALUE(MID(AQ850,2,1)),VALUE(MID($AQ$1,3,1)) * VALUE(MID(AQ850,3,1)),VALUE(MID($AQ$1,4,1)) * VALUE(MID(AQ850,4,1)),VALUE(MID($AQ$1,5,1)) * VALUE(MID(AQ850,5,1)),VALUE(MID($AQ$1,6,1)) * VALUE(MID(AQ850,6,1)),VALUE(MID($AQ$1,7,1)) * VALUE(MID(AQ850,7,1)),VALUE(MID($AQ$1,8,1)) * VALUE(MID(AQ850,8,1)),VALUE(MID($AQ$1,9,1)) * VALUE(MID(AQ850,9,1)),VALUE(MID($AQ$1,10,1)) * VALUE(MID(AQ850,10,1)),VALUE(MID($AQ$1,11,1)) * VALUE(MID(AQ850,11,1)),VALUE(MID($AQ$1,12,1)) * VALUE(MID(AQ850,12,1)),VALUE(MID($AQ$1,13,1)) * VALUE(MID(AQ850,13,1)),VALUE(MID($AQ$1,14,1)) * VALUE(MID(AQ850,14,1)),VALUE(MID($AQ$1,15,1)) * VALUE(MID(AQ850,15,1)),VALUE(MID($AQ$1,16,1)) * VALUE(MID(AQ850,16,1))),11),"")</f>
        <v/>
      </c>
      <c r="AS850" s="109" t="str">
        <f t="shared" ref="AS850:AS913" si="283">IF(D851&lt;&gt;"",CONCATENATE(AQ850,IF(AR850&gt;9,"1",AR850)),"")</f>
        <v/>
      </c>
      <c r="AT850" s="63" t="str">
        <f t="shared" ref="AT850:AT913" si="284">CONCATENATE(G850,REPT(" ",20-LEN(G850)))</f>
        <v xml:space="preserve">                    </v>
      </c>
    </row>
    <row r="851" spans="1:46" ht="12.75" x14ac:dyDescent="0.2">
      <c r="A851" s="63" t="str">
        <f t="shared" si="266"/>
        <v/>
      </c>
      <c r="B851" s="185"/>
      <c r="C851" s="185"/>
      <c r="D851" s="185"/>
      <c r="E851" s="185"/>
      <c r="F851" s="185"/>
      <c r="G851" s="185"/>
      <c r="H851" s="185"/>
      <c r="I851" s="186"/>
      <c r="J851" s="69"/>
      <c r="AA851" s="63">
        <f t="shared" si="267"/>
        <v>0</v>
      </c>
      <c r="AB851" s="153" t="str">
        <f t="shared" si="268"/>
        <v>000</v>
      </c>
      <c r="AC851" s="165" t="str">
        <f t="shared" si="269"/>
        <v>00000000</v>
      </c>
      <c r="AD851" s="98" t="str">
        <f t="shared" si="270"/>
        <v>00000000</v>
      </c>
      <c r="AE851" s="150">
        <f t="shared" si="271"/>
        <v>0</v>
      </c>
      <c r="AF851" s="150">
        <f t="shared" si="272"/>
        <v>0</v>
      </c>
      <c r="AG851" s="98" t="str">
        <f t="shared" si="273"/>
        <v>0000000000</v>
      </c>
      <c r="AH851" s="151">
        <f t="shared" si="274"/>
        <v>0</v>
      </c>
      <c r="AI851" s="98" t="str">
        <f t="shared" si="275"/>
        <v>00</v>
      </c>
      <c r="AJ851" s="98" t="str">
        <f t="shared" si="276"/>
        <v>000000000000</v>
      </c>
      <c r="AK851" s="161" t="str">
        <f t="shared" si="277"/>
        <v xml:space="preserve">                              </v>
      </c>
      <c r="AL851" s="154">
        <f t="shared" si="278"/>
        <v>0</v>
      </c>
      <c r="AM851" s="155">
        <f t="shared" si="279"/>
        <v>0</v>
      </c>
      <c r="AP851" s="63" t="str">
        <f t="shared" si="280"/>
        <v/>
      </c>
      <c r="AQ851" s="63" t="str">
        <f t="shared" si="281"/>
        <v/>
      </c>
      <c r="AR851" s="152" t="str">
        <f t="shared" si="282"/>
        <v/>
      </c>
      <c r="AS851" s="109" t="str">
        <f t="shared" si="283"/>
        <v/>
      </c>
      <c r="AT851" s="63" t="str">
        <f t="shared" si="284"/>
        <v xml:space="preserve">                    </v>
      </c>
    </row>
    <row r="852" spans="1:46" ht="12.75" x14ac:dyDescent="0.2">
      <c r="A852" s="63" t="str">
        <f t="shared" si="266"/>
        <v/>
      </c>
      <c r="B852" s="185"/>
      <c r="C852" s="185"/>
      <c r="D852" s="185"/>
      <c r="E852" s="185"/>
      <c r="F852" s="185"/>
      <c r="G852" s="185"/>
      <c r="H852" s="185"/>
      <c r="I852" s="186"/>
      <c r="J852" s="69"/>
      <c r="AA852" s="63">
        <f t="shared" si="267"/>
        <v>0</v>
      </c>
      <c r="AB852" s="153" t="str">
        <f t="shared" si="268"/>
        <v>000</v>
      </c>
      <c r="AC852" s="165" t="str">
        <f t="shared" si="269"/>
        <v>00000000</v>
      </c>
      <c r="AD852" s="98" t="str">
        <f t="shared" si="270"/>
        <v>00000000</v>
      </c>
      <c r="AE852" s="150">
        <f t="shared" si="271"/>
        <v>0</v>
      </c>
      <c r="AF852" s="150">
        <f t="shared" si="272"/>
        <v>0</v>
      </c>
      <c r="AG852" s="98" t="str">
        <f t="shared" si="273"/>
        <v>0000000000</v>
      </c>
      <c r="AH852" s="151">
        <f t="shared" si="274"/>
        <v>0</v>
      </c>
      <c r="AI852" s="98" t="str">
        <f t="shared" si="275"/>
        <v>00</v>
      </c>
      <c r="AJ852" s="98" t="str">
        <f t="shared" si="276"/>
        <v>000000000000</v>
      </c>
      <c r="AK852" s="161" t="str">
        <f t="shared" si="277"/>
        <v xml:space="preserve">                              </v>
      </c>
      <c r="AL852" s="154">
        <f t="shared" si="278"/>
        <v>0</v>
      </c>
      <c r="AM852" s="155">
        <f t="shared" si="279"/>
        <v>0</v>
      </c>
      <c r="AP852" s="63" t="str">
        <f t="shared" si="280"/>
        <v/>
      </c>
      <c r="AQ852" s="63" t="str">
        <f t="shared" si="281"/>
        <v/>
      </c>
      <c r="AR852" s="152" t="str">
        <f t="shared" si="282"/>
        <v/>
      </c>
      <c r="AS852" s="109" t="str">
        <f t="shared" si="283"/>
        <v/>
      </c>
      <c r="AT852" s="63" t="str">
        <f t="shared" si="284"/>
        <v xml:space="preserve">                    </v>
      </c>
    </row>
    <row r="853" spans="1:46" ht="12.75" x14ac:dyDescent="0.2">
      <c r="A853" s="63" t="str">
        <f t="shared" si="266"/>
        <v/>
      </c>
      <c r="B853" s="185"/>
      <c r="C853" s="185"/>
      <c r="D853" s="185"/>
      <c r="E853" s="185"/>
      <c r="F853" s="185"/>
      <c r="G853" s="185"/>
      <c r="H853" s="185"/>
      <c r="I853" s="186"/>
      <c r="J853" s="69"/>
      <c r="AA853" s="63">
        <f t="shared" si="267"/>
        <v>0</v>
      </c>
      <c r="AB853" s="153" t="str">
        <f t="shared" si="268"/>
        <v>000</v>
      </c>
      <c r="AC853" s="165" t="str">
        <f t="shared" si="269"/>
        <v>00000000</v>
      </c>
      <c r="AD853" s="98" t="str">
        <f t="shared" si="270"/>
        <v>00000000</v>
      </c>
      <c r="AE853" s="150">
        <f t="shared" si="271"/>
        <v>0</v>
      </c>
      <c r="AF853" s="150">
        <f t="shared" si="272"/>
        <v>0</v>
      </c>
      <c r="AG853" s="98" t="str">
        <f t="shared" si="273"/>
        <v>0000000000</v>
      </c>
      <c r="AH853" s="151">
        <f t="shared" si="274"/>
        <v>0</v>
      </c>
      <c r="AI853" s="98" t="str">
        <f t="shared" si="275"/>
        <v>00</v>
      </c>
      <c r="AJ853" s="98" t="str">
        <f t="shared" si="276"/>
        <v>000000000000</v>
      </c>
      <c r="AK853" s="161" t="str">
        <f t="shared" si="277"/>
        <v xml:space="preserve">                              </v>
      </c>
      <c r="AL853" s="154">
        <f t="shared" si="278"/>
        <v>0</v>
      </c>
      <c r="AM853" s="155">
        <f t="shared" si="279"/>
        <v>0</v>
      </c>
      <c r="AP853" s="63" t="str">
        <f t="shared" si="280"/>
        <v/>
      </c>
      <c r="AQ853" s="63" t="str">
        <f t="shared" si="281"/>
        <v/>
      </c>
      <c r="AR853" s="152" t="str">
        <f t="shared" si="282"/>
        <v/>
      </c>
      <c r="AS853" s="109" t="str">
        <f t="shared" si="283"/>
        <v/>
      </c>
      <c r="AT853" s="63" t="str">
        <f t="shared" si="284"/>
        <v xml:space="preserve">                    </v>
      </c>
    </row>
    <row r="854" spans="1:46" ht="12.75" x14ac:dyDescent="0.2">
      <c r="A854" s="63" t="str">
        <f t="shared" si="266"/>
        <v/>
      </c>
      <c r="B854" s="185"/>
      <c r="C854" s="185"/>
      <c r="D854" s="185"/>
      <c r="E854" s="185"/>
      <c r="F854" s="185"/>
      <c r="G854" s="185"/>
      <c r="H854" s="185"/>
      <c r="I854" s="186"/>
      <c r="J854" s="69"/>
      <c r="AA854" s="63">
        <f t="shared" si="267"/>
        <v>0</v>
      </c>
      <c r="AB854" s="153" t="str">
        <f t="shared" si="268"/>
        <v>000</v>
      </c>
      <c r="AC854" s="165" t="str">
        <f t="shared" si="269"/>
        <v>00000000</v>
      </c>
      <c r="AD854" s="98" t="str">
        <f t="shared" si="270"/>
        <v>00000000</v>
      </c>
      <c r="AE854" s="150">
        <f t="shared" si="271"/>
        <v>0</v>
      </c>
      <c r="AF854" s="150">
        <f t="shared" si="272"/>
        <v>0</v>
      </c>
      <c r="AG854" s="98" t="str">
        <f t="shared" si="273"/>
        <v>0000000000</v>
      </c>
      <c r="AH854" s="151">
        <f t="shared" si="274"/>
        <v>0</v>
      </c>
      <c r="AI854" s="98" t="str">
        <f t="shared" si="275"/>
        <v>00</v>
      </c>
      <c r="AJ854" s="98" t="str">
        <f t="shared" si="276"/>
        <v>000000000000</v>
      </c>
      <c r="AK854" s="161" t="str">
        <f t="shared" si="277"/>
        <v xml:space="preserve">                              </v>
      </c>
      <c r="AL854" s="154">
        <f t="shared" si="278"/>
        <v>0</v>
      </c>
      <c r="AM854" s="155">
        <f t="shared" si="279"/>
        <v>0</v>
      </c>
      <c r="AP854" s="63" t="str">
        <f t="shared" si="280"/>
        <v/>
      </c>
      <c r="AQ854" s="63" t="str">
        <f t="shared" si="281"/>
        <v/>
      </c>
      <c r="AR854" s="152" t="str">
        <f t="shared" si="282"/>
        <v/>
      </c>
      <c r="AS854" s="109" t="str">
        <f t="shared" si="283"/>
        <v/>
      </c>
      <c r="AT854" s="63" t="str">
        <f t="shared" si="284"/>
        <v xml:space="preserve">                    </v>
      </c>
    </row>
    <row r="855" spans="1:46" ht="12.75" x14ac:dyDescent="0.2">
      <c r="A855" s="63" t="str">
        <f t="shared" si="266"/>
        <v/>
      </c>
      <c r="B855" s="185"/>
      <c r="C855" s="185"/>
      <c r="D855" s="185"/>
      <c r="E855" s="185"/>
      <c r="F855" s="185"/>
      <c r="G855" s="185"/>
      <c r="H855" s="185"/>
      <c r="I855" s="186"/>
      <c r="J855" s="69"/>
      <c r="AA855" s="63">
        <f t="shared" si="267"/>
        <v>0</v>
      </c>
      <c r="AB855" s="153" t="str">
        <f t="shared" si="268"/>
        <v>000</v>
      </c>
      <c r="AC855" s="165" t="str">
        <f t="shared" si="269"/>
        <v>00000000</v>
      </c>
      <c r="AD855" s="98" t="str">
        <f t="shared" si="270"/>
        <v>00000000</v>
      </c>
      <c r="AE855" s="150">
        <f t="shared" si="271"/>
        <v>0</v>
      </c>
      <c r="AF855" s="150">
        <f t="shared" si="272"/>
        <v>0</v>
      </c>
      <c r="AG855" s="98" t="str">
        <f t="shared" si="273"/>
        <v>0000000000</v>
      </c>
      <c r="AH855" s="151">
        <f t="shared" si="274"/>
        <v>0</v>
      </c>
      <c r="AI855" s="98" t="str">
        <f t="shared" si="275"/>
        <v>00</v>
      </c>
      <c r="AJ855" s="98" t="str">
        <f t="shared" si="276"/>
        <v>000000000000</v>
      </c>
      <c r="AK855" s="161" t="str">
        <f t="shared" si="277"/>
        <v xml:space="preserve">                              </v>
      </c>
      <c r="AL855" s="154">
        <f t="shared" si="278"/>
        <v>0</v>
      </c>
      <c r="AM855" s="155">
        <f t="shared" si="279"/>
        <v>0</v>
      </c>
      <c r="AP855" s="63" t="str">
        <f t="shared" si="280"/>
        <v/>
      </c>
      <c r="AQ855" s="63" t="str">
        <f t="shared" si="281"/>
        <v/>
      </c>
      <c r="AR855" s="152" t="str">
        <f t="shared" si="282"/>
        <v/>
      </c>
      <c r="AS855" s="109" t="str">
        <f t="shared" si="283"/>
        <v/>
      </c>
      <c r="AT855" s="63" t="str">
        <f t="shared" si="284"/>
        <v xml:space="preserve">                    </v>
      </c>
    </row>
    <row r="856" spans="1:46" ht="12.75" x14ac:dyDescent="0.2">
      <c r="A856" s="63" t="str">
        <f t="shared" si="266"/>
        <v/>
      </c>
      <c r="B856" s="185"/>
      <c r="C856" s="185"/>
      <c r="D856" s="185"/>
      <c r="E856" s="185"/>
      <c r="F856" s="185"/>
      <c r="G856" s="185"/>
      <c r="H856" s="185"/>
      <c r="I856" s="186"/>
      <c r="J856" s="69"/>
      <c r="AA856" s="63">
        <f t="shared" si="267"/>
        <v>0</v>
      </c>
      <c r="AB856" s="153" t="str">
        <f t="shared" si="268"/>
        <v>000</v>
      </c>
      <c r="AC856" s="165" t="str">
        <f t="shared" si="269"/>
        <v>00000000</v>
      </c>
      <c r="AD856" s="98" t="str">
        <f t="shared" si="270"/>
        <v>00000000</v>
      </c>
      <c r="AE856" s="150">
        <f t="shared" si="271"/>
        <v>0</v>
      </c>
      <c r="AF856" s="150">
        <f t="shared" si="272"/>
        <v>0</v>
      </c>
      <c r="AG856" s="98" t="str">
        <f t="shared" si="273"/>
        <v>0000000000</v>
      </c>
      <c r="AH856" s="151">
        <f t="shared" si="274"/>
        <v>0</v>
      </c>
      <c r="AI856" s="98" t="str">
        <f t="shared" si="275"/>
        <v>00</v>
      </c>
      <c r="AJ856" s="98" t="str">
        <f t="shared" si="276"/>
        <v>000000000000</v>
      </c>
      <c r="AK856" s="161" t="str">
        <f t="shared" si="277"/>
        <v xml:space="preserve">                              </v>
      </c>
      <c r="AL856" s="154">
        <f t="shared" si="278"/>
        <v>0</v>
      </c>
      <c r="AM856" s="155">
        <f t="shared" si="279"/>
        <v>0</v>
      </c>
      <c r="AP856" s="63" t="str">
        <f t="shared" si="280"/>
        <v/>
      </c>
      <c r="AQ856" s="63" t="str">
        <f t="shared" si="281"/>
        <v/>
      </c>
      <c r="AR856" s="152" t="str">
        <f t="shared" si="282"/>
        <v/>
      </c>
      <c r="AS856" s="109" t="str">
        <f t="shared" si="283"/>
        <v/>
      </c>
      <c r="AT856" s="63" t="str">
        <f t="shared" si="284"/>
        <v xml:space="preserve">                    </v>
      </c>
    </row>
    <row r="857" spans="1:46" ht="12.75" x14ac:dyDescent="0.2">
      <c r="A857" s="63" t="str">
        <f t="shared" si="266"/>
        <v/>
      </c>
      <c r="B857" s="185"/>
      <c r="C857" s="185"/>
      <c r="D857" s="185"/>
      <c r="E857" s="185"/>
      <c r="F857" s="185"/>
      <c r="G857" s="185"/>
      <c r="H857" s="185"/>
      <c r="I857" s="186"/>
      <c r="J857" s="69"/>
      <c r="AA857" s="63">
        <f t="shared" si="267"/>
        <v>0</v>
      </c>
      <c r="AB857" s="153" t="str">
        <f t="shared" si="268"/>
        <v>000</v>
      </c>
      <c r="AC857" s="165" t="str">
        <f t="shared" si="269"/>
        <v>00000000</v>
      </c>
      <c r="AD857" s="98" t="str">
        <f t="shared" si="270"/>
        <v>00000000</v>
      </c>
      <c r="AE857" s="150">
        <f t="shared" si="271"/>
        <v>0</v>
      </c>
      <c r="AF857" s="150">
        <f t="shared" si="272"/>
        <v>0</v>
      </c>
      <c r="AG857" s="98" t="str">
        <f t="shared" si="273"/>
        <v>0000000000</v>
      </c>
      <c r="AH857" s="151">
        <f t="shared" si="274"/>
        <v>0</v>
      </c>
      <c r="AI857" s="98" t="str">
        <f t="shared" si="275"/>
        <v>00</v>
      </c>
      <c r="AJ857" s="98" t="str">
        <f t="shared" si="276"/>
        <v>000000000000</v>
      </c>
      <c r="AK857" s="161" t="str">
        <f t="shared" si="277"/>
        <v xml:space="preserve">                              </v>
      </c>
      <c r="AL857" s="154">
        <f t="shared" si="278"/>
        <v>0</v>
      </c>
      <c r="AM857" s="155">
        <f t="shared" si="279"/>
        <v>0</v>
      </c>
      <c r="AP857" s="63" t="str">
        <f t="shared" si="280"/>
        <v/>
      </c>
      <c r="AQ857" s="63" t="str">
        <f t="shared" si="281"/>
        <v/>
      </c>
      <c r="AR857" s="152" t="str">
        <f t="shared" si="282"/>
        <v/>
      </c>
      <c r="AS857" s="109" t="str">
        <f t="shared" si="283"/>
        <v/>
      </c>
      <c r="AT857" s="63" t="str">
        <f t="shared" si="284"/>
        <v xml:space="preserve">                    </v>
      </c>
    </row>
    <row r="858" spans="1:46" ht="12.75" x14ac:dyDescent="0.2">
      <c r="A858" s="63" t="str">
        <f t="shared" si="266"/>
        <v/>
      </c>
      <c r="B858" s="185"/>
      <c r="C858" s="185"/>
      <c r="D858" s="185"/>
      <c r="E858" s="185"/>
      <c r="F858" s="185"/>
      <c r="G858" s="185"/>
      <c r="H858" s="185"/>
      <c r="I858" s="186"/>
      <c r="J858" s="69"/>
      <c r="AA858" s="63">
        <f t="shared" si="267"/>
        <v>0</v>
      </c>
      <c r="AB858" s="153" t="str">
        <f t="shared" si="268"/>
        <v>000</v>
      </c>
      <c r="AC858" s="165" t="str">
        <f t="shared" si="269"/>
        <v>00000000</v>
      </c>
      <c r="AD858" s="98" t="str">
        <f t="shared" si="270"/>
        <v>00000000</v>
      </c>
      <c r="AE858" s="150">
        <f t="shared" si="271"/>
        <v>0</v>
      </c>
      <c r="AF858" s="150">
        <f t="shared" si="272"/>
        <v>0</v>
      </c>
      <c r="AG858" s="98" t="str">
        <f t="shared" si="273"/>
        <v>0000000000</v>
      </c>
      <c r="AH858" s="151">
        <f t="shared" si="274"/>
        <v>0</v>
      </c>
      <c r="AI858" s="98" t="str">
        <f t="shared" si="275"/>
        <v>00</v>
      </c>
      <c r="AJ858" s="98" t="str">
        <f t="shared" si="276"/>
        <v>000000000000</v>
      </c>
      <c r="AK858" s="161" t="str">
        <f t="shared" si="277"/>
        <v xml:space="preserve">                              </v>
      </c>
      <c r="AL858" s="154">
        <f t="shared" si="278"/>
        <v>0</v>
      </c>
      <c r="AM858" s="155">
        <f t="shared" si="279"/>
        <v>0</v>
      </c>
      <c r="AP858" s="63" t="str">
        <f t="shared" si="280"/>
        <v/>
      </c>
      <c r="AQ858" s="63" t="str">
        <f t="shared" si="281"/>
        <v/>
      </c>
      <c r="AR858" s="152" t="str">
        <f t="shared" si="282"/>
        <v/>
      </c>
      <c r="AS858" s="109" t="str">
        <f t="shared" si="283"/>
        <v/>
      </c>
      <c r="AT858" s="63" t="str">
        <f t="shared" si="284"/>
        <v xml:space="preserve">                    </v>
      </c>
    </row>
    <row r="859" spans="1:46" ht="12.75" x14ac:dyDescent="0.2">
      <c r="A859" s="63" t="str">
        <f t="shared" si="266"/>
        <v/>
      </c>
      <c r="B859" s="185"/>
      <c r="C859" s="185"/>
      <c r="D859" s="185"/>
      <c r="E859" s="185"/>
      <c r="F859" s="185"/>
      <c r="G859" s="185"/>
      <c r="H859" s="185"/>
      <c r="I859" s="186"/>
      <c r="J859" s="69"/>
      <c r="AA859" s="63">
        <f t="shared" si="267"/>
        <v>0</v>
      </c>
      <c r="AB859" s="153" t="str">
        <f t="shared" si="268"/>
        <v>000</v>
      </c>
      <c r="AC859" s="165" t="str">
        <f t="shared" si="269"/>
        <v>00000000</v>
      </c>
      <c r="AD859" s="98" t="str">
        <f t="shared" si="270"/>
        <v>00000000</v>
      </c>
      <c r="AE859" s="150">
        <f t="shared" si="271"/>
        <v>0</v>
      </c>
      <c r="AF859" s="150">
        <f t="shared" si="272"/>
        <v>0</v>
      </c>
      <c r="AG859" s="98" t="str">
        <f t="shared" si="273"/>
        <v>0000000000</v>
      </c>
      <c r="AH859" s="151">
        <f t="shared" si="274"/>
        <v>0</v>
      </c>
      <c r="AI859" s="98" t="str">
        <f t="shared" si="275"/>
        <v>00</v>
      </c>
      <c r="AJ859" s="98" t="str">
        <f t="shared" si="276"/>
        <v>000000000000</v>
      </c>
      <c r="AK859" s="161" t="str">
        <f t="shared" si="277"/>
        <v xml:space="preserve">                              </v>
      </c>
      <c r="AL859" s="154">
        <f t="shared" si="278"/>
        <v>0</v>
      </c>
      <c r="AM859" s="155">
        <f t="shared" si="279"/>
        <v>0</v>
      </c>
      <c r="AP859" s="63" t="str">
        <f t="shared" si="280"/>
        <v/>
      </c>
      <c r="AQ859" s="63" t="str">
        <f t="shared" si="281"/>
        <v/>
      </c>
      <c r="AR859" s="152" t="str">
        <f t="shared" si="282"/>
        <v/>
      </c>
      <c r="AS859" s="109" t="str">
        <f t="shared" si="283"/>
        <v/>
      </c>
      <c r="AT859" s="63" t="str">
        <f t="shared" si="284"/>
        <v xml:space="preserve">                    </v>
      </c>
    </row>
    <row r="860" spans="1:46" ht="12.75" x14ac:dyDescent="0.2">
      <c r="A860" s="63" t="str">
        <f t="shared" si="266"/>
        <v/>
      </c>
      <c r="B860" s="185"/>
      <c r="C860" s="185"/>
      <c r="D860" s="185"/>
      <c r="E860" s="185"/>
      <c r="F860" s="185"/>
      <c r="G860" s="185"/>
      <c r="H860" s="185"/>
      <c r="I860" s="186"/>
      <c r="J860" s="69"/>
      <c r="AA860" s="63">
        <f t="shared" si="267"/>
        <v>0</v>
      </c>
      <c r="AB860" s="153" t="str">
        <f t="shared" si="268"/>
        <v>000</v>
      </c>
      <c r="AC860" s="165" t="str">
        <f t="shared" si="269"/>
        <v>00000000</v>
      </c>
      <c r="AD860" s="98" t="str">
        <f t="shared" si="270"/>
        <v>00000000</v>
      </c>
      <c r="AE860" s="150">
        <f t="shared" si="271"/>
        <v>0</v>
      </c>
      <c r="AF860" s="150">
        <f t="shared" si="272"/>
        <v>0</v>
      </c>
      <c r="AG860" s="98" t="str">
        <f t="shared" si="273"/>
        <v>0000000000</v>
      </c>
      <c r="AH860" s="151">
        <f t="shared" si="274"/>
        <v>0</v>
      </c>
      <c r="AI860" s="98" t="str">
        <f t="shared" si="275"/>
        <v>00</v>
      </c>
      <c r="AJ860" s="98" t="str">
        <f t="shared" si="276"/>
        <v>000000000000</v>
      </c>
      <c r="AK860" s="161" t="str">
        <f t="shared" si="277"/>
        <v xml:space="preserve">                              </v>
      </c>
      <c r="AL860" s="154">
        <f t="shared" si="278"/>
        <v>0</v>
      </c>
      <c r="AM860" s="155">
        <f t="shared" si="279"/>
        <v>0</v>
      </c>
      <c r="AP860" s="63" t="str">
        <f t="shared" si="280"/>
        <v/>
      </c>
      <c r="AQ860" s="63" t="str">
        <f t="shared" si="281"/>
        <v/>
      </c>
      <c r="AR860" s="152" t="str">
        <f t="shared" si="282"/>
        <v/>
      </c>
      <c r="AS860" s="109" t="str">
        <f t="shared" si="283"/>
        <v/>
      </c>
      <c r="AT860" s="63" t="str">
        <f t="shared" si="284"/>
        <v xml:space="preserve">                    </v>
      </c>
    </row>
    <row r="861" spans="1:46" ht="12.75" x14ac:dyDescent="0.2">
      <c r="A861" s="63" t="str">
        <f t="shared" si="266"/>
        <v/>
      </c>
      <c r="B861" s="185"/>
      <c r="C861" s="185"/>
      <c r="D861" s="185"/>
      <c r="E861" s="185"/>
      <c r="F861" s="185"/>
      <c r="G861" s="185"/>
      <c r="H861" s="185"/>
      <c r="I861" s="186"/>
      <c r="J861" s="69"/>
      <c r="AA861" s="63">
        <f t="shared" si="267"/>
        <v>0</v>
      </c>
      <c r="AB861" s="153" t="str">
        <f t="shared" si="268"/>
        <v>000</v>
      </c>
      <c r="AC861" s="165" t="str">
        <f t="shared" si="269"/>
        <v>00000000</v>
      </c>
      <c r="AD861" s="98" t="str">
        <f t="shared" si="270"/>
        <v>00000000</v>
      </c>
      <c r="AE861" s="150">
        <f t="shared" si="271"/>
        <v>0</v>
      </c>
      <c r="AF861" s="150">
        <f t="shared" si="272"/>
        <v>0</v>
      </c>
      <c r="AG861" s="98" t="str">
        <f t="shared" si="273"/>
        <v>0000000000</v>
      </c>
      <c r="AH861" s="151">
        <f t="shared" si="274"/>
        <v>0</v>
      </c>
      <c r="AI861" s="98" t="str">
        <f t="shared" si="275"/>
        <v>00</v>
      </c>
      <c r="AJ861" s="98" t="str">
        <f t="shared" si="276"/>
        <v>000000000000</v>
      </c>
      <c r="AK861" s="161" t="str">
        <f t="shared" si="277"/>
        <v xml:space="preserve">                              </v>
      </c>
      <c r="AL861" s="154">
        <f t="shared" si="278"/>
        <v>0</v>
      </c>
      <c r="AM861" s="155">
        <f t="shared" si="279"/>
        <v>0</v>
      </c>
      <c r="AP861" s="63" t="str">
        <f t="shared" si="280"/>
        <v/>
      </c>
      <c r="AQ861" s="63" t="str">
        <f t="shared" si="281"/>
        <v/>
      </c>
      <c r="AR861" s="152" t="str">
        <f t="shared" si="282"/>
        <v/>
      </c>
      <c r="AS861" s="109" t="str">
        <f t="shared" si="283"/>
        <v/>
      </c>
      <c r="AT861" s="63" t="str">
        <f t="shared" si="284"/>
        <v xml:space="preserve">                    </v>
      </c>
    </row>
    <row r="862" spans="1:46" ht="12.75" x14ac:dyDescent="0.2">
      <c r="A862" s="63" t="str">
        <f t="shared" si="266"/>
        <v/>
      </c>
      <c r="B862" s="185"/>
      <c r="C862" s="185"/>
      <c r="D862" s="185"/>
      <c r="E862" s="185"/>
      <c r="F862" s="185"/>
      <c r="G862" s="185"/>
      <c r="H862" s="185"/>
      <c r="I862" s="186"/>
      <c r="J862" s="69"/>
      <c r="AA862" s="63">
        <f t="shared" si="267"/>
        <v>0</v>
      </c>
      <c r="AB862" s="153" t="str">
        <f t="shared" si="268"/>
        <v>000</v>
      </c>
      <c r="AC862" s="165" t="str">
        <f t="shared" si="269"/>
        <v>00000000</v>
      </c>
      <c r="AD862" s="98" t="str">
        <f t="shared" si="270"/>
        <v>00000000</v>
      </c>
      <c r="AE862" s="150">
        <f t="shared" si="271"/>
        <v>0</v>
      </c>
      <c r="AF862" s="150">
        <f t="shared" si="272"/>
        <v>0</v>
      </c>
      <c r="AG862" s="98" t="str">
        <f t="shared" si="273"/>
        <v>0000000000</v>
      </c>
      <c r="AH862" s="151">
        <f t="shared" si="274"/>
        <v>0</v>
      </c>
      <c r="AI862" s="98" t="str">
        <f t="shared" si="275"/>
        <v>00</v>
      </c>
      <c r="AJ862" s="98" t="str">
        <f t="shared" si="276"/>
        <v>000000000000</v>
      </c>
      <c r="AK862" s="161" t="str">
        <f t="shared" si="277"/>
        <v xml:space="preserve">                              </v>
      </c>
      <c r="AL862" s="154">
        <f t="shared" si="278"/>
        <v>0</v>
      </c>
      <c r="AM862" s="155">
        <f t="shared" si="279"/>
        <v>0</v>
      </c>
      <c r="AP862" s="63" t="str">
        <f t="shared" si="280"/>
        <v/>
      </c>
      <c r="AQ862" s="63" t="str">
        <f t="shared" si="281"/>
        <v/>
      </c>
      <c r="AR862" s="152" t="str">
        <f t="shared" si="282"/>
        <v/>
      </c>
      <c r="AS862" s="109" t="str">
        <f t="shared" si="283"/>
        <v/>
      </c>
      <c r="AT862" s="63" t="str">
        <f t="shared" si="284"/>
        <v xml:space="preserve">                    </v>
      </c>
    </row>
    <row r="863" spans="1:46" ht="12.75" x14ac:dyDescent="0.2">
      <c r="A863" s="63" t="str">
        <f t="shared" si="266"/>
        <v/>
      </c>
      <c r="B863" s="185"/>
      <c r="C863" s="185"/>
      <c r="D863" s="185"/>
      <c r="E863" s="185"/>
      <c r="F863" s="185"/>
      <c r="G863" s="185"/>
      <c r="H863" s="185"/>
      <c r="I863" s="186"/>
      <c r="J863" s="69"/>
      <c r="AA863" s="63">
        <f t="shared" si="267"/>
        <v>0</v>
      </c>
      <c r="AB863" s="153" t="str">
        <f t="shared" si="268"/>
        <v>000</v>
      </c>
      <c r="AC863" s="165" t="str">
        <f t="shared" si="269"/>
        <v>00000000</v>
      </c>
      <c r="AD863" s="98" t="str">
        <f t="shared" si="270"/>
        <v>00000000</v>
      </c>
      <c r="AE863" s="150">
        <f t="shared" si="271"/>
        <v>0</v>
      </c>
      <c r="AF863" s="150">
        <f t="shared" si="272"/>
        <v>0</v>
      </c>
      <c r="AG863" s="98" t="str">
        <f t="shared" si="273"/>
        <v>0000000000</v>
      </c>
      <c r="AH863" s="151">
        <f t="shared" si="274"/>
        <v>0</v>
      </c>
      <c r="AI863" s="98" t="str">
        <f t="shared" si="275"/>
        <v>00</v>
      </c>
      <c r="AJ863" s="98" t="str">
        <f t="shared" si="276"/>
        <v>000000000000</v>
      </c>
      <c r="AK863" s="161" t="str">
        <f t="shared" si="277"/>
        <v xml:space="preserve">                              </v>
      </c>
      <c r="AL863" s="154">
        <f t="shared" si="278"/>
        <v>0</v>
      </c>
      <c r="AM863" s="155">
        <f t="shared" si="279"/>
        <v>0</v>
      </c>
      <c r="AP863" s="63" t="str">
        <f t="shared" si="280"/>
        <v/>
      </c>
      <c r="AQ863" s="63" t="str">
        <f t="shared" si="281"/>
        <v/>
      </c>
      <c r="AR863" s="152" t="str">
        <f t="shared" si="282"/>
        <v/>
      </c>
      <c r="AS863" s="109" t="str">
        <f t="shared" si="283"/>
        <v/>
      </c>
      <c r="AT863" s="63" t="str">
        <f t="shared" si="284"/>
        <v xml:space="preserve">                    </v>
      </c>
    </row>
    <row r="864" spans="1:46" ht="12.75" x14ac:dyDescent="0.2">
      <c r="A864" s="63" t="str">
        <f t="shared" si="266"/>
        <v/>
      </c>
      <c r="B864" s="185"/>
      <c r="C864" s="185"/>
      <c r="D864" s="185"/>
      <c r="E864" s="185"/>
      <c r="F864" s="185"/>
      <c r="G864" s="185"/>
      <c r="H864" s="185"/>
      <c r="I864" s="186"/>
      <c r="J864" s="69"/>
      <c r="AA864" s="63">
        <f t="shared" si="267"/>
        <v>0</v>
      </c>
      <c r="AB864" s="153" t="str">
        <f t="shared" si="268"/>
        <v>000</v>
      </c>
      <c r="AC864" s="165" t="str">
        <f t="shared" si="269"/>
        <v>00000000</v>
      </c>
      <c r="AD864" s="98" t="str">
        <f t="shared" si="270"/>
        <v>00000000</v>
      </c>
      <c r="AE864" s="150">
        <f t="shared" si="271"/>
        <v>0</v>
      </c>
      <c r="AF864" s="150">
        <f t="shared" si="272"/>
        <v>0</v>
      </c>
      <c r="AG864" s="98" t="str">
        <f t="shared" si="273"/>
        <v>0000000000</v>
      </c>
      <c r="AH864" s="151">
        <f t="shared" si="274"/>
        <v>0</v>
      </c>
      <c r="AI864" s="98" t="str">
        <f t="shared" si="275"/>
        <v>00</v>
      </c>
      <c r="AJ864" s="98" t="str">
        <f t="shared" si="276"/>
        <v>000000000000</v>
      </c>
      <c r="AK864" s="161" t="str">
        <f t="shared" si="277"/>
        <v xml:space="preserve">                              </v>
      </c>
      <c r="AL864" s="154">
        <f t="shared" si="278"/>
        <v>0</v>
      </c>
      <c r="AM864" s="155">
        <f t="shared" si="279"/>
        <v>0</v>
      </c>
      <c r="AP864" s="63" t="str">
        <f t="shared" si="280"/>
        <v/>
      </c>
      <c r="AQ864" s="63" t="str">
        <f t="shared" si="281"/>
        <v/>
      </c>
      <c r="AR864" s="152" t="str">
        <f t="shared" si="282"/>
        <v/>
      </c>
      <c r="AS864" s="109" t="str">
        <f t="shared" si="283"/>
        <v/>
      </c>
      <c r="AT864" s="63" t="str">
        <f t="shared" si="284"/>
        <v xml:space="preserve">                    </v>
      </c>
    </row>
    <row r="865" spans="1:46" ht="12.75" x14ac:dyDescent="0.2">
      <c r="A865" s="63" t="str">
        <f t="shared" si="266"/>
        <v/>
      </c>
      <c r="B865" s="185"/>
      <c r="C865" s="185"/>
      <c r="D865" s="185"/>
      <c r="E865" s="185"/>
      <c r="F865" s="185"/>
      <c r="G865" s="185"/>
      <c r="H865" s="185"/>
      <c r="I865" s="186"/>
      <c r="J865" s="69"/>
      <c r="AA865" s="63">
        <f t="shared" si="267"/>
        <v>0</v>
      </c>
      <c r="AB865" s="153" t="str">
        <f t="shared" si="268"/>
        <v>000</v>
      </c>
      <c r="AC865" s="165" t="str">
        <f t="shared" si="269"/>
        <v>00000000</v>
      </c>
      <c r="AD865" s="98" t="str">
        <f t="shared" si="270"/>
        <v>00000000</v>
      </c>
      <c r="AE865" s="150">
        <f t="shared" si="271"/>
        <v>0</v>
      </c>
      <c r="AF865" s="150">
        <f t="shared" si="272"/>
        <v>0</v>
      </c>
      <c r="AG865" s="98" t="str">
        <f t="shared" si="273"/>
        <v>0000000000</v>
      </c>
      <c r="AH865" s="151">
        <f t="shared" si="274"/>
        <v>0</v>
      </c>
      <c r="AI865" s="98" t="str">
        <f t="shared" si="275"/>
        <v>00</v>
      </c>
      <c r="AJ865" s="98" t="str">
        <f t="shared" si="276"/>
        <v>000000000000</v>
      </c>
      <c r="AK865" s="161" t="str">
        <f t="shared" si="277"/>
        <v xml:space="preserve">                              </v>
      </c>
      <c r="AL865" s="154">
        <f t="shared" si="278"/>
        <v>0</v>
      </c>
      <c r="AM865" s="155">
        <f t="shared" si="279"/>
        <v>0</v>
      </c>
      <c r="AP865" s="63" t="str">
        <f t="shared" si="280"/>
        <v/>
      </c>
      <c r="AQ865" s="63" t="str">
        <f t="shared" si="281"/>
        <v/>
      </c>
      <c r="AR865" s="152" t="str">
        <f t="shared" si="282"/>
        <v/>
      </c>
      <c r="AS865" s="109" t="str">
        <f t="shared" si="283"/>
        <v/>
      </c>
      <c r="AT865" s="63" t="str">
        <f t="shared" si="284"/>
        <v xml:space="preserve">                    </v>
      </c>
    </row>
    <row r="866" spans="1:46" ht="12.75" x14ac:dyDescent="0.2">
      <c r="A866" s="63" t="str">
        <f t="shared" si="266"/>
        <v/>
      </c>
      <c r="B866" s="185"/>
      <c r="C866" s="185"/>
      <c r="D866" s="185"/>
      <c r="E866" s="185"/>
      <c r="F866" s="185"/>
      <c r="G866" s="185"/>
      <c r="H866" s="185"/>
      <c r="I866" s="186"/>
      <c r="J866" s="69"/>
      <c r="AA866" s="63">
        <f t="shared" si="267"/>
        <v>0</v>
      </c>
      <c r="AB866" s="153" t="str">
        <f t="shared" si="268"/>
        <v>000</v>
      </c>
      <c r="AC866" s="165" t="str">
        <f t="shared" si="269"/>
        <v>00000000</v>
      </c>
      <c r="AD866" s="98" t="str">
        <f t="shared" si="270"/>
        <v>00000000</v>
      </c>
      <c r="AE866" s="150">
        <f t="shared" si="271"/>
        <v>0</v>
      </c>
      <c r="AF866" s="150">
        <f t="shared" si="272"/>
        <v>0</v>
      </c>
      <c r="AG866" s="98" t="str">
        <f t="shared" si="273"/>
        <v>0000000000</v>
      </c>
      <c r="AH866" s="151">
        <f t="shared" si="274"/>
        <v>0</v>
      </c>
      <c r="AI866" s="98" t="str">
        <f t="shared" si="275"/>
        <v>00</v>
      </c>
      <c r="AJ866" s="98" t="str">
        <f t="shared" si="276"/>
        <v>000000000000</v>
      </c>
      <c r="AK866" s="161" t="str">
        <f t="shared" si="277"/>
        <v xml:space="preserve">                              </v>
      </c>
      <c r="AL866" s="154">
        <f t="shared" si="278"/>
        <v>0</v>
      </c>
      <c r="AM866" s="155">
        <f t="shared" si="279"/>
        <v>0</v>
      </c>
      <c r="AP866" s="63" t="str">
        <f t="shared" si="280"/>
        <v/>
      </c>
      <c r="AQ866" s="63" t="str">
        <f t="shared" si="281"/>
        <v/>
      </c>
      <c r="AR866" s="152" t="str">
        <f t="shared" si="282"/>
        <v/>
      </c>
      <c r="AS866" s="109" t="str">
        <f t="shared" si="283"/>
        <v/>
      </c>
      <c r="AT866" s="63" t="str">
        <f t="shared" si="284"/>
        <v xml:space="preserve">                    </v>
      </c>
    </row>
    <row r="867" spans="1:46" ht="12.75" x14ac:dyDescent="0.2">
      <c r="A867" s="63" t="str">
        <f t="shared" si="266"/>
        <v/>
      </c>
      <c r="B867" s="185"/>
      <c r="C867" s="185"/>
      <c r="D867" s="185"/>
      <c r="E867" s="185"/>
      <c r="F867" s="185"/>
      <c r="G867" s="185"/>
      <c r="H867" s="185"/>
      <c r="I867" s="186"/>
      <c r="J867" s="69"/>
      <c r="AA867" s="63">
        <f t="shared" si="267"/>
        <v>0</v>
      </c>
      <c r="AB867" s="153" t="str">
        <f t="shared" si="268"/>
        <v>000</v>
      </c>
      <c r="AC867" s="165" t="str">
        <f t="shared" si="269"/>
        <v>00000000</v>
      </c>
      <c r="AD867" s="98" t="str">
        <f t="shared" si="270"/>
        <v>00000000</v>
      </c>
      <c r="AE867" s="150">
        <f t="shared" si="271"/>
        <v>0</v>
      </c>
      <c r="AF867" s="150">
        <f t="shared" si="272"/>
        <v>0</v>
      </c>
      <c r="AG867" s="98" t="str">
        <f t="shared" si="273"/>
        <v>0000000000</v>
      </c>
      <c r="AH867" s="151">
        <f t="shared" si="274"/>
        <v>0</v>
      </c>
      <c r="AI867" s="98" t="str">
        <f t="shared" si="275"/>
        <v>00</v>
      </c>
      <c r="AJ867" s="98" t="str">
        <f t="shared" si="276"/>
        <v>000000000000</v>
      </c>
      <c r="AK867" s="161" t="str">
        <f t="shared" si="277"/>
        <v xml:space="preserve">                              </v>
      </c>
      <c r="AL867" s="154">
        <f t="shared" si="278"/>
        <v>0</v>
      </c>
      <c r="AM867" s="155">
        <f t="shared" si="279"/>
        <v>0</v>
      </c>
      <c r="AP867" s="63" t="str">
        <f t="shared" si="280"/>
        <v/>
      </c>
      <c r="AQ867" s="63" t="str">
        <f t="shared" si="281"/>
        <v/>
      </c>
      <c r="AR867" s="152" t="str">
        <f t="shared" si="282"/>
        <v/>
      </c>
      <c r="AS867" s="109" t="str">
        <f t="shared" si="283"/>
        <v/>
      </c>
      <c r="AT867" s="63" t="str">
        <f t="shared" si="284"/>
        <v xml:space="preserve">                    </v>
      </c>
    </row>
    <row r="868" spans="1:46" ht="12.75" x14ac:dyDescent="0.2">
      <c r="A868" s="63" t="str">
        <f t="shared" si="266"/>
        <v/>
      </c>
      <c r="B868" s="185"/>
      <c r="C868" s="185"/>
      <c r="D868" s="185"/>
      <c r="E868" s="185"/>
      <c r="F868" s="185"/>
      <c r="G868" s="185"/>
      <c r="H868" s="185"/>
      <c r="I868" s="186"/>
      <c r="J868" s="69"/>
      <c r="AA868" s="63">
        <f t="shared" si="267"/>
        <v>0</v>
      </c>
      <c r="AB868" s="153" t="str">
        <f t="shared" si="268"/>
        <v>000</v>
      </c>
      <c r="AC868" s="165" t="str">
        <f t="shared" si="269"/>
        <v>00000000</v>
      </c>
      <c r="AD868" s="98" t="str">
        <f t="shared" si="270"/>
        <v>00000000</v>
      </c>
      <c r="AE868" s="150">
        <f t="shared" si="271"/>
        <v>0</v>
      </c>
      <c r="AF868" s="150">
        <f t="shared" si="272"/>
        <v>0</v>
      </c>
      <c r="AG868" s="98" t="str">
        <f t="shared" si="273"/>
        <v>0000000000</v>
      </c>
      <c r="AH868" s="151">
        <f t="shared" si="274"/>
        <v>0</v>
      </c>
      <c r="AI868" s="98" t="str">
        <f t="shared" si="275"/>
        <v>00</v>
      </c>
      <c r="AJ868" s="98" t="str">
        <f t="shared" si="276"/>
        <v>000000000000</v>
      </c>
      <c r="AK868" s="161" t="str">
        <f t="shared" si="277"/>
        <v xml:space="preserve">                              </v>
      </c>
      <c r="AL868" s="154">
        <f t="shared" si="278"/>
        <v>0</v>
      </c>
      <c r="AM868" s="155">
        <f t="shared" si="279"/>
        <v>0</v>
      </c>
      <c r="AP868" s="63" t="str">
        <f t="shared" si="280"/>
        <v/>
      </c>
      <c r="AQ868" s="63" t="str">
        <f t="shared" si="281"/>
        <v/>
      </c>
      <c r="AR868" s="152" t="str">
        <f t="shared" si="282"/>
        <v/>
      </c>
      <c r="AS868" s="109" t="str">
        <f t="shared" si="283"/>
        <v/>
      </c>
      <c r="AT868" s="63" t="str">
        <f t="shared" si="284"/>
        <v xml:space="preserve">                    </v>
      </c>
    </row>
    <row r="869" spans="1:46" ht="12.75" x14ac:dyDescent="0.2">
      <c r="A869" s="63" t="str">
        <f t="shared" si="266"/>
        <v/>
      </c>
      <c r="B869" s="185"/>
      <c r="C869" s="185"/>
      <c r="D869" s="185"/>
      <c r="E869" s="185"/>
      <c r="F869" s="185"/>
      <c r="G869" s="185"/>
      <c r="H869" s="185"/>
      <c r="I869" s="186"/>
      <c r="J869" s="69"/>
      <c r="AA869" s="63">
        <f t="shared" si="267"/>
        <v>0</v>
      </c>
      <c r="AB869" s="153" t="str">
        <f t="shared" si="268"/>
        <v>000</v>
      </c>
      <c r="AC869" s="165" t="str">
        <f t="shared" si="269"/>
        <v>00000000</v>
      </c>
      <c r="AD869" s="98" t="str">
        <f t="shared" si="270"/>
        <v>00000000</v>
      </c>
      <c r="AE869" s="150">
        <f t="shared" si="271"/>
        <v>0</v>
      </c>
      <c r="AF869" s="150">
        <f t="shared" si="272"/>
        <v>0</v>
      </c>
      <c r="AG869" s="98" t="str">
        <f t="shared" si="273"/>
        <v>0000000000</v>
      </c>
      <c r="AH869" s="151">
        <f t="shared" si="274"/>
        <v>0</v>
      </c>
      <c r="AI869" s="98" t="str">
        <f t="shared" si="275"/>
        <v>00</v>
      </c>
      <c r="AJ869" s="98" t="str">
        <f t="shared" si="276"/>
        <v>000000000000</v>
      </c>
      <c r="AK869" s="161" t="str">
        <f t="shared" si="277"/>
        <v xml:space="preserve">                              </v>
      </c>
      <c r="AL869" s="154">
        <f t="shared" si="278"/>
        <v>0</v>
      </c>
      <c r="AM869" s="155">
        <f t="shared" si="279"/>
        <v>0</v>
      </c>
      <c r="AP869" s="63" t="str">
        <f t="shared" si="280"/>
        <v/>
      </c>
      <c r="AQ869" s="63" t="str">
        <f t="shared" si="281"/>
        <v/>
      </c>
      <c r="AR869" s="152" t="str">
        <f t="shared" si="282"/>
        <v/>
      </c>
      <c r="AS869" s="109" t="str">
        <f t="shared" si="283"/>
        <v/>
      </c>
      <c r="AT869" s="63" t="str">
        <f t="shared" si="284"/>
        <v xml:space="preserve">                    </v>
      </c>
    </row>
    <row r="870" spans="1:46" ht="12.75" x14ac:dyDescent="0.2">
      <c r="A870" s="63" t="str">
        <f t="shared" si="266"/>
        <v/>
      </c>
      <c r="B870" s="185"/>
      <c r="C870" s="185"/>
      <c r="D870" s="185"/>
      <c r="E870" s="185"/>
      <c r="F870" s="185"/>
      <c r="G870" s="185"/>
      <c r="H870" s="185"/>
      <c r="I870" s="186"/>
      <c r="J870" s="69"/>
      <c r="AA870" s="63">
        <f t="shared" si="267"/>
        <v>0</v>
      </c>
      <c r="AB870" s="153" t="str">
        <f t="shared" si="268"/>
        <v>000</v>
      </c>
      <c r="AC870" s="165" t="str">
        <f t="shared" si="269"/>
        <v>00000000</v>
      </c>
      <c r="AD870" s="98" t="str">
        <f t="shared" si="270"/>
        <v>00000000</v>
      </c>
      <c r="AE870" s="150">
        <f t="shared" si="271"/>
        <v>0</v>
      </c>
      <c r="AF870" s="150">
        <f t="shared" si="272"/>
        <v>0</v>
      </c>
      <c r="AG870" s="98" t="str">
        <f t="shared" si="273"/>
        <v>0000000000</v>
      </c>
      <c r="AH870" s="151">
        <f t="shared" si="274"/>
        <v>0</v>
      </c>
      <c r="AI870" s="98" t="str">
        <f t="shared" si="275"/>
        <v>00</v>
      </c>
      <c r="AJ870" s="98" t="str">
        <f t="shared" si="276"/>
        <v>000000000000</v>
      </c>
      <c r="AK870" s="161" t="str">
        <f t="shared" si="277"/>
        <v xml:space="preserve">                              </v>
      </c>
      <c r="AL870" s="154">
        <f t="shared" si="278"/>
        <v>0</v>
      </c>
      <c r="AM870" s="155">
        <f t="shared" si="279"/>
        <v>0</v>
      </c>
      <c r="AP870" s="63" t="str">
        <f t="shared" si="280"/>
        <v/>
      </c>
      <c r="AQ870" s="63" t="str">
        <f t="shared" si="281"/>
        <v/>
      </c>
      <c r="AR870" s="152" t="str">
        <f t="shared" si="282"/>
        <v/>
      </c>
      <c r="AS870" s="109" t="str">
        <f t="shared" si="283"/>
        <v/>
      </c>
      <c r="AT870" s="63" t="str">
        <f t="shared" si="284"/>
        <v xml:space="preserve">                    </v>
      </c>
    </row>
    <row r="871" spans="1:46" ht="12.75" x14ac:dyDescent="0.2">
      <c r="A871" s="63" t="str">
        <f t="shared" si="266"/>
        <v/>
      </c>
      <c r="B871" s="185"/>
      <c r="C871" s="185"/>
      <c r="D871" s="185"/>
      <c r="E871" s="185"/>
      <c r="F871" s="185"/>
      <c r="G871" s="185"/>
      <c r="H871" s="185"/>
      <c r="I871" s="186"/>
      <c r="J871" s="69"/>
      <c r="AA871" s="63">
        <f t="shared" si="267"/>
        <v>0</v>
      </c>
      <c r="AB871" s="153" t="str">
        <f t="shared" si="268"/>
        <v>000</v>
      </c>
      <c r="AC871" s="165" t="str">
        <f t="shared" si="269"/>
        <v>00000000</v>
      </c>
      <c r="AD871" s="98" t="str">
        <f t="shared" si="270"/>
        <v>00000000</v>
      </c>
      <c r="AE871" s="150">
        <f t="shared" si="271"/>
        <v>0</v>
      </c>
      <c r="AF871" s="150">
        <f t="shared" si="272"/>
        <v>0</v>
      </c>
      <c r="AG871" s="98" t="str">
        <f t="shared" si="273"/>
        <v>0000000000</v>
      </c>
      <c r="AH871" s="151">
        <f t="shared" si="274"/>
        <v>0</v>
      </c>
      <c r="AI871" s="98" t="str">
        <f t="shared" si="275"/>
        <v>00</v>
      </c>
      <c r="AJ871" s="98" t="str">
        <f t="shared" si="276"/>
        <v>000000000000</v>
      </c>
      <c r="AK871" s="161" t="str">
        <f t="shared" si="277"/>
        <v xml:space="preserve">                              </v>
      </c>
      <c r="AL871" s="154">
        <f t="shared" si="278"/>
        <v>0</v>
      </c>
      <c r="AM871" s="155">
        <f t="shared" si="279"/>
        <v>0</v>
      </c>
      <c r="AP871" s="63" t="str">
        <f t="shared" si="280"/>
        <v/>
      </c>
      <c r="AQ871" s="63" t="str">
        <f t="shared" si="281"/>
        <v/>
      </c>
      <c r="AR871" s="152" t="str">
        <f t="shared" si="282"/>
        <v/>
      </c>
      <c r="AS871" s="109" t="str">
        <f t="shared" si="283"/>
        <v/>
      </c>
      <c r="AT871" s="63" t="str">
        <f t="shared" si="284"/>
        <v xml:space="preserve">                    </v>
      </c>
    </row>
    <row r="872" spans="1:46" ht="12.75" x14ac:dyDescent="0.2">
      <c r="A872" s="63" t="str">
        <f t="shared" si="266"/>
        <v/>
      </c>
      <c r="B872" s="185"/>
      <c r="C872" s="185"/>
      <c r="D872" s="185"/>
      <c r="E872" s="185"/>
      <c r="F872" s="185"/>
      <c r="G872" s="185"/>
      <c r="H872" s="185"/>
      <c r="I872" s="186"/>
      <c r="J872" s="69"/>
      <c r="AA872" s="63">
        <f t="shared" si="267"/>
        <v>0</v>
      </c>
      <c r="AB872" s="153" t="str">
        <f t="shared" si="268"/>
        <v>000</v>
      </c>
      <c r="AC872" s="165" t="str">
        <f t="shared" si="269"/>
        <v>00000000</v>
      </c>
      <c r="AD872" s="98" t="str">
        <f t="shared" si="270"/>
        <v>00000000</v>
      </c>
      <c r="AE872" s="150">
        <f t="shared" si="271"/>
        <v>0</v>
      </c>
      <c r="AF872" s="150">
        <f t="shared" si="272"/>
        <v>0</v>
      </c>
      <c r="AG872" s="98" t="str">
        <f t="shared" si="273"/>
        <v>0000000000</v>
      </c>
      <c r="AH872" s="151">
        <f t="shared" si="274"/>
        <v>0</v>
      </c>
      <c r="AI872" s="98" t="str">
        <f t="shared" si="275"/>
        <v>00</v>
      </c>
      <c r="AJ872" s="98" t="str">
        <f t="shared" si="276"/>
        <v>000000000000</v>
      </c>
      <c r="AK872" s="161" t="str">
        <f t="shared" si="277"/>
        <v xml:space="preserve">                              </v>
      </c>
      <c r="AL872" s="154">
        <f t="shared" si="278"/>
        <v>0</v>
      </c>
      <c r="AM872" s="155">
        <f t="shared" si="279"/>
        <v>0</v>
      </c>
      <c r="AP872" s="63" t="str">
        <f t="shared" si="280"/>
        <v/>
      </c>
      <c r="AQ872" s="63" t="str">
        <f t="shared" si="281"/>
        <v/>
      </c>
      <c r="AR872" s="152" t="str">
        <f t="shared" si="282"/>
        <v/>
      </c>
      <c r="AS872" s="109" t="str">
        <f t="shared" si="283"/>
        <v/>
      </c>
      <c r="AT872" s="63" t="str">
        <f t="shared" si="284"/>
        <v xml:space="preserve">                    </v>
      </c>
    </row>
    <row r="873" spans="1:46" ht="12.75" x14ac:dyDescent="0.2">
      <c r="A873" s="63" t="str">
        <f t="shared" si="266"/>
        <v/>
      </c>
      <c r="B873" s="185"/>
      <c r="C873" s="185"/>
      <c r="D873" s="185"/>
      <c r="E873" s="185"/>
      <c r="F873" s="185"/>
      <c r="G873" s="185"/>
      <c r="H873" s="185"/>
      <c r="I873" s="186"/>
      <c r="J873" s="69"/>
      <c r="AA873" s="63">
        <f t="shared" si="267"/>
        <v>0</v>
      </c>
      <c r="AB873" s="153" t="str">
        <f t="shared" si="268"/>
        <v>000</v>
      </c>
      <c r="AC873" s="165" t="str">
        <f t="shared" si="269"/>
        <v>00000000</v>
      </c>
      <c r="AD873" s="98" t="str">
        <f t="shared" si="270"/>
        <v>00000000</v>
      </c>
      <c r="AE873" s="150">
        <f t="shared" si="271"/>
        <v>0</v>
      </c>
      <c r="AF873" s="150">
        <f t="shared" si="272"/>
        <v>0</v>
      </c>
      <c r="AG873" s="98" t="str">
        <f t="shared" si="273"/>
        <v>0000000000</v>
      </c>
      <c r="AH873" s="151">
        <f t="shared" si="274"/>
        <v>0</v>
      </c>
      <c r="AI873" s="98" t="str">
        <f t="shared" si="275"/>
        <v>00</v>
      </c>
      <c r="AJ873" s="98" t="str">
        <f t="shared" si="276"/>
        <v>000000000000</v>
      </c>
      <c r="AK873" s="161" t="str">
        <f t="shared" si="277"/>
        <v xml:space="preserve">                              </v>
      </c>
      <c r="AL873" s="154">
        <f t="shared" si="278"/>
        <v>0</v>
      </c>
      <c r="AM873" s="155">
        <f t="shared" si="279"/>
        <v>0</v>
      </c>
      <c r="AP873" s="63" t="str">
        <f t="shared" si="280"/>
        <v/>
      </c>
      <c r="AQ873" s="63" t="str">
        <f t="shared" si="281"/>
        <v/>
      </c>
      <c r="AR873" s="152" t="str">
        <f t="shared" si="282"/>
        <v/>
      </c>
      <c r="AS873" s="109" t="str">
        <f t="shared" si="283"/>
        <v/>
      </c>
      <c r="AT873" s="63" t="str">
        <f t="shared" si="284"/>
        <v xml:space="preserve">                    </v>
      </c>
    </row>
    <row r="874" spans="1:46" ht="12.75" x14ac:dyDescent="0.2">
      <c r="A874" s="63" t="str">
        <f t="shared" si="266"/>
        <v/>
      </c>
      <c r="B874" s="185"/>
      <c r="C874" s="185"/>
      <c r="D874" s="185"/>
      <c r="E874" s="185"/>
      <c r="F874" s="185"/>
      <c r="G874" s="185"/>
      <c r="H874" s="185"/>
      <c r="I874" s="186"/>
      <c r="J874" s="69"/>
      <c r="AA874" s="63">
        <f t="shared" si="267"/>
        <v>0</v>
      </c>
      <c r="AB874" s="153" t="str">
        <f t="shared" si="268"/>
        <v>000</v>
      </c>
      <c r="AC874" s="165" t="str">
        <f t="shared" si="269"/>
        <v>00000000</v>
      </c>
      <c r="AD874" s="98" t="str">
        <f t="shared" si="270"/>
        <v>00000000</v>
      </c>
      <c r="AE874" s="150">
        <f t="shared" si="271"/>
        <v>0</v>
      </c>
      <c r="AF874" s="150">
        <f t="shared" si="272"/>
        <v>0</v>
      </c>
      <c r="AG874" s="98" t="str">
        <f t="shared" si="273"/>
        <v>0000000000</v>
      </c>
      <c r="AH874" s="151">
        <f t="shared" si="274"/>
        <v>0</v>
      </c>
      <c r="AI874" s="98" t="str">
        <f t="shared" si="275"/>
        <v>00</v>
      </c>
      <c r="AJ874" s="98" t="str">
        <f t="shared" si="276"/>
        <v>000000000000</v>
      </c>
      <c r="AK874" s="161" t="str">
        <f t="shared" si="277"/>
        <v xml:space="preserve">                              </v>
      </c>
      <c r="AL874" s="154">
        <f t="shared" si="278"/>
        <v>0</v>
      </c>
      <c r="AM874" s="155">
        <f t="shared" si="279"/>
        <v>0</v>
      </c>
      <c r="AP874" s="63" t="str">
        <f t="shared" si="280"/>
        <v/>
      </c>
      <c r="AQ874" s="63" t="str">
        <f t="shared" si="281"/>
        <v/>
      </c>
      <c r="AR874" s="152" t="str">
        <f t="shared" si="282"/>
        <v/>
      </c>
      <c r="AS874" s="109" t="str">
        <f t="shared" si="283"/>
        <v/>
      </c>
      <c r="AT874" s="63" t="str">
        <f t="shared" si="284"/>
        <v xml:space="preserve">                    </v>
      </c>
    </row>
    <row r="875" spans="1:46" ht="12.75" x14ac:dyDescent="0.2">
      <c r="A875" s="63" t="str">
        <f t="shared" si="266"/>
        <v/>
      </c>
      <c r="B875" s="185"/>
      <c r="C875" s="185"/>
      <c r="D875" s="185"/>
      <c r="E875" s="185"/>
      <c r="F875" s="185"/>
      <c r="G875" s="185"/>
      <c r="H875" s="185"/>
      <c r="I875" s="186"/>
      <c r="J875" s="69"/>
      <c r="AA875" s="63">
        <f t="shared" si="267"/>
        <v>0</v>
      </c>
      <c r="AB875" s="153" t="str">
        <f t="shared" si="268"/>
        <v>000</v>
      </c>
      <c r="AC875" s="165" t="str">
        <f t="shared" si="269"/>
        <v>00000000</v>
      </c>
      <c r="AD875" s="98" t="str">
        <f t="shared" si="270"/>
        <v>00000000</v>
      </c>
      <c r="AE875" s="150">
        <f t="shared" si="271"/>
        <v>0</v>
      </c>
      <c r="AF875" s="150">
        <f t="shared" si="272"/>
        <v>0</v>
      </c>
      <c r="AG875" s="98" t="str">
        <f t="shared" si="273"/>
        <v>0000000000</v>
      </c>
      <c r="AH875" s="151">
        <f t="shared" si="274"/>
        <v>0</v>
      </c>
      <c r="AI875" s="98" t="str">
        <f t="shared" si="275"/>
        <v>00</v>
      </c>
      <c r="AJ875" s="98" t="str">
        <f t="shared" si="276"/>
        <v>000000000000</v>
      </c>
      <c r="AK875" s="161" t="str">
        <f t="shared" si="277"/>
        <v xml:space="preserve">                              </v>
      </c>
      <c r="AL875" s="154">
        <f t="shared" si="278"/>
        <v>0</v>
      </c>
      <c r="AM875" s="155">
        <f t="shared" si="279"/>
        <v>0</v>
      </c>
      <c r="AP875" s="63" t="str">
        <f t="shared" si="280"/>
        <v/>
      </c>
      <c r="AQ875" s="63" t="str">
        <f t="shared" si="281"/>
        <v/>
      </c>
      <c r="AR875" s="152" t="str">
        <f t="shared" si="282"/>
        <v/>
      </c>
      <c r="AS875" s="109" t="str">
        <f t="shared" si="283"/>
        <v/>
      </c>
      <c r="AT875" s="63" t="str">
        <f t="shared" si="284"/>
        <v xml:space="preserve">                    </v>
      </c>
    </row>
    <row r="876" spans="1:46" ht="12.75" x14ac:dyDescent="0.2">
      <c r="A876" s="63" t="str">
        <f t="shared" si="266"/>
        <v/>
      </c>
      <c r="B876" s="185"/>
      <c r="C876" s="185"/>
      <c r="D876" s="185"/>
      <c r="E876" s="185"/>
      <c r="F876" s="185"/>
      <c r="G876" s="185"/>
      <c r="H876" s="185"/>
      <c r="I876" s="186"/>
      <c r="J876" s="69"/>
      <c r="AA876" s="63">
        <f t="shared" si="267"/>
        <v>0</v>
      </c>
      <c r="AB876" s="153" t="str">
        <f t="shared" si="268"/>
        <v>000</v>
      </c>
      <c r="AC876" s="165" t="str">
        <f t="shared" si="269"/>
        <v>00000000</v>
      </c>
      <c r="AD876" s="98" t="str">
        <f t="shared" si="270"/>
        <v>00000000</v>
      </c>
      <c r="AE876" s="150">
        <f t="shared" si="271"/>
        <v>0</v>
      </c>
      <c r="AF876" s="150">
        <f t="shared" si="272"/>
        <v>0</v>
      </c>
      <c r="AG876" s="98" t="str">
        <f t="shared" si="273"/>
        <v>0000000000</v>
      </c>
      <c r="AH876" s="151">
        <f t="shared" si="274"/>
        <v>0</v>
      </c>
      <c r="AI876" s="98" t="str">
        <f t="shared" si="275"/>
        <v>00</v>
      </c>
      <c r="AJ876" s="98" t="str">
        <f t="shared" si="276"/>
        <v>000000000000</v>
      </c>
      <c r="AK876" s="161" t="str">
        <f t="shared" si="277"/>
        <v xml:space="preserve">                              </v>
      </c>
      <c r="AL876" s="154">
        <f t="shared" si="278"/>
        <v>0</v>
      </c>
      <c r="AM876" s="155">
        <f t="shared" si="279"/>
        <v>0</v>
      </c>
      <c r="AP876" s="63" t="str">
        <f t="shared" si="280"/>
        <v/>
      </c>
      <c r="AQ876" s="63" t="str">
        <f t="shared" si="281"/>
        <v/>
      </c>
      <c r="AR876" s="152" t="str">
        <f t="shared" si="282"/>
        <v/>
      </c>
      <c r="AS876" s="109" t="str">
        <f t="shared" si="283"/>
        <v/>
      </c>
      <c r="AT876" s="63" t="str">
        <f t="shared" si="284"/>
        <v xml:space="preserve">                    </v>
      </c>
    </row>
    <row r="877" spans="1:46" ht="12.75" x14ac:dyDescent="0.2">
      <c r="A877" s="63" t="str">
        <f t="shared" si="266"/>
        <v/>
      </c>
      <c r="B877" s="185"/>
      <c r="C877" s="185"/>
      <c r="D877" s="185"/>
      <c r="E877" s="185"/>
      <c r="F877" s="185"/>
      <c r="G877" s="185"/>
      <c r="H877" s="185"/>
      <c r="I877" s="186"/>
      <c r="J877" s="69"/>
      <c r="AA877" s="63">
        <f t="shared" si="267"/>
        <v>0</v>
      </c>
      <c r="AB877" s="153" t="str">
        <f t="shared" si="268"/>
        <v>000</v>
      </c>
      <c r="AC877" s="165" t="str">
        <f t="shared" si="269"/>
        <v>00000000</v>
      </c>
      <c r="AD877" s="98" t="str">
        <f t="shared" si="270"/>
        <v>00000000</v>
      </c>
      <c r="AE877" s="150">
        <f t="shared" si="271"/>
        <v>0</v>
      </c>
      <c r="AF877" s="150">
        <f t="shared" si="272"/>
        <v>0</v>
      </c>
      <c r="AG877" s="98" t="str">
        <f t="shared" si="273"/>
        <v>0000000000</v>
      </c>
      <c r="AH877" s="151">
        <f t="shared" si="274"/>
        <v>0</v>
      </c>
      <c r="AI877" s="98" t="str">
        <f t="shared" si="275"/>
        <v>00</v>
      </c>
      <c r="AJ877" s="98" t="str">
        <f t="shared" si="276"/>
        <v>000000000000</v>
      </c>
      <c r="AK877" s="161" t="str">
        <f t="shared" si="277"/>
        <v xml:space="preserve">                              </v>
      </c>
      <c r="AL877" s="154">
        <f t="shared" si="278"/>
        <v>0</v>
      </c>
      <c r="AM877" s="155">
        <f t="shared" si="279"/>
        <v>0</v>
      </c>
      <c r="AP877" s="63" t="str">
        <f t="shared" si="280"/>
        <v/>
      </c>
      <c r="AQ877" s="63" t="str">
        <f t="shared" si="281"/>
        <v/>
      </c>
      <c r="AR877" s="152" t="str">
        <f t="shared" si="282"/>
        <v/>
      </c>
      <c r="AS877" s="109" t="str">
        <f t="shared" si="283"/>
        <v/>
      </c>
      <c r="AT877" s="63" t="str">
        <f t="shared" si="284"/>
        <v xml:space="preserve">                    </v>
      </c>
    </row>
    <row r="878" spans="1:46" ht="12.75" x14ac:dyDescent="0.2">
      <c r="A878" s="63" t="str">
        <f t="shared" si="266"/>
        <v/>
      </c>
      <c r="B878" s="185"/>
      <c r="C878" s="185"/>
      <c r="D878" s="185"/>
      <c r="E878" s="185"/>
      <c r="F878" s="185"/>
      <c r="G878" s="185"/>
      <c r="H878" s="185"/>
      <c r="I878" s="186"/>
      <c r="J878" s="69"/>
      <c r="AA878" s="63">
        <f t="shared" si="267"/>
        <v>0</v>
      </c>
      <c r="AB878" s="153" t="str">
        <f t="shared" si="268"/>
        <v>000</v>
      </c>
      <c r="AC878" s="165" t="str">
        <f t="shared" si="269"/>
        <v>00000000</v>
      </c>
      <c r="AD878" s="98" t="str">
        <f t="shared" si="270"/>
        <v>00000000</v>
      </c>
      <c r="AE878" s="150">
        <f t="shared" si="271"/>
        <v>0</v>
      </c>
      <c r="AF878" s="150">
        <f t="shared" si="272"/>
        <v>0</v>
      </c>
      <c r="AG878" s="98" t="str">
        <f t="shared" si="273"/>
        <v>0000000000</v>
      </c>
      <c r="AH878" s="151">
        <f t="shared" si="274"/>
        <v>0</v>
      </c>
      <c r="AI878" s="98" t="str">
        <f t="shared" si="275"/>
        <v>00</v>
      </c>
      <c r="AJ878" s="98" t="str">
        <f t="shared" si="276"/>
        <v>000000000000</v>
      </c>
      <c r="AK878" s="161" t="str">
        <f t="shared" si="277"/>
        <v xml:space="preserve">                              </v>
      </c>
      <c r="AL878" s="154">
        <f t="shared" si="278"/>
        <v>0</v>
      </c>
      <c r="AM878" s="155">
        <f t="shared" si="279"/>
        <v>0</v>
      </c>
      <c r="AP878" s="63" t="str">
        <f t="shared" si="280"/>
        <v/>
      </c>
      <c r="AQ878" s="63" t="str">
        <f t="shared" si="281"/>
        <v/>
      </c>
      <c r="AR878" s="152" t="str">
        <f t="shared" si="282"/>
        <v/>
      </c>
      <c r="AS878" s="109" t="str">
        <f t="shared" si="283"/>
        <v/>
      </c>
      <c r="AT878" s="63" t="str">
        <f t="shared" si="284"/>
        <v xml:space="preserve">                    </v>
      </c>
    </row>
    <row r="879" spans="1:46" ht="12.75" x14ac:dyDescent="0.2">
      <c r="A879" s="63" t="str">
        <f t="shared" si="266"/>
        <v/>
      </c>
      <c r="B879" s="185"/>
      <c r="C879" s="185"/>
      <c r="D879" s="185"/>
      <c r="E879" s="185"/>
      <c r="F879" s="185"/>
      <c r="G879" s="185"/>
      <c r="H879" s="185"/>
      <c r="I879" s="186"/>
      <c r="J879" s="69"/>
      <c r="AA879" s="63">
        <f t="shared" si="267"/>
        <v>0</v>
      </c>
      <c r="AB879" s="153" t="str">
        <f t="shared" si="268"/>
        <v>000</v>
      </c>
      <c r="AC879" s="165" t="str">
        <f t="shared" si="269"/>
        <v>00000000</v>
      </c>
      <c r="AD879" s="98" t="str">
        <f t="shared" si="270"/>
        <v>00000000</v>
      </c>
      <c r="AE879" s="150">
        <f t="shared" si="271"/>
        <v>0</v>
      </c>
      <c r="AF879" s="150">
        <f t="shared" si="272"/>
        <v>0</v>
      </c>
      <c r="AG879" s="98" t="str">
        <f t="shared" si="273"/>
        <v>0000000000</v>
      </c>
      <c r="AH879" s="151">
        <f t="shared" si="274"/>
        <v>0</v>
      </c>
      <c r="AI879" s="98" t="str">
        <f t="shared" si="275"/>
        <v>00</v>
      </c>
      <c r="AJ879" s="98" t="str">
        <f t="shared" si="276"/>
        <v>000000000000</v>
      </c>
      <c r="AK879" s="161" t="str">
        <f t="shared" si="277"/>
        <v xml:space="preserve">                              </v>
      </c>
      <c r="AL879" s="154">
        <f t="shared" si="278"/>
        <v>0</v>
      </c>
      <c r="AM879" s="155">
        <f t="shared" si="279"/>
        <v>0</v>
      </c>
      <c r="AP879" s="63" t="str">
        <f t="shared" si="280"/>
        <v/>
      </c>
      <c r="AQ879" s="63" t="str">
        <f t="shared" si="281"/>
        <v/>
      </c>
      <c r="AR879" s="152" t="str">
        <f t="shared" si="282"/>
        <v/>
      </c>
      <c r="AS879" s="109" t="str">
        <f t="shared" si="283"/>
        <v/>
      </c>
      <c r="AT879" s="63" t="str">
        <f t="shared" si="284"/>
        <v xml:space="preserve">                    </v>
      </c>
    </row>
    <row r="880" spans="1:46" ht="12.75" x14ac:dyDescent="0.2">
      <c r="A880" s="63" t="str">
        <f t="shared" si="266"/>
        <v/>
      </c>
      <c r="B880" s="185"/>
      <c r="C880" s="185"/>
      <c r="D880" s="185"/>
      <c r="E880" s="185"/>
      <c r="F880" s="185"/>
      <c r="G880" s="185"/>
      <c r="H880" s="185"/>
      <c r="I880" s="186"/>
      <c r="J880" s="69"/>
      <c r="AA880" s="63">
        <f t="shared" si="267"/>
        <v>0</v>
      </c>
      <c r="AB880" s="153" t="str">
        <f t="shared" si="268"/>
        <v>000</v>
      </c>
      <c r="AC880" s="165" t="str">
        <f t="shared" si="269"/>
        <v>00000000</v>
      </c>
      <c r="AD880" s="98" t="str">
        <f t="shared" si="270"/>
        <v>00000000</v>
      </c>
      <c r="AE880" s="150">
        <f t="shared" si="271"/>
        <v>0</v>
      </c>
      <c r="AF880" s="150">
        <f t="shared" si="272"/>
        <v>0</v>
      </c>
      <c r="AG880" s="98" t="str">
        <f t="shared" si="273"/>
        <v>0000000000</v>
      </c>
      <c r="AH880" s="151">
        <f t="shared" si="274"/>
        <v>0</v>
      </c>
      <c r="AI880" s="98" t="str">
        <f t="shared" si="275"/>
        <v>00</v>
      </c>
      <c r="AJ880" s="98" t="str">
        <f t="shared" si="276"/>
        <v>000000000000</v>
      </c>
      <c r="AK880" s="161" t="str">
        <f t="shared" si="277"/>
        <v xml:space="preserve">                              </v>
      </c>
      <c r="AL880" s="154">
        <f t="shared" si="278"/>
        <v>0</v>
      </c>
      <c r="AM880" s="155">
        <f t="shared" si="279"/>
        <v>0</v>
      </c>
      <c r="AP880" s="63" t="str">
        <f t="shared" si="280"/>
        <v/>
      </c>
      <c r="AQ880" s="63" t="str">
        <f t="shared" si="281"/>
        <v/>
      </c>
      <c r="AR880" s="152" t="str">
        <f t="shared" si="282"/>
        <v/>
      </c>
      <c r="AS880" s="109" t="str">
        <f t="shared" si="283"/>
        <v/>
      </c>
      <c r="AT880" s="63" t="str">
        <f t="shared" si="284"/>
        <v xml:space="preserve">                    </v>
      </c>
    </row>
    <row r="881" spans="1:46" ht="12.75" x14ac:dyDescent="0.2">
      <c r="A881" s="63" t="str">
        <f t="shared" si="266"/>
        <v/>
      </c>
      <c r="B881" s="185"/>
      <c r="C881" s="185"/>
      <c r="D881" s="185"/>
      <c r="E881" s="185"/>
      <c r="F881" s="185"/>
      <c r="G881" s="185"/>
      <c r="H881" s="185"/>
      <c r="I881" s="186"/>
      <c r="J881" s="69"/>
      <c r="AA881" s="63">
        <f t="shared" si="267"/>
        <v>0</v>
      </c>
      <c r="AB881" s="153" t="str">
        <f t="shared" si="268"/>
        <v>000</v>
      </c>
      <c r="AC881" s="165" t="str">
        <f t="shared" si="269"/>
        <v>00000000</v>
      </c>
      <c r="AD881" s="98" t="str">
        <f t="shared" si="270"/>
        <v>00000000</v>
      </c>
      <c r="AE881" s="150">
        <f t="shared" si="271"/>
        <v>0</v>
      </c>
      <c r="AF881" s="150">
        <f t="shared" si="272"/>
        <v>0</v>
      </c>
      <c r="AG881" s="98" t="str">
        <f t="shared" si="273"/>
        <v>0000000000</v>
      </c>
      <c r="AH881" s="151">
        <f t="shared" si="274"/>
        <v>0</v>
      </c>
      <c r="AI881" s="98" t="str">
        <f t="shared" si="275"/>
        <v>00</v>
      </c>
      <c r="AJ881" s="98" t="str">
        <f t="shared" si="276"/>
        <v>000000000000</v>
      </c>
      <c r="AK881" s="161" t="str">
        <f t="shared" si="277"/>
        <v xml:space="preserve">                              </v>
      </c>
      <c r="AL881" s="154">
        <f t="shared" si="278"/>
        <v>0</v>
      </c>
      <c r="AM881" s="155">
        <f t="shared" si="279"/>
        <v>0</v>
      </c>
      <c r="AP881" s="63" t="str">
        <f t="shared" si="280"/>
        <v/>
      </c>
      <c r="AQ881" s="63" t="str">
        <f t="shared" si="281"/>
        <v/>
      </c>
      <c r="AR881" s="152" t="str">
        <f t="shared" si="282"/>
        <v/>
      </c>
      <c r="AS881" s="109" t="str">
        <f t="shared" si="283"/>
        <v/>
      </c>
      <c r="AT881" s="63" t="str">
        <f t="shared" si="284"/>
        <v xml:space="preserve">                    </v>
      </c>
    </row>
    <row r="882" spans="1:46" ht="12.75" x14ac:dyDescent="0.2">
      <c r="A882" s="63" t="str">
        <f t="shared" si="266"/>
        <v/>
      </c>
      <c r="B882" s="185"/>
      <c r="C882" s="185"/>
      <c r="D882" s="185"/>
      <c r="E882" s="185"/>
      <c r="F882" s="185"/>
      <c r="G882" s="185"/>
      <c r="H882" s="185"/>
      <c r="I882" s="186"/>
      <c r="J882" s="69"/>
      <c r="AA882" s="63">
        <f t="shared" si="267"/>
        <v>0</v>
      </c>
      <c r="AB882" s="153" t="str">
        <f t="shared" si="268"/>
        <v>000</v>
      </c>
      <c r="AC882" s="165" t="str">
        <f t="shared" si="269"/>
        <v>00000000</v>
      </c>
      <c r="AD882" s="98" t="str">
        <f t="shared" si="270"/>
        <v>00000000</v>
      </c>
      <c r="AE882" s="150">
        <f t="shared" si="271"/>
        <v>0</v>
      </c>
      <c r="AF882" s="150">
        <f t="shared" si="272"/>
        <v>0</v>
      </c>
      <c r="AG882" s="98" t="str">
        <f t="shared" si="273"/>
        <v>0000000000</v>
      </c>
      <c r="AH882" s="151">
        <f t="shared" si="274"/>
        <v>0</v>
      </c>
      <c r="AI882" s="98" t="str">
        <f t="shared" si="275"/>
        <v>00</v>
      </c>
      <c r="AJ882" s="98" t="str">
        <f t="shared" si="276"/>
        <v>000000000000</v>
      </c>
      <c r="AK882" s="161" t="str">
        <f t="shared" si="277"/>
        <v xml:space="preserve">                              </v>
      </c>
      <c r="AL882" s="154">
        <f t="shared" si="278"/>
        <v>0</v>
      </c>
      <c r="AM882" s="155">
        <f t="shared" si="279"/>
        <v>0</v>
      </c>
      <c r="AP882" s="63" t="str">
        <f t="shared" si="280"/>
        <v/>
      </c>
      <c r="AQ882" s="63" t="str">
        <f t="shared" si="281"/>
        <v/>
      </c>
      <c r="AR882" s="152" t="str">
        <f t="shared" si="282"/>
        <v/>
      </c>
      <c r="AS882" s="109" t="str">
        <f t="shared" si="283"/>
        <v/>
      </c>
      <c r="AT882" s="63" t="str">
        <f t="shared" si="284"/>
        <v xml:space="preserve">                    </v>
      </c>
    </row>
    <row r="883" spans="1:46" ht="12.75" x14ac:dyDescent="0.2">
      <c r="A883" s="63" t="str">
        <f t="shared" si="266"/>
        <v/>
      </c>
      <c r="B883" s="185"/>
      <c r="C883" s="185"/>
      <c r="D883" s="185"/>
      <c r="E883" s="185"/>
      <c r="F883" s="185"/>
      <c r="G883" s="185"/>
      <c r="H883" s="185"/>
      <c r="I883" s="186"/>
      <c r="J883" s="69"/>
      <c r="AA883" s="63">
        <f t="shared" si="267"/>
        <v>0</v>
      </c>
      <c r="AB883" s="153" t="str">
        <f t="shared" si="268"/>
        <v>000</v>
      </c>
      <c r="AC883" s="165" t="str">
        <f t="shared" si="269"/>
        <v>00000000</v>
      </c>
      <c r="AD883" s="98" t="str">
        <f t="shared" si="270"/>
        <v>00000000</v>
      </c>
      <c r="AE883" s="150">
        <f t="shared" si="271"/>
        <v>0</v>
      </c>
      <c r="AF883" s="150">
        <f t="shared" si="272"/>
        <v>0</v>
      </c>
      <c r="AG883" s="98" t="str">
        <f t="shared" si="273"/>
        <v>0000000000</v>
      </c>
      <c r="AH883" s="151">
        <f t="shared" si="274"/>
        <v>0</v>
      </c>
      <c r="AI883" s="98" t="str">
        <f t="shared" si="275"/>
        <v>00</v>
      </c>
      <c r="AJ883" s="98" t="str">
        <f t="shared" si="276"/>
        <v>000000000000</v>
      </c>
      <c r="AK883" s="161" t="str">
        <f t="shared" si="277"/>
        <v xml:space="preserve">                              </v>
      </c>
      <c r="AL883" s="154">
        <f t="shared" si="278"/>
        <v>0</v>
      </c>
      <c r="AM883" s="155">
        <f t="shared" si="279"/>
        <v>0</v>
      </c>
      <c r="AP883" s="63" t="str">
        <f t="shared" si="280"/>
        <v/>
      </c>
      <c r="AQ883" s="63" t="str">
        <f t="shared" si="281"/>
        <v/>
      </c>
      <c r="AR883" s="152" t="str">
        <f t="shared" si="282"/>
        <v/>
      </c>
      <c r="AS883" s="109" t="str">
        <f t="shared" si="283"/>
        <v/>
      </c>
      <c r="AT883" s="63" t="str">
        <f t="shared" si="284"/>
        <v xml:space="preserve">                    </v>
      </c>
    </row>
    <row r="884" spans="1:46" ht="12.75" x14ac:dyDescent="0.2">
      <c r="A884" s="63" t="str">
        <f t="shared" si="266"/>
        <v/>
      </c>
      <c r="B884" s="185"/>
      <c r="C884" s="185"/>
      <c r="D884" s="185"/>
      <c r="E884" s="185"/>
      <c r="F884" s="185"/>
      <c r="G884" s="185"/>
      <c r="H884" s="185"/>
      <c r="I884" s="186"/>
      <c r="J884" s="69"/>
      <c r="AA884" s="63">
        <f t="shared" si="267"/>
        <v>0</v>
      </c>
      <c r="AB884" s="153" t="str">
        <f t="shared" si="268"/>
        <v>000</v>
      </c>
      <c r="AC884" s="165" t="str">
        <f t="shared" si="269"/>
        <v>00000000</v>
      </c>
      <c r="AD884" s="98" t="str">
        <f t="shared" si="270"/>
        <v>00000000</v>
      </c>
      <c r="AE884" s="150">
        <f t="shared" si="271"/>
        <v>0</v>
      </c>
      <c r="AF884" s="150">
        <f t="shared" si="272"/>
        <v>0</v>
      </c>
      <c r="AG884" s="98" t="str">
        <f t="shared" si="273"/>
        <v>0000000000</v>
      </c>
      <c r="AH884" s="151">
        <f t="shared" si="274"/>
        <v>0</v>
      </c>
      <c r="AI884" s="98" t="str">
        <f t="shared" si="275"/>
        <v>00</v>
      </c>
      <c r="AJ884" s="98" t="str">
        <f t="shared" si="276"/>
        <v>000000000000</v>
      </c>
      <c r="AK884" s="161" t="str">
        <f t="shared" si="277"/>
        <v xml:space="preserve">                              </v>
      </c>
      <c r="AL884" s="154">
        <f t="shared" si="278"/>
        <v>0</v>
      </c>
      <c r="AM884" s="155">
        <f t="shared" si="279"/>
        <v>0</v>
      </c>
      <c r="AP884" s="63" t="str">
        <f t="shared" si="280"/>
        <v/>
      </c>
      <c r="AQ884" s="63" t="str">
        <f t="shared" si="281"/>
        <v/>
      </c>
      <c r="AR884" s="152" t="str">
        <f t="shared" si="282"/>
        <v/>
      </c>
      <c r="AS884" s="109" t="str">
        <f t="shared" si="283"/>
        <v/>
      </c>
      <c r="AT884" s="63" t="str">
        <f t="shared" si="284"/>
        <v xml:space="preserve">                    </v>
      </c>
    </row>
    <row r="885" spans="1:46" ht="12.75" x14ac:dyDescent="0.2">
      <c r="A885" s="63" t="str">
        <f t="shared" si="266"/>
        <v/>
      </c>
      <c r="B885" s="185"/>
      <c r="C885" s="185"/>
      <c r="D885" s="185"/>
      <c r="E885" s="185"/>
      <c r="F885" s="185"/>
      <c r="G885" s="185"/>
      <c r="H885" s="185"/>
      <c r="I885" s="186"/>
      <c r="J885" s="69"/>
      <c r="AA885" s="63">
        <f t="shared" si="267"/>
        <v>0</v>
      </c>
      <c r="AB885" s="153" t="str">
        <f t="shared" si="268"/>
        <v>000</v>
      </c>
      <c r="AC885" s="165" t="str">
        <f t="shared" si="269"/>
        <v>00000000</v>
      </c>
      <c r="AD885" s="98" t="str">
        <f t="shared" si="270"/>
        <v>00000000</v>
      </c>
      <c r="AE885" s="150">
        <f t="shared" si="271"/>
        <v>0</v>
      </c>
      <c r="AF885" s="150">
        <f t="shared" si="272"/>
        <v>0</v>
      </c>
      <c r="AG885" s="98" t="str">
        <f t="shared" si="273"/>
        <v>0000000000</v>
      </c>
      <c r="AH885" s="151">
        <f t="shared" si="274"/>
        <v>0</v>
      </c>
      <c r="AI885" s="98" t="str">
        <f t="shared" si="275"/>
        <v>00</v>
      </c>
      <c r="AJ885" s="98" t="str">
        <f t="shared" si="276"/>
        <v>000000000000</v>
      </c>
      <c r="AK885" s="161" t="str">
        <f t="shared" si="277"/>
        <v xml:space="preserve">                              </v>
      </c>
      <c r="AL885" s="154">
        <f t="shared" si="278"/>
        <v>0</v>
      </c>
      <c r="AM885" s="155">
        <f t="shared" si="279"/>
        <v>0</v>
      </c>
      <c r="AP885" s="63" t="str">
        <f t="shared" si="280"/>
        <v/>
      </c>
      <c r="AQ885" s="63" t="str">
        <f t="shared" si="281"/>
        <v/>
      </c>
      <c r="AR885" s="152" t="str">
        <f t="shared" si="282"/>
        <v/>
      </c>
      <c r="AS885" s="109" t="str">
        <f t="shared" si="283"/>
        <v/>
      </c>
      <c r="AT885" s="63" t="str">
        <f t="shared" si="284"/>
        <v xml:space="preserve">                    </v>
      </c>
    </row>
    <row r="886" spans="1:46" ht="12.75" x14ac:dyDescent="0.2">
      <c r="A886" s="63" t="str">
        <f t="shared" si="266"/>
        <v/>
      </c>
      <c r="B886" s="185"/>
      <c r="C886" s="185"/>
      <c r="D886" s="185"/>
      <c r="E886" s="185"/>
      <c r="F886" s="185"/>
      <c r="G886" s="185"/>
      <c r="H886" s="185"/>
      <c r="I886" s="186"/>
      <c r="J886" s="69"/>
      <c r="AA886" s="63">
        <f t="shared" si="267"/>
        <v>0</v>
      </c>
      <c r="AB886" s="153" t="str">
        <f t="shared" si="268"/>
        <v>000</v>
      </c>
      <c r="AC886" s="165" t="str">
        <f t="shared" si="269"/>
        <v>00000000</v>
      </c>
      <c r="AD886" s="98" t="str">
        <f t="shared" si="270"/>
        <v>00000000</v>
      </c>
      <c r="AE886" s="150">
        <f t="shared" si="271"/>
        <v>0</v>
      </c>
      <c r="AF886" s="150">
        <f t="shared" si="272"/>
        <v>0</v>
      </c>
      <c r="AG886" s="98" t="str">
        <f t="shared" si="273"/>
        <v>0000000000</v>
      </c>
      <c r="AH886" s="151">
        <f t="shared" si="274"/>
        <v>0</v>
      </c>
      <c r="AI886" s="98" t="str">
        <f t="shared" si="275"/>
        <v>00</v>
      </c>
      <c r="AJ886" s="98" t="str">
        <f t="shared" si="276"/>
        <v>000000000000</v>
      </c>
      <c r="AK886" s="161" t="str">
        <f t="shared" si="277"/>
        <v xml:space="preserve">                              </v>
      </c>
      <c r="AL886" s="154">
        <f t="shared" si="278"/>
        <v>0</v>
      </c>
      <c r="AM886" s="155">
        <f t="shared" si="279"/>
        <v>0</v>
      </c>
      <c r="AP886" s="63" t="str">
        <f t="shared" si="280"/>
        <v/>
      </c>
      <c r="AQ886" s="63" t="str">
        <f t="shared" si="281"/>
        <v/>
      </c>
      <c r="AR886" s="152" t="str">
        <f t="shared" si="282"/>
        <v/>
      </c>
      <c r="AS886" s="109" t="str">
        <f t="shared" si="283"/>
        <v/>
      </c>
      <c r="AT886" s="63" t="str">
        <f t="shared" si="284"/>
        <v xml:space="preserve">                    </v>
      </c>
    </row>
    <row r="887" spans="1:46" ht="12.75" x14ac:dyDescent="0.2">
      <c r="A887" s="63" t="str">
        <f t="shared" si="266"/>
        <v/>
      </c>
      <c r="B887" s="185"/>
      <c r="C887" s="185"/>
      <c r="D887" s="185"/>
      <c r="E887" s="185"/>
      <c r="F887" s="185"/>
      <c r="G887" s="185"/>
      <c r="H887" s="185"/>
      <c r="I887" s="186"/>
      <c r="J887" s="69"/>
      <c r="AA887" s="63">
        <f t="shared" si="267"/>
        <v>0</v>
      </c>
      <c r="AB887" s="153" t="str">
        <f t="shared" si="268"/>
        <v>000</v>
      </c>
      <c r="AC887" s="165" t="str">
        <f t="shared" si="269"/>
        <v>00000000</v>
      </c>
      <c r="AD887" s="98" t="str">
        <f t="shared" si="270"/>
        <v>00000000</v>
      </c>
      <c r="AE887" s="150">
        <f t="shared" si="271"/>
        <v>0</v>
      </c>
      <c r="AF887" s="150">
        <f t="shared" si="272"/>
        <v>0</v>
      </c>
      <c r="AG887" s="98" t="str">
        <f t="shared" si="273"/>
        <v>0000000000</v>
      </c>
      <c r="AH887" s="151">
        <f t="shared" si="274"/>
        <v>0</v>
      </c>
      <c r="AI887" s="98" t="str">
        <f t="shared" si="275"/>
        <v>00</v>
      </c>
      <c r="AJ887" s="98" t="str">
        <f t="shared" si="276"/>
        <v>000000000000</v>
      </c>
      <c r="AK887" s="161" t="str">
        <f t="shared" si="277"/>
        <v xml:space="preserve">                              </v>
      </c>
      <c r="AL887" s="154">
        <f t="shared" si="278"/>
        <v>0</v>
      </c>
      <c r="AM887" s="155">
        <f t="shared" si="279"/>
        <v>0</v>
      </c>
      <c r="AP887" s="63" t="str">
        <f t="shared" si="280"/>
        <v/>
      </c>
      <c r="AQ887" s="63" t="str">
        <f t="shared" si="281"/>
        <v/>
      </c>
      <c r="AR887" s="152" t="str">
        <f t="shared" si="282"/>
        <v/>
      </c>
      <c r="AS887" s="109" t="str">
        <f t="shared" si="283"/>
        <v/>
      </c>
      <c r="AT887" s="63" t="str">
        <f t="shared" si="284"/>
        <v xml:space="preserve">                    </v>
      </c>
    </row>
    <row r="888" spans="1:46" ht="12.75" x14ac:dyDescent="0.2">
      <c r="A888" s="63" t="str">
        <f t="shared" si="266"/>
        <v/>
      </c>
      <c r="B888" s="185"/>
      <c r="C888" s="185"/>
      <c r="D888" s="185"/>
      <c r="E888" s="185"/>
      <c r="F888" s="185"/>
      <c r="G888" s="185"/>
      <c r="H888" s="185"/>
      <c r="I888" s="186"/>
      <c r="J888" s="69"/>
      <c r="AA888" s="63">
        <f t="shared" si="267"/>
        <v>0</v>
      </c>
      <c r="AB888" s="153" t="str">
        <f t="shared" si="268"/>
        <v>000</v>
      </c>
      <c r="AC888" s="165" t="str">
        <f t="shared" si="269"/>
        <v>00000000</v>
      </c>
      <c r="AD888" s="98" t="str">
        <f t="shared" si="270"/>
        <v>00000000</v>
      </c>
      <c r="AE888" s="150">
        <f t="shared" si="271"/>
        <v>0</v>
      </c>
      <c r="AF888" s="150">
        <f t="shared" si="272"/>
        <v>0</v>
      </c>
      <c r="AG888" s="98" t="str">
        <f t="shared" si="273"/>
        <v>0000000000</v>
      </c>
      <c r="AH888" s="151">
        <f t="shared" si="274"/>
        <v>0</v>
      </c>
      <c r="AI888" s="98" t="str">
        <f t="shared" si="275"/>
        <v>00</v>
      </c>
      <c r="AJ888" s="98" t="str">
        <f t="shared" si="276"/>
        <v>000000000000</v>
      </c>
      <c r="AK888" s="161" t="str">
        <f t="shared" si="277"/>
        <v xml:space="preserve">                              </v>
      </c>
      <c r="AL888" s="154">
        <f t="shared" si="278"/>
        <v>0</v>
      </c>
      <c r="AM888" s="155">
        <f t="shared" si="279"/>
        <v>0</v>
      </c>
      <c r="AP888" s="63" t="str">
        <f t="shared" si="280"/>
        <v/>
      </c>
      <c r="AQ888" s="63" t="str">
        <f t="shared" si="281"/>
        <v/>
      </c>
      <c r="AR888" s="152" t="str">
        <f t="shared" si="282"/>
        <v/>
      </c>
      <c r="AS888" s="109" t="str">
        <f t="shared" si="283"/>
        <v/>
      </c>
      <c r="AT888" s="63" t="str">
        <f t="shared" si="284"/>
        <v xml:space="preserve">                    </v>
      </c>
    </row>
    <row r="889" spans="1:46" ht="12.75" x14ac:dyDescent="0.2">
      <c r="A889" s="63" t="str">
        <f t="shared" si="266"/>
        <v/>
      </c>
      <c r="B889" s="185"/>
      <c r="C889" s="185"/>
      <c r="D889" s="185"/>
      <c r="E889" s="185"/>
      <c r="F889" s="185"/>
      <c r="G889" s="185"/>
      <c r="H889" s="185"/>
      <c r="I889" s="186"/>
      <c r="J889" s="69"/>
      <c r="AA889" s="63">
        <f t="shared" si="267"/>
        <v>0</v>
      </c>
      <c r="AB889" s="153" t="str">
        <f t="shared" si="268"/>
        <v>000</v>
      </c>
      <c r="AC889" s="165" t="str">
        <f t="shared" si="269"/>
        <v>00000000</v>
      </c>
      <c r="AD889" s="98" t="str">
        <f t="shared" si="270"/>
        <v>00000000</v>
      </c>
      <c r="AE889" s="150">
        <f t="shared" si="271"/>
        <v>0</v>
      </c>
      <c r="AF889" s="150">
        <f t="shared" si="272"/>
        <v>0</v>
      </c>
      <c r="AG889" s="98" t="str">
        <f t="shared" si="273"/>
        <v>0000000000</v>
      </c>
      <c r="AH889" s="151">
        <f t="shared" si="274"/>
        <v>0</v>
      </c>
      <c r="AI889" s="98" t="str">
        <f t="shared" si="275"/>
        <v>00</v>
      </c>
      <c r="AJ889" s="98" t="str">
        <f t="shared" si="276"/>
        <v>000000000000</v>
      </c>
      <c r="AK889" s="161" t="str">
        <f t="shared" si="277"/>
        <v xml:space="preserve">                              </v>
      </c>
      <c r="AL889" s="154">
        <f t="shared" si="278"/>
        <v>0</v>
      </c>
      <c r="AM889" s="155">
        <f t="shared" si="279"/>
        <v>0</v>
      </c>
      <c r="AP889" s="63" t="str">
        <f t="shared" si="280"/>
        <v/>
      </c>
      <c r="AQ889" s="63" t="str">
        <f t="shared" si="281"/>
        <v/>
      </c>
      <c r="AR889" s="152" t="str">
        <f t="shared" si="282"/>
        <v/>
      </c>
      <c r="AS889" s="109" t="str">
        <f t="shared" si="283"/>
        <v/>
      </c>
      <c r="AT889" s="63" t="str">
        <f t="shared" si="284"/>
        <v xml:space="preserve">                    </v>
      </c>
    </row>
    <row r="890" spans="1:46" ht="12.75" x14ac:dyDescent="0.2">
      <c r="A890" s="63" t="str">
        <f t="shared" si="266"/>
        <v/>
      </c>
      <c r="B890" s="185"/>
      <c r="C890" s="185"/>
      <c r="D890" s="185"/>
      <c r="E890" s="185"/>
      <c r="F890" s="185"/>
      <c r="G890" s="185"/>
      <c r="H890" s="185"/>
      <c r="I890" s="186"/>
      <c r="J890" s="69"/>
      <c r="AA890" s="63">
        <f t="shared" si="267"/>
        <v>0</v>
      </c>
      <c r="AB890" s="153" t="str">
        <f t="shared" si="268"/>
        <v>000</v>
      </c>
      <c r="AC890" s="165" t="str">
        <f t="shared" si="269"/>
        <v>00000000</v>
      </c>
      <c r="AD890" s="98" t="str">
        <f t="shared" si="270"/>
        <v>00000000</v>
      </c>
      <c r="AE890" s="150">
        <f t="shared" si="271"/>
        <v>0</v>
      </c>
      <c r="AF890" s="150">
        <f t="shared" si="272"/>
        <v>0</v>
      </c>
      <c r="AG890" s="98" t="str">
        <f t="shared" si="273"/>
        <v>0000000000</v>
      </c>
      <c r="AH890" s="151">
        <f t="shared" si="274"/>
        <v>0</v>
      </c>
      <c r="AI890" s="98" t="str">
        <f t="shared" si="275"/>
        <v>00</v>
      </c>
      <c r="AJ890" s="98" t="str">
        <f t="shared" si="276"/>
        <v>000000000000</v>
      </c>
      <c r="AK890" s="161" t="str">
        <f t="shared" si="277"/>
        <v xml:space="preserve">                              </v>
      </c>
      <c r="AL890" s="154">
        <f t="shared" si="278"/>
        <v>0</v>
      </c>
      <c r="AM890" s="155">
        <f t="shared" si="279"/>
        <v>0</v>
      </c>
      <c r="AP890" s="63" t="str">
        <f t="shared" si="280"/>
        <v/>
      </c>
      <c r="AQ890" s="63" t="str">
        <f t="shared" si="281"/>
        <v/>
      </c>
      <c r="AR890" s="152" t="str">
        <f t="shared" si="282"/>
        <v/>
      </c>
      <c r="AS890" s="109" t="str">
        <f t="shared" si="283"/>
        <v/>
      </c>
      <c r="AT890" s="63" t="str">
        <f t="shared" si="284"/>
        <v xml:space="preserve">                    </v>
      </c>
    </row>
    <row r="891" spans="1:46" ht="12.75" x14ac:dyDescent="0.2">
      <c r="A891" s="63" t="str">
        <f t="shared" si="266"/>
        <v/>
      </c>
      <c r="B891" s="185"/>
      <c r="C891" s="185"/>
      <c r="D891" s="185"/>
      <c r="E891" s="185"/>
      <c r="F891" s="185"/>
      <c r="G891" s="185"/>
      <c r="H891" s="185"/>
      <c r="I891" s="186"/>
      <c r="J891" s="69"/>
      <c r="AA891" s="63">
        <f t="shared" si="267"/>
        <v>0</v>
      </c>
      <c r="AB891" s="153" t="str">
        <f t="shared" si="268"/>
        <v>000</v>
      </c>
      <c r="AC891" s="165" t="str">
        <f t="shared" si="269"/>
        <v>00000000</v>
      </c>
      <c r="AD891" s="98" t="str">
        <f t="shared" si="270"/>
        <v>00000000</v>
      </c>
      <c r="AE891" s="150">
        <f t="shared" si="271"/>
        <v>0</v>
      </c>
      <c r="AF891" s="150">
        <f t="shared" si="272"/>
        <v>0</v>
      </c>
      <c r="AG891" s="98" t="str">
        <f t="shared" si="273"/>
        <v>0000000000</v>
      </c>
      <c r="AH891" s="151">
        <f t="shared" si="274"/>
        <v>0</v>
      </c>
      <c r="AI891" s="98" t="str">
        <f t="shared" si="275"/>
        <v>00</v>
      </c>
      <c r="AJ891" s="98" t="str">
        <f t="shared" si="276"/>
        <v>000000000000</v>
      </c>
      <c r="AK891" s="161" t="str">
        <f t="shared" si="277"/>
        <v xml:space="preserve">                              </v>
      </c>
      <c r="AL891" s="154">
        <f t="shared" si="278"/>
        <v>0</v>
      </c>
      <c r="AM891" s="155">
        <f t="shared" si="279"/>
        <v>0</v>
      </c>
      <c r="AP891" s="63" t="str">
        <f t="shared" si="280"/>
        <v/>
      </c>
      <c r="AQ891" s="63" t="str">
        <f t="shared" si="281"/>
        <v/>
      </c>
      <c r="AR891" s="152" t="str">
        <f t="shared" si="282"/>
        <v/>
      </c>
      <c r="AS891" s="109" t="str">
        <f t="shared" si="283"/>
        <v/>
      </c>
      <c r="AT891" s="63" t="str">
        <f t="shared" si="284"/>
        <v xml:space="preserve">                    </v>
      </c>
    </row>
    <row r="892" spans="1:46" ht="12.75" x14ac:dyDescent="0.2">
      <c r="A892" s="63" t="str">
        <f t="shared" si="266"/>
        <v/>
      </c>
      <c r="B892" s="185"/>
      <c r="C892" s="185"/>
      <c r="D892" s="185"/>
      <c r="E892" s="185"/>
      <c r="F892" s="185"/>
      <c r="G892" s="185"/>
      <c r="H892" s="185"/>
      <c r="I892" s="186"/>
      <c r="J892" s="69"/>
      <c r="AA892" s="63">
        <f t="shared" si="267"/>
        <v>0</v>
      </c>
      <c r="AB892" s="153" t="str">
        <f t="shared" si="268"/>
        <v>000</v>
      </c>
      <c r="AC892" s="165" t="str">
        <f t="shared" si="269"/>
        <v>00000000</v>
      </c>
      <c r="AD892" s="98" t="str">
        <f t="shared" si="270"/>
        <v>00000000</v>
      </c>
      <c r="AE892" s="150">
        <f t="shared" si="271"/>
        <v>0</v>
      </c>
      <c r="AF892" s="150">
        <f t="shared" si="272"/>
        <v>0</v>
      </c>
      <c r="AG892" s="98" t="str">
        <f t="shared" si="273"/>
        <v>0000000000</v>
      </c>
      <c r="AH892" s="151">
        <f t="shared" si="274"/>
        <v>0</v>
      </c>
      <c r="AI892" s="98" t="str">
        <f t="shared" si="275"/>
        <v>00</v>
      </c>
      <c r="AJ892" s="98" t="str">
        <f t="shared" si="276"/>
        <v>000000000000</v>
      </c>
      <c r="AK892" s="161" t="str">
        <f t="shared" si="277"/>
        <v xml:space="preserve">                              </v>
      </c>
      <c r="AL892" s="154">
        <f t="shared" si="278"/>
        <v>0</v>
      </c>
      <c r="AM892" s="155">
        <f t="shared" si="279"/>
        <v>0</v>
      </c>
      <c r="AP892" s="63" t="str">
        <f t="shared" si="280"/>
        <v/>
      </c>
      <c r="AQ892" s="63" t="str">
        <f t="shared" si="281"/>
        <v/>
      </c>
      <c r="AR892" s="152" t="str">
        <f t="shared" si="282"/>
        <v/>
      </c>
      <c r="AS892" s="109" t="str">
        <f t="shared" si="283"/>
        <v/>
      </c>
      <c r="AT892" s="63" t="str">
        <f t="shared" si="284"/>
        <v xml:space="preserve">                    </v>
      </c>
    </row>
    <row r="893" spans="1:46" ht="12.75" x14ac:dyDescent="0.2">
      <c r="A893" s="63" t="str">
        <f t="shared" si="266"/>
        <v/>
      </c>
      <c r="B893" s="185"/>
      <c r="C893" s="185"/>
      <c r="D893" s="185"/>
      <c r="E893" s="185"/>
      <c r="F893" s="185"/>
      <c r="G893" s="185"/>
      <c r="H893" s="185"/>
      <c r="I893" s="186"/>
      <c r="J893" s="69"/>
      <c r="AA893" s="63">
        <f t="shared" si="267"/>
        <v>0</v>
      </c>
      <c r="AB893" s="153" t="str">
        <f t="shared" si="268"/>
        <v>000</v>
      </c>
      <c r="AC893" s="165" t="str">
        <f t="shared" si="269"/>
        <v>00000000</v>
      </c>
      <c r="AD893" s="98" t="str">
        <f t="shared" si="270"/>
        <v>00000000</v>
      </c>
      <c r="AE893" s="150">
        <f t="shared" si="271"/>
        <v>0</v>
      </c>
      <c r="AF893" s="150">
        <f t="shared" si="272"/>
        <v>0</v>
      </c>
      <c r="AG893" s="98" t="str">
        <f t="shared" si="273"/>
        <v>0000000000</v>
      </c>
      <c r="AH893" s="151">
        <f t="shared" si="274"/>
        <v>0</v>
      </c>
      <c r="AI893" s="98" t="str">
        <f t="shared" si="275"/>
        <v>00</v>
      </c>
      <c r="AJ893" s="98" t="str">
        <f t="shared" si="276"/>
        <v>000000000000</v>
      </c>
      <c r="AK893" s="161" t="str">
        <f t="shared" si="277"/>
        <v xml:space="preserve">                              </v>
      </c>
      <c r="AL893" s="154">
        <f t="shared" si="278"/>
        <v>0</v>
      </c>
      <c r="AM893" s="155">
        <f t="shared" si="279"/>
        <v>0</v>
      </c>
      <c r="AP893" s="63" t="str">
        <f t="shared" si="280"/>
        <v/>
      </c>
      <c r="AQ893" s="63" t="str">
        <f t="shared" si="281"/>
        <v/>
      </c>
      <c r="AR893" s="152" t="str">
        <f t="shared" si="282"/>
        <v/>
      </c>
      <c r="AS893" s="109" t="str">
        <f t="shared" si="283"/>
        <v/>
      </c>
      <c r="AT893" s="63" t="str">
        <f t="shared" si="284"/>
        <v xml:space="preserve">                    </v>
      </c>
    </row>
    <row r="894" spans="1:46" ht="12.75" x14ac:dyDescent="0.2">
      <c r="A894" s="63" t="str">
        <f t="shared" si="266"/>
        <v/>
      </c>
      <c r="B894" s="185"/>
      <c r="C894" s="185"/>
      <c r="D894" s="185"/>
      <c r="E894" s="185"/>
      <c r="F894" s="185"/>
      <c r="G894" s="185"/>
      <c r="H894" s="185"/>
      <c r="I894" s="186"/>
      <c r="J894" s="69"/>
      <c r="AA894" s="63">
        <f t="shared" si="267"/>
        <v>0</v>
      </c>
      <c r="AB894" s="153" t="str">
        <f t="shared" si="268"/>
        <v>000</v>
      </c>
      <c r="AC894" s="165" t="str">
        <f t="shared" si="269"/>
        <v>00000000</v>
      </c>
      <c r="AD894" s="98" t="str">
        <f t="shared" si="270"/>
        <v>00000000</v>
      </c>
      <c r="AE894" s="150">
        <f t="shared" si="271"/>
        <v>0</v>
      </c>
      <c r="AF894" s="150">
        <f t="shared" si="272"/>
        <v>0</v>
      </c>
      <c r="AG894" s="98" t="str">
        <f t="shared" si="273"/>
        <v>0000000000</v>
      </c>
      <c r="AH894" s="151">
        <f t="shared" si="274"/>
        <v>0</v>
      </c>
      <c r="AI894" s="98" t="str">
        <f t="shared" si="275"/>
        <v>00</v>
      </c>
      <c r="AJ894" s="98" t="str">
        <f t="shared" si="276"/>
        <v>000000000000</v>
      </c>
      <c r="AK894" s="161" t="str">
        <f t="shared" si="277"/>
        <v xml:space="preserve">                              </v>
      </c>
      <c r="AL894" s="154">
        <f t="shared" si="278"/>
        <v>0</v>
      </c>
      <c r="AM894" s="155">
        <f t="shared" si="279"/>
        <v>0</v>
      </c>
      <c r="AP894" s="63" t="str">
        <f t="shared" si="280"/>
        <v/>
      </c>
      <c r="AQ894" s="63" t="str">
        <f t="shared" si="281"/>
        <v/>
      </c>
      <c r="AR894" s="152" t="str">
        <f t="shared" si="282"/>
        <v/>
      </c>
      <c r="AS894" s="109" t="str">
        <f t="shared" si="283"/>
        <v/>
      </c>
      <c r="AT894" s="63" t="str">
        <f t="shared" si="284"/>
        <v xml:space="preserve">                    </v>
      </c>
    </row>
    <row r="895" spans="1:46" ht="12.75" x14ac:dyDescent="0.2">
      <c r="A895" s="63" t="str">
        <f t="shared" si="266"/>
        <v/>
      </c>
      <c r="B895" s="185"/>
      <c r="C895" s="185"/>
      <c r="D895" s="185"/>
      <c r="E895" s="185"/>
      <c r="F895" s="185"/>
      <c r="G895" s="185"/>
      <c r="H895" s="185"/>
      <c r="I895" s="186"/>
      <c r="J895" s="69"/>
      <c r="AA895" s="63">
        <f t="shared" si="267"/>
        <v>0</v>
      </c>
      <c r="AB895" s="153" t="str">
        <f t="shared" si="268"/>
        <v>000</v>
      </c>
      <c r="AC895" s="165" t="str">
        <f t="shared" si="269"/>
        <v>00000000</v>
      </c>
      <c r="AD895" s="98" t="str">
        <f t="shared" si="270"/>
        <v>00000000</v>
      </c>
      <c r="AE895" s="150">
        <f t="shared" si="271"/>
        <v>0</v>
      </c>
      <c r="AF895" s="150">
        <f t="shared" si="272"/>
        <v>0</v>
      </c>
      <c r="AG895" s="98" t="str">
        <f t="shared" si="273"/>
        <v>0000000000</v>
      </c>
      <c r="AH895" s="151">
        <f t="shared" si="274"/>
        <v>0</v>
      </c>
      <c r="AI895" s="98" t="str">
        <f t="shared" si="275"/>
        <v>00</v>
      </c>
      <c r="AJ895" s="98" t="str">
        <f t="shared" si="276"/>
        <v>000000000000</v>
      </c>
      <c r="AK895" s="161" t="str">
        <f t="shared" si="277"/>
        <v xml:space="preserve">                              </v>
      </c>
      <c r="AL895" s="154">
        <f t="shared" si="278"/>
        <v>0</v>
      </c>
      <c r="AM895" s="155">
        <f t="shared" si="279"/>
        <v>0</v>
      </c>
      <c r="AP895" s="63" t="str">
        <f t="shared" si="280"/>
        <v/>
      </c>
      <c r="AQ895" s="63" t="str">
        <f t="shared" si="281"/>
        <v/>
      </c>
      <c r="AR895" s="152" t="str">
        <f t="shared" si="282"/>
        <v/>
      </c>
      <c r="AS895" s="109" t="str">
        <f t="shared" si="283"/>
        <v/>
      </c>
      <c r="AT895" s="63" t="str">
        <f t="shared" si="284"/>
        <v xml:space="preserve">                    </v>
      </c>
    </row>
    <row r="896" spans="1:46" ht="12.75" x14ac:dyDescent="0.2">
      <c r="A896" s="63" t="str">
        <f t="shared" si="266"/>
        <v/>
      </c>
      <c r="B896" s="185"/>
      <c r="C896" s="185"/>
      <c r="D896" s="185"/>
      <c r="E896" s="185"/>
      <c r="F896" s="185"/>
      <c r="G896" s="185"/>
      <c r="H896" s="185"/>
      <c r="I896" s="186"/>
      <c r="J896" s="69"/>
      <c r="AA896" s="63">
        <f t="shared" si="267"/>
        <v>0</v>
      </c>
      <c r="AB896" s="153" t="str">
        <f t="shared" si="268"/>
        <v>000</v>
      </c>
      <c r="AC896" s="165" t="str">
        <f t="shared" si="269"/>
        <v>00000000</v>
      </c>
      <c r="AD896" s="98" t="str">
        <f t="shared" si="270"/>
        <v>00000000</v>
      </c>
      <c r="AE896" s="150">
        <f t="shared" si="271"/>
        <v>0</v>
      </c>
      <c r="AF896" s="150">
        <f t="shared" si="272"/>
        <v>0</v>
      </c>
      <c r="AG896" s="98" t="str">
        <f t="shared" si="273"/>
        <v>0000000000</v>
      </c>
      <c r="AH896" s="151">
        <f t="shared" si="274"/>
        <v>0</v>
      </c>
      <c r="AI896" s="98" t="str">
        <f t="shared" si="275"/>
        <v>00</v>
      </c>
      <c r="AJ896" s="98" t="str">
        <f t="shared" si="276"/>
        <v>000000000000</v>
      </c>
      <c r="AK896" s="161" t="str">
        <f t="shared" si="277"/>
        <v xml:space="preserve">                              </v>
      </c>
      <c r="AL896" s="154">
        <f t="shared" si="278"/>
        <v>0</v>
      </c>
      <c r="AM896" s="155">
        <f t="shared" si="279"/>
        <v>0</v>
      </c>
      <c r="AP896" s="63" t="str">
        <f t="shared" si="280"/>
        <v/>
      </c>
      <c r="AQ896" s="63" t="str">
        <f t="shared" si="281"/>
        <v/>
      </c>
      <c r="AR896" s="152" t="str">
        <f t="shared" si="282"/>
        <v/>
      </c>
      <c r="AS896" s="109" t="str">
        <f t="shared" si="283"/>
        <v/>
      </c>
      <c r="AT896" s="63" t="str">
        <f t="shared" si="284"/>
        <v xml:space="preserve">                    </v>
      </c>
    </row>
    <row r="897" spans="1:46" ht="12.75" x14ac:dyDescent="0.2">
      <c r="A897" s="63" t="str">
        <f t="shared" si="266"/>
        <v/>
      </c>
      <c r="B897" s="185"/>
      <c r="C897" s="185"/>
      <c r="D897" s="185"/>
      <c r="E897" s="185"/>
      <c r="F897" s="185"/>
      <c r="G897" s="185"/>
      <c r="H897" s="185"/>
      <c r="I897" s="186"/>
      <c r="J897" s="69"/>
      <c r="AA897" s="63">
        <f t="shared" si="267"/>
        <v>0</v>
      </c>
      <c r="AB897" s="153" t="str">
        <f t="shared" si="268"/>
        <v>000</v>
      </c>
      <c r="AC897" s="165" t="str">
        <f t="shared" si="269"/>
        <v>00000000</v>
      </c>
      <c r="AD897" s="98" t="str">
        <f t="shared" si="270"/>
        <v>00000000</v>
      </c>
      <c r="AE897" s="150">
        <f t="shared" si="271"/>
        <v>0</v>
      </c>
      <c r="AF897" s="150">
        <f t="shared" si="272"/>
        <v>0</v>
      </c>
      <c r="AG897" s="98" t="str">
        <f t="shared" si="273"/>
        <v>0000000000</v>
      </c>
      <c r="AH897" s="151">
        <f t="shared" si="274"/>
        <v>0</v>
      </c>
      <c r="AI897" s="98" t="str">
        <f t="shared" si="275"/>
        <v>00</v>
      </c>
      <c r="AJ897" s="98" t="str">
        <f t="shared" si="276"/>
        <v>000000000000</v>
      </c>
      <c r="AK897" s="161" t="str">
        <f t="shared" si="277"/>
        <v xml:space="preserve">                              </v>
      </c>
      <c r="AL897" s="154">
        <f t="shared" si="278"/>
        <v>0</v>
      </c>
      <c r="AM897" s="155">
        <f t="shared" si="279"/>
        <v>0</v>
      </c>
      <c r="AP897" s="63" t="str">
        <f t="shared" si="280"/>
        <v/>
      </c>
      <c r="AQ897" s="63" t="str">
        <f t="shared" si="281"/>
        <v/>
      </c>
      <c r="AR897" s="152" t="str">
        <f t="shared" si="282"/>
        <v/>
      </c>
      <c r="AS897" s="109" t="str">
        <f t="shared" si="283"/>
        <v/>
      </c>
      <c r="AT897" s="63" t="str">
        <f t="shared" si="284"/>
        <v xml:space="preserve">                    </v>
      </c>
    </row>
    <row r="898" spans="1:46" ht="12.75" x14ac:dyDescent="0.2">
      <c r="A898" s="63" t="str">
        <f t="shared" si="266"/>
        <v/>
      </c>
      <c r="B898" s="185"/>
      <c r="C898" s="185"/>
      <c r="D898" s="185"/>
      <c r="E898" s="185"/>
      <c r="F898" s="185"/>
      <c r="G898" s="185"/>
      <c r="H898" s="185"/>
      <c r="I898" s="186"/>
      <c r="J898" s="69"/>
      <c r="AA898" s="63">
        <f t="shared" si="267"/>
        <v>0</v>
      </c>
      <c r="AB898" s="153" t="str">
        <f t="shared" si="268"/>
        <v>000</v>
      </c>
      <c r="AC898" s="165" t="str">
        <f t="shared" si="269"/>
        <v>00000000</v>
      </c>
      <c r="AD898" s="98" t="str">
        <f t="shared" si="270"/>
        <v>00000000</v>
      </c>
      <c r="AE898" s="150">
        <f t="shared" si="271"/>
        <v>0</v>
      </c>
      <c r="AF898" s="150">
        <f t="shared" si="272"/>
        <v>0</v>
      </c>
      <c r="AG898" s="98" t="str">
        <f t="shared" si="273"/>
        <v>0000000000</v>
      </c>
      <c r="AH898" s="151">
        <f t="shared" si="274"/>
        <v>0</v>
      </c>
      <c r="AI898" s="98" t="str">
        <f t="shared" si="275"/>
        <v>00</v>
      </c>
      <c r="AJ898" s="98" t="str">
        <f t="shared" si="276"/>
        <v>000000000000</v>
      </c>
      <c r="AK898" s="161" t="str">
        <f t="shared" si="277"/>
        <v xml:space="preserve">                              </v>
      </c>
      <c r="AL898" s="154">
        <f t="shared" si="278"/>
        <v>0</v>
      </c>
      <c r="AM898" s="155">
        <f t="shared" si="279"/>
        <v>0</v>
      </c>
      <c r="AP898" s="63" t="str">
        <f t="shared" si="280"/>
        <v/>
      </c>
      <c r="AQ898" s="63" t="str">
        <f t="shared" si="281"/>
        <v/>
      </c>
      <c r="AR898" s="152" t="str">
        <f t="shared" si="282"/>
        <v/>
      </c>
      <c r="AS898" s="109" t="str">
        <f t="shared" si="283"/>
        <v/>
      </c>
      <c r="AT898" s="63" t="str">
        <f t="shared" si="284"/>
        <v xml:space="preserve">                    </v>
      </c>
    </row>
    <row r="899" spans="1:46" ht="12.75" x14ac:dyDescent="0.2">
      <c r="A899" s="63" t="str">
        <f t="shared" si="266"/>
        <v/>
      </c>
      <c r="B899" s="185"/>
      <c r="C899" s="185"/>
      <c r="D899" s="185"/>
      <c r="E899" s="185"/>
      <c r="F899" s="185"/>
      <c r="G899" s="185"/>
      <c r="H899" s="185"/>
      <c r="I899" s="186"/>
      <c r="J899" s="69"/>
      <c r="AA899" s="63">
        <f t="shared" si="267"/>
        <v>0</v>
      </c>
      <c r="AB899" s="153" t="str">
        <f t="shared" si="268"/>
        <v>000</v>
      </c>
      <c r="AC899" s="165" t="str">
        <f t="shared" si="269"/>
        <v>00000000</v>
      </c>
      <c r="AD899" s="98" t="str">
        <f t="shared" si="270"/>
        <v>00000000</v>
      </c>
      <c r="AE899" s="150">
        <f t="shared" si="271"/>
        <v>0</v>
      </c>
      <c r="AF899" s="150">
        <f t="shared" si="272"/>
        <v>0</v>
      </c>
      <c r="AG899" s="98" t="str">
        <f t="shared" si="273"/>
        <v>0000000000</v>
      </c>
      <c r="AH899" s="151">
        <f t="shared" si="274"/>
        <v>0</v>
      </c>
      <c r="AI899" s="98" t="str">
        <f t="shared" si="275"/>
        <v>00</v>
      </c>
      <c r="AJ899" s="98" t="str">
        <f t="shared" si="276"/>
        <v>000000000000</v>
      </c>
      <c r="AK899" s="161" t="str">
        <f t="shared" si="277"/>
        <v xml:space="preserve">                              </v>
      </c>
      <c r="AL899" s="154">
        <f t="shared" si="278"/>
        <v>0</v>
      </c>
      <c r="AM899" s="155">
        <f t="shared" si="279"/>
        <v>0</v>
      </c>
      <c r="AP899" s="63" t="str">
        <f t="shared" si="280"/>
        <v/>
      </c>
      <c r="AQ899" s="63" t="str">
        <f t="shared" si="281"/>
        <v/>
      </c>
      <c r="AR899" s="152" t="str">
        <f t="shared" si="282"/>
        <v/>
      </c>
      <c r="AS899" s="109" t="str">
        <f t="shared" si="283"/>
        <v/>
      </c>
      <c r="AT899" s="63" t="str">
        <f t="shared" si="284"/>
        <v xml:space="preserve">                    </v>
      </c>
    </row>
    <row r="900" spans="1:46" ht="12.75" x14ac:dyDescent="0.2">
      <c r="A900" s="63" t="str">
        <f t="shared" si="266"/>
        <v/>
      </c>
      <c r="B900" s="185"/>
      <c r="C900" s="185"/>
      <c r="D900" s="185"/>
      <c r="E900" s="185"/>
      <c r="F900" s="185"/>
      <c r="G900" s="185"/>
      <c r="H900" s="185"/>
      <c r="I900" s="186"/>
      <c r="J900" s="69"/>
      <c r="AA900" s="63">
        <f t="shared" si="267"/>
        <v>0</v>
      </c>
      <c r="AB900" s="153" t="str">
        <f t="shared" si="268"/>
        <v>000</v>
      </c>
      <c r="AC900" s="165" t="str">
        <f t="shared" si="269"/>
        <v>00000000</v>
      </c>
      <c r="AD900" s="98" t="str">
        <f t="shared" si="270"/>
        <v>00000000</v>
      </c>
      <c r="AE900" s="150">
        <f t="shared" si="271"/>
        <v>0</v>
      </c>
      <c r="AF900" s="150">
        <f t="shared" si="272"/>
        <v>0</v>
      </c>
      <c r="AG900" s="98" t="str">
        <f t="shared" si="273"/>
        <v>0000000000</v>
      </c>
      <c r="AH900" s="151">
        <f t="shared" si="274"/>
        <v>0</v>
      </c>
      <c r="AI900" s="98" t="str">
        <f t="shared" si="275"/>
        <v>00</v>
      </c>
      <c r="AJ900" s="98" t="str">
        <f t="shared" si="276"/>
        <v>000000000000</v>
      </c>
      <c r="AK900" s="161" t="str">
        <f t="shared" si="277"/>
        <v xml:space="preserve">                              </v>
      </c>
      <c r="AL900" s="154">
        <f t="shared" si="278"/>
        <v>0</v>
      </c>
      <c r="AM900" s="155">
        <f t="shared" si="279"/>
        <v>0</v>
      </c>
      <c r="AP900" s="63" t="str">
        <f t="shared" si="280"/>
        <v/>
      </c>
      <c r="AQ900" s="63" t="str">
        <f t="shared" si="281"/>
        <v/>
      </c>
      <c r="AR900" s="152" t="str">
        <f t="shared" si="282"/>
        <v/>
      </c>
      <c r="AS900" s="109" t="str">
        <f t="shared" si="283"/>
        <v/>
      </c>
      <c r="AT900" s="63" t="str">
        <f t="shared" si="284"/>
        <v xml:space="preserve">                    </v>
      </c>
    </row>
    <row r="901" spans="1:46" ht="12.75" x14ac:dyDescent="0.2">
      <c r="A901" s="63" t="str">
        <f t="shared" si="266"/>
        <v/>
      </c>
      <c r="B901" s="185"/>
      <c r="C901" s="185"/>
      <c r="D901" s="185"/>
      <c r="E901" s="185"/>
      <c r="F901" s="185"/>
      <c r="G901" s="185"/>
      <c r="H901" s="185"/>
      <c r="I901" s="186"/>
      <c r="J901" s="69"/>
      <c r="AA901" s="63">
        <f t="shared" si="267"/>
        <v>0</v>
      </c>
      <c r="AB901" s="153" t="str">
        <f t="shared" si="268"/>
        <v>000</v>
      </c>
      <c r="AC901" s="165" t="str">
        <f t="shared" si="269"/>
        <v>00000000</v>
      </c>
      <c r="AD901" s="98" t="str">
        <f t="shared" si="270"/>
        <v>00000000</v>
      </c>
      <c r="AE901" s="150">
        <f t="shared" si="271"/>
        <v>0</v>
      </c>
      <c r="AF901" s="150">
        <f t="shared" si="272"/>
        <v>0</v>
      </c>
      <c r="AG901" s="98" t="str">
        <f t="shared" si="273"/>
        <v>0000000000</v>
      </c>
      <c r="AH901" s="151">
        <f t="shared" si="274"/>
        <v>0</v>
      </c>
      <c r="AI901" s="98" t="str">
        <f t="shared" si="275"/>
        <v>00</v>
      </c>
      <c r="AJ901" s="98" t="str">
        <f t="shared" si="276"/>
        <v>000000000000</v>
      </c>
      <c r="AK901" s="161" t="str">
        <f t="shared" si="277"/>
        <v xml:space="preserve">                              </v>
      </c>
      <c r="AL901" s="154">
        <f t="shared" si="278"/>
        <v>0</v>
      </c>
      <c r="AM901" s="155">
        <f t="shared" si="279"/>
        <v>0</v>
      </c>
      <c r="AP901" s="63" t="str">
        <f t="shared" si="280"/>
        <v/>
      </c>
      <c r="AQ901" s="63" t="str">
        <f t="shared" si="281"/>
        <v/>
      </c>
      <c r="AR901" s="152" t="str">
        <f t="shared" si="282"/>
        <v/>
      </c>
      <c r="AS901" s="109" t="str">
        <f t="shared" si="283"/>
        <v/>
      </c>
      <c r="AT901" s="63" t="str">
        <f t="shared" si="284"/>
        <v xml:space="preserve">                    </v>
      </c>
    </row>
    <row r="902" spans="1:46" ht="12.75" x14ac:dyDescent="0.2">
      <c r="A902" s="63" t="str">
        <f t="shared" ref="A902:A965" si="285">IF(B902&lt;&gt;"",A901+1,"")</f>
        <v/>
      </c>
      <c r="B902" s="185"/>
      <c r="C902" s="185"/>
      <c r="D902" s="185"/>
      <c r="E902" s="185"/>
      <c r="F902" s="185"/>
      <c r="G902" s="185"/>
      <c r="H902" s="185"/>
      <c r="I902" s="186"/>
      <c r="J902" s="69"/>
      <c r="AA902" s="63">
        <f t="shared" si="267"/>
        <v>0</v>
      </c>
      <c r="AB902" s="153" t="str">
        <f t="shared" si="268"/>
        <v>000</v>
      </c>
      <c r="AC902" s="165" t="str">
        <f t="shared" si="269"/>
        <v>00000000</v>
      </c>
      <c r="AD902" s="98" t="str">
        <f t="shared" si="270"/>
        <v>00000000</v>
      </c>
      <c r="AE902" s="150">
        <f t="shared" si="271"/>
        <v>0</v>
      </c>
      <c r="AF902" s="150">
        <f t="shared" si="272"/>
        <v>0</v>
      </c>
      <c r="AG902" s="98" t="str">
        <f t="shared" si="273"/>
        <v>0000000000</v>
      </c>
      <c r="AH902" s="151">
        <f t="shared" si="274"/>
        <v>0</v>
      </c>
      <c r="AI902" s="98" t="str">
        <f t="shared" si="275"/>
        <v>00</v>
      </c>
      <c r="AJ902" s="98" t="str">
        <f t="shared" si="276"/>
        <v>000000000000</v>
      </c>
      <c r="AK902" s="161" t="str">
        <f t="shared" si="277"/>
        <v xml:space="preserve">                              </v>
      </c>
      <c r="AL902" s="154">
        <f t="shared" si="278"/>
        <v>0</v>
      </c>
      <c r="AM902" s="155">
        <f t="shared" si="279"/>
        <v>0</v>
      </c>
      <c r="AP902" s="63" t="str">
        <f t="shared" si="280"/>
        <v/>
      </c>
      <c r="AQ902" s="63" t="str">
        <f t="shared" si="281"/>
        <v/>
      </c>
      <c r="AR902" s="152" t="str">
        <f t="shared" si="282"/>
        <v/>
      </c>
      <c r="AS902" s="109" t="str">
        <f t="shared" si="283"/>
        <v/>
      </c>
      <c r="AT902" s="63" t="str">
        <f t="shared" si="284"/>
        <v xml:space="preserve">                    </v>
      </c>
    </row>
    <row r="903" spans="1:46" ht="12.75" x14ac:dyDescent="0.2">
      <c r="A903" s="63" t="str">
        <f t="shared" si="285"/>
        <v/>
      </c>
      <c r="B903" s="185"/>
      <c r="C903" s="185"/>
      <c r="D903" s="185"/>
      <c r="E903" s="185"/>
      <c r="F903" s="185"/>
      <c r="G903" s="185"/>
      <c r="H903" s="185"/>
      <c r="I903" s="186"/>
      <c r="J903" s="69"/>
      <c r="AA903" s="63">
        <f t="shared" si="267"/>
        <v>0</v>
      </c>
      <c r="AB903" s="153" t="str">
        <f t="shared" si="268"/>
        <v>000</v>
      </c>
      <c r="AC903" s="165" t="str">
        <f t="shared" si="269"/>
        <v>00000000</v>
      </c>
      <c r="AD903" s="98" t="str">
        <f t="shared" si="270"/>
        <v>00000000</v>
      </c>
      <c r="AE903" s="150">
        <f t="shared" si="271"/>
        <v>0</v>
      </c>
      <c r="AF903" s="150">
        <f t="shared" si="272"/>
        <v>0</v>
      </c>
      <c r="AG903" s="98" t="str">
        <f t="shared" si="273"/>
        <v>0000000000</v>
      </c>
      <c r="AH903" s="151">
        <f t="shared" si="274"/>
        <v>0</v>
      </c>
      <c r="AI903" s="98" t="str">
        <f t="shared" si="275"/>
        <v>00</v>
      </c>
      <c r="AJ903" s="98" t="str">
        <f t="shared" si="276"/>
        <v>000000000000</v>
      </c>
      <c r="AK903" s="161" t="str">
        <f t="shared" si="277"/>
        <v xml:space="preserve">                              </v>
      </c>
      <c r="AL903" s="154">
        <f t="shared" si="278"/>
        <v>0</v>
      </c>
      <c r="AM903" s="155">
        <f t="shared" si="279"/>
        <v>0</v>
      </c>
      <c r="AP903" s="63" t="str">
        <f t="shared" si="280"/>
        <v/>
      </c>
      <c r="AQ903" s="63" t="str">
        <f t="shared" si="281"/>
        <v/>
      </c>
      <c r="AR903" s="152" t="str">
        <f t="shared" si="282"/>
        <v/>
      </c>
      <c r="AS903" s="109" t="str">
        <f t="shared" si="283"/>
        <v/>
      </c>
      <c r="AT903" s="63" t="str">
        <f t="shared" si="284"/>
        <v xml:space="preserve">                    </v>
      </c>
    </row>
    <row r="904" spans="1:46" ht="12.75" x14ac:dyDescent="0.2">
      <c r="A904" s="63" t="str">
        <f t="shared" si="285"/>
        <v/>
      </c>
      <c r="B904" s="185"/>
      <c r="C904" s="185"/>
      <c r="D904" s="185"/>
      <c r="E904" s="185"/>
      <c r="F904" s="185"/>
      <c r="G904" s="185"/>
      <c r="H904" s="185"/>
      <c r="I904" s="186"/>
      <c r="J904" s="69"/>
      <c r="AA904" s="63">
        <f t="shared" si="267"/>
        <v>0</v>
      </c>
      <c r="AB904" s="153" t="str">
        <f t="shared" si="268"/>
        <v>000</v>
      </c>
      <c r="AC904" s="165" t="str">
        <f t="shared" si="269"/>
        <v>00000000</v>
      </c>
      <c r="AD904" s="98" t="str">
        <f t="shared" si="270"/>
        <v>00000000</v>
      </c>
      <c r="AE904" s="150">
        <f t="shared" si="271"/>
        <v>0</v>
      </c>
      <c r="AF904" s="150">
        <f t="shared" si="272"/>
        <v>0</v>
      </c>
      <c r="AG904" s="98" t="str">
        <f t="shared" si="273"/>
        <v>0000000000</v>
      </c>
      <c r="AH904" s="151">
        <f t="shared" si="274"/>
        <v>0</v>
      </c>
      <c r="AI904" s="98" t="str">
        <f t="shared" si="275"/>
        <v>00</v>
      </c>
      <c r="AJ904" s="98" t="str">
        <f t="shared" si="276"/>
        <v>000000000000</v>
      </c>
      <c r="AK904" s="161" t="str">
        <f t="shared" si="277"/>
        <v xml:space="preserve">                              </v>
      </c>
      <c r="AL904" s="154">
        <f t="shared" si="278"/>
        <v>0</v>
      </c>
      <c r="AM904" s="155">
        <f t="shared" si="279"/>
        <v>0</v>
      </c>
      <c r="AP904" s="63" t="str">
        <f t="shared" si="280"/>
        <v/>
      </c>
      <c r="AQ904" s="63" t="str">
        <f t="shared" si="281"/>
        <v/>
      </c>
      <c r="AR904" s="152" t="str">
        <f t="shared" si="282"/>
        <v/>
      </c>
      <c r="AS904" s="109" t="str">
        <f t="shared" si="283"/>
        <v/>
      </c>
      <c r="AT904" s="63" t="str">
        <f t="shared" si="284"/>
        <v xml:space="preserve">                    </v>
      </c>
    </row>
    <row r="905" spans="1:46" ht="12.75" x14ac:dyDescent="0.2">
      <c r="A905" s="63" t="str">
        <f t="shared" si="285"/>
        <v/>
      </c>
      <c r="B905" s="185"/>
      <c r="C905" s="185"/>
      <c r="D905" s="185"/>
      <c r="E905" s="185"/>
      <c r="F905" s="185"/>
      <c r="G905" s="185"/>
      <c r="H905" s="185"/>
      <c r="I905" s="186"/>
      <c r="J905" s="69"/>
      <c r="AA905" s="63">
        <f t="shared" si="267"/>
        <v>0</v>
      </c>
      <c r="AB905" s="153" t="str">
        <f t="shared" si="268"/>
        <v>000</v>
      </c>
      <c r="AC905" s="165" t="str">
        <f t="shared" si="269"/>
        <v>00000000</v>
      </c>
      <c r="AD905" s="98" t="str">
        <f t="shared" si="270"/>
        <v>00000000</v>
      </c>
      <c r="AE905" s="150">
        <f t="shared" si="271"/>
        <v>0</v>
      </c>
      <c r="AF905" s="150">
        <f t="shared" si="272"/>
        <v>0</v>
      </c>
      <c r="AG905" s="98" t="str">
        <f t="shared" si="273"/>
        <v>0000000000</v>
      </c>
      <c r="AH905" s="151">
        <f t="shared" si="274"/>
        <v>0</v>
      </c>
      <c r="AI905" s="98" t="str">
        <f t="shared" si="275"/>
        <v>00</v>
      </c>
      <c r="AJ905" s="98" t="str">
        <f t="shared" si="276"/>
        <v>000000000000</v>
      </c>
      <c r="AK905" s="161" t="str">
        <f t="shared" si="277"/>
        <v xml:space="preserve">                              </v>
      </c>
      <c r="AL905" s="154">
        <f t="shared" si="278"/>
        <v>0</v>
      </c>
      <c r="AM905" s="155">
        <f t="shared" si="279"/>
        <v>0</v>
      </c>
      <c r="AP905" s="63" t="str">
        <f t="shared" si="280"/>
        <v/>
      </c>
      <c r="AQ905" s="63" t="str">
        <f t="shared" si="281"/>
        <v/>
      </c>
      <c r="AR905" s="152" t="str">
        <f t="shared" si="282"/>
        <v/>
      </c>
      <c r="AS905" s="109" t="str">
        <f t="shared" si="283"/>
        <v/>
      </c>
      <c r="AT905" s="63" t="str">
        <f t="shared" si="284"/>
        <v xml:space="preserve">                    </v>
      </c>
    </row>
    <row r="906" spans="1:46" ht="12.75" x14ac:dyDescent="0.2">
      <c r="A906" s="63" t="str">
        <f t="shared" si="285"/>
        <v/>
      </c>
      <c r="B906" s="185"/>
      <c r="C906" s="185"/>
      <c r="D906" s="185"/>
      <c r="E906" s="185"/>
      <c r="F906" s="185"/>
      <c r="G906" s="185"/>
      <c r="H906" s="185"/>
      <c r="I906" s="186"/>
      <c r="J906" s="69"/>
      <c r="AA906" s="63">
        <f t="shared" si="267"/>
        <v>0</v>
      </c>
      <c r="AB906" s="153" t="str">
        <f t="shared" si="268"/>
        <v>000</v>
      </c>
      <c r="AC906" s="165" t="str">
        <f t="shared" si="269"/>
        <v>00000000</v>
      </c>
      <c r="AD906" s="98" t="str">
        <f t="shared" si="270"/>
        <v>00000000</v>
      </c>
      <c r="AE906" s="150">
        <f t="shared" si="271"/>
        <v>0</v>
      </c>
      <c r="AF906" s="150">
        <f t="shared" si="272"/>
        <v>0</v>
      </c>
      <c r="AG906" s="98" t="str">
        <f t="shared" si="273"/>
        <v>0000000000</v>
      </c>
      <c r="AH906" s="151">
        <f t="shared" si="274"/>
        <v>0</v>
      </c>
      <c r="AI906" s="98" t="str">
        <f t="shared" si="275"/>
        <v>00</v>
      </c>
      <c r="AJ906" s="98" t="str">
        <f t="shared" si="276"/>
        <v>000000000000</v>
      </c>
      <c r="AK906" s="161" t="str">
        <f t="shared" si="277"/>
        <v xml:space="preserve">                              </v>
      </c>
      <c r="AL906" s="154">
        <f t="shared" si="278"/>
        <v>0</v>
      </c>
      <c r="AM906" s="155">
        <f t="shared" si="279"/>
        <v>0</v>
      </c>
      <c r="AP906" s="63" t="str">
        <f t="shared" si="280"/>
        <v/>
      </c>
      <c r="AQ906" s="63" t="str">
        <f t="shared" si="281"/>
        <v/>
      </c>
      <c r="AR906" s="152" t="str">
        <f t="shared" si="282"/>
        <v/>
      </c>
      <c r="AS906" s="109" t="str">
        <f t="shared" si="283"/>
        <v/>
      </c>
      <c r="AT906" s="63" t="str">
        <f t="shared" si="284"/>
        <v xml:space="preserve">                    </v>
      </c>
    </row>
    <row r="907" spans="1:46" ht="12.75" x14ac:dyDescent="0.2">
      <c r="A907" s="63" t="str">
        <f t="shared" si="285"/>
        <v/>
      </c>
      <c r="B907" s="185"/>
      <c r="C907" s="185"/>
      <c r="D907" s="185"/>
      <c r="E907" s="185"/>
      <c r="F907" s="185"/>
      <c r="G907" s="185"/>
      <c r="H907" s="185"/>
      <c r="I907" s="186"/>
      <c r="J907" s="69"/>
      <c r="AA907" s="63">
        <f t="shared" si="267"/>
        <v>0</v>
      </c>
      <c r="AB907" s="153" t="str">
        <f t="shared" si="268"/>
        <v>000</v>
      </c>
      <c r="AC907" s="165" t="str">
        <f t="shared" si="269"/>
        <v>00000000</v>
      </c>
      <c r="AD907" s="98" t="str">
        <f t="shared" si="270"/>
        <v>00000000</v>
      </c>
      <c r="AE907" s="150">
        <f t="shared" si="271"/>
        <v>0</v>
      </c>
      <c r="AF907" s="150">
        <f t="shared" si="272"/>
        <v>0</v>
      </c>
      <c r="AG907" s="98" t="str">
        <f t="shared" si="273"/>
        <v>0000000000</v>
      </c>
      <c r="AH907" s="151">
        <f t="shared" si="274"/>
        <v>0</v>
      </c>
      <c r="AI907" s="98" t="str">
        <f t="shared" si="275"/>
        <v>00</v>
      </c>
      <c r="AJ907" s="98" t="str">
        <f t="shared" si="276"/>
        <v>000000000000</v>
      </c>
      <c r="AK907" s="161" t="str">
        <f t="shared" si="277"/>
        <v xml:space="preserve">                              </v>
      </c>
      <c r="AL907" s="154">
        <f t="shared" si="278"/>
        <v>0</v>
      </c>
      <c r="AM907" s="155">
        <f t="shared" si="279"/>
        <v>0</v>
      </c>
      <c r="AP907" s="63" t="str">
        <f t="shared" si="280"/>
        <v/>
      </c>
      <c r="AQ907" s="63" t="str">
        <f t="shared" si="281"/>
        <v/>
      </c>
      <c r="AR907" s="152" t="str">
        <f t="shared" si="282"/>
        <v/>
      </c>
      <c r="AS907" s="109" t="str">
        <f t="shared" si="283"/>
        <v/>
      </c>
      <c r="AT907" s="63" t="str">
        <f t="shared" si="284"/>
        <v xml:space="preserve">                    </v>
      </c>
    </row>
    <row r="908" spans="1:46" ht="12.75" x14ac:dyDescent="0.2">
      <c r="A908" s="63" t="str">
        <f t="shared" si="285"/>
        <v/>
      </c>
      <c r="B908" s="185"/>
      <c r="C908" s="185"/>
      <c r="D908" s="185"/>
      <c r="E908" s="185"/>
      <c r="F908" s="185"/>
      <c r="G908" s="185"/>
      <c r="H908" s="185"/>
      <c r="I908" s="186"/>
      <c r="J908" s="69"/>
      <c r="AA908" s="63">
        <f t="shared" si="267"/>
        <v>0</v>
      </c>
      <c r="AB908" s="153" t="str">
        <f t="shared" si="268"/>
        <v>000</v>
      </c>
      <c r="AC908" s="165" t="str">
        <f t="shared" si="269"/>
        <v>00000000</v>
      </c>
      <c r="AD908" s="98" t="str">
        <f t="shared" si="270"/>
        <v>00000000</v>
      </c>
      <c r="AE908" s="150">
        <f t="shared" si="271"/>
        <v>0</v>
      </c>
      <c r="AF908" s="150">
        <f t="shared" si="272"/>
        <v>0</v>
      </c>
      <c r="AG908" s="98" t="str">
        <f t="shared" si="273"/>
        <v>0000000000</v>
      </c>
      <c r="AH908" s="151">
        <f t="shared" si="274"/>
        <v>0</v>
      </c>
      <c r="AI908" s="98" t="str">
        <f t="shared" si="275"/>
        <v>00</v>
      </c>
      <c r="AJ908" s="98" t="str">
        <f t="shared" si="276"/>
        <v>000000000000</v>
      </c>
      <c r="AK908" s="161" t="str">
        <f t="shared" si="277"/>
        <v xml:space="preserve">                              </v>
      </c>
      <c r="AL908" s="154">
        <f t="shared" si="278"/>
        <v>0</v>
      </c>
      <c r="AM908" s="155">
        <f t="shared" si="279"/>
        <v>0</v>
      </c>
      <c r="AP908" s="63" t="str">
        <f t="shared" si="280"/>
        <v/>
      </c>
      <c r="AQ908" s="63" t="str">
        <f t="shared" si="281"/>
        <v/>
      </c>
      <c r="AR908" s="152" t="str">
        <f t="shared" si="282"/>
        <v/>
      </c>
      <c r="AS908" s="109" t="str">
        <f t="shared" si="283"/>
        <v/>
      </c>
      <c r="AT908" s="63" t="str">
        <f t="shared" si="284"/>
        <v xml:space="preserve">                    </v>
      </c>
    </row>
    <row r="909" spans="1:46" ht="12.75" x14ac:dyDescent="0.2">
      <c r="A909" s="63" t="str">
        <f t="shared" si="285"/>
        <v/>
      </c>
      <c r="B909" s="185"/>
      <c r="C909" s="185"/>
      <c r="D909" s="185"/>
      <c r="E909" s="185"/>
      <c r="F909" s="185"/>
      <c r="G909" s="185"/>
      <c r="H909" s="185"/>
      <c r="I909" s="186"/>
      <c r="J909" s="69"/>
      <c r="AA909" s="63">
        <f t="shared" si="267"/>
        <v>0</v>
      </c>
      <c r="AB909" s="153" t="str">
        <f t="shared" si="268"/>
        <v>000</v>
      </c>
      <c r="AC909" s="165" t="str">
        <f t="shared" si="269"/>
        <v>00000000</v>
      </c>
      <c r="AD909" s="98" t="str">
        <f t="shared" si="270"/>
        <v>00000000</v>
      </c>
      <c r="AE909" s="150">
        <f t="shared" si="271"/>
        <v>0</v>
      </c>
      <c r="AF909" s="150">
        <f t="shared" si="272"/>
        <v>0</v>
      </c>
      <c r="AG909" s="98" t="str">
        <f t="shared" si="273"/>
        <v>0000000000</v>
      </c>
      <c r="AH909" s="151">
        <f t="shared" si="274"/>
        <v>0</v>
      </c>
      <c r="AI909" s="98" t="str">
        <f t="shared" si="275"/>
        <v>00</v>
      </c>
      <c r="AJ909" s="98" t="str">
        <f t="shared" si="276"/>
        <v>000000000000</v>
      </c>
      <c r="AK909" s="161" t="str">
        <f t="shared" si="277"/>
        <v xml:space="preserve">                              </v>
      </c>
      <c r="AL909" s="154">
        <f t="shared" si="278"/>
        <v>0</v>
      </c>
      <c r="AM909" s="155">
        <f t="shared" si="279"/>
        <v>0</v>
      </c>
      <c r="AP909" s="63" t="str">
        <f t="shared" si="280"/>
        <v/>
      </c>
      <c r="AQ909" s="63" t="str">
        <f t="shared" si="281"/>
        <v/>
      </c>
      <c r="AR909" s="152" t="str">
        <f t="shared" si="282"/>
        <v/>
      </c>
      <c r="AS909" s="109" t="str">
        <f t="shared" si="283"/>
        <v/>
      </c>
      <c r="AT909" s="63" t="str">
        <f t="shared" si="284"/>
        <v xml:space="preserve">                    </v>
      </c>
    </row>
    <row r="910" spans="1:46" ht="12.75" x14ac:dyDescent="0.2">
      <c r="A910" s="63" t="str">
        <f t="shared" si="285"/>
        <v/>
      </c>
      <c r="B910" s="185"/>
      <c r="C910" s="185"/>
      <c r="D910" s="185"/>
      <c r="E910" s="185"/>
      <c r="F910" s="185"/>
      <c r="G910" s="185"/>
      <c r="H910" s="185"/>
      <c r="I910" s="186"/>
      <c r="J910" s="69"/>
      <c r="AA910" s="63">
        <f t="shared" si="267"/>
        <v>0</v>
      </c>
      <c r="AB910" s="153" t="str">
        <f t="shared" si="268"/>
        <v>000</v>
      </c>
      <c r="AC910" s="165" t="str">
        <f t="shared" si="269"/>
        <v>00000000</v>
      </c>
      <c r="AD910" s="98" t="str">
        <f t="shared" si="270"/>
        <v>00000000</v>
      </c>
      <c r="AE910" s="150">
        <f t="shared" si="271"/>
        <v>0</v>
      </c>
      <c r="AF910" s="150">
        <f t="shared" si="272"/>
        <v>0</v>
      </c>
      <c r="AG910" s="98" t="str">
        <f t="shared" si="273"/>
        <v>0000000000</v>
      </c>
      <c r="AH910" s="151">
        <f t="shared" si="274"/>
        <v>0</v>
      </c>
      <c r="AI910" s="98" t="str">
        <f t="shared" si="275"/>
        <v>00</v>
      </c>
      <c r="AJ910" s="98" t="str">
        <f t="shared" si="276"/>
        <v>000000000000</v>
      </c>
      <c r="AK910" s="161" t="str">
        <f t="shared" si="277"/>
        <v xml:space="preserve">                              </v>
      </c>
      <c r="AL910" s="154">
        <f t="shared" si="278"/>
        <v>0</v>
      </c>
      <c r="AM910" s="155">
        <f t="shared" si="279"/>
        <v>0</v>
      </c>
      <c r="AP910" s="63" t="str">
        <f t="shared" si="280"/>
        <v/>
      </c>
      <c r="AQ910" s="63" t="str">
        <f t="shared" si="281"/>
        <v/>
      </c>
      <c r="AR910" s="152" t="str">
        <f t="shared" si="282"/>
        <v/>
      </c>
      <c r="AS910" s="109" t="str">
        <f t="shared" si="283"/>
        <v/>
      </c>
      <c r="AT910" s="63" t="str">
        <f t="shared" si="284"/>
        <v xml:space="preserve">                    </v>
      </c>
    </row>
    <row r="911" spans="1:46" ht="12.75" x14ac:dyDescent="0.2">
      <c r="A911" s="63" t="str">
        <f t="shared" si="285"/>
        <v/>
      </c>
      <c r="B911" s="185"/>
      <c r="C911" s="185"/>
      <c r="D911" s="185"/>
      <c r="E911" s="185"/>
      <c r="F911" s="185"/>
      <c r="G911" s="185"/>
      <c r="H911" s="185"/>
      <c r="I911" s="186"/>
      <c r="J911" s="69"/>
      <c r="AA911" s="63">
        <f t="shared" si="267"/>
        <v>0</v>
      </c>
      <c r="AB911" s="153" t="str">
        <f t="shared" si="268"/>
        <v>000</v>
      </c>
      <c r="AC911" s="165" t="str">
        <f t="shared" si="269"/>
        <v>00000000</v>
      </c>
      <c r="AD911" s="98" t="str">
        <f t="shared" si="270"/>
        <v>00000000</v>
      </c>
      <c r="AE911" s="150">
        <f t="shared" si="271"/>
        <v>0</v>
      </c>
      <c r="AF911" s="150">
        <f t="shared" si="272"/>
        <v>0</v>
      </c>
      <c r="AG911" s="98" t="str">
        <f t="shared" si="273"/>
        <v>0000000000</v>
      </c>
      <c r="AH911" s="151">
        <f t="shared" si="274"/>
        <v>0</v>
      </c>
      <c r="AI911" s="98" t="str">
        <f t="shared" si="275"/>
        <v>00</v>
      </c>
      <c r="AJ911" s="98" t="str">
        <f t="shared" si="276"/>
        <v>000000000000</v>
      </c>
      <c r="AK911" s="161" t="str">
        <f t="shared" si="277"/>
        <v xml:space="preserve">                              </v>
      </c>
      <c r="AL911" s="154">
        <f t="shared" si="278"/>
        <v>0</v>
      </c>
      <c r="AM911" s="155">
        <f t="shared" si="279"/>
        <v>0</v>
      </c>
      <c r="AP911" s="63" t="str">
        <f t="shared" si="280"/>
        <v/>
      </c>
      <c r="AQ911" s="63" t="str">
        <f t="shared" si="281"/>
        <v/>
      </c>
      <c r="AR911" s="152" t="str">
        <f t="shared" si="282"/>
        <v/>
      </c>
      <c r="AS911" s="109" t="str">
        <f t="shared" si="283"/>
        <v/>
      </c>
      <c r="AT911" s="63" t="str">
        <f t="shared" si="284"/>
        <v xml:space="preserve">                    </v>
      </c>
    </row>
    <row r="912" spans="1:46" ht="12.75" x14ac:dyDescent="0.2">
      <c r="A912" s="63" t="str">
        <f t="shared" si="285"/>
        <v/>
      </c>
      <c r="B912" s="185"/>
      <c r="C912" s="185"/>
      <c r="D912" s="185"/>
      <c r="E912" s="185"/>
      <c r="F912" s="185"/>
      <c r="G912" s="185"/>
      <c r="H912" s="185"/>
      <c r="I912" s="186"/>
      <c r="J912" s="69"/>
      <c r="AA912" s="63">
        <f t="shared" si="267"/>
        <v>0</v>
      </c>
      <c r="AB912" s="153" t="str">
        <f t="shared" si="268"/>
        <v>000</v>
      </c>
      <c r="AC912" s="165" t="str">
        <f t="shared" si="269"/>
        <v>00000000</v>
      </c>
      <c r="AD912" s="98" t="str">
        <f t="shared" si="270"/>
        <v>00000000</v>
      </c>
      <c r="AE912" s="150">
        <f t="shared" si="271"/>
        <v>0</v>
      </c>
      <c r="AF912" s="150">
        <f t="shared" si="272"/>
        <v>0</v>
      </c>
      <c r="AG912" s="98" t="str">
        <f t="shared" si="273"/>
        <v>0000000000</v>
      </c>
      <c r="AH912" s="151">
        <f t="shared" si="274"/>
        <v>0</v>
      </c>
      <c r="AI912" s="98" t="str">
        <f t="shared" si="275"/>
        <v>00</v>
      </c>
      <c r="AJ912" s="98" t="str">
        <f t="shared" si="276"/>
        <v>000000000000</v>
      </c>
      <c r="AK912" s="161" t="str">
        <f t="shared" si="277"/>
        <v xml:space="preserve">                              </v>
      </c>
      <c r="AL912" s="154">
        <f t="shared" si="278"/>
        <v>0</v>
      </c>
      <c r="AM912" s="155">
        <f t="shared" si="279"/>
        <v>0</v>
      </c>
      <c r="AP912" s="63" t="str">
        <f t="shared" si="280"/>
        <v/>
      </c>
      <c r="AQ912" s="63" t="str">
        <f t="shared" si="281"/>
        <v/>
      </c>
      <c r="AR912" s="152" t="str">
        <f t="shared" si="282"/>
        <v/>
      </c>
      <c r="AS912" s="109" t="str">
        <f t="shared" si="283"/>
        <v/>
      </c>
      <c r="AT912" s="63" t="str">
        <f t="shared" si="284"/>
        <v xml:space="preserve">                    </v>
      </c>
    </row>
    <row r="913" spans="1:46" ht="12.75" x14ac:dyDescent="0.2">
      <c r="A913" s="63" t="str">
        <f t="shared" si="285"/>
        <v/>
      </c>
      <c r="B913" s="185"/>
      <c r="C913" s="185"/>
      <c r="D913" s="185"/>
      <c r="E913" s="185"/>
      <c r="F913" s="185"/>
      <c r="G913" s="185"/>
      <c r="H913" s="185"/>
      <c r="I913" s="186"/>
      <c r="J913" s="69"/>
      <c r="AA913" s="63">
        <f t="shared" ref="AA913:AA976" si="286">B913</f>
        <v>0</v>
      </c>
      <c r="AB913" s="153" t="str">
        <f t="shared" ref="AB913:AB976" si="287">CONCATENATE(REPT("0",3-LEN(C913)),C913)</f>
        <v>000</v>
      </c>
      <c r="AC913" s="165" t="str">
        <f t="shared" ref="AC913:AC976" si="288">CONCATENATE(REPT("0",8-LEN(D913)),D913)</f>
        <v>00000000</v>
      </c>
      <c r="AD913" s="98" t="str">
        <f t="shared" ref="AD913:AD976" si="289">CONCATENATE(REPT("0",8-LEN(F913)),F913)</f>
        <v>00000000</v>
      </c>
      <c r="AE913" s="150">
        <f t="shared" ref="AE913:AE976" si="290">INT(I913)</f>
        <v>0</v>
      </c>
      <c r="AF913" s="150">
        <f t="shared" ref="AF913:AF976" si="291">I913-AE913</f>
        <v>0</v>
      </c>
      <c r="AG913" s="98" t="str">
        <f t="shared" ref="AG913:AG976" si="292">TEXT(AE913,"0000000000")</f>
        <v>0000000000</v>
      </c>
      <c r="AH913" s="151">
        <f t="shared" ref="AH913:AH976" si="293">AF913*100</f>
        <v>0</v>
      </c>
      <c r="AI913" s="98" t="str">
        <f t="shared" ref="AI913:AI976" si="294">TEXT(AH913,"00")</f>
        <v>00</v>
      </c>
      <c r="AJ913" s="98" t="str">
        <f t="shared" ref="AJ913:AJ976" si="295">CONCATENATE(AG913,AI913)</f>
        <v>000000000000</v>
      </c>
      <c r="AK913" s="161" t="str">
        <f t="shared" ref="AK913:AK976" si="296">CONCATENATE(E913,REPT(" ",30-LEN(E913)))</f>
        <v xml:space="preserve">                              </v>
      </c>
      <c r="AL913" s="154">
        <f t="shared" ref="AL913:AL976" si="297">IF(H913&lt;&gt;"",IF(H913=$H$3,0,1),0)</f>
        <v>0</v>
      </c>
      <c r="AM913" s="155">
        <f t="shared" ref="AM913:AM976" si="298">IF(AL913=1,IF($H$3=1,I913*$K$14,I913/$K$14),I913)</f>
        <v>0</v>
      </c>
      <c r="AP913" s="63" t="str">
        <f t="shared" si="280"/>
        <v/>
      </c>
      <c r="AQ913" s="63" t="str">
        <f t="shared" si="281"/>
        <v/>
      </c>
      <c r="AR913" s="152" t="str">
        <f t="shared" si="282"/>
        <v/>
      </c>
      <c r="AS913" s="109" t="str">
        <f t="shared" si="283"/>
        <v/>
      </c>
      <c r="AT913" s="63" t="str">
        <f t="shared" si="284"/>
        <v xml:space="preserve">                    </v>
      </c>
    </row>
    <row r="914" spans="1:46" ht="12.75" x14ac:dyDescent="0.2">
      <c r="A914" s="63" t="str">
        <f t="shared" si="285"/>
        <v/>
      </c>
      <c r="B914" s="185"/>
      <c r="C914" s="185"/>
      <c r="D914" s="185"/>
      <c r="E914" s="185"/>
      <c r="F914" s="185"/>
      <c r="G914" s="185"/>
      <c r="H914" s="185"/>
      <c r="I914" s="186"/>
      <c r="J914" s="69"/>
      <c r="AA914" s="63">
        <f t="shared" si="286"/>
        <v>0</v>
      </c>
      <c r="AB914" s="153" t="str">
        <f t="shared" si="287"/>
        <v>000</v>
      </c>
      <c r="AC914" s="165" t="str">
        <f t="shared" si="288"/>
        <v>00000000</v>
      </c>
      <c r="AD914" s="98" t="str">
        <f t="shared" si="289"/>
        <v>00000000</v>
      </c>
      <c r="AE914" s="150">
        <f t="shared" si="290"/>
        <v>0</v>
      </c>
      <c r="AF914" s="150">
        <f t="shared" si="291"/>
        <v>0</v>
      </c>
      <c r="AG914" s="98" t="str">
        <f t="shared" si="292"/>
        <v>0000000000</v>
      </c>
      <c r="AH914" s="151">
        <f t="shared" si="293"/>
        <v>0</v>
      </c>
      <c r="AI914" s="98" t="str">
        <f t="shared" si="294"/>
        <v>00</v>
      </c>
      <c r="AJ914" s="98" t="str">
        <f t="shared" si="295"/>
        <v>000000000000</v>
      </c>
      <c r="AK914" s="161" t="str">
        <f t="shared" si="296"/>
        <v xml:space="preserve">                              </v>
      </c>
      <c r="AL914" s="154">
        <f t="shared" si="297"/>
        <v>0</v>
      </c>
      <c r="AM914" s="155">
        <f t="shared" si="298"/>
        <v>0</v>
      </c>
      <c r="AP914" s="63" t="str">
        <f t="shared" ref="AP914:AP977" si="299">IF(D915&lt;&gt;"",CONCATENATE("000",AS914,"0",H915,"2","    ",AD915,AJ915,"            ",AT915,AK915,"                                                                                     "),"")</f>
        <v/>
      </c>
      <c r="AQ914" s="63" t="str">
        <f t="shared" ref="AQ914:AQ977" si="300">IF(D915&lt;&gt;"",CONCATENATE("1520",AA915,AB915,AC915),"")</f>
        <v/>
      </c>
      <c r="AR914" s="152" t="str">
        <f t="shared" ref="AR914:AR977" si="301">IF(D915&lt;&gt;"",MOD(SUM(VALUE(MID($AQ$1,1,1)) * VALUE(MID(AQ914,1,1)),VALUE(MID($AQ$1,2,1)) * VALUE(MID(AQ914,2,1)),VALUE(MID($AQ$1,3,1)) * VALUE(MID(AQ914,3,1)),VALUE(MID($AQ$1,4,1)) * VALUE(MID(AQ914,4,1)),VALUE(MID($AQ$1,5,1)) * VALUE(MID(AQ914,5,1)),VALUE(MID($AQ$1,6,1)) * VALUE(MID(AQ914,6,1)),VALUE(MID($AQ$1,7,1)) * VALUE(MID(AQ914,7,1)),VALUE(MID($AQ$1,8,1)) * VALUE(MID(AQ914,8,1)),VALUE(MID($AQ$1,9,1)) * VALUE(MID(AQ914,9,1)),VALUE(MID($AQ$1,10,1)) * VALUE(MID(AQ914,10,1)),VALUE(MID($AQ$1,11,1)) * VALUE(MID(AQ914,11,1)),VALUE(MID($AQ$1,12,1)) * VALUE(MID(AQ914,12,1)),VALUE(MID($AQ$1,13,1)) * VALUE(MID(AQ914,13,1)),VALUE(MID($AQ$1,14,1)) * VALUE(MID(AQ914,14,1)),VALUE(MID($AQ$1,15,1)) * VALUE(MID(AQ914,15,1)),VALUE(MID($AQ$1,16,1)) * VALUE(MID(AQ914,16,1))),11),"")</f>
        <v/>
      </c>
      <c r="AS914" s="109" t="str">
        <f t="shared" ref="AS914:AS977" si="302">IF(D915&lt;&gt;"",CONCATENATE(AQ914,IF(AR914&gt;9,"1",AR914)),"")</f>
        <v/>
      </c>
      <c r="AT914" s="63" t="str">
        <f t="shared" ref="AT914:AT977" si="303">CONCATENATE(G914,REPT(" ",20-LEN(G914)))</f>
        <v xml:space="preserve">                    </v>
      </c>
    </row>
    <row r="915" spans="1:46" ht="12.75" x14ac:dyDescent="0.2">
      <c r="A915" s="63" t="str">
        <f t="shared" si="285"/>
        <v/>
      </c>
      <c r="B915" s="185"/>
      <c r="C915" s="185"/>
      <c r="D915" s="185"/>
      <c r="E915" s="185"/>
      <c r="F915" s="185"/>
      <c r="G915" s="185"/>
      <c r="H915" s="185"/>
      <c r="I915" s="186"/>
      <c r="J915" s="69"/>
      <c r="AA915" s="63">
        <f t="shared" si="286"/>
        <v>0</v>
      </c>
      <c r="AB915" s="153" t="str">
        <f t="shared" si="287"/>
        <v>000</v>
      </c>
      <c r="AC915" s="165" t="str">
        <f t="shared" si="288"/>
        <v>00000000</v>
      </c>
      <c r="AD915" s="98" t="str">
        <f t="shared" si="289"/>
        <v>00000000</v>
      </c>
      <c r="AE915" s="150">
        <f t="shared" si="290"/>
        <v>0</v>
      </c>
      <c r="AF915" s="150">
        <f t="shared" si="291"/>
        <v>0</v>
      </c>
      <c r="AG915" s="98" t="str">
        <f t="shared" si="292"/>
        <v>0000000000</v>
      </c>
      <c r="AH915" s="151">
        <f t="shared" si="293"/>
        <v>0</v>
      </c>
      <c r="AI915" s="98" t="str">
        <f t="shared" si="294"/>
        <v>00</v>
      </c>
      <c r="AJ915" s="98" t="str">
        <f t="shared" si="295"/>
        <v>000000000000</v>
      </c>
      <c r="AK915" s="161" t="str">
        <f t="shared" si="296"/>
        <v xml:space="preserve">                              </v>
      </c>
      <c r="AL915" s="154">
        <f t="shared" si="297"/>
        <v>0</v>
      </c>
      <c r="AM915" s="155">
        <f t="shared" si="298"/>
        <v>0</v>
      </c>
      <c r="AP915" s="63" t="str">
        <f t="shared" si="299"/>
        <v/>
      </c>
      <c r="AQ915" s="63" t="str">
        <f t="shared" si="300"/>
        <v/>
      </c>
      <c r="AR915" s="152" t="str">
        <f t="shared" si="301"/>
        <v/>
      </c>
      <c r="AS915" s="109" t="str">
        <f t="shared" si="302"/>
        <v/>
      </c>
      <c r="AT915" s="63" t="str">
        <f t="shared" si="303"/>
        <v xml:space="preserve">                    </v>
      </c>
    </row>
    <row r="916" spans="1:46" ht="12.75" x14ac:dyDescent="0.2">
      <c r="A916" s="63" t="str">
        <f t="shared" si="285"/>
        <v/>
      </c>
      <c r="B916" s="185"/>
      <c r="C916" s="185"/>
      <c r="D916" s="185"/>
      <c r="E916" s="185"/>
      <c r="F916" s="185"/>
      <c r="G916" s="185"/>
      <c r="H916" s="185"/>
      <c r="I916" s="186"/>
      <c r="J916" s="69"/>
      <c r="AA916" s="63">
        <f t="shared" si="286"/>
        <v>0</v>
      </c>
      <c r="AB916" s="153" t="str">
        <f t="shared" si="287"/>
        <v>000</v>
      </c>
      <c r="AC916" s="165" t="str">
        <f t="shared" si="288"/>
        <v>00000000</v>
      </c>
      <c r="AD916" s="98" t="str">
        <f t="shared" si="289"/>
        <v>00000000</v>
      </c>
      <c r="AE916" s="150">
        <f t="shared" si="290"/>
        <v>0</v>
      </c>
      <c r="AF916" s="150">
        <f t="shared" si="291"/>
        <v>0</v>
      </c>
      <c r="AG916" s="98" t="str">
        <f t="shared" si="292"/>
        <v>0000000000</v>
      </c>
      <c r="AH916" s="151">
        <f t="shared" si="293"/>
        <v>0</v>
      </c>
      <c r="AI916" s="98" t="str">
        <f t="shared" si="294"/>
        <v>00</v>
      </c>
      <c r="AJ916" s="98" t="str">
        <f t="shared" si="295"/>
        <v>000000000000</v>
      </c>
      <c r="AK916" s="161" t="str">
        <f t="shared" si="296"/>
        <v xml:space="preserve">                              </v>
      </c>
      <c r="AL916" s="154">
        <f t="shared" si="297"/>
        <v>0</v>
      </c>
      <c r="AM916" s="155">
        <f t="shared" si="298"/>
        <v>0</v>
      </c>
      <c r="AP916" s="63" t="str">
        <f t="shared" si="299"/>
        <v/>
      </c>
      <c r="AQ916" s="63" t="str">
        <f t="shared" si="300"/>
        <v/>
      </c>
      <c r="AR916" s="152" t="str">
        <f t="shared" si="301"/>
        <v/>
      </c>
      <c r="AS916" s="109" t="str">
        <f t="shared" si="302"/>
        <v/>
      </c>
      <c r="AT916" s="63" t="str">
        <f t="shared" si="303"/>
        <v xml:space="preserve">                    </v>
      </c>
    </row>
    <row r="917" spans="1:46" ht="12.75" x14ac:dyDescent="0.2">
      <c r="A917" s="63" t="str">
        <f t="shared" si="285"/>
        <v/>
      </c>
      <c r="B917" s="185"/>
      <c r="C917" s="185"/>
      <c r="D917" s="185"/>
      <c r="E917" s="185"/>
      <c r="F917" s="185"/>
      <c r="G917" s="185"/>
      <c r="H917" s="185"/>
      <c r="I917" s="186"/>
      <c r="J917" s="69"/>
      <c r="AA917" s="63">
        <f t="shared" si="286"/>
        <v>0</v>
      </c>
      <c r="AB917" s="153" t="str">
        <f t="shared" si="287"/>
        <v>000</v>
      </c>
      <c r="AC917" s="165" t="str">
        <f t="shared" si="288"/>
        <v>00000000</v>
      </c>
      <c r="AD917" s="98" t="str">
        <f t="shared" si="289"/>
        <v>00000000</v>
      </c>
      <c r="AE917" s="150">
        <f t="shared" si="290"/>
        <v>0</v>
      </c>
      <c r="AF917" s="150">
        <f t="shared" si="291"/>
        <v>0</v>
      </c>
      <c r="AG917" s="98" t="str">
        <f t="shared" si="292"/>
        <v>0000000000</v>
      </c>
      <c r="AH917" s="151">
        <f t="shared" si="293"/>
        <v>0</v>
      </c>
      <c r="AI917" s="98" t="str">
        <f t="shared" si="294"/>
        <v>00</v>
      </c>
      <c r="AJ917" s="98" t="str">
        <f t="shared" si="295"/>
        <v>000000000000</v>
      </c>
      <c r="AK917" s="161" t="str">
        <f t="shared" si="296"/>
        <v xml:space="preserve">                              </v>
      </c>
      <c r="AL917" s="154">
        <f t="shared" si="297"/>
        <v>0</v>
      </c>
      <c r="AM917" s="155">
        <f t="shared" si="298"/>
        <v>0</v>
      </c>
      <c r="AP917" s="63" t="str">
        <f t="shared" si="299"/>
        <v/>
      </c>
      <c r="AQ917" s="63" t="str">
        <f t="shared" si="300"/>
        <v/>
      </c>
      <c r="AR917" s="152" t="str">
        <f t="shared" si="301"/>
        <v/>
      </c>
      <c r="AS917" s="109" t="str">
        <f t="shared" si="302"/>
        <v/>
      </c>
      <c r="AT917" s="63" t="str">
        <f t="shared" si="303"/>
        <v xml:space="preserve">                    </v>
      </c>
    </row>
    <row r="918" spans="1:46" ht="12.75" x14ac:dyDescent="0.2">
      <c r="A918" s="63" t="str">
        <f t="shared" si="285"/>
        <v/>
      </c>
      <c r="B918" s="185"/>
      <c r="C918" s="185"/>
      <c r="D918" s="185"/>
      <c r="E918" s="185"/>
      <c r="F918" s="185"/>
      <c r="G918" s="185"/>
      <c r="H918" s="185"/>
      <c r="I918" s="186"/>
      <c r="J918" s="69"/>
      <c r="AA918" s="63">
        <f t="shared" si="286"/>
        <v>0</v>
      </c>
      <c r="AB918" s="153" t="str">
        <f t="shared" si="287"/>
        <v>000</v>
      </c>
      <c r="AC918" s="165" t="str">
        <f t="shared" si="288"/>
        <v>00000000</v>
      </c>
      <c r="AD918" s="98" t="str">
        <f t="shared" si="289"/>
        <v>00000000</v>
      </c>
      <c r="AE918" s="150">
        <f t="shared" si="290"/>
        <v>0</v>
      </c>
      <c r="AF918" s="150">
        <f t="shared" si="291"/>
        <v>0</v>
      </c>
      <c r="AG918" s="98" t="str">
        <f t="shared" si="292"/>
        <v>0000000000</v>
      </c>
      <c r="AH918" s="151">
        <f t="shared" si="293"/>
        <v>0</v>
      </c>
      <c r="AI918" s="98" t="str">
        <f t="shared" si="294"/>
        <v>00</v>
      </c>
      <c r="AJ918" s="98" t="str">
        <f t="shared" si="295"/>
        <v>000000000000</v>
      </c>
      <c r="AK918" s="161" t="str">
        <f t="shared" si="296"/>
        <v xml:space="preserve">                              </v>
      </c>
      <c r="AL918" s="154">
        <f t="shared" si="297"/>
        <v>0</v>
      </c>
      <c r="AM918" s="155">
        <f t="shared" si="298"/>
        <v>0</v>
      </c>
      <c r="AP918" s="63" t="str">
        <f t="shared" si="299"/>
        <v/>
      </c>
      <c r="AQ918" s="63" t="str">
        <f t="shared" si="300"/>
        <v/>
      </c>
      <c r="AR918" s="152" t="str">
        <f t="shared" si="301"/>
        <v/>
      </c>
      <c r="AS918" s="109" t="str">
        <f t="shared" si="302"/>
        <v/>
      </c>
      <c r="AT918" s="63" t="str">
        <f t="shared" si="303"/>
        <v xml:space="preserve">                    </v>
      </c>
    </row>
    <row r="919" spans="1:46" ht="12.75" x14ac:dyDescent="0.2">
      <c r="A919" s="63" t="str">
        <f t="shared" si="285"/>
        <v/>
      </c>
      <c r="B919" s="185"/>
      <c r="C919" s="185"/>
      <c r="D919" s="185"/>
      <c r="E919" s="185"/>
      <c r="F919" s="185"/>
      <c r="G919" s="185"/>
      <c r="H919" s="185"/>
      <c r="I919" s="186"/>
      <c r="J919" s="69"/>
      <c r="AA919" s="63">
        <f t="shared" si="286"/>
        <v>0</v>
      </c>
      <c r="AB919" s="153" t="str">
        <f t="shared" si="287"/>
        <v>000</v>
      </c>
      <c r="AC919" s="165" t="str">
        <f t="shared" si="288"/>
        <v>00000000</v>
      </c>
      <c r="AD919" s="98" t="str">
        <f t="shared" si="289"/>
        <v>00000000</v>
      </c>
      <c r="AE919" s="150">
        <f t="shared" si="290"/>
        <v>0</v>
      </c>
      <c r="AF919" s="150">
        <f t="shared" si="291"/>
        <v>0</v>
      </c>
      <c r="AG919" s="98" t="str">
        <f t="shared" si="292"/>
        <v>0000000000</v>
      </c>
      <c r="AH919" s="151">
        <f t="shared" si="293"/>
        <v>0</v>
      </c>
      <c r="AI919" s="98" t="str">
        <f t="shared" si="294"/>
        <v>00</v>
      </c>
      <c r="AJ919" s="98" t="str">
        <f t="shared" si="295"/>
        <v>000000000000</v>
      </c>
      <c r="AK919" s="161" t="str">
        <f t="shared" si="296"/>
        <v xml:space="preserve">                              </v>
      </c>
      <c r="AL919" s="154">
        <f t="shared" si="297"/>
        <v>0</v>
      </c>
      <c r="AM919" s="155">
        <f t="shared" si="298"/>
        <v>0</v>
      </c>
      <c r="AP919" s="63" t="str">
        <f t="shared" si="299"/>
        <v/>
      </c>
      <c r="AQ919" s="63" t="str">
        <f t="shared" si="300"/>
        <v/>
      </c>
      <c r="AR919" s="152" t="str">
        <f t="shared" si="301"/>
        <v/>
      </c>
      <c r="AS919" s="109" t="str">
        <f t="shared" si="302"/>
        <v/>
      </c>
      <c r="AT919" s="63" t="str">
        <f t="shared" si="303"/>
        <v xml:space="preserve">                    </v>
      </c>
    </row>
    <row r="920" spans="1:46" ht="12.75" x14ac:dyDescent="0.2">
      <c r="A920" s="63" t="str">
        <f t="shared" si="285"/>
        <v/>
      </c>
      <c r="B920" s="185"/>
      <c r="C920" s="185"/>
      <c r="D920" s="185"/>
      <c r="E920" s="185"/>
      <c r="F920" s="185"/>
      <c r="G920" s="185"/>
      <c r="H920" s="185"/>
      <c r="I920" s="186"/>
      <c r="J920" s="69"/>
      <c r="AA920" s="63">
        <f t="shared" si="286"/>
        <v>0</v>
      </c>
      <c r="AB920" s="153" t="str">
        <f t="shared" si="287"/>
        <v>000</v>
      </c>
      <c r="AC920" s="165" t="str">
        <f t="shared" si="288"/>
        <v>00000000</v>
      </c>
      <c r="AD920" s="98" t="str">
        <f t="shared" si="289"/>
        <v>00000000</v>
      </c>
      <c r="AE920" s="150">
        <f t="shared" si="290"/>
        <v>0</v>
      </c>
      <c r="AF920" s="150">
        <f t="shared" si="291"/>
        <v>0</v>
      </c>
      <c r="AG920" s="98" t="str">
        <f t="shared" si="292"/>
        <v>0000000000</v>
      </c>
      <c r="AH920" s="151">
        <f t="shared" si="293"/>
        <v>0</v>
      </c>
      <c r="AI920" s="98" t="str">
        <f t="shared" si="294"/>
        <v>00</v>
      </c>
      <c r="AJ920" s="98" t="str">
        <f t="shared" si="295"/>
        <v>000000000000</v>
      </c>
      <c r="AK920" s="161" t="str">
        <f t="shared" si="296"/>
        <v xml:space="preserve">                              </v>
      </c>
      <c r="AL920" s="154">
        <f t="shared" si="297"/>
        <v>0</v>
      </c>
      <c r="AM920" s="155">
        <f t="shared" si="298"/>
        <v>0</v>
      </c>
      <c r="AP920" s="63" t="str">
        <f t="shared" si="299"/>
        <v/>
      </c>
      <c r="AQ920" s="63" t="str">
        <f t="shared" si="300"/>
        <v/>
      </c>
      <c r="AR920" s="152" t="str">
        <f t="shared" si="301"/>
        <v/>
      </c>
      <c r="AS920" s="109" t="str">
        <f t="shared" si="302"/>
        <v/>
      </c>
      <c r="AT920" s="63" t="str">
        <f t="shared" si="303"/>
        <v xml:space="preserve">                    </v>
      </c>
    </row>
    <row r="921" spans="1:46" ht="12.75" x14ac:dyDescent="0.2">
      <c r="A921" s="63" t="str">
        <f t="shared" si="285"/>
        <v/>
      </c>
      <c r="B921" s="185"/>
      <c r="C921" s="185"/>
      <c r="D921" s="185"/>
      <c r="E921" s="185"/>
      <c r="F921" s="185"/>
      <c r="G921" s="185"/>
      <c r="H921" s="185"/>
      <c r="I921" s="186"/>
      <c r="J921" s="69"/>
      <c r="AA921" s="63">
        <f t="shared" si="286"/>
        <v>0</v>
      </c>
      <c r="AB921" s="153" t="str">
        <f t="shared" si="287"/>
        <v>000</v>
      </c>
      <c r="AC921" s="165" t="str">
        <f t="shared" si="288"/>
        <v>00000000</v>
      </c>
      <c r="AD921" s="98" t="str">
        <f t="shared" si="289"/>
        <v>00000000</v>
      </c>
      <c r="AE921" s="150">
        <f t="shared" si="290"/>
        <v>0</v>
      </c>
      <c r="AF921" s="150">
        <f t="shared" si="291"/>
        <v>0</v>
      </c>
      <c r="AG921" s="98" t="str">
        <f t="shared" si="292"/>
        <v>0000000000</v>
      </c>
      <c r="AH921" s="151">
        <f t="shared" si="293"/>
        <v>0</v>
      </c>
      <c r="AI921" s="98" t="str">
        <f t="shared" si="294"/>
        <v>00</v>
      </c>
      <c r="AJ921" s="98" t="str">
        <f t="shared" si="295"/>
        <v>000000000000</v>
      </c>
      <c r="AK921" s="161" t="str">
        <f t="shared" si="296"/>
        <v xml:space="preserve">                              </v>
      </c>
      <c r="AL921" s="154">
        <f t="shared" si="297"/>
        <v>0</v>
      </c>
      <c r="AM921" s="155">
        <f t="shared" si="298"/>
        <v>0</v>
      </c>
      <c r="AP921" s="63" t="str">
        <f t="shared" si="299"/>
        <v/>
      </c>
      <c r="AQ921" s="63" t="str">
        <f t="shared" si="300"/>
        <v/>
      </c>
      <c r="AR921" s="152" t="str">
        <f t="shared" si="301"/>
        <v/>
      </c>
      <c r="AS921" s="109" t="str">
        <f t="shared" si="302"/>
        <v/>
      </c>
      <c r="AT921" s="63" t="str">
        <f t="shared" si="303"/>
        <v xml:space="preserve">                    </v>
      </c>
    </row>
    <row r="922" spans="1:46" ht="12.75" x14ac:dyDescent="0.2">
      <c r="A922" s="63" t="str">
        <f t="shared" si="285"/>
        <v/>
      </c>
      <c r="B922" s="185"/>
      <c r="C922" s="185"/>
      <c r="D922" s="185"/>
      <c r="E922" s="185"/>
      <c r="F922" s="185"/>
      <c r="G922" s="185"/>
      <c r="H922" s="185"/>
      <c r="I922" s="186"/>
      <c r="J922" s="69"/>
      <c r="AA922" s="63">
        <f t="shared" si="286"/>
        <v>0</v>
      </c>
      <c r="AB922" s="153" t="str">
        <f t="shared" si="287"/>
        <v>000</v>
      </c>
      <c r="AC922" s="165" t="str">
        <f t="shared" si="288"/>
        <v>00000000</v>
      </c>
      <c r="AD922" s="98" t="str">
        <f t="shared" si="289"/>
        <v>00000000</v>
      </c>
      <c r="AE922" s="150">
        <f t="shared" si="290"/>
        <v>0</v>
      </c>
      <c r="AF922" s="150">
        <f t="shared" si="291"/>
        <v>0</v>
      </c>
      <c r="AG922" s="98" t="str">
        <f t="shared" si="292"/>
        <v>0000000000</v>
      </c>
      <c r="AH922" s="151">
        <f t="shared" si="293"/>
        <v>0</v>
      </c>
      <c r="AI922" s="98" t="str">
        <f t="shared" si="294"/>
        <v>00</v>
      </c>
      <c r="AJ922" s="98" t="str">
        <f t="shared" si="295"/>
        <v>000000000000</v>
      </c>
      <c r="AK922" s="161" t="str">
        <f t="shared" si="296"/>
        <v xml:space="preserve">                              </v>
      </c>
      <c r="AL922" s="154">
        <f t="shared" si="297"/>
        <v>0</v>
      </c>
      <c r="AM922" s="155">
        <f t="shared" si="298"/>
        <v>0</v>
      </c>
      <c r="AP922" s="63" t="str">
        <f t="shared" si="299"/>
        <v/>
      </c>
      <c r="AQ922" s="63" t="str">
        <f t="shared" si="300"/>
        <v/>
      </c>
      <c r="AR922" s="152" t="str">
        <f t="shared" si="301"/>
        <v/>
      </c>
      <c r="AS922" s="109" t="str">
        <f t="shared" si="302"/>
        <v/>
      </c>
      <c r="AT922" s="63" t="str">
        <f t="shared" si="303"/>
        <v xml:space="preserve">                    </v>
      </c>
    </row>
    <row r="923" spans="1:46" ht="12.75" x14ac:dyDescent="0.2">
      <c r="A923" s="63" t="str">
        <f t="shared" si="285"/>
        <v/>
      </c>
      <c r="B923" s="185"/>
      <c r="C923" s="185"/>
      <c r="D923" s="185"/>
      <c r="E923" s="185"/>
      <c r="F923" s="185"/>
      <c r="G923" s="185"/>
      <c r="H923" s="185"/>
      <c r="I923" s="186"/>
      <c r="J923" s="69"/>
      <c r="AA923" s="63">
        <f t="shared" si="286"/>
        <v>0</v>
      </c>
      <c r="AB923" s="153" t="str">
        <f t="shared" si="287"/>
        <v>000</v>
      </c>
      <c r="AC923" s="165" t="str">
        <f t="shared" si="288"/>
        <v>00000000</v>
      </c>
      <c r="AD923" s="98" t="str">
        <f t="shared" si="289"/>
        <v>00000000</v>
      </c>
      <c r="AE923" s="150">
        <f t="shared" si="290"/>
        <v>0</v>
      </c>
      <c r="AF923" s="150">
        <f t="shared" si="291"/>
        <v>0</v>
      </c>
      <c r="AG923" s="98" t="str">
        <f t="shared" si="292"/>
        <v>0000000000</v>
      </c>
      <c r="AH923" s="151">
        <f t="shared" si="293"/>
        <v>0</v>
      </c>
      <c r="AI923" s="98" t="str">
        <f t="shared" si="294"/>
        <v>00</v>
      </c>
      <c r="AJ923" s="98" t="str">
        <f t="shared" si="295"/>
        <v>000000000000</v>
      </c>
      <c r="AK923" s="161" t="str">
        <f t="shared" si="296"/>
        <v xml:space="preserve">                              </v>
      </c>
      <c r="AL923" s="154">
        <f t="shared" si="297"/>
        <v>0</v>
      </c>
      <c r="AM923" s="155">
        <f t="shared" si="298"/>
        <v>0</v>
      </c>
      <c r="AP923" s="63" t="str">
        <f t="shared" si="299"/>
        <v/>
      </c>
      <c r="AQ923" s="63" t="str">
        <f t="shared" si="300"/>
        <v/>
      </c>
      <c r="AR923" s="152" t="str">
        <f t="shared" si="301"/>
        <v/>
      </c>
      <c r="AS923" s="109" t="str">
        <f t="shared" si="302"/>
        <v/>
      </c>
      <c r="AT923" s="63" t="str">
        <f t="shared" si="303"/>
        <v xml:space="preserve">                    </v>
      </c>
    </row>
    <row r="924" spans="1:46" ht="12.75" x14ac:dyDescent="0.2">
      <c r="A924" s="63" t="str">
        <f t="shared" si="285"/>
        <v/>
      </c>
      <c r="B924" s="185"/>
      <c r="C924" s="185"/>
      <c r="D924" s="185"/>
      <c r="E924" s="185"/>
      <c r="F924" s="185"/>
      <c r="G924" s="185"/>
      <c r="H924" s="185"/>
      <c r="I924" s="186"/>
      <c r="J924" s="69"/>
      <c r="AA924" s="63">
        <f t="shared" si="286"/>
        <v>0</v>
      </c>
      <c r="AB924" s="153" t="str">
        <f t="shared" si="287"/>
        <v>000</v>
      </c>
      <c r="AC924" s="165" t="str">
        <f t="shared" si="288"/>
        <v>00000000</v>
      </c>
      <c r="AD924" s="98" t="str">
        <f t="shared" si="289"/>
        <v>00000000</v>
      </c>
      <c r="AE924" s="150">
        <f t="shared" si="290"/>
        <v>0</v>
      </c>
      <c r="AF924" s="150">
        <f t="shared" si="291"/>
        <v>0</v>
      </c>
      <c r="AG924" s="98" t="str">
        <f t="shared" si="292"/>
        <v>0000000000</v>
      </c>
      <c r="AH924" s="151">
        <f t="shared" si="293"/>
        <v>0</v>
      </c>
      <c r="AI924" s="98" t="str">
        <f t="shared" si="294"/>
        <v>00</v>
      </c>
      <c r="AJ924" s="98" t="str">
        <f t="shared" si="295"/>
        <v>000000000000</v>
      </c>
      <c r="AK924" s="161" t="str">
        <f t="shared" si="296"/>
        <v xml:space="preserve">                              </v>
      </c>
      <c r="AL924" s="154">
        <f t="shared" si="297"/>
        <v>0</v>
      </c>
      <c r="AM924" s="155">
        <f t="shared" si="298"/>
        <v>0</v>
      </c>
      <c r="AP924" s="63" t="str">
        <f t="shared" si="299"/>
        <v/>
      </c>
      <c r="AQ924" s="63" t="str">
        <f t="shared" si="300"/>
        <v/>
      </c>
      <c r="AR924" s="152" t="str">
        <f t="shared" si="301"/>
        <v/>
      </c>
      <c r="AS924" s="109" t="str">
        <f t="shared" si="302"/>
        <v/>
      </c>
      <c r="AT924" s="63" t="str">
        <f t="shared" si="303"/>
        <v xml:space="preserve">                    </v>
      </c>
    </row>
    <row r="925" spans="1:46" ht="12.75" x14ac:dyDescent="0.2">
      <c r="A925" s="63" t="str">
        <f t="shared" si="285"/>
        <v/>
      </c>
      <c r="B925" s="185"/>
      <c r="C925" s="185"/>
      <c r="D925" s="185"/>
      <c r="E925" s="185"/>
      <c r="F925" s="185"/>
      <c r="G925" s="185"/>
      <c r="H925" s="185"/>
      <c r="I925" s="186"/>
      <c r="J925" s="69"/>
      <c r="AA925" s="63">
        <f t="shared" si="286"/>
        <v>0</v>
      </c>
      <c r="AB925" s="153" t="str">
        <f t="shared" si="287"/>
        <v>000</v>
      </c>
      <c r="AC925" s="165" t="str">
        <f t="shared" si="288"/>
        <v>00000000</v>
      </c>
      <c r="AD925" s="98" t="str">
        <f t="shared" si="289"/>
        <v>00000000</v>
      </c>
      <c r="AE925" s="150">
        <f t="shared" si="290"/>
        <v>0</v>
      </c>
      <c r="AF925" s="150">
        <f t="shared" si="291"/>
        <v>0</v>
      </c>
      <c r="AG925" s="98" t="str">
        <f t="shared" si="292"/>
        <v>0000000000</v>
      </c>
      <c r="AH925" s="151">
        <f t="shared" si="293"/>
        <v>0</v>
      </c>
      <c r="AI925" s="98" t="str">
        <f t="shared" si="294"/>
        <v>00</v>
      </c>
      <c r="AJ925" s="98" t="str">
        <f t="shared" si="295"/>
        <v>000000000000</v>
      </c>
      <c r="AK925" s="161" t="str">
        <f t="shared" si="296"/>
        <v xml:space="preserve">                              </v>
      </c>
      <c r="AL925" s="154">
        <f t="shared" si="297"/>
        <v>0</v>
      </c>
      <c r="AM925" s="155">
        <f t="shared" si="298"/>
        <v>0</v>
      </c>
      <c r="AP925" s="63" t="str">
        <f t="shared" si="299"/>
        <v/>
      </c>
      <c r="AQ925" s="63" t="str">
        <f t="shared" si="300"/>
        <v/>
      </c>
      <c r="AR925" s="152" t="str">
        <f t="shared" si="301"/>
        <v/>
      </c>
      <c r="AS925" s="109" t="str">
        <f t="shared" si="302"/>
        <v/>
      </c>
      <c r="AT925" s="63" t="str">
        <f t="shared" si="303"/>
        <v xml:space="preserve">                    </v>
      </c>
    </row>
    <row r="926" spans="1:46" ht="12.75" x14ac:dyDescent="0.2">
      <c r="A926" s="63" t="str">
        <f t="shared" si="285"/>
        <v/>
      </c>
      <c r="B926" s="185"/>
      <c r="C926" s="185"/>
      <c r="D926" s="185"/>
      <c r="E926" s="185"/>
      <c r="F926" s="185"/>
      <c r="G926" s="185"/>
      <c r="H926" s="185"/>
      <c r="I926" s="186"/>
      <c r="J926" s="69"/>
      <c r="AA926" s="63">
        <f t="shared" si="286"/>
        <v>0</v>
      </c>
      <c r="AB926" s="153" t="str">
        <f t="shared" si="287"/>
        <v>000</v>
      </c>
      <c r="AC926" s="165" t="str">
        <f t="shared" si="288"/>
        <v>00000000</v>
      </c>
      <c r="AD926" s="98" t="str">
        <f t="shared" si="289"/>
        <v>00000000</v>
      </c>
      <c r="AE926" s="150">
        <f t="shared" si="290"/>
        <v>0</v>
      </c>
      <c r="AF926" s="150">
        <f t="shared" si="291"/>
        <v>0</v>
      </c>
      <c r="AG926" s="98" t="str">
        <f t="shared" si="292"/>
        <v>0000000000</v>
      </c>
      <c r="AH926" s="151">
        <f t="shared" si="293"/>
        <v>0</v>
      </c>
      <c r="AI926" s="98" t="str">
        <f t="shared" si="294"/>
        <v>00</v>
      </c>
      <c r="AJ926" s="98" t="str">
        <f t="shared" si="295"/>
        <v>000000000000</v>
      </c>
      <c r="AK926" s="161" t="str">
        <f t="shared" si="296"/>
        <v xml:space="preserve">                              </v>
      </c>
      <c r="AL926" s="154">
        <f t="shared" si="297"/>
        <v>0</v>
      </c>
      <c r="AM926" s="155">
        <f t="shared" si="298"/>
        <v>0</v>
      </c>
      <c r="AP926" s="63" t="str">
        <f t="shared" si="299"/>
        <v/>
      </c>
      <c r="AQ926" s="63" t="str">
        <f t="shared" si="300"/>
        <v/>
      </c>
      <c r="AR926" s="152" t="str">
        <f t="shared" si="301"/>
        <v/>
      </c>
      <c r="AS926" s="109" t="str">
        <f t="shared" si="302"/>
        <v/>
      </c>
      <c r="AT926" s="63" t="str">
        <f t="shared" si="303"/>
        <v xml:space="preserve">                    </v>
      </c>
    </row>
    <row r="927" spans="1:46" ht="12.75" x14ac:dyDescent="0.2">
      <c r="A927" s="63" t="str">
        <f t="shared" si="285"/>
        <v/>
      </c>
      <c r="B927" s="185"/>
      <c r="C927" s="185"/>
      <c r="D927" s="185"/>
      <c r="E927" s="185"/>
      <c r="F927" s="185"/>
      <c r="G927" s="185"/>
      <c r="H927" s="185"/>
      <c r="I927" s="186"/>
      <c r="J927" s="69"/>
      <c r="AA927" s="63">
        <f t="shared" si="286"/>
        <v>0</v>
      </c>
      <c r="AB927" s="153" t="str">
        <f t="shared" si="287"/>
        <v>000</v>
      </c>
      <c r="AC927" s="165" t="str">
        <f t="shared" si="288"/>
        <v>00000000</v>
      </c>
      <c r="AD927" s="98" t="str">
        <f t="shared" si="289"/>
        <v>00000000</v>
      </c>
      <c r="AE927" s="150">
        <f t="shared" si="290"/>
        <v>0</v>
      </c>
      <c r="AF927" s="150">
        <f t="shared" si="291"/>
        <v>0</v>
      </c>
      <c r="AG927" s="98" t="str">
        <f t="shared" si="292"/>
        <v>0000000000</v>
      </c>
      <c r="AH927" s="151">
        <f t="shared" si="293"/>
        <v>0</v>
      </c>
      <c r="AI927" s="98" t="str">
        <f t="shared" si="294"/>
        <v>00</v>
      </c>
      <c r="AJ927" s="98" t="str">
        <f t="shared" si="295"/>
        <v>000000000000</v>
      </c>
      <c r="AK927" s="161" t="str">
        <f t="shared" si="296"/>
        <v xml:space="preserve">                              </v>
      </c>
      <c r="AL927" s="154">
        <f t="shared" si="297"/>
        <v>0</v>
      </c>
      <c r="AM927" s="155">
        <f t="shared" si="298"/>
        <v>0</v>
      </c>
      <c r="AP927" s="63" t="str">
        <f t="shared" si="299"/>
        <v/>
      </c>
      <c r="AQ927" s="63" t="str">
        <f t="shared" si="300"/>
        <v/>
      </c>
      <c r="AR927" s="152" t="str">
        <f t="shared" si="301"/>
        <v/>
      </c>
      <c r="AS927" s="109" t="str">
        <f t="shared" si="302"/>
        <v/>
      </c>
      <c r="AT927" s="63" t="str">
        <f t="shared" si="303"/>
        <v xml:space="preserve">                    </v>
      </c>
    </row>
    <row r="928" spans="1:46" ht="12.75" x14ac:dyDescent="0.2">
      <c r="A928" s="63" t="str">
        <f t="shared" si="285"/>
        <v/>
      </c>
      <c r="B928" s="185"/>
      <c r="C928" s="185"/>
      <c r="D928" s="185"/>
      <c r="E928" s="185"/>
      <c r="F928" s="185"/>
      <c r="G928" s="185"/>
      <c r="H928" s="185"/>
      <c r="I928" s="186"/>
      <c r="J928" s="69"/>
      <c r="AA928" s="63">
        <f t="shared" si="286"/>
        <v>0</v>
      </c>
      <c r="AB928" s="153" t="str">
        <f t="shared" si="287"/>
        <v>000</v>
      </c>
      <c r="AC928" s="165" t="str">
        <f t="shared" si="288"/>
        <v>00000000</v>
      </c>
      <c r="AD928" s="98" t="str">
        <f t="shared" si="289"/>
        <v>00000000</v>
      </c>
      <c r="AE928" s="150">
        <f t="shared" si="290"/>
        <v>0</v>
      </c>
      <c r="AF928" s="150">
        <f t="shared" si="291"/>
        <v>0</v>
      </c>
      <c r="AG928" s="98" t="str">
        <f t="shared" si="292"/>
        <v>0000000000</v>
      </c>
      <c r="AH928" s="151">
        <f t="shared" si="293"/>
        <v>0</v>
      </c>
      <c r="AI928" s="98" t="str">
        <f t="shared" si="294"/>
        <v>00</v>
      </c>
      <c r="AJ928" s="98" t="str">
        <f t="shared" si="295"/>
        <v>000000000000</v>
      </c>
      <c r="AK928" s="161" t="str">
        <f t="shared" si="296"/>
        <v xml:space="preserve">                              </v>
      </c>
      <c r="AL928" s="154">
        <f t="shared" si="297"/>
        <v>0</v>
      </c>
      <c r="AM928" s="155">
        <f t="shared" si="298"/>
        <v>0</v>
      </c>
      <c r="AP928" s="63" t="str">
        <f t="shared" si="299"/>
        <v/>
      </c>
      <c r="AQ928" s="63" t="str">
        <f t="shared" si="300"/>
        <v/>
      </c>
      <c r="AR928" s="152" t="str">
        <f t="shared" si="301"/>
        <v/>
      </c>
      <c r="AS928" s="109" t="str">
        <f t="shared" si="302"/>
        <v/>
      </c>
      <c r="AT928" s="63" t="str">
        <f t="shared" si="303"/>
        <v xml:space="preserve">                    </v>
      </c>
    </row>
    <row r="929" spans="1:46" ht="12.75" x14ac:dyDescent="0.2">
      <c r="A929" s="63" t="str">
        <f t="shared" si="285"/>
        <v/>
      </c>
      <c r="B929" s="185"/>
      <c r="C929" s="185"/>
      <c r="D929" s="185"/>
      <c r="E929" s="185"/>
      <c r="F929" s="185"/>
      <c r="G929" s="185"/>
      <c r="H929" s="185"/>
      <c r="I929" s="186"/>
      <c r="J929" s="69"/>
      <c r="AA929" s="63">
        <f t="shared" si="286"/>
        <v>0</v>
      </c>
      <c r="AB929" s="153" t="str">
        <f t="shared" si="287"/>
        <v>000</v>
      </c>
      <c r="AC929" s="165" t="str">
        <f t="shared" si="288"/>
        <v>00000000</v>
      </c>
      <c r="AD929" s="98" t="str">
        <f t="shared" si="289"/>
        <v>00000000</v>
      </c>
      <c r="AE929" s="150">
        <f t="shared" si="290"/>
        <v>0</v>
      </c>
      <c r="AF929" s="150">
        <f t="shared" si="291"/>
        <v>0</v>
      </c>
      <c r="AG929" s="98" t="str">
        <f t="shared" si="292"/>
        <v>0000000000</v>
      </c>
      <c r="AH929" s="151">
        <f t="shared" si="293"/>
        <v>0</v>
      </c>
      <c r="AI929" s="98" t="str">
        <f t="shared" si="294"/>
        <v>00</v>
      </c>
      <c r="AJ929" s="98" t="str">
        <f t="shared" si="295"/>
        <v>000000000000</v>
      </c>
      <c r="AK929" s="161" t="str">
        <f t="shared" si="296"/>
        <v xml:space="preserve">                              </v>
      </c>
      <c r="AL929" s="154">
        <f t="shared" si="297"/>
        <v>0</v>
      </c>
      <c r="AM929" s="155">
        <f t="shared" si="298"/>
        <v>0</v>
      </c>
      <c r="AP929" s="63" t="str">
        <f t="shared" si="299"/>
        <v/>
      </c>
      <c r="AQ929" s="63" t="str">
        <f t="shared" si="300"/>
        <v/>
      </c>
      <c r="AR929" s="152" t="str">
        <f t="shared" si="301"/>
        <v/>
      </c>
      <c r="AS929" s="109" t="str">
        <f t="shared" si="302"/>
        <v/>
      </c>
      <c r="AT929" s="63" t="str">
        <f t="shared" si="303"/>
        <v xml:space="preserve">                    </v>
      </c>
    </row>
    <row r="930" spans="1:46" ht="12.75" x14ac:dyDescent="0.2">
      <c r="A930" s="63" t="str">
        <f t="shared" si="285"/>
        <v/>
      </c>
      <c r="B930" s="185"/>
      <c r="C930" s="185"/>
      <c r="D930" s="185"/>
      <c r="E930" s="185"/>
      <c r="F930" s="185"/>
      <c r="G930" s="185"/>
      <c r="H930" s="185"/>
      <c r="I930" s="186"/>
      <c r="J930" s="69"/>
      <c r="AA930" s="63">
        <f t="shared" si="286"/>
        <v>0</v>
      </c>
      <c r="AB930" s="153" t="str">
        <f t="shared" si="287"/>
        <v>000</v>
      </c>
      <c r="AC930" s="165" t="str">
        <f t="shared" si="288"/>
        <v>00000000</v>
      </c>
      <c r="AD930" s="98" t="str">
        <f t="shared" si="289"/>
        <v>00000000</v>
      </c>
      <c r="AE930" s="150">
        <f t="shared" si="290"/>
        <v>0</v>
      </c>
      <c r="AF930" s="150">
        <f t="shared" si="291"/>
        <v>0</v>
      </c>
      <c r="AG930" s="98" t="str">
        <f t="shared" si="292"/>
        <v>0000000000</v>
      </c>
      <c r="AH930" s="151">
        <f t="shared" si="293"/>
        <v>0</v>
      </c>
      <c r="AI930" s="98" t="str">
        <f t="shared" si="294"/>
        <v>00</v>
      </c>
      <c r="AJ930" s="98" t="str">
        <f t="shared" si="295"/>
        <v>000000000000</v>
      </c>
      <c r="AK930" s="161" t="str">
        <f t="shared" si="296"/>
        <v xml:space="preserve">                              </v>
      </c>
      <c r="AL930" s="154">
        <f t="shared" si="297"/>
        <v>0</v>
      </c>
      <c r="AM930" s="155">
        <f t="shared" si="298"/>
        <v>0</v>
      </c>
      <c r="AP930" s="63" t="str">
        <f t="shared" si="299"/>
        <v/>
      </c>
      <c r="AQ930" s="63" t="str">
        <f t="shared" si="300"/>
        <v/>
      </c>
      <c r="AR930" s="152" t="str">
        <f t="shared" si="301"/>
        <v/>
      </c>
      <c r="AS930" s="109" t="str">
        <f t="shared" si="302"/>
        <v/>
      </c>
      <c r="AT930" s="63" t="str">
        <f t="shared" si="303"/>
        <v xml:space="preserve">                    </v>
      </c>
    </row>
    <row r="931" spans="1:46" ht="12.75" x14ac:dyDescent="0.2">
      <c r="A931" s="63" t="str">
        <f t="shared" si="285"/>
        <v/>
      </c>
      <c r="B931" s="185"/>
      <c r="C931" s="185"/>
      <c r="D931" s="185"/>
      <c r="E931" s="185"/>
      <c r="F931" s="185"/>
      <c r="G931" s="185"/>
      <c r="H931" s="185"/>
      <c r="I931" s="186"/>
      <c r="J931" s="69"/>
      <c r="AA931" s="63">
        <f t="shared" si="286"/>
        <v>0</v>
      </c>
      <c r="AB931" s="153" t="str">
        <f t="shared" si="287"/>
        <v>000</v>
      </c>
      <c r="AC931" s="165" t="str">
        <f t="shared" si="288"/>
        <v>00000000</v>
      </c>
      <c r="AD931" s="98" t="str">
        <f t="shared" si="289"/>
        <v>00000000</v>
      </c>
      <c r="AE931" s="150">
        <f t="shared" si="290"/>
        <v>0</v>
      </c>
      <c r="AF931" s="150">
        <f t="shared" si="291"/>
        <v>0</v>
      </c>
      <c r="AG931" s="98" t="str">
        <f t="shared" si="292"/>
        <v>0000000000</v>
      </c>
      <c r="AH931" s="151">
        <f t="shared" si="293"/>
        <v>0</v>
      </c>
      <c r="AI931" s="98" t="str">
        <f t="shared" si="294"/>
        <v>00</v>
      </c>
      <c r="AJ931" s="98" t="str">
        <f t="shared" si="295"/>
        <v>000000000000</v>
      </c>
      <c r="AK931" s="161" t="str">
        <f t="shared" si="296"/>
        <v xml:space="preserve">                              </v>
      </c>
      <c r="AL931" s="154">
        <f t="shared" si="297"/>
        <v>0</v>
      </c>
      <c r="AM931" s="155">
        <f t="shared" si="298"/>
        <v>0</v>
      </c>
      <c r="AP931" s="63" t="str">
        <f t="shared" si="299"/>
        <v/>
      </c>
      <c r="AQ931" s="63" t="str">
        <f t="shared" si="300"/>
        <v/>
      </c>
      <c r="AR931" s="152" t="str">
        <f t="shared" si="301"/>
        <v/>
      </c>
      <c r="AS931" s="109" t="str">
        <f t="shared" si="302"/>
        <v/>
      </c>
      <c r="AT931" s="63" t="str">
        <f t="shared" si="303"/>
        <v xml:space="preserve">                    </v>
      </c>
    </row>
    <row r="932" spans="1:46" ht="12.75" x14ac:dyDescent="0.2">
      <c r="A932" s="63" t="str">
        <f t="shared" si="285"/>
        <v/>
      </c>
      <c r="B932" s="185"/>
      <c r="C932" s="185"/>
      <c r="D932" s="185"/>
      <c r="E932" s="185"/>
      <c r="F932" s="185"/>
      <c r="G932" s="185"/>
      <c r="H932" s="185"/>
      <c r="I932" s="186"/>
      <c r="J932" s="69"/>
      <c r="AA932" s="63">
        <f t="shared" si="286"/>
        <v>0</v>
      </c>
      <c r="AB932" s="153" t="str">
        <f t="shared" si="287"/>
        <v>000</v>
      </c>
      <c r="AC932" s="165" t="str">
        <f t="shared" si="288"/>
        <v>00000000</v>
      </c>
      <c r="AD932" s="98" t="str">
        <f t="shared" si="289"/>
        <v>00000000</v>
      </c>
      <c r="AE932" s="150">
        <f t="shared" si="290"/>
        <v>0</v>
      </c>
      <c r="AF932" s="150">
        <f t="shared" si="291"/>
        <v>0</v>
      </c>
      <c r="AG932" s="98" t="str">
        <f t="shared" si="292"/>
        <v>0000000000</v>
      </c>
      <c r="AH932" s="151">
        <f t="shared" si="293"/>
        <v>0</v>
      </c>
      <c r="AI932" s="98" t="str">
        <f t="shared" si="294"/>
        <v>00</v>
      </c>
      <c r="AJ932" s="98" t="str">
        <f t="shared" si="295"/>
        <v>000000000000</v>
      </c>
      <c r="AK932" s="161" t="str">
        <f t="shared" si="296"/>
        <v xml:space="preserve">                              </v>
      </c>
      <c r="AL932" s="154">
        <f t="shared" si="297"/>
        <v>0</v>
      </c>
      <c r="AM932" s="155">
        <f t="shared" si="298"/>
        <v>0</v>
      </c>
      <c r="AP932" s="63" t="str">
        <f t="shared" si="299"/>
        <v/>
      </c>
      <c r="AQ932" s="63" t="str">
        <f t="shared" si="300"/>
        <v/>
      </c>
      <c r="AR932" s="152" t="str">
        <f t="shared" si="301"/>
        <v/>
      </c>
      <c r="AS932" s="109" t="str">
        <f t="shared" si="302"/>
        <v/>
      </c>
      <c r="AT932" s="63" t="str">
        <f t="shared" si="303"/>
        <v xml:space="preserve">                    </v>
      </c>
    </row>
    <row r="933" spans="1:46" ht="12.75" x14ac:dyDescent="0.2">
      <c r="A933" s="63" t="str">
        <f t="shared" si="285"/>
        <v/>
      </c>
      <c r="B933" s="185"/>
      <c r="C933" s="185"/>
      <c r="D933" s="185"/>
      <c r="E933" s="185"/>
      <c r="F933" s="185"/>
      <c r="G933" s="185"/>
      <c r="H933" s="185"/>
      <c r="I933" s="186"/>
      <c r="J933" s="69"/>
      <c r="AA933" s="63">
        <f t="shared" si="286"/>
        <v>0</v>
      </c>
      <c r="AB933" s="153" t="str">
        <f t="shared" si="287"/>
        <v>000</v>
      </c>
      <c r="AC933" s="165" t="str">
        <f t="shared" si="288"/>
        <v>00000000</v>
      </c>
      <c r="AD933" s="98" t="str">
        <f t="shared" si="289"/>
        <v>00000000</v>
      </c>
      <c r="AE933" s="150">
        <f t="shared" si="290"/>
        <v>0</v>
      </c>
      <c r="AF933" s="150">
        <f t="shared" si="291"/>
        <v>0</v>
      </c>
      <c r="AG933" s="98" t="str">
        <f t="shared" si="292"/>
        <v>0000000000</v>
      </c>
      <c r="AH933" s="151">
        <f t="shared" si="293"/>
        <v>0</v>
      </c>
      <c r="AI933" s="98" t="str">
        <f t="shared" si="294"/>
        <v>00</v>
      </c>
      <c r="AJ933" s="98" t="str">
        <f t="shared" si="295"/>
        <v>000000000000</v>
      </c>
      <c r="AK933" s="161" t="str">
        <f t="shared" si="296"/>
        <v xml:space="preserve">                              </v>
      </c>
      <c r="AL933" s="154">
        <f t="shared" si="297"/>
        <v>0</v>
      </c>
      <c r="AM933" s="155">
        <f t="shared" si="298"/>
        <v>0</v>
      </c>
      <c r="AP933" s="63" t="str">
        <f t="shared" si="299"/>
        <v/>
      </c>
      <c r="AQ933" s="63" t="str">
        <f t="shared" si="300"/>
        <v/>
      </c>
      <c r="AR933" s="152" t="str">
        <f t="shared" si="301"/>
        <v/>
      </c>
      <c r="AS933" s="109" t="str">
        <f t="shared" si="302"/>
        <v/>
      </c>
      <c r="AT933" s="63" t="str">
        <f t="shared" si="303"/>
        <v xml:space="preserve">                    </v>
      </c>
    </row>
    <row r="934" spans="1:46" ht="12.75" x14ac:dyDescent="0.2">
      <c r="A934" s="63" t="str">
        <f t="shared" si="285"/>
        <v/>
      </c>
      <c r="B934" s="185"/>
      <c r="C934" s="185"/>
      <c r="D934" s="185"/>
      <c r="E934" s="185"/>
      <c r="F934" s="185"/>
      <c r="G934" s="185"/>
      <c r="H934" s="185"/>
      <c r="I934" s="186"/>
      <c r="J934" s="69"/>
      <c r="AA934" s="63">
        <f t="shared" si="286"/>
        <v>0</v>
      </c>
      <c r="AB934" s="153" t="str">
        <f t="shared" si="287"/>
        <v>000</v>
      </c>
      <c r="AC934" s="165" t="str">
        <f t="shared" si="288"/>
        <v>00000000</v>
      </c>
      <c r="AD934" s="98" t="str">
        <f t="shared" si="289"/>
        <v>00000000</v>
      </c>
      <c r="AE934" s="150">
        <f t="shared" si="290"/>
        <v>0</v>
      </c>
      <c r="AF934" s="150">
        <f t="shared" si="291"/>
        <v>0</v>
      </c>
      <c r="AG934" s="98" t="str">
        <f t="shared" si="292"/>
        <v>0000000000</v>
      </c>
      <c r="AH934" s="151">
        <f t="shared" si="293"/>
        <v>0</v>
      </c>
      <c r="AI934" s="98" t="str">
        <f t="shared" si="294"/>
        <v>00</v>
      </c>
      <c r="AJ934" s="98" t="str">
        <f t="shared" si="295"/>
        <v>000000000000</v>
      </c>
      <c r="AK934" s="161" t="str">
        <f t="shared" si="296"/>
        <v xml:space="preserve">                              </v>
      </c>
      <c r="AL934" s="154">
        <f t="shared" si="297"/>
        <v>0</v>
      </c>
      <c r="AM934" s="155">
        <f t="shared" si="298"/>
        <v>0</v>
      </c>
      <c r="AP934" s="63" t="str">
        <f t="shared" si="299"/>
        <v/>
      </c>
      <c r="AQ934" s="63" t="str">
        <f t="shared" si="300"/>
        <v/>
      </c>
      <c r="AR934" s="152" t="str">
        <f t="shared" si="301"/>
        <v/>
      </c>
      <c r="AS934" s="109" t="str">
        <f t="shared" si="302"/>
        <v/>
      </c>
      <c r="AT934" s="63" t="str">
        <f t="shared" si="303"/>
        <v xml:space="preserve">                    </v>
      </c>
    </row>
    <row r="935" spans="1:46" ht="12.75" x14ac:dyDescent="0.2">
      <c r="A935" s="63" t="str">
        <f t="shared" si="285"/>
        <v/>
      </c>
      <c r="B935" s="185"/>
      <c r="C935" s="185"/>
      <c r="D935" s="185"/>
      <c r="E935" s="185"/>
      <c r="F935" s="185"/>
      <c r="G935" s="185"/>
      <c r="H935" s="185"/>
      <c r="I935" s="186"/>
      <c r="J935" s="69"/>
      <c r="AA935" s="63">
        <f t="shared" si="286"/>
        <v>0</v>
      </c>
      <c r="AB935" s="153" t="str">
        <f t="shared" si="287"/>
        <v>000</v>
      </c>
      <c r="AC935" s="165" t="str">
        <f t="shared" si="288"/>
        <v>00000000</v>
      </c>
      <c r="AD935" s="98" t="str">
        <f t="shared" si="289"/>
        <v>00000000</v>
      </c>
      <c r="AE935" s="150">
        <f t="shared" si="290"/>
        <v>0</v>
      </c>
      <c r="AF935" s="150">
        <f t="shared" si="291"/>
        <v>0</v>
      </c>
      <c r="AG935" s="98" t="str">
        <f t="shared" si="292"/>
        <v>0000000000</v>
      </c>
      <c r="AH935" s="151">
        <f t="shared" si="293"/>
        <v>0</v>
      </c>
      <c r="AI935" s="98" t="str">
        <f t="shared" si="294"/>
        <v>00</v>
      </c>
      <c r="AJ935" s="98" t="str">
        <f t="shared" si="295"/>
        <v>000000000000</v>
      </c>
      <c r="AK935" s="161" t="str">
        <f t="shared" si="296"/>
        <v xml:space="preserve">                              </v>
      </c>
      <c r="AL935" s="154">
        <f t="shared" si="297"/>
        <v>0</v>
      </c>
      <c r="AM935" s="155">
        <f t="shared" si="298"/>
        <v>0</v>
      </c>
      <c r="AP935" s="63" t="str">
        <f t="shared" si="299"/>
        <v/>
      </c>
      <c r="AQ935" s="63" t="str">
        <f t="shared" si="300"/>
        <v/>
      </c>
      <c r="AR935" s="152" t="str">
        <f t="shared" si="301"/>
        <v/>
      </c>
      <c r="AS935" s="109" t="str">
        <f t="shared" si="302"/>
        <v/>
      </c>
      <c r="AT935" s="63" t="str">
        <f t="shared" si="303"/>
        <v xml:space="preserve">                    </v>
      </c>
    </row>
    <row r="936" spans="1:46" ht="12.75" x14ac:dyDescent="0.2">
      <c r="A936" s="63" t="str">
        <f t="shared" si="285"/>
        <v/>
      </c>
      <c r="B936" s="185"/>
      <c r="C936" s="185"/>
      <c r="D936" s="185"/>
      <c r="E936" s="185"/>
      <c r="F936" s="185"/>
      <c r="G936" s="185"/>
      <c r="H936" s="185"/>
      <c r="I936" s="186"/>
      <c r="J936" s="69"/>
      <c r="AA936" s="63">
        <f t="shared" si="286"/>
        <v>0</v>
      </c>
      <c r="AB936" s="153" t="str">
        <f t="shared" si="287"/>
        <v>000</v>
      </c>
      <c r="AC936" s="165" t="str">
        <f t="shared" si="288"/>
        <v>00000000</v>
      </c>
      <c r="AD936" s="98" t="str">
        <f t="shared" si="289"/>
        <v>00000000</v>
      </c>
      <c r="AE936" s="150">
        <f t="shared" si="290"/>
        <v>0</v>
      </c>
      <c r="AF936" s="150">
        <f t="shared" si="291"/>
        <v>0</v>
      </c>
      <c r="AG936" s="98" t="str">
        <f t="shared" si="292"/>
        <v>0000000000</v>
      </c>
      <c r="AH936" s="151">
        <f t="shared" si="293"/>
        <v>0</v>
      </c>
      <c r="AI936" s="98" t="str">
        <f t="shared" si="294"/>
        <v>00</v>
      </c>
      <c r="AJ936" s="98" t="str">
        <f t="shared" si="295"/>
        <v>000000000000</v>
      </c>
      <c r="AK936" s="161" t="str">
        <f t="shared" si="296"/>
        <v xml:space="preserve">                              </v>
      </c>
      <c r="AL936" s="154">
        <f t="shared" si="297"/>
        <v>0</v>
      </c>
      <c r="AM936" s="155">
        <f t="shared" si="298"/>
        <v>0</v>
      </c>
      <c r="AP936" s="63" t="str">
        <f t="shared" si="299"/>
        <v/>
      </c>
      <c r="AQ936" s="63" t="str">
        <f t="shared" si="300"/>
        <v/>
      </c>
      <c r="AR936" s="152" t="str">
        <f t="shared" si="301"/>
        <v/>
      </c>
      <c r="AS936" s="109" t="str">
        <f t="shared" si="302"/>
        <v/>
      </c>
      <c r="AT936" s="63" t="str">
        <f t="shared" si="303"/>
        <v xml:space="preserve">                    </v>
      </c>
    </row>
    <row r="937" spans="1:46" ht="12.75" x14ac:dyDescent="0.2">
      <c r="A937" s="63" t="str">
        <f t="shared" si="285"/>
        <v/>
      </c>
      <c r="B937" s="185"/>
      <c r="C937" s="185"/>
      <c r="D937" s="185"/>
      <c r="E937" s="185"/>
      <c r="F937" s="185"/>
      <c r="G937" s="185"/>
      <c r="H937" s="185"/>
      <c r="I937" s="186"/>
      <c r="J937" s="69"/>
      <c r="AA937" s="63">
        <f t="shared" si="286"/>
        <v>0</v>
      </c>
      <c r="AB937" s="153" t="str">
        <f t="shared" si="287"/>
        <v>000</v>
      </c>
      <c r="AC937" s="165" t="str">
        <f t="shared" si="288"/>
        <v>00000000</v>
      </c>
      <c r="AD937" s="98" t="str">
        <f t="shared" si="289"/>
        <v>00000000</v>
      </c>
      <c r="AE937" s="150">
        <f t="shared" si="290"/>
        <v>0</v>
      </c>
      <c r="AF937" s="150">
        <f t="shared" si="291"/>
        <v>0</v>
      </c>
      <c r="AG937" s="98" t="str">
        <f t="shared" si="292"/>
        <v>0000000000</v>
      </c>
      <c r="AH937" s="151">
        <f t="shared" si="293"/>
        <v>0</v>
      </c>
      <c r="AI937" s="98" t="str">
        <f t="shared" si="294"/>
        <v>00</v>
      </c>
      <c r="AJ937" s="98" t="str">
        <f t="shared" si="295"/>
        <v>000000000000</v>
      </c>
      <c r="AK937" s="161" t="str">
        <f t="shared" si="296"/>
        <v xml:space="preserve">                              </v>
      </c>
      <c r="AL937" s="154">
        <f t="shared" si="297"/>
        <v>0</v>
      </c>
      <c r="AM937" s="155">
        <f t="shared" si="298"/>
        <v>0</v>
      </c>
      <c r="AP937" s="63" t="str">
        <f t="shared" si="299"/>
        <v/>
      </c>
      <c r="AQ937" s="63" t="str">
        <f t="shared" si="300"/>
        <v/>
      </c>
      <c r="AR937" s="152" t="str">
        <f t="shared" si="301"/>
        <v/>
      </c>
      <c r="AS937" s="109" t="str">
        <f t="shared" si="302"/>
        <v/>
      </c>
      <c r="AT937" s="63" t="str">
        <f t="shared" si="303"/>
        <v xml:space="preserve">                    </v>
      </c>
    </row>
    <row r="938" spans="1:46" ht="12.75" x14ac:dyDescent="0.2">
      <c r="A938" s="63" t="str">
        <f t="shared" si="285"/>
        <v/>
      </c>
      <c r="B938" s="185"/>
      <c r="C938" s="185"/>
      <c r="D938" s="185"/>
      <c r="E938" s="185"/>
      <c r="F938" s="185"/>
      <c r="G938" s="185"/>
      <c r="H938" s="185"/>
      <c r="I938" s="186"/>
      <c r="J938" s="69"/>
      <c r="AA938" s="63">
        <f t="shared" si="286"/>
        <v>0</v>
      </c>
      <c r="AB938" s="153" t="str">
        <f t="shared" si="287"/>
        <v>000</v>
      </c>
      <c r="AC938" s="165" t="str">
        <f t="shared" si="288"/>
        <v>00000000</v>
      </c>
      <c r="AD938" s="98" t="str">
        <f t="shared" si="289"/>
        <v>00000000</v>
      </c>
      <c r="AE938" s="150">
        <f t="shared" si="290"/>
        <v>0</v>
      </c>
      <c r="AF938" s="150">
        <f t="shared" si="291"/>
        <v>0</v>
      </c>
      <c r="AG938" s="98" t="str">
        <f t="shared" si="292"/>
        <v>0000000000</v>
      </c>
      <c r="AH938" s="151">
        <f t="shared" si="293"/>
        <v>0</v>
      </c>
      <c r="AI938" s="98" t="str">
        <f t="shared" si="294"/>
        <v>00</v>
      </c>
      <c r="AJ938" s="98" t="str">
        <f t="shared" si="295"/>
        <v>000000000000</v>
      </c>
      <c r="AK938" s="161" t="str">
        <f t="shared" si="296"/>
        <v xml:space="preserve">                              </v>
      </c>
      <c r="AL938" s="154">
        <f t="shared" si="297"/>
        <v>0</v>
      </c>
      <c r="AM938" s="155">
        <f t="shared" si="298"/>
        <v>0</v>
      </c>
      <c r="AP938" s="63" t="str">
        <f t="shared" si="299"/>
        <v/>
      </c>
      <c r="AQ938" s="63" t="str">
        <f t="shared" si="300"/>
        <v/>
      </c>
      <c r="AR938" s="152" t="str">
        <f t="shared" si="301"/>
        <v/>
      </c>
      <c r="AS938" s="109" t="str">
        <f t="shared" si="302"/>
        <v/>
      </c>
      <c r="AT938" s="63" t="str">
        <f t="shared" si="303"/>
        <v xml:space="preserve">                    </v>
      </c>
    </row>
    <row r="939" spans="1:46" ht="12.75" x14ac:dyDescent="0.2">
      <c r="A939" s="63" t="str">
        <f t="shared" si="285"/>
        <v/>
      </c>
      <c r="B939" s="185"/>
      <c r="C939" s="185"/>
      <c r="D939" s="185"/>
      <c r="E939" s="185"/>
      <c r="F939" s="185"/>
      <c r="G939" s="185"/>
      <c r="H939" s="185"/>
      <c r="I939" s="186"/>
      <c r="J939" s="69"/>
      <c r="AA939" s="63">
        <f t="shared" si="286"/>
        <v>0</v>
      </c>
      <c r="AB939" s="153" t="str">
        <f t="shared" si="287"/>
        <v>000</v>
      </c>
      <c r="AC939" s="165" t="str">
        <f t="shared" si="288"/>
        <v>00000000</v>
      </c>
      <c r="AD939" s="98" t="str">
        <f t="shared" si="289"/>
        <v>00000000</v>
      </c>
      <c r="AE939" s="150">
        <f t="shared" si="290"/>
        <v>0</v>
      </c>
      <c r="AF939" s="150">
        <f t="shared" si="291"/>
        <v>0</v>
      </c>
      <c r="AG939" s="98" t="str">
        <f t="shared" si="292"/>
        <v>0000000000</v>
      </c>
      <c r="AH939" s="151">
        <f t="shared" si="293"/>
        <v>0</v>
      </c>
      <c r="AI939" s="98" t="str">
        <f t="shared" si="294"/>
        <v>00</v>
      </c>
      <c r="AJ939" s="98" t="str">
        <f t="shared" si="295"/>
        <v>000000000000</v>
      </c>
      <c r="AK939" s="161" t="str">
        <f t="shared" si="296"/>
        <v xml:space="preserve">                              </v>
      </c>
      <c r="AL939" s="154">
        <f t="shared" si="297"/>
        <v>0</v>
      </c>
      <c r="AM939" s="155">
        <f t="shared" si="298"/>
        <v>0</v>
      </c>
      <c r="AP939" s="63" t="str">
        <f t="shared" si="299"/>
        <v/>
      </c>
      <c r="AQ939" s="63" t="str">
        <f t="shared" si="300"/>
        <v/>
      </c>
      <c r="AR939" s="152" t="str">
        <f t="shared" si="301"/>
        <v/>
      </c>
      <c r="AS939" s="109" t="str">
        <f t="shared" si="302"/>
        <v/>
      </c>
      <c r="AT939" s="63" t="str">
        <f t="shared" si="303"/>
        <v xml:space="preserve">                    </v>
      </c>
    </row>
    <row r="940" spans="1:46" ht="12.75" x14ac:dyDescent="0.2">
      <c r="A940" s="63" t="str">
        <f t="shared" si="285"/>
        <v/>
      </c>
      <c r="B940" s="185"/>
      <c r="C940" s="185"/>
      <c r="D940" s="185"/>
      <c r="E940" s="185"/>
      <c r="F940" s="185"/>
      <c r="G940" s="185"/>
      <c r="H940" s="185"/>
      <c r="I940" s="186"/>
      <c r="J940" s="69"/>
      <c r="AA940" s="63">
        <f t="shared" si="286"/>
        <v>0</v>
      </c>
      <c r="AB940" s="153" t="str">
        <f t="shared" si="287"/>
        <v>000</v>
      </c>
      <c r="AC940" s="165" t="str">
        <f t="shared" si="288"/>
        <v>00000000</v>
      </c>
      <c r="AD940" s="98" t="str">
        <f t="shared" si="289"/>
        <v>00000000</v>
      </c>
      <c r="AE940" s="150">
        <f t="shared" si="290"/>
        <v>0</v>
      </c>
      <c r="AF940" s="150">
        <f t="shared" si="291"/>
        <v>0</v>
      </c>
      <c r="AG940" s="98" t="str">
        <f t="shared" si="292"/>
        <v>0000000000</v>
      </c>
      <c r="AH940" s="151">
        <f t="shared" si="293"/>
        <v>0</v>
      </c>
      <c r="AI940" s="98" t="str">
        <f t="shared" si="294"/>
        <v>00</v>
      </c>
      <c r="AJ940" s="98" t="str">
        <f t="shared" si="295"/>
        <v>000000000000</v>
      </c>
      <c r="AK940" s="161" t="str">
        <f t="shared" si="296"/>
        <v xml:space="preserve">                              </v>
      </c>
      <c r="AL940" s="154">
        <f t="shared" si="297"/>
        <v>0</v>
      </c>
      <c r="AM940" s="155">
        <f t="shared" si="298"/>
        <v>0</v>
      </c>
      <c r="AP940" s="63" t="str">
        <f t="shared" si="299"/>
        <v/>
      </c>
      <c r="AQ940" s="63" t="str">
        <f t="shared" si="300"/>
        <v/>
      </c>
      <c r="AR940" s="152" t="str">
        <f t="shared" si="301"/>
        <v/>
      </c>
      <c r="AS940" s="109" t="str">
        <f t="shared" si="302"/>
        <v/>
      </c>
      <c r="AT940" s="63" t="str">
        <f t="shared" si="303"/>
        <v xml:space="preserve">                    </v>
      </c>
    </row>
    <row r="941" spans="1:46" ht="12.75" x14ac:dyDescent="0.2">
      <c r="A941" s="63" t="str">
        <f t="shared" si="285"/>
        <v/>
      </c>
      <c r="B941" s="185"/>
      <c r="C941" s="185"/>
      <c r="D941" s="185"/>
      <c r="E941" s="185"/>
      <c r="F941" s="185"/>
      <c r="G941" s="185"/>
      <c r="H941" s="185"/>
      <c r="I941" s="186"/>
      <c r="J941" s="69"/>
      <c r="AA941" s="63">
        <f t="shared" si="286"/>
        <v>0</v>
      </c>
      <c r="AB941" s="153" t="str">
        <f t="shared" si="287"/>
        <v>000</v>
      </c>
      <c r="AC941" s="165" t="str">
        <f t="shared" si="288"/>
        <v>00000000</v>
      </c>
      <c r="AD941" s="98" t="str">
        <f t="shared" si="289"/>
        <v>00000000</v>
      </c>
      <c r="AE941" s="150">
        <f t="shared" si="290"/>
        <v>0</v>
      </c>
      <c r="AF941" s="150">
        <f t="shared" si="291"/>
        <v>0</v>
      </c>
      <c r="AG941" s="98" t="str">
        <f t="shared" si="292"/>
        <v>0000000000</v>
      </c>
      <c r="AH941" s="151">
        <f t="shared" si="293"/>
        <v>0</v>
      </c>
      <c r="AI941" s="98" t="str">
        <f t="shared" si="294"/>
        <v>00</v>
      </c>
      <c r="AJ941" s="98" t="str">
        <f t="shared" si="295"/>
        <v>000000000000</v>
      </c>
      <c r="AK941" s="161" t="str">
        <f t="shared" si="296"/>
        <v xml:space="preserve">                              </v>
      </c>
      <c r="AL941" s="154">
        <f t="shared" si="297"/>
        <v>0</v>
      </c>
      <c r="AM941" s="155">
        <f t="shared" si="298"/>
        <v>0</v>
      </c>
      <c r="AP941" s="63" t="str">
        <f t="shared" si="299"/>
        <v/>
      </c>
      <c r="AQ941" s="63" t="str">
        <f t="shared" si="300"/>
        <v/>
      </c>
      <c r="AR941" s="152" t="str">
        <f t="shared" si="301"/>
        <v/>
      </c>
      <c r="AS941" s="109" t="str">
        <f t="shared" si="302"/>
        <v/>
      </c>
      <c r="AT941" s="63" t="str">
        <f t="shared" si="303"/>
        <v xml:space="preserve">                    </v>
      </c>
    </row>
    <row r="942" spans="1:46" ht="12.75" x14ac:dyDescent="0.2">
      <c r="A942" s="63" t="str">
        <f t="shared" si="285"/>
        <v/>
      </c>
      <c r="B942" s="185"/>
      <c r="C942" s="185"/>
      <c r="D942" s="185"/>
      <c r="E942" s="185"/>
      <c r="F942" s="185"/>
      <c r="G942" s="185"/>
      <c r="H942" s="185"/>
      <c r="I942" s="186"/>
      <c r="J942" s="69"/>
      <c r="AA942" s="63">
        <f t="shared" si="286"/>
        <v>0</v>
      </c>
      <c r="AB942" s="153" t="str">
        <f t="shared" si="287"/>
        <v>000</v>
      </c>
      <c r="AC942" s="165" t="str">
        <f t="shared" si="288"/>
        <v>00000000</v>
      </c>
      <c r="AD942" s="98" t="str">
        <f t="shared" si="289"/>
        <v>00000000</v>
      </c>
      <c r="AE942" s="150">
        <f t="shared" si="290"/>
        <v>0</v>
      </c>
      <c r="AF942" s="150">
        <f t="shared" si="291"/>
        <v>0</v>
      </c>
      <c r="AG942" s="98" t="str">
        <f t="shared" si="292"/>
        <v>0000000000</v>
      </c>
      <c r="AH942" s="151">
        <f t="shared" si="293"/>
        <v>0</v>
      </c>
      <c r="AI942" s="98" t="str">
        <f t="shared" si="294"/>
        <v>00</v>
      </c>
      <c r="AJ942" s="98" t="str">
        <f t="shared" si="295"/>
        <v>000000000000</v>
      </c>
      <c r="AK942" s="161" t="str">
        <f t="shared" si="296"/>
        <v xml:space="preserve">                              </v>
      </c>
      <c r="AL942" s="154">
        <f t="shared" si="297"/>
        <v>0</v>
      </c>
      <c r="AM942" s="155">
        <f t="shared" si="298"/>
        <v>0</v>
      </c>
      <c r="AP942" s="63" t="str">
        <f t="shared" si="299"/>
        <v/>
      </c>
      <c r="AQ942" s="63" t="str">
        <f t="shared" si="300"/>
        <v/>
      </c>
      <c r="AR942" s="152" t="str">
        <f t="shared" si="301"/>
        <v/>
      </c>
      <c r="AS942" s="109" t="str">
        <f t="shared" si="302"/>
        <v/>
      </c>
      <c r="AT942" s="63" t="str">
        <f t="shared" si="303"/>
        <v xml:space="preserve">                    </v>
      </c>
    </row>
    <row r="943" spans="1:46" ht="12.75" x14ac:dyDescent="0.2">
      <c r="A943" s="63" t="str">
        <f t="shared" si="285"/>
        <v/>
      </c>
      <c r="B943" s="185"/>
      <c r="C943" s="185"/>
      <c r="D943" s="185"/>
      <c r="E943" s="185"/>
      <c r="F943" s="185"/>
      <c r="G943" s="185"/>
      <c r="H943" s="185"/>
      <c r="I943" s="186"/>
      <c r="J943" s="69"/>
      <c r="AA943" s="63">
        <f t="shared" si="286"/>
        <v>0</v>
      </c>
      <c r="AB943" s="153" t="str">
        <f t="shared" si="287"/>
        <v>000</v>
      </c>
      <c r="AC943" s="165" t="str">
        <f t="shared" si="288"/>
        <v>00000000</v>
      </c>
      <c r="AD943" s="98" t="str">
        <f t="shared" si="289"/>
        <v>00000000</v>
      </c>
      <c r="AE943" s="150">
        <f t="shared" si="290"/>
        <v>0</v>
      </c>
      <c r="AF943" s="150">
        <f t="shared" si="291"/>
        <v>0</v>
      </c>
      <c r="AG943" s="98" t="str">
        <f t="shared" si="292"/>
        <v>0000000000</v>
      </c>
      <c r="AH943" s="151">
        <f t="shared" si="293"/>
        <v>0</v>
      </c>
      <c r="AI943" s="98" t="str">
        <f t="shared" si="294"/>
        <v>00</v>
      </c>
      <c r="AJ943" s="98" t="str">
        <f t="shared" si="295"/>
        <v>000000000000</v>
      </c>
      <c r="AK943" s="161" t="str">
        <f t="shared" si="296"/>
        <v xml:space="preserve">                              </v>
      </c>
      <c r="AL943" s="154">
        <f t="shared" si="297"/>
        <v>0</v>
      </c>
      <c r="AM943" s="155">
        <f t="shared" si="298"/>
        <v>0</v>
      </c>
      <c r="AP943" s="63" t="str">
        <f t="shared" si="299"/>
        <v/>
      </c>
      <c r="AQ943" s="63" t="str">
        <f t="shared" si="300"/>
        <v/>
      </c>
      <c r="AR943" s="152" t="str">
        <f t="shared" si="301"/>
        <v/>
      </c>
      <c r="AS943" s="109" t="str">
        <f t="shared" si="302"/>
        <v/>
      </c>
      <c r="AT943" s="63" t="str">
        <f t="shared" si="303"/>
        <v xml:space="preserve">                    </v>
      </c>
    </row>
    <row r="944" spans="1:46" ht="12.75" x14ac:dyDescent="0.2">
      <c r="A944" s="63" t="str">
        <f t="shared" si="285"/>
        <v/>
      </c>
      <c r="B944" s="185"/>
      <c r="C944" s="185"/>
      <c r="D944" s="185"/>
      <c r="E944" s="185"/>
      <c r="F944" s="185"/>
      <c r="G944" s="185"/>
      <c r="H944" s="185"/>
      <c r="I944" s="186"/>
      <c r="J944" s="69"/>
      <c r="AA944" s="63">
        <f t="shared" si="286"/>
        <v>0</v>
      </c>
      <c r="AB944" s="153" t="str">
        <f t="shared" si="287"/>
        <v>000</v>
      </c>
      <c r="AC944" s="165" t="str">
        <f t="shared" si="288"/>
        <v>00000000</v>
      </c>
      <c r="AD944" s="98" t="str">
        <f t="shared" si="289"/>
        <v>00000000</v>
      </c>
      <c r="AE944" s="150">
        <f t="shared" si="290"/>
        <v>0</v>
      </c>
      <c r="AF944" s="150">
        <f t="shared" si="291"/>
        <v>0</v>
      </c>
      <c r="AG944" s="98" t="str">
        <f t="shared" si="292"/>
        <v>0000000000</v>
      </c>
      <c r="AH944" s="151">
        <f t="shared" si="293"/>
        <v>0</v>
      </c>
      <c r="AI944" s="98" t="str">
        <f t="shared" si="294"/>
        <v>00</v>
      </c>
      <c r="AJ944" s="98" t="str">
        <f t="shared" si="295"/>
        <v>000000000000</v>
      </c>
      <c r="AK944" s="161" t="str">
        <f t="shared" si="296"/>
        <v xml:space="preserve">                              </v>
      </c>
      <c r="AL944" s="154">
        <f t="shared" si="297"/>
        <v>0</v>
      </c>
      <c r="AM944" s="155">
        <f t="shared" si="298"/>
        <v>0</v>
      </c>
      <c r="AP944" s="63" t="str">
        <f t="shared" si="299"/>
        <v/>
      </c>
      <c r="AQ944" s="63" t="str">
        <f t="shared" si="300"/>
        <v/>
      </c>
      <c r="AR944" s="152" t="str">
        <f t="shared" si="301"/>
        <v/>
      </c>
      <c r="AS944" s="109" t="str">
        <f t="shared" si="302"/>
        <v/>
      </c>
      <c r="AT944" s="63" t="str">
        <f t="shared" si="303"/>
        <v xml:space="preserve">                    </v>
      </c>
    </row>
    <row r="945" spans="1:46" ht="12.75" x14ac:dyDescent="0.2">
      <c r="A945" s="63" t="str">
        <f t="shared" si="285"/>
        <v/>
      </c>
      <c r="B945" s="185"/>
      <c r="C945" s="185"/>
      <c r="D945" s="185"/>
      <c r="E945" s="185"/>
      <c r="F945" s="185"/>
      <c r="G945" s="185"/>
      <c r="H945" s="185"/>
      <c r="I945" s="186"/>
      <c r="J945" s="69"/>
      <c r="AA945" s="63">
        <f t="shared" si="286"/>
        <v>0</v>
      </c>
      <c r="AB945" s="153" t="str">
        <f t="shared" si="287"/>
        <v>000</v>
      </c>
      <c r="AC945" s="165" t="str">
        <f t="shared" si="288"/>
        <v>00000000</v>
      </c>
      <c r="AD945" s="98" t="str">
        <f t="shared" si="289"/>
        <v>00000000</v>
      </c>
      <c r="AE945" s="150">
        <f t="shared" si="290"/>
        <v>0</v>
      </c>
      <c r="AF945" s="150">
        <f t="shared" si="291"/>
        <v>0</v>
      </c>
      <c r="AG945" s="98" t="str">
        <f t="shared" si="292"/>
        <v>0000000000</v>
      </c>
      <c r="AH945" s="151">
        <f t="shared" si="293"/>
        <v>0</v>
      </c>
      <c r="AI945" s="98" t="str">
        <f t="shared" si="294"/>
        <v>00</v>
      </c>
      <c r="AJ945" s="98" t="str">
        <f t="shared" si="295"/>
        <v>000000000000</v>
      </c>
      <c r="AK945" s="161" t="str">
        <f t="shared" si="296"/>
        <v xml:space="preserve">                              </v>
      </c>
      <c r="AL945" s="154">
        <f t="shared" si="297"/>
        <v>0</v>
      </c>
      <c r="AM945" s="155">
        <f t="shared" si="298"/>
        <v>0</v>
      </c>
      <c r="AP945" s="63" t="str">
        <f t="shared" si="299"/>
        <v/>
      </c>
      <c r="AQ945" s="63" t="str">
        <f t="shared" si="300"/>
        <v/>
      </c>
      <c r="AR945" s="152" t="str">
        <f t="shared" si="301"/>
        <v/>
      </c>
      <c r="AS945" s="109" t="str">
        <f t="shared" si="302"/>
        <v/>
      </c>
      <c r="AT945" s="63" t="str">
        <f t="shared" si="303"/>
        <v xml:space="preserve">                    </v>
      </c>
    </row>
    <row r="946" spans="1:46" ht="12.75" x14ac:dyDescent="0.2">
      <c r="A946" s="63" t="str">
        <f t="shared" si="285"/>
        <v/>
      </c>
      <c r="B946" s="185"/>
      <c r="C946" s="185"/>
      <c r="D946" s="185"/>
      <c r="E946" s="185"/>
      <c r="F946" s="185"/>
      <c r="G946" s="185"/>
      <c r="H946" s="185"/>
      <c r="I946" s="186"/>
      <c r="J946" s="69"/>
      <c r="AA946" s="63">
        <f t="shared" si="286"/>
        <v>0</v>
      </c>
      <c r="AB946" s="153" t="str">
        <f t="shared" si="287"/>
        <v>000</v>
      </c>
      <c r="AC946" s="165" t="str">
        <f t="shared" si="288"/>
        <v>00000000</v>
      </c>
      <c r="AD946" s="98" t="str">
        <f t="shared" si="289"/>
        <v>00000000</v>
      </c>
      <c r="AE946" s="150">
        <f t="shared" si="290"/>
        <v>0</v>
      </c>
      <c r="AF946" s="150">
        <f t="shared" si="291"/>
        <v>0</v>
      </c>
      <c r="AG946" s="98" t="str">
        <f t="shared" si="292"/>
        <v>0000000000</v>
      </c>
      <c r="AH946" s="151">
        <f t="shared" si="293"/>
        <v>0</v>
      </c>
      <c r="AI946" s="98" t="str">
        <f t="shared" si="294"/>
        <v>00</v>
      </c>
      <c r="AJ946" s="98" t="str">
        <f t="shared" si="295"/>
        <v>000000000000</v>
      </c>
      <c r="AK946" s="161" t="str">
        <f t="shared" si="296"/>
        <v xml:space="preserve">                              </v>
      </c>
      <c r="AL946" s="154">
        <f t="shared" si="297"/>
        <v>0</v>
      </c>
      <c r="AM946" s="155">
        <f t="shared" si="298"/>
        <v>0</v>
      </c>
      <c r="AP946" s="63" t="str">
        <f t="shared" si="299"/>
        <v/>
      </c>
      <c r="AQ946" s="63" t="str">
        <f t="shared" si="300"/>
        <v/>
      </c>
      <c r="AR946" s="152" t="str">
        <f t="shared" si="301"/>
        <v/>
      </c>
      <c r="AS946" s="109" t="str">
        <f t="shared" si="302"/>
        <v/>
      </c>
      <c r="AT946" s="63" t="str">
        <f t="shared" si="303"/>
        <v xml:space="preserve">                    </v>
      </c>
    </row>
    <row r="947" spans="1:46" ht="12.75" x14ac:dyDescent="0.2">
      <c r="A947" s="63" t="str">
        <f t="shared" si="285"/>
        <v/>
      </c>
      <c r="B947" s="185"/>
      <c r="C947" s="185"/>
      <c r="D947" s="185"/>
      <c r="E947" s="185"/>
      <c r="F947" s="185"/>
      <c r="G947" s="185"/>
      <c r="H947" s="185"/>
      <c r="I947" s="186"/>
      <c r="J947" s="69"/>
      <c r="AA947" s="63">
        <f t="shared" si="286"/>
        <v>0</v>
      </c>
      <c r="AB947" s="153" t="str">
        <f t="shared" si="287"/>
        <v>000</v>
      </c>
      <c r="AC947" s="165" t="str">
        <f t="shared" si="288"/>
        <v>00000000</v>
      </c>
      <c r="AD947" s="98" t="str">
        <f t="shared" si="289"/>
        <v>00000000</v>
      </c>
      <c r="AE947" s="150">
        <f t="shared" si="290"/>
        <v>0</v>
      </c>
      <c r="AF947" s="150">
        <f t="shared" si="291"/>
        <v>0</v>
      </c>
      <c r="AG947" s="98" t="str">
        <f t="shared" si="292"/>
        <v>0000000000</v>
      </c>
      <c r="AH947" s="151">
        <f t="shared" si="293"/>
        <v>0</v>
      </c>
      <c r="AI947" s="98" t="str">
        <f t="shared" si="294"/>
        <v>00</v>
      </c>
      <c r="AJ947" s="98" t="str">
        <f t="shared" si="295"/>
        <v>000000000000</v>
      </c>
      <c r="AK947" s="161" t="str">
        <f t="shared" si="296"/>
        <v xml:space="preserve">                              </v>
      </c>
      <c r="AL947" s="154">
        <f t="shared" si="297"/>
        <v>0</v>
      </c>
      <c r="AM947" s="155">
        <f t="shared" si="298"/>
        <v>0</v>
      </c>
      <c r="AP947" s="63" t="str">
        <f t="shared" si="299"/>
        <v/>
      </c>
      <c r="AQ947" s="63" t="str">
        <f t="shared" si="300"/>
        <v/>
      </c>
      <c r="AR947" s="152" t="str">
        <f t="shared" si="301"/>
        <v/>
      </c>
      <c r="AS947" s="109" t="str">
        <f t="shared" si="302"/>
        <v/>
      </c>
      <c r="AT947" s="63" t="str">
        <f t="shared" si="303"/>
        <v xml:space="preserve">                    </v>
      </c>
    </row>
    <row r="948" spans="1:46" ht="12.75" x14ac:dyDescent="0.2">
      <c r="A948" s="63" t="str">
        <f t="shared" si="285"/>
        <v/>
      </c>
      <c r="B948" s="185"/>
      <c r="C948" s="185"/>
      <c r="D948" s="185"/>
      <c r="E948" s="185"/>
      <c r="F948" s="185"/>
      <c r="G948" s="185"/>
      <c r="H948" s="185"/>
      <c r="I948" s="186"/>
      <c r="J948" s="69"/>
      <c r="AA948" s="63">
        <f t="shared" si="286"/>
        <v>0</v>
      </c>
      <c r="AB948" s="153" t="str">
        <f t="shared" si="287"/>
        <v>000</v>
      </c>
      <c r="AC948" s="165" t="str">
        <f t="shared" si="288"/>
        <v>00000000</v>
      </c>
      <c r="AD948" s="98" t="str">
        <f t="shared" si="289"/>
        <v>00000000</v>
      </c>
      <c r="AE948" s="150">
        <f t="shared" si="290"/>
        <v>0</v>
      </c>
      <c r="AF948" s="150">
        <f t="shared" si="291"/>
        <v>0</v>
      </c>
      <c r="AG948" s="98" t="str">
        <f t="shared" si="292"/>
        <v>0000000000</v>
      </c>
      <c r="AH948" s="151">
        <f t="shared" si="293"/>
        <v>0</v>
      </c>
      <c r="AI948" s="98" t="str">
        <f t="shared" si="294"/>
        <v>00</v>
      </c>
      <c r="AJ948" s="98" t="str">
        <f t="shared" si="295"/>
        <v>000000000000</v>
      </c>
      <c r="AK948" s="161" t="str">
        <f t="shared" si="296"/>
        <v xml:space="preserve">                              </v>
      </c>
      <c r="AL948" s="154">
        <f t="shared" si="297"/>
        <v>0</v>
      </c>
      <c r="AM948" s="155">
        <f t="shared" si="298"/>
        <v>0</v>
      </c>
      <c r="AP948" s="63" t="str">
        <f t="shared" si="299"/>
        <v/>
      </c>
      <c r="AQ948" s="63" t="str">
        <f t="shared" si="300"/>
        <v/>
      </c>
      <c r="AR948" s="152" t="str">
        <f t="shared" si="301"/>
        <v/>
      </c>
      <c r="AS948" s="109" t="str">
        <f t="shared" si="302"/>
        <v/>
      </c>
      <c r="AT948" s="63" t="str">
        <f t="shared" si="303"/>
        <v xml:space="preserve">                    </v>
      </c>
    </row>
    <row r="949" spans="1:46" ht="12.75" x14ac:dyDescent="0.2">
      <c r="A949" s="63" t="str">
        <f t="shared" si="285"/>
        <v/>
      </c>
      <c r="B949" s="185"/>
      <c r="C949" s="185"/>
      <c r="D949" s="185"/>
      <c r="E949" s="185"/>
      <c r="F949" s="185"/>
      <c r="G949" s="185"/>
      <c r="H949" s="185"/>
      <c r="I949" s="186"/>
      <c r="J949" s="69"/>
      <c r="AA949" s="63">
        <f t="shared" si="286"/>
        <v>0</v>
      </c>
      <c r="AB949" s="153" t="str">
        <f t="shared" si="287"/>
        <v>000</v>
      </c>
      <c r="AC949" s="165" t="str">
        <f t="shared" si="288"/>
        <v>00000000</v>
      </c>
      <c r="AD949" s="98" t="str">
        <f t="shared" si="289"/>
        <v>00000000</v>
      </c>
      <c r="AE949" s="150">
        <f t="shared" si="290"/>
        <v>0</v>
      </c>
      <c r="AF949" s="150">
        <f t="shared" si="291"/>
        <v>0</v>
      </c>
      <c r="AG949" s="98" t="str">
        <f t="shared" si="292"/>
        <v>0000000000</v>
      </c>
      <c r="AH949" s="151">
        <f t="shared" si="293"/>
        <v>0</v>
      </c>
      <c r="AI949" s="98" t="str">
        <f t="shared" si="294"/>
        <v>00</v>
      </c>
      <c r="AJ949" s="98" t="str">
        <f t="shared" si="295"/>
        <v>000000000000</v>
      </c>
      <c r="AK949" s="161" t="str">
        <f t="shared" si="296"/>
        <v xml:space="preserve">                              </v>
      </c>
      <c r="AL949" s="154">
        <f t="shared" si="297"/>
        <v>0</v>
      </c>
      <c r="AM949" s="155">
        <f t="shared" si="298"/>
        <v>0</v>
      </c>
      <c r="AP949" s="63" t="str">
        <f t="shared" si="299"/>
        <v/>
      </c>
      <c r="AQ949" s="63" t="str">
        <f t="shared" si="300"/>
        <v/>
      </c>
      <c r="AR949" s="152" t="str">
        <f t="shared" si="301"/>
        <v/>
      </c>
      <c r="AS949" s="109" t="str">
        <f t="shared" si="302"/>
        <v/>
      </c>
      <c r="AT949" s="63" t="str">
        <f t="shared" si="303"/>
        <v xml:space="preserve">                    </v>
      </c>
    </row>
    <row r="950" spans="1:46" ht="12.75" x14ac:dyDescent="0.2">
      <c r="A950" s="63" t="str">
        <f t="shared" si="285"/>
        <v/>
      </c>
      <c r="B950" s="185"/>
      <c r="C950" s="185"/>
      <c r="D950" s="185"/>
      <c r="E950" s="185"/>
      <c r="F950" s="185"/>
      <c r="G950" s="185"/>
      <c r="H950" s="185"/>
      <c r="I950" s="186"/>
      <c r="J950" s="69"/>
      <c r="AA950" s="63">
        <f t="shared" si="286"/>
        <v>0</v>
      </c>
      <c r="AB950" s="153" t="str">
        <f t="shared" si="287"/>
        <v>000</v>
      </c>
      <c r="AC950" s="165" t="str">
        <f t="shared" si="288"/>
        <v>00000000</v>
      </c>
      <c r="AD950" s="98" t="str">
        <f t="shared" si="289"/>
        <v>00000000</v>
      </c>
      <c r="AE950" s="150">
        <f t="shared" si="290"/>
        <v>0</v>
      </c>
      <c r="AF950" s="150">
        <f t="shared" si="291"/>
        <v>0</v>
      </c>
      <c r="AG950" s="98" t="str">
        <f t="shared" si="292"/>
        <v>0000000000</v>
      </c>
      <c r="AH950" s="151">
        <f t="shared" si="293"/>
        <v>0</v>
      </c>
      <c r="AI950" s="98" t="str">
        <f t="shared" si="294"/>
        <v>00</v>
      </c>
      <c r="AJ950" s="98" t="str">
        <f t="shared" si="295"/>
        <v>000000000000</v>
      </c>
      <c r="AK950" s="161" t="str">
        <f t="shared" si="296"/>
        <v xml:space="preserve">                              </v>
      </c>
      <c r="AL950" s="154">
        <f t="shared" si="297"/>
        <v>0</v>
      </c>
      <c r="AM950" s="155">
        <f t="shared" si="298"/>
        <v>0</v>
      </c>
      <c r="AP950" s="63" t="str">
        <f t="shared" si="299"/>
        <v/>
      </c>
      <c r="AQ950" s="63" t="str">
        <f t="shared" si="300"/>
        <v/>
      </c>
      <c r="AR950" s="152" t="str">
        <f t="shared" si="301"/>
        <v/>
      </c>
      <c r="AS950" s="109" t="str">
        <f t="shared" si="302"/>
        <v/>
      </c>
      <c r="AT950" s="63" t="str">
        <f t="shared" si="303"/>
        <v xml:space="preserve">                    </v>
      </c>
    </row>
    <row r="951" spans="1:46" ht="12.75" x14ac:dyDescent="0.2">
      <c r="A951" s="63" t="str">
        <f t="shared" si="285"/>
        <v/>
      </c>
      <c r="B951" s="185"/>
      <c r="C951" s="185"/>
      <c r="D951" s="185"/>
      <c r="E951" s="185"/>
      <c r="F951" s="185"/>
      <c r="G951" s="185"/>
      <c r="H951" s="185"/>
      <c r="I951" s="186"/>
      <c r="J951" s="69"/>
      <c r="AA951" s="63">
        <f t="shared" si="286"/>
        <v>0</v>
      </c>
      <c r="AB951" s="153" t="str">
        <f t="shared" si="287"/>
        <v>000</v>
      </c>
      <c r="AC951" s="165" t="str">
        <f t="shared" si="288"/>
        <v>00000000</v>
      </c>
      <c r="AD951" s="98" t="str">
        <f t="shared" si="289"/>
        <v>00000000</v>
      </c>
      <c r="AE951" s="150">
        <f t="shared" si="290"/>
        <v>0</v>
      </c>
      <c r="AF951" s="150">
        <f t="shared" si="291"/>
        <v>0</v>
      </c>
      <c r="AG951" s="98" t="str">
        <f t="shared" si="292"/>
        <v>0000000000</v>
      </c>
      <c r="AH951" s="151">
        <f t="shared" si="293"/>
        <v>0</v>
      </c>
      <c r="AI951" s="98" t="str">
        <f t="shared" si="294"/>
        <v>00</v>
      </c>
      <c r="AJ951" s="98" t="str">
        <f t="shared" si="295"/>
        <v>000000000000</v>
      </c>
      <c r="AK951" s="161" t="str">
        <f t="shared" si="296"/>
        <v xml:space="preserve">                              </v>
      </c>
      <c r="AL951" s="154">
        <f t="shared" si="297"/>
        <v>0</v>
      </c>
      <c r="AM951" s="155">
        <f t="shared" si="298"/>
        <v>0</v>
      </c>
      <c r="AP951" s="63" t="str">
        <f t="shared" si="299"/>
        <v/>
      </c>
      <c r="AQ951" s="63" t="str">
        <f t="shared" si="300"/>
        <v/>
      </c>
      <c r="AR951" s="152" t="str">
        <f t="shared" si="301"/>
        <v/>
      </c>
      <c r="AS951" s="109" t="str">
        <f t="shared" si="302"/>
        <v/>
      </c>
      <c r="AT951" s="63" t="str">
        <f t="shared" si="303"/>
        <v xml:space="preserve">                    </v>
      </c>
    </row>
    <row r="952" spans="1:46" ht="12.75" x14ac:dyDescent="0.2">
      <c r="A952" s="63" t="str">
        <f t="shared" si="285"/>
        <v/>
      </c>
      <c r="B952" s="185"/>
      <c r="C952" s="185"/>
      <c r="D952" s="185"/>
      <c r="E952" s="185"/>
      <c r="F952" s="185"/>
      <c r="G952" s="185"/>
      <c r="H952" s="185"/>
      <c r="I952" s="186"/>
      <c r="J952" s="69"/>
      <c r="AA952" s="63">
        <f t="shared" si="286"/>
        <v>0</v>
      </c>
      <c r="AB952" s="153" t="str">
        <f t="shared" si="287"/>
        <v>000</v>
      </c>
      <c r="AC952" s="165" t="str">
        <f t="shared" si="288"/>
        <v>00000000</v>
      </c>
      <c r="AD952" s="98" t="str">
        <f t="shared" si="289"/>
        <v>00000000</v>
      </c>
      <c r="AE952" s="150">
        <f t="shared" si="290"/>
        <v>0</v>
      </c>
      <c r="AF952" s="150">
        <f t="shared" si="291"/>
        <v>0</v>
      </c>
      <c r="AG952" s="98" t="str">
        <f t="shared" si="292"/>
        <v>0000000000</v>
      </c>
      <c r="AH952" s="151">
        <f t="shared" si="293"/>
        <v>0</v>
      </c>
      <c r="AI952" s="98" t="str">
        <f t="shared" si="294"/>
        <v>00</v>
      </c>
      <c r="AJ952" s="98" t="str">
        <f t="shared" si="295"/>
        <v>000000000000</v>
      </c>
      <c r="AK952" s="161" t="str">
        <f t="shared" si="296"/>
        <v xml:space="preserve">                              </v>
      </c>
      <c r="AL952" s="154">
        <f t="shared" si="297"/>
        <v>0</v>
      </c>
      <c r="AM952" s="155">
        <f t="shared" si="298"/>
        <v>0</v>
      </c>
      <c r="AP952" s="63" t="str">
        <f t="shared" si="299"/>
        <v/>
      </c>
      <c r="AQ952" s="63" t="str">
        <f t="shared" si="300"/>
        <v/>
      </c>
      <c r="AR952" s="152" t="str">
        <f t="shared" si="301"/>
        <v/>
      </c>
      <c r="AS952" s="109" t="str">
        <f t="shared" si="302"/>
        <v/>
      </c>
      <c r="AT952" s="63" t="str">
        <f t="shared" si="303"/>
        <v xml:space="preserve">                    </v>
      </c>
    </row>
    <row r="953" spans="1:46" ht="12.75" x14ac:dyDescent="0.2">
      <c r="A953" s="63" t="str">
        <f t="shared" si="285"/>
        <v/>
      </c>
      <c r="B953" s="185"/>
      <c r="C953" s="185"/>
      <c r="D953" s="185"/>
      <c r="E953" s="185"/>
      <c r="F953" s="185"/>
      <c r="G953" s="185"/>
      <c r="H953" s="185"/>
      <c r="I953" s="186"/>
      <c r="J953" s="69"/>
      <c r="AA953" s="63">
        <f t="shared" si="286"/>
        <v>0</v>
      </c>
      <c r="AB953" s="153" t="str">
        <f t="shared" si="287"/>
        <v>000</v>
      </c>
      <c r="AC953" s="165" t="str">
        <f t="shared" si="288"/>
        <v>00000000</v>
      </c>
      <c r="AD953" s="98" t="str">
        <f t="shared" si="289"/>
        <v>00000000</v>
      </c>
      <c r="AE953" s="150">
        <f t="shared" si="290"/>
        <v>0</v>
      </c>
      <c r="AF953" s="150">
        <f t="shared" si="291"/>
        <v>0</v>
      </c>
      <c r="AG953" s="98" t="str">
        <f t="shared" si="292"/>
        <v>0000000000</v>
      </c>
      <c r="AH953" s="151">
        <f t="shared" si="293"/>
        <v>0</v>
      </c>
      <c r="AI953" s="98" t="str">
        <f t="shared" si="294"/>
        <v>00</v>
      </c>
      <c r="AJ953" s="98" t="str">
        <f t="shared" si="295"/>
        <v>000000000000</v>
      </c>
      <c r="AK953" s="161" t="str">
        <f t="shared" si="296"/>
        <v xml:space="preserve">                              </v>
      </c>
      <c r="AL953" s="154">
        <f t="shared" si="297"/>
        <v>0</v>
      </c>
      <c r="AM953" s="155">
        <f t="shared" si="298"/>
        <v>0</v>
      </c>
      <c r="AP953" s="63" t="str">
        <f t="shared" si="299"/>
        <v/>
      </c>
      <c r="AQ953" s="63" t="str">
        <f t="shared" si="300"/>
        <v/>
      </c>
      <c r="AR953" s="152" t="str">
        <f t="shared" si="301"/>
        <v/>
      </c>
      <c r="AS953" s="109" t="str">
        <f t="shared" si="302"/>
        <v/>
      </c>
      <c r="AT953" s="63" t="str">
        <f t="shared" si="303"/>
        <v xml:space="preserve">                    </v>
      </c>
    </row>
    <row r="954" spans="1:46" ht="12.75" x14ac:dyDescent="0.2">
      <c r="A954" s="63" t="str">
        <f t="shared" si="285"/>
        <v/>
      </c>
      <c r="B954" s="185"/>
      <c r="C954" s="185"/>
      <c r="D954" s="185"/>
      <c r="E954" s="185"/>
      <c r="F954" s="185"/>
      <c r="G954" s="185"/>
      <c r="H954" s="185"/>
      <c r="I954" s="186"/>
      <c r="J954" s="69"/>
      <c r="AA954" s="63">
        <f t="shared" si="286"/>
        <v>0</v>
      </c>
      <c r="AB954" s="153" t="str">
        <f t="shared" si="287"/>
        <v>000</v>
      </c>
      <c r="AC954" s="165" t="str">
        <f t="shared" si="288"/>
        <v>00000000</v>
      </c>
      <c r="AD954" s="98" t="str">
        <f t="shared" si="289"/>
        <v>00000000</v>
      </c>
      <c r="AE954" s="150">
        <f t="shared" si="290"/>
        <v>0</v>
      </c>
      <c r="AF954" s="150">
        <f t="shared" si="291"/>
        <v>0</v>
      </c>
      <c r="AG954" s="98" t="str">
        <f t="shared" si="292"/>
        <v>0000000000</v>
      </c>
      <c r="AH954" s="151">
        <f t="shared" si="293"/>
        <v>0</v>
      </c>
      <c r="AI954" s="98" t="str">
        <f t="shared" si="294"/>
        <v>00</v>
      </c>
      <c r="AJ954" s="98" t="str">
        <f t="shared" si="295"/>
        <v>000000000000</v>
      </c>
      <c r="AK954" s="161" t="str">
        <f t="shared" si="296"/>
        <v xml:space="preserve">                              </v>
      </c>
      <c r="AL954" s="154">
        <f t="shared" si="297"/>
        <v>0</v>
      </c>
      <c r="AM954" s="155">
        <f t="shared" si="298"/>
        <v>0</v>
      </c>
      <c r="AP954" s="63" t="str">
        <f t="shared" si="299"/>
        <v/>
      </c>
      <c r="AQ954" s="63" t="str">
        <f t="shared" si="300"/>
        <v/>
      </c>
      <c r="AR954" s="152" t="str">
        <f t="shared" si="301"/>
        <v/>
      </c>
      <c r="AS954" s="109" t="str">
        <f t="shared" si="302"/>
        <v/>
      </c>
      <c r="AT954" s="63" t="str">
        <f t="shared" si="303"/>
        <v xml:space="preserve">                    </v>
      </c>
    </row>
    <row r="955" spans="1:46" ht="12.75" x14ac:dyDescent="0.2">
      <c r="A955" s="63" t="str">
        <f t="shared" si="285"/>
        <v/>
      </c>
      <c r="B955" s="185"/>
      <c r="C955" s="185"/>
      <c r="D955" s="185"/>
      <c r="E955" s="185"/>
      <c r="F955" s="185"/>
      <c r="G955" s="185"/>
      <c r="H955" s="185"/>
      <c r="I955" s="186"/>
      <c r="J955" s="69"/>
      <c r="AA955" s="63">
        <f t="shared" si="286"/>
        <v>0</v>
      </c>
      <c r="AB955" s="153" t="str">
        <f t="shared" si="287"/>
        <v>000</v>
      </c>
      <c r="AC955" s="165" t="str">
        <f t="shared" si="288"/>
        <v>00000000</v>
      </c>
      <c r="AD955" s="98" t="str">
        <f t="shared" si="289"/>
        <v>00000000</v>
      </c>
      <c r="AE955" s="150">
        <f t="shared" si="290"/>
        <v>0</v>
      </c>
      <c r="AF955" s="150">
        <f t="shared" si="291"/>
        <v>0</v>
      </c>
      <c r="AG955" s="98" t="str">
        <f t="shared" si="292"/>
        <v>0000000000</v>
      </c>
      <c r="AH955" s="151">
        <f t="shared" si="293"/>
        <v>0</v>
      </c>
      <c r="AI955" s="98" t="str">
        <f t="shared" si="294"/>
        <v>00</v>
      </c>
      <c r="AJ955" s="98" t="str">
        <f t="shared" si="295"/>
        <v>000000000000</v>
      </c>
      <c r="AK955" s="161" t="str">
        <f t="shared" si="296"/>
        <v xml:space="preserve">                              </v>
      </c>
      <c r="AL955" s="154">
        <f t="shared" si="297"/>
        <v>0</v>
      </c>
      <c r="AM955" s="155">
        <f t="shared" si="298"/>
        <v>0</v>
      </c>
      <c r="AP955" s="63" t="str">
        <f t="shared" si="299"/>
        <v/>
      </c>
      <c r="AQ955" s="63" t="str">
        <f t="shared" si="300"/>
        <v/>
      </c>
      <c r="AR955" s="152" t="str">
        <f t="shared" si="301"/>
        <v/>
      </c>
      <c r="AS955" s="109" t="str">
        <f t="shared" si="302"/>
        <v/>
      </c>
      <c r="AT955" s="63" t="str">
        <f t="shared" si="303"/>
        <v xml:space="preserve">                    </v>
      </c>
    </row>
    <row r="956" spans="1:46" ht="12.75" x14ac:dyDescent="0.2">
      <c r="A956" s="63" t="str">
        <f t="shared" si="285"/>
        <v/>
      </c>
      <c r="B956" s="185"/>
      <c r="C956" s="185"/>
      <c r="D956" s="185"/>
      <c r="E956" s="185"/>
      <c r="F956" s="185"/>
      <c r="G956" s="185"/>
      <c r="H956" s="185"/>
      <c r="I956" s="186"/>
      <c r="J956" s="69"/>
      <c r="AA956" s="63">
        <f t="shared" si="286"/>
        <v>0</v>
      </c>
      <c r="AB956" s="153" t="str">
        <f t="shared" si="287"/>
        <v>000</v>
      </c>
      <c r="AC956" s="165" t="str">
        <f t="shared" si="288"/>
        <v>00000000</v>
      </c>
      <c r="AD956" s="98" t="str">
        <f t="shared" si="289"/>
        <v>00000000</v>
      </c>
      <c r="AE956" s="150">
        <f t="shared" si="290"/>
        <v>0</v>
      </c>
      <c r="AF956" s="150">
        <f t="shared" si="291"/>
        <v>0</v>
      </c>
      <c r="AG956" s="98" t="str">
        <f t="shared" si="292"/>
        <v>0000000000</v>
      </c>
      <c r="AH956" s="151">
        <f t="shared" si="293"/>
        <v>0</v>
      </c>
      <c r="AI956" s="98" t="str">
        <f t="shared" si="294"/>
        <v>00</v>
      </c>
      <c r="AJ956" s="98" t="str">
        <f t="shared" si="295"/>
        <v>000000000000</v>
      </c>
      <c r="AK956" s="161" t="str">
        <f t="shared" si="296"/>
        <v xml:space="preserve">                              </v>
      </c>
      <c r="AL956" s="154">
        <f t="shared" si="297"/>
        <v>0</v>
      </c>
      <c r="AM956" s="155">
        <f t="shared" si="298"/>
        <v>0</v>
      </c>
      <c r="AP956" s="63" t="str">
        <f t="shared" si="299"/>
        <v/>
      </c>
      <c r="AQ956" s="63" t="str">
        <f t="shared" si="300"/>
        <v/>
      </c>
      <c r="AR956" s="152" t="str">
        <f t="shared" si="301"/>
        <v/>
      </c>
      <c r="AS956" s="109" t="str">
        <f t="shared" si="302"/>
        <v/>
      </c>
      <c r="AT956" s="63" t="str">
        <f t="shared" si="303"/>
        <v xml:space="preserve">                    </v>
      </c>
    </row>
    <row r="957" spans="1:46" ht="12.75" x14ac:dyDescent="0.2">
      <c r="A957" s="63" t="str">
        <f t="shared" si="285"/>
        <v/>
      </c>
      <c r="B957" s="185"/>
      <c r="C957" s="185"/>
      <c r="D957" s="185"/>
      <c r="E957" s="185"/>
      <c r="F957" s="185"/>
      <c r="G957" s="185"/>
      <c r="H957" s="185"/>
      <c r="I957" s="186"/>
      <c r="J957" s="69"/>
      <c r="AA957" s="63">
        <f t="shared" si="286"/>
        <v>0</v>
      </c>
      <c r="AB957" s="153" t="str">
        <f t="shared" si="287"/>
        <v>000</v>
      </c>
      <c r="AC957" s="165" t="str">
        <f t="shared" si="288"/>
        <v>00000000</v>
      </c>
      <c r="AD957" s="98" t="str">
        <f t="shared" si="289"/>
        <v>00000000</v>
      </c>
      <c r="AE957" s="150">
        <f t="shared" si="290"/>
        <v>0</v>
      </c>
      <c r="AF957" s="150">
        <f t="shared" si="291"/>
        <v>0</v>
      </c>
      <c r="AG957" s="98" t="str">
        <f t="shared" si="292"/>
        <v>0000000000</v>
      </c>
      <c r="AH957" s="151">
        <f t="shared" si="293"/>
        <v>0</v>
      </c>
      <c r="AI957" s="98" t="str">
        <f t="shared" si="294"/>
        <v>00</v>
      </c>
      <c r="AJ957" s="98" t="str">
        <f t="shared" si="295"/>
        <v>000000000000</v>
      </c>
      <c r="AK957" s="161" t="str">
        <f t="shared" si="296"/>
        <v xml:space="preserve">                              </v>
      </c>
      <c r="AL957" s="154">
        <f t="shared" si="297"/>
        <v>0</v>
      </c>
      <c r="AM957" s="155">
        <f t="shared" si="298"/>
        <v>0</v>
      </c>
      <c r="AP957" s="63" t="str">
        <f t="shared" si="299"/>
        <v/>
      </c>
      <c r="AQ957" s="63" t="str">
        <f t="shared" si="300"/>
        <v/>
      </c>
      <c r="AR957" s="152" t="str">
        <f t="shared" si="301"/>
        <v/>
      </c>
      <c r="AS957" s="109" t="str">
        <f t="shared" si="302"/>
        <v/>
      </c>
      <c r="AT957" s="63" t="str">
        <f t="shared" si="303"/>
        <v xml:space="preserve">                    </v>
      </c>
    </row>
    <row r="958" spans="1:46" ht="12.75" x14ac:dyDescent="0.2">
      <c r="A958" s="63" t="str">
        <f t="shared" si="285"/>
        <v/>
      </c>
      <c r="B958" s="185"/>
      <c r="C958" s="185"/>
      <c r="D958" s="185"/>
      <c r="E958" s="185"/>
      <c r="F958" s="185"/>
      <c r="G958" s="185"/>
      <c r="H958" s="185"/>
      <c r="I958" s="186"/>
      <c r="J958" s="69"/>
      <c r="AA958" s="63">
        <f t="shared" si="286"/>
        <v>0</v>
      </c>
      <c r="AB958" s="153" t="str">
        <f t="shared" si="287"/>
        <v>000</v>
      </c>
      <c r="AC958" s="165" t="str">
        <f t="shared" si="288"/>
        <v>00000000</v>
      </c>
      <c r="AD958" s="98" t="str">
        <f t="shared" si="289"/>
        <v>00000000</v>
      </c>
      <c r="AE958" s="150">
        <f t="shared" si="290"/>
        <v>0</v>
      </c>
      <c r="AF958" s="150">
        <f t="shared" si="291"/>
        <v>0</v>
      </c>
      <c r="AG958" s="98" t="str">
        <f t="shared" si="292"/>
        <v>0000000000</v>
      </c>
      <c r="AH958" s="151">
        <f t="shared" si="293"/>
        <v>0</v>
      </c>
      <c r="AI958" s="98" t="str">
        <f t="shared" si="294"/>
        <v>00</v>
      </c>
      <c r="AJ958" s="98" t="str">
        <f t="shared" si="295"/>
        <v>000000000000</v>
      </c>
      <c r="AK958" s="161" t="str">
        <f t="shared" si="296"/>
        <v xml:space="preserve">                              </v>
      </c>
      <c r="AL958" s="154">
        <f t="shared" si="297"/>
        <v>0</v>
      </c>
      <c r="AM958" s="155">
        <f t="shared" si="298"/>
        <v>0</v>
      </c>
      <c r="AP958" s="63" t="str">
        <f t="shared" si="299"/>
        <v/>
      </c>
      <c r="AQ958" s="63" t="str">
        <f t="shared" si="300"/>
        <v/>
      </c>
      <c r="AR958" s="152" t="str">
        <f t="shared" si="301"/>
        <v/>
      </c>
      <c r="AS958" s="109" t="str">
        <f t="shared" si="302"/>
        <v/>
      </c>
      <c r="AT958" s="63" t="str">
        <f t="shared" si="303"/>
        <v xml:space="preserve">                    </v>
      </c>
    </row>
    <row r="959" spans="1:46" ht="12.75" x14ac:dyDescent="0.2">
      <c r="A959" s="63" t="str">
        <f t="shared" si="285"/>
        <v/>
      </c>
      <c r="B959" s="185"/>
      <c r="C959" s="185"/>
      <c r="D959" s="185"/>
      <c r="E959" s="185"/>
      <c r="F959" s="185"/>
      <c r="G959" s="185"/>
      <c r="H959" s="185"/>
      <c r="I959" s="186"/>
      <c r="J959" s="69"/>
      <c r="AA959" s="63">
        <f t="shared" si="286"/>
        <v>0</v>
      </c>
      <c r="AB959" s="153" t="str">
        <f t="shared" si="287"/>
        <v>000</v>
      </c>
      <c r="AC959" s="165" t="str">
        <f t="shared" si="288"/>
        <v>00000000</v>
      </c>
      <c r="AD959" s="98" t="str">
        <f t="shared" si="289"/>
        <v>00000000</v>
      </c>
      <c r="AE959" s="150">
        <f t="shared" si="290"/>
        <v>0</v>
      </c>
      <c r="AF959" s="150">
        <f t="shared" si="291"/>
        <v>0</v>
      </c>
      <c r="AG959" s="98" t="str">
        <f t="shared" si="292"/>
        <v>0000000000</v>
      </c>
      <c r="AH959" s="151">
        <f t="shared" si="293"/>
        <v>0</v>
      </c>
      <c r="AI959" s="98" t="str">
        <f t="shared" si="294"/>
        <v>00</v>
      </c>
      <c r="AJ959" s="98" t="str">
        <f t="shared" si="295"/>
        <v>000000000000</v>
      </c>
      <c r="AK959" s="161" t="str">
        <f t="shared" si="296"/>
        <v xml:space="preserve">                              </v>
      </c>
      <c r="AL959" s="154">
        <f t="shared" si="297"/>
        <v>0</v>
      </c>
      <c r="AM959" s="155">
        <f t="shared" si="298"/>
        <v>0</v>
      </c>
      <c r="AP959" s="63" t="str">
        <f t="shared" si="299"/>
        <v/>
      </c>
      <c r="AQ959" s="63" t="str">
        <f t="shared" si="300"/>
        <v/>
      </c>
      <c r="AR959" s="152" t="str">
        <f t="shared" si="301"/>
        <v/>
      </c>
      <c r="AS959" s="109" t="str">
        <f t="shared" si="302"/>
        <v/>
      </c>
      <c r="AT959" s="63" t="str">
        <f t="shared" si="303"/>
        <v xml:space="preserve">                    </v>
      </c>
    </row>
    <row r="960" spans="1:46" ht="12.75" x14ac:dyDescent="0.2">
      <c r="A960" s="63" t="str">
        <f t="shared" si="285"/>
        <v/>
      </c>
      <c r="B960" s="185"/>
      <c r="C960" s="185"/>
      <c r="D960" s="185"/>
      <c r="E960" s="185"/>
      <c r="F960" s="185"/>
      <c r="G960" s="185"/>
      <c r="H960" s="185"/>
      <c r="I960" s="186"/>
      <c r="J960" s="69"/>
      <c r="AA960" s="63">
        <f t="shared" si="286"/>
        <v>0</v>
      </c>
      <c r="AB960" s="153" t="str">
        <f t="shared" si="287"/>
        <v>000</v>
      </c>
      <c r="AC960" s="165" t="str">
        <f t="shared" si="288"/>
        <v>00000000</v>
      </c>
      <c r="AD960" s="98" t="str">
        <f t="shared" si="289"/>
        <v>00000000</v>
      </c>
      <c r="AE960" s="150">
        <f t="shared" si="290"/>
        <v>0</v>
      </c>
      <c r="AF960" s="150">
        <f t="shared" si="291"/>
        <v>0</v>
      </c>
      <c r="AG960" s="98" t="str">
        <f t="shared" si="292"/>
        <v>0000000000</v>
      </c>
      <c r="AH960" s="151">
        <f t="shared" si="293"/>
        <v>0</v>
      </c>
      <c r="AI960" s="98" t="str">
        <f t="shared" si="294"/>
        <v>00</v>
      </c>
      <c r="AJ960" s="98" t="str">
        <f t="shared" si="295"/>
        <v>000000000000</v>
      </c>
      <c r="AK960" s="161" t="str">
        <f t="shared" si="296"/>
        <v xml:space="preserve">                              </v>
      </c>
      <c r="AL960" s="154">
        <f t="shared" si="297"/>
        <v>0</v>
      </c>
      <c r="AM960" s="155">
        <f t="shared" si="298"/>
        <v>0</v>
      </c>
      <c r="AP960" s="63" t="str">
        <f t="shared" si="299"/>
        <v/>
      </c>
      <c r="AQ960" s="63" t="str">
        <f t="shared" si="300"/>
        <v/>
      </c>
      <c r="AR960" s="152" t="str">
        <f t="shared" si="301"/>
        <v/>
      </c>
      <c r="AS960" s="109" t="str">
        <f t="shared" si="302"/>
        <v/>
      </c>
      <c r="AT960" s="63" t="str">
        <f t="shared" si="303"/>
        <v xml:space="preserve">                    </v>
      </c>
    </row>
    <row r="961" spans="1:46" ht="12.75" x14ac:dyDescent="0.2">
      <c r="A961" s="63" t="str">
        <f t="shared" si="285"/>
        <v/>
      </c>
      <c r="B961" s="185"/>
      <c r="C961" s="185"/>
      <c r="D961" s="185"/>
      <c r="E961" s="185"/>
      <c r="F961" s="185"/>
      <c r="G961" s="185"/>
      <c r="H961" s="185"/>
      <c r="I961" s="186"/>
      <c r="J961" s="69"/>
      <c r="AA961" s="63">
        <f t="shared" si="286"/>
        <v>0</v>
      </c>
      <c r="AB961" s="153" t="str">
        <f t="shared" si="287"/>
        <v>000</v>
      </c>
      <c r="AC961" s="165" t="str">
        <f t="shared" si="288"/>
        <v>00000000</v>
      </c>
      <c r="AD961" s="98" t="str">
        <f t="shared" si="289"/>
        <v>00000000</v>
      </c>
      <c r="AE961" s="150">
        <f t="shared" si="290"/>
        <v>0</v>
      </c>
      <c r="AF961" s="150">
        <f t="shared" si="291"/>
        <v>0</v>
      </c>
      <c r="AG961" s="98" t="str">
        <f t="shared" si="292"/>
        <v>0000000000</v>
      </c>
      <c r="AH961" s="151">
        <f t="shared" si="293"/>
        <v>0</v>
      </c>
      <c r="AI961" s="98" t="str">
        <f t="shared" si="294"/>
        <v>00</v>
      </c>
      <c r="AJ961" s="98" t="str">
        <f t="shared" si="295"/>
        <v>000000000000</v>
      </c>
      <c r="AK961" s="161" t="str">
        <f t="shared" si="296"/>
        <v xml:space="preserve">                              </v>
      </c>
      <c r="AL961" s="154">
        <f t="shared" si="297"/>
        <v>0</v>
      </c>
      <c r="AM961" s="155">
        <f t="shared" si="298"/>
        <v>0</v>
      </c>
      <c r="AP961" s="63" t="str">
        <f t="shared" si="299"/>
        <v/>
      </c>
      <c r="AQ961" s="63" t="str">
        <f t="shared" si="300"/>
        <v/>
      </c>
      <c r="AR961" s="152" t="str">
        <f t="shared" si="301"/>
        <v/>
      </c>
      <c r="AS961" s="109" t="str">
        <f t="shared" si="302"/>
        <v/>
      </c>
      <c r="AT961" s="63" t="str">
        <f t="shared" si="303"/>
        <v xml:space="preserve">                    </v>
      </c>
    </row>
    <row r="962" spans="1:46" ht="12.75" x14ac:dyDescent="0.2">
      <c r="A962" s="63" t="str">
        <f t="shared" si="285"/>
        <v/>
      </c>
      <c r="B962" s="185"/>
      <c r="C962" s="185"/>
      <c r="D962" s="185"/>
      <c r="E962" s="185"/>
      <c r="F962" s="185"/>
      <c r="G962" s="185"/>
      <c r="H962" s="185"/>
      <c r="I962" s="186"/>
      <c r="J962" s="69"/>
      <c r="AA962" s="63">
        <f t="shared" si="286"/>
        <v>0</v>
      </c>
      <c r="AB962" s="153" t="str">
        <f t="shared" si="287"/>
        <v>000</v>
      </c>
      <c r="AC962" s="165" t="str">
        <f t="shared" si="288"/>
        <v>00000000</v>
      </c>
      <c r="AD962" s="98" t="str">
        <f t="shared" si="289"/>
        <v>00000000</v>
      </c>
      <c r="AE962" s="150">
        <f t="shared" si="290"/>
        <v>0</v>
      </c>
      <c r="AF962" s="150">
        <f t="shared" si="291"/>
        <v>0</v>
      </c>
      <c r="AG962" s="98" t="str">
        <f t="shared" si="292"/>
        <v>0000000000</v>
      </c>
      <c r="AH962" s="151">
        <f t="shared" si="293"/>
        <v>0</v>
      </c>
      <c r="AI962" s="98" t="str">
        <f t="shared" si="294"/>
        <v>00</v>
      </c>
      <c r="AJ962" s="98" t="str">
        <f t="shared" si="295"/>
        <v>000000000000</v>
      </c>
      <c r="AK962" s="161" t="str">
        <f t="shared" si="296"/>
        <v xml:space="preserve">                              </v>
      </c>
      <c r="AL962" s="154">
        <f t="shared" si="297"/>
        <v>0</v>
      </c>
      <c r="AM962" s="155">
        <f t="shared" si="298"/>
        <v>0</v>
      </c>
      <c r="AP962" s="63" t="str">
        <f t="shared" si="299"/>
        <v/>
      </c>
      <c r="AQ962" s="63" t="str">
        <f t="shared" si="300"/>
        <v/>
      </c>
      <c r="AR962" s="152" t="str">
        <f t="shared" si="301"/>
        <v/>
      </c>
      <c r="AS962" s="109" t="str">
        <f t="shared" si="302"/>
        <v/>
      </c>
      <c r="AT962" s="63" t="str">
        <f t="shared" si="303"/>
        <v xml:space="preserve">                    </v>
      </c>
    </row>
    <row r="963" spans="1:46" ht="12.75" x14ac:dyDescent="0.2">
      <c r="A963" s="63" t="str">
        <f t="shared" si="285"/>
        <v/>
      </c>
      <c r="B963" s="185"/>
      <c r="C963" s="185"/>
      <c r="D963" s="185"/>
      <c r="E963" s="185"/>
      <c r="F963" s="185"/>
      <c r="G963" s="185"/>
      <c r="H963" s="185"/>
      <c r="I963" s="186"/>
      <c r="J963" s="69"/>
      <c r="AA963" s="63">
        <f t="shared" si="286"/>
        <v>0</v>
      </c>
      <c r="AB963" s="153" t="str">
        <f t="shared" si="287"/>
        <v>000</v>
      </c>
      <c r="AC963" s="165" t="str">
        <f t="shared" si="288"/>
        <v>00000000</v>
      </c>
      <c r="AD963" s="98" t="str">
        <f t="shared" si="289"/>
        <v>00000000</v>
      </c>
      <c r="AE963" s="150">
        <f t="shared" si="290"/>
        <v>0</v>
      </c>
      <c r="AF963" s="150">
        <f t="shared" si="291"/>
        <v>0</v>
      </c>
      <c r="AG963" s="98" t="str">
        <f t="shared" si="292"/>
        <v>0000000000</v>
      </c>
      <c r="AH963" s="151">
        <f t="shared" si="293"/>
        <v>0</v>
      </c>
      <c r="AI963" s="98" t="str">
        <f t="shared" si="294"/>
        <v>00</v>
      </c>
      <c r="AJ963" s="98" t="str">
        <f t="shared" si="295"/>
        <v>000000000000</v>
      </c>
      <c r="AK963" s="161" t="str">
        <f t="shared" si="296"/>
        <v xml:space="preserve">                              </v>
      </c>
      <c r="AL963" s="154">
        <f t="shared" si="297"/>
        <v>0</v>
      </c>
      <c r="AM963" s="155">
        <f t="shared" si="298"/>
        <v>0</v>
      </c>
      <c r="AP963" s="63" t="str">
        <f t="shared" si="299"/>
        <v/>
      </c>
      <c r="AQ963" s="63" t="str">
        <f t="shared" si="300"/>
        <v/>
      </c>
      <c r="AR963" s="152" t="str">
        <f t="shared" si="301"/>
        <v/>
      </c>
      <c r="AS963" s="109" t="str">
        <f t="shared" si="302"/>
        <v/>
      </c>
      <c r="AT963" s="63" t="str">
        <f t="shared" si="303"/>
        <v xml:space="preserve">                    </v>
      </c>
    </row>
    <row r="964" spans="1:46" ht="12.75" x14ac:dyDescent="0.2">
      <c r="A964" s="63" t="str">
        <f t="shared" si="285"/>
        <v/>
      </c>
      <c r="B964" s="185"/>
      <c r="C964" s="185"/>
      <c r="D964" s="185"/>
      <c r="E964" s="185"/>
      <c r="F964" s="185"/>
      <c r="G964" s="185"/>
      <c r="H964" s="185"/>
      <c r="I964" s="186"/>
      <c r="J964" s="69"/>
      <c r="AA964" s="63">
        <f t="shared" si="286"/>
        <v>0</v>
      </c>
      <c r="AB964" s="153" t="str">
        <f t="shared" si="287"/>
        <v>000</v>
      </c>
      <c r="AC964" s="165" t="str">
        <f t="shared" si="288"/>
        <v>00000000</v>
      </c>
      <c r="AD964" s="98" t="str">
        <f t="shared" si="289"/>
        <v>00000000</v>
      </c>
      <c r="AE964" s="150">
        <f t="shared" si="290"/>
        <v>0</v>
      </c>
      <c r="AF964" s="150">
        <f t="shared" si="291"/>
        <v>0</v>
      </c>
      <c r="AG964" s="98" t="str">
        <f t="shared" si="292"/>
        <v>0000000000</v>
      </c>
      <c r="AH964" s="151">
        <f t="shared" si="293"/>
        <v>0</v>
      </c>
      <c r="AI964" s="98" t="str">
        <f t="shared" si="294"/>
        <v>00</v>
      </c>
      <c r="AJ964" s="98" t="str">
        <f t="shared" si="295"/>
        <v>000000000000</v>
      </c>
      <c r="AK964" s="161" t="str">
        <f t="shared" si="296"/>
        <v xml:space="preserve">                              </v>
      </c>
      <c r="AL964" s="154">
        <f t="shared" si="297"/>
        <v>0</v>
      </c>
      <c r="AM964" s="155">
        <f t="shared" si="298"/>
        <v>0</v>
      </c>
      <c r="AP964" s="63" t="str">
        <f t="shared" si="299"/>
        <v/>
      </c>
      <c r="AQ964" s="63" t="str">
        <f t="shared" si="300"/>
        <v/>
      </c>
      <c r="AR964" s="152" t="str">
        <f t="shared" si="301"/>
        <v/>
      </c>
      <c r="AS964" s="109" t="str">
        <f t="shared" si="302"/>
        <v/>
      </c>
      <c r="AT964" s="63" t="str">
        <f t="shared" si="303"/>
        <v xml:space="preserve">                    </v>
      </c>
    </row>
    <row r="965" spans="1:46" ht="12.75" x14ac:dyDescent="0.2">
      <c r="A965" s="63" t="str">
        <f t="shared" si="285"/>
        <v/>
      </c>
      <c r="B965" s="185"/>
      <c r="C965" s="185"/>
      <c r="D965" s="185"/>
      <c r="E965" s="185"/>
      <c r="F965" s="185"/>
      <c r="G965" s="185"/>
      <c r="H965" s="185"/>
      <c r="I965" s="186"/>
      <c r="J965" s="69"/>
      <c r="AA965" s="63">
        <f t="shared" si="286"/>
        <v>0</v>
      </c>
      <c r="AB965" s="153" t="str">
        <f t="shared" si="287"/>
        <v>000</v>
      </c>
      <c r="AC965" s="165" t="str">
        <f t="shared" si="288"/>
        <v>00000000</v>
      </c>
      <c r="AD965" s="98" t="str">
        <f t="shared" si="289"/>
        <v>00000000</v>
      </c>
      <c r="AE965" s="150">
        <f t="shared" si="290"/>
        <v>0</v>
      </c>
      <c r="AF965" s="150">
        <f t="shared" si="291"/>
        <v>0</v>
      </c>
      <c r="AG965" s="98" t="str">
        <f t="shared" si="292"/>
        <v>0000000000</v>
      </c>
      <c r="AH965" s="151">
        <f t="shared" si="293"/>
        <v>0</v>
      </c>
      <c r="AI965" s="98" t="str">
        <f t="shared" si="294"/>
        <v>00</v>
      </c>
      <c r="AJ965" s="98" t="str">
        <f t="shared" si="295"/>
        <v>000000000000</v>
      </c>
      <c r="AK965" s="161" t="str">
        <f t="shared" si="296"/>
        <v xml:space="preserve">                              </v>
      </c>
      <c r="AL965" s="154">
        <f t="shared" si="297"/>
        <v>0</v>
      </c>
      <c r="AM965" s="155">
        <f t="shared" si="298"/>
        <v>0</v>
      </c>
      <c r="AP965" s="63" t="str">
        <f t="shared" si="299"/>
        <v/>
      </c>
      <c r="AQ965" s="63" t="str">
        <f t="shared" si="300"/>
        <v/>
      </c>
      <c r="AR965" s="152" t="str">
        <f t="shared" si="301"/>
        <v/>
      </c>
      <c r="AS965" s="109" t="str">
        <f t="shared" si="302"/>
        <v/>
      </c>
      <c r="AT965" s="63" t="str">
        <f t="shared" si="303"/>
        <v xml:space="preserve">                    </v>
      </c>
    </row>
    <row r="966" spans="1:46" ht="12.75" x14ac:dyDescent="0.2">
      <c r="A966" s="63" t="str">
        <f t="shared" ref="A966:A1000" si="304">IF(B966&lt;&gt;"",A965+1,"")</f>
        <v/>
      </c>
      <c r="B966" s="185"/>
      <c r="C966" s="185"/>
      <c r="D966" s="185"/>
      <c r="E966" s="185"/>
      <c r="F966" s="185"/>
      <c r="G966" s="185"/>
      <c r="H966" s="185"/>
      <c r="I966" s="186"/>
      <c r="J966" s="69"/>
      <c r="AA966" s="63">
        <f t="shared" si="286"/>
        <v>0</v>
      </c>
      <c r="AB966" s="153" t="str">
        <f t="shared" si="287"/>
        <v>000</v>
      </c>
      <c r="AC966" s="165" t="str">
        <f t="shared" si="288"/>
        <v>00000000</v>
      </c>
      <c r="AD966" s="98" t="str">
        <f t="shared" si="289"/>
        <v>00000000</v>
      </c>
      <c r="AE966" s="150">
        <f t="shared" si="290"/>
        <v>0</v>
      </c>
      <c r="AF966" s="150">
        <f t="shared" si="291"/>
        <v>0</v>
      </c>
      <c r="AG966" s="98" t="str">
        <f t="shared" si="292"/>
        <v>0000000000</v>
      </c>
      <c r="AH966" s="151">
        <f t="shared" si="293"/>
        <v>0</v>
      </c>
      <c r="AI966" s="98" t="str">
        <f t="shared" si="294"/>
        <v>00</v>
      </c>
      <c r="AJ966" s="98" t="str">
        <f t="shared" si="295"/>
        <v>000000000000</v>
      </c>
      <c r="AK966" s="161" t="str">
        <f t="shared" si="296"/>
        <v xml:space="preserve">                              </v>
      </c>
      <c r="AL966" s="154">
        <f t="shared" si="297"/>
        <v>0</v>
      </c>
      <c r="AM966" s="155">
        <f t="shared" si="298"/>
        <v>0</v>
      </c>
      <c r="AP966" s="63" t="str">
        <f t="shared" si="299"/>
        <v/>
      </c>
      <c r="AQ966" s="63" t="str">
        <f t="shared" si="300"/>
        <v/>
      </c>
      <c r="AR966" s="152" t="str">
        <f t="shared" si="301"/>
        <v/>
      </c>
      <c r="AS966" s="109" t="str">
        <f t="shared" si="302"/>
        <v/>
      </c>
      <c r="AT966" s="63" t="str">
        <f t="shared" si="303"/>
        <v xml:space="preserve">                    </v>
      </c>
    </row>
    <row r="967" spans="1:46" ht="12.75" x14ac:dyDescent="0.2">
      <c r="A967" s="63" t="str">
        <f t="shared" si="304"/>
        <v/>
      </c>
      <c r="B967" s="185"/>
      <c r="C967" s="185"/>
      <c r="D967" s="185"/>
      <c r="E967" s="185"/>
      <c r="F967" s="185"/>
      <c r="G967" s="185"/>
      <c r="H967" s="185"/>
      <c r="I967" s="186"/>
      <c r="J967" s="69"/>
      <c r="AA967" s="63">
        <f t="shared" si="286"/>
        <v>0</v>
      </c>
      <c r="AB967" s="153" t="str">
        <f t="shared" si="287"/>
        <v>000</v>
      </c>
      <c r="AC967" s="165" t="str">
        <f t="shared" si="288"/>
        <v>00000000</v>
      </c>
      <c r="AD967" s="98" t="str">
        <f t="shared" si="289"/>
        <v>00000000</v>
      </c>
      <c r="AE967" s="150">
        <f t="shared" si="290"/>
        <v>0</v>
      </c>
      <c r="AF967" s="150">
        <f t="shared" si="291"/>
        <v>0</v>
      </c>
      <c r="AG967" s="98" t="str">
        <f t="shared" si="292"/>
        <v>0000000000</v>
      </c>
      <c r="AH967" s="151">
        <f t="shared" si="293"/>
        <v>0</v>
      </c>
      <c r="AI967" s="98" t="str">
        <f t="shared" si="294"/>
        <v>00</v>
      </c>
      <c r="AJ967" s="98" t="str">
        <f t="shared" si="295"/>
        <v>000000000000</v>
      </c>
      <c r="AK967" s="161" t="str">
        <f t="shared" si="296"/>
        <v xml:space="preserve">                              </v>
      </c>
      <c r="AL967" s="154">
        <f t="shared" si="297"/>
        <v>0</v>
      </c>
      <c r="AM967" s="155">
        <f t="shared" si="298"/>
        <v>0</v>
      </c>
      <c r="AP967" s="63" t="str">
        <f t="shared" si="299"/>
        <v/>
      </c>
      <c r="AQ967" s="63" t="str">
        <f t="shared" si="300"/>
        <v/>
      </c>
      <c r="AR967" s="152" t="str">
        <f t="shared" si="301"/>
        <v/>
      </c>
      <c r="AS967" s="109" t="str">
        <f t="shared" si="302"/>
        <v/>
      </c>
      <c r="AT967" s="63" t="str">
        <f t="shared" si="303"/>
        <v xml:space="preserve">                    </v>
      </c>
    </row>
    <row r="968" spans="1:46" ht="12.75" x14ac:dyDescent="0.2">
      <c r="A968" s="63" t="str">
        <f t="shared" si="304"/>
        <v/>
      </c>
      <c r="B968" s="185"/>
      <c r="C968" s="185"/>
      <c r="D968" s="185"/>
      <c r="E968" s="185"/>
      <c r="F968" s="185"/>
      <c r="G968" s="185"/>
      <c r="H968" s="185"/>
      <c r="I968" s="186"/>
      <c r="J968" s="69"/>
      <c r="AA968" s="63">
        <f t="shared" si="286"/>
        <v>0</v>
      </c>
      <c r="AB968" s="153" t="str">
        <f t="shared" si="287"/>
        <v>000</v>
      </c>
      <c r="AC968" s="165" t="str">
        <f t="shared" si="288"/>
        <v>00000000</v>
      </c>
      <c r="AD968" s="98" t="str">
        <f t="shared" si="289"/>
        <v>00000000</v>
      </c>
      <c r="AE968" s="150">
        <f t="shared" si="290"/>
        <v>0</v>
      </c>
      <c r="AF968" s="150">
        <f t="shared" si="291"/>
        <v>0</v>
      </c>
      <c r="AG968" s="98" t="str">
        <f t="shared" si="292"/>
        <v>0000000000</v>
      </c>
      <c r="AH968" s="151">
        <f t="shared" si="293"/>
        <v>0</v>
      </c>
      <c r="AI968" s="98" t="str">
        <f t="shared" si="294"/>
        <v>00</v>
      </c>
      <c r="AJ968" s="98" t="str">
        <f t="shared" si="295"/>
        <v>000000000000</v>
      </c>
      <c r="AK968" s="161" t="str">
        <f t="shared" si="296"/>
        <v xml:space="preserve">                              </v>
      </c>
      <c r="AL968" s="154">
        <f t="shared" si="297"/>
        <v>0</v>
      </c>
      <c r="AM968" s="155">
        <f t="shared" si="298"/>
        <v>0</v>
      </c>
      <c r="AP968" s="63" t="str">
        <f t="shared" si="299"/>
        <v/>
      </c>
      <c r="AQ968" s="63" t="str">
        <f t="shared" si="300"/>
        <v/>
      </c>
      <c r="AR968" s="152" t="str">
        <f t="shared" si="301"/>
        <v/>
      </c>
      <c r="AS968" s="109" t="str">
        <f t="shared" si="302"/>
        <v/>
      </c>
      <c r="AT968" s="63" t="str">
        <f t="shared" si="303"/>
        <v xml:space="preserve">                    </v>
      </c>
    </row>
    <row r="969" spans="1:46" ht="12.75" x14ac:dyDescent="0.2">
      <c r="A969" s="63" t="str">
        <f t="shared" si="304"/>
        <v/>
      </c>
      <c r="B969" s="185"/>
      <c r="C969" s="185"/>
      <c r="D969" s="185"/>
      <c r="E969" s="185"/>
      <c r="F969" s="185"/>
      <c r="G969" s="185"/>
      <c r="H969" s="185"/>
      <c r="I969" s="186"/>
      <c r="J969" s="69"/>
      <c r="AA969" s="63">
        <f t="shared" si="286"/>
        <v>0</v>
      </c>
      <c r="AB969" s="153" t="str">
        <f t="shared" si="287"/>
        <v>000</v>
      </c>
      <c r="AC969" s="165" t="str">
        <f t="shared" si="288"/>
        <v>00000000</v>
      </c>
      <c r="AD969" s="98" t="str">
        <f t="shared" si="289"/>
        <v>00000000</v>
      </c>
      <c r="AE969" s="150">
        <f t="shared" si="290"/>
        <v>0</v>
      </c>
      <c r="AF969" s="150">
        <f t="shared" si="291"/>
        <v>0</v>
      </c>
      <c r="AG969" s="98" t="str">
        <f t="shared" si="292"/>
        <v>0000000000</v>
      </c>
      <c r="AH969" s="151">
        <f t="shared" si="293"/>
        <v>0</v>
      </c>
      <c r="AI969" s="98" t="str">
        <f t="shared" si="294"/>
        <v>00</v>
      </c>
      <c r="AJ969" s="98" t="str">
        <f t="shared" si="295"/>
        <v>000000000000</v>
      </c>
      <c r="AK969" s="161" t="str">
        <f t="shared" si="296"/>
        <v xml:space="preserve">                              </v>
      </c>
      <c r="AL969" s="154">
        <f t="shared" si="297"/>
        <v>0</v>
      </c>
      <c r="AM969" s="155">
        <f t="shared" si="298"/>
        <v>0</v>
      </c>
      <c r="AP969" s="63" t="str">
        <f t="shared" si="299"/>
        <v/>
      </c>
      <c r="AQ969" s="63" t="str">
        <f t="shared" si="300"/>
        <v/>
      </c>
      <c r="AR969" s="152" t="str">
        <f t="shared" si="301"/>
        <v/>
      </c>
      <c r="AS969" s="109" t="str">
        <f t="shared" si="302"/>
        <v/>
      </c>
      <c r="AT969" s="63" t="str">
        <f t="shared" si="303"/>
        <v xml:space="preserve">                    </v>
      </c>
    </row>
    <row r="970" spans="1:46" ht="12.75" x14ac:dyDescent="0.2">
      <c r="A970" s="63" t="str">
        <f t="shared" si="304"/>
        <v/>
      </c>
      <c r="B970" s="185"/>
      <c r="C970" s="185"/>
      <c r="D970" s="185"/>
      <c r="E970" s="185"/>
      <c r="F970" s="185"/>
      <c r="G970" s="185"/>
      <c r="H970" s="185"/>
      <c r="I970" s="186"/>
      <c r="J970" s="69"/>
      <c r="AA970" s="63">
        <f t="shared" si="286"/>
        <v>0</v>
      </c>
      <c r="AB970" s="153" t="str">
        <f t="shared" si="287"/>
        <v>000</v>
      </c>
      <c r="AC970" s="165" t="str">
        <f t="shared" si="288"/>
        <v>00000000</v>
      </c>
      <c r="AD970" s="98" t="str">
        <f t="shared" si="289"/>
        <v>00000000</v>
      </c>
      <c r="AE970" s="150">
        <f t="shared" si="290"/>
        <v>0</v>
      </c>
      <c r="AF970" s="150">
        <f t="shared" si="291"/>
        <v>0</v>
      </c>
      <c r="AG970" s="98" t="str">
        <f t="shared" si="292"/>
        <v>0000000000</v>
      </c>
      <c r="AH970" s="151">
        <f t="shared" si="293"/>
        <v>0</v>
      </c>
      <c r="AI970" s="98" t="str">
        <f t="shared" si="294"/>
        <v>00</v>
      </c>
      <c r="AJ970" s="98" t="str">
        <f t="shared" si="295"/>
        <v>000000000000</v>
      </c>
      <c r="AK970" s="161" t="str">
        <f t="shared" si="296"/>
        <v xml:space="preserve">                              </v>
      </c>
      <c r="AL970" s="154">
        <f t="shared" si="297"/>
        <v>0</v>
      </c>
      <c r="AM970" s="155">
        <f t="shared" si="298"/>
        <v>0</v>
      </c>
      <c r="AP970" s="63" t="str">
        <f t="shared" si="299"/>
        <v/>
      </c>
      <c r="AQ970" s="63" t="str">
        <f t="shared" si="300"/>
        <v/>
      </c>
      <c r="AR970" s="152" t="str">
        <f t="shared" si="301"/>
        <v/>
      </c>
      <c r="AS970" s="109" t="str">
        <f t="shared" si="302"/>
        <v/>
      </c>
      <c r="AT970" s="63" t="str">
        <f t="shared" si="303"/>
        <v xml:space="preserve">                    </v>
      </c>
    </row>
    <row r="971" spans="1:46" ht="12.75" x14ac:dyDescent="0.2">
      <c r="A971" s="63" t="str">
        <f t="shared" si="304"/>
        <v/>
      </c>
      <c r="B971" s="185"/>
      <c r="C971" s="185"/>
      <c r="D971" s="185"/>
      <c r="E971" s="185"/>
      <c r="F971" s="185"/>
      <c r="G971" s="185"/>
      <c r="H971" s="185"/>
      <c r="I971" s="186"/>
      <c r="J971" s="69"/>
      <c r="AA971" s="63">
        <f t="shared" si="286"/>
        <v>0</v>
      </c>
      <c r="AB971" s="153" t="str">
        <f t="shared" si="287"/>
        <v>000</v>
      </c>
      <c r="AC971" s="165" t="str">
        <f t="shared" si="288"/>
        <v>00000000</v>
      </c>
      <c r="AD971" s="98" t="str">
        <f t="shared" si="289"/>
        <v>00000000</v>
      </c>
      <c r="AE971" s="150">
        <f t="shared" si="290"/>
        <v>0</v>
      </c>
      <c r="AF971" s="150">
        <f t="shared" si="291"/>
        <v>0</v>
      </c>
      <c r="AG971" s="98" t="str">
        <f t="shared" si="292"/>
        <v>0000000000</v>
      </c>
      <c r="AH971" s="151">
        <f t="shared" si="293"/>
        <v>0</v>
      </c>
      <c r="AI971" s="98" t="str">
        <f t="shared" si="294"/>
        <v>00</v>
      </c>
      <c r="AJ971" s="98" t="str">
        <f t="shared" si="295"/>
        <v>000000000000</v>
      </c>
      <c r="AK971" s="161" t="str">
        <f t="shared" si="296"/>
        <v xml:space="preserve">                              </v>
      </c>
      <c r="AL971" s="154">
        <f t="shared" si="297"/>
        <v>0</v>
      </c>
      <c r="AM971" s="155">
        <f t="shared" si="298"/>
        <v>0</v>
      </c>
      <c r="AP971" s="63" t="str">
        <f t="shared" si="299"/>
        <v/>
      </c>
      <c r="AQ971" s="63" t="str">
        <f t="shared" si="300"/>
        <v/>
      </c>
      <c r="AR971" s="152" t="str">
        <f t="shared" si="301"/>
        <v/>
      </c>
      <c r="AS971" s="109" t="str">
        <f t="shared" si="302"/>
        <v/>
      </c>
      <c r="AT971" s="63" t="str">
        <f t="shared" si="303"/>
        <v xml:space="preserve">                    </v>
      </c>
    </row>
    <row r="972" spans="1:46" ht="12.75" x14ac:dyDescent="0.2">
      <c r="A972" s="63" t="str">
        <f t="shared" si="304"/>
        <v/>
      </c>
      <c r="B972" s="185"/>
      <c r="C972" s="185"/>
      <c r="D972" s="185"/>
      <c r="E972" s="185"/>
      <c r="F972" s="185"/>
      <c r="G972" s="185"/>
      <c r="H972" s="185"/>
      <c r="I972" s="186"/>
      <c r="J972" s="69"/>
      <c r="AA972" s="63">
        <f t="shared" si="286"/>
        <v>0</v>
      </c>
      <c r="AB972" s="153" t="str">
        <f t="shared" si="287"/>
        <v>000</v>
      </c>
      <c r="AC972" s="165" t="str">
        <f t="shared" si="288"/>
        <v>00000000</v>
      </c>
      <c r="AD972" s="98" t="str">
        <f t="shared" si="289"/>
        <v>00000000</v>
      </c>
      <c r="AE972" s="150">
        <f t="shared" si="290"/>
        <v>0</v>
      </c>
      <c r="AF972" s="150">
        <f t="shared" si="291"/>
        <v>0</v>
      </c>
      <c r="AG972" s="98" t="str">
        <f t="shared" si="292"/>
        <v>0000000000</v>
      </c>
      <c r="AH972" s="151">
        <f t="shared" si="293"/>
        <v>0</v>
      </c>
      <c r="AI972" s="98" t="str">
        <f t="shared" si="294"/>
        <v>00</v>
      </c>
      <c r="AJ972" s="98" t="str">
        <f t="shared" si="295"/>
        <v>000000000000</v>
      </c>
      <c r="AK972" s="161" t="str">
        <f t="shared" si="296"/>
        <v xml:space="preserve">                              </v>
      </c>
      <c r="AL972" s="154">
        <f t="shared" si="297"/>
        <v>0</v>
      </c>
      <c r="AM972" s="155">
        <f t="shared" si="298"/>
        <v>0</v>
      </c>
      <c r="AP972" s="63" t="str">
        <f t="shared" si="299"/>
        <v/>
      </c>
      <c r="AQ972" s="63" t="str">
        <f t="shared" si="300"/>
        <v/>
      </c>
      <c r="AR972" s="152" t="str">
        <f t="shared" si="301"/>
        <v/>
      </c>
      <c r="AS972" s="109" t="str">
        <f t="shared" si="302"/>
        <v/>
      </c>
      <c r="AT972" s="63" t="str">
        <f t="shared" si="303"/>
        <v xml:space="preserve">                    </v>
      </c>
    </row>
    <row r="973" spans="1:46" ht="12.75" x14ac:dyDescent="0.2">
      <c r="A973" s="63" t="str">
        <f t="shared" si="304"/>
        <v/>
      </c>
      <c r="B973" s="185"/>
      <c r="C973" s="185"/>
      <c r="D973" s="185"/>
      <c r="E973" s="185"/>
      <c r="F973" s="185"/>
      <c r="G973" s="185"/>
      <c r="H973" s="185"/>
      <c r="I973" s="186"/>
      <c r="J973" s="69"/>
      <c r="AA973" s="63">
        <f t="shared" si="286"/>
        <v>0</v>
      </c>
      <c r="AB973" s="153" t="str">
        <f t="shared" si="287"/>
        <v>000</v>
      </c>
      <c r="AC973" s="165" t="str">
        <f t="shared" si="288"/>
        <v>00000000</v>
      </c>
      <c r="AD973" s="98" t="str">
        <f t="shared" si="289"/>
        <v>00000000</v>
      </c>
      <c r="AE973" s="150">
        <f t="shared" si="290"/>
        <v>0</v>
      </c>
      <c r="AF973" s="150">
        <f t="shared" si="291"/>
        <v>0</v>
      </c>
      <c r="AG973" s="98" t="str">
        <f t="shared" si="292"/>
        <v>0000000000</v>
      </c>
      <c r="AH973" s="151">
        <f t="shared" si="293"/>
        <v>0</v>
      </c>
      <c r="AI973" s="98" t="str">
        <f t="shared" si="294"/>
        <v>00</v>
      </c>
      <c r="AJ973" s="98" t="str">
        <f t="shared" si="295"/>
        <v>000000000000</v>
      </c>
      <c r="AK973" s="161" t="str">
        <f t="shared" si="296"/>
        <v xml:space="preserve">                              </v>
      </c>
      <c r="AL973" s="154">
        <f t="shared" si="297"/>
        <v>0</v>
      </c>
      <c r="AM973" s="155">
        <f t="shared" si="298"/>
        <v>0</v>
      </c>
      <c r="AP973" s="63" t="str">
        <f t="shared" si="299"/>
        <v/>
      </c>
      <c r="AQ973" s="63" t="str">
        <f t="shared" si="300"/>
        <v/>
      </c>
      <c r="AR973" s="152" t="str">
        <f t="shared" si="301"/>
        <v/>
      </c>
      <c r="AS973" s="109" t="str">
        <f t="shared" si="302"/>
        <v/>
      </c>
      <c r="AT973" s="63" t="str">
        <f t="shared" si="303"/>
        <v xml:space="preserve">                    </v>
      </c>
    </row>
    <row r="974" spans="1:46" ht="12.75" x14ac:dyDescent="0.2">
      <c r="A974" s="63" t="str">
        <f t="shared" si="304"/>
        <v/>
      </c>
      <c r="B974" s="185"/>
      <c r="C974" s="185"/>
      <c r="D974" s="185"/>
      <c r="E974" s="185"/>
      <c r="F974" s="185"/>
      <c r="G974" s="185"/>
      <c r="H974" s="185"/>
      <c r="I974" s="186"/>
      <c r="J974" s="69"/>
      <c r="AA974" s="63">
        <f t="shared" si="286"/>
        <v>0</v>
      </c>
      <c r="AB974" s="153" t="str">
        <f t="shared" si="287"/>
        <v>000</v>
      </c>
      <c r="AC974" s="165" t="str">
        <f t="shared" si="288"/>
        <v>00000000</v>
      </c>
      <c r="AD974" s="98" t="str">
        <f t="shared" si="289"/>
        <v>00000000</v>
      </c>
      <c r="AE974" s="150">
        <f t="shared" si="290"/>
        <v>0</v>
      </c>
      <c r="AF974" s="150">
        <f t="shared" si="291"/>
        <v>0</v>
      </c>
      <c r="AG974" s="98" t="str">
        <f t="shared" si="292"/>
        <v>0000000000</v>
      </c>
      <c r="AH974" s="151">
        <f t="shared" si="293"/>
        <v>0</v>
      </c>
      <c r="AI974" s="98" t="str">
        <f t="shared" si="294"/>
        <v>00</v>
      </c>
      <c r="AJ974" s="98" t="str">
        <f t="shared" si="295"/>
        <v>000000000000</v>
      </c>
      <c r="AK974" s="161" t="str">
        <f t="shared" si="296"/>
        <v xml:space="preserve">                              </v>
      </c>
      <c r="AL974" s="154">
        <f t="shared" si="297"/>
        <v>0</v>
      </c>
      <c r="AM974" s="155">
        <f t="shared" si="298"/>
        <v>0</v>
      </c>
      <c r="AP974" s="63" t="str">
        <f t="shared" si="299"/>
        <v/>
      </c>
      <c r="AQ974" s="63" t="str">
        <f t="shared" si="300"/>
        <v/>
      </c>
      <c r="AR974" s="152" t="str">
        <f t="shared" si="301"/>
        <v/>
      </c>
      <c r="AS974" s="109" t="str">
        <f t="shared" si="302"/>
        <v/>
      </c>
      <c r="AT974" s="63" t="str">
        <f t="shared" si="303"/>
        <v xml:space="preserve">                    </v>
      </c>
    </row>
    <row r="975" spans="1:46" ht="12.75" x14ac:dyDescent="0.2">
      <c r="A975" s="63" t="str">
        <f t="shared" si="304"/>
        <v/>
      </c>
      <c r="B975" s="185"/>
      <c r="C975" s="185"/>
      <c r="D975" s="185"/>
      <c r="E975" s="185"/>
      <c r="F975" s="185"/>
      <c r="G975" s="185"/>
      <c r="H975" s="185"/>
      <c r="I975" s="186"/>
      <c r="J975" s="69"/>
      <c r="AA975" s="63">
        <f t="shared" si="286"/>
        <v>0</v>
      </c>
      <c r="AB975" s="153" t="str">
        <f t="shared" si="287"/>
        <v>000</v>
      </c>
      <c r="AC975" s="165" t="str">
        <f t="shared" si="288"/>
        <v>00000000</v>
      </c>
      <c r="AD975" s="98" t="str">
        <f t="shared" si="289"/>
        <v>00000000</v>
      </c>
      <c r="AE975" s="150">
        <f t="shared" si="290"/>
        <v>0</v>
      </c>
      <c r="AF975" s="150">
        <f t="shared" si="291"/>
        <v>0</v>
      </c>
      <c r="AG975" s="98" t="str">
        <f t="shared" si="292"/>
        <v>0000000000</v>
      </c>
      <c r="AH975" s="151">
        <f t="shared" si="293"/>
        <v>0</v>
      </c>
      <c r="AI975" s="98" t="str">
        <f t="shared" si="294"/>
        <v>00</v>
      </c>
      <c r="AJ975" s="98" t="str">
        <f t="shared" si="295"/>
        <v>000000000000</v>
      </c>
      <c r="AK975" s="161" t="str">
        <f t="shared" si="296"/>
        <v xml:space="preserve">                              </v>
      </c>
      <c r="AL975" s="154">
        <f t="shared" si="297"/>
        <v>0</v>
      </c>
      <c r="AM975" s="155">
        <f t="shared" si="298"/>
        <v>0</v>
      </c>
      <c r="AP975" s="63" t="str">
        <f t="shared" si="299"/>
        <v/>
      </c>
      <c r="AQ975" s="63" t="str">
        <f t="shared" si="300"/>
        <v/>
      </c>
      <c r="AR975" s="152" t="str">
        <f t="shared" si="301"/>
        <v/>
      </c>
      <c r="AS975" s="109" t="str">
        <f t="shared" si="302"/>
        <v/>
      </c>
      <c r="AT975" s="63" t="str">
        <f t="shared" si="303"/>
        <v xml:space="preserve">                    </v>
      </c>
    </row>
    <row r="976" spans="1:46" ht="12.75" x14ac:dyDescent="0.2">
      <c r="A976" s="63" t="str">
        <f t="shared" si="304"/>
        <v/>
      </c>
      <c r="B976" s="185"/>
      <c r="C976" s="185"/>
      <c r="D976" s="185"/>
      <c r="E976" s="185"/>
      <c r="F976" s="185"/>
      <c r="G976" s="185"/>
      <c r="H976" s="185"/>
      <c r="I976" s="186"/>
      <c r="J976" s="69"/>
      <c r="AA976" s="63">
        <f t="shared" si="286"/>
        <v>0</v>
      </c>
      <c r="AB976" s="153" t="str">
        <f t="shared" si="287"/>
        <v>000</v>
      </c>
      <c r="AC976" s="165" t="str">
        <f t="shared" si="288"/>
        <v>00000000</v>
      </c>
      <c r="AD976" s="98" t="str">
        <f t="shared" si="289"/>
        <v>00000000</v>
      </c>
      <c r="AE976" s="150">
        <f t="shared" si="290"/>
        <v>0</v>
      </c>
      <c r="AF976" s="150">
        <f t="shared" si="291"/>
        <v>0</v>
      </c>
      <c r="AG976" s="98" t="str">
        <f t="shared" si="292"/>
        <v>0000000000</v>
      </c>
      <c r="AH976" s="151">
        <f t="shared" si="293"/>
        <v>0</v>
      </c>
      <c r="AI976" s="98" t="str">
        <f t="shared" si="294"/>
        <v>00</v>
      </c>
      <c r="AJ976" s="98" t="str">
        <f t="shared" si="295"/>
        <v>000000000000</v>
      </c>
      <c r="AK976" s="161" t="str">
        <f t="shared" si="296"/>
        <v xml:space="preserve">                              </v>
      </c>
      <c r="AL976" s="154">
        <f t="shared" si="297"/>
        <v>0</v>
      </c>
      <c r="AM976" s="155">
        <f t="shared" si="298"/>
        <v>0</v>
      </c>
      <c r="AP976" s="63" t="str">
        <f t="shared" si="299"/>
        <v/>
      </c>
      <c r="AQ976" s="63" t="str">
        <f t="shared" si="300"/>
        <v/>
      </c>
      <c r="AR976" s="152" t="str">
        <f t="shared" si="301"/>
        <v/>
      </c>
      <c r="AS976" s="109" t="str">
        <f t="shared" si="302"/>
        <v/>
      </c>
      <c r="AT976" s="63" t="str">
        <f t="shared" si="303"/>
        <v xml:space="preserve">                    </v>
      </c>
    </row>
    <row r="977" spans="1:46" ht="12.75" x14ac:dyDescent="0.2">
      <c r="A977" s="63" t="str">
        <f t="shared" si="304"/>
        <v/>
      </c>
      <c r="B977" s="185"/>
      <c r="C977" s="185"/>
      <c r="D977" s="185"/>
      <c r="E977" s="185"/>
      <c r="F977" s="185"/>
      <c r="G977" s="185"/>
      <c r="H977" s="185"/>
      <c r="I977" s="186"/>
      <c r="J977" s="69"/>
      <c r="AA977" s="63">
        <f t="shared" ref="AA977:AA1000" si="305">B977</f>
        <v>0</v>
      </c>
      <c r="AB977" s="153" t="str">
        <f t="shared" ref="AB977:AB1000" si="306">CONCATENATE(REPT("0",3-LEN(C977)),C977)</f>
        <v>000</v>
      </c>
      <c r="AC977" s="165" t="str">
        <f t="shared" ref="AC977:AC1000" si="307">CONCATENATE(REPT("0",8-LEN(D977)),D977)</f>
        <v>00000000</v>
      </c>
      <c r="AD977" s="98" t="str">
        <f t="shared" ref="AD977:AD1000" si="308">CONCATENATE(REPT("0",8-LEN(F977)),F977)</f>
        <v>00000000</v>
      </c>
      <c r="AE977" s="150">
        <f t="shared" ref="AE977:AE1000" si="309">INT(I977)</f>
        <v>0</v>
      </c>
      <c r="AF977" s="150">
        <f t="shared" ref="AF977:AF1000" si="310">I977-AE977</f>
        <v>0</v>
      </c>
      <c r="AG977" s="98" t="str">
        <f t="shared" ref="AG977:AG1000" si="311">TEXT(AE977,"0000000000")</f>
        <v>0000000000</v>
      </c>
      <c r="AH977" s="151">
        <f t="shared" ref="AH977:AH1000" si="312">AF977*100</f>
        <v>0</v>
      </c>
      <c r="AI977" s="98" t="str">
        <f t="shared" ref="AI977:AI1000" si="313">TEXT(AH977,"00")</f>
        <v>00</v>
      </c>
      <c r="AJ977" s="98" t="str">
        <f t="shared" ref="AJ977:AJ1000" si="314">CONCATENATE(AG977,AI977)</f>
        <v>000000000000</v>
      </c>
      <c r="AK977" s="161" t="str">
        <f t="shared" ref="AK977:AK1000" si="315">CONCATENATE(E977,REPT(" ",30-LEN(E977)))</f>
        <v xml:space="preserve">                              </v>
      </c>
      <c r="AL977" s="154">
        <f t="shared" ref="AL977:AL1000" si="316">IF(H977&lt;&gt;"",IF(H977=$H$3,0,1),0)</f>
        <v>0</v>
      </c>
      <c r="AM977" s="155">
        <f t="shared" ref="AM977:AM1000" si="317">IF(AL977=1,IF($H$3=1,I977*$K$14,I977/$K$14),I977)</f>
        <v>0</v>
      </c>
      <c r="AP977" s="63" t="str">
        <f t="shared" si="299"/>
        <v/>
      </c>
      <c r="AQ977" s="63" t="str">
        <f t="shared" si="300"/>
        <v/>
      </c>
      <c r="AR977" s="152" t="str">
        <f t="shared" si="301"/>
        <v/>
      </c>
      <c r="AS977" s="109" t="str">
        <f t="shared" si="302"/>
        <v/>
      </c>
      <c r="AT977" s="63" t="str">
        <f t="shared" si="303"/>
        <v xml:space="preserve">                    </v>
      </c>
    </row>
    <row r="978" spans="1:46" ht="12.75" x14ac:dyDescent="0.2">
      <c r="A978" s="63" t="str">
        <f t="shared" si="304"/>
        <v/>
      </c>
      <c r="B978" s="185"/>
      <c r="C978" s="185"/>
      <c r="D978" s="185"/>
      <c r="E978" s="185"/>
      <c r="F978" s="185"/>
      <c r="G978" s="185"/>
      <c r="H978" s="185"/>
      <c r="I978" s="186"/>
      <c r="J978" s="69"/>
      <c r="AA978" s="63">
        <f t="shared" si="305"/>
        <v>0</v>
      </c>
      <c r="AB978" s="153" t="str">
        <f t="shared" si="306"/>
        <v>000</v>
      </c>
      <c r="AC978" s="165" t="str">
        <f t="shared" si="307"/>
        <v>00000000</v>
      </c>
      <c r="AD978" s="98" t="str">
        <f t="shared" si="308"/>
        <v>00000000</v>
      </c>
      <c r="AE978" s="150">
        <f t="shared" si="309"/>
        <v>0</v>
      </c>
      <c r="AF978" s="150">
        <f t="shared" si="310"/>
        <v>0</v>
      </c>
      <c r="AG978" s="98" t="str">
        <f t="shared" si="311"/>
        <v>0000000000</v>
      </c>
      <c r="AH978" s="151">
        <f t="shared" si="312"/>
        <v>0</v>
      </c>
      <c r="AI978" s="98" t="str">
        <f t="shared" si="313"/>
        <v>00</v>
      </c>
      <c r="AJ978" s="98" t="str">
        <f t="shared" si="314"/>
        <v>000000000000</v>
      </c>
      <c r="AK978" s="161" t="str">
        <f t="shared" si="315"/>
        <v xml:space="preserve">                              </v>
      </c>
      <c r="AL978" s="154">
        <f t="shared" si="316"/>
        <v>0</v>
      </c>
      <c r="AM978" s="155">
        <f t="shared" si="317"/>
        <v>0</v>
      </c>
      <c r="AP978" s="63" t="str">
        <f t="shared" ref="AP978:AP1000" si="318">IF(D979&lt;&gt;"",CONCATENATE("000",AS978,"0",H979,"2","    ",AD979,AJ979,"            ",AT979,AK979,"                                                                                     "),"")</f>
        <v/>
      </c>
      <c r="AQ978" s="63" t="str">
        <f t="shared" ref="AQ978:AQ1000" si="319">IF(D979&lt;&gt;"",CONCATENATE("1520",AA979,AB979,AC979),"")</f>
        <v/>
      </c>
      <c r="AR978" s="152" t="str">
        <f t="shared" ref="AR978:AR1000" si="320">IF(D979&lt;&gt;"",MOD(SUM(VALUE(MID($AQ$1,1,1)) * VALUE(MID(AQ978,1,1)),VALUE(MID($AQ$1,2,1)) * VALUE(MID(AQ978,2,1)),VALUE(MID($AQ$1,3,1)) * VALUE(MID(AQ978,3,1)),VALUE(MID($AQ$1,4,1)) * VALUE(MID(AQ978,4,1)),VALUE(MID($AQ$1,5,1)) * VALUE(MID(AQ978,5,1)),VALUE(MID($AQ$1,6,1)) * VALUE(MID(AQ978,6,1)),VALUE(MID($AQ$1,7,1)) * VALUE(MID(AQ978,7,1)),VALUE(MID($AQ$1,8,1)) * VALUE(MID(AQ978,8,1)),VALUE(MID($AQ$1,9,1)) * VALUE(MID(AQ978,9,1)),VALUE(MID($AQ$1,10,1)) * VALUE(MID(AQ978,10,1)),VALUE(MID($AQ$1,11,1)) * VALUE(MID(AQ978,11,1)),VALUE(MID($AQ$1,12,1)) * VALUE(MID(AQ978,12,1)),VALUE(MID($AQ$1,13,1)) * VALUE(MID(AQ978,13,1)),VALUE(MID($AQ$1,14,1)) * VALUE(MID(AQ978,14,1)),VALUE(MID($AQ$1,15,1)) * VALUE(MID(AQ978,15,1)),VALUE(MID($AQ$1,16,1)) * VALUE(MID(AQ978,16,1))),11),"")</f>
        <v/>
      </c>
      <c r="AS978" s="109" t="str">
        <f t="shared" ref="AS978:AS1000" si="321">IF(D979&lt;&gt;"",CONCATENATE(AQ978,IF(AR978&gt;9,"1",AR978)),"")</f>
        <v/>
      </c>
      <c r="AT978" s="63" t="str">
        <f t="shared" ref="AT978:AT1000" si="322">CONCATENATE(G978,REPT(" ",20-LEN(G978)))</f>
        <v xml:space="preserve">                    </v>
      </c>
    </row>
    <row r="979" spans="1:46" ht="12.75" x14ac:dyDescent="0.2">
      <c r="A979" s="63" t="str">
        <f t="shared" si="304"/>
        <v/>
      </c>
      <c r="B979" s="185"/>
      <c r="C979" s="185"/>
      <c r="D979" s="185"/>
      <c r="E979" s="185"/>
      <c r="F979" s="185"/>
      <c r="G979" s="185"/>
      <c r="H979" s="185"/>
      <c r="I979" s="186"/>
      <c r="J979" s="69"/>
      <c r="AA979" s="63">
        <f t="shared" si="305"/>
        <v>0</v>
      </c>
      <c r="AB979" s="153" t="str">
        <f t="shared" si="306"/>
        <v>000</v>
      </c>
      <c r="AC979" s="165" t="str">
        <f t="shared" si="307"/>
        <v>00000000</v>
      </c>
      <c r="AD979" s="98" t="str">
        <f t="shared" si="308"/>
        <v>00000000</v>
      </c>
      <c r="AE979" s="150">
        <f t="shared" si="309"/>
        <v>0</v>
      </c>
      <c r="AF979" s="150">
        <f t="shared" si="310"/>
        <v>0</v>
      </c>
      <c r="AG979" s="98" t="str">
        <f t="shared" si="311"/>
        <v>0000000000</v>
      </c>
      <c r="AH979" s="151">
        <f t="shared" si="312"/>
        <v>0</v>
      </c>
      <c r="AI979" s="98" t="str">
        <f t="shared" si="313"/>
        <v>00</v>
      </c>
      <c r="AJ979" s="98" t="str">
        <f t="shared" si="314"/>
        <v>000000000000</v>
      </c>
      <c r="AK979" s="161" t="str">
        <f t="shared" si="315"/>
        <v xml:space="preserve">                              </v>
      </c>
      <c r="AL979" s="154">
        <f t="shared" si="316"/>
        <v>0</v>
      </c>
      <c r="AM979" s="155">
        <f t="shared" si="317"/>
        <v>0</v>
      </c>
      <c r="AP979" s="63" t="str">
        <f t="shared" si="318"/>
        <v/>
      </c>
      <c r="AQ979" s="63" t="str">
        <f t="shared" si="319"/>
        <v/>
      </c>
      <c r="AR979" s="152" t="str">
        <f t="shared" si="320"/>
        <v/>
      </c>
      <c r="AS979" s="109" t="str">
        <f t="shared" si="321"/>
        <v/>
      </c>
      <c r="AT979" s="63" t="str">
        <f t="shared" si="322"/>
        <v xml:space="preserve">                    </v>
      </c>
    </row>
    <row r="980" spans="1:46" ht="12.75" x14ac:dyDescent="0.2">
      <c r="A980" s="63" t="str">
        <f t="shared" si="304"/>
        <v/>
      </c>
      <c r="B980" s="185"/>
      <c r="C980" s="185"/>
      <c r="D980" s="185"/>
      <c r="E980" s="185"/>
      <c r="F980" s="185"/>
      <c r="G980" s="185"/>
      <c r="H980" s="185"/>
      <c r="I980" s="186"/>
      <c r="J980" s="69"/>
      <c r="AA980" s="63">
        <f t="shared" si="305"/>
        <v>0</v>
      </c>
      <c r="AB980" s="153" t="str">
        <f t="shared" si="306"/>
        <v>000</v>
      </c>
      <c r="AC980" s="165" t="str">
        <f t="shared" si="307"/>
        <v>00000000</v>
      </c>
      <c r="AD980" s="98" t="str">
        <f t="shared" si="308"/>
        <v>00000000</v>
      </c>
      <c r="AE980" s="150">
        <f t="shared" si="309"/>
        <v>0</v>
      </c>
      <c r="AF980" s="150">
        <f t="shared" si="310"/>
        <v>0</v>
      </c>
      <c r="AG980" s="98" t="str">
        <f t="shared" si="311"/>
        <v>0000000000</v>
      </c>
      <c r="AH980" s="151">
        <f t="shared" si="312"/>
        <v>0</v>
      </c>
      <c r="AI980" s="98" t="str">
        <f t="shared" si="313"/>
        <v>00</v>
      </c>
      <c r="AJ980" s="98" t="str">
        <f t="shared" si="314"/>
        <v>000000000000</v>
      </c>
      <c r="AK980" s="161" t="str">
        <f t="shared" si="315"/>
        <v xml:space="preserve">                              </v>
      </c>
      <c r="AL980" s="154">
        <f t="shared" si="316"/>
        <v>0</v>
      </c>
      <c r="AM980" s="155">
        <f t="shared" si="317"/>
        <v>0</v>
      </c>
      <c r="AP980" s="63" t="str">
        <f t="shared" si="318"/>
        <v/>
      </c>
      <c r="AQ980" s="63" t="str">
        <f t="shared" si="319"/>
        <v/>
      </c>
      <c r="AR980" s="152" t="str">
        <f t="shared" si="320"/>
        <v/>
      </c>
      <c r="AS980" s="109" t="str">
        <f t="shared" si="321"/>
        <v/>
      </c>
      <c r="AT980" s="63" t="str">
        <f t="shared" si="322"/>
        <v xml:space="preserve">                    </v>
      </c>
    </row>
    <row r="981" spans="1:46" ht="12.75" x14ac:dyDescent="0.2">
      <c r="A981" s="63" t="str">
        <f t="shared" si="304"/>
        <v/>
      </c>
      <c r="B981" s="185"/>
      <c r="C981" s="185"/>
      <c r="D981" s="185"/>
      <c r="E981" s="185"/>
      <c r="F981" s="185"/>
      <c r="G981" s="185"/>
      <c r="H981" s="185"/>
      <c r="I981" s="186"/>
      <c r="J981" s="69"/>
      <c r="AA981" s="63">
        <f t="shared" si="305"/>
        <v>0</v>
      </c>
      <c r="AB981" s="153" t="str">
        <f t="shared" si="306"/>
        <v>000</v>
      </c>
      <c r="AC981" s="165" t="str">
        <f t="shared" si="307"/>
        <v>00000000</v>
      </c>
      <c r="AD981" s="98" t="str">
        <f t="shared" si="308"/>
        <v>00000000</v>
      </c>
      <c r="AE981" s="150">
        <f t="shared" si="309"/>
        <v>0</v>
      </c>
      <c r="AF981" s="150">
        <f t="shared" si="310"/>
        <v>0</v>
      </c>
      <c r="AG981" s="98" t="str">
        <f t="shared" si="311"/>
        <v>0000000000</v>
      </c>
      <c r="AH981" s="151">
        <f t="shared" si="312"/>
        <v>0</v>
      </c>
      <c r="AI981" s="98" t="str">
        <f t="shared" si="313"/>
        <v>00</v>
      </c>
      <c r="AJ981" s="98" t="str">
        <f t="shared" si="314"/>
        <v>000000000000</v>
      </c>
      <c r="AK981" s="161" t="str">
        <f t="shared" si="315"/>
        <v xml:space="preserve">                              </v>
      </c>
      <c r="AL981" s="154">
        <f t="shared" si="316"/>
        <v>0</v>
      </c>
      <c r="AM981" s="155">
        <f t="shared" si="317"/>
        <v>0</v>
      </c>
      <c r="AP981" s="63" t="str">
        <f t="shared" si="318"/>
        <v/>
      </c>
      <c r="AQ981" s="63" t="str">
        <f t="shared" si="319"/>
        <v/>
      </c>
      <c r="AR981" s="152" t="str">
        <f t="shared" si="320"/>
        <v/>
      </c>
      <c r="AS981" s="109" t="str">
        <f t="shared" si="321"/>
        <v/>
      </c>
      <c r="AT981" s="63" t="str">
        <f t="shared" si="322"/>
        <v xml:space="preserve">                    </v>
      </c>
    </row>
    <row r="982" spans="1:46" ht="12.75" x14ac:dyDescent="0.2">
      <c r="A982" s="63" t="str">
        <f t="shared" si="304"/>
        <v/>
      </c>
      <c r="B982" s="185"/>
      <c r="C982" s="185"/>
      <c r="D982" s="185"/>
      <c r="E982" s="185"/>
      <c r="F982" s="185"/>
      <c r="G982" s="185"/>
      <c r="H982" s="185"/>
      <c r="I982" s="186"/>
      <c r="J982" s="69"/>
      <c r="AA982" s="63">
        <f t="shared" si="305"/>
        <v>0</v>
      </c>
      <c r="AB982" s="153" t="str">
        <f t="shared" si="306"/>
        <v>000</v>
      </c>
      <c r="AC982" s="165" t="str">
        <f t="shared" si="307"/>
        <v>00000000</v>
      </c>
      <c r="AD982" s="98" t="str">
        <f t="shared" si="308"/>
        <v>00000000</v>
      </c>
      <c r="AE982" s="150">
        <f t="shared" si="309"/>
        <v>0</v>
      </c>
      <c r="AF982" s="150">
        <f t="shared" si="310"/>
        <v>0</v>
      </c>
      <c r="AG982" s="98" t="str">
        <f t="shared" si="311"/>
        <v>0000000000</v>
      </c>
      <c r="AH982" s="151">
        <f t="shared" si="312"/>
        <v>0</v>
      </c>
      <c r="AI982" s="98" t="str">
        <f t="shared" si="313"/>
        <v>00</v>
      </c>
      <c r="AJ982" s="98" t="str">
        <f t="shared" si="314"/>
        <v>000000000000</v>
      </c>
      <c r="AK982" s="161" t="str">
        <f t="shared" si="315"/>
        <v xml:space="preserve">                              </v>
      </c>
      <c r="AL982" s="154">
        <f t="shared" si="316"/>
        <v>0</v>
      </c>
      <c r="AM982" s="155">
        <f t="shared" si="317"/>
        <v>0</v>
      </c>
      <c r="AP982" s="63" t="str">
        <f t="shared" si="318"/>
        <v/>
      </c>
      <c r="AQ982" s="63" t="str">
        <f t="shared" si="319"/>
        <v/>
      </c>
      <c r="AR982" s="152" t="str">
        <f t="shared" si="320"/>
        <v/>
      </c>
      <c r="AS982" s="109" t="str">
        <f t="shared" si="321"/>
        <v/>
      </c>
      <c r="AT982" s="63" t="str">
        <f t="shared" si="322"/>
        <v xml:space="preserve">                    </v>
      </c>
    </row>
    <row r="983" spans="1:46" ht="12.75" x14ac:dyDescent="0.2">
      <c r="A983" s="63" t="str">
        <f t="shared" si="304"/>
        <v/>
      </c>
      <c r="B983" s="185"/>
      <c r="C983" s="185"/>
      <c r="D983" s="185"/>
      <c r="E983" s="185"/>
      <c r="F983" s="185"/>
      <c r="G983" s="185"/>
      <c r="H983" s="185"/>
      <c r="I983" s="186"/>
      <c r="J983" s="69"/>
      <c r="AA983" s="63">
        <f t="shared" si="305"/>
        <v>0</v>
      </c>
      <c r="AB983" s="153" t="str">
        <f t="shared" si="306"/>
        <v>000</v>
      </c>
      <c r="AC983" s="165" t="str">
        <f t="shared" si="307"/>
        <v>00000000</v>
      </c>
      <c r="AD983" s="98" t="str">
        <f t="shared" si="308"/>
        <v>00000000</v>
      </c>
      <c r="AE983" s="150">
        <f t="shared" si="309"/>
        <v>0</v>
      </c>
      <c r="AF983" s="150">
        <f t="shared" si="310"/>
        <v>0</v>
      </c>
      <c r="AG983" s="98" t="str">
        <f t="shared" si="311"/>
        <v>0000000000</v>
      </c>
      <c r="AH983" s="151">
        <f t="shared" si="312"/>
        <v>0</v>
      </c>
      <c r="AI983" s="98" t="str">
        <f t="shared" si="313"/>
        <v>00</v>
      </c>
      <c r="AJ983" s="98" t="str">
        <f t="shared" si="314"/>
        <v>000000000000</v>
      </c>
      <c r="AK983" s="161" t="str">
        <f t="shared" si="315"/>
        <v xml:space="preserve">                              </v>
      </c>
      <c r="AL983" s="154">
        <f t="shared" si="316"/>
        <v>0</v>
      </c>
      <c r="AM983" s="155">
        <f t="shared" si="317"/>
        <v>0</v>
      </c>
      <c r="AP983" s="63" t="str">
        <f t="shared" si="318"/>
        <v/>
      </c>
      <c r="AQ983" s="63" t="str">
        <f t="shared" si="319"/>
        <v/>
      </c>
      <c r="AR983" s="152" t="str">
        <f t="shared" si="320"/>
        <v/>
      </c>
      <c r="AS983" s="109" t="str">
        <f t="shared" si="321"/>
        <v/>
      </c>
      <c r="AT983" s="63" t="str">
        <f t="shared" si="322"/>
        <v xml:space="preserve">                    </v>
      </c>
    </row>
    <row r="984" spans="1:46" ht="12.75" x14ac:dyDescent="0.2">
      <c r="A984" s="63" t="str">
        <f t="shared" si="304"/>
        <v/>
      </c>
      <c r="B984" s="185"/>
      <c r="C984" s="185"/>
      <c r="D984" s="185"/>
      <c r="E984" s="185"/>
      <c r="F984" s="185"/>
      <c r="G984" s="185"/>
      <c r="H984" s="185"/>
      <c r="I984" s="186"/>
      <c r="J984" s="69"/>
      <c r="AA984" s="63">
        <f t="shared" si="305"/>
        <v>0</v>
      </c>
      <c r="AB984" s="153" t="str">
        <f t="shared" si="306"/>
        <v>000</v>
      </c>
      <c r="AC984" s="165" t="str">
        <f t="shared" si="307"/>
        <v>00000000</v>
      </c>
      <c r="AD984" s="98" t="str">
        <f t="shared" si="308"/>
        <v>00000000</v>
      </c>
      <c r="AE984" s="150">
        <f t="shared" si="309"/>
        <v>0</v>
      </c>
      <c r="AF984" s="150">
        <f t="shared" si="310"/>
        <v>0</v>
      </c>
      <c r="AG984" s="98" t="str">
        <f t="shared" si="311"/>
        <v>0000000000</v>
      </c>
      <c r="AH984" s="151">
        <f t="shared" si="312"/>
        <v>0</v>
      </c>
      <c r="AI984" s="98" t="str">
        <f t="shared" si="313"/>
        <v>00</v>
      </c>
      <c r="AJ984" s="98" t="str">
        <f t="shared" si="314"/>
        <v>000000000000</v>
      </c>
      <c r="AK984" s="161" t="str">
        <f t="shared" si="315"/>
        <v xml:space="preserve">                              </v>
      </c>
      <c r="AL984" s="154">
        <f t="shared" si="316"/>
        <v>0</v>
      </c>
      <c r="AM984" s="155">
        <f t="shared" si="317"/>
        <v>0</v>
      </c>
      <c r="AP984" s="63" t="str">
        <f t="shared" si="318"/>
        <v/>
      </c>
      <c r="AQ984" s="63" t="str">
        <f t="shared" si="319"/>
        <v/>
      </c>
      <c r="AR984" s="152" t="str">
        <f t="shared" si="320"/>
        <v/>
      </c>
      <c r="AS984" s="109" t="str">
        <f t="shared" si="321"/>
        <v/>
      </c>
      <c r="AT984" s="63" t="str">
        <f t="shared" si="322"/>
        <v xml:space="preserve">                    </v>
      </c>
    </row>
    <row r="985" spans="1:46" ht="12.75" x14ac:dyDescent="0.2">
      <c r="A985" s="63" t="str">
        <f t="shared" si="304"/>
        <v/>
      </c>
      <c r="B985" s="185"/>
      <c r="C985" s="185"/>
      <c r="D985" s="185"/>
      <c r="E985" s="185"/>
      <c r="F985" s="185"/>
      <c r="G985" s="185"/>
      <c r="H985" s="185"/>
      <c r="I985" s="186"/>
      <c r="J985" s="69"/>
      <c r="AA985" s="63">
        <f t="shared" si="305"/>
        <v>0</v>
      </c>
      <c r="AB985" s="153" t="str">
        <f t="shared" si="306"/>
        <v>000</v>
      </c>
      <c r="AC985" s="165" t="str">
        <f t="shared" si="307"/>
        <v>00000000</v>
      </c>
      <c r="AD985" s="98" t="str">
        <f t="shared" si="308"/>
        <v>00000000</v>
      </c>
      <c r="AE985" s="150">
        <f t="shared" si="309"/>
        <v>0</v>
      </c>
      <c r="AF985" s="150">
        <f t="shared" si="310"/>
        <v>0</v>
      </c>
      <c r="AG985" s="98" t="str">
        <f t="shared" si="311"/>
        <v>0000000000</v>
      </c>
      <c r="AH985" s="151">
        <f t="shared" si="312"/>
        <v>0</v>
      </c>
      <c r="AI985" s="98" t="str">
        <f t="shared" si="313"/>
        <v>00</v>
      </c>
      <c r="AJ985" s="98" t="str">
        <f t="shared" si="314"/>
        <v>000000000000</v>
      </c>
      <c r="AK985" s="161" t="str">
        <f t="shared" si="315"/>
        <v xml:space="preserve">                              </v>
      </c>
      <c r="AL985" s="154">
        <f t="shared" si="316"/>
        <v>0</v>
      </c>
      <c r="AM985" s="155">
        <f t="shared" si="317"/>
        <v>0</v>
      </c>
      <c r="AP985" s="63" t="str">
        <f t="shared" si="318"/>
        <v/>
      </c>
      <c r="AQ985" s="63" t="str">
        <f t="shared" si="319"/>
        <v/>
      </c>
      <c r="AR985" s="152" t="str">
        <f t="shared" si="320"/>
        <v/>
      </c>
      <c r="AS985" s="109" t="str">
        <f t="shared" si="321"/>
        <v/>
      </c>
      <c r="AT985" s="63" t="str">
        <f t="shared" si="322"/>
        <v xml:space="preserve">                    </v>
      </c>
    </row>
    <row r="986" spans="1:46" ht="12.75" x14ac:dyDescent="0.2">
      <c r="A986" s="63" t="str">
        <f t="shared" si="304"/>
        <v/>
      </c>
      <c r="B986" s="185"/>
      <c r="C986" s="185"/>
      <c r="D986" s="185"/>
      <c r="E986" s="185"/>
      <c r="F986" s="185"/>
      <c r="G986" s="185"/>
      <c r="H986" s="185"/>
      <c r="I986" s="186"/>
      <c r="J986" s="69"/>
      <c r="AA986" s="63">
        <f t="shared" si="305"/>
        <v>0</v>
      </c>
      <c r="AB986" s="153" t="str">
        <f t="shared" si="306"/>
        <v>000</v>
      </c>
      <c r="AC986" s="165" t="str">
        <f t="shared" si="307"/>
        <v>00000000</v>
      </c>
      <c r="AD986" s="98" t="str">
        <f t="shared" si="308"/>
        <v>00000000</v>
      </c>
      <c r="AE986" s="150">
        <f t="shared" si="309"/>
        <v>0</v>
      </c>
      <c r="AF986" s="150">
        <f t="shared" si="310"/>
        <v>0</v>
      </c>
      <c r="AG986" s="98" t="str">
        <f t="shared" si="311"/>
        <v>0000000000</v>
      </c>
      <c r="AH986" s="151">
        <f t="shared" si="312"/>
        <v>0</v>
      </c>
      <c r="AI986" s="98" t="str">
        <f t="shared" si="313"/>
        <v>00</v>
      </c>
      <c r="AJ986" s="98" t="str">
        <f t="shared" si="314"/>
        <v>000000000000</v>
      </c>
      <c r="AK986" s="161" t="str">
        <f t="shared" si="315"/>
        <v xml:space="preserve">                              </v>
      </c>
      <c r="AL986" s="154">
        <f t="shared" si="316"/>
        <v>0</v>
      </c>
      <c r="AM986" s="155">
        <f t="shared" si="317"/>
        <v>0</v>
      </c>
      <c r="AP986" s="63" t="str">
        <f t="shared" si="318"/>
        <v/>
      </c>
      <c r="AQ986" s="63" t="str">
        <f t="shared" si="319"/>
        <v/>
      </c>
      <c r="AR986" s="152" t="str">
        <f t="shared" si="320"/>
        <v/>
      </c>
      <c r="AS986" s="109" t="str">
        <f t="shared" si="321"/>
        <v/>
      </c>
      <c r="AT986" s="63" t="str">
        <f t="shared" si="322"/>
        <v xml:space="preserve">                    </v>
      </c>
    </row>
    <row r="987" spans="1:46" ht="12.75" x14ac:dyDescent="0.2">
      <c r="A987" s="63" t="str">
        <f t="shared" si="304"/>
        <v/>
      </c>
      <c r="B987" s="185"/>
      <c r="C987" s="185"/>
      <c r="D987" s="185"/>
      <c r="E987" s="185"/>
      <c r="F987" s="185"/>
      <c r="G987" s="185"/>
      <c r="H987" s="185"/>
      <c r="I987" s="186"/>
      <c r="J987" s="69"/>
      <c r="AA987" s="63">
        <f t="shared" si="305"/>
        <v>0</v>
      </c>
      <c r="AB987" s="153" t="str">
        <f t="shared" si="306"/>
        <v>000</v>
      </c>
      <c r="AC987" s="165" t="str">
        <f t="shared" si="307"/>
        <v>00000000</v>
      </c>
      <c r="AD987" s="98" t="str">
        <f t="shared" si="308"/>
        <v>00000000</v>
      </c>
      <c r="AE987" s="150">
        <f t="shared" si="309"/>
        <v>0</v>
      </c>
      <c r="AF987" s="150">
        <f t="shared" si="310"/>
        <v>0</v>
      </c>
      <c r="AG987" s="98" t="str">
        <f t="shared" si="311"/>
        <v>0000000000</v>
      </c>
      <c r="AH987" s="151">
        <f t="shared" si="312"/>
        <v>0</v>
      </c>
      <c r="AI987" s="98" t="str">
        <f t="shared" si="313"/>
        <v>00</v>
      </c>
      <c r="AJ987" s="98" t="str">
        <f t="shared" si="314"/>
        <v>000000000000</v>
      </c>
      <c r="AK987" s="161" t="str">
        <f t="shared" si="315"/>
        <v xml:space="preserve">                              </v>
      </c>
      <c r="AL987" s="154">
        <f t="shared" si="316"/>
        <v>0</v>
      </c>
      <c r="AM987" s="155">
        <f t="shared" si="317"/>
        <v>0</v>
      </c>
      <c r="AP987" s="63" t="str">
        <f t="shared" si="318"/>
        <v/>
      </c>
      <c r="AQ987" s="63" t="str">
        <f t="shared" si="319"/>
        <v/>
      </c>
      <c r="AR987" s="152" t="str">
        <f t="shared" si="320"/>
        <v/>
      </c>
      <c r="AS987" s="109" t="str">
        <f t="shared" si="321"/>
        <v/>
      </c>
      <c r="AT987" s="63" t="str">
        <f t="shared" si="322"/>
        <v xml:space="preserve">                    </v>
      </c>
    </row>
    <row r="988" spans="1:46" ht="12.75" x14ac:dyDescent="0.2">
      <c r="A988" s="63" t="str">
        <f t="shared" si="304"/>
        <v/>
      </c>
      <c r="B988" s="185"/>
      <c r="C988" s="185"/>
      <c r="D988" s="185"/>
      <c r="E988" s="185"/>
      <c r="F988" s="185"/>
      <c r="G988" s="185"/>
      <c r="H988" s="185"/>
      <c r="I988" s="186"/>
      <c r="J988" s="69"/>
      <c r="AA988" s="63">
        <f t="shared" si="305"/>
        <v>0</v>
      </c>
      <c r="AB988" s="153" t="str">
        <f t="shared" si="306"/>
        <v>000</v>
      </c>
      <c r="AC988" s="165" t="str">
        <f t="shared" si="307"/>
        <v>00000000</v>
      </c>
      <c r="AD988" s="98" t="str">
        <f t="shared" si="308"/>
        <v>00000000</v>
      </c>
      <c r="AE988" s="150">
        <f t="shared" si="309"/>
        <v>0</v>
      </c>
      <c r="AF988" s="150">
        <f t="shared" si="310"/>
        <v>0</v>
      </c>
      <c r="AG988" s="98" t="str">
        <f t="shared" si="311"/>
        <v>0000000000</v>
      </c>
      <c r="AH988" s="151">
        <f t="shared" si="312"/>
        <v>0</v>
      </c>
      <c r="AI988" s="98" t="str">
        <f t="shared" si="313"/>
        <v>00</v>
      </c>
      <c r="AJ988" s="98" t="str">
        <f t="shared" si="314"/>
        <v>000000000000</v>
      </c>
      <c r="AK988" s="161" t="str">
        <f t="shared" si="315"/>
        <v xml:space="preserve">                              </v>
      </c>
      <c r="AL988" s="154">
        <f t="shared" si="316"/>
        <v>0</v>
      </c>
      <c r="AM988" s="155">
        <f t="shared" si="317"/>
        <v>0</v>
      </c>
      <c r="AP988" s="63" t="str">
        <f t="shared" si="318"/>
        <v/>
      </c>
      <c r="AQ988" s="63" t="str">
        <f t="shared" si="319"/>
        <v/>
      </c>
      <c r="AR988" s="152" t="str">
        <f t="shared" si="320"/>
        <v/>
      </c>
      <c r="AS988" s="109" t="str">
        <f t="shared" si="321"/>
        <v/>
      </c>
      <c r="AT988" s="63" t="str">
        <f t="shared" si="322"/>
        <v xml:space="preserve">                    </v>
      </c>
    </row>
    <row r="989" spans="1:46" ht="12.75" x14ac:dyDescent="0.2">
      <c r="A989" s="63" t="str">
        <f t="shared" si="304"/>
        <v/>
      </c>
      <c r="B989" s="185"/>
      <c r="C989" s="185"/>
      <c r="D989" s="185"/>
      <c r="E989" s="185"/>
      <c r="F989" s="185"/>
      <c r="G989" s="185"/>
      <c r="H989" s="185"/>
      <c r="I989" s="186"/>
      <c r="J989" s="69"/>
      <c r="AA989" s="63">
        <f t="shared" si="305"/>
        <v>0</v>
      </c>
      <c r="AB989" s="153" t="str">
        <f t="shared" si="306"/>
        <v>000</v>
      </c>
      <c r="AC989" s="165" t="str">
        <f t="shared" si="307"/>
        <v>00000000</v>
      </c>
      <c r="AD989" s="98" t="str">
        <f t="shared" si="308"/>
        <v>00000000</v>
      </c>
      <c r="AE989" s="150">
        <f t="shared" si="309"/>
        <v>0</v>
      </c>
      <c r="AF989" s="150">
        <f t="shared" si="310"/>
        <v>0</v>
      </c>
      <c r="AG989" s="98" t="str">
        <f t="shared" si="311"/>
        <v>0000000000</v>
      </c>
      <c r="AH989" s="151">
        <f t="shared" si="312"/>
        <v>0</v>
      </c>
      <c r="AI989" s="98" t="str">
        <f t="shared" si="313"/>
        <v>00</v>
      </c>
      <c r="AJ989" s="98" t="str">
        <f t="shared" si="314"/>
        <v>000000000000</v>
      </c>
      <c r="AK989" s="161" t="str">
        <f t="shared" si="315"/>
        <v xml:space="preserve">                              </v>
      </c>
      <c r="AL989" s="154">
        <f t="shared" si="316"/>
        <v>0</v>
      </c>
      <c r="AM989" s="155">
        <f t="shared" si="317"/>
        <v>0</v>
      </c>
      <c r="AP989" s="63" t="str">
        <f t="shared" si="318"/>
        <v/>
      </c>
      <c r="AQ989" s="63" t="str">
        <f t="shared" si="319"/>
        <v/>
      </c>
      <c r="AR989" s="152" t="str">
        <f t="shared" si="320"/>
        <v/>
      </c>
      <c r="AS989" s="109" t="str">
        <f t="shared" si="321"/>
        <v/>
      </c>
      <c r="AT989" s="63" t="str">
        <f t="shared" si="322"/>
        <v xml:space="preserve">                    </v>
      </c>
    </row>
    <row r="990" spans="1:46" ht="12.75" x14ac:dyDescent="0.2">
      <c r="A990" s="63" t="str">
        <f t="shared" si="304"/>
        <v/>
      </c>
      <c r="B990" s="185"/>
      <c r="C990" s="185"/>
      <c r="D990" s="185"/>
      <c r="E990" s="185"/>
      <c r="F990" s="185"/>
      <c r="G990" s="185"/>
      <c r="H990" s="185"/>
      <c r="I990" s="186"/>
      <c r="J990" s="69"/>
      <c r="AA990" s="63">
        <f t="shared" si="305"/>
        <v>0</v>
      </c>
      <c r="AB990" s="153" t="str">
        <f t="shared" si="306"/>
        <v>000</v>
      </c>
      <c r="AC990" s="165" t="str">
        <f t="shared" si="307"/>
        <v>00000000</v>
      </c>
      <c r="AD990" s="98" t="str">
        <f t="shared" si="308"/>
        <v>00000000</v>
      </c>
      <c r="AE990" s="150">
        <f t="shared" si="309"/>
        <v>0</v>
      </c>
      <c r="AF990" s="150">
        <f t="shared" si="310"/>
        <v>0</v>
      </c>
      <c r="AG990" s="98" t="str">
        <f t="shared" si="311"/>
        <v>0000000000</v>
      </c>
      <c r="AH990" s="151">
        <f t="shared" si="312"/>
        <v>0</v>
      </c>
      <c r="AI990" s="98" t="str">
        <f t="shared" si="313"/>
        <v>00</v>
      </c>
      <c r="AJ990" s="98" t="str">
        <f t="shared" si="314"/>
        <v>000000000000</v>
      </c>
      <c r="AK990" s="161" t="str">
        <f t="shared" si="315"/>
        <v xml:space="preserve">                              </v>
      </c>
      <c r="AL990" s="154">
        <f t="shared" si="316"/>
        <v>0</v>
      </c>
      <c r="AM990" s="155">
        <f t="shared" si="317"/>
        <v>0</v>
      </c>
      <c r="AP990" s="63" t="str">
        <f t="shared" si="318"/>
        <v/>
      </c>
      <c r="AQ990" s="63" t="str">
        <f t="shared" si="319"/>
        <v/>
      </c>
      <c r="AR990" s="152" t="str">
        <f t="shared" si="320"/>
        <v/>
      </c>
      <c r="AS990" s="109" t="str">
        <f t="shared" si="321"/>
        <v/>
      </c>
      <c r="AT990" s="63" t="str">
        <f t="shared" si="322"/>
        <v xml:space="preserve">                    </v>
      </c>
    </row>
    <row r="991" spans="1:46" ht="12.75" x14ac:dyDescent="0.2">
      <c r="A991" s="63" t="str">
        <f t="shared" si="304"/>
        <v/>
      </c>
      <c r="B991" s="185"/>
      <c r="C991" s="185"/>
      <c r="D991" s="185"/>
      <c r="E991" s="185"/>
      <c r="F991" s="185"/>
      <c r="G991" s="185"/>
      <c r="H991" s="185"/>
      <c r="I991" s="186"/>
      <c r="J991" s="69"/>
      <c r="AA991" s="63">
        <f t="shared" si="305"/>
        <v>0</v>
      </c>
      <c r="AB991" s="153" t="str">
        <f t="shared" si="306"/>
        <v>000</v>
      </c>
      <c r="AC991" s="165" t="str">
        <f t="shared" si="307"/>
        <v>00000000</v>
      </c>
      <c r="AD991" s="98" t="str">
        <f t="shared" si="308"/>
        <v>00000000</v>
      </c>
      <c r="AE991" s="150">
        <f t="shared" si="309"/>
        <v>0</v>
      </c>
      <c r="AF991" s="150">
        <f t="shared" si="310"/>
        <v>0</v>
      </c>
      <c r="AG991" s="98" t="str">
        <f t="shared" si="311"/>
        <v>0000000000</v>
      </c>
      <c r="AH991" s="151">
        <f t="shared" si="312"/>
        <v>0</v>
      </c>
      <c r="AI991" s="98" t="str">
        <f t="shared" si="313"/>
        <v>00</v>
      </c>
      <c r="AJ991" s="98" t="str">
        <f t="shared" si="314"/>
        <v>000000000000</v>
      </c>
      <c r="AK991" s="161" t="str">
        <f t="shared" si="315"/>
        <v xml:space="preserve">                              </v>
      </c>
      <c r="AL991" s="154">
        <f t="shared" si="316"/>
        <v>0</v>
      </c>
      <c r="AM991" s="155">
        <f t="shared" si="317"/>
        <v>0</v>
      </c>
      <c r="AP991" s="63" t="str">
        <f t="shared" si="318"/>
        <v/>
      </c>
      <c r="AQ991" s="63" t="str">
        <f t="shared" si="319"/>
        <v/>
      </c>
      <c r="AR991" s="152" t="str">
        <f t="shared" si="320"/>
        <v/>
      </c>
      <c r="AS991" s="109" t="str">
        <f t="shared" si="321"/>
        <v/>
      </c>
      <c r="AT991" s="63" t="str">
        <f t="shared" si="322"/>
        <v xml:space="preserve">                    </v>
      </c>
    </row>
    <row r="992" spans="1:46" ht="12.75" x14ac:dyDescent="0.2">
      <c r="A992" s="63" t="str">
        <f t="shared" si="304"/>
        <v/>
      </c>
      <c r="B992" s="185"/>
      <c r="C992" s="185"/>
      <c r="D992" s="185"/>
      <c r="E992" s="185"/>
      <c r="F992" s="185"/>
      <c r="G992" s="185"/>
      <c r="H992" s="185"/>
      <c r="I992" s="186"/>
      <c r="J992" s="69"/>
      <c r="AA992" s="63">
        <f t="shared" si="305"/>
        <v>0</v>
      </c>
      <c r="AB992" s="153" t="str">
        <f t="shared" si="306"/>
        <v>000</v>
      </c>
      <c r="AC992" s="165" t="str">
        <f t="shared" si="307"/>
        <v>00000000</v>
      </c>
      <c r="AD992" s="98" t="str">
        <f t="shared" si="308"/>
        <v>00000000</v>
      </c>
      <c r="AE992" s="150">
        <f t="shared" si="309"/>
        <v>0</v>
      </c>
      <c r="AF992" s="150">
        <f t="shared" si="310"/>
        <v>0</v>
      </c>
      <c r="AG992" s="98" t="str">
        <f t="shared" si="311"/>
        <v>0000000000</v>
      </c>
      <c r="AH992" s="151">
        <f t="shared" si="312"/>
        <v>0</v>
      </c>
      <c r="AI992" s="98" t="str">
        <f t="shared" si="313"/>
        <v>00</v>
      </c>
      <c r="AJ992" s="98" t="str">
        <f t="shared" si="314"/>
        <v>000000000000</v>
      </c>
      <c r="AK992" s="161" t="str">
        <f t="shared" si="315"/>
        <v xml:space="preserve">                              </v>
      </c>
      <c r="AL992" s="154">
        <f t="shared" si="316"/>
        <v>0</v>
      </c>
      <c r="AM992" s="155">
        <f t="shared" si="317"/>
        <v>0</v>
      </c>
      <c r="AP992" s="63" t="str">
        <f t="shared" si="318"/>
        <v/>
      </c>
      <c r="AQ992" s="63" t="str">
        <f t="shared" si="319"/>
        <v/>
      </c>
      <c r="AR992" s="152" t="str">
        <f t="shared" si="320"/>
        <v/>
      </c>
      <c r="AS992" s="109" t="str">
        <f t="shared" si="321"/>
        <v/>
      </c>
      <c r="AT992" s="63" t="str">
        <f t="shared" si="322"/>
        <v xml:space="preserve">                    </v>
      </c>
    </row>
    <row r="993" spans="1:46" ht="12.75" x14ac:dyDescent="0.2">
      <c r="A993" s="63" t="str">
        <f t="shared" si="304"/>
        <v/>
      </c>
      <c r="B993" s="185"/>
      <c r="C993" s="185"/>
      <c r="D993" s="185"/>
      <c r="E993" s="185"/>
      <c r="F993" s="185"/>
      <c r="G993" s="185"/>
      <c r="H993" s="185"/>
      <c r="I993" s="186"/>
      <c r="J993" s="69"/>
      <c r="AA993" s="63">
        <f t="shared" si="305"/>
        <v>0</v>
      </c>
      <c r="AB993" s="153" t="str">
        <f t="shared" si="306"/>
        <v>000</v>
      </c>
      <c r="AC993" s="165" t="str">
        <f t="shared" si="307"/>
        <v>00000000</v>
      </c>
      <c r="AD993" s="98" t="str">
        <f t="shared" si="308"/>
        <v>00000000</v>
      </c>
      <c r="AE993" s="150">
        <f t="shared" si="309"/>
        <v>0</v>
      </c>
      <c r="AF993" s="150">
        <f t="shared" si="310"/>
        <v>0</v>
      </c>
      <c r="AG993" s="98" t="str">
        <f t="shared" si="311"/>
        <v>0000000000</v>
      </c>
      <c r="AH993" s="151">
        <f t="shared" si="312"/>
        <v>0</v>
      </c>
      <c r="AI993" s="98" t="str">
        <f t="shared" si="313"/>
        <v>00</v>
      </c>
      <c r="AJ993" s="98" t="str">
        <f t="shared" si="314"/>
        <v>000000000000</v>
      </c>
      <c r="AK993" s="161" t="str">
        <f t="shared" si="315"/>
        <v xml:space="preserve">                              </v>
      </c>
      <c r="AL993" s="154">
        <f t="shared" si="316"/>
        <v>0</v>
      </c>
      <c r="AM993" s="155">
        <f t="shared" si="317"/>
        <v>0</v>
      </c>
      <c r="AP993" s="63" t="str">
        <f t="shared" si="318"/>
        <v/>
      </c>
      <c r="AQ993" s="63" t="str">
        <f t="shared" si="319"/>
        <v/>
      </c>
      <c r="AR993" s="152" t="str">
        <f t="shared" si="320"/>
        <v/>
      </c>
      <c r="AS993" s="109" t="str">
        <f t="shared" si="321"/>
        <v/>
      </c>
      <c r="AT993" s="63" t="str">
        <f t="shared" si="322"/>
        <v xml:space="preserve">                    </v>
      </c>
    </row>
    <row r="994" spans="1:46" ht="12.75" x14ac:dyDescent="0.2">
      <c r="A994" s="63" t="str">
        <f t="shared" si="304"/>
        <v/>
      </c>
      <c r="B994" s="185"/>
      <c r="C994" s="185"/>
      <c r="D994" s="185"/>
      <c r="E994" s="185"/>
      <c r="F994" s="185"/>
      <c r="G994" s="185"/>
      <c r="H994" s="185"/>
      <c r="I994" s="186"/>
      <c r="J994" s="69"/>
      <c r="AA994" s="63">
        <f t="shared" si="305"/>
        <v>0</v>
      </c>
      <c r="AB994" s="153" t="str">
        <f t="shared" si="306"/>
        <v>000</v>
      </c>
      <c r="AC994" s="165" t="str">
        <f t="shared" si="307"/>
        <v>00000000</v>
      </c>
      <c r="AD994" s="98" t="str">
        <f t="shared" si="308"/>
        <v>00000000</v>
      </c>
      <c r="AE994" s="150">
        <f t="shared" si="309"/>
        <v>0</v>
      </c>
      <c r="AF994" s="150">
        <f t="shared" si="310"/>
        <v>0</v>
      </c>
      <c r="AG994" s="98" t="str">
        <f t="shared" si="311"/>
        <v>0000000000</v>
      </c>
      <c r="AH994" s="151">
        <f t="shared" si="312"/>
        <v>0</v>
      </c>
      <c r="AI994" s="98" t="str">
        <f t="shared" si="313"/>
        <v>00</v>
      </c>
      <c r="AJ994" s="98" t="str">
        <f t="shared" si="314"/>
        <v>000000000000</v>
      </c>
      <c r="AK994" s="161" t="str">
        <f t="shared" si="315"/>
        <v xml:space="preserve">                              </v>
      </c>
      <c r="AL994" s="154">
        <f t="shared" si="316"/>
        <v>0</v>
      </c>
      <c r="AM994" s="155">
        <f t="shared" si="317"/>
        <v>0</v>
      </c>
      <c r="AP994" s="63" t="str">
        <f t="shared" si="318"/>
        <v/>
      </c>
      <c r="AQ994" s="63" t="str">
        <f t="shared" si="319"/>
        <v/>
      </c>
      <c r="AR994" s="152" t="str">
        <f t="shared" si="320"/>
        <v/>
      </c>
      <c r="AS994" s="109" t="str">
        <f t="shared" si="321"/>
        <v/>
      </c>
      <c r="AT994" s="63" t="str">
        <f t="shared" si="322"/>
        <v xml:space="preserve">                    </v>
      </c>
    </row>
    <row r="995" spans="1:46" ht="12.75" x14ac:dyDescent="0.2">
      <c r="A995" s="63" t="str">
        <f t="shared" si="304"/>
        <v/>
      </c>
      <c r="B995" s="185"/>
      <c r="C995" s="185"/>
      <c r="D995" s="185"/>
      <c r="E995" s="185"/>
      <c r="F995" s="185"/>
      <c r="G995" s="185"/>
      <c r="H995" s="185"/>
      <c r="I995" s="186"/>
      <c r="J995" s="69"/>
      <c r="AA995" s="63">
        <f t="shared" si="305"/>
        <v>0</v>
      </c>
      <c r="AB995" s="153" t="str">
        <f t="shared" si="306"/>
        <v>000</v>
      </c>
      <c r="AC995" s="165" t="str">
        <f t="shared" si="307"/>
        <v>00000000</v>
      </c>
      <c r="AD995" s="98" t="str">
        <f t="shared" si="308"/>
        <v>00000000</v>
      </c>
      <c r="AE995" s="150">
        <f t="shared" si="309"/>
        <v>0</v>
      </c>
      <c r="AF995" s="150">
        <f t="shared" si="310"/>
        <v>0</v>
      </c>
      <c r="AG995" s="98" t="str">
        <f t="shared" si="311"/>
        <v>0000000000</v>
      </c>
      <c r="AH995" s="151">
        <f t="shared" si="312"/>
        <v>0</v>
      </c>
      <c r="AI995" s="98" t="str">
        <f t="shared" si="313"/>
        <v>00</v>
      </c>
      <c r="AJ995" s="98" t="str">
        <f t="shared" si="314"/>
        <v>000000000000</v>
      </c>
      <c r="AK995" s="161" t="str">
        <f t="shared" si="315"/>
        <v xml:space="preserve">                              </v>
      </c>
      <c r="AL995" s="154">
        <f t="shared" si="316"/>
        <v>0</v>
      </c>
      <c r="AM995" s="155">
        <f t="shared" si="317"/>
        <v>0</v>
      </c>
      <c r="AP995" s="63" t="str">
        <f t="shared" si="318"/>
        <v/>
      </c>
      <c r="AQ995" s="63" t="str">
        <f t="shared" si="319"/>
        <v/>
      </c>
      <c r="AR995" s="152" t="str">
        <f t="shared" si="320"/>
        <v/>
      </c>
      <c r="AS995" s="109" t="str">
        <f t="shared" si="321"/>
        <v/>
      </c>
      <c r="AT995" s="63" t="str">
        <f t="shared" si="322"/>
        <v xml:space="preserve">                    </v>
      </c>
    </row>
    <row r="996" spans="1:46" ht="12.75" x14ac:dyDescent="0.2">
      <c r="A996" s="63" t="str">
        <f t="shared" si="304"/>
        <v/>
      </c>
      <c r="B996" s="185"/>
      <c r="C996" s="185"/>
      <c r="D996" s="185"/>
      <c r="E996" s="185"/>
      <c r="F996" s="185"/>
      <c r="G996" s="185"/>
      <c r="H996" s="185"/>
      <c r="I996" s="186"/>
      <c r="J996" s="69"/>
      <c r="AA996" s="63">
        <f t="shared" si="305"/>
        <v>0</v>
      </c>
      <c r="AB996" s="153" t="str">
        <f t="shared" si="306"/>
        <v>000</v>
      </c>
      <c r="AC996" s="165" t="str">
        <f t="shared" si="307"/>
        <v>00000000</v>
      </c>
      <c r="AD996" s="98" t="str">
        <f t="shared" si="308"/>
        <v>00000000</v>
      </c>
      <c r="AE996" s="150">
        <f t="shared" si="309"/>
        <v>0</v>
      </c>
      <c r="AF996" s="150">
        <f t="shared" si="310"/>
        <v>0</v>
      </c>
      <c r="AG996" s="98" t="str">
        <f t="shared" si="311"/>
        <v>0000000000</v>
      </c>
      <c r="AH996" s="151">
        <f t="shared" si="312"/>
        <v>0</v>
      </c>
      <c r="AI996" s="98" t="str">
        <f t="shared" si="313"/>
        <v>00</v>
      </c>
      <c r="AJ996" s="98" t="str">
        <f t="shared" si="314"/>
        <v>000000000000</v>
      </c>
      <c r="AK996" s="161" t="str">
        <f t="shared" si="315"/>
        <v xml:space="preserve">                              </v>
      </c>
      <c r="AL996" s="154">
        <f t="shared" si="316"/>
        <v>0</v>
      </c>
      <c r="AM996" s="155">
        <f t="shared" si="317"/>
        <v>0</v>
      </c>
      <c r="AP996" s="63" t="str">
        <f t="shared" si="318"/>
        <v/>
      </c>
      <c r="AQ996" s="63" t="str">
        <f t="shared" si="319"/>
        <v/>
      </c>
      <c r="AR996" s="152" t="str">
        <f t="shared" si="320"/>
        <v/>
      </c>
      <c r="AS996" s="109" t="str">
        <f t="shared" si="321"/>
        <v/>
      </c>
      <c r="AT996" s="63" t="str">
        <f t="shared" si="322"/>
        <v xml:space="preserve">                    </v>
      </c>
    </row>
    <row r="997" spans="1:46" ht="12.75" x14ac:dyDescent="0.2">
      <c r="A997" s="63" t="str">
        <f t="shared" si="304"/>
        <v/>
      </c>
      <c r="B997" s="185"/>
      <c r="C997" s="185"/>
      <c r="D997" s="185"/>
      <c r="E997" s="185"/>
      <c r="F997" s="185"/>
      <c r="G997" s="185"/>
      <c r="H997" s="185"/>
      <c r="I997" s="186"/>
      <c r="J997" s="69"/>
      <c r="AA997" s="63">
        <f t="shared" si="305"/>
        <v>0</v>
      </c>
      <c r="AB997" s="153" t="str">
        <f t="shared" si="306"/>
        <v>000</v>
      </c>
      <c r="AC997" s="165" t="str">
        <f t="shared" si="307"/>
        <v>00000000</v>
      </c>
      <c r="AD997" s="98" t="str">
        <f t="shared" si="308"/>
        <v>00000000</v>
      </c>
      <c r="AE997" s="150">
        <f t="shared" si="309"/>
        <v>0</v>
      </c>
      <c r="AF997" s="150">
        <f t="shared" si="310"/>
        <v>0</v>
      </c>
      <c r="AG997" s="98" t="str">
        <f t="shared" si="311"/>
        <v>0000000000</v>
      </c>
      <c r="AH997" s="151">
        <f t="shared" si="312"/>
        <v>0</v>
      </c>
      <c r="AI997" s="98" t="str">
        <f t="shared" si="313"/>
        <v>00</v>
      </c>
      <c r="AJ997" s="98" t="str">
        <f t="shared" si="314"/>
        <v>000000000000</v>
      </c>
      <c r="AK997" s="161" t="str">
        <f t="shared" si="315"/>
        <v xml:space="preserve">                              </v>
      </c>
      <c r="AL997" s="154">
        <f t="shared" si="316"/>
        <v>0</v>
      </c>
      <c r="AM997" s="155">
        <f t="shared" si="317"/>
        <v>0</v>
      </c>
      <c r="AP997" s="63" t="str">
        <f t="shared" si="318"/>
        <v/>
      </c>
      <c r="AQ997" s="63" t="str">
        <f t="shared" si="319"/>
        <v/>
      </c>
      <c r="AR997" s="152" t="str">
        <f t="shared" si="320"/>
        <v/>
      </c>
      <c r="AS997" s="109" t="str">
        <f t="shared" si="321"/>
        <v/>
      </c>
      <c r="AT997" s="63" t="str">
        <f t="shared" si="322"/>
        <v xml:space="preserve">                    </v>
      </c>
    </row>
    <row r="998" spans="1:46" ht="12.75" x14ac:dyDescent="0.2">
      <c r="A998" s="63" t="str">
        <f t="shared" si="304"/>
        <v/>
      </c>
      <c r="B998" s="185"/>
      <c r="C998" s="185"/>
      <c r="D998" s="185"/>
      <c r="E998" s="185"/>
      <c r="F998" s="185"/>
      <c r="G998" s="185"/>
      <c r="H998" s="185"/>
      <c r="I998" s="186"/>
      <c r="J998" s="69"/>
      <c r="AA998" s="63">
        <f t="shared" si="305"/>
        <v>0</v>
      </c>
      <c r="AB998" s="153" t="str">
        <f t="shared" si="306"/>
        <v>000</v>
      </c>
      <c r="AC998" s="165" t="str">
        <f t="shared" si="307"/>
        <v>00000000</v>
      </c>
      <c r="AD998" s="98" t="str">
        <f t="shared" si="308"/>
        <v>00000000</v>
      </c>
      <c r="AE998" s="150">
        <f t="shared" si="309"/>
        <v>0</v>
      </c>
      <c r="AF998" s="150">
        <f t="shared" si="310"/>
        <v>0</v>
      </c>
      <c r="AG998" s="98" t="str">
        <f t="shared" si="311"/>
        <v>0000000000</v>
      </c>
      <c r="AH998" s="151">
        <f t="shared" si="312"/>
        <v>0</v>
      </c>
      <c r="AI998" s="98" t="str">
        <f t="shared" si="313"/>
        <v>00</v>
      </c>
      <c r="AJ998" s="98" t="str">
        <f t="shared" si="314"/>
        <v>000000000000</v>
      </c>
      <c r="AK998" s="161" t="str">
        <f t="shared" si="315"/>
        <v xml:space="preserve">                              </v>
      </c>
      <c r="AL998" s="154">
        <f t="shared" si="316"/>
        <v>0</v>
      </c>
      <c r="AM998" s="155">
        <f t="shared" si="317"/>
        <v>0</v>
      </c>
      <c r="AP998" s="63" t="str">
        <f t="shared" si="318"/>
        <v/>
      </c>
      <c r="AQ998" s="63" t="str">
        <f t="shared" si="319"/>
        <v/>
      </c>
      <c r="AR998" s="152" t="str">
        <f t="shared" si="320"/>
        <v/>
      </c>
      <c r="AS998" s="109" t="str">
        <f t="shared" si="321"/>
        <v/>
      </c>
      <c r="AT998" s="63" t="str">
        <f t="shared" si="322"/>
        <v xml:space="preserve">                    </v>
      </c>
    </row>
    <row r="999" spans="1:46" ht="12.75" x14ac:dyDescent="0.2">
      <c r="A999" s="63" t="str">
        <f t="shared" si="304"/>
        <v/>
      </c>
      <c r="B999" s="185"/>
      <c r="C999" s="185"/>
      <c r="D999" s="185"/>
      <c r="E999" s="185"/>
      <c r="F999" s="185"/>
      <c r="G999" s="185"/>
      <c r="H999" s="185"/>
      <c r="I999" s="186"/>
      <c r="J999" s="69"/>
      <c r="AA999" s="63">
        <f t="shared" si="305"/>
        <v>0</v>
      </c>
      <c r="AB999" s="153" t="str">
        <f t="shared" si="306"/>
        <v>000</v>
      </c>
      <c r="AC999" s="165" t="str">
        <f t="shared" si="307"/>
        <v>00000000</v>
      </c>
      <c r="AD999" s="98" t="str">
        <f t="shared" si="308"/>
        <v>00000000</v>
      </c>
      <c r="AE999" s="150">
        <f t="shared" si="309"/>
        <v>0</v>
      </c>
      <c r="AF999" s="150">
        <f t="shared" si="310"/>
        <v>0</v>
      </c>
      <c r="AG999" s="98" t="str">
        <f t="shared" si="311"/>
        <v>0000000000</v>
      </c>
      <c r="AH999" s="151">
        <f t="shared" si="312"/>
        <v>0</v>
      </c>
      <c r="AI999" s="98" t="str">
        <f t="shared" si="313"/>
        <v>00</v>
      </c>
      <c r="AJ999" s="98" t="str">
        <f t="shared" si="314"/>
        <v>000000000000</v>
      </c>
      <c r="AK999" s="161" t="str">
        <f t="shared" si="315"/>
        <v xml:space="preserve">                              </v>
      </c>
      <c r="AL999" s="154">
        <f t="shared" si="316"/>
        <v>0</v>
      </c>
      <c r="AM999" s="155">
        <f t="shared" si="317"/>
        <v>0</v>
      </c>
      <c r="AP999" s="63" t="str">
        <f t="shared" si="318"/>
        <v/>
      </c>
      <c r="AQ999" s="63" t="str">
        <f t="shared" si="319"/>
        <v/>
      </c>
      <c r="AR999" s="152" t="str">
        <f t="shared" si="320"/>
        <v/>
      </c>
      <c r="AS999" s="109" t="str">
        <f t="shared" si="321"/>
        <v/>
      </c>
      <c r="AT999" s="63" t="str">
        <f t="shared" si="322"/>
        <v xml:space="preserve">                    </v>
      </c>
    </row>
    <row r="1000" spans="1:46" ht="12.75" x14ac:dyDescent="0.2">
      <c r="A1000" s="63" t="str">
        <f t="shared" si="304"/>
        <v/>
      </c>
      <c r="B1000" s="185"/>
      <c r="C1000" s="185"/>
      <c r="D1000" s="185"/>
      <c r="E1000" s="185"/>
      <c r="F1000" s="185"/>
      <c r="G1000" s="185"/>
      <c r="H1000" s="185"/>
      <c r="I1000" s="186"/>
      <c r="J1000" s="69"/>
      <c r="AA1000" s="63">
        <f t="shared" si="305"/>
        <v>0</v>
      </c>
      <c r="AB1000" s="153" t="str">
        <f t="shared" si="306"/>
        <v>000</v>
      </c>
      <c r="AC1000" s="165" t="str">
        <f t="shared" si="307"/>
        <v>00000000</v>
      </c>
      <c r="AD1000" s="98" t="str">
        <f t="shared" si="308"/>
        <v>00000000</v>
      </c>
      <c r="AE1000" s="150">
        <f t="shared" si="309"/>
        <v>0</v>
      </c>
      <c r="AF1000" s="150">
        <f t="shared" si="310"/>
        <v>0</v>
      </c>
      <c r="AG1000" s="98" t="str">
        <f t="shared" si="311"/>
        <v>0000000000</v>
      </c>
      <c r="AH1000" s="151">
        <f t="shared" si="312"/>
        <v>0</v>
      </c>
      <c r="AI1000" s="98" t="str">
        <f t="shared" si="313"/>
        <v>00</v>
      </c>
      <c r="AJ1000" s="98" t="str">
        <f t="shared" si="314"/>
        <v>000000000000</v>
      </c>
      <c r="AK1000" s="161" t="str">
        <f t="shared" si="315"/>
        <v xml:space="preserve">                              </v>
      </c>
      <c r="AL1000" s="154">
        <f t="shared" si="316"/>
        <v>0</v>
      </c>
      <c r="AM1000" s="155">
        <f t="shared" si="317"/>
        <v>0</v>
      </c>
      <c r="AP1000" s="63" t="str">
        <f t="shared" si="318"/>
        <v/>
      </c>
      <c r="AQ1000" s="63" t="str">
        <f t="shared" si="319"/>
        <v/>
      </c>
      <c r="AR1000" s="152" t="str">
        <f t="shared" si="320"/>
        <v/>
      </c>
      <c r="AS1000" s="109" t="str">
        <f t="shared" si="321"/>
        <v/>
      </c>
      <c r="AT1000" s="63" t="str">
        <f t="shared" si="322"/>
        <v xml:space="preserve">                    </v>
      </c>
    </row>
    <row r="1001" spans="1:46" s="63" customFormat="1" ht="12.75" x14ac:dyDescent="0.2">
      <c r="B1001" s="189"/>
      <c r="I1001" s="143"/>
      <c r="J1001" s="143"/>
    </row>
    <row r="1002" spans="1:46" ht="12.75" hidden="1" x14ac:dyDescent="0.2"/>
    <row r="1003" spans="1:46" ht="12.75" hidden="1" x14ac:dyDescent="0.2"/>
    <row r="1004" spans="1:46" ht="12.75" hidden="1" x14ac:dyDescent="0.2"/>
    <row r="1005" spans="1:46" ht="12.75" hidden="1" x14ac:dyDescent="0.2"/>
    <row r="1006" spans="1:46" ht="12.75" hidden="1" x14ac:dyDescent="0.2"/>
    <row r="1007" spans="1:46" ht="12.75" hidden="1" x14ac:dyDescent="0.2"/>
    <row r="1008" spans="1:46" ht="12.75" hidden="1" x14ac:dyDescent="0.2"/>
    <row r="1009" ht="12.75" hidden="1" x14ac:dyDescent="0.2"/>
    <row r="1010" ht="12.75" hidden="1" x14ac:dyDescent="0.2"/>
    <row r="1011" ht="12.75" hidden="1" x14ac:dyDescent="0.2"/>
    <row r="1012" ht="12.75" hidden="1" x14ac:dyDescent="0.2"/>
    <row r="1013" ht="12.75" hidden="1" x14ac:dyDescent="0.2"/>
    <row r="1014" ht="12.75" hidden="1" x14ac:dyDescent="0.2"/>
    <row r="1015" ht="12.75" hidden="1" x14ac:dyDescent="0.2"/>
    <row r="1016" ht="12.75" hidden="1" x14ac:dyDescent="0.2"/>
  </sheetData>
  <sheetProtection password="CCCB" sheet="1" objects="1" scenarios="1"/>
  <protectedRanges>
    <protectedRange password="C6E2" sqref="B2:H3" name="Rango1_4"/>
  </protectedRanges>
  <mergeCells count="3">
    <mergeCell ref="K10:K13"/>
    <mergeCell ref="K16:O22"/>
    <mergeCell ref="AN6:AO18"/>
  </mergeCells>
  <conditionalFormatting sqref="A8:A1000">
    <cfRule type="cellIs" dxfId="5" priority="4" operator="lessThan">
      <formula>998</formula>
    </cfRule>
  </conditionalFormatting>
  <conditionalFormatting sqref="A4:A7">
    <cfRule type="cellIs" dxfId="4" priority="2" operator="lessThan">
      <formula>998</formula>
    </cfRule>
  </conditionalFormatting>
  <conditionalFormatting sqref="K14">
    <cfRule type="expression" dxfId="3" priority="1">
      <formula>AL3&gt;0</formula>
    </cfRule>
  </conditionalFormatting>
  <dataValidations count="20">
    <dataValidation allowBlank="1" showInputMessage="1" showErrorMessage="1" errorTitle="N° documento incorrecto" error="El número de documento no puede ser mayor de 8 números." sqref="G2:G3"/>
    <dataValidation operator="lessThan" allowBlank="1" showInputMessage="1" showErrorMessage="1" errorTitle="Cuenta incorrecta" error="La cuenta no puede ser mayor de 8 campos." sqref="B1001:B1048576 B1"/>
    <dataValidation type="textLength" allowBlank="1" showInputMessage="1" showErrorMessage="1" errorTitle="Descipción incorrecta" error="La descripción ser entre 15 y 20 campos." sqref="C1:F1 C1001:F1048576">
      <formula1>16</formula1>
      <formula2>20</formula2>
    </dataValidation>
    <dataValidation type="textLength" operator="lessThan" allowBlank="1" showInputMessage="1" showErrorMessage="1" errorTitle="Moneda incorrecta" error="El código de la moneda no corresponde." sqref="G1:H1 G1001:H1048576">
      <formula1>2</formula1>
    </dataValidation>
    <dataValidation operator="lessThan" allowBlank="1" showInputMessage="1" showErrorMessage="1" errorTitle="Concepto incorrecto" error="El concepto indicado no puede ser mayor a 1 campos." sqref="B2"/>
    <dataValidation type="textLength" operator="lessThan" allowBlank="1" showInputMessage="1" showErrorMessage="1" errorTitle="Monto incorrecto" error="El monto indicado no puede ser mayor a 9,999,999,999.99" sqref="I4:I7">
      <formula1>14</formula1>
    </dataValidation>
    <dataValidation type="textLength" operator="lessThan" allowBlank="1" showInputMessage="1" showErrorMessage="1" errorTitle="Descipción incorrecta" error="La descripción no puede ser mayor de 30 campos." sqref="E2:E3">
      <formula1>31</formula1>
    </dataValidation>
    <dataValidation type="whole" allowBlank="1" showInputMessage="1" showErrorMessage="1" errorTitle="Cuenta incorrecta" error="La cuenta no puede ser mayor de 8 números." sqref="D2:D3">
      <formula1>99</formula1>
      <formula2>99999999</formula2>
    </dataValidation>
    <dataValidation type="whole" allowBlank="1" showInputMessage="1" showErrorMessage="1" errorTitle="Oficina incorrecta" error="El código de oficina no puede ser mayor a 3 números." sqref="C2:C3">
      <formula1>1</formula1>
      <formula2>999</formula2>
    </dataValidation>
    <dataValidation type="whole" allowBlank="1" showInputMessage="1" showErrorMessage="1" errorTitle="Concepto incorrecto" error="El concepto debe ser 1 para cuentas corrientes o 2 para cuentas de ahorros." sqref="B3">
      <formula1>1</formula1>
      <formula2>2</formula2>
    </dataValidation>
    <dataValidation type="whole" allowBlank="1" showInputMessage="1" showErrorMessage="1" errorTitle="Moneda incorrecta" error="El código de la moneda no corresponde." sqref="H2:H3">
      <formula1>1</formula1>
      <formula2>2</formula2>
    </dataValidation>
    <dataValidation type="whole" allowBlank="1" showInputMessage="1" showErrorMessage="1" errorTitle="N° documento incorrecto" error="El número de documento no puede ser mayor de 8 números." sqref="F2">
      <formula1>1</formula1>
      <formula2>99999999</formula2>
    </dataValidation>
    <dataValidation type="textLength" operator="lessThan" allowBlank="1" showInputMessage="1" showErrorMessage="1" errorTitle="Descripción Incorrecta" error="La descripción no puede ser mayor de 30 campos." sqref="E4:E6 E8:E1000">
      <formula1>31</formula1>
    </dataValidation>
    <dataValidation type="whole" allowBlank="1" showInputMessage="1" showErrorMessage="1" errorTitle="Cuenta Incorrecta" error="Número de cuenta incorrecto." sqref="D4:D1000">
      <formula1>99</formula1>
      <formula2>99999999</formula2>
    </dataValidation>
    <dataValidation type="whole" operator="lessThan" allowBlank="1" showInputMessage="1" showErrorMessage="1" errorTitle="Oficina Incorrecta." error="El código de oficina no puede ser mayor a 3 números." sqref="C4:C1000">
      <formula1>999</formula1>
    </dataValidation>
    <dataValidation type="whole" allowBlank="1" showInputMessage="1" showErrorMessage="1" errorTitle="Tipo de cuenta incorrecto" error="El tipo debe ser 1 para cuentas corrientes o 2 para cuentas de ahorros." sqref="B4:B1000">
      <formula1>1</formula1>
      <formula2>2</formula2>
    </dataValidation>
    <dataValidation type="textLength" operator="lessThan" allowBlank="1" showInputMessage="1" showErrorMessage="1" errorTitle="Descripción Incorrecta" error="La descripción no puede ser mayor de 30 campos." sqref="E7">
      <formula1>31</formula1>
    </dataValidation>
    <dataValidation type="whole" allowBlank="1" showInputMessage="1" showErrorMessage="1" errorTitle="Documento incorrecto." error="El número de documento no puede ser mayor de 8 números." sqref="F3:F1000">
      <formula1>1</formula1>
      <formula2>99999999</formula2>
    </dataValidation>
    <dataValidation type="whole" allowBlank="1" showInputMessage="1" showErrorMessage="1" errorTitle="Identificación incorrecto" error="El número de identificación es incorrecto." sqref="G4:G1000">
      <formula1>99</formula1>
      <formula2>999999999999</formula2>
    </dataValidation>
    <dataValidation type="whole" allowBlank="1" showInputMessage="1" showErrorMessage="1" errorTitle="Moneda Incorrecta" error="El código de la moneda es incorrecto." sqref="H4:H1000">
      <formula1>1</formula1>
      <formula2>2</formula2>
    </dataValidation>
  </dataValidations>
  <pageMargins left="0.75" right="0.75" top="1" bottom="1" header="0" footer="0"/>
  <pageSetup paperSize="9" scale="67" orientation="portrait" r:id="rId1"/>
  <headerFooter alignWithMargins="0">
    <oddHeader>&amp;L&amp;G&amp;R
&amp;12&amp;K03+039BCR Empresas</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289" r:id="rId5" name="Button 1">
              <controlPr locked="0" defaultSize="0" print="0" autoFill="0" autoPict="0" macro="[0]!Botón1_Haga_clic_en">
                <anchor moveWithCells="1">
                  <from>
                    <xdr:col>10</xdr:col>
                    <xdr:colOff>19050</xdr:colOff>
                    <xdr:row>3</xdr:row>
                    <xdr:rowOff>95250</xdr:rowOff>
                  </from>
                  <to>
                    <xdr:col>10</xdr:col>
                    <xdr:colOff>781050</xdr:colOff>
                    <xdr:row>6</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3" tint="0.39997558519241921"/>
  </sheetPr>
  <dimension ref="A1:BW1016"/>
  <sheetViews>
    <sheetView showGridLines="0" showRowColHeaders="0" workbookViewId="0">
      <selection activeCell="H14" sqref="H14"/>
    </sheetView>
  </sheetViews>
  <sheetFormatPr baseColWidth="10" defaultRowHeight="12.75" zeroHeight="1" x14ac:dyDescent="0.2"/>
  <cols>
    <col min="1" max="1" width="4.140625" style="63" customWidth="1"/>
    <col min="2" max="2" width="20" style="168" customWidth="1"/>
    <col min="3" max="3" width="23.42578125" style="144" customWidth="1"/>
    <col min="4" max="4" width="20.7109375" style="144" customWidth="1"/>
    <col min="5" max="5" width="10.28515625" style="144" customWidth="1"/>
    <col min="6" max="6" width="17" style="145" customWidth="1"/>
    <col min="7" max="7" width="4.28515625" style="145" customWidth="1"/>
    <col min="8" max="8" width="17.7109375" style="144" customWidth="1"/>
    <col min="9" max="12" width="11.42578125" style="144"/>
    <col min="13" max="26" width="11.42578125" style="144" customWidth="1"/>
    <col min="27" max="27" width="11.5703125" style="144" hidden="1" customWidth="1"/>
    <col min="28" max="28" width="12.85546875" style="150" hidden="1" customWidth="1"/>
    <col min="29" max="29" width="9" style="150" hidden="1" customWidth="1"/>
    <col min="30" max="30" width="12.140625" style="63" hidden="1" customWidth="1"/>
    <col min="31" max="31" width="10.7109375" style="63" hidden="1" customWidth="1"/>
    <col min="32" max="32" width="8.85546875" style="63" hidden="1" customWidth="1"/>
    <col min="33" max="33" width="13.42578125" style="63" hidden="1" customWidth="1"/>
    <col min="34" max="34" width="21.5703125" style="154" hidden="1" customWidth="1"/>
    <col min="35" max="35" width="7.85546875" style="154" hidden="1" customWidth="1"/>
    <col min="36" max="36" width="16.28515625" style="155" hidden="1" customWidth="1"/>
    <col min="37" max="40" width="11.42578125" style="63" hidden="1" customWidth="1"/>
    <col min="41" max="41" width="13.7109375" style="63" hidden="1" customWidth="1"/>
    <col min="42" max="42" width="110.7109375" style="63" hidden="1" customWidth="1"/>
    <col min="43" max="43" width="11.42578125" style="63" hidden="1" customWidth="1"/>
    <col min="44" max="52" width="11.42578125" style="144" hidden="1" customWidth="1"/>
    <col min="53" max="16346" width="11.42578125" style="144" customWidth="1"/>
    <col min="16347" max="16347" width="1.42578125" style="144" customWidth="1"/>
    <col min="16348" max="16358" width="11.5703125" style="144" customWidth="1"/>
    <col min="16359" max="16384" width="11.42578125" style="144"/>
  </cols>
  <sheetData>
    <row r="1" spans="1:75" ht="16.5" thickBot="1" x14ac:dyDescent="0.3">
      <c r="B1" s="166"/>
      <c r="H1" s="167" t="s">
        <v>27</v>
      </c>
      <c r="AI1" s="155"/>
      <c r="AM1" s="63" t="str">
        <f>"1234567891234567"</f>
        <v>1234567891234567</v>
      </c>
      <c r="AO1" s="63" t="s">
        <v>24</v>
      </c>
      <c r="AP1" s="63" t="str">
        <f>CONCATENATE("000",AN3,AN4,AO3,AO4,"            ",AM4,"                                                                                                                                          ")</f>
        <v xml:space="preserve">00000300453522200513112015000800870767                                                                                                                                                            </v>
      </c>
    </row>
    <row r="2" spans="1:75" s="162" customFormat="1" ht="39" customHeight="1" x14ac:dyDescent="0.2">
      <c r="A2" s="109"/>
      <c r="B2" s="171" t="s">
        <v>28</v>
      </c>
      <c r="C2" s="172" t="s">
        <v>20</v>
      </c>
      <c r="D2" s="173" t="s">
        <v>35</v>
      </c>
      <c r="E2" s="172" t="s">
        <v>18</v>
      </c>
      <c r="F2" s="174" t="s">
        <v>3</v>
      </c>
      <c r="G2" s="57"/>
      <c r="AB2" s="157" t="s">
        <v>10</v>
      </c>
      <c r="AC2" s="157" t="s">
        <v>11</v>
      </c>
      <c r="AD2" s="158" t="s">
        <v>12</v>
      </c>
      <c r="AE2" s="158" t="s">
        <v>13</v>
      </c>
      <c r="AF2" s="158" t="s">
        <v>11</v>
      </c>
      <c r="AG2" s="158" t="s">
        <v>3</v>
      </c>
      <c r="AH2" s="152" t="s">
        <v>25</v>
      </c>
      <c r="AI2" s="159" t="s">
        <v>23</v>
      </c>
      <c r="AJ2" s="160"/>
      <c r="AK2" s="109"/>
      <c r="AL2" s="109"/>
      <c r="AM2" s="109" t="str">
        <f>CONCATENATE("1520",AM5,AN5,AO5)</f>
        <v>1520135900003158</v>
      </c>
      <c r="AN2" s="152">
        <f>MOD(SUM(VALUE(MID($AM$1,1,1)) * VALUE(MID(AM2,1,1)),VALUE(MID($AM$1,2,1)) * VALUE(MID(AM2,2,1)),VALUE(MID($AM$1,3,1)) * VALUE(MID(AM2,3,1)),VALUE(MID($AM$1,4,1)) * VALUE(MID(AM2,4,1)),VALUE(MID($AM$1,5,1)) * VALUE(MID(AM2,5,1)),VALUE(MID($AM$1,6,1)) * VALUE(MID(AM2,6,1)),VALUE(MID($AM$1,7,1)) * VALUE(MID(AM2,7,1)),VALUE(MID($AM$1,8,1)) * VALUE(MID(AM2,8,1)),VALUE(MID($AM$1,9,1)) * VALUE(MID(AM2,9,1)),VALUE(MID($AM$1,10,1)) * VALUE(MID(AM2,10,1)),VALUE(MID($AM$1,11,1)) * VALUE(MID(AM2,11,1)),VALUE(MID($AM$1,12,1)) * VALUE(MID(AM2,12,1)),VALUE(MID($AM$1,13,1)) * VALUE(MID(AM2,13,1)),VALUE(MID($AM$1,14,1)) * VALUE(MID(AM2,14,1)),VALUE(MID($AM$1,15,1)) * VALUE(MID(AM2,15,1)),VALUE(MID($AM$1,16,1)) * VALUE(MID(AM2,16,1))),11)</f>
        <v>8</v>
      </c>
      <c r="AO2" s="109" t="str">
        <f>CONCATENATE(AM2,IF(AN2&gt;9,"1",AN2))</f>
        <v>15201359000031588</v>
      </c>
      <c r="AP2" s="161" t="str">
        <f>CONCATENATE("000",AO2,"0",E3,"4","    00000000",AG3,"            ",AQ3,AH3,"                                                                                     ")</f>
        <v xml:space="preserve">00015201359000031588014    00000000000000000000            3004535222          ANTICIPO DE EXCEDENTES                                                                                             </v>
      </c>
      <c r="AQ2" s="109" t="s">
        <v>36</v>
      </c>
    </row>
    <row r="3" spans="1:75" s="63" customFormat="1" ht="15" x14ac:dyDescent="0.25">
      <c r="B3" s="175" t="str">
        <f>AO2</f>
        <v>15201359000031588</v>
      </c>
      <c r="C3" s="176" t="str">
        <f>CONCATENATE('Datos Empresa'!E13,REPT(" ",30-LEN('Datos Empresa'!E13)))</f>
        <v xml:space="preserve">ANTICIPO DE EXCEDENTES        </v>
      </c>
      <c r="D3" s="176">
        <f>'Datos Empresa'!E5</f>
        <v>3004535222</v>
      </c>
      <c r="E3" s="177">
        <f>IF('Datos Empresa'!E11="Colones",1,2)</f>
        <v>1</v>
      </c>
      <c r="F3" s="178">
        <f>AJ3</f>
        <v>0</v>
      </c>
      <c r="G3" s="65"/>
      <c r="AB3" s="150">
        <f t="shared" ref="AB3:AB66" si="0">INT(F3)</f>
        <v>0</v>
      </c>
      <c r="AC3" s="150">
        <f t="shared" ref="AC3:AC66" si="1">F3-AB3</f>
        <v>0</v>
      </c>
      <c r="AD3" s="98" t="str">
        <f>TEXT(AB3,"0000000000")</f>
        <v>0000000000</v>
      </c>
      <c r="AE3" s="151">
        <f>AC3*100</f>
        <v>0</v>
      </c>
      <c r="AF3" s="98" t="str">
        <f>TEXT(AE3,"00")</f>
        <v>00</v>
      </c>
      <c r="AG3" s="97" t="str">
        <f>CONCATENATE(AD3,AF3)</f>
        <v>000000000000</v>
      </c>
      <c r="AH3" s="161" t="str">
        <f>C3</f>
        <v xml:space="preserve">ANTICIPO DE EXCEDENTES        </v>
      </c>
      <c r="AI3" s="154">
        <f>SUM(AI4:AI1000)</f>
        <v>0</v>
      </c>
      <c r="AJ3" s="155">
        <f>SUM(AJ4:AJ1000)</f>
        <v>0</v>
      </c>
      <c r="AM3" s="146" t="str">
        <f>IF('Datos Empresa'!E21="Definir_hora",TEXT('Datos Empresa'!I21,"hhmmss"),"")</f>
        <v/>
      </c>
      <c r="AN3" s="147" t="str">
        <f>CONCATENATE(REPT("0",12-LEN('Datos Empresa'!E5)),'Datos Empresa'!E5)</f>
        <v>003004535222</v>
      </c>
      <c r="AO3" s="148" t="str">
        <f>TEXT('Datos Empresa'!E19,"ddmme")</f>
        <v>13112015</v>
      </c>
      <c r="AP3" s="63" t="str">
        <f>IF(B4&lt;&gt;"",CONCATENATE("000",B4,"0",E4,"2","    00000000",AG4,"            ",AQ4,AH4,"                                                                                               "),"")</f>
        <v/>
      </c>
      <c r="AQ3" s="63" t="str">
        <f t="shared" ref="AQ3:AQ66" si="2">CONCATENATE(D3,REPT(" ",20-LEN(D3)))</f>
        <v xml:space="preserve">3004535222          </v>
      </c>
    </row>
    <row r="4" spans="1:75" x14ac:dyDescent="0.2">
      <c r="A4" s="63" t="str">
        <f>IF(B4&lt;&gt;"",0+1,"")</f>
        <v/>
      </c>
      <c r="B4" s="179"/>
      <c r="C4" s="75"/>
      <c r="D4" s="75"/>
      <c r="E4" s="74"/>
      <c r="F4" s="180"/>
      <c r="G4" s="68"/>
      <c r="AB4" s="150">
        <f t="shared" si="0"/>
        <v>0</v>
      </c>
      <c r="AC4" s="150">
        <f t="shared" si="1"/>
        <v>0</v>
      </c>
      <c r="AD4" s="98" t="str">
        <f>TEXT(AB4,"0000000000")</f>
        <v>0000000000</v>
      </c>
      <c r="AE4" s="151">
        <f t="shared" ref="AE4:AE67" si="3">AC4*100</f>
        <v>0</v>
      </c>
      <c r="AF4" s="98" t="str">
        <f t="shared" ref="AF4:AF67" si="4">TEXT(AE4,"00")</f>
        <v>00</v>
      </c>
      <c r="AG4" s="98" t="str">
        <f>CONCATENATE(AD4,AF4)</f>
        <v>000000000000</v>
      </c>
      <c r="AH4" s="161" t="str">
        <f t="shared" ref="AH4:AH67" si="5">CONCATENATE(C4,REPT(" ",20-LEN(C4)))</f>
        <v xml:space="preserve">                    </v>
      </c>
      <c r="AI4" s="154">
        <f t="shared" ref="AI4:AI67" si="6">IF(E4&lt;&gt;"",IF(E4=$E$3,0,1),0)</f>
        <v>0</v>
      </c>
      <c r="AJ4" s="155">
        <f t="shared" ref="AJ4:AJ67" si="7">IF(AI4=1,IF($E$3=1,F4*$H$14,F4/$H$14),F4)</f>
        <v>0</v>
      </c>
      <c r="AM4" s="109" t="str">
        <f>CONCATENATE(REPT(" ",6-LEN(AM3)),AM3)</f>
        <v xml:space="preserve">      </v>
      </c>
      <c r="AN4" s="149" t="str">
        <f>CONCATENATE(REPT("0",3-LEN('Datos Empresa'!E15)),'Datos Empresa'!E15)</f>
        <v>005</v>
      </c>
      <c r="AO4" s="156" t="str">
        <f>CONCATENATE(REPT("0",12-LEN('Datos Empresa'!E17)),'Datos Empresa'!E17)</f>
        <v>000800870767</v>
      </c>
      <c r="AP4" s="63" t="str">
        <f t="shared" ref="AP4:AP67" si="8">IF(B5&lt;&gt;"",CONCATENATE("000",B5,"0",E5,"2","    00000000",AG5,"            ",AQ5,AH5,"                                                                                               "),"")</f>
        <v/>
      </c>
      <c r="AQ4" s="63" t="str">
        <f t="shared" si="2"/>
        <v xml:space="preserve">                    </v>
      </c>
    </row>
    <row r="5" spans="1:75" ht="15" customHeight="1" x14ac:dyDescent="0.2">
      <c r="A5" s="63" t="str">
        <f>IF(B5&lt;&gt;"",A4+1,"")</f>
        <v/>
      </c>
      <c r="B5" s="179"/>
      <c r="C5" s="75"/>
      <c r="D5" s="75"/>
      <c r="E5" s="74"/>
      <c r="F5" s="180"/>
      <c r="G5" s="69"/>
      <c r="AB5" s="150">
        <f t="shared" si="0"/>
        <v>0</v>
      </c>
      <c r="AC5" s="150">
        <f t="shared" si="1"/>
        <v>0</v>
      </c>
      <c r="AD5" s="98" t="str">
        <f>TEXT(AB5,"0000000000")</f>
        <v>0000000000</v>
      </c>
      <c r="AE5" s="151">
        <f t="shared" si="3"/>
        <v>0</v>
      </c>
      <c r="AF5" s="98" t="str">
        <f t="shared" si="4"/>
        <v>00</v>
      </c>
      <c r="AG5" s="98" t="str">
        <f>CONCATENATE(AD5,AF5)</f>
        <v>000000000000</v>
      </c>
      <c r="AH5" s="161" t="str">
        <f t="shared" si="5"/>
        <v xml:space="preserve">                    </v>
      </c>
      <c r="AI5" s="154">
        <f t="shared" si="6"/>
        <v>0</v>
      </c>
      <c r="AJ5" s="155">
        <f t="shared" si="7"/>
        <v>0</v>
      </c>
      <c r="AM5" s="156">
        <f>IF('Datos Empresa'!E9="Cuenta Corriente",1,2)</f>
        <v>1</v>
      </c>
      <c r="AN5" s="163" t="str">
        <f>CONCATENATE(REPT("0",3-LEN('Datos Empresa'!G9)),'Datos Empresa'!G9)</f>
        <v>359</v>
      </c>
      <c r="AO5" s="164" t="str">
        <f>CONCATENATE(REPT("0",8-LEN('Datos Empresa'!I9)),'Datos Empresa'!I9)</f>
        <v>00003158</v>
      </c>
      <c r="AP5" s="63" t="str">
        <f t="shared" si="8"/>
        <v/>
      </c>
      <c r="AQ5" s="63" t="str">
        <f t="shared" si="2"/>
        <v xml:space="preserve">                    </v>
      </c>
    </row>
    <row r="6" spans="1:75" x14ac:dyDescent="0.2">
      <c r="A6" s="63" t="str">
        <f t="shared" ref="A6:A69" si="9">IF(B6&lt;&gt;"",A5+1,"")</f>
        <v/>
      </c>
      <c r="B6" s="179"/>
      <c r="C6" s="75"/>
      <c r="D6" s="75"/>
      <c r="E6" s="74"/>
      <c r="F6" s="180"/>
      <c r="G6" s="69"/>
      <c r="AB6" s="150">
        <f t="shared" si="0"/>
        <v>0</v>
      </c>
      <c r="AC6" s="150">
        <f t="shared" si="1"/>
        <v>0</v>
      </c>
      <c r="AD6" s="98" t="str">
        <f>TEXT(AB6,"0000000000")</f>
        <v>0000000000</v>
      </c>
      <c r="AE6" s="151">
        <f t="shared" si="3"/>
        <v>0</v>
      </c>
      <c r="AF6" s="98" t="str">
        <f t="shared" si="4"/>
        <v>00</v>
      </c>
      <c r="AG6" s="98" t="str">
        <f>CONCATENATE(AD6,AF6)</f>
        <v>000000000000</v>
      </c>
      <c r="AH6" s="161" t="str">
        <f t="shared" si="5"/>
        <v xml:space="preserve">                    </v>
      </c>
      <c r="AI6" s="154">
        <f t="shared" si="6"/>
        <v>0</v>
      </c>
      <c r="AJ6" s="155">
        <f t="shared" si="7"/>
        <v>0</v>
      </c>
      <c r="AK6" s="214" t="s">
        <v>22</v>
      </c>
      <c r="AL6" s="214"/>
      <c r="AM6" s="170"/>
      <c r="AN6" s="170"/>
      <c r="AO6" s="170"/>
      <c r="AP6" s="63" t="str">
        <f t="shared" si="8"/>
        <v/>
      </c>
      <c r="AQ6" s="63" t="str">
        <f t="shared" si="2"/>
        <v xml:space="preserve">                    </v>
      </c>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row>
    <row r="7" spans="1:75" x14ac:dyDescent="0.2">
      <c r="A7" s="63" t="str">
        <f t="shared" si="9"/>
        <v/>
      </c>
      <c r="B7" s="179"/>
      <c r="C7" s="75"/>
      <c r="D7" s="75"/>
      <c r="E7" s="74"/>
      <c r="F7" s="180"/>
      <c r="G7" s="69"/>
      <c r="AB7" s="150">
        <f t="shared" si="0"/>
        <v>0</v>
      </c>
      <c r="AC7" s="150">
        <f t="shared" si="1"/>
        <v>0</v>
      </c>
      <c r="AD7" s="98" t="str">
        <f>TEXT(AB7,"0000000000")</f>
        <v>0000000000</v>
      </c>
      <c r="AE7" s="151">
        <f t="shared" si="3"/>
        <v>0</v>
      </c>
      <c r="AF7" s="98" t="str">
        <f t="shared" si="4"/>
        <v>00</v>
      </c>
      <c r="AG7" s="98" t="str">
        <f>CONCATENATE(AD7,AF7)</f>
        <v>000000000000</v>
      </c>
      <c r="AH7" s="161" t="str">
        <f t="shared" si="5"/>
        <v xml:space="preserve">                    </v>
      </c>
      <c r="AI7" s="154">
        <f t="shared" si="6"/>
        <v>0</v>
      </c>
      <c r="AJ7" s="155">
        <f t="shared" si="7"/>
        <v>0</v>
      </c>
      <c r="AK7" s="214"/>
      <c r="AL7" s="214"/>
      <c r="AM7" s="170"/>
      <c r="AN7" s="170"/>
      <c r="AO7" s="170"/>
      <c r="AP7" s="63" t="str">
        <f t="shared" si="8"/>
        <v/>
      </c>
      <c r="AQ7" s="63" t="str">
        <f t="shared" si="2"/>
        <v xml:space="preserve">                    </v>
      </c>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row>
    <row r="8" spans="1:75" x14ac:dyDescent="0.2">
      <c r="A8" s="63" t="str">
        <f t="shared" si="9"/>
        <v/>
      </c>
      <c r="B8" s="179"/>
      <c r="C8" s="75"/>
      <c r="D8" s="75"/>
      <c r="E8" s="74"/>
      <c r="F8" s="180"/>
      <c r="G8" s="69"/>
      <c r="AB8" s="150">
        <f t="shared" si="0"/>
        <v>0</v>
      </c>
      <c r="AC8" s="150">
        <f t="shared" si="1"/>
        <v>0</v>
      </c>
      <c r="AD8" s="98" t="str">
        <f t="shared" ref="AD8:AD71" si="10">TEXT(AB8,"0000000000")</f>
        <v>0000000000</v>
      </c>
      <c r="AE8" s="151">
        <f t="shared" si="3"/>
        <v>0</v>
      </c>
      <c r="AF8" s="98" t="str">
        <f t="shared" si="4"/>
        <v>00</v>
      </c>
      <c r="AG8" s="98" t="str">
        <f t="shared" ref="AG8:AG71" si="11">CONCATENATE(AD8,AF8)</f>
        <v>000000000000</v>
      </c>
      <c r="AH8" s="161" t="str">
        <f t="shared" si="5"/>
        <v xml:space="preserve">                    </v>
      </c>
      <c r="AI8" s="154">
        <f t="shared" si="6"/>
        <v>0</v>
      </c>
      <c r="AJ8" s="155">
        <f t="shared" si="7"/>
        <v>0</v>
      </c>
      <c r="AK8" s="214"/>
      <c r="AL8" s="214"/>
      <c r="AM8" s="170"/>
      <c r="AN8" s="170"/>
      <c r="AO8" s="170"/>
      <c r="AP8" s="63" t="str">
        <f t="shared" si="8"/>
        <v/>
      </c>
      <c r="AQ8" s="63" t="str">
        <f t="shared" si="2"/>
        <v xml:space="preserve">                    </v>
      </c>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row>
    <row r="9" spans="1:75" x14ac:dyDescent="0.2">
      <c r="A9" s="63" t="str">
        <f t="shared" si="9"/>
        <v/>
      </c>
      <c r="B9" s="182"/>
      <c r="C9" s="75"/>
      <c r="D9" s="75"/>
      <c r="E9" s="74"/>
      <c r="F9" s="181"/>
      <c r="G9" s="69"/>
      <c r="AB9" s="150">
        <f t="shared" si="0"/>
        <v>0</v>
      </c>
      <c r="AC9" s="150">
        <f t="shared" si="1"/>
        <v>0</v>
      </c>
      <c r="AD9" s="98" t="str">
        <f t="shared" si="10"/>
        <v>0000000000</v>
      </c>
      <c r="AE9" s="151">
        <f t="shared" si="3"/>
        <v>0</v>
      </c>
      <c r="AF9" s="98" t="str">
        <f t="shared" si="4"/>
        <v>00</v>
      </c>
      <c r="AG9" s="98" t="str">
        <f t="shared" si="11"/>
        <v>000000000000</v>
      </c>
      <c r="AH9" s="161" t="str">
        <f t="shared" si="5"/>
        <v xml:space="preserve">                    </v>
      </c>
      <c r="AI9" s="154">
        <f t="shared" si="6"/>
        <v>0</v>
      </c>
      <c r="AJ9" s="155">
        <f t="shared" si="7"/>
        <v>0</v>
      </c>
      <c r="AK9" s="214"/>
      <c r="AL9" s="214"/>
      <c r="AM9" s="170"/>
      <c r="AN9" s="170"/>
      <c r="AO9" s="170"/>
      <c r="AP9" s="63" t="str">
        <f t="shared" si="8"/>
        <v/>
      </c>
      <c r="AQ9" s="63" t="str">
        <f t="shared" si="2"/>
        <v xml:space="preserve">                    </v>
      </c>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row>
    <row r="10" spans="1:75" ht="12.75" customHeight="1" x14ac:dyDescent="0.2">
      <c r="A10" s="63" t="str">
        <f t="shared" si="9"/>
        <v/>
      </c>
      <c r="B10" s="179"/>
      <c r="C10" s="75"/>
      <c r="D10" s="75"/>
      <c r="E10" s="74"/>
      <c r="F10" s="181"/>
      <c r="G10" s="69"/>
      <c r="H10" s="212" t="str">
        <f>IF(AI3&gt;0,IF(E3=1,"Ingrese el tipo de cambio VENTA aquí:","Ingrese el tipo cambio COMPRA aquí:"),"")</f>
        <v/>
      </c>
      <c r="AB10" s="150">
        <f t="shared" si="0"/>
        <v>0</v>
      </c>
      <c r="AC10" s="150">
        <f t="shared" si="1"/>
        <v>0</v>
      </c>
      <c r="AD10" s="98" t="str">
        <f t="shared" si="10"/>
        <v>0000000000</v>
      </c>
      <c r="AE10" s="151">
        <f t="shared" si="3"/>
        <v>0</v>
      </c>
      <c r="AF10" s="98" t="str">
        <f t="shared" si="4"/>
        <v>00</v>
      </c>
      <c r="AG10" s="98" t="str">
        <f t="shared" si="11"/>
        <v>000000000000</v>
      </c>
      <c r="AH10" s="161" t="str">
        <f t="shared" si="5"/>
        <v xml:space="preserve">                    </v>
      </c>
      <c r="AI10" s="154">
        <f t="shared" si="6"/>
        <v>0</v>
      </c>
      <c r="AJ10" s="155">
        <f t="shared" si="7"/>
        <v>0</v>
      </c>
      <c r="AK10" s="214"/>
      <c r="AL10" s="214"/>
      <c r="AM10" s="170"/>
      <c r="AN10" s="170"/>
      <c r="AO10" s="170"/>
      <c r="AP10" s="63" t="str">
        <f t="shared" si="8"/>
        <v/>
      </c>
      <c r="AQ10" s="63" t="str">
        <f t="shared" si="2"/>
        <v xml:space="preserve">                    </v>
      </c>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row>
    <row r="11" spans="1:75" ht="12.75" customHeight="1" x14ac:dyDescent="0.2">
      <c r="A11" s="63" t="str">
        <f t="shared" si="9"/>
        <v/>
      </c>
      <c r="B11" s="182"/>
      <c r="C11" s="75"/>
      <c r="D11" s="75"/>
      <c r="E11" s="74"/>
      <c r="F11" s="181"/>
      <c r="G11" s="69"/>
      <c r="H11" s="212"/>
      <c r="AB11" s="150">
        <f t="shared" si="0"/>
        <v>0</v>
      </c>
      <c r="AC11" s="150">
        <f t="shared" si="1"/>
        <v>0</v>
      </c>
      <c r="AD11" s="98" t="str">
        <f t="shared" si="10"/>
        <v>0000000000</v>
      </c>
      <c r="AE11" s="151">
        <f t="shared" si="3"/>
        <v>0</v>
      </c>
      <c r="AF11" s="98" t="str">
        <f t="shared" si="4"/>
        <v>00</v>
      </c>
      <c r="AG11" s="98" t="str">
        <f t="shared" si="11"/>
        <v>000000000000</v>
      </c>
      <c r="AH11" s="161" t="str">
        <f t="shared" si="5"/>
        <v xml:space="preserve">                    </v>
      </c>
      <c r="AI11" s="154">
        <f t="shared" si="6"/>
        <v>0</v>
      </c>
      <c r="AJ11" s="155">
        <f t="shared" si="7"/>
        <v>0</v>
      </c>
      <c r="AK11" s="214"/>
      <c r="AL11" s="214"/>
      <c r="AM11" s="170"/>
      <c r="AN11" s="170"/>
      <c r="AO11" s="170"/>
      <c r="AP11" s="63" t="str">
        <f t="shared" si="8"/>
        <v/>
      </c>
      <c r="AQ11" s="63" t="str">
        <f t="shared" si="2"/>
        <v xml:space="preserve">                    </v>
      </c>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row>
    <row r="12" spans="1:75" ht="12.75" customHeight="1" x14ac:dyDescent="0.2">
      <c r="A12" s="63" t="str">
        <f t="shared" si="9"/>
        <v/>
      </c>
      <c r="B12" s="182"/>
      <c r="C12" s="75"/>
      <c r="D12" s="75"/>
      <c r="E12" s="74"/>
      <c r="F12" s="181"/>
      <c r="G12" s="69"/>
      <c r="H12" s="212"/>
      <c r="AB12" s="150">
        <f t="shared" si="0"/>
        <v>0</v>
      </c>
      <c r="AC12" s="150">
        <f t="shared" si="1"/>
        <v>0</v>
      </c>
      <c r="AD12" s="98" t="str">
        <f t="shared" si="10"/>
        <v>0000000000</v>
      </c>
      <c r="AE12" s="151">
        <f t="shared" si="3"/>
        <v>0</v>
      </c>
      <c r="AF12" s="98" t="str">
        <f t="shared" si="4"/>
        <v>00</v>
      </c>
      <c r="AG12" s="98" t="str">
        <f t="shared" si="11"/>
        <v>000000000000</v>
      </c>
      <c r="AH12" s="161" t="str">
        <f t="shared" si="5"/>
        <v xml:space="preserve">                    </v>
      </c>
      <c r="AI12" s="154">
        <f t="shared" si="6"/>
        <v>0</v>
      </c>
      <c r="AJ12" s="155">
        <f t="shared" si="7"/>
        <v>0</v>
      </c>
      <c r="AK12" s="214"/>
      <c r="AL12" s="214"/>
      <c r="AM12" s="170"/>
      <c r="AN12" s="170"/>
      <c r="AO12" s="170"/>
      <c r="AP12" s="63" t="str">
        <f t="shared" si="8"/>
        <v/>
      </c>
      <c r="AQ12" s="63" t="str">
        <f t="shared" si="2"/>
        <v xml:space="preserve">                    </v>
      </c>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row>
    <row r="13" spans="1:75" x14ac:dyDescent="0.2">
      <c r="A13" s="63" t="str">
        <f t="shared" si="9"/>
        <v/>
      </c>
      <c r="B13" s="179"/>
      <c r="C13" s="75"/>
      <c r="D13" s="75"/>
      <c r="E13" s="74"/>
      <c r="F13" s="181"/>
      <c r="G13" s="69"/>
      <c r="H13" s="212"/>
      <c r="AB13" s="150">
        <f t="shared" si="0"/>
        <v>0</v>
      </c>
      <c r="AC13" s="150">
        <f t="shared" si="1"/>
        <v>0</v>
      </c>
      <c r="AD13" s="98" t="str">
        <f t="shared" si="10"/>
        <v>0000000000</v>
      </c>
      <c r="AE13" s="151">
        <f t="shared" si="3"/>
        <v>0</v>
      </c>
      <c r="AF13" s="98" t="str">
        <f t="shared" si="4"/>
        <v>00</v>
      </c>
      <c r="AG13" s="98" t="str">
        <f t="shared" si="11"/>
        <v>000000000000</v>
      </c>
      <c r="AH13" s="161" t="str">
        <f t="shared" si="5"/>
        <v xml:space="preserve">                    </v>
      </c>
      <c r="AI13" s="154">
        <f t="shared" si="6"/>
        <v>0</v>
      </c>
      <c r="AJ13" s="155">
        <f t="shared" si="7"/>
        <v>0</v>
      </c>
      <c r="AK13" s="214"/>
      <c r="AL13" s="214"/>
      <c r="AM13" s="170"/>
      <c r="AN13" s="170"/>
      <c r="AO13" s="170"/>
      <c r="AP13" s="63" t="str">
        <f t="shared" si="8"/>
        <v/>
      </c>
      <c r="AQ13" s="63" t="str">
        <f t="shared" si="2"/>
        <v xml:space="preserve">                    </v>
      </c>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row>
    <row r="14" spans="1:75" ht="15.75" x14ac:dyDescent="0.25">
      <c r="A14" s="63" t="str">
        <f t="shared" si="9"/>
        <v/>
      </c>
      <c r="B14" s="182"/>
      <c r="C14" s="75"/>
      <c r="D14" s="75"/>
      <c r="E14" s="74"/>
      <c r="F14" s="181"/>
      <c r="G14" s="69"/>
      <c r="H14" s="77"/>
      <c r="AB14" s="150">
        <f t="shared" si="0"/>
        <v>0</v>
      </c>
      <c r="AC14" s="150">
        <f t="shared" si="1"/>
        <v>0</v>
      </c>
      <c r="AD14" s="98" t="str">
        <f t="shared" si="10"/>
        <v>0000000000</v>
      </c>
      <c r="AE14" s="151">
        <f t="shared" si="3"/>
        <v>0</v>
      </c>
      <c r="AF14" s="98" t="str">
        <f t="shared" si="4"/>
        <v>00</v>
      </c>
      <c r="AG14" s="98" t="str">
        <f t="shared" si="11"/>
        <v>000000000000</v>
      </c>
      <c r="AH14" s="161" t="str">
        <f t="shared" si="5"/>
        <v xml:space="preserve">                    </v>
      </c>
      <c r="AI14" s="154">
        <f t="shared" si="6"/>
        <v>0</v>
      </c>
      <c r="AJ14" s="155">
        <f t="shared" si="7"/>
        <v>0</v>
      </c>
      <c r="AK14" s="214"/>
      <c r="AL14" s="214"/>
      <c r="AM14" s="170"/>
      <c r="AN14" s="170"/>
      <c r="AO14" s="170"/>
      <c r="AP14" s="63" t="str">
        <f t="shared" si="8"/>
        <v/>
      </c>
      <c r="AQ14" s="63" t="str">
        <f t="shared" si="2"/>
        <v xml:space="preserve">                    </v>
      </c>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row>
    <row r="15" spans="1:75" x14ac:dyDescent="0.2">
      <c r="A15" s="63" t="str">
        <f t="shared" si="9"/>
        <v/>
      </c>
      <c r="B15" s="179"/>
      <c r="C15" s="75"/>
      <c r="D15" s="75"/>
      <c r="E15" s="74"/>
      <c r="F15" s="181"/>
      <c r="G15" s="69"/>
      <c r="AB15" s="150">
        <f t="shared" si="0"/>
        <v>0</v>
      </c>
      <c r="AC15" s="150">
        <f t="shared" si="1"/>
        <v>0</v>
      </c>
      <c r="AD15" s="98" t="str">
        <f t="shared" si="10"/>
        <v>0000000000</v>
      </c>
      <c r="AE15" s="151">
        <f t="shared" si="3"/>
        <v>0</v>
      </c>
      <c r="AF15" s="98" t="str">
        <f t="shared" si="4"/>
        <v>00</v>
      </c>
      <c r="AG15" s="98" t="str">
        <f t="shared" si="11"/>
        <v>000000000000</v>
      </c>
      <c r="AH15" s="161" t="str">
        <f t="shared" si="5"/>
        <v xml:space="preserve">                    </v>
      </c>
      <c r="AI15" s="154">
        <f t="shared" si="6"/>
        <v>0</v>
      </c>
      <c r="AJ15" s="155">
        <f t="shared" si="7"/>
        <v>0</v>
      </c>
      <c r="AK15" s="214"/>
      <c r="AL15" s="214"/>
      <c r="AM15" s="170"/>
      <c r="AN15" s="170"/>
      <c r="AO15" s="170"/>
      <c r="AP15" s="63" t="str">
        <f t="shared" si="8"/>
        <v/>
      </c>
      <c r="AQ15" s="63" t="str">
        <f t="shared" si="2"/>
        <v xml:space="preserve">                    </v>
      </c>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row>
    <row r="16" spans="1:75" x14ac:dyDescent="0.2">
      <c r="A16" s="63" t="str">
        <f t="shared" si="9"/>
        <v/>
      </c>
      <c r="B16" s="182"/>
      <c r="C16" s="75"/>
      <c r="D16" s="75"/>
      <c r="E16" s="74"/>
      <c r="F16" s="181"/>
      <c r="G16" s="69"/>
      <c r="H16" s="213" t="str">
        <f>IF(AI3&gt;0,CONCATENATE(AK6),"")</f>
        <v/>
      </c>
      <c r="I16" s="213"/>
      <c r="J16" s="213"/>
      <c r="K16" s="213"/>
      <c r="L16" s="213"/>
      <c r="AB16" s="150">
        <f t="shared" si="0"/>
        <v>0</v>
      </c>
      <c r="AC16" s="150">
        <f t="shared" si="1"/>
        <v>0</v>
      </c>
      <c r="AD16" s="98" t="str">
        <f t="shared" si="10"/>
        <v>0000000000</v>
      </c>
      <c r="AE16" s="151">
        <f t="shared" si="3"/>
        <v>0</v>
      </c>
      <c r="AF16" s="98" t="str">
        <f t="shared" si="4"/>
        <v>00</v>
      </c>
      <c r="AG16" s="98" t="str">
        <f t="shared" si="11"/>
        <v>000000000000</v>
      </c>
      <c r="AH16" s="161" t="str">
        <f t="shared" si="5"/>
        <v xml:space="preserve">                    </v>
      </c>
      <c r="AI16" s="154">
        <f t="shared" si="6"/>
        <v>0</v>
      </c>
      <c r="AJ16" s="155">
        <f t="shared" si="7"/>
        <v>0</v>
      </c>
      <c r="AK16" s="214"/>
      <c r="AL16" s="214"/>
      <c r="AM16" s="170"/>
      <c r="AN16" s="170"/>
      <c r="AO16" s="170"/>
      <c r="AP16" s="63" t="str">
        <f t="shared" si="8"/>
        <v/>
      </c>
      <c r="AQ16" s="63" t="str">
        <f t="shared" si="2"/>
        <v xml:space="preserve">                    </v>
      </c>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row>
    <row r="17" spans="1:75" x14ac:dyDescent="0.2">
      <c r="A17" s="63" t="str">
        <f t="shared" si="9"/>
        <v/>
      </c>
      <c r="B17" s="179"/>
      <c r="C17" s="75"/>
      <c r="D17" s="75"/>
      <c r="E17" s="74"/>
      <c r="F17" s="181"/>
      <c r="G17" s="69"/>
      <c r="H17" s="213"/>
      <c r="I17" s="213"/>
      <c r="J17" s="213"/>
      <c r="K17" s="213"/>
      <c r="L17" s="213"/>
      <c r="AB17" s="150">
        <f t="shared" si="0"/>
        <v>0</v>
      </c>
      <c r="AC17" s="150">
        <f t="shared" si="1"/>
        <v>0</v>
      </c>
      <c r="AD17" s="98" t="str">
        <f t="shared" si="10"/>
        <v>0000000000</v>
      </c>
      <c r="AE17" s="151">
        <f t="shared" si="3"/>
        <v>0</v>
      </c>
      <c r="AF17" s="98" t="str">
        <f t="shared" si="4"/>
        <v>00</v>
      </c>
      <c r="AG17" s="98" t="str">
        <f t="shared" si="11"/>
        <v>000000000000</v>
      </c>
      <c r="AH17" s="161" t="str">
        <f t="shared" si="5"/>
        <v xml:space="preserve">                    </v>
      </c>
      <c r="AI17" s="154">
        <f t="shared" si="6"/>
        <v>0</v>
      </c>
      <c r="AJ17" s="155">
        <f t="shared" si="7"/>
        <v>0</v>
      </c>
      <c r="AK17" s="214"/>
      <c r="AL17" s="214"/>
      <c r="AM17" s="170"/>
      <c r="AN17" s="170"/>
      <c r="AO17" s="170"/>
      <c r="AP17" s="63" t="str">
        <f t="shared" si="8"/>
        <v/>
      </c>
      <c r="AQ17" s="63" t="str">
        <f t="shared" si="2"/>
        <v xml:space="preserve">                    </v>
      </c>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row>
    <row r="18" spans="1:75" ht="12.75" customHeight="1" x14ac:dyDescent="0.2">
      <c r="A18" s="63" t="str">
        <f t="shared" si="9"/>
        <v/>
      </c>
      <c r="B18" s="182"/>
      <c r="C18" s="75"/>
      <c r="D18" s="75"/>
      <c r="E18" s="74"/>
      <c r="F18" s="181"/>
      <c r="G18" s="69"/>
      <c r="H18" s="213"/>
      <c r="I18" s="213"/>
      <c r="J18" s="213"/>
      <c r="K18" s="213"/>
      <c r="L18" s="213"/>
      <c r="AB18" s="150">
        <f t="shared" si="0"/>
        <v>0</v>
      </c>
      <c r="AC18" s="150">
        <f t="shared" si="1"/>
        <v>0</v>
      </c>
      <c r="AD18" s="98" t="str">
        <f t="shared" si="10"/>
        <v>0000000000</v>
      </c>
      <c r="AE18" s="151">
        <f t="shared" si="3"/>
        <v>0</v>
      </c>
      <c r="AF18" s="98" t="str">
        <f t="shared" si="4"/>
        <v>00</v>
      </c>
      <c r="AG18" s="98" t="str">
        <f t="shared" si="11"/>
        <v>000000000000</v>
      </c>
      <c r="AH18" s="161" t="str">
        <f t="shared" si="5"/>
        <v xml:space="preserve">                    </v>
      </c>
      <c r="AI18" s="154">
        <f t="shared" si="6"/>
        <v>0</v>
      </c>
      <c r="AJ18" s="155">
        <f t="shared" si="7"/>
        <v>0</v>
      </c>
      <c r="AK18" s="214"/>
      <c r="AL18" s="214"/>
      <c r="AM18" s="170"/>
      <c r="AN18" s="170"/>
      <c r="AO18" s="170"/>
      <c r="AP18" s="63" t="str">
        <f t="shared" si="8"/>
        <v/>
      </c>
      <c r="AQ18" s="63" t="str">
        <f t="shared" si="2"/>
        <v xml:space="preserve">                    </v>
      </c>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row>
    <row r="19" spans="1:75" ht="12.75" customHeight="1" x14ac:dyDescent="0.2">
      <c r="A19" s="63" t="str">
        <f t="shared" si="9"/>
        <v/>
      </c>
      <c r="B19" s="179"/>
      <c r="C19" s="75"/>
      <c r="D19" s="75"/>
      <c r="E19" s="74"/>
      <c r="F19" s="181"/>
      <c r="G19" s="69"/>
      <c r="H19" s="213"/>
      <c r="I19" s="213"/>
      <c r="J19" s="213"/>
      <c r="K19" s="213"/>
      <c r="L19" s="213"/>
      <c r="AB19" s="150">
        <f t="shared" si="0"/>
        <v>0</v>
      </c>
      <c r="AC19" s="150">
        <f t="shared" si="1"/>
        <v>0</v>
      </c>
      <c r="AD19" s="98" t="str">
        <f t="shared" si="10"/>
        <v>0000000000</v>
      </c>
      <c r="AE19" s="151">
        <f t="shared" si="3"/>
        <v>0</v>
      </c>
      <c r="AF19" s="98" t="str">
        <f t="shared" si="4"/>
        <v>00</v>
      </c>
      <c r="AG19" s="98" t="str">
        <f t="shared" si="11"/>
        <v>000000000000</v>
      </c>
      <c r="AH19" s="161" t="str">
        <f t="shared" si="5"/>
        <v xml:space="preserve">                    </v>
      </c>
      <c r="AI19" s="154">
        <f t="shared" si="6"/>
        <v>0</v>
      </c>
      <c r="AJ19" s="155">
        <f t="shared" si="7"/>
        <v>0</v>
      </c>
      <c r="AP19" s="63" t="str">
        <f t="shared" si="8"/>
        <v/>
      </c>
      <c r="AQ19" s="63" t="str">
        <f t="shared" si="2"/>
        <v xml:space="preserve">                    </v>
      </c>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row>
    <row r="20" spans="1:75" ht="12.75" customHeight="1" x14ac:dyDescent="0.2">
      <c r="A20" s="63" t="str">
        <f t="shared" si="9"/>
        <v/>
      </c>
      <c r="B20" s="182"/>
      <c r="C20" s="75"/>
      <c r="D20" s="75"/>
      <c r="E20" s="74"/>
      <c r="F20" s="181"/>
      <c r="G20" s="69"/>
      <c r="H20" s="213"/>
      <c r="I20" s="213"/>
      <c r="J20" s="213"/>
      <c r="K20" s="213"/>
      <c r="L20" s="213"/>
      <c r="AB20" s="150">
        <f t="shared" si="0"/>
        <v>0</v>
      </c>
      <c r="AC20" s="150">
        <f t="shared" si="1"/>
        <v>0</v>
      </c>
      <c r="AD20" s="98" t="str">
        <f t="shared" si="10"/>
        <v>0000000000</v>
      </c>
      <c r="AE20" s="151">
        <f t="shared" si="3"/>
        <v>0</v>
      </c>
      <c r="AF20" s="98" t="str">
        <f t="shared" si="4"/>
        <v>00</v>
      </c>
      <c r="AG20" s="98" t="str">
        <f t="shared" si="11"/>
        <v>000000000000</v>
      </c>
      <c r="AH20" s="161" t="str">
        <f t="shared" si="5"/>
        <v xml:space="preserve">                    </v>
      </c>
      <c r="AI20" s="154">
        <f t="shared" si="6"/>
        <v>0</v>
      </c>
      <c r="AJ20" s="155">
        <f t="shared" si="7"/>
        <v>0</v>
      </c>
      <c r="AP20" s="63" t="str">
        <f t="shared" si="8"/>
        <v/>
      </c>
      <c r="AQ20" s="63" t="str">
        <f t="shared" si="2"/>
        <v xml:space="preserve">                    </v>
      </c>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row>
    <row r="21" spans="1:75" x14ac:dyDescent="0.2">
      <c r="A21" s="63" t="str">
        <f t="shared" si="9"/>
        <v/>
      </c>
      <c r="B21" s="179"/>
      <c r="C21" s="75"/>
      <c r="D21" s="75"/>
      <c r="E21" s="74"/>
      <c r="F21" s="181"/>
      <c r="G21" s="69"/>
      <c r="H21" s="213"/>
      <c r="I21" s="213"/>
      <c r="J21" s="213"/>
      <c r="K21" s="213"/>
      <c r="L21" s="213"/>
      <c r="AB21" s="150">
        <f t="shared" si="0"/>
        <v>0</v>
      </c>
      <c r="AC21" s="150">
        <f t="shared" si="1"/>
        <v>0</v>
      </c>
      <c r="AD21" s="98" t="str">
        <f t="shared" si="10"/>
        <v>0000000000</v>
      </c>
      <c r="AE21" s="151">
        <f t="shared" si="3"/>
        <v>0</v>
      </c>
      <c r="AF21" s="98" t="str">
        <f t="shared" si="4"/>
        <v>00</v>
      </c>
      <c r="AG21" s="98" t="str">
        <f t="shared" si="11"/>
        <v>000000000000</v>
      </c>
      <c r="AH21" s="161" t="str">
        <f t="shared" si="5"/>
        <v xml:space="preserve">                    </v>
      </c>
      <c r="AI21" s="154">
        <f t="shared" si="6"/>
        <v>0</v>
      </c>
      <c r="AJ21" s="155">
        <f t="shared" si="7"/>
        <v>0</v>
      </c>
      <c r="AP21" s="63" t="str">
        <f t="shared" si="8"/>
        <v/>
      </c>
      <c r="AQ21" s="63" t="str">
        <f t="shared" si="2"/>
        <v xml:space="preserve">                    </v>
      </c>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row>
    <row r="22" spans="1:75" x14ac:dyDescent="0.2">
      <c r="A22" s="63" t="str">
        <f t="shared" si="9"/>
        <v/>
      </c>
      <c r="B22" s="182"/>
      <c r="C22" s="75"/>
      <c r="D22" s="75"/>
      <c r="E22" s="74"/>
      <c r="F22" s="181"/>
      <c r="G22" s="69"/>
      <c r="H22" s="213"/>
      <c r="I22" s="213"/>
      <c r="J22" s="213"/>
      <c r="K22" s="213"/>
      <c r="L22" s="213"/>
      <c r="AB22" s="150">
        <f t="shared" si="0"/>
        <v>0</v>
      </c>
      <c r="AC22" s="150">
        <f t="shared" si="1"/>
        <v>0</v>
      </c>
      <c r="AD22" s="98" t="str">
        <f t="shared" si="10"/>
        <v>0000000000</v>
      </c>
      <c r="AE22" s="151">
        <f t="shared" si="3"/>
        <v>0</v>
      </c>
      <c r="AF22" s="98" t="str">
        <f t="shared" si="4"/>
        <v>00</v>
      </c>
      <c r="AG22" s="98" t="str">
        <f t="shared" si="11"/>
        <v>000000000000</v>
      </c>
      <c r="AH22" s="161" t="str">
        <f t="shared" si="5"/>
        <v xml:space="preserve">                    </v>
      </c>
      <c r="AI22" s="154">
        <f t="shared" si="6"/>
        <v>0</v>
      </c>
      <c r="AJ22" s="155">
        <f t="shared" si="7"/>
        <v>0</v>
      </c>
      <c r="AP22" s="63" t="str">
        <f t="shared" si="8"/>
        <v/>
      </c>
      <c r="AQ22" s="63" t="str">
        <f t="shared" si="2"/>
        <v xml:space="preserve">                    </v>
      </c>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row>
    <row r="23" spans="1:75" x14ac:dyDescent="0.2">
      <c r="A23" s="63" t="str">
        <f t="shared" si="9"/>
        <v/>
      </c>
      <c r="B23" s="182"/>
      <c r="C23" s="75"/>
      <c r="D23" s="75"/>
      <c r="E23" s="74"/>
      <c r="F23" s="181"/>
      <c r="G23" s="69"/>
      <c r="AB23" s="150">
        <f t="shared" si="0"/>
        <v>0</v>
      </c>
      <c r="AC23" s="150">
        <f t="shared" si="1"/>
        <v>0</v>
      </c>
      <c r="AD23" s="98" t="str">
        <f t="shared" si="10"/>
        <v>0000000000</v>
      </c>
      <c r="AE23" s="151">
        <f t="shared" si="3"/>
        <v>0</v>
      </c>
      <c r="AF23" s="98" t="str">
        <f t="shared" si="4"/>
        <v>00</v>
      </c>
      <c r="AG23" s="98" t="str">
        <f t="shared" si="11"/>
        <v>000000000000</v>
      </c>
      <c r="AH23" s="161" t="str">
        <f t="shared" si="5"/>
        <v xml:space="preserve">                    </v>
      </c>
      <c r="AI23" s="154">
        <f t="shared" si="6"/>
        <v>0</v>
      </c>
      <c r="AJ23" s="155">
        <f t="shared" si="7"/>
        <v>0</v>
      </c>
      <c r="AP23" s="63" t="str">
        <f t="shared" si="8"/>
        <v/>
      </c>
      <c r="AQ23" s="63" t="str">
        <f t="shared" si="2"/>
        <v xml:space="preserve">                    </v>
      </c>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row>
    <row r="24" spans="1:75" x14ac:dyDescent="0.2">
      <c r="A24" s="63" t="str">
        <f t="shared" si="9"/>
        <v/>
      </c>
      <c r="B24" s="182"/>
      <c r="C24" s="75"/>
      <c r="D24" s="75"/>
      <c r="E24" s="74"/>
      <c r="F24" s="181"/>
      <c r="G24" s="69"/>
      <c r="AB24" s="150">
        <f t="shared" si="0"/>
        <v>0</v>
      </c>
      <c r="AC24" s="150">
        <f t="shared" si="1"/>
        <v>0</v>
      </c>
      <c r="AD24" s="98" t="str">
        <f t="shared" si="10"/>
        <v>0000000000</v>
      </c>
      <c r="AE24" s="151">
        <f t="shared" si="3"/>
        <v>0</v>
      </c>
      <c r="AF24" s="98" t="str">
        <f t="shared" si="4"/>
        <v>00</v>
      </c>
      <c r="AG24" s="98" t="str">
        <f t="shared" si="11"/>
        <v>000000000000</v>
      </c>
      <c r="AH24" s="161" t="str">
        <f t="shared" si="5"/>
        <v xml:space="preserve">                    </v>
      </c>
      <c r="AI24" s="154">
        <f t="shared" si="6"/>
        <v>0</v>
      </c>
      <c r="AJ24" s="155">
        <f t="shared" si="7"/>
        <v>0</v>
      </c>
      <c r="AP24" s="63" t="str">
        <f t="shared" si="8"/>
        <v/>
      </c>
      <c r="AQ24" s="63" t="str">
        <f t="shared" si="2"/>
        <v xml:space="preserve">                    </v>
      </c>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row>
    <row r="25" spans="1:75" x14ac:dyDescent="0.2">
      <c r="A25" s="63" t="str">
        <f t="shared" si="9"/>
        <v/>
      </c>
      <c r="B25" s="182"/>
      <c r="C25" s="75"/>
      <c r="D25" s="75"/>
      <c r="E25" s="74"/>
      <c r="F25" s="181"/>
      <c r="G25" s="69"/>
      <c r="AB25" s="150">
        <f t="shared" si="0"/>
        <v>0</v>
      </c>
      <c r="AC25" s="150">
        <f t="shared" si="1"/>
        <v>0</v>
      </c>
      <c r="AD25" s="98" t="str">
        <f t="shared" si="10"/>
        <v>0000000000</v>
      </c>
      <c r="AE25" s="151">
        <f t="shared" si="3"/>
        <v>0</v>
      </c>
      <c r="AF25" s="98" t="str">
        <f t="shared" si="4"/>
        <v>00</v>
      </c>
      <c r="AG25" s="98" t="str">
        <f t="shared" si="11"/>
        <v>000000000000</v>
      </c>
      <c r="AH25" s="161" t="str">
        <f t="shared" si="5"/>
        <v xml:space="preserve">                    </v>
      </c>
      <c r="AI25" s="154">
        <f t="shared" si="6"/>
        <v>0</v>
      </c>
      <c r="AJ25" s="155">
        <f t="shared" si="7"/>
        <v>0</v>
      </c>
      <c r="AP25" s="63" t="str">
        <f t="shared" si="8"/>
        <v/>
      </c>
      <c r="AQ25" s="63" t="str">
        <f t="shared" si="2"/>
        <v xml:space="preserve">                    </v>
      </c>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row>
    <row r="26" spans="1:75" x14ac:dyDescent="0.2">
      <c r="A26" s="63" t="str">
        <f t="shared" si="9"/>
        <v/>
      </c>
      <c r="B26" s="182"/>
      <c r="C26" s="75"/>
      <c r="D26" s="75"/>
      <c r="E26" s="74"/>
      <c r="F26" s="181"/>
      <c r="G26" s="69"/>
      <c r="AB26" s="150">
        <f t="shared" si="0"/>
        <v>0</v>
      </c>
      <c r="AC26" s="150">
        <f t="shared" si="1"/>
        <v>0</v>
      </c>
      <c r="AD26" s="98" t="str">
        <f t="shared" si="10"/>
        <v>0000000000</v>
      </c>
      <c r="AE26" s="151">
        <f t="shared" si="3"/>
        <v>0</v>
      </c>
      <c r="AF26" s="98" t="str">
        <f t="shared" si="4"/>
        <v>00</v>
      </c>
      <c r="AG26" s="98" t="str">
        <f t="shared" si="11"/>
        <v>000000000000</v>
      </c>
      <c r="AH26" s="161" t="str">
        <f t="shared" si="5"/>
        <v xml:space="preserve">                    </v>
      </c>
      <c r="AI26" s="154">
        <f t="shared" si="6"/>
        <v>0</v>
      </c>
      <c r="AJ26" s="155">
        <f t="shared" si="7"/>
        <v>0</v>
      </c>
      <c r="AP26" s="63" t="str">
        <f t="shared" si="8"/>
        <v/>
      </c>
      <c r="AQ26" s="63" t="str">
        <f t="shared" si="2"/>
        <v xml:space="preserve">                    </v>
      </c>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row>
    <row r="27" spans="1:75" x14ac:dyDescent="0.2">
      <c r="A27" s="63" t="str">
        <f t="shared" si="9"/>
        <v/>
      </c>
      <c r="B27" s="182"/>
      <c r="C27" s="75"/>
      <c r="D27" s="75"/>
      <c r="E27" s="74"/>
      <c r="F27" s="181"/>
      <c r="G27" s="69"/>
      <c r="AB27" s="150">
        <f t="shared" si="0"/>
        <v>0</v>
      </c>
      <c r="AC27" s="150">
        <f t="shared" si="1"/>
        <v>0</v>
      </c>
      <c r="AD27" s="98" t="str">
        <f t="shared" si="10"/>
        <v>0000000000</v>
      </c>
      <c r="AE27" s="151">
        <f t="shared" si="3"/>
        <v>0</v>
      </c>
      <c r="AF27" s="98" t="str">
        <f t="shared" si="4"/>
        <v>00</v>
      </c>
      <c r="AG27" s="98" t="str">
        <f t="shared" si="11"/>
        <v>000000000000</v>
      </c>
      <c r="AH27" s="161" t="str">
        <f t="shared" si="5"/>
        <v xml:space="preserve">                    </v>
      </c>
      <c r="AI27" s="154">
        <f t="shared" si="6"/>
        <v>0</v>
      </c>
      <c r="AJ27" s="155">
        <f t="shared" si="7"/>
        <v>0</v>
      </c>
      <c r="AP27" s="63" t="str">
        <f t="shared" si="8"/>
        <v/>
      </c>
      <c r="AQ27" s="63" t="str">
        <f t="shared" si="2"/>
        <v xml:space="preserve">                    </v>
      </c>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row>
    <row r="28" spans="1:75" x14ac:dyDescent="0.2">
      <c r="A28" s="63" t="str">
        <f t="shared" si="9"/>
        <v/>
      </c>
      <c r="B28" s="182"/>
      <c r="C28" s="75"/>
      <c r="D28" s="75"/>
      <c r="E28" s="74"/>
      <c r="F28" s="181"/>
      <c r="G28" s="69"/>
      <c r="AB28" s="150">
        <f t="shared" si="0"/>
        <v>0</v>
      </c>
      <c r="AC28" s="150">
        <f t="shared" si="1"/>
        <v>0</v>
      </c>
      <c r="AD28" s="98" t="str">
        <f t="shared" si="10"/>
        <v>0000000000</v>
      </c>
      <c r="AE28" s="151">
        <f t="shared" si="3"/>
        <v>0</v>
      </c>
      <c r="AF28" s="98" t="str">
        <f t="shared" si="4"/>
        <v>00</v>
      </c>
      <c r="AG28" s="98" t="str">
        <f t="shared" si="11"/>
        <v>000000000000</v>
      </c>
      <c r="AH28" s="161" t="str">
        <f t="shared" si="5"/>
        <v xml:space="preserve">                    </v>
      </c>
      <c r="AI28" s="154">
        <f t="shared" si="6"/>
        <v>0</v>
      </c>
      <c r="AJ28" s="155">
        <f t="shared" si="7"/>
        <v>0</v>
      </c>
      <c r="AP28" s="63" t="str">
        <f t="shared" si="8"/>
        <v/>
      </c>
      <c r="AQ28" s="63" t="str">
        <f t="shared" si="2"/>
        <v xml:space="preserve">                    </v>
      </c>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row>
    <row r="29" spans="1:75" x14ac:dyDescent="0.2">
      <c r="A29" s="63" t="str">
        <f t="shared" si="9"/>
        <v/>
      </c>
      <c r="B29" s="182"/>
      <c r="C29" s="75"/>
      <c r="D29" s="75"/>
      <c r="E29" s="74"/>
      <c r="F29" s="181"/>
      <c r="G29" s="69"/>
      <c r="AB29" s="150">
        <f t="shared" si="0"/>
        <v>0</v>
      </c>
      <c r="AC29" s="150">
        <f t="shared" si="1"/>
        <v>0</v>
      </c>
      <c r="AD29" s="98" t="str">
        <f t="shared" si="10"/>
        <v>0000000000</v>
      </c>
      <c r="AE29" s="151">
        <f t="shared" si="3"/>
        <v>0</v>
      </c>
      <c r="AF29" s="98" t="str">
        <f t="shared" si="4"/>
        <v>00</v>
      </c>
      <c r="AG29" s="98" t="str">
        <f t="shared" si="11"/>
        <v>000000000000</v>
      </c>
      <c r="AH29" s="161" t="str">
        <f t="shared" si="5"/>
        <v xml:space="preserve">                    </v>
      </c>
      <c r="AI29" s="154">
        <f t="shared" si="6"/>
        <v>0</v>
      </c>
      <c r="AJ29" s="155">
        <f t="shared" si="7"/>
        <v>0</v>
      </c>
      <c r="AP29" s="63" t="str">
        <f t="shared" si="8"/>
        <v/>
      </c>
      <c r="AQ29" s="63" t="str">
        <f t="shared" si="2"/>
        <v xml:space="preserve">                    </v>
      </c>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row>
    <row r="30" spans="1:75" x14ac:dyDescent="0.2">
      <c r="A30" s="63" t="str">
        <f t="shared" si="9"/>
        <v/>
      </c>
      <c r="B30" s="182"/>
      <c r="C30" s="75"/>
      <c r="D30" s="75"/>
      <c r="E30" s="74"/>
      <c r="F30" s="181"/>
      <c r="G30" s="69"/>
      <c r="AB30" s="150">
        <f t="shared" si="0"/>
        <v>0</v>
      </c>
      <c r="AC30" s="150">
        <f t="shared" si="1"/>
        <v>0</v>
      </c>
      <c r="AD30" s="98" t="str">
        <f t="shared" si="10"/>
        <v>0000000000</v>
      </c>
      <c r="AE30" s="151">
        <f t="shared" si="3"/>
        <v>0</v>
      </c>
      <c r="AF30" s="98" t="str">
        <f t="shared" si="4"/>
        <v>00</v>
      </c>
      <c r="AG30" s="98" t="str">
        <f t="shared" si="11"/>
        <v>000000000000</v>
      </c>
      <c r="AH30" s="161" t="str">
        <f t="shared" si="5"/>
        <v xml:space="preserve">                    </v>
      </c>
      <c r="AI30" s="154">
        <f t="shared" si="6"/>
        <v>0</v>
      </c>
      <c r="AJ30" s="155">
        <f t="shared" si="7"/>
        <v>0</v>
      </c>
      <c r="AP30" s="63" t="str">
        <f t="shared" si="8"/>
        <v/>
      </c>
      <c r="AQ30" s="63" t="str">
        <f t="shared" si="2"/>
        <v xml:space="preserve">                    </v>
      </c>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row>
    <row r="31" spans="1:75" x14ac:dyDescent="0.2">
      <c r="A31" s="63" t="str">
        <f t="shared" si="9"/>
        <v/>
      </c>
      <c r="B31" s="182"/>
      <c r="C31" s="75"/>
      <c r="D31" s="75"/>
      <c r="E31" s="74"/>
      <c r="F31" s="181"/>
      <c r="G31" s="69"/>
      <c r="AB31" s="150">
        <f t="shared" si="0"/>
        <v>0</v>
      </c>
      <c r="AC31" s="150">
        <f t="shared" si="1"/>
        <v>0</v>
      </c>
      <c r="AD31" s="98" t="str">
        <f t="shared" si="10"/>
        <v>0000000000</v>
      </c>
      <c r="AE31" s="151">
        <f t="shared" si="3"/>
        <v>0</v>
      </c>
      <c r="AF31" s="98" t="str">
        <f t="shared" si="4"/>
        <v>00</v>
      </c>
      <c r="AG31" s="98" t="str">
        <f t="shared" si="11"/>
        <v>000000000000</v>
      </c>
      <c r="AH31" s="161" t="str">
        <f t="shared" si="5"/>
        <v xml:space="preserve">                    </v>
      </c>
      <c r="AI31" s="154">
        <f t="shared" si="6"/>
        <v>0</v>
      </c>
      <c r="AJ31" s="155">
        <f t="shared" si="7"/>
        <v>0</v>
      </c>
      <c r="AP31" s="63" t="str">
        <f t="shared" si="8"/>
        <v/>
      </c>
      <c r="AQ31" s="63" t="str">
        <f t="shared" si="2"/>
        <v xml:space="preserve">                    </v>
      </c>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row>
    <row r="32" spans="1:75" x14ac:dyDescent="0.2">
      <c r="A32" s="63" t="str">
        <f t="shared" si="9"/>
        <v/>
      </c>
      <c r="B32" s="182"/>
      <c r="C32" s="75"/>
      <c r="D32" s="75"/>
      <c r="E32" s="74"/>
      <c r="F32" s="181"/>
      <c r="G32" s="69"/>
      <c r="AB32" s="150">
        <f t="shared" si="0"/>
        <v>0</v>
      </c>
      <c r="AC32" s="150">
        <f t="shared" si="1"/>
        <v>0</v>
      </c>
      <c r="AD32" s="98" t="str">
        <f t="shared" si="10"/>
        <v>0000000000</v>
      </c>
      <c r="AE32" s="151">
        <f t="shared" si="3"/>
        <v>0</v>
      </c>
      <c r="AF32" s="98" t="str">
        <f t="shared" si="4"/>
        <v>00</v>
      </c>
      <c r="AG32" s="98" t="str">
        <f t="shared" si="11"/>
        <v>000000000000</v>
      </c>
      <c r="AH32" s="161" t="str">
        <f t="shared" si="5"/>
        <v xml:space="preserve">                    </v>
      </c>
      <c r="AI32" s="154">
        <f t="shared" si="6"/>
        <v>0</v>
      </c>
      <c r="AJ32" s="155">
        <f t="shared" si="7"/>
        <v>0</v>
      </c>
      <c r="AP32" s="63" t="str">
        <f t="shared" si="8"/>
        <v/>
      </c>
      <c r="AQ32" s="63" t="str">
        <f t="shared" si="2"/>
        <v xml:space="preserve">                    </v>
      </c>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row>
    <row r="33" spans="1:75" x14ac:dyDescent="0.2">
      <c r="A33" s="63" t="str">
        <f t="shared" si="9"/>
        <v/>
      </c>
      <c r="B33" s="182"/>
      <c r="C33" s="75"/>
      <c r="D33" s="75"/>
      <c r="E33" s="74"/>
      <c r="F33" s="181"/>
      <c r="G33" s="69"/>
      <c r="AB33" s="150">
        <f t="shared" si="0"/>
        <v>0</v>
      </c>
      <c r="AC33" s="150">
        <f t="shared" si="1"/>
        <v>0</v>
      </c>
      <c r="AD33" s="98" t="str">
        <f t="shared" si="10"/>
        <v>0000000000</v>
      </c>
      <c r="AE33" s="151">
        <f t="shared" si="3"/>
        <v>0</v>
      </c>
      <c r="AF33" s="98" t="str">
        <f t="shared" si="4"/>
        <v>00</v>
      </c>
      <c r="AG33" s="98" t="str">
        <f t="shared" si="11"/>
        <v>000000000000</v>
      </c>
      <c r="AH33" s="161" t="str">
        <f t="shared" si="5"/>
        <v xml:space="preserve">                    </v>
      </c>
      <c r="AI33" s="154">
        <f t="shared" si="6"/>
        <v>0</v>
      </c>
      <c r="AJ33" s="155">
        <f t="shared" si="7"/>
        <v>0</v>
      </c>
      <c r="AP33" s="63" t="str">
        <f t="shared" si="8"/>
        <v/>
      </c>
      <c r="AQ33" s="63" t="str">
        <f t="shared" si="2"/>
        <v xml:space="preserve">                    </v>
      </c>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row>
    <row r="34" spans="1:75" x14ac:dyDescent="0.2">
      <c r="A34" s="63" t="str">
        <f t="shared" si="9"/>
        <v/>
      </c>
      <c r="B34" s="182"/>
      <c r="C34" s="75"/>
      <c r="D34" s="75"/>
      <c r="E34" s="74"/>
      <c r="F34" s="181"/>
      <c r="G34" s="69"/>
      <c r="AB34" s="150">
        <f t="shared" si="0"/>
        <v>0</v>
      </c>
      <c r="AC34" s="150">
        <f t="shared" si="1"/>
        <v>0</v>
      </c>
      <c r="AD34" s="98" t="str">
        <f t="shared" si="10"/>
        <v>0000000000</v>
      </c>
      <c r="AE34" s="151">
        <f t="shared" si="3"/>
        <v>0</v>
      </c>
      <c r="AF34" s="98" t="str">
        <f t="shared" si="4"/>
        <v>00</v>
      </c>
      <c r="AG34" s="98" t="str">
        <f t="shared" si="11"/>
        <v>000000000000</v>
      </c>
      <c r="AH34" s="161" t="str">
        <f t="shared" si="5"/>
        <v xml:space="preserve">                    </v>
      </c>
      <c r="AI34" s="154">
        <f t="shared" si="6"/>
        <v>0</v>
      </c>
      <c r="AJ34" s="155">
        <f t="shared" si="7"/>
        <v>0</v>
      </c>
      <c r="AP34" s="63" t="str">
        <f t="shared" si="8"/>
        <v/>
      </c>
      <c r="AQ34" s="63" t="str">
        <f t="shared" si="2"/>
        <v xml:space="preserve">                    </v>
      </c>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row>
    <row r="35" spans="1:75" x14ac:dyDescent="0.2">
      <c r="A35" s="63" t="str">
        <f t="shared" si="9"/>
        <v/>
      </c>
      <c r="B35" s="182"/>
      <c r="C35" s="75"/>
      <c r="D35" s="75"/>
      <c r="E35" s="74"/>
      <c r="F35" s="181"/>
      <c r="G35" s="69"/>
      <c r="AB35" s="150">
        <f t="shared" si="0"/>
        <v>0</v>
      </c>
      <c r="AC35" s="150">
        <f t="shared" si="1"/>
        <v>0</v>
      </c>
      <c r="AD35" s="98" t="str">
        <f t="shared" si="10"/>
        <v>0000000000</v>
      </c>
      <c r="AE35" s="151">
        <f t="shared" si="3"/>
        <v>0</v>
      </c>
      <c r="AF35" s="98" t="str">
        <f t="shared" si="4"/>
        <v>00</v>
      </c>
      <c r="AG35" s="98" t="str">
        <f t="shared" si="11"/>
        <v>000000000000</v>
      </c>
      <c r="AH35" s="161" t="str">
        <f t="shared" si="5"/>
        <v xml:space="preserve">                    </v>
      </c>
      <c r="AI35" s="154">
        <f t="shared" si="6"/>
        <v>0</v>
      </c>
      <c r="AJ35" s="155">
        <f t="shared" si="7"/>
        <v>0</v>
      </c>
      <c r="AP35" s="63" t="str">
        <f t="shared" si="8"/>
        <v/>
      </c>
      <c r="AQ35" s="63" t="str">
        <f t="shared" si="2"/>
        <v xml:space="preserve">                    </v>
      </c>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row>
    <row r="36" spans="1:75" x14ac:dyDescent="0.2">
      <c r="A36" s="63" t="str">
        <f t="shared" si="9"/>
        <v/>
      </c>
      <c r="B36" s="182"/>
      <c r="C36" s="75"/>
      <c r="D36" s="75"/>
      <c r="E36" s="74"/>
      <c r="F36" s="181"/>
      <c r="G36" s="69"/>
      <c r="AB36" s="150">
        <f t="shared" si="0"/>
        <v>0</v>
      </c>
      <c r="AC36" s="150">
        <f t="shared" si="1"/>
        <v>0</v>
      </c>
      <c r="AD36" s="98" t="str">
        <f t="shared" si="10"/>
        <v>0000000000</v>
      </c>
      <c r="AE36" s="151">
        <f t="shared" si="3"/>
        <v>0</v>
      </c>
      <c r="AF36" s="98" t="str">
        <f t="shared" si="4"/>
        <v>00</v>
      </c>
      <c r="AG36" s="98" t="str">
        <f t="shared" si="11"/>
        <v>000000000000</v>
      </c>
      <c r="AH36" s="161" t="str">
        <f t="shared" si="5"/>
        <v xml:space="preserve">                    </v>
      </c>
      <c r="AI36" s="154">
        <f t="shared" si="6"/>
        <v>0</v>
      </c>
      <c r="AJ36" s="155">
        <f t="shared" si="7"/>
        <v>0</v>
      </c>
      <c r="AP36" s="63" t="str">
        <f t="shared" si="8"/>
        <v/>
      </c>
      <c r="AQ36" s="63" t="str">
        <f t="shared" si="2"/>
        <v xml:space="preserve">                    </v>
      </c>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row>
    <row r="37" spans="1:75" x14ac:dyDescent="0.2">
      <c r="A37" s="63" t="str">
        <f t="shared" si="9"/>
        <v/>
      </c>
      <c r="B37" s="182"/>
      <c r="C37" s="75"/>
      <c r="D37" s="75"/>
      <c r="E37" s="74"/>
      <c r="F37" s="181"/>
      <c r="G37" s="69"/>
      <c r="AB37" s="150">
        <f t="shared" si="0"/>
        <v>0</v>
      </c>
      <c r="AC37" s="150">
        <f t="shared" si="1"/>
        <v>0</v>
      </c>
      <c r="AD37" s="98" t="str">
        <f t="shared" si="10"/>
        <v>0000000000</v>
      </c>
      <c r="AE37" s="151">
        <f t="shared" si="3"/>
        <v>0</v>
      </c>
      <c r="AF37" s="98" t="str">
        <f t="shared" si="4"/>
        <v>00</v>
      </c>
      <c r="AG37" s="98" t="str">
        <f t="shared" si="11"/>
        <v>000000000000</v>
      </c>
      <c r="AH37" s="161" t="str">
        <f t="shared" si="5"/>
        <v xml:space="preserve">                    </v>
      </c>
      <c r="AI37" s="154">
        <f t="shared" si="6"/>
        <v>0</v>
      </c>
      <c r="AJ37" s="155">
        <f t="shared" si="7"/>
        <v>0</v>
      </c>
      <c r="AP37" s="63" t="str">
        <f t="shared" si="8"/>
        <v/>
      </c>
      <c r="AQ37" s="63" t="str">
        <f t="shared" si="2"/>
        <v xml:space="preserve">                    </v>
      </c>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row>
    <row r="38" spans="1:75" x14ac:dyDescent="0.2">
      <c r="A38" s="63" t="str">
        <f t="shared" si="9"/>
        <v/>
      </c>
      <c r="B38" s="182"/>
      <c r="C38" s="75"/>
      <c r="D38" s="75"/>
      <c r="E38" s="74"/>
      <c r="F38" s="181"/>
      <c r="G38" s="69"/>
      <c r="AB38" s="150">
        <f t="shared" si="0"/>
        <v>0</v>
      </c>
      <c r="AC38" s="150">
        <f t="shared" si="1"/>
        <v>0</v>
      </c>
      <c r="AD38" s="98" t="str">
        <f t="shared" si="10"/>
        <v>0000000000</v>
      </c>
      <c r="AE38" s="151">
        <f t="shared" si="3"/>
        <v>0</v>
      </c>
      <c r="AF38" s="98" t="str">
        <f t="shared" si="4"/>
        <v>00</v>
      </c>
      <c r="AG38" s="98" t="str">
        <f t="shared" si="11"/>
        <v>000000000000</v>
      </c>
      <c r="AH38" s="161" t="str">
        <f t="shared" si="5"/>
        <v xml:space="preserve">                    </v>
      </c>
      <c r="AI38" s="154">
        <f t="shared" si="6"/>
        <v>0</v>
      </c>
      <c r="AJ38" s="155">
        <f t="shared" si="7"/>
        <v>0</v>
      </c>
      <c r="AP38" s="63" t="str">
        <f t="shared" si="8"/>
        <v/>
      </c>
      <c r="AQ38" s="63" t="str">
        <f t="shared" si="2"/>
        <v xml:space="preserve">                    </v>
      </c>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row>
    <row r="39" spans="1:75" x14ac:dyDescent="0.2">
      <c r="A39" s="63" t="str">
        <f t="shared" si="9"/>
        <v/>
      </c>
      <c r="B39" s="182"/>
      <c r="C39" s="75"/>
      <c r="D39" s="75"/>
      <c r="E39" s="74"/>
      <c r="F39" s="181"/>
      <c r="G39" s="69"/>
      <c r="AB39" s="150">
        <f t="shared" si="0"/>
        <v>0</v>
      </c>
      <c r="AC39" s="150">
        <f t="shared" si="1"/>
        <v>0</v>
      </c>
      <c r="AD39" s="98" t="str">
        <f t="shared" si="10"/>
        <v>0000000000</v>
      </c>
      <c r="AE39" s="151">
        <f t="shared" si="3"/>
        <v>0</v>
      </c>
      <c r="AF39" s="98" t="str">
        <f t="shared" si="4"/>
        <v>00</v>
      </c>
      <c r="AG39" s="98" t="str">
        <f t="shared" si="11"/>
        <v>000000000000</v>
      </c>
      <c r="AH39" s="161" t="str">
        <f t="shared" si="5"/>
        <v xml:space="preserve">                    </v>
      </c>
      <c r="AI39" s="154">
        <f t="shared" si="6"/>
        <v>0</v>
      </c>
      <c r="AJ39" s="155">
        <f t="shared" si="7"/>
        <v>0</v>
      </c>
      <c r="AP39" s="63" t="str">
        <f t="shared" si="8"/>
        <v/>
      </c>
      <c r="AQ39" s="63" t="str">
        <f t="shared" si="2"/>
        <v xml:space="preserve">                    </v>
      </c>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row>
    <row r="40" spans="1:75" x14ac:dyDescent="0.2">
      <c r="A40" s="63" t="str">
        <f t="shared" si="9"/>
        <v/>
      </c>
      <c r="B40" s="182"/>
      <c r="C40" s="75"/>
      <c r="D40" s="75"/>
      <c r="E40" s="74"/>
      <c r="F40" s="181"/>
      <c r="G40" s="69"/>
      <c r="AB40" s="150">
        <f t="shared" si="0"/>
        <v>0</v>
      </c>
      <c r="AC40" s="150">
        <f t="shared" si="1"/>
        <v>0</v>
      </c>
      <c r="AD40" s="98" t="str">
        <f t="shared" si="10"/>
        <v>0000000000</v>
      </c>
      <c r="AE40" s="151">
        <f t="shared" si="3"/>
        <v>0</v>
      </c>
      <c r="AF40" s="98" t="str">
        <f t="shared" si="4"/>
        <v>00</v>
      </c>
      <c r="AG40" s="98" t="str">
        <f t="shared" si="11"/>
        <v>000000000000</v>
      </c>
      <c r="AH40" s="161" t="str">
        <f t="shared" si="5"/>
        <v xml:space="preserve">                    </v>
      </c>
      <c r="AI40" s="154">
        <f t="shared" si="6"/>
        <v>0</v>
      </c>
      <c r="AJ40" s="155">
        <f t="shared" si="7"/>
        <v>0</v>
      </c>
      <c r="AP40" s="63" t="str">
        <f t="shared" si="8"/>
        <v/>
      </c>
      <c r="AQ40" s="63" t="str">
        <f t="shared" si="2"/>
        <v xml:space="preserve">                    </v>
      </c>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row>
    <row r="41" spans="1:75" x14ac:dyDescent="0.2">
      <c r="A41" s="63" t="str">
        <f t="shared" si="9"/>
        <v/>
      </c>
      <c r="B41" s="182"/>
      <c r="C41" s="75"/>
      <c r="D41" s="75"/>
      <c r="E41" s="74"/>
      <c r="F41" s="181"/>
      <c r="G41" s="69"/>
      <c r="AB41" s="150">
        <f t="shared" si="0"/>
        <v>0</v>
      </c>
      <c r="AC41" s="150">
        <f t="shared" si="1"/>
        <v>0</v>
      </c>
      <c r="AD41" s="98" t="str">
        <f t="shared" si="10"/>
        <v>0000000000</v>
      </c>
      <c r="AE41" s="151">
        <f t="shared" si="3"/>
        <v>0</v>
      </c>
      <c r="AF41" s="98" t="str">
        <f t="shared" si="4"/>
        <v>00</v>
      </c>
      <c r="AG41" s="98" t="str">
        <f t="shared" si="11"/>
        <v>000000000000</v>
      </c>
      <c r="AH41" s="161" t="str">
        <f t="shared" si="5"/>
        <v xml:space="preserve">                    </v>
      </c>
      <c r="AI41" s="154">
        <f t="shared" si="6"/>
        <v>0</v>
      </c>
      <c r="AJ41" s="155">
        <f t="shared" si="7"/>
        <v>0</v>
      </c>
      <c r="AP41" s="63" t="str">
        <f t="shared" si="8"/>
        <v/>
      </c>
      <c r="AQ41" s="63" t="str">
        <f t="shared" si="2"/>
        <v xml:space="preserve">                    </v>
      </c>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row>
    <row r="42" spans="1:75" x14ac:dyDescent="0.2">
      <c r="A42" s="63" t="str">
        <f t="shared" si="9"/>
        <v/>
      </c>
      <c r="B42" s="182"/>
      <c r="C42" s="75"/>
      <c r="D42" s="75"/>
      <c r="E42" s="74"/>
      <c r="F42" s="181"/>
      <c r="G42" s="69"/>
      <c r="AB42" s="150">
        <f t="shared" si="0"/>
        <v>0</v>
      </c>
      <c r="AC42" s="150">
        <f t="shared" si="1"/>
        <v>0</v>
      </c>
      <c r="AD42" s="98" t="str">
        <f t="shared" si="10"/>
        <v>0000000000</v>
      </c>
      <c r="AE42" s="151">
        <f t="shared" si="3"/>
        <v>0</v>
      </c>
      <c r="AF42" s="98" t="str">
        <f t="shared" si="4"/>
        <v>00</v>
      </c>
      <c r="AG42" s="98" t="str">
        <f t="shared" si="11"/>
        <v>000000000000</v>
      </c>
      <c r="AH42" s="161" t="str">
        <f t="shared" si="5"/>
        <v xml:space="preserve">                    </v>
      </c>
      <c r="AI42" s="154">
        <f t="shared" si="6"/>
        <v>0</v>
      </c>
      <c r="AJ42" s="155">
        <f t="shared" si="7"/>
        <v>0</v>
      </c>
      <c r="AP42" s="63" t="str">
        <f t="shared" si="8"/>
        <v/>
      </c>
      <c r="AQ42" s="63" t="str">
        <f t="shared" si="2"/>
        <v xml:space="preserve">                    </v>
      </c>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row>
    <row r="43" spans="1:75" x14ac:dyDescent="0.2">
      <c r="A43" s="63" t="str">
        <f t="shared" si="9"/>
        <v/>
      </c>
      <c r="B43" s="182"/>
      <c r="C43" s="75"/>
      <c r="D43" s="75"/>
      <c r="E43" s="74"/>
      <c r="F43" s="181"/>
      <c r="G43" s="69"/>
      <c r="AB43" s="150">
        <f t="shared" si="0"/>
        <v>0</v>
      </c>
      <c r="AC43" s="150">
        <f t="shared" si="1"/>
        <v>0</v>
      </c>
      <c r="AD43" s="98" t="str">
        <f t="shared" si="10"/>
        <v>0000000000</v>
      </c>
      <c r="AE43" s="151">
        <f t="shared" si="3"/>
        <v>0</v>
      </c>
      <c r="AF43" s="98" t="str">
        <f t="shared" si="4"/>
        <v>00</v>
      </c>
      <c r="AG43" s="98" t="str">
        <f t="shared" si="11"/>
        <v>000000000000</v>
      </c>
      <c r="AH43" s="161" t="str">
        <f t="shared" si="5"/>
        <v xml:space="preserve">                    </v>
      </c>
      <c r="AI43" s="154">
        <f t="shared" si="6"/>
        <v>0</v>
      </c>
      <c r="AJ43" s="155">
        <f t="shared" si="7"/>
        <v>0</v>
      </c>
      <c r="AP43" s="63" t="str">
        <f t="shared" si="8"/>
        <v/>
      </c>
      <c r="AQ43" s="63" t="str">
        <f t="shared" si="2"/>
        <v xml:space="preserve">                    </v>
      </c>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row>
    <row r="44" spans="1:75" x14ac:dyDescent="0.2">
      <c r="A44" s="63" t="str">
        <f t="shared" si="9"/>
        <v/>
      </c>
      <c r="B44" s="182"/>
      <c r="C44" s="75"/>
      <c r="D44" s="75"/>
      <c r="E44" s="74"/>
      <c r="F44" s="181"/>
      <c r="G44" s="69"/>
      <c r="AB44" s="150">
        <f t="shared" si="0"/>
        <v>0</v>
      </c>
      <c r="AC44" s="150">
        <f t="shared" si="1"/>
        <v>0</v>
      </c>
      <c r="AD44" s="98" t="str">
        <f t="shared" si="10"/>
        <v>0000000000</v>
      </c>
      <c r="AE44" s="151">
        <f t="shared" si="3"/>
        <v>0</v>
      </c>
      <c r="AF44" s="98" t="str">
        <f t="shared" si="4"/>
        <v>00</v>
      </c>
      <c r="AG44" s="98" t="str">
        <f t="shared" si="11"/>
        <v>000000000000</v>
      </c>
      <c r="AH44" s="161" t="str">
        <f t="shared" si="5"/>
        <v xml:space="preserve">                    </v>
      </c>
      <c r="AI44" s="154">
        <f t="shared" si="6"/>
        <v>0</v>
      </c>
      <c r="AJ44" s="155">
        <f t="shared" si="7"/>
        <v>0</v>
      </c>
      <c r="AP44" s="63" t="str">
        <f t="shared" si="8"/>
        <v/>
      </c>
      <c r="AQ44" s="63" t="str">
        <f t="shared" si="2"/>
        <v xml:space="preserve">                    </v>
      </c>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row>
    <row r="45" spans="1:75" x14ac:dyDescent="0.2">
      <c r="A45" s="63" t="str">
        <f t="shared" si="9"/>
        <v/>
      </c>
      <c r="B45" s="182"/>
      <c r="C45" s="75"/>
      <c r="D45" s="75"/>
      <c r="E45" s="74"/>
      <c r="F45" s="181"/>
      <c r="G45" s="69"/>
      <c r="AB45" s="150">
        <f t="shared" si="0"/>
        <v>0</v>
      </c>
      <c r="AC45" s="150">
        <f t="shared" si="1"/>
        <v>0</v>
      </c>
      <c r="AD45" s="98" t="str">
        <f t="shared" si="10"/>
        <v>0000000000</v>
      </c>
      <c r="AE45" s="151">
        <f t="shared" si="3"/>
        <v>0</v>
      </c>
      <c r="AF45" s="98" t="str">
        <f t="shared" si="4"/>
        <v>00</v>
      </c>
      <c r="AG45" s="98" t="str">
        <f t="shared" si="11"/>
        <v>000000000000</v>
      </c>
      <c r="AH45" s="161" t="str">
        <f t="shared" si="5"/>
        <v xml:space="preserve">                    </v>
      </c>
      <c r="AI45" s="154">
        <f t="shared" si="6"/>
        <v>0</v>
      </c>
      <c r="AJ45" s="155">
        <f t="shared" si="7"/>
        <v>0</v>
      </c>
      <c r="AP45" s="63" t="str">
        <f t="shared" si="8"/>
        <v/>
      </c>
      <c r="AQ45" s="63" t="str">
        <f t="shared" si="2"/>
        <v xml:space="preserve">                    </v>
      </c>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row>
    <row r="46" spans="1:75" x14ac:dyDescent="0.2">
      <c r="A46" s="63" t="str">
        <f t="shared" si="9"/>
        <v/>
      </c>
      <c r="B46" s="182"/>
      <c r="C46" s="75"/>
      <c r="D46" s="75"/>
      <c r="E46" s="74"/>
      <c r="F46" s="181"/>
      <c r="G46" s="69"/>
      <c r="AB46" s="150">
        <f t="shared" si="0"/>
        <v>0</v>
      </c>
      <c r="AC46" s="150">
        <f t="shared" si="1"/>
        <v>0</v>
      </c>
      <c r="AD46" s="98" t="str">
        <f t="shared" si="10"/>
        <v>0000000000</v>
      </c>
      <c r="AE46" s="151">
        <f t="shared" si="3"/>
        <v>0</v>
      </c>
      <c r="AF46" s="98" t="str">
        <f t="shared" si="4"/>
        <v>00</v>
      </c>
      <c r="AG46" s="98" t="str">
        <f t="shared" si="11"/>
        <v>000000000000</v>
      </c>
      <c r="AH46" s="161" t="str">
        <f t="shared" si="5"/>
        <v xml:space="preserve">                    </v>
      </c>
      <c r="AI46" s="154">
        <f t="shared" si="6"/>
        <v>0</v>
      </c>
      <c r="AJ46" s="155">
        <f t="shared" si="7"/>
        <v>0</v>
      </c>
      <c r="AP46" s="63" t="str">
        <f t="shared" si="8"/>
        <v/>
      </c>
      <c r="AQ46" s="63" t="str">
        <f t="shared" si="2"/>
        <v xml:space="preserve">                    </v>
      </c>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BT46" s="63"/>
      <c r="BU46" s="63"/>
      <c r="BV46" s="63"/>
      <c r="BW46" s="63"/>
    </row>
    <row r="47" spans="1:75" x14ac:dyDescent="0.2">
      <c r="A47" s="63" t="str">
        <f t="shared" si="9"/>
        <v/>
      </c>
      <c r="B47" s="182"/>
      <c r="C47" s="75"/>
      <c r="D47" s="75"/>
      <c r="E47" s="74"/>
      <c r="F47" s="181"/>
      <c r="G47" s="69"/>
      <c r="AB47" s="150">
        <f t="shared" si="0"/>
        <v>0</v>
      </c>
      <c r="AC47" s="150">
        <f t="shared" si="1"/>
        <v>0</v>
      </c>
      <c r="AD47" s="98" t="str">
        <f t="shared" si="10"/>
        <v>0000000000</v>
      </c>
      <c r="AE47" s="151">
        <f t="shared" si="3"/>
        <v>0</v>
      </c>
      <c r="AF47" s="98" t="str">
        <f t="shared" si="4"/>
        <v>00</v>
      </c>
      <c r="AG47" s="98" t="str">
        <f t="shared" si="11"/>
        <v>000000000000</v>
      </c>
      <c r="AH47" s="161" t="str">
        <f t="shared" si="5"/>
        <v xml:space="preserve">                    </v>
      </c>
      <c r="AI47" s="154">
        <f t="shared" si="6"/>
        <v>0</v>
      </c>
      <c r="AJ47" s="155">
        <f t="shared" si="7"/>
        <v>0</v>
      </c>
      <c r="AP47" s="63" t="str">
        <f t="shared" si="8"/>
        <v/>
      </c>
      <c r="AQ47" s="63" t="str">
        <f t="shared" si="2"/>
        <v xml:space="preserve">                    </v>
      </c>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row>
    <row r="48" spans="1:75" x14ac:dyDescent="0.2">
      <c r="A48" s="63" t="str">
        <f t="shared" si="9"/>
        <v/>
      </c>
      <c r="B48" s="182"/>
      <c r="C48" s="75"/>
      <c r="D48" s="75"/>
      <c r="E48" s="74"/>
      <c r="F48" s="181"/>
      <c r="G48" s="69"/>
      <c r="AB48" s="150">
        <f t="shared" si="0"/>
        <v>0</v>
      </c>
      <c r="AC48" s="150">
        <f t="shared" si="1"/>
        <v>0</v>
      </c>
      <c r="AD48" s="98" t="str">
        <f t="shared" si="10"/>
        <v>0000000000</v>
      </c>
      <c r="AE48" s="151">
        <f t="shared" si="3"/>
        <v>0</v>
      </c>
      <c r="AF48" s="98" t="str">
        <f t="shared" si="4"/>
        <v>00</v>
      </c>
      <c r="AG48" s="98" t="str">
        <f t="shared" si="11"/>
        <v>000000000000</v>
      </c>
      <c r="AH48" s="161" t="str">
        <f t="shared" si="5"/>
        <v xml:space="preserve">                    </v>
      </c>
      <c r="AI48" s="154">
        <f t="shared" si="6"/>
        <v>0</v>
      </c>
      <c r="AJ48" s="155">
        <f t="shared" si="7"/>
        <v>0</v>
      </c>
      <c r="AP48" s="63" t="str">
        <f t="shared" si="8"/>
        <v/>
      </c>
      <c r="AQ48" s="63" t="str">
        <f t="shared" si="2"/>
        <v xml:space="preserve">                    </v>
      </c>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row>
    <row r="49" spans="1:75" x14ac:dyDescent="0.2">
      <c r="A49" s="63" t="str">
        <f t="shared" si="9"/>
        <v/>
      </c>
      <c r="B49" s="182"/>
      <c r="C49" s="75"/>
      <c r="D49" s="75"/>
      <c r="E49" s="74"/>
      <c r="F49" s="181"/>
      <c r="G49" s="69"/>
      <c r="AB49" s="150">
        <f t="shared" si="0"/>
        <v>0</v>
      </c>
      <c r="AC49" s="150">
        <f t="shared" si="1"/>
        <v>0</v>
      </c>
      <c r="AD49" s="98" t="str">
        <f t="shared" si="10"/>
        <v>0000000000</v>
      </c>
      <c r="AE49" s="151">
        <f t="shared" si="3"/>
        <v>0</v>
      </c>
      <c r="AF49" s="98" t="str">
        <f t="shared" si="4"/>
        <v>00</v>
      </c>
      <c r="AG49" s="98" t="str">
        <f t="shared" si="11"/>
        <v>000000000000</v>
      </c>
      <c r="AH49" s="161" t="str">
        <f t="shared" si="5"/>
        <v xml:space="preserve">                    </v>
      </c>
      <c r="AI49" s="154">
        <f t="shared" si="6"/>
        <v>0</v>
      </c>
      <c r="AJ49" s="155">
        <f t="shared" si="7"/>
        <v>0</v>
      </c>
      <c r="AP49" s="63" t="str">
        <f t="shared" si="8"/>
        <v/>
      </c>
      <c r="AQ49" s="63" t="str">
        <f t="shared" si="2"/>
        <v xml:space="preserve">                    </v>
      </c>
      <c r="AR49" s="63"/>
      <c r="AS49" s="63"/>
      <c r="AT49" s="63"/>
      <c r="AU49" s="63"/>
      <c r="AV49" s="63"/>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BT49" s="63"/>
      <c r="BU49" s="63"/>
      <c r="BV49" s="63"/>
      <c r="BW49" s="63"/>
    </row>
    <row r="50" spans="1:75" x14ac:dyDescent="0.2">
      <c r="A50" s="63" t="str">
        <f t="shared" si="9"/>
        <v/>
      </c>
      <c r="B50" s="182"/>
      <c r="C50" s="75"/>
      <c r="D50" s="75"/>
      <c r="E50" s="74"/>
      <c r="F50" s="181"/>
      <c r="G50" s="69"/>
      <c r="AB50" s="150">
        <f t="shared" si="0"/>
        <v>0</v>
      </c>
      <c r="AC50" s="150">
        <f t="shared" si="1"/>
        <v>0</v>
      </c>
      <c r="AD50" s="98" t="str">
        <f t="shared" si="10"/>
        <v>0000000000</v>
      </c>
      <c r="AE50" s="151">
        <f t="shared" si="3"/>
        <v>0</v>
      </c>
      <c r="AF50" s="98" t="str">
        <f t="shared" si="4"/>
        <v>00</v>
      </c>
      <c r="AG50" s="98" t="str">
        <f t="shared" si="11"/>
        <v>000000000000</v>
      </c>
      <c r="AH50" s="161" t="str">
        <f t="shared" si="5"/>
        <v xml:space="preserve">                    </v>
      </c>
      <c r="AI50" s="154">
        <f t="shared" si="6"/>
        <v>0</v>
      </c>
      <c r="AJ50" s="155">
        <f t="shared" si="7"/>
        <v>0</v>
      </c>
      <c r="AP50" s="63" t="str">
        <f t="shared" si="8"/>
        <v/>
      </c>
      <c r="AQ50" s="63" t="str">
        <f t="shared" si="2"/>
        <v xml:space="preserve">                    </v>
      </c>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BT50" s="63"/>
      <c r="BU50" s="63"/>
      <c r="BV50" s="63"/>
      <c r="BW50" s="63"/>
    </row>
    <row r="51" spans="1:75" x14ac:dyDescent="0.2">
      <c r="A51" s="63" t="str">
        <f t="shared" si="9"/>
        <v/>
      </c>
      <c r="B51" s="182"/>
      <c r="C51" s="75"/>
      <c r="D51" s="75"/>
      <c r="E51" s="74"/>
      <c r="F51" s="181"/>
      <c r="G51" s="69"/>
      <c r="AB51" s="150">
        <f t="shared" si="0"/>
        <v>0</v>
      </c>
      <c r="AC51" s="150">
        <f t="shared" si="1"/>
        <v>0</v>
      </c>
      <c r="AD51" s="98" t="str">
        <f t="shared" si="10"/>
        <v>0000000000</v>
      </c>
      <c r="AE51" s="151">
        <f t="shared" si="3"/>
        <v>0</v>
      </c>
      <c r="AF51" s="98" t="str">
        <f t="shared" si="4"/>
        <v>00</v>
      </c>
      <c r="AG51" s="98" t="str">
        <f t="shared" si="11"/>
        <v>000000000000</v>
      </c>
      <c r="AH51" s="161" t="str">
        <f t="shared" si="5"/>
        <v xml:space="preserve">                    </v>
      </c>
      <c r="AI51" s="154">
        <f t="shared" si="6"/>
        <v>0</v>
      </c>
      <c r="AJ51" s="155">
        <f t="shared" si="7"/>
        <v>0</v>
      </c>
      <c r="AP51" s="63" t="str">
        <f t="shared" si="8"/>
        <v/>
      </c>
      <c r="AQ51" s="63" t="str">
        <f t="shared" si="2"/>
        <v xml:space="preserve">                    </v>
      </c>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row>
    <row r="52" spans="1:75" x14ac:dyDescent="0.2">
      <c r="A52" s="63" t="str">
        <f t="shared" si="9"/>
        <v/>
      </c>
      <c r="B52" s="182"/>
      <c r="C52" s="75"/>
      <c r="D52" s="75"/>
      <c r="E52" s="74"/>
      <c r="F52" s="181"/>
      <c r="G52" s="69"/>
      <c r="AB52" s="150">
        <f t="shared" si="0"/>
        <v>0</v>
      </c>
      <c r="AC52" s="150">
        <f t="shared" si="1"/>
        <v>0</v>
      </c>
      <c r="AD52" s="98" t="str">
        <f t="shared" si="10"/>
        <v>0000000000</v>
      </c>
      <c r="AE52" s="151">
        <f t="shared" si="3"/>
        <v>0</v>
      </c>
      <c r="AF52" s="98" t="str">
        <f t="shared" si="4"/>
        <v>00</v>
      </c>
      <c r="AG52" s="98" t="str">
        <f t="shared" si="11"/>
        <v>000000000000</v>
      </c>
      <c r="AH52" s="161" t="str">
        <f t="shared" si="5"/>
        <v xml:space="preserve">                    </v>
      </c>
      <c r="AI52" s="154">
        <f t="shared" si="6"/>
        <v>0</v>
      </c>
      <c r="AJ52" s="155">
        <f t="shared" si="7"/>
        <v>0</v>
      </c>
      <c r="AP52" s="63" t="str">
        <f t="shared" si="8"/>
        <v/>
      </c>
      <c r="AQ52" s="63" t="str">
        <f t="shared" si="2"/>
        <v xml:space="preserve">                    </v>
      </c>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BT52" s="63"/>
      <c r="BU52" s="63"/>
      <c r="BV52" s="63"/>
      <c r="BW52" s="63"/>
    </row>
    <row r="53" spans="1:75" x14ac:dyDescent="0.2">
      <c r="A53" s="63" t="str">
        <f t="shared" si="9"/>
        <v/>
      </c>
      <c r="B53" s="182"/>
      <c r="C53" s="75"/>
      <c r="D53" s="75"/>
      <c r="E53" s="74"/>
      <c r="F53" s="181"/>
      <c r="G53" s="69"/>
      <c r="AB53" s="150">
        <f t="shared" si="0"/>
        <v>0</v>
      </c>
      <c r="AC53" s="150">
        <f t="shared" si="1"/>
        <v>0</v>
      </c>
      <c r="AD53" s="98" t="str">
        <f t="shared" si="10"/>
        <v>0000000000</v>
      </c>
      <c r="AE53" s="151">
        <f t="shared" si="3"/>
        <v>0</v>
      </c>
      <c r="AF53" s="98" t="str">
        <f t="shared" si="4"/>
        <v>00</v>
      </c>
      <c r="AG53" s="98" t="str">
        <f t="shared" si="11"/>
        <v>000000000000</v>
      </c>
      <c r="AH53" s="161" t="str">
        <f t="shared" si="5"/>
        <v xml:space="preserve">                    </v>
      </c>
      <c r="AI53" s="154">
        <f t="shared" si="6"/>
        <v>0</v>
      </c>
      <c r="AJ53" s="155">
        <f t="shared" si="7"/>
        <v>0</v>
      </c>
      <c r="AP53" s="63" t="str">
        <f t="shared" si="8"/>
        <v/>
      </c>
      <c r="AQ53" s="63" t="str">
        <f t="shared" si="2"/>
        <v xml:space="preserve">                    </v>
      </c>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row>
    <row r="54" spans="1:75" x14ac:dyDescent="0.2">
      <c r="A54" s="63" t="str">
        <f t="shared" si="9"/>
        <v/>
      </c>
      <c r="B54" s="182"/>
      <c r="C54" s="75"/>
      <c r="D54" s="75"/>
      <c r="E54" s="74"/>
      <c r="F54" s="181"/>
      <c r="G54" s="69"/>
      <c r="AB54" s="150">
        <f t="shared" si="0"/>
        <v>0</v>
      </c>
      <c r="AC54" s="150">
        <f t="shared" si="1"/>
        <v>0</v>
      </c>
      <c r="AD54" s="98" t="str">
        <f t="shared" si="10"/>
        <v>0000000000</v>
      </c>
      <c r="AE54" s="151">
        <f t="shared" si="3"/>
        <v>0</v>
      </c>
      <c r="AF54" s="98" t="str">
        <f t="shared" si="4"/>
        <v>00</v>
      </c>
      <c r="AG54" s="98" t="str">
        <f t="shared" si="11"/>
        <v>000000000000</v>
      </c>
      <c r="AH54" s="161" t="str">
        <f t="shared" si="5"/>
        <v xml:space="preserve">                    </v>
      </c>
      <c r="AI54" s="154">
        <f t="shared" si="6"/>
        <v>0</v>
      </c>
      <c r="AJ54" s="155">
        <f t="shared" si="7"/>
        <v>0</v>
      </c>
      <c r="AP54" s="63" t="str">
        <f t="shared" si="8"/>
        <v/>
      </c>
      <c r="AQ54" s="63" t="str">
        <f t="shared" si="2"/>
        <v xml:space="preserve">                    </v>
      </c>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BT54" s="63"/>
      <c r="BU54" s="63"/>
      <c r="BV54" s="63"/>
      <c r="BW54" s="63"/>
    </row>
    <row r="55" spans="1:75" x14ac:dyDescent="0.2">
      <c r="A55" s="63" t="str">
        <f t="shared" si="9"/>
        <v/>
      </c>
      <c r="B55" s="182"/>
      <c r="C55" s="75"/>
      <c r="D55" s="75"/>
      <c r="E55" s="74"/>
      <c r="F55" s="181"/>
      <c r="G55" s="69"/>
      <c r="AB55" s="150">
        <f t="shared" si="0"/>
        <v>0</v>
      </c>
      <c r="AC55" s="150">
        <f t="shared" si="1"/>
        <v>0</v>
      </c>
      <c r="AD55" s="98" t="str">
        <f t="shared" si="10"/>
        <v>0000000000</v>
      </c>
      <c r="AE55" s="151">
        <f t="shared" si="3"/>
        <v>0</v>
      </c>
      <c r="AF55" s="98" t="str">
        <f t="shared" si="4"/>
        <v>00</v>
      </c>
      <c r="AG55" s="98" t="str">
        <f t="shared" si="11"/>
        <v>000000000000</v>
      </c>
      <c r="AH55" s="161" t="str">
        <f t="shared" si="5"/>
        <v xml:space="preserve">                    </v>
      </c>
      <c r="AI55" s="154">
        <f t="shared" si="6"/>
        <v>0</v>
      </c>
      <c r="AJ55" s="155">
        <f t="shared" si="7"/>
        <v>0</v>
      </c>
      <c r="AP55" s="63" t="str">
        <f t="shared" si="8"/>
        <v/>
      </c>
      <c r="AQ55" s="63" t="str">
        <f t="shared" si="2"/>
        <v xml:space="preserve">                    </v>
      </c>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BT55" s="63"/>
      <c r="BU55" s="63"/>
      <c r="BV55" s="63"/>
      <c r="BW55" s="63"/>
    </row>
    <row r="56" spans="1:75" x14ac:dyDescent="0.2">
      <c r="A56" s="63" t="str">
        <f t="shared" si="9"/>
        <v/>
      </c>
      <c r="B56" s="182"/>
      <c r="C56" s="75"/>
      <c r="D56" s="75"/>
      <c r="E56" s="74"/>
      <c r="F56" s="181"/>
      <c r="G56" s="69"/>
      <c r="AB56" s="150">
        <f t="shared" si="0"/>
        <v>0</v>
      </c>
      <c r="AC56" s="150">
        <f t="shared" si="1"/>
        <v>0</v>
      </c>
      <c r="AD56" s="98" t="str">
        <f t="shared" si="10"/>
        <v>0000000000</v>
      </c>
      <c r="AE56" s="151">
        <f t="shared" si="3"/>
        <v>0</v>
      </c>
      <c r="AF56" s="98" t="str">
        <f t="shared" si="4"/>
        <v>00</v>
      </c>
      <c r="AG56" s="98" t="str">
        <f t="shared" si="11"/>
        <v>000000000000</v>
      </c>
      <c r="AH56" s="161" t="str">
        <f t="shared" si="5"/>
        <v xml:space="preserve">                    </v>
      </c>
      <c r="AI56" s="154">
        <f t="shared" si="6"/>
        <v>0</v>
      </c>
      <c r="AJ56" s="155">
        <f t="shared" si="7"/>
        <v>0</v>
      </c>
      <c r="AP56" s="63" t="str">
        <f t="shared" si="8"/>
        <v/>
      </c>
      <c r="AQ56" s="63" t="str">
        <f t="shared" si="2"/>
        <v xml:space="preserve">                    </v>
      </c>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BT56" s="63"/>
      <c r="BU56" s="63"/>
      <c r="BV56" s="63"/>
      <c r="BW56" s="63"/>
    </row>
    <row r="57" spans="1:75" x14ac:dyDescent="0.2">
      <c r="A57" s="63" t="str">
        <f t="shared" si="9"/>
        <v/>
      </c>
      <c r="B57" s="182"/>
      <c r="C57" s="75"/>
      <c r="D57" s="75"/>
      <c r="E57" s="74"/>
      <c r="F57" s="181"/>
      <c r="G57" s="69"/>
      <c r="AB57" s="150">
        <f t="shared" si="0"/>
        <v>0</v>
      </c>
      <c r="AC57" s="150">
        <f t="shared" si="1"/>
        <v>0</v>
      </c>
      <c r="AD57" s="98" t="str">
        <f t="shared" si="10"/>
        <v>0000000000</v>
      </c>
      <c r="AE57" s="151">
        <f t="shared" si="3"/>
        <v>0</v>
      </c>
      <c r="AF57" s="98" t="str">
        <f t="shared" si="4"/>
        <v>00</v>
      </c>
      <c r="AG57" s="98" t="str">
        <f t="shared" si="11"/>
        <v>000000000000</v>
      </c>
      <c r="AH57" s="161" t="str">
        <f t="shared" si="5"/>
        <v xml:space="preserve">                    </v>
      </c>
      <c r="AI57" s="154">
        <f t="shared" si="6"/>
        <v>0</v>
      </c>
      <c r="AJ57" s="155">
        <f t="shared" si="7"/>
        <v>0</v>
      </c>
      <c r="AP57" s="63" t="str">
        <f t="shared" si="8"/>
        <v/>
      </c>
      <c r="AQ57" s="63" t="str">
        <f t="shared" si="2"/>
        <v xml:space="preserve">                    </v>
      </c>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BT57" s="63"/>
      <c r="BU57" s="63"/>
      <c r="BV57" s="63"/>
      <c r="BW57" s="63"/>
    </row>
    <row r="58" spans="1:75" x14ac:dyDescent="0.2">
      <c r="A58" s="63" t="str">
        <f t="shared" si="9"/>
        <v/>
      </c>
      <c r="B58" s="182"/>
      <c r="C58" s="75"/>
      <c r="D58" s="75"/>
      <c r="E58" s="74"/>
      <c r="F58" s="181"/>
      <c r="G58" s="69"/>
      <c r="AB58" s="150">
        <f t="shared" si="0"/>
        <v>0</v>
      </c>
      <c r="AC58" s="150">
        <f t="shared" si="1"/>
        <v>0</v>
      </c>
      <c r="AD58" s="98" t="str">
        <f t="shared" si="10"/>
        <v>0000000000</v>
      </c>
      <c r="AE58" s="151">
        <f t="shared" si="3"/>
        <v>0</v>
      </c>
      <c r="AF58" s="98" t="str">
        <f t="shared" si="4"/>
        <v>00</v>
      </c>
      <c r="AG58" s="98" t="str">
        <f t="shared" si="11"/>
        <v>000000000000</v>
      </c>
      <c r="AH58" s="161" t="str">
        <f t="shared" si="5"/>
        <v xml:space="preserve">                    </v>
      </c>
      <c r="AI58" s="154">
        <f t="shared" si="6"/>
        <v>0</v>
      </c>
      <c r="AJ58" s="155">
        <f t="shared" si="7"/>
        <v>0</v>
      </c>
      <c r="AP58" s="63" t="str">
        <f t="shared" si="8"/>
        <v/>
      </c>
      <c r="AQ58" s="63" t="str">
        <f t="shared" si="2"/>
        <v xml:space="preserve">                    </v>
      </c>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BT58" s="63"/>
      <c r="BU58" s="63"/>
      <c r="BV58" s="63"/>
      <c r="BW58" s="63"/>
    </row>
    <row r="59" spans="1:75" x14ac:dyDescent="0.2">
      <c r="A59" s="63" t="str">
        <f t="shared" si="9"/>
        <v/>
      </c>
      <c r="B59" s="182"/>
      <c r="C59" s="75"/>
      <c r="D59" s="75"/>
      <c r="E59" s="74"/>
      <c r="F59" s="181"/>
      <c r="G59" s="69"/>
      <c r="AB59" s="150">
        <f t="shared" si="0"/>
        <v>0</v>
      </c>
      <c r="AC59" s="150">
        <f t="shared" si="1"/>
        <v>0</v>
      </c>
      <c r="AD59" s="98" t="str">
        <f t="shared" si="10"/>
        <v>0000000000</v>
      </c>
      <c r="AE59" s="151">
        <f t="shared" si="3"/>
        <v>0</v>
      </c>
      <c r="AF59" s="98" t="str">
        <f t="shared" si="4"/>
        <v>00</v>
      </c>
      <c r="AG59" s="98" t="str">
        <f t="shared" si="11"/>
        <v>000000000000</v>
      </c>
      <c r="AH59" s="161" t="str">
        <f t="shared" si="5"/>
        <v xml:space="preserve">                    </v>
      </c>
      <c r="AI59" s="154">
        <f t="shared" si="6"/>
        <v>0</v>
      </c>
      <c r="AJ59" s="155">
        <f t="shared" si="7"/>
        <v>0</v>
      </c>
      <c r="AP59" s="63" t="str">
        <f t="shared" si="8"/>
        <v/>
      </c>
      <c r="AQ59" s="63" t="str">
        <f t="shared" si="2"/>
        <v xml:space="preserve">                    </v>
      </c>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row>
    <row r="60" spans="1:75" x14ac:dyDescent="0.2">
      <c r="A60" s="63" t="str">
        <f t="shared" si="9"/>
        <v/>
      </c>
      <c r="B60" s="182"/>
      <c r="C60" s="75"/>
      <c r="D60" s="75"/>
      <c r="E60" s="74"/>
      <c r="F60" s="181"/>
      <c r="G60" s="69"/>
      <c r="AB60" s="150">
        <f t="shared" si="0"/>
        <v>0</v>
      </c>
      <c r="AC60" s="150">
        <f t="shared" si="1"/>
        <v>0</v>
      </c>
      <c r="AD60" s="98" t="str">
        <f t="shared" si="10"/>
        <v>0000000000</v>
      </c>
      <c r="AE60" s="151">
        <f t="shared" si="3"/>
        <v>0</v>
      </c>
      <c r="AF60" s="98" t="str">
        <f t="shared" si="4"/>
        <v>00</v>
      </c>
      <c r="AG60" s="98" t="str">
        <f t="shared" si="11"/>
        <v>000000000000</v>
      </c>
      <c r="AH60" s="161" t="str">
        <f t="shared" si="5"/>
        <v xml:space="preserve">                    </v>
      </c>
      <c r="AI60" s="154">
        <f t="shared" si="6"/>
        <v>0</v>
      </c>
      <c r="AJ60" s="155">
        <f t="shared" si="7"/>
        <v>0</v>
      </c>
      <c r="AP60" s="63" t="str">
        <f t="shared" si="8"/>
        <v/>
      </c>
      <c r="AQ60" s="63" t="str">
        <f t="shared" si="2"/>
        <v xml:space="preserve">                    </v>
      </c>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row>
    <row r="61" spans="1:75" x14ac:dyDescent="0.2">
      <c r="A61" s="63" t="str">
        <f t="shared" si="9"/>
        <v/>
      </c>
      <c r="B61" s="182"/>
      <c r="C61" s="75"/>
      <c r="D61" s="75"/>
      <c r="E61" s="74"/>
      <c r="F61" s="181"/>
      <c r="G61" s="69"/>
      <c r="AB61" s="150">
        <f t="shared" si="0"/>
        <v>0</v>
      </c>
      <c r="AC61" s="150">
        <f t="shared" si="1"/>
        <v>0</v>
      </c>
      <c r="AD61" s="98" t="str">
        <f t="shared" si="10"/>
        <v>0000000000</v>
      </c>
      <c r="AE61" s="151">
        <f t="shared" si="3"/>
        <v>0</v>
      </c>
      <c r="AF61" s="98" t="str">
        <f t="shared" si="4"/>
        <v>00</v>
      </c>
      <c r="AG61" s="98" t="str">
        <f t="shared" si="11"/>
        <v>000000000000</v>
      </c>
      <c r="AH61" s="161" t="str">
        <f t="shared" si="5"/>
        <v xml:space="preserve">                    </v>
      </c>
      <c r="AI61" s="154">
        <f t="shared" si="6"/>
        <v>0</v>
      </c>
      <c r="AJ61" s="155">
        <f t="shared" si="7"/>
        <v>0</v>
      </c>
      <c r="AP61" s="63" t="str">
        <f t="shared" si="8"/>
        <v/>
      </c>
      <c r="AQ61" s="63" t="str">
        <f t="shared" si="2"/>
        <v xml:space="preserve">                    </v>
      </c>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row>
    <row r="62" spans="1:75" x14ac:dyDescent="0.2">
      <c r="A62" s="63" t="str">
        <f t="shared" si="9"/>
        <v/>
      </c>
      <c r="B62" s="182"/>
      <c r="C62" s="75"/>
      <c r="D62" s="75"/>
      <c r="E62" s="74"/>
      <c r="F62" s="181"/>
      <c r="G62" s="69"/>
      <c r="AB62" s="150">
        <f t="shared" si="0"/>
        <v>0</v>
      </c>
      <c r="AC62" s="150">
        <f t="shared" si="1"/>
        <v>0</v>
      </c>
      <c r="AD62" s="98" t="str">
        <f t="shared" si="10"/>
        <v>0000000000</v>
      </c>
      <c r="AE62" s="151">
        <f t="shared" si="3"/>
        <v>0</v>
      </c>
      <c r="AF62" s="98" t="str">
        <f t="shared" si="4"/>
        <v>00</v>
      </c>
      <c r="AG62" s="98" t="str">
        <f t="shared" si="11"/>
        <v>000000000000</v>
      </c>
      <c r="AH62" s="161" t="str">
        <f t="shared" si="5"/>
        <v xml:space="preserve">                    </v>
      </c>
      <c r="AI62" s="154">
        <f t="shared" si="6"/>
        <v>0</v>
      </c>
      <c r="AJ62" s="155">
        <f t="shared" si="7"/>
        <v>0</v>
      </c>
      <c r="AP62" s="63" t="str">
        <f t="shared" si="8"/>
        <v/>
      </c>
      <c r="AQ62" s="63" t="str">
        <f t="shared" si="2"/>
        <v xml:space="preserve">                    </v>
      </c>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row>
    <row r="63" spans="1:75" x14ac:dyDescent="0.2">
      <c r="A63" s="63" t="str">
        <f t="shared" si="9"/>
        <v/>
      </c>
      <c r="B63" s="182"/>
      <c r="C63" s="75"/>
      <c r="D63" s="75"/>
      <c r="E63" s="74"/>
      <c r="F63" s="181"/>
      <c r="G63" s="69"/>
      <c r="AB63" s="150">
        <f t="shared" si="0"/>
        <v>0</v>
      </c>
      <c r="AC63" s="150">
        <f t="shared" si="1"/>
        <v>0</v>
      </c>
      <c r="AD63" s="98" t="str">
        <f t="shared" si="10"/>
        <v>0000000000</v>
      </c>
      <c r="AE63" s="151">
        <f t="shared" si="3"/>
        <v>0</v>
      </c>
      <c r="AF63" s="98" t="str">
        <f t="shared" si="4"/>
        <v>00</v>
      </c>
      <c r="AG63" s="98" t="str">
        <f t="shared" si="11"/>
        <v>000000000000</v>
      </c>
      <c r="AH63" s="161" t="str">
        <f t="shared" si="5"/>
        <v xml:space="preserve">                    </v>
      </c>
      <c r="AI63" s="154">
        <f t="shared" si="6"/>
        <v>0</v>
      </c>
      <c r="AJ63" s="155">
        <f t="shared" si="7"/>
        <v>0</v>
      </c>
      <c r="AP63" s="63" t="str">
        <f t="shared" si="8"/>
        <v/>
      </c>
      <c r="AQ63" s="63" t="str">
        <f t="shared" si="2"/>
        <v xml:space="preserve">                    </v>
      </c>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row>
    <row r="64" spans="1:75" x14ac:dyDescent="0.2">
      <c r="A64" s="63" t="str">
        <f t="shared" si="9"/>
        <v/>
      </c>
      <c r="B64" s="182"/>
      <c r="C64" s="75"/>
      <c r="D64" s="75"/>
      <c r="E64" s="74"/>
      <c r="F64" s="181"/>
      <c r="G64" s="69"/>
      <c r="AB64" s="150">
        <f t="shared" si="0"/>
        <v>0</v>
      </c>
      <c r="AC64" s="150">
        <f t="shared" si="1"/>
        <v>0</v>
      </c>
      <c r="AD64" s="98" t="str">
        <f t="shared" si="10"/>
        <v>0000000000</v>
      </c>
      <c r="AE64" s="151">
        <f t="shared" si="3"/>
        <v>0</v>
      </c>
      <c r="AF64" s="98" t="str">
        <f t="shared" si="4"/>
        <v>00</v>
      </c>
      <c r="AG64" s="98" t="str">
        <f t="shared" si="11"/>
        <v>000000000000</v>
      </c>
      <c r="AH64" s="161" t="str">
        <f t="shared" si="5"/>
        <v xml:space="preserve">                    </v>
      </c>
      <c r="AI64" s="154">
        <f t="shared" si="6"/>
        <v>0</v>
      </c>
      <c r="AJ64" s="155">
        <f t="shared" si="7"/>
        <v>0</v>
      </c>
      <c r="AP64" s="63" t="str">
        <f t="shared" si="8"/>
        <v/>
      </c>
      <c r="AQ64" s="63" t="str">
        <f t="shared" si="2"/>
        <v xml:space="preserve">                    </v>
      </c>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row>
    <row r="65" spans="1:75" x14ac:dyDescent="0.2">
      <c r="A65" s="63" t="str">
        <f t="shared" si="9"/>
        <v/>
      </c>
      <c r="B65" s="182"/>
      <c r="C65" s="75"/>
      <c r="D65" s="75"/>
      <c r="E65" s="74"/>
      <c r="F65" s="181"/>
      <c r="G65" s="69"/>
      <c r="AB65" s="150">
        <f t="shared" si="0"/>
        <v>0</v>
      </c>
      <c r="AC65" s="150">
        <f t="shared" si="1"/>
        <v>0</v>
      </c>
      <c r="AD65" s="98" t="str">
        <f t="shared" si="10"/>
        <v>0000000000</v>
      </c>
      <c r="AE65" s="151">
        <f t="shared" si="3"/>
        <v>0</v>
      </c>
      <c r="AF65" s="98" t="str">
        <f t="shared" si="4"/>
        <v>00</v>
      </c>
      <c r="AG65" s="98" t="str">
        <f t="shared" si="11"/>
        <v>000000000000</v>
      </c>
      <c r="AH65" s="161" t="str">
        <f t="shared" si="5"/>
        <v xml:space="preserve">                    </v>
      </c>
      <c r="AI65" s="154">
        <f t="shared" si="6"/>
        <v>0</v>
      </c>
      <c r="AJ65" s="155">
        <f t="shared" si="7"/>
        <v>0</v>
      </c>
      <c r="AP65" s="63" t="str">
        <f t="shared" si="8"/>
        <v/>
      </c>
      <c r="AQ65" s="63" t="str">
        <f t="shared" si="2"/>
        <v xml:space="preserve">                    </v>
      </c>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row>
    <row r="66" spans="1:75" x14ac:dyDescent="0.2">
      <c r="A66" s="63" t="str">
        <f t="shared" si="9"/>
        <v/>
      </c>
      <c r="B66" s="182"/>
      <c r="C66" s="75"/>
      <c r="D66" s="75"/>
      <c r="E66" s="74"/>
      <c r="F66" s="181"/>
      <c r="G66" s="69"/>
      <c r="AB66" s="150">
        <f t="shared" si="0"/>
        <v>0</v>
      </c>
      <c r="AC66" s="150">
        <f t="shared" si="1"/>
        <v>0</v>
      </c>
      <c r="AD66" s="98" t="str">
        <f t="shared" si="10"/>
        <v>0000000000</v>
      </c>
      <c r="AE66" s="151">
        <f t="shared" si="3"/>
        <v>0</v>
      </c>
      <c r="AF66" s="98" t="str">
        <f t="shared" si="4"/>
        <v>00</v>
      </c>
      <c r="AG66" s="98" t="str">
        <f t="shared" si="11"/>
        <v>000000000000</v>
      </c>
      <c r="AH66" s="161" t="str">
        <f t="shared" si="5"/>
        <v xml:space="preserve">                    </v>
      </c>
      <c r="AI66" s="154">
        <f t="shared" si="6"/>
        <v>0</v>
      </c>
      <c r="AJ66" s="155">
        <f t="shared" si="7"/>
        <v>0</v>
      </c>
      <c r="AP66" s="63" t="str">
        <f t="shared" si="8"/>
        <v/>
      </c>
      <c r="AQ66" s="63" t="str">
        <f t="shared" si="2"/>
        <v xml:space="preserve">                    </v>
      </c>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row>
    <row r="67" spans="1:75" x14ac:dyDescent="0.2">
      <c r="A67" s="63" t="str">
        <f t="shared" si="9"/>
        <v/>
      </c>
      <c r="B67" s="182"/>
      <c r="C67" s="75"/>
      <c r="D67" s="75"/>
      <c r="E67" s="74"/>
      <c r="F67" s="181"/>
      <c r="G67" s="69"/>
      <c r="AB67" s="150">
        <f t="shared" ref="AB67:AB130" si="12">INT(F67)</f>
        <v>0</v>
      </c>
      <c r="AC67" s="150">
        <f t="shared" ref="AC67:AC130" si="13">F67-AB67</f>
        <v>0</v>
      </c>
      <c r="AD67" s="98" t="str">
        <f t="shared" si="10"/>
        <v>0000000000</v>
      </c>
      <c r="AE67" s="151">
        <f t="shared" si="3"/>
        <v>0</v>
      </c>
      <c r="AF67" s="98" t="str">
        <f t="shared" si="4"/>
        <v>00</v>
      </c>
      <c r="AG67" s="98" t="str">
        <f t="shared" si="11"/>
        <v>000000000000</v>
      </c>
      <c r="AH67" s="161" t="str">
        <f t="shared" si="5"/>
        <v xml:space="preserve">                    </v>
      </c>
      <c r="AI67" s="154">
        <f t="shared" si="6"/>
        <v>0</v>
      </c>
      <c r="AJ67" s="155">
        <f t="shared" si="7"/>
        <v>0</v>
      </c>
      <c r="AP67" s="63" t="str">
        <f t="shared" si="8"/>
        <v/>
      </c>
      <c r="AQ67" s="63" t="str">
        <f t="shared" ref="AQ67:AQ130" si="14">CONCATENATE(D67,REPT(" ",20-LEN(D67)))</f>
        <v xml:space="preserve">                    </v>
      </c>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row>
    <row r="68" spans="1:75" x14ac:dyDescent="0.2">
      <c r="A68" s="63" t="str">
        <f t="shared" si="9"/>
        <v/>
      </c>
      <c r="B68" s="182"/>
      <c r="C68" s="75"/>
      <c r="D68" s="75"/>
      <c r="E68" s="74"/>
      <c r="F68" s="181"/>
      <c r="G68" s="69"/>
      <c r="AB68" s="150">
        <f t="shared" si="12"/>
        <v>0</v>
      </c>
      <c r="AC68" s="150">
        <f t="shared" si="13"/>
        <v>0</v>
      </c>
      <c r="AD68" s="98" t="str">
        <f t="shared" si="10"/>
        <v>0000000000</v>
      </c>
      <c r="AE68" s="151">
        <f t="shared" ref="AE68:AE131" si="15">AC68*100</f>
        <v>0</v>
      </c>
      <c r="AF68" s="98" t="str">
        <f t="shared" ref="AF68:AF131" si="16">TEXT(AE68,"00")</f>
        <v>00</v>
      </c>
      <c r="AG68" s="98" t="str">
        <f t="shared" si="11"/>
        <v>000000000000</v>
      </c>
      <c r="AH68" s="161" t="str">
        <f t="shared" ref="AH68:AH131" si="17">CONCATENATE(C68,REPT(" ",20-LEN(C68)))</f>
        <v xml:space="preserve">                    </v>
      </c>
      <c r="AI68" s="154">
        <f t="shared" ref="AI68:AI131" si="18">IF(E68&lt;&gt;"",IF(E68=$E$3,0,1),0)</f>
        <v>0</v>
      </c>
      <c r="AJ68" s="155">
        <f t="shared" ref="AJ68:AJ131" si="19">IF(AI68=1,IF($E$3=1,F68*$H$14,F68/$H$14),F68)</f>
        <v>0</v>
      </c>
      <c r="AP68" s="63" t="str">
        <f t="shared" ref="AP68:AP131" si="20">IF(B69&lt;&gt;"",CONCATENATE("000",B69,"0",E69,"2","    00000000",AG69,"            ",AQ69,AH69,"                                                                                               "),"")</f>
        <v/>
      </c>
      <c r="AQ68" s="63" t="str">
        <f t="shared" si="14"/>
        <v xml:space="preserve">                    </v>
      </c>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BT68" s="63"/>
      <c r="BU68" s="63"/>
      <c r="BV68" s="63"/>
      <c r="BW68" s="63"/>
    </row>
    <row r="69" spans="1:75" x14ac:dyDescent="0.2">
      <c r="A69" s="63" t="str">
        <f t="shared" si="9"/>
        <v/>
      </c>
      <c r="B69" s="182"/>
      <c r="C69" s="75"/>
      <c r="D69" s="75"/>
      <c r="E69" s="74"/>
      <c r="F69" s="181"/>
      <c r="G69" s="69"/>
      <c r="AB69" s="150">
        <f t="shared" si="12"/>
        <v>0</v>
      </c>
      <c r="AC69" s="150">
        <f t="shared" si="13"/>
        <v>0</v>
      </c>
      <c r="AD69" s="98" t="str">
        <f t="shared" si="10"/>
        <v>0000000000</v>
      </c>
      <c r="AE69" s="151">
        <f t="shared" si="15"/>
        <v>0</v>
      </c>
      <c r="AF69" s="98" t="str">
        <f t="shared" si="16"/>
        <v>00</v>
      </c>
      <c r="AG69" s="98" t="str">
        <f t="shared" si="11"/>
        <v>000000000000</v>
      </c>
      <c r="AH69" s="161" t="str">
        <f t="shared" si="17"/>
        <v xml:space="preserve">                    </v>
      </c>
      <c r="AI69" s="154">
        <f t="shared" si="18"/>
        <v>0</v>
      </c>
      <c r="AJ69" s="155">
        <f t="shared" si="19"/>
        <v>0</v>
      </c>
      <c r="AP69" s="63" t="str">
        <f t="shared" si="20"/>
        <v/>
      </c>
      <c r="AQ69" s="63" t="str">
        <f t="shared" si="14"/>
        <v xml:space="preserve">                    </v>
      </c>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row>
    <row r="70" spans="1:75" x14ac:dyDescent="0.2">
      <c r="A70" s="63" t="str">
        <f t="shared" ref="A70:A133" si="21">IF(B70&lt;&gt;"",A69+1,"")</f>
        <v/>
      </c>
      <c r="B70" s="182"/>
      <c r="C70" s="75"/>
      <c r="D70" s="75"/>
      <c r="E70" s="74"/>
      <c r="F70" s="181"/>
      <c r="G70" s="69"/>
      <c r="AB70" s="150">
        <f t="shared" si="12"/>
        <v>0</v>
      </c>
      <c r="AC70" s="150">
        <f t="shared" si="13"/>
        <v>0</v>
      </c>
      <c r="AD70" s="98" t="str">
        <f t="shared" si="10"/>
        <v>0000000000</v>
      </c>
      <c r="AE70" s="151">
        <f t="shared" si="15"/>
        <v>0</v>
      </c>
      <c r="AF70" s="98" t="str">
        <f t="shared" si="16"/>
        <v>00</v>
      </c>
      <c r="AG70" s="98" t="str">
        <f t="shared" si="11"/>
        <v>000000000000</v>
      </c>
      <c r="AH70" s="161" t="str">
        <f t="shared" si="17"/>
        <v xml:space="preserve">                    </v>
      </c>
      <c r="AI70" s="154">
        <f t="shared" si="18"/>
        <v>0</v>
      </c>
      <c r="AJ70" s="155">
        <f t="shared" si="19"/>
        <v>0</v>
      </c>
      <c r="AP70" s="63" t="str">
        <f t="shared" si="20"/>
        <v/>
      </c>
      <c r="AQ70" s="63" t="str">
        <f t="shared" si="14"/>
        <v xml:space="preserve">                    </v>
      </c>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row>
    <row r="71" spans="1:75" x14ac:dyDescent="0.2">
      <c r="A71" s="63" t="str">
        <f t="shared" si="21"/>
        <v/>
      </c>
      <c r="B71" s="182"/>
      <c r="C71" s="75"/>
      <c r="D71" s="75"/>
      <c r="E71" s="74"/>
      <c r="F71" s="181"/>
      <c r="G71" s="69"/>
      <c r="AB71" s="150">
        <f t="shared" si="12"/>
        <v>0</v>
      </c>
      <c r="AC71" s="150">
        <f t="shared" si="13"/>
        <v>0</v>
      </c>
      <c r="AD71" s="98" t="str">
        <f t="shared" si="10"/>
        <v>0000000000</v>
      </c>
      <c r="AE71" s="151">
        <f t="shared" si="15"/>
        <v>0</v>
      </c>
      <c r="AF71" s="98" t="str">
        <f t="shared" si="16"/>
        <v>00</v>
      </c>
      <c r="AG71" s="98" t="str">
        <f t="shared" si="11"/>
        <v>000000000000</v>
      </c>
      <c r="AH71" s="161" t="str">
        <f t="shared" si="17"/>
        <v xml:space="preserve">                    </v>
      </c>
      <c r="AI71" s="154">
        <f t="shared" si="18"/>
        <v>0</v>
      </c>
      <c r="AJ71" s="155">
        <f t="shared" si="19"/>
        <v>0</v>
      </c>
      <c r="AP71" s="63" t="str">
        <f t="shared" si="20"/>
        <v/>
      </c>
      <c r="AQ71" s="63" t="str">
        <f t="shared" si="14"/>
        <v xml:space="preserve">                    </v>
      </c>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row>
    <row r="72" spans="1:75" x14ac:dyDescent="0.2">
      <c r="A72" s="63" t="str">
        <f t="shared" si="21"/>
        <v/>
      </c>
      <c r="B72" s="182"/>
      <c r="C72" s="75"/>
      <c r="D72" s="75"/>
      <c r="E72" s="74"/>
      <c r="F72" s="181"/>
      <c r="G72" s="69"/>
      <c r="AB72" s="150">
        <f t="shared" si="12"/>
        <v>0</v>
      </c>
      <c r="AC72" s="150">
        <f t="shared" si="13"/>
        <v>0</v>
      </c>
      <c r="AD72" s="98" t="str">
        <f t="shared" ref="AD72:AD135" si="22">TEXT(AB72,"0000000000")</f>
        <v>0000000000</v>
      </c>
      <c r="AE72" s="151">
        <f t="shared" si="15"/>
        <v>0</v>
      </c>
      <c r="AF72" s="98" t="str">
        <f t="shared" si="16"/>
        <v>00</v>
      </c>
      <c r="AG72" s="98" t="str">
        <f t="shared" ref="AG72:AG135" si="23">CONCATENATE(AD72,AF72)</f>
        <v>000000000000</v>
      </c>
      <c r="AH72" s="161" t="str">
        <f t="shared" si="17"/>
        <v xml:space="preserve">                    </v>
      </c>
      <c r="AI72" s="154">
        <f t="shared" si="18"/>
        <v>0</v>
      </c>
      <c r="AJ72" s="155">
        <f t="shared" si="19"/>
        <v>0</v>
      </c>
      <c r="AP72" s="63" t="str">
        <f t="shared" si="20"/>
        <v/>
      </c>
      <c r="AQ72" s="63" t="str">
        <f t="shared" si="14"/>
        <v xml:space="preserve">                    </v>
      </c>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row>
    <row r="73" spans="1:75" x14ac:dyDescent="0.2">
      <c r="A73" s="63" t="str">
        <f t="shared" si="21"/>
        <v/>
      </c>
      <c r="B73" s="182"/>
      <c r="C73" s="75"/>
      <c r="D73" s="75"/>
      <c r="E73" s="74"/>
      <c r="F73" s="181"/>
      <c r="G73" s="69"/>
      <c r="AB73" s="150">
        <f t="shared" si="12"/>
        <v>0</v>
      </c>
      <c r="AC73" s="150">
        <f t="shared" si="13"/>
        <v>0</v>
      </c>
      <c r="AD73" s="98" t="str">
        <f t="shared" si="22"/>
        <v>0000000000</v>
      </c>
      <c r="AE73" s="151">
        <f t="shared" si="15"/>
        <v>0</v>
      </c>
      <c r="AF73" s="98" t="str">
        <f t="shared" si="16"/>
        <v>00</v>
      </c>
      <c r="AG73" s="98" t="str">
        <f t="shared" si="23"/>
        <v>000000000000</v>
      </c>
      <c r="AH73" s="161" t="str">
        <f t="shared" si="17"/>
        <v xml:space="preserve">                    </v>
      </c>
      <c r="AI73" s="154">
        <f t="shared" si="18"/>
        <v>0</v>
      </c>
      <c r="AJ73" s="155">
        <f t="shared" si="19"/>
        <v>0</v>
      </c>
      <c r="AP73" s="63" t="str">
        <f t="shared" si="20"/>
        <v/>
      </c>
      <c r="AQ73" s="63" t="str">
        <f t="shared" si="14"/>
        <v xml:space="preserve">                    </v>
      </c>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BT73" s="63"/>
      <c r="BU73" s="63"/>
      <c r="BV73" s="63"/>
      <c r="BW73" s="63"/>
    </row>
    <row r="74" spans="1:75" x14ac:dyDescent="0.2">
      <c r="A74" s="63" t="str">
        <f t="shared" si="21"/>
        <v/>
      </c>
      <c r="B74" s="182"/>
      <c r="C74" s="75"/>
      <c r="D74" s="75"/>
      <c r="E74" s="74"/>
      <c r="F74" s="181"/>
      <c r="G74" s="69"/>
      <c r="AB74" s="150">
        <f t="shared" si="12"/>
        <v>0</v>
      </c>
      <c r="AC74" s="150">
        <f t="shared" si="13"/>
        <v>0</v>
      </c>
      <c r="AD74" s="98" t="str">
        <f t="shared" si="22"/>
        <v>0000000000</v>
      </c>
      <c r="AE74" s="151">
        <f t="shared" si="15"/>
        <v>0</v>
      </c>
      <c r="AF74" s="98" t="str">
        <f t="shared" si="16"/>
        <v>00</v>
      </c>
      <c r="AG74" s="98" t="str">
        <f t="shared" si="23"/>
        <v>000000000000</v>
      </c>
      <c r="AH74" s="161" t="str">
        <f t="shared" si="17"/>
        <v xml:space="preserve">                    </v>
      </c>
      <c r="AI74" s="154">
        <f t="shared" si="18"/>
        <v>0</v>
      </c>
      <c r="AJ74" s="155">
        <f t="shared" si="19"/>
        <v>0</v>
      </c>
      <c r="AP74" s="63" t="str">
        <f t="shared" si="20"/>
        <v/>
      </c>
      <c r="AQ74" s="63" t="str">
        <f t="shared" si="14"/>
        <v xml:space="preserve">                    </v>
      </c>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BT74" s="63"/>
      <c r="BU74" s="63"/>
      <c r="BV74" s="63"/>
      <c r="BW74" s="63"/>
    </row>
    <row r="75" spans="1:75" x14ac:dyDescent="0.2">
      <c r="A75" s="63" t="str">
        <f t="shared" si="21"/>
        <v/>
      </c>
      <c r="B75" s="182"/>
      <c r="C75" s="75"/>
      <c r="D75" s="75"/>
      <c r="E75" s="74"/>
      <c r="F75" s="181"/>
      <c r="G75" s="69"/>
      <c r="AB75" s="150">
        <f t="shared" si="12"/>
        <v>0</v>
      </c>
      <c r="AC75" s="150">
        <f t="shared" si="13"/>
        <v>0</v>
      </c>
      <c r="AD75" s="98" t="str">
        <f t="shared" si="22"/>
        <v>0000000000</v>
      </c>
      <c r="AE75" s="151">
        <f t="shared" si="15"/>
        <v>0</v>
      </c>
      <c r="AF75" s="98" t="str">
        <f t="shared" si="16"/>
        <v>00</v>
      </c>
      <c r="AG75" s="98" t="str">
        <f t="shared" si="23"/>
        <v>000000000000</v>
      </c>
      <c r="AH75" s="161" t="str">
        <f t="shared" si="17"/>
        <v xml:space="preserve">                    </v>
      </c>
      <c r="AI75" s="154">
        <f t="shared" si="18"/>
        <v>0</v>
      </c>
      <c r="AJ75" s="155">
        <f t="shared" si="19"/>
        <v>0</v>
      </c>
      <c r="AP75" s="63" t="str">
        <f t="shared" si="20"/>
        <v/>
      </c>
      <c r="AQ75" s="63" t="str">
        <f t="shared" si="14"/>
        <v xml:space="preserve">                    </v>
      </c>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BT75" s="63"/>
      <c r="BU75" s="63"/>
      <c r="BV75" s="63"/>
      <c r="BW75" s="63"/>
    </row>
    <row r="76" spans="1:75" x14ac:dyDescent="0.2">
      <c r="A76" s="63" t="str">
        <f t="shared" si="21"/>
        <v/>
      </c>
      <c r="B76" s="182"/>
      <c r="C76" s="75"/>
      <c r="D76" s="75"/>
      <c r="E76" s="74"/>
      <c r="F76" s="181"/>
      <c r="G76" s="69"/>
      <c r="AB76" s="150">
        <f t="shared" si="12"/>
        <v>0</v>
      </c>
      <c r="AC76" s="150">
        <f t="shared" si="13"/>
        <v>0</v>
      </c>
      <c r="AD76" s="98" t="str">
        <f t="shared" si="22"/>
        <v>0000000000</v>
      </c>
      <c r="AE76" s="151">
        <f t="shared" si="15"/>
        <v>0</v>
      </c>
      <c r="AF76" s="98" t="str">
        <f t="shared" si="16"/>
        <v>00</v>
      </c>
      <c r="AG76" s="98" t="str">
        <f t="shared" si="23"/>
        <v>000000000000</v>
      </c>
      <c r="AH76" s="161" t="str">
        <f t="shared" si="17"/>
        <v xml:space="preserve">                    </v>
      </c>
      <c r="AI76" s="154">
        <f t="shared" si="18"/>
        <v>0</v>
      </c>
      <c r="AJ76" s="155">
        <f t="shared" si="19"/>
        <v>0</v>
      </c>
      <c r="AP76" s="63" t="str">
        <f t="shared" si="20"/>
        <v/>
      </c>
      <c r="AQ76" s="63" t="str">
        <f t="shared" si="14"/>
        <v xml:space="preserve">                    </v>
      </c>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BT76" s="63"/>
      <c r="BU76" s="63"/>
      <c r="BV76" s="63"/>
      <c r="BW76" s="63"/>
    </row>
    <row r="77" spans="1:75" x14ac:dyDescent="0.2">
      <c r="A77" s="63" t="str">
        <f t="shared" si="21"/>
        <v/>
      </c>
      <c r="B77" s="182"/>
      <c r="C77" s="75"/>
      <c r="D77" s="75"/>
      <c r="E77" s="74"/>
      <c r="F77" s="181"/>
      <c r="G77" s="69"/>
      <c r="AB77" s="150">
        <f t="shared" si="12"/>
        <v>0</v>
      </c>
      <c r="AC77" s="150">
        <f t="shared" si="13"/>
        <v>0</v>
      </c>
      <c r="AD77" s="98" t="str">
        <f t="shared" si="22"/>
        <v>0000000000</v>
      </c>
      <c r="AE77" s="151">
        <f t="shared" si="15"/>
        <v>0</v>
      </c>
      <c r="AF77" s="98" t="str">
        <f t="shared" si="16"/>
        <v>00</v>
      </c>
      <c r="AG77" s="98" t="str">
        <f t="shared" si="23"/>
        <v>000000000000</v>
      </c>
      <c r="AH77" s="161" t="str">
        <f t="shared" si="17"/>
        <v xml:space="preserve">                    </v>
      </c>
      <c r="AI77" s="154">
        <f t="shared" si="18"/>
        <v>0</v>
      </c>
      <c r="AJ77" s="155">
        <f t="shared" si="19"/>
        <v>0</v>
      </c>
      <c r="AP77" s="63" t="str">
        <f t="shared" si="20"/>
        <v/>
      </c>
      <c r="AQ77" s="63" t="str">
        <f t="shared" si="14"/>
        <v xml:space="preserve">                    </v>
      </c>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BT77" s="63"/>
      <c r="BU77" s="63"/>
      <c r="BV77" s="63"/>
      <c r="BW77" s="63"/>
    </row>
    <row r="78" spans="1:75" x14ac:dyDescent="0.2">
      <c r="A78" s="63" t="str">
        <f t="shared" si="21"/>
        <v/>
      </c>
      <c r="B78" s="182"/>
      <c r="C78" s="75"/>
      <c r="D78" s="75"/>
      <c r="E78" s="74"/>
      <c r="F78" s="181"/>
      <c r="G78" s="69"/>
      <c r="AB78" s="150">
        <f t="shared" si="12"/>
        <v>0</v>
      </c>
      <c r="AC78" s="150">
        <f t="shared" si="13"/>
        <v>0</v>
      </c>
      <c r="AD78" s="98" t="str">
        <f t="shared" si="22"/>
        <v>0000000000</v>
      </c>
      <c r="AE78" s="151">
        <f t="shared" si="15"/>
        <v>0</v>
      </c>
      <c r="AF78" s="98" t="str">
        <f t="shared" si="16"/>
        <v>00</v>
      </c>
      <c r="AG78" s="98" t="str">
        <f t="shared" si="23"/>
        <v>000000000000</v>
      </c>
      <c r="AH78" s="161" t="str">
        <f t="shared" si="17"/>
        <v xml:space="preserve">                    </v>
      </c>
      <c r="AI78" s="154">
        <f t="shared" si="18"/>
        <v>0</v>
      </c>
      <c r="AJ78" s="155">
        <f t="shared" si="19"/>
        <v>0</v>
      </c>
      <c r="AP78" s="63" t="str">
        <f t="shared" si="20"/>
        <v/>
      </c>
      <c r="AQ78" s="63" t="str">
        <f t="shared" si="14"/>
        <v xml:space="preserve">                    </v>
      </c>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BT78" s="63"/>
      <c r="BU78" s="63"/>
      <c r="BV78" s="63"/>
      <c r="BW78" s="63"/>
    </row>
    <row r="79" spans="1:75" x14ac:dyDescent="0.2">
      <c r="A79" s="63" t="str">
        <f t="shared" si="21"/>
        <v/>
      </c>
      <c r="B79" s="182"/>
      <c r="C79" s="75"/>
      <c r="D79" s="75"/>
      <c r="E79" s="74"/>
      <c r="F79" s="181"/>
      <c r="G79" s="69"/>
      <c r="AB79" s="150">
        <f t="shared" si="12"/>
        <v>0</v>
      </c>
      <c r="AC79" s="150">
        <f t="shared" si="13"/>
        <v>0</v>
      </c>
      <c r="AD79" s="98" t="str">
        <f t="shared" si="22"/>
        <v>0000000000</v>
      </c>
      <c r="AE79" s="151">
        <f t="shared" si="15"/>
        <v>0</v>
      </c>
      <c r="AF79" s="98" t="str">
        <f t="shared" si="16"/>
        <v>00</v>
      </c>
      <c r="AG79" s="98" t="str">
        <f t="shared" si="23"/>
        <v>000000000000</v>
      </c>
      <c r="AH79" s="161" t="str">
        <f t="shared" si="17"/>
        <v xml:space="preserve">                    </v>
      </c>
      <c r="AI79" s="154">
        <f t="shared" si="18"/>
        <v>0</v>
      </c>
      <c r="AJ79" s="155">
        <f t="shared" si="19"/>
        <v>0</v>
      </c>
      <c r="AP79" s="63" t="str">
        <f t="shared" si="20"/>
        <v/>
      </c>
      <c r="AQ79" s="63" t="str">
        <f t="shared" si="14"/>
        <v xml:space="preserve">                    </v>
      </c>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BT79" s="63"/>
      <c r="BU79" s="63"/>
      <c r="BV79" s="63"/>
      <c r="BW79" s="63"/>
    </row>
    <row r="80" spans="1:75" x14ac:dyDescent="0.2">
      <c r="A80" s="63" t="str">
        <f t="shared" si="21"/>
        <v/>
      </c>
      <c r="B80" s="182"/>
      <c r="C80" s="75"/>
      <c r="D80" s="75"/>
      <c r="E80" s="74"/>
      <c r="F80" s="181"/>
      <c r="G80" s="69"/>
      <c r="AB80" s="150">
        <f t="shared" si="12"/>
        <v>0</v>
      </c>
      <c r="AC80" s="150">
        <f t="shared" si="13"/>
        <v>0</v>
      </c>
      <c r="AD80" s="98" t="str">
        <f t="shared" si="22"/>
        <v>0000000000</v>
      </c>
      <c r="AE80" s="151">
        <f t="shared" si="15"/>
        <v>0</v>
      </c>
      <c r="AF80" s="98" t="str">
        <f t="shared" si="16"/>
        <v>00</v>
      </c>
      <c r="AG80" s="98" t="str">
        <f t="shared" si="23"/>
        <v>000000000000</v>
      </c>
      <c r="AH80" s="161" t="str">
        <f t="shared" si="17"/>
        <v xml:space="preserve">                    </v>
      </c>
      <c r="AI80" s="154">
        <f t="shared" si="18"/>
        <v>0</v>
      </c>
      <c r="AJ80" s="155">
        <f t="shared" si="19"/>
        <v>0</v>
      </c>
      <c r="AP80" s="63" t="str">
        <f t="shared" si="20"/>
        <v/>
      </c>
      <c r="AQ80" s="63" t="str">
        <f t="shared" si="14"/>
        <v xml:space="preserve">                    </v>
      </c>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row>
    <row r="81" spans="1:75" x14ac:dyDescent="0.2">
      <c r="A81" s="63" t="str">
        <f t="shared" si="21"/>
        <v/>
      </c>
      <c r="B81" s="182"/>
      <c r="C81" s="75"/>
      <c r="D81" s="75"/>
      <c r="E81" s="74"/>
      <c r="F81" s="181"/>
      <c r="G81" s="69"/>
      <c r="AB81" s="150">
        <f t="shared" si="12"/>
        <v>0</v>
      </c>
      <c r="AC81" s="150">
        <f t="shared" si="13"/>
        <v>0</v>
      </c>
      <c r="AD81" s="98" t="str">
        <f t="shared" si="22"/>
        <v>0000000000</v>
      </c>
      <c r="AE81" s="151">
        <f t="shared" si="15"/>
        <v>0</v>
      </c>
      <c r="AF81" s="98" t="str">
        <f t="shared" si="16"/>
        <v>00</v>
      </c>
      <c r="AG81" s="98" t="str">
        <f t="shared" si="23"/>
        <v>000000000000</v>
      </c>
      <c r="AH81" s="161" t="str">
        <f t="shared" si="17"/>
        <v xml:space="preserve">                    </v>
      </c>
      <c r="AI81" s="154">
        <f t="shared" si="18"/>
        <v>0</v>
      </c>
      <c r="AJ81" s="155">
        <f t="shared" si="19"/>
        <v>0</v>
      </c>
      <c r="AP81" s="63" t="str">
        <f t="shared" si="20"/>
        <v/>
      </c>
      <c r="AQ81" s="63" t="str">
        <f t="shared" si="14"/>
        <v xml:space="preserve">                    </v>
      </c>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row>
    <row r="82" spans="1:75" x14ac:dyDescent="0.2">
      <c r="A82" s="63" t="str">
        <f t="shared" si="21"/>
        <v/>
      </c>
      <c r="B82" s="182"/>
      <c r="C82" s="75"/>
      <c r="D82" s="75"/>
      <c r="E82" s="74"/>
      <c r="F82" s="181"/>
      <c r="G82" s="69"/>
      <c r="AB82" s="150">
        <f t="shared" si="12"/>
        <v>0</v>
      </c>
      <c r="AC82" s="150">
        <f t="shared" si="13"/>
        <v>0</v>
      </c>
      <c r="AD82" s="98" t="str">
        <f t="shared" si="22"/>
        <v>0000000000</v>
      </c>
      <c r="AE82" s="151">
        <f t="shared" si="15"/>
        <v>0</v>
      </c>
      <c r="AF82" s="98" t="str">
        <f t="shared" si="16"/>
        <v>00</v>
      </c>
      <c r="AG82" s="98" t="str">
        <f t="shared" si="23"/>
        <v>000000000000</v>
      </c>
      <c r="AH82" s="161" t="str">
        <f t="shared" si="17"/>
        <v xml:space="preserve">                    </v>
      </c>
      <c r="AI82" s="154">
        <f t="shared" si="18"/>
        <v>0</v>
      </c>
      <c r="AJ82" s="155">
        <f t="shared" si="19"/>
        <v>0</v>
      </c>
      <c r="AP82" s="63" t="str">
        <f t="shared" si="20"/>
        <v/>
      </c>
      <c r="AQ82" s="63" t="str">
        <f t="shared" si="14"/>
        <v xml:space="preserve">                    </v>
      </c>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BT82" s="63"/>
      <c r="BU82" s="63"/>
      <c r="BV82" s="63"/>
      <c r="BW82" s="63"/>
    </row>
    <row r="83" spans="1:75" x14ac:dyDescent="0.2">
      <c r="A83" s="63" t="str">
        <f t="shared" si="21"/>
        <v/>
      </c>
      <c r="B83" s="182"/>
      <c r="C83" s="75"/>
      <c r="D83" s="75"/>
      <c r="E83" s="74"/>
      <c r="F83" s="181"/>
      <c r="G83" s="69"/>
      <c r="AB83" s="150">
        <f t="shared" si="12"/>
        <v>0</v>
      </c>
      <c r="AC83" s="150">
        <f t="shared" si="13"/>
        <v>0</v>
      </c>
      <c r="AD83" s="98" t="str">
        <f t="shared" si="22"/>
        <v>0000000000</v>
      </c>
      <c r="AE83" s="151">
        <f t="shared" si="15"/>
        <v>0</v>
      </c>
      <c r="AF83" s="98" t="str">
        <f t="shared" si="16"/>
        <v>00</v>
      </c>
      <c r="AG83" s="98" t="str">
        <f t="shared" si="23"/>
        <v>000000000000</v>
      </c>
      <c r="AH83" s="161" t="str">
        <f t="shared" si="17"/>
        <v xml:space="preserve">                    </v>
      </c>
      <c r="AI83" s="154">
        <f t="shared" si="18"/>
        <v>0</v>
      </c>
      <c r="AJ83" s="155">
        <f t="shared" si="19"/>
        <v>0</v>
      </c>
      <c r="AP83" s="63" t="str">
        <f t="shared" si="20"/>
        <v/>
      </c>
      <c r="AQ83" s="63" t="str">
        <f t="shared" si="14"/>
        <v xml:space="preserve">                    </v>
      </c>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row>
    <row r="84" spans="1:75" x14ac:dyDescent="0.2">
      <c r="A84" s="63" t="str">
        <f t="shared" si="21"/>
        <v/>
      </c>
      <c r="B84" s="182"/>
      <c r="C84" s="75"/>
      <c r="D84" s="75"/>
      <c r="E84" s="74"/>
      <c r="F84" s="181"/>
      <c r="G84" s="69"/>
      <c r="AB84" s="150">
        <f t="shared" si="12"/>
        <v>0</v>
      </c>
      <c r="AC84" s="150">
        <f t="shared" si="13"/>
        <v>0</v>
      </c>
      <c r="AD84" s="98" t="str">
        <f t="shared" si="22"/>
        <v>0000000000</v>
      </c>
      <c r="AE84" s="151">
        <f t="shared" si="15"/>
        <v>0</v>
      </c>
      <c r="AF84" s="98" t="str">
        <f t="shared" si="16"/>
        <v>00</v>
      </c>
      <c r="AG84" s="98" t="str">
        <f t="shared" si="23"/>
        <v>000000000000</v>
      </c>
      <c r="AH84" s="161" t="str">
        <f t="shared" si="17"/>
        <v xml:space="preserve">                    </v>
      </c>
      <c r="AI84" s="154">
        <f t="shared" si="18"/>
        <v>0</v>
      </c>
      <c r="AJ84" s="155">
        <f t="shared" si="19"/>
        <v>0</v>
      </c>
      <c r="AP84" s="63" t="str">
        <f t="shared" si="20"/>
        <v/>
      </c>
      <c r="AQ84" s="63" t="str">
        <f t="shared" si="14"/>
        <v xml:space="preserve">                    </v>
      </c>
      <c r="AR84" s="63"/>
      <c r="AS84" s="63"/>
      <c r="AT84" s="63"/>
      <c r="AU84" s="63"/>
      <c r="AV84" s="63"/>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BT84" s="63"/>
      <c r="BU84" s="63"/>
      <c r="BV84" s="63"/>
      <c r="BW84" s="63"/>
    </row>
    <row r="85" spans="1:75" x14ac:dyDescent="0.2">
      <c r="A85" s="63" t="str">
        <f t="shared" si="21"/>
        <v/>
      </c>
      <c r="B85" s="182"/>
      <c r="C85" s="75"/>
      <c r="D85" s="75"/>
      <c r="E85" s="74"/>
      <c r="F85" s="181"/>
      <c r="G85" s="69"/>
      <c r="AB85" s="150">
        <f t="shared" si="12"/>
        <v>0</v>
      </c>
      <c r="AC85" s="150">
        <f t="shared" si="13"/>
        <v>0</v>
      </c>
      <c r="AD85" s="98" t="str">
        <f t="shared" si="22"/>
        <v>0000000000</v>
      </c>
      <c r="AE85" s="151">
        <f t="shared" si="15"/>
        <v>0</v>
      </c>
      <c r="AF85" s="98" t="str">
        <f t="shared" si="16"/>
        <v>00</v>
      </c>
      <c r="AG85" s="98" t="str">
        <f t="shared" si="23"/>
        <v>000000000000</v>
      </c>
      <c r="AH85" s="161" t="str">
        <f t="shared" si="17"/>
        <v xml:space="preserve">                    </v>
      </c>
      <c r="AI85" s="154">
        <f t="shared" si="18"/>
        <v>0</v>
      </c>
      <c r="AJ85" s="155">
        <f t="shared" si="19"/>
        <v>0</v>
      </c>
      <c r="AP85" s="63" t="str">
        <f t="shared" si="20"/>
        <v/>
      </c>
      <c r="AQ85" s="63" t="str">
        <f t="shared" si="14"/>
        <v xml:space="preserve">                    </v>
      </c>
      <c r="AR85" s="63"/>
      <c r="AS85" s="63"/>
      <c r="AT85" s="63"/>
      <c r="AU85" s="63"/>
      <c r="AV85" s="63"/>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BT85" s="63"/>
      <c r="BU85" s="63"/>
      <c r="BV85" s="63"/>
      <c r="BW85" s="63"/>
    </row>
    <row r="86" spans="1:75" x14ac:dyDescent="0.2">
      <c r="A86" s="63" t="str">
        <f t="shared" si="21"/>
        <v/>
      </c>
      <c r="B86" s="182"/>
      <c r="C86" s="75"/>
      <c r="D86" s="75"/>
      <c r="E86" s="74"/>
      <c r="F86" s="181"/>
      <c r="G86" s="69"/>
      <c r="AB86" s="150">
        <f t="shared" si="12"/>
        <v>0</v>
      </c>
      <c r="AC86" s="150">
        <f t="shared" si="13"/>
        <v>0</v>
      </c>
      <c r="AD86" s="98" t="str">
        <f t="shared" si="22"/>
        <v>0000000000</v>
      </c>
      <c r="AE86" s="151">
        <f t="shared" si="15"/>
        <v>0</v>
      </c>
      <c r="AF86" s="98" t="str">
        <f t="shared" si="16"/>
        <v>00</v>
      </c>
      <c r="AG86" s="98" t="str">
        <f t="shared" si="23"/>
        <v>000000000000</v>
      </c>
      <c r="AH86" s="161" t="str">
        <f t="shared" si="17"/>
        <v xml:space="preserve">                    </v>
      </c>
      <c r="AI86" s="154">
        <f t="shared" si="18"/>
        <v>0</v>
      </c>
      <c r="AJ86" s="155">
        <f t="shared" si="19"/>
        <v>0</v>
      </c>
      <c r="AP86" s="63" t="str">
        <f t="shared" si="20"/>
        <v/>
      </c>
      <c r="AQ86" s="63" t="str">
        <f t="shared" si="14"/>
        <v xml:space="preserve">                    </v>
      </c>
      <c r="AR86" s="63"/>
      <c r="AS86" s="63"/>
      <c r="AT86" s="63"/>
      <c r="AU86" s="63"/>
      <c r="AV86" s="63"/>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BT86" s="63"/>
      <c r="BU86" s="63"/>
      <c r="BV86" s="63"/>
      <c r="BW86" s="63"/>
    </row>
    <row r="87" spans="1:75" x14ac:dyDescent="0.2">
      <c r="A87" s="63" t="str">
        <f t="shared" si="21"/>
        <v/>
      </c>
      <c r="B87" s="182"/>
      <c r="C87" s="75"/>
      <c r="D87" s="75"/>
      <c r="E87" s="74"/>
      <c r="F87" s="181"/>
      <c r="G87" s="69"/>
      <c r="AB87" s="150">
        <f t="shared" si="12"/>
        <v>0</v>
      </c>
      <c r="AC87" s="150">
        <f t="shared" si="13"/>
        <v>0</v>
      </c>
      <c r="AD87" s="98" t="str">
        <f t="shared" si="22"/>
        <v>0000000000</v>
      </c>
      <c r="AE87" s="151">
        <f t="shared" si="15"/>
        <v>0</v>
      </c>
      <c r="AF87" s="98" t="str">
        <f t="shared" si="16"/>
        <v>00</v>
      </c>
      <c r="AG87" s="98" t="str">
        <f t="shared" si="23"/>
        <v>000000000000</v>
      </c>
      <c r="AH87" s="161" t="str">
        <f t="shared" si="17"/>
        <v xml:space="preserve">                    </v>
      </c>
      <c r="AI87" s="154">
        <f t="shared" si="18"/>
        <v>0</v>
      </c>
      <c r="AJ87" s="155">
        <f t="shared" si="19"/>
        <v>0</v>
      </c>
      <c r="AP87" s="63" t="str">
        <f t="shared" si="20"/>
        <v/>
      </c>
      <c r="AQ87" s="63" t="str">
        <f t="shared" si="14"/>
        <v xml:space="preserve">                    </v>
      </c>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BT87" s="63"/>
      <c r="BU87" s="63"/>
      <c r="BV87" s="63"/>
      <c r="BW87" s="63"/>
    </row>
    <row r="88" spans="1:75" x14ac:dyDescent="0.2">
      <c r="A88" s="63" t="str">
        <f t="shared" si="21"/>
        <v/>
      </c>
      <c r="B88" s="182"/>
      <c r="C88" s="75"/>
      <c r="D88" s="75"/>
      <c r="E88" s="74"/>
      <c r="F88" s="181"/>
      <c r="G88" s="69"/>
      <c r="AB88" s="150">
        <f t="shared" si="12"/>
        <v>0</v>
      </c>
      <c r="AC88" s="150">
        <f t="shared" si="13"/>
        <v>0</v>
      </c>
      <c r="AD88" s="98" t="str">
        <f t="shared" si="22"/>
        <v>0000000000</v>
      </c>
      <c r="AE88" s="151">
        <f t="shared" si="15"/>
        <v>0</v>
      </c>
      <c r="AF88" s="98" t="str">
        <f t="shared" si="16"/>
        <v>00</v>
      </c>
      <c r="AG88" s="98" t="str">
        <f t="shared" si="23"/>
        <v>000000000000</v>
      </c>
      <c r="AH88" s="161" t="str">
        <f t="shared" si="17"/>
        <v xml:space="preserve">                    </v>
      </c>
      <c r="AI88" s="154">
        <f t="shared" si="18"/>
        <v>0</v>
      </c>
      <c r="AJ88" s="155">
        <f t="shared" si="19"/>
        <v>0</v>
      </c>
      <c r="AP88" s="63" t="str">
        <f t="shared" si="20"/>
        <v/>
      </c>
      <c r="AQ88" s="63" t="str">
        <f t="shared" si="14"/>
        <v xml:space="preserve">                    </v>
      </c>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BT88" s="63"/>
      <c r="BU88" s="63"/>
      <c r="BV88" s="63"/>
      <c r="BW88" s="63"/>
    </row>
    <row r="89" spans="1:75" x14ac:dyDescent="0.2">
      <c r="A89" s="63" t="str">
        <f t="shared" si="21"/>
        <v/>
      </c>
      <c r="B89" s="182"/>
      <c r="C89" s="75"/>
      <c r="D89" s="75"/>
      <c r="E89" s="74"/>
      <c r="F89" s="181"/>
      <c r="G89" s="69"/>
      <c r="AB89" s="150">
        <f t="shared" si="12"/>
        <v>0</v>
      </c>
      <c r="AC89" s="150">
        <f t="shared" si="13"/>
        <v>0</v>
      </c>
      <c r="AD89" s="98" t="str">
        <f t="shared" si="22"/>
        <v>0000000000</v>
      </c>
      <c r="AE89" s="151">
        <f t="shared" si="15"/>
        <v>0</v>
      </c>
      <c r="AF89" s="98" t="str">
        <f t="shared" si="16"/>
        <v>00</v>
      </c>
      <c r="AG89" s="98" t="str">
        <f t="shared" si="23"/>
        <v>000000000000</v>
      </c>
      <c r="AH89" s="161" t="str">
        <f t="shared" si="17"/>
        <v xml:space="preserve">                    </v>
      </c>
      <c r="AI89" s="154">
        <f t="shared" si="18"/>
        <v>0</v>
      </c>
      <c r="AJ89" s="155">
        <f t="shared" si="19"/>
        <v>0</v>
      </c>
      <c r="AP89" s="63" t="str">
        <f t="shared" si="20"/>
        <v/>
      </c>
      <c r="AQ89" s="63" t="str">
        <f t="shared" si="14"/>
        <v xml:space="preserve">                    </v>
      </c>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BT89" s="63"/>
      <c r="BU89" s="63"/>
      <c r="BV89" s="63"/>
      <c r="BW89" s="63"/>
    </row>
    <row r="90" spans="1:75" x14ac:dyDescent="0.2">
      <c r="A90" s="63" t="str">
        <f t="shared" si="21"/>
        <v/>
      </c>
      <c r="B90" s="182"/>
      <c r="C90" s="75"/>
      <c r="D90" s="75"/>
      <c r="E90" s="74"/>
      <c r="F90" s="181"/>
      <c r="G90" s="69"/>
      <c r="AB90" s="150">
        <f t="shared" si="12"/>
        <v>0</v>
      </c>
      <c r="AC90" s="150">
        <f t="shared" si="13"/>
        <v>0</v>
      </c>
      <c r="AD90" s="98" t="str">
        <f t="shared" si="22"/>
        <v>0000000000</v>
      </c>
      <c r="AE90" s="151">
        <f t="shared" si="15"/>
        <v>0</v>
      </c>
      <c r="AF90" s="98" t="str">
        <f t="shared" si="16"/>
        <v>00</v>
      </c>
      <c r="AG90" s="98" t="str">
        <f t="shared" si="23"/>
        <v>000000000000</v>
      </c>
      <c r="AH90" s="161" t="str">
        <f t="shared" si="17"/>
        <v xml:space="preserve">                    </v>
      </c>
      <c r="AI90" s="154">
        <f t="shared" si="18"/>
        <v>0</v>
      </c>
      <c r="AJ90" s="155">
        <f t="shared" si="19"/>
        <v>0</v>
      </c>
      <c r="AP90" s="63" t="str">
        <f t="shared" si="20"/>
        <v/>
      </c>
      <c r="AQ90" s="63" t="str">
        <f t="shared" si="14"/>
        <v xml:space="preserve">                    </v>
      </c>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BT90" s="63"/>
      <c r="BU90" s="63"/>
      <c r="BV90" s="63"/>
      <c r="BW90" s="63"/>
    </row>
    <row r="91" spans="1:75" x14ac:dyDescent="0.2">
      <c r="A91" s="63" t="str">
        <f t="shared" si="21"/>
        <v/>
      </c>
      <c r="B91" s="182"/>
      <c r="C91" s="75"/>
      <c r="D91" s="75"/>
      <c r="E91" s="74"/>
      <c r="F91" s="181"/>
      <c r="G91" s="69"/>
      <c r="AB91" s="150">
        <f t="shared" si="12"/>
        <v>0</v>
      </c>
      <c r="AC91" s="150">
        <f t="shared" si="13"/>
        <v>0</v>
      </c>
      <c r="AD91" s="98" t="str">
        <f t="shared" si="22"/>
        <v>0000000000</v>
      </c>
      <c r="AE91" s="151">
        <f t="shared" si="15"/>
        <v>0</v>
      </c>
      <c r="AF91" s="98" t="str">
        <f t="shared" si="16"/>
        <v>00</v>
      </c>
      <c r="AG91" s="98" t="str">
        <f t="shared" si="23"/>
        <v>000000000000</v>
      </c>
      <c r="AH91" s="161" t="str">
        <f t="shared" si="17"/>
        <v xml:space="preserve">                    </v>
      </c>
      <c r="AI91" s="154">
        <f t="shared" si="18"/>
        <v>0</v>
      </c>
      <c r="AJ91" s="155">
        <f t="shared" si="19"/>
        <v>0</v>
      </c>
      <c r="AP91" s="63" t="str">
        <f t="shared" si="20"/>
        <v/>
      </c>
      <c r="AQ91" s="63" t="str">
        <f t="shared" si="14"/>
        <v xml:space="preserve">                    </v>
      </c>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BT91" s="63"/>
      <c r="BU91" s="63"/>
      <c r="BV91" s="63"/>
      <c r="BW91" s="63"/>
    </row>
    <row r="92" spans="1:75" x14ac:dyDescent="0.2">
      <c r="A92" s="63" t="str">
        <f t="shared" si="21"/>
        <v/>
      </c>
      <c r="B92" s="182"/>
      <c r="C92" s="75"/>
      <c r="D92" s="75"/>
      <c r="E92" s="74"/>
      <c r="F92" s="181"/>
      <c r="G92" s="69"/>
      <c r="AB92" s="150">
        <f t="shared" si="12"/>
        <v>0</v>
      </c>
      <c r="AC92" s="150">
        <f t="shared" si="13"/>
        <v>0</v>
      </c>
      <c r="AD92" s="98" t="str">
        <f t="shared" si="22"/>
        <v>0000000000</v>
      </c>
      <c r="AE92" s="151">
        <f t="shared" si="15"/>
        <v>0</v>
      </c>
      <c r="AF92" s="98" t="str">
        <f t="shared" si="16"/>
        <v>00</v>
      </c>
      <c r="AG92" s="98" t="str">
        <f t="shared" si="23"/>
        <v>000000000000</v>
      </c>
      <c r="AH92" s="161" t="str">
        <f t="shared" si="17"/>
        <v xml:space="preserve">                    </v>
      </c>
      <c r="AI92" s="154">
        <f t="shared" si="18"/>
        <v>0</v>
      </c>
      <c r="AJ92" s="155">
        <f t="shared" si="19"/>
        <v>0</v>
      </c>
      <c r="AP92" s="63" t="str">
        <f t="shared" si="20"/>
        <v/>
      </c>
      <c r="AQ92" s="63" t="str">
        <f t="shared" si="14"/>
        <v xml:space="preserve">                    </v>
      </c>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BT92" s="63"/>
      <c r="BU92" s="63"/>
      <c r="BV92" s="63"/>
      <c r="BW92" s="63"/>
    </row>
    <row r="93" spans="1:75" x14ac:dyDescent="0.2">
      <c r="A93" s="63" t="str">
        <f t="shared" si="21"/>
        <v/>
      </c>
      <c r="B93" s="182"/>
      <c r="C93" s="75"/>
      <c r="D93" s="75"/>
      <c r="E93" s="74"/>
      <c r="F93" s="181"/>
      <c r="G93" s="69"/>
      <c r="AB93" s="150">
        <f t="shared" si="12"/>
        <v>0</v>
      </c>
      <c r="AC93" s="150">
        <f t="shared" si="13"/>
        <v>0</v>
      </c>
      <c r="AD93" s="98" t="str">
        <f t="shared" si="22"/>
        <v>0000000000</v>
      </c>
      <c r="AE93" s="151">
        <f t="shared" si="15"/>
        <v>0</v>
      </c>
      <c r="AF93" s="98" t="str">
        <f t="shared" si="16"/>
        <v>00</v>
      </c>
      <c r="AG93" s="98" t="str">
        <f t="shared" si="23"/>
        <v>000000000000</v>
      </c>
      <c r="AH93" s="161" t="str">
        <f t="shared" si="17"/>
        <v xml:space="preserve">                    </v>
      </c>
      <c r="AI93" s="154">
        <f t="shared" si="18"/>
        <v>0</v>
      </c>
      <c r="AJ93" s="155">
        <f t="shared" si="19"/>
        <v>0</v>
      </c>
      <c r="AP93" s="63" t="str">
        <f t="shared" si="20"/>
        <v/>
      </c>
      <c r="AQ93" s="63" t="str">
        <f t="shared" si="14"/>
        <v xml:space="preserve">                    </v>
      </c>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BT93" s="63"/>
      <c r="BU93" s="63"/>
      <c r="BV93" s="63"/>
      <c r="BW93" s="63"/>
    </row>
    <row r="94" spans="1:75" x14ac:dyDescent="0.2">
      <c r="A94" s="63" t="str">
        <f t="shared" si="21"/>
        <v/>
      </c>
      <c r="B94" s="182"/>
      <c r="C94" s="75"/>
      <c r="D94" s="75"/>
      <c r="E94" s="74"/>
      <c r="F94" s="181"/>
      <c r="G94" s="69"/>
      <c r="AB94" s="150">
        <f t="shared" si="12"/>
        <v>0</v>
      </c>
      <c r="AC94" s="150">
        <f t="shared" si="13"/>
        <v>0</v>
      </c>
      <c r="AD94" s="98" t="str">
        <f t="shared" si="22"/>
        <v>0000000000</v>
      </c>
      <c r="AE94" s="151">
        <f t="shared" si="15"/>
        <v>0</v>
      </c>
      <c r="AF94" s="98" t="str">
        <f t="shared" si="16"/>
        <v>00</v>
      </c>
      <c r="AG94" s="98" t="str">
        <f t="shared" si="23"/>
        <v>000000000000</v>
      </c>
      <c r="AH94" s="161" t="str">
        <f t="shared" si="17"/>
        <v xml:space="preserve">                    </v>
      </c>
      <c r="AI94" s="154">
        <f t="shared" si="18"/>
        <v>0</v>
      </c>
      <c r="AJ94" s="155">
        <f t="shared" si="19"/>
        <v>0</v>
      </c>
      <c r="AP94" s="63" t="str">
        <f t="shared" si="20"/>
        <v/>
      </c>
      <c r="AQ94" s="63" t="str">
        <f t="shared" si="14"/>
        <v xml:space="preserve">                    </v>
      </c>
      <c r="AR94" s="63"/>
      <c r="AS94" s="63"/>
      <c r="AT94" s="63"/>
      <c r="AU94" s="63"/>
      <c r="AV94" s="63"/>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BT94" s="63"/>
      <c r="BU94" s="63"/>
      <c r="BV94" s="63"/>
      <c r="BW94" s="63"/>
    </row>
    <row r="95" spans="1:75" x14ac:dyDescent="0.2">
      <c r="A95" s="63" t="str">
        <f t="shared" si="21"/>
        <v/>
      </c>
      <c r="B95" s="182"/>
      <c r="C95" s="75"/>
      <c r="D95" s="75"/>
      <c r="E95" s="74"/>
      <c r="F95" s="181"/>
      <c r="G95" s="69"/>
      <c r="AB95" s="150">
        <f t="shared" si="12"/>
        <v>0</v>
      </c>
      <c r="AC95" s="150">
        <f t="shared" si="13"/>
        <v>0</v>
      </c>
      <c r="AD95" s="98" t="str">
        <f t="shared" si="22"/>
        <v>0000000000</v>
      </c>
      <c r="AE95" s="151">
        <f t="shared" si="15"/>
        <v>0</v>
      </c>
      <c r="AF95" s="98" t="str">
        <f t="shared" si="16"/>
        <v>00</v>
      </c>
      <c r="AG95" s="98" t="str">
        <f t="shared" si="23"/>
        <v>000000000000</v>
      </c>
      <c r="AH95" s="161" t="str">
        <f t="shared" si="17"/>
        <v xml:space="preserve">                    </v>
      </c>
      <c r="AI95" s="154">
        <f t="shared" si="18"/>
        <v>0</v>
      </c>
      <c r="AJ95" s="155">
        <f t="shared" si="19"/>
        <v>0</v>
      </c>
      <c r="AP95" s="63" t="str">
        <f t="shared" si="20"/>
        <v/>
      </c>
      <c r="AQ95" s="63" t="str">
        <f t="shared" si="14"/>
        <v xml:space="preserve">                    </v>
      </c>
      <c r="AR95" s="63"/>
      <c r="AS95" s="63"/>
      <c r="AT95" s="63"/>
      <c r="AU95" s="63"/>
      <c r="AV95" s="63"/>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BT95" s="63"/>
      <c r="BU95" s="63"/>
      <c r="BV95" s="63"/>
      <c r="BW95" s="63"/>
    </row>
    <row r="96" spans="1:75" x14ac:dyDescent="0.2">
      <c r="A96" s="63" t="str">
        <f t="shared" si="21"/>
        <v/>
      </c>
      <c r="B96" s="182"/>
      <c r="C96" s="75"/>
      <c r="D96" s="75"/>
      <c r="E96" s="74"/>
      <c r="F96" s="181"/>
      <c r="G96" s="69"/>
      <c r="AB96" s="150">
        <f t="shared" si="12"/>
        <v>0</v>
      </c>
      <c r="AC96" s="150">
        <f t="shared" si="13"/>
        <v>0</v>
      </c>
      <c r="AD96" s="98" t="str">
        <f t="shared" si="22"/>
        <v>0000000000</v>
      </c>
      <c r="AE96" s="151">
        <f t="shared" si="15"/>
        <v>0</v>
      </c>
      <c r="AF96" s="98" t="str">
        <f t="shared" si="16"/>
        <v>00</v>
      </c>
      <c r="AG96" s="98" t="str">
        <f t="shared" si="23"/>
        <v>000000000000</v>
      </c>
      <c r="AH96" s="161" t="str">
        <f t="shared" si="17"/>
        <v xml:space="preserve">                    </v>
      </c>
      <c r="AI96" s="154">
        <f t="shared" si="18"/>
        <v>0</v>
      </c>
      <c r="AJ96" s="155">
        <f t="shared" si="19"/>
        <v>0</v>
      </c>
      <c r="AP96" s="63" t="str">
        <f t="shared" si="20"/>
        <v/>
      </c>
      <c r="AQ96" s="63" t="str">
        <f t="shared" si="14"/>
        <v xml:space="preserve">                    </v>
      </c>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BT96" s="63"/>
      <c r="BU96" s="63"/>
      <c r="BV96" s="63"/>
      <c r="BW96" s="63"/>
    </row>
    <row r="97" spans="1:75" x14ac:dyDescent="0.2">
      <c r="A97" s="63" t="str">
        <f t="shared" si="21"/>
        <v/>
      </c>
      <c r="B97" s="182"/>
      <c r="C97" s="75"/>
      <c r="D97" s="75"/>
      <c r="E97" s="74"/>
      <c r="F97" s="181"/>
      <c r="G97" s="69"/>
      <c r="AB97" s="150">
        <f t="shared" si="12"/>
        <v>0</v>
      </c>
      <c r="AC97" s="150">
        <f t="shared" si="13"/>
        <v>0</v>
      </c>
      <c r="AD97" s="98" t="str">
        <f t="shared" si="22"/>
        <v>0000000000</v>
      </c>
      <c r="AE97" s="151">
        <f t="shared" si="15"/>
        <v>0</v>
      </c>
      <c r="AF97" s="98" t="str">
        <f t="shared" si="16"/>
        <v>00</v>
      </c>
      <c r="AG97" s="98" t="str">
        <f t="shared" si="23"/>
        <v>000000000000</v>
      </c>
      <c r="AH97" s="161" t="str">
        <f t="shared" si="17"/>
        <v xml:space="preserve">                    </v>
      </c>
      <c r="AI97" s="154">
        <f t="shared" si="18"/>
        <v>0</v>
      </c>
      <c r="AJ97" s="155">
        <f t="shared" si="19"/>
        <v>0</v>
      </c>
      <c r="AP97" s="63" t="str">
        <f t="shared" si="20"/>
        <v/>
      </c>
      <c r="AQ97" s="63" t="str">
        <f t="shared" si="14"/>
        <v xml:space="preserve">                    </v>
      </c>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BT97" s="63"/>
      <c r="BU97" s="63"/>
      <c r="BV97" s="63"/>
      <c r="BW97" s="63"/>
    </row>
    <row r="98" spans="1:75" x14ac:dyDescent="0.2">
      <c r="A98" s="63" t="str">
        <f t="shared" si="21"/>
        <v/>
      </c>
      <c r="B98" s="182"/>
      <c r="C98" s="75"/>
      <c r="D98" s="75"/>
      <c r="E98" s="74"/>
      <c r="F98" s="181"/>
      <c r="G98" s="69"/>
      <c r="AB98" s="150">
        <f t="shared" si="12"/>
        <v>0</v>
      </c>
      <c r="AC98" s="150">
        <f t="shared" si="13"/>
        <v>0</v>
      </c>
      <c r="AD98" s="98" t="str">
        <f t="shared" si="22"/>
        <v>0000000000</v>
      </c>
      <c r="AE98" s="151">
        <f t="shared" si="15"/>
        <v>0</v>
      </c>
      <c r="AF98" s="98" t="str">
        <f t="shared" si="16"/>
        <v>00</v>
      </c>
      <c r="AG98" s="98" t="str">
        <f t="shared" si="23"/>
        <v>000000000000</v>
      </c>
      <c r="AH98" s="161" t="str">
        <f t="shared" si="17"/>
        <v xml:space="preserve">                    </v>
      </c>
      <c r="AI98" s="154">
        <f t="shared" si="18"/>
        <v>0</v>
      </c>
      <c r="AJ98" s="155">
        <f t="shared" si="19"/>
        <v>0</v>
      </c>
      <c r="AP98" s="63" t="str">
        <f t="shared" si="20"/>
        <v/>
      </c>
      <c r="AQ98" s="63" t="str">
        <f t="shared" si="14"/>
        <v xml:space="preserve">                    </v>
      </c>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BT98" s="63"/>
      <c r="BU98" s="63"/>
      <c r="BV98" s="63"/>
      <c r="BW98" s="63"/>
    </row>
    <row r="99" spans="1:75" x14ac:dyDescent="0.2">
      <c r="A99" s="63" t="str">
        <f t="shared" si="21"/>
        <v/>
      </c>
      <c r="B99" s="182"/>
      <c r="C99" s="75"/>
      <c r="D99" s="75"/>
      <c r="E99" s="74"/>
      <c r="F99" s="181"/>
      <c r="G99" s="69"/>
      <c r="AB99" s="150">
        <f t="shared" si="12"/>
        <v>0</v>
      </c>
      <c r="AC99" s="150">
        <f t="shared" si="13"/>
        <v>0</v>
      </c>
      <c r="AD99" s="98" t="str">
        <f t="shared" si="22"/>
        <v>0000000000</v>
      </c>
      <c r="AE99" s="151">
        <f t="shared" si="15"/>
        <v>0</v>
      </c>
      <c r="AF99" s="98" t="str">
        <f t="shared" si="16"/>
        <v>00</v>
      </c>
      <c r="AG99" s="98" t="str">
        <f t="shared" si="23"/>
        <v>000000000000</v>
      </c>
      <c r="AH99" s="161" t="str">
        <f t="shared" si="17"/>
        <v xml:space="preserve">                    </v>
      </c>
      <c r="AI99" s="154">
        <f t="shared" si="18"/>
        <v>0</v>
      </c>
      <c r="AJ99" s="155">
        <f t="shared" si="19"/>
        <v>0</v>
      </c>
      <c r="AP99" s="63" t="str">
        <f t="shared" si="20"/>
        <v/>
      </c>
      <c r="AQ99" s="63" t="str">
        <f t="shared" si="14"/>
        <v xml:space="preserve">                    </v>
      </c>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row>
    <row r="100" spans="1:75" x14ac:dyDescent="0.2">
      <c r="A100" s="63" t="str">
        <f t="shared" si="21"/>
        <v/>
      </c>
      <c r="B100" s="182"/>
      <c r="C100" s="75"/>
      <c r="D100" s="75"/>
      <c r="E100" s="74"/>
      <c r="F100" s="181"/>
      <c r="G100" s="69"/>
      <c r="AB100" s="150">
        <f t="shared" si="12"/>
        <v>0</v>
      </c>
      <c r="AC100" s="150">
        <f t="shared" si="13"/>
        <v>0</v>
      </c>
      <c r="AD100" s="98" t="str">
        <f t="shared" si="22"/>
        <v>0000000000</v>
      </c>
      <c r="AE100" s="151">
        <f t="shared" si="15"/>
        <v>0</v>
      </c>
      <c r="AF100" s="98" t="str">
        <f t="shared" si="16"/>
        <v>00</v>
      </c>
      <c r="AG100" s="98" t="str">
        <f t="shared" si="23"/>
        <v>000000000000</v>
      </c>
      <c r="AH100" s="161" t="str">
        <f t="shared" si="17"/>
        <v xml:space="preserve">                    </v>
      </c>
      <c r="AI100" s="154">
        <f t="shared" si="18"/>
        <v>0</v>
      </c>
      <c r="AJ100" s="155">
        <f t="shared" si="19"/>
        <v>0</v>
      </c>
      <c r="AP100" s="63" t="str">
        <f t="shared" si="20"/>
        <v/>
      </c>
      <c r="AQ100" s="63" t="str">
        <f t="shared" si="14"/>
        <v xml:space="preserve">                    </v>
      </c>
      <c r="AR100" s="63"/>
      <c r="AS100" s="63"/>
      <c r="AT100" s="63"/>
      <c r="AU100" s="63"/>
      <c r="AV100" s="63"/>
      <c r="AW100" s="63"/>
      <c r="AX100" s="63"/>
      <c r="AY100" s="63"/>
      <c r="AZ100" s="63"/>
      <c r="BA100" s="63"/>
      <c r="BB100" s="63"/>
      <c r="BC100" s="63"/>
      <c r="BD100" s="63"/>
      <c r="BE100" s="63"/>
      <c r="BF100" s="63"/>
      <c r="BG100" s="63"/>
      <c r="BH100" s="63"/>
      <c r="BI100" s="63"/>
      <c r="BJ100" s="63"/>
      <c r="BK100" s="63"/>
      <c r="BL100" s="63"/>
      <c r="BM100" s="63"/>
      <c r="BN100" s="63"/>
      <c r="BO100" s="63"/>
      <c r="BP100" s="63"/>
      <c r="BQ100" s="63"/>
      <c r="BR100" s="63"/>
      <c r="BS100" s="63"/>
      <c r="BT100" s="63"/>
      <c r="BU100" s="63"/>
      <c r="BV100" s="63"/>
      <c r="BW100" s="63"/>
    </row>
    <row r="101" spans="1:75" x14ac:dyDescent="0.2">
      <c r="A101" s="63" t="str">
        <f t="shared" si="21"/>
        <v/>
      </c>
      <c r="B101" s="182"/>
      <c r="C101" s="75"/>
      <c r="D101" s="75"/>
      <c r="E101" s="74"/>
      <c r="F101" s="181"/>
      <c r="G101" s="69"/>
      <c r="AB101" s="150">
        <f t="shared" si="12"/>
        <v>0</v>
      </c>
      <c r="AC101" s="150">
        <f t="shared" si="13"/>
        <v>0</v>
      </c>
      <c r="AD101" s="98" t="str">
        <f t="shared" si="22"/>
        <v>0000000000</v>
      </c>
      <c r="AE101" s="151">
        <f t="shared" si="15"/>
        <v>0</v>
      </c>
      <c r="AF101" s="98" t="str">
        <f t="shared" si="16"/>
        <v>00</v>
      </c>
      <c r="AG101" s="98" t="str">
        <f t="shared" si="23"/>
        <v>000000000000</v>
      </c>
      <c r="AH101" s="161" t="str">
        <f t="shared" si="17"/>
        <v xml:space="preserve">                    </v>
      </c>
      <c r="AI101" s="154">
        <f t="shared" si="18"/>
        <v>0</v>
      </c>
      <c r="AJ101" s="155">
        <f t="shared" si="19"/>
        <v>0</v>
      </c>
      <c r="AP101" s="63" t="str">
        <f t="shared" si="20"/>
        <v/>
      </c>
      <c r="AQ101" s="63" t="str">
        <f t="shared" si="14"/>
        <v xml:space="preserve">                    </v>
      </c>
      <c r="AR101" s="63"/>
      <c r="AS101" s="63"/>
      <c r="AT101" s="63"/>
      <c r="AU101" s="63"/>
      <c r="AV101" s="63"/>
      <c r="AW101" s="63"/>
      <c r="AX101" s="63"/>
      <c r="AY101" s="63"/>
      <c r="AZ101" s="63"/>
      <c r="BA101" s="63"/>
      <c r="BB101" s="63"/>
      <c r="BC101" s="63"/>
      <c r="BD101" s="63"/>
      <c r="BE101" s="63"/>
      <c r="BF101" s="63"/>
      <c r="BG101" s="63"/>
      <c r="BH101" s="63"/>
      <c r="BI101" s="63"/>
      <c r="BJ101" s="63"/>
      <c r="BK101" s="63"/>
      <c r="BL101" s="63"/>
      <c r="BM101" s="63"/>
      <c r="BN101" s="63"/>
      <c r="BO101" s="63"/>
      <c r="BP101" s="63"/>
      <c r="BQ101" s="63"/>
      <c r="BR101" s="63"/>
      <c r="BS101" s="63"/>
      <c r="BT101" s="63"/>
      <c r="BU101" s="63"/>
      <c r="BV101" s="63"/>
      <c r="BW101" s="63"/>
    </row>
    <row r="102" spans="1:75" x14ac:dyDescent="0.2">
      <c r="A102" s="63" t="str">
        <f t="shared" si="21"/>
        <v/>
      </c>
      <c r="B102" s="182"/>
      <c r="C102" s="75"/>
      <c r="D102" s="75"/>
      <c r="E102" s="74"/>
      <c r="F102" s="181"/>
      <c r="G102" s="69"/>
      <c r="AB102" s="150">
        <f t="shared" si="12"/>
        <v>0</v>
      </c>
      <c r="AC102" s="150">
        <f t="shared" si="13"/>
        <v>0</v>
      </c>
      <c r="AD102" s="98" t="str">
        <f t="shared" si="22"/>
        <v>0000000000</v>
      </c>
      <c r="AE102" s="151">
        <f t="shared" si="15"/>
        <v>0</v>
      </c>
      <c r="AF102" s="98" t="str">
        <f t="shared" si="16"/>
        <v>00</v>
      </c>
      <c r="AG102" s="98" t="str">
        <f t="shared" si="23"/>
        <v>000000000000</v>
      </c>
      <c r="AH102" s="161" t="str">
        <f t="shared" si="17"/>
        <v xml:space="preserve">                    </v>
      </c>
      <c r="AI102" s="154">
        <f t="shared" si="18"/>
        <v>0</v>
      </c>
      <c r="AJ102" s="155">
        <f t="shared" si="19"/>
        <v>0</v>
      </c>
      <c r="AP102" s="63" t="str">
        <f t="shared" si="20"/>
        <v/>
      </c>
      <c r="AQ102" s="63" t="str">
        <f t="shared" si="14"/>
        <v xml:space="preserve">                    </v>
      </c>
      <c r="AR102" s="63"/>
      <c r="AS102" s="63"/>
      <c r="AT102" s="63"/>
      <c r="AU102" s="63"/>
      <c r="AV102" s="63"/>
      <c r="AW102" s="63"/>
      <c r="AX102" s="63"/>
      <c r="AY102" s="63"/>
      <c r="AZ102" s="63"/>
      <c r="BA102" s="63"/>
      <c r="BB102" s="63"/>
      <c r="BC102" s="63"/>
      <c r="BD102" s="63"/>
      <c r="BE102" s="63"/>
      <c r="BF102" s="63"/>
      <c r="BG102" s="63"/>
      <c r="BH102" s="63"/>
      <c r="BI102" s="63"/>
      <c r="BJ102" s="63"/>
      <c r="BK102" s="63"/>
      <c r="BL102" s="63"/>
      <c r="BM102" s="63"/>
      <c r="BN102" s="63"/>
      <c r="BO102" s="63"/>
      <c r="BP102" s="63"/>
      <c r="BQ102" s="63"/>
      <c r="BR102" s="63"/>
      <c r="BS102" s="63"/>
      <c r="BT102" s="63"/>
      <c r="BU102" s="63"/>
      <c r="BV102" s="63"/>
      <c r="BW102" s="63"/>
    </row>
    <row r="103" spans="1:75" x14ac:dyDescent="0.2">
      <c r="A103" s="63" t="str">
        <f t="shared" si="21"/>
        <v/>
      </c>
      <c r="B103" s="182"/>
      <c r="C103" s="75"/>
      <c r="D103" s="75"/>
      <c r="E103" s="74"/>
      <c r="F103" s="181"/>
      <c r="G103" s="69"/>
      <c r="AB103" s="150">
        <f t="shared" si="12"/>
        <v>0</v>
      </c>
      <c r="AC103" s="150">
        <f t="shared" si="13"/>
        <v>0</v>
      </c>
      <c r="AD103" s="98" t="str">
        <f t="shared" si="22"/>
        <v>0000000000</v>
      </c>
      <c r="AE103" s="151">
        <f t="shared" si="15"/>
        <v>0</v>
      </c>
      <c r="AF103" s="98" t="str">
        <f t="shared" si="16"/>
        <v>00</v>
      </c>
      <c r="AG103" s="98" t="str">
        <f t="shared" si="23"/>
        <v>000000000000</v>
      </c>
      <c r="AH103" s="161" t="str">
        <f t="shared" si="17"/>
        <v xml:space="preserve">                    </v>
      </c>
      <c r="AI103" s="154">
        <f t="shared" si="18"/>
        <v>0</v>
      </c>
      <c r="AJ103" s="155">
        <f t="shared" si="19"/>
        <v>0</v>
      </c>
      <c r="AP103" s="63" t="str">
        <f t="shared" si="20"/>
        <v/>
      </c>
      <c r="AQ103" s="63" t="str">
        <f t="shared" si="14"/>
        <v xml:space="preserve">                    </v>
      </c>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63"/>
      <c r="BN103" s="63"/>
      <c r="BO103" s="63"/>
      <c r="BP103" s="63"/>
      <c r="BQ103" s="63"/>
      <c r="BR103" s="63"/>
      <c r="BS103" s="63"/>
      <c r="BT103" s="63"/>
      <c r="BU103" s="63"/>
      <c r="BV103" s="63"/>
      <c r="BW103" s="63"/>
    </row>
    <row r="104" spans="1:75" x14ac:dyDescent="0.2">
      <c r="A104" s="63" t="str">
        <f t="shared" si="21"/>
        <v/>
      </c>
      <c r="B104" s="182"/>
      <c r="C104" s="75"/>
      <c r="D104" s="75"/>
      <c r="E104" s="74"/>
      <c r="F104" s="181"/>
      <c r="G104" s="69"/>
      <c r="AB104" s="150">
        <f t="shared" si="12"/>
        <v>0</v>
      </c>
      <c r="AC104" s="150">
        <f t="shared" si="13"/>
        <v>0</v>
      </c>
      <c r="AD104" s="98" t="str">
        <f t="shared" si="22"/>
        <v>0000000000</v>
      </c>
      <c r="AE104" s="151">
        <f t="shared" si="15"/>
        <v>0</v>
      </c>
      <c r="AF104" s="98" t="str">
        <f t="shared" si="16"/>
        <v>00</v>
      </c>
      <c r="AG104" s="98" t="str">
        <f t="shared" si="23"/>
        <v>000000000000</v>
      </c>
      <c r="AH104" s="161" t="str">
        <f t="shared" si="17"/>
        <v xml:space="preserve">                    </v>
      </c>
      <c r="AI104" s="154">
        <f t="shared" si="18"/>
        <v>0</v>
      </c>
      <c r="AJ104" s="155">
        <f t="shared" si="19"/>
        <v>0</v>
      </c>
      <c r="AP104" s="63" t="str">
        <f t="shared" si="20"/>
        <v/>
      </c>
      <c r="AQ104" s="63" t="str">
        <f t="shared" si="14"/>
        <v xml:space="preserve">                    </v>
      </c>
      <c r="AR104" s="63"/>
      <c r="AS104" s="63"/>
      <c r="AT104" s="63"/>
      <c r="AU104" s="63"/>
      <c r="AV104" s="63"/>
      <c r="AW104" s="63"/>
      <c r="AX104" s="63"/>
      <c r="AY104" s="63"/>
      <c r="AZ104" s="63"/>
      <c r="BA104" s="63"/>
      <c r="BB104" s="63"/>
      <c r="BC104" s="63"/>
      <c r="BD104" s="63"/>
      <c r="BE104" s="63"/>
      <c r="BF104" s="63"/>
      <c r="BG104" s="63"/>
      <c r="BH104" s="63"/>
      <c r="BI104" s="63"/>
      <c r="BJ104" s="63"/>
      <c r="BK104" s="63"/>
      <c r="BL104" s="63"/>
      <c r="BM104" s="63"/>
      <c r="BN104" s="63"/>
      <c r="BO104" s="63"/>
      <c r="BP104" s="63"/>
      <c r="BQ104" s="63"/>
      <c r="BR104" s="63"/>
      <c r="BS104" s="63"/>
      <c r="BT104" s="63"/>
      <c r="BU104" s="63"/>
      <c r="BV104" s="63"/>
      <c r="BW104" s="63"/>
    </row>
    <row r="105" spans="1:75" x14ac:dyDescent="0.2">
      <c r="A105" s="63" t="str">
        <f t="shared" si="21"/>
        <v/>
      </c>
      <c r="B105" s="182"/>
      <c r="C105" s="75"/>
      <c r="D105" s="75"/>
      <c r="E105" s="74"/>
      <c r="F105" s="181"/>
      <c r="G105" s="69"/>
      <c r="AB105" s="150">
        <f t="shared" si="12"/>
        <v>0</v>
      </c>
      <c r="AC105" s="150">
        <f t="shared" si="13"/>
        <v>0</v>
      </c>
      <c r="AD105" s="98" t="str">
        <f t="shared" si="22"/>
        <v>0000000000</v>
      </c>
      <c r="AE105" s="151">
        <f t="shared" si="15"/>
        <v>0</v>
      </c>
      <c r="AF105" s="98" t="str">
        <f t="shared" si="16"/>
        <v>00</v>
      </c>
      <c r="AG105" s="98" t="str">
        <f t="shared" si="23"/>
        <v>000000000000</v>
      </c>
      <c r="AH105" s="161" t="str">
        <f t="shared" si="17"/>
        <v xml:space="preserve">                    </v>
      </c>
      <c r="AI105" s="154">
        <f t="shared" si="18"/>
        <v>0</v>
      </c>
      <c r="AJ105" s="155">
        <f t="shared" si="19"/>
        <v>0</v>
      </c>
      <c r="AP105" s="63" t="str">
        <f t="shared" si="20"/>
        <v/>
      </c>
      <c r="AQ105" s="63" t="str">
        <f t="shared" si="14"/>
        <v xml:space="preserve">                    </v>
      </c>
      <c r="AR105" s="63"/>
      <c r="AS105" s="63"/>
      <c r="AT105" s="63"/>
      <c r="AU105" s="63"/>
      <c r="AV105" s="63"/>
      <c r="AW105" s="63"/>
      <c r="AX105" s="63"/>
      <c r="AY105" s="63"/>
      <c r="AZ105" s="63"/>
      <c r="BA105" s="63"/>
      <c r="BB105" s="63"/>
      <c r="BC105" s="63"/>
      <c r="BD105" s="63"/>
      <c r="BE105" s="63"/>
      <c r="BF105" s="63"/>
      <c r="BG105" s="63"/>
      <c r="BH105" s="63"/>
      <c r="BI105" s="63"/>
      <c r="BJ105" s="63"/>
      <c r="BK105" s="63"/>
      <c r="BL105" s="63"/>
      <c r="BM105" s="63"/>
      <c r="BN105" s="63"/>
      <c r="BO105" s="63"/>
      <c r="BP105" s="63"/>
      <c r="BQ105" s="63"/>
      <c r="BR105" s="63"/>
      <c r="BS105" s="63"/>
      <c r="BT105" s="63"/>
      <c r="BU105" s="63"/>
      <c r="BV105" s="63"/>
      <c r="BW105" s="63"/>
    </row>
    <row r="106" spans="1:75" x14ac:dyDescent="0.2">
      <c r="A106" s="63" t="str">
        <f t="shared" si="21"/>
        <v/>
      </c>
      <c r="B106" s="182"/>
      <c r="C106" s="75"/>
      <c r="D106" s="75"/>
      <c r="E106" s="74"/>
      <c r="F106" s="181"/>
      <c r="G106" s="69"/>
      <c r="AB106" s="150">
        <f t="shared" si="12"/>
        <v>0</v>
      </c>
      <c r="AC106" s="150">
        <f t="shared" si="13"/>
        <v>0</v>
      </c>
      <c r="AD106" s="98" t="str">
        <f t="shared" si="22"/>
        <v>0000000000</v>
      </c>
      <c r="AE106" s="151">
        <f t="shared" si="15"/>
        <v>0</v>
      </c>
      <c r="AF106" s="98" t="str">
        <f t="shared" si="16"/>
        <v>00</v>
      </c>
      <c r="AG106" s="98" t="str">
        <f t="shared" si="23"/>
        <v>000000000000</v>
      </c>
      <c r="AH106" s="161" t="str">
        <f t="shared" si="17"/>
        <v xml:space="preserve">                    </v>
      </c>
      <c r="AI106" s="154">
        <f t="shared" si="18"/>
        <v>0</v>
      </c>
      <c r="AJ106" s="155">
        <f t="shared" si="19"/>
        <v>0</v>
      </c>
      <c r="AP106" s="63" t="str">
        <f t="shared" si="20"/>
        <v/>
      </c>
      <c r="AQ106" s="63" t="str">
        <f t="shared" si="14"/>
        <v xml:space="preserve">                    </v>
      </c>
      <c r="AR106" s="63"/>
      <c r="AS106" s="63"/>
      <c r="AT106" s="63"/>
      <c r="AU106" s="63"/>
      <c r="AV106" s="63"/>
      <c r="AW106" s="63"/>
      <c r="AX106" s="63"/>
      <c r="AY106" s="63"/>
      <c r="AZ106" s="63"/>
      <c r="BA106" s="63"/>
      <c r="BB106" s="63"/>
      <c r="BC106" s="63"/>
      <c r="BD106" s="63"/>
      <c r="BE106" s="63"/>
      <c r="BF106" s="63"/>
      <c r="BG106" s="63"/>
      <c r="BH106" s="63"/>
      <c r="BI106" s="63"/>
      <c r="BJ106" s="63"/>
      <c r="BK106" s="63"/>
      <c r="BL106" s="63"/>
      <c r="BM106" s="63"/>
      <c r="BN106" s="63"/>
      <c r="BO106" s="63"/>
      <c r="BP106" s="63"/>
      <c r="BQ106" s="63"/>
      <c r="BR106" s="63"/>
      <c r="BS106" s="63"/>
      <c r="BT106" s="63"/>
      <c r="BU106" s="63"/>
      <c r="BV106" s="63"/>
      <c r="BW106" s="63"/>
    </row>
    <row r="107" spans="1:75" x14ac:dyDescent="0.2">
      <c r="A107" s="63" t="str">
        <f t="shared" si="21"/>
        <v/>
      </c>
      <c r="B107" s="182"/>
      <c r="C107" s="75"/>
      <c r="D107" s="75"/>
      <c r="E107" s="74"/>
      <c r="F107" s="181"/>
      <c r="G107" s="69"/>
      <c r="AB107" s="150">
        <f t="shared" si="12"/>
        <v>0</v>
      </c>
      <c r="AC107" s="150">
        <f t="shared" si="13"/>
        <v>0</v>
      </c>
      <c r="AD107" s="98" t="str">
        <f t="shared" si="22"/>
        <v>0000000000</v>
      </c>
      <c r="AE107" s="151">
        <f t="shared" si="15"/>
        <v>0</v>
      </c>
      <c r="AF107" s="98" t="str">
        <f t="shared" si="16"/>
        <v>00</v>
      </c>
      <c r="AG107" s="98" t="str">
        <f t="shared" si="23"/>
        <v>000000000000</v>
      </c>
      <c r="AH107" s="161" t="str">
        <f t="shared" si="17"/>
        <v xml:space="preserve">                    </v>
      </c>
      <c r="AI107" s="154">
        <f t="shared" si="18"/>
        <v>0</v>
      </c>
      <c r="AJ107" s="155">
        <f t="shared" si="19"/>
        <v>0</v>
      </c>
      <c r="AP107" s="63" t="str">
        <f t="shared" si="20"/>
        <v/>
      </c>
      <c r="AQ107" s="63" t="str">
        <f t="shared" si="14"/>
        <v xml:space="preserve">                    </v>
      </c>
      <c r="AR107" s="63"/>
      <c r="AS107" s="63"/>
      <c r="AT107" s="63"/>
      <c r="AU107" s="63"/>
      <c r="AV107" s="63"/>
      <c r="AW107" s="63"/>
      <c r="AX107" s="63"/>
      <c r="AY107" s="63"/>
      <c r="AZ107" s="63"/>
      <c r="BA107" s="63"/>
      <c r="BB107" s="63"/>
      <c r="BC107" s="63"/>
      <c r="BD107" s="63"/>
      <c r="BE107" s="63"/>
      <c r="BF107" s="63"/>
      <c r="BG107" s="63"/>
      <c r="BH107" s="63"/>
      <c r="BI107" s="63"/>
      <c r="BJ107" s="63"/>
      <c r="BK107" s="63"/>
      <c r="BL107" s="63"/>
      <c r="BM107" s="63"/>
      <c r="BN107" s="63"/>
      <c r="BO107" s="63"/>
      <c r="BP107" s="63"/>
      <c r="BQ107" s="63"/>
      <c r="BR107" s="63"/>
      <c r="BS107" s="63"/>
      <c r="BT107" s="63"/>
      <c r="BU107" s="63"/>
      <c r="BV107" s="63"/>
      <c r="BW107" s="63"/>
    </row>
    <row r="108" spans="1:75" x14ac:dyDescent="0.2">
      <c r="A108" s="63" t="str">
        <f t="shared" si="21"/>
        <v/>
      </c>
      <c r="B108" s="182"/>
      <c r="C108" s="75"/>
      <c r="D108" s="75"/>
      <c r="E108" s="74"/>
      <c r="F108" s="181"/>
      <c r="G108" s="69"/>
      <c r="AB108" s="150">
        <f t="shared" si="12"/>
        <v>0</v>
      </c>
      <c r="AC108" s="150">
        <f t="shared" si="13"/>
        <v>0</v>
      </c>
      <c r="AD108" s="98" t="str">
        <f t="shared" si="22"/>
        <v>0000000000</v>
      </c>
      <c r="AE108" s="151">
        <f t="shared" si="15"/>
        <v>0</v>
      </c>
      <c r="AF108" s="98" t="str">
        <f t="shared" si="16"/>
        <v>00</v>
      </c>
      <c r="AG108" s="98" t="str">
        <f t="shared" si="23"/>
        <v>000000000000</v>
      </c>
      <c r="AH108" s="161" t="str">
        <f t="shared" si="17"/>
        <v xml:space="preserve">                    </v>
      </c>
      <c r="AI108" s="154">
        <f t="shared" si="18"/>
        <v>0</v>
      </c>
      <c r="AJ108" s="155">
        <f t="shared" si="19"/>
        <v>0</v>
      </c>
      <c r="AP108" s="63" t="str">
        <f t="shared" si="20"/>
        <v/>
      </c>
      <c r="AQ108" s="63" t="str">
        <f t="shared" si="14"/>
        <v xml:space="preserve">                    </v>
      </c>
      <c r="AR108" s="63"/>
      <c r="AS108" s="63"/>
      <c r="AT108" s="63"/>
      <c r="AU108" s="63"/>
      <c r="AV108" s="63"/>
      <c r="AW108" s="63"/>
      <c r="AX108" s="63"/>
      <c r="AY108" s="63"/>
      <c r="AZ108" s="63"/>
      <c r="BA108" s="63"/>
      <c r="BB108" s="63"/>
      <c r="BC108" s="63"/>
      <c r="BD108" s="63"/>
      <c r="BE108" s="63"/>
      <c r="BF108" s="63"/>
      <c r="BG108" s="63"/>
      <c r="BH108" s="63"/>
      <c r="BI108" s="63"/>
      <c r="BJ108" s="63"/>
      <c r="BK108" s="63"/>
      <c r="BL108" s="63"/>
      <c r="BM108" s="63"/>
      <c r="BN108" s="63"/>
      <c r="BO108" s="63"/>
      <c r="BP108" s="63"/>
      <c r="BQ108" s="63"/>
      <c r="BR108" s="63"/>
      <c r="BS108" s="63"/>
      <c r="BT108" s="63"/>
      <c r="BU108" s="63"/>
      <c r="BV108" s="63"/>
      <c r="BW108" s="63"/>
    </row>
    <row r="109" spans="1:75" x14ac:dyDescent="0.2">
      <c r="A109" s="63" t="str">
        <f t="shared" si="21"/>
        <v/>
      </c>
      <c r="B109" s="182"/>
      <c r="C109" s="75"/>
      <c r="D109" s="75"/>
      <c r="E109" s="74"/>
      <c r="F109" s="181"/>
      <c r="G109" s="69"/>
      <c r="AB109" s="150">
        <f t="shared" si="12"/>
        <v>0</v>
      </c>
      <c r="AC109" s="150">
        <f t="shared" si="13"/>
        <v>0</v>
      </c>
      <c r="AD109" s="98" t="str">
        <f t="shared" si="22"/>
        <v>0000000000</v>
      </c>
      <c r="AE109" s="151">
        <f t="shared" si="15"/>
        <v>0</v>
      </c>
      <c r="AF109" s="98" t="str">
        <f t="shared" si="16"/>
        <v>00</v>
      </c>
      <c r="AG109" s="98" t="str">
        <f t="shared" si="23"/>
        <v>000000000000</v>
      </c>
      <c r="AH109" s="161" t="str">
        <f t="shared" si="17"/>
        <v xml:space="preserve">                    </v>
      </c>
      <c r="AI109" s="154">
        <f t="shared" si="18"/>
        <v>0</v>
      </c>
      <c r="AJ109" s="155">
        <f t="shared" si="19"/>
        <v>0</v>
      </c>
      <c r="AP109" s="63" t="str">
        <f t="shared" si="20"/>
        <v/>
      </c>
      <c r="AQ109" s="63" t="str">
        <f t="shared" si="14"/>
        <v xml:space="preserve">                    </v>
      </c>
      <c r="AR109" s="63"/>
      <c r="AS109" s="63"/>
      <c r="AT109" s="63"/>
      <c r="AU109" s="63"/>
      <c r="AV109" s="63"/>
      <c r="AW109" s="63"/>
      <c r="AX109" s="63"/>
      <c r="AY109" s="63"/>
      <c r="AZ109" s="63"/>
      <c r="BA109" s="63"/>
      <c r="BB109" s="63"/>
      <c r="BC109" s="63"/>
      <c r="BD109" s="63"/>
      <c r="BE109" s="63"/>
      <c r="BF109" s="63"/>
      <c r="BG109" s="63"/>
      <c r="BH109" s="63"/>
      <c r="BI109" s="63"/>
      <c r="BJ109" s="63"/>
      <c r="BK109" s="63"/>
      <c r="BL109" s="63"/>
      <c r="BM109" s="63"/>
      <c r="BN109" s="63"/>
      <c r="BO109" s="63"/>
      <c r="BP109" s="63"/>
      <c r="BQ109" s="63"/>
      <c r="BR109" s="63"/>
      <c r="BS109" s="63"/>
      <c r="BT109" s="63"/>
      <c r="BU109" s="63"/>
      <c r="BV109" s="63"/>
      <c r="BW109" s="63"/>
    </row>
    <row r="110" spans="1:75" x14ac:dyDescent="0.2">
      <c r="A110" s="63" t="str">
        <f t="shared" si="21"/>
        <v/>
      </c>
      <c r="B110" s="182"/>
      <c r="C110" s="75"/>
      <c r="D110" s="75"/>
      <c r="E110" s="74"/>
      <c r="F110" s="181"/>
      <c r="G110" s="69"/>
      <c r="AB110" s="150">
        <f t="shared" si="12"/>
        <v>0</v>
      </c>
      <c r="AC110" s="150">
        <f t="shared" si="13"/>
        <v>0</v>
      </c>
      <c r="AD110" s="98" t="str">
        <f t="shared" si="22"/>
        <v>0000000000</v>
      </c>
      <c r="AE110" s="151">
        <f t="shared" si="15"/>
        <v>0</v>
      </c>
      <c r="AF110" s="98" t="str">
        <f t="shared" si="16"/>
        <v>00</v>
      </c>
      <c r="AG110" s="98" t="str">
        <f t="shared" si="23"/>
        <v>000000000000</v>
      </c>
      <c r="AH110" s="161" t="str">
        <f t="shared" si="17"/>
        <v xml:space="preserve">                    </v>
      </c>
      <c r="AI110" s="154">
        <f t="shared" si="18"/>
        <v>0</v>
      </c>
      <c r="AJ110" s="155">
        <f t="shared" si="19"/>
        <v>0</v>
      </c>
      <c r="AP110" s="63" t="str">
        <f t="shared" si="20"/>
        <v/>
      </c>
      <c r="AQ110" s="63" t="str">
        <f t="shared" si="14"/>
        <v xml:space="preserve">                    </v>
      </c>
      <c r="AR110" s="63"/>
      <c r="AS110" s="63"/>
      <c r="AT110" s="63"/>
      <c r="AU110" s="63"/>
      <c r="AV110" s="63"/>
      <c r="AW110" s="63"/>
      <c r="AX110" s="63"/>
      <c r="AY110" s="63"/>
      <c r="AZ110" s="63"/>
      <c r="BA110" s="63"/>
      <c r="BB110" s="63"/>
      <c r="BC110" s="63"/>
      <c r="BD110" s="63"/>
      <c r="BE110" s="63"/>
      <c r="BF110" s="63"/>
      <c r="BG110" s="63"/>
      <c r="BH110" s="63"/>
      <c r="BI110" s="63"/>
      <c r="BJ110" s="63"/>
      <c r="BK110" s="63"/>
      <c r="BL110" s="63"/>
      <c r="BM110" s="63"/>
      <c r="BN110" s="63"/>
      <c r="BO110" s="63"/>
      <c r="BP110" s="63"/>
      <c r="BQ110" s="63"/>
      <c r="BR110" s="63"/>
      <c r="BS110" s="63"/>
      <c r="BT110" s="63"/>
      <c r="BU110" s="63"/>
      <c r="BV110" s="63"/>
      <c r="BW110" s="63"/>
    </row>
    <row r="111" spans="1:75" x14ac:dyDescent="0.2">
      <c r="A111" s="63" t="str">
        <f t="shared" si="21"/>
        <v/>
      </c>
      <c r="B111" s="182"/>
      <c r="C111" s="75"/>
      <c r="D111" s="75"/>
      <c r="E111" s="74"/>
      <c r="F111" s="181"/>
      <c r="G111" s="69"/>
      <c r="AB111" s="150">
        <f t="shared" si="12"/>
        <v>0</v>
      </c>
      <c r="AC111" s="150">
        <f t="shared" si="13"/>
        <v>0</v>
      </c>
      <c r="AD111" s="98" t="str">
        <f t="shared" si="22"/>
        <v>0000000000</v>
      </c>
      <c r="AE111" s="151">
        <f t="shared" si="15"/>
        <v>0</v>
      </c>
      <c r="AF111" s="98" t="str">
        <f t="shared" si="16"/>
        <v>00</v>
      </c>
      <c r="AG111" s="98" t="str">
        <f t="shared" si="23"/>
        <v>000000000000</v>
      </c>
      <c r="AH111" s="161" t="str">
        <f t="shared" si="17"/>
        <v xml:space="preserve">                    </v>
      </c>
      <c r="AI111" s="154">
        <f t="shared" si="18"/>
        <v>0</v>
      </c>
      <c r="AJ111" s="155">
        <f t="shared" si="19"/>
        <v>0</v>
      </c>
      <c r="AP111" s="63" t="str">
        <f t="shared" si="20"/>
        <v/>
      </c>
      <c r="AQ111" s="63" t="str">
        <f t="shared" si="14"/>
        <v xml:space="preserve">                    </v>
      </c>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63"/>
      <c r="BN111" s="63"/>
      <c r="BO111" s="63"/>
      <c r="BP111" s="63"/>
      <c r="BQ111" s="63"/>
      <c r="BR111" s="63"/>
      <c r="BS111" s="63"/>
      <c r="BT111" s="63"/>
      <c r="BU111" s="63"/>
      <c r="BV111" s="63"/>
      <c r="BW111" s="63"/>
    </row>
    <row r="112" spans="1:75" x14ac:dyDescent="0.2">
      <c r="A112" s="63" t="str">
        <f t="shared" si="21"/>
        <v/>
      </c>
      <c r="B112" s="182"/>
      <c r="C112" s="75"/>
      <c r="D112" s="75"/>
      <c r="E112" s="74"/>
      <c r="F112" s="181"/>
      <c r="G112" s="69"/>
      <c r="AB112" s="150">
        <f t="shared" si="12"/>
        <v>0</v>
      </c>
      <c r="AC112" s="150">
        <f t="shared" si="13"/>
        <v>0</v>
      </c>
      <c r="AD112" s="98" t="str">
        <f t="shared" si="22"/>
        <v>0000000000</v>
      </c>
      <c r="AE112" s="151">
        <f t="shared" si="15"/>
        <v>0</v>
      </c>
      <c r="AF112" s="98" t="str">
        <f t="shared" si="16"/>
        <v>00</v>
      </c>
      <c r="AG112" s="98" t="str">
        <f t="shared" si="23"/>
        <v>000000000000</v>
      </c>
      <c r="AH112" s="161" t="str">
        <f t="shared" si="17"/>
        <v xml:space="preserve">                    </v>
      </c>
      <c r="AI112" s="154">
        <f t="shared" si="18"/>
        <v>0</v>
      </c>
      <c r="AJ112" s="155">
        <f t="shared" si="19"/>
        <v>0</v>
      </c>
      <c r="AP112" s="63" t="str">
        <f t="shared" si="20"/>
        <v/>
      </c>
      <c r="AQ112" s="63" t="str">
        <f t="shared" si="14"/>
        <v xml:space="preserve">                    </v>
      </c>
      <c r="AR112" s="63"/>
      <c r="AS112" s="63"/>
      <c r="AT112" s="63"/>
      <c r="AU112" s="63"/>
      <c r="AV112" s="63"/>
      <c r="AW112" s="63"/>
      <c r="AX112" s="63"/>
      <c r="AY112" s="63"/>
      <c r="AZ112" s="63"/>
      <c r="BA112" s="63"/>
      <c r="BB112" s="63"/>
      <c r="BC112" s="63"/>
      <c r="BD112" s="63"/>
      <c r="BE112" s="63"/>
      <c r="BF112" s="63"/>
      <c r="BG112" s="63"/>
      <c r="BH112" s="63"/>
      <c r="BI112" s="63"/>
      <c r="BJ112" s="63"/>
      <c r="BK112" s="63"/>
      <c r="BL112" s="63"/>
      <c r="BM112" s="63"/>
      <c r="BN112" s="63"/>
      <c r="BO112" s="63"/>
      <c r="BP112" s="63"/>
      <c r="BQ112" s="63"/>
      <c r="BR112" s="63"/>
      <c r="BS112" s="63"/>
      <c r="BT112" s="63"/>
      <c r="BU112" s="63"/>
      <c r="BV112" s="63"/>
      <c r="BW112" s="63"/>
    </row>
    <row r="113" spans="1:75" x14ac:dyDescent="0.2">
      <c r="A113" s="63" t="str">
        <f t="shared" si="21"/>
        <v/>
      </c>
      <c r="B113" s="182"/>
      <c r="C113" s="75"/>
      <c r="D113" s="75"/>
      <c r="E113" s="74"/>
      <c r="F113" s="181"/>
      <c r="G113" s="69"/>
      <c r="AB113" s="150">
        <f t="shared" si="12"/>
        <v>0</v>
      </c>
      <c r="AC113" s="150">
        <f t="shared" si="13"/>
        <v>0</v>
      </c>
      <c r="AD113" s="98" t="str">
        <f t="shared" si="22"/>
        <v>0000000000</v>
      </c>
      <c r="AE113" s="151">
        <f t="shared" si="15"/>
        <v>0</v>
      </c>
      <c r="AF113" s="98" t="str">
        <f t="shared" si="16"/>
        <v>00</v>
      </c>
      <c r="AG113" s="98" t="str">
        <f t="shared" si="23"/>
        <v>000000000000</v>
      </c>
      <c r="AH113" s="161" t="str">
        <f t="shared" si="17"/>
        <v xml:space="preserve">                    </v>
      </c>
      <c r="AI113" s="154">
        <f t="shared" si="18"/>
        <v>0</v>
      </c>
      <c r="AJ113" s="155">
        <f t="shared" si="19"/>
        <v>0</v>
      </c>
      <c r="AP113" s="63" t="str">
        <f t="shared" si="20"/>
        <v/>
      </c>
      <c r="AQ113" s="63" t="str">
        <f t="shared" si="14"/>
        <v xml:space="preserve">                    </v>
      </c>
      <c r="AR113" s="63"/>
      <c r="AS113" s="63"/>
      <c r="AT113" s="63"/>
      <c r="AU113" s="63"/>
      <c r="AV113" s="63"/>
      <c r="AW113" s="63"/>
      <c r="AX113" s="63"/>
      <c r="AY113" s="63"/>
      <c r="AZ113" s="63"/>
      <c r="BA113" s="63"/>
      <c r="BB113" s="63"/>
      <c r="BC113" s="63"/>
      <c r="BD113" s="63"/>
      <c r="BE113" s="63"/>
      <c r="BF113" s="63"/>
      <c r="BG113" s="63"/>
      <c r="BH113" s="63"/>
      <c r="BI113" s="63"/>
      <c r="BJ113" s="63"/>
      <c r="BK113" s="63"/>
      <c r="BL113" s="63"/>
      <c r="BM113" s="63"/>
      <c r="BN113" s="63"/>
      <c r="BO113" s="63"/>
      <c r="BP113" s="63"/>
      <c r="BQ113" s="63"/>
      <c r="BR113" s="63"/>
      <c r="BS113" s="63"/>
      <c r="BT113" s="63"/>
      <c r="BU113" s="63"/>
      <c r="BV113" s="63"/>
      <c r="BW113" s="63"/>
    </row>
    <row r="114" spans="1:75" x14ac:dyDescent="0.2">
      <c r="A114" s="63" t="str">
        <f t="shared" si="21"/>
        <v/>
      </c>
      <c r="B114" s="182"/>
      <c r="C114" s="75"/>
      <c r="D114" s="75"/>
      <c r="E114" s="74"/>
      <c r="F114" s="181"/>
      <c r="G114" s="69"/>
      <c r="AB114" s="150">
        <f t="shared" si="12"/>
        <v>0</v>
      </c>
      <c r="AC114" s="150">
        <f t="shared" si="13"/>
        <v>0</v>
      </c>
      <c r="AD114" s="98" t="str">
        <f t="shared" si="22"/>
        <v>0000000000</v>
      </c>
      <c r="AE114" s="151">
        <f t="shared" si="15"/>
        <v>0</v>
      </c>
      <c r="AF114" s="98" t="str">
        <f t="shared" si="16"/>
        <v>00</v>
      </c>
      <c r="AG114" s="98" t="str">
        <f t="shared" si="23"/>
        <v>000000000000</v>
      </c>
      <c r="AH114" s="161" t="str">
        <f t="shared" si="17"/>
        <v xml:space="preserve">                    </v>
      </c>
      <c r="AI114" s="154">
        <f t="shared" si="18"/>
        <v>0</v>
      </c>
      <c r="AJ114" s="155">
        <f t="shared" si="19"/>
        <v>0</v>
      </c>
      <c r="AP114" s="63" t="str">
        <f t="shared" si="20"/>
        <v/>
      </c>
      <c r="AQ114" s="63" t="str">
        <f t="shared" si="14"/>
        <v xml:space="preserve">                    </v>
      </c>
      <c r="AR114" s="63"/>
      <c r="AS114" s="63"/>
      <c r="AT114" s="63"/>
      <c r="AU114" s="63"/>
      <c r="AV114" s="63"/>
      <c r="AW114" s="63"/>
      <c r="AX114" s="63"/>
      <c r="AY114" s="63"/>
      <c r="AZ114" s="63"/>
      <c r="BA114" s="63"/>
      <c r="BB114" s="63"/>
      <c r="BC114" s="63"/>
      <c r="BD114" s="63"/>
      <c r="BE114" s="63"/>
      <c r="BF114" s="63"/>
      <c r="BG114" s="63"/>
      <c r="BH114" s="63"/>
      <c r="BI114" s="63"/>
      <c r="BJ114" s="63"/>
      <c r="BK114" s="63"/>
      <c r="BL114" s="63"/>
      <c r="BM114" s="63"/>
      <c r="BN114" s="63"/>
      <c r="BO114" s="63"/>
      <c r="BP114" s="63"/>
      <c r="BQ114" s="63"/>
      <c r="BR114" s="63"/>
      <c r="BS114" s="63"/>
      <c r="BT114" s="63"/>
      <c r="BU114" s="63"/>
      <c r="BV114" s="63"/>
      <c r="BW114" s="63"/>
    </row>
    <row r="115" spans="1:75" x14ac:dyDescent="0.2">
      <c r="A115" s="63" t="str">
        <f t="shared" si="21"/>
        <v/>
      </c>
      <c r="B115" s="182"/>
      <c r="C115" s="75"/>
      <c r="D115" s="75"/>
      <c r="E115" s="74"/>
      <c r="F115" s="181"/>
      <c r="G115" s="69"/>
      <c r="AB115" s="150">
        <f t="shared" si="12"/>
        <v>0</v>
      </c>
      <c r="AC115" s="150">
        <f t="shared" si="13"/>
        <v>0</v>
      </c>
      <c r="AD115" s="98" t="str">
        <f t="shared" si="22"/>
        <v>0000000000</v>
      </c>
      <c r="AE115" s="151">
        <f t="shared" si="15"/>
        <v>0</v>
      </c>
      <c r="AF115" s="98" t="str">
        <f t="shared" si="16"/>
        <v>00</v>
      </c>
      <c r="AG115" s="98" t="str">
        <f t="shared" si="23"/>
        <v>000000000000</v>
      </c>
      <c r="AH115" s="161" t="str">
        <f t="shared" si="17"/>
        <v xml:space="preserve">                    </v>
      </c>
      <c r="AI115" s="154">
        <f t="shared" si="18"/>
        <v>0</v>
      </c>
      <c r="AJ115" s="155">
        <f t="shared" si="19"/>
        <v>0</v>
      </c>
      <c r="AP115" s="63" t="str">
        <f t="shared" si="20"/>
        <v/>
      </c>
      <c r="AQ115" s="63" t="str">
        <f t="shared" si="14"/>
        <v xml:space="preserve">                    </v>
      </c>
      <c r="AR115" s="63"/>
      <c r="AS115" s="63"/>
      <c r="AT115" s="63"/>
      <c r="AU115" s="63"/>
      <c r="AV115" s="63"/>
      <c r="AW115" s="63"/>
      <c r="AX115" s="63"/>
      <c r="AY115" s="63"/>
      <c r="AZ115" s="63"/>
      <c r="BA115" s="63"/>
      <c r="BB115" s="63"/>
      <c r="BC115" s="63"/>
      <c r="BD115" s="63"/>
      <c r="BE115" s="63"/>
      <c r="BF115" s="63"/>
      <c r="BG115" s="63"/>
      <c r="BH115" s="63"/>
      <c r="BI115" s="63"/>
      <c r="BJ115" s="63"/>
      <c r="BK115" s="63"/>
      <c r="BL115" s="63"/>
      <c r="BM115" s="63"/>
      <c r="BN115" s="63"/>
      <c r="BO115" s="63"/>
      <c r="BP115" s="63"/>
      <c r="BQ115" s="63"/>
      <c r="BR115" s="63"/>
      <c r="BS115" s="63"/>
      <c r="BT115" s="63"/>
      <c r="BU115" s="63"/>
      <c r="BV115" s="63"/>
      <c r="BW115" s="63"/>
    </row>
    <row r="116" spans="1:75" x14ac:dyDescent="0.2">
      <c r="A116" s="63" t="str">
        <f t="shared" si="21"/>
        <v/>
      </c>
      <c r="B116" s="182"/>
      <c r="C116" s="75"/>
      <c r="D116" s="75"/>
      <c r="E116" s="74"/>
      <c r="F116" s="181"/>
      <c r="G116" s="69"/>
      <c r="AB116" s="150">
        <f t="shared" si="12"/>
        <v>0</v>
      </c>
      <c r="AC116" s="150">
        <f t="shared" si="13"/>
        <v>0</v>
      </c>
      <c r="AD116" s="98" t="str">
        <f t="shared" si="22"/>
        <v>0000000000</v>
      </c>
      <c r="AE116" s="151">
        <f t="shared" si="15"/>
        <v>0</v>
      </c>
      <c r="AF116" s="98" t="str">
        <f t="shared" si="16"/>
        <v>00</v>
      </c>
      <c r="AG116" s="98" t="str">
        <f t="shared" si="23"/>
        <v>000000000000</v>
      </c>
      <c r="AH116" s="161" t="str">
        <f t="shared" si="17"/>
        <v xml:space="preserve">                    </v>
      </c>
      <c r="AI116" s="154">
        <f t="shared" si="18"/>
        <v>0</v>
      </c>
      <c r="AJ116" s="155">
        <f t="shared" si="19"/>
        <v>0</v>
      </c>
      <c r="AP116" s="63" t="str">
        <f t="shared" si="20"/>
        <v/>
      </c>
      <c r="AQ116" s="63" t="str">
        <f t="shared" si="14"/>
        <v xml:space="preserve">                    </v>
      </c>
      <c r="AR116" s="63"/>
      <c r="AS116" s="63"/>
      <c r="AT116" s="63"/>
      <c r="AU116" s="63"/>
      <c r="AV116" s="63"/>
      <c r="AW116" s="63"/>
      <c r="AX116" s="63"/>
      <c r="AY116" s="63"/>
      <c r="AZ116" s="63"/>
      <c r="BA116" s="63"/>
      <c r="BB116" s="63"/>
      <c r="BC116" s="63"/>
      <c r="BD116" s="63"/>
      <c r="BE116" s="63"/>
      <c r="BF116" s="63"/>
      <c r="BG116" s="63"/>
      <c r="BH116" s="63"/>
      <c r="BI116" s="63"/>
      <c r="BJ116" s="63"/>
      <c r="BK116" s="63"/>
      <c r="BL116" s="63"/>
      <c r="BM116" s="63"/>
      <c r="BN116" s="63"/>
      <c r="BO116" s="63"/>
      <c r="BP116" s="63"/>
      <c r="BQ116" s="63"/>
      <c r="BR116" s="63"/>
      <c r="BS116" s="63"/>
      <c r="BT116" s="63"/>
      <c r="BU116" s="63"/>
      <c r="BV116" s="63"/>
      <c r="BW116" s="63"/>
    </row>
    <row r="117" spans="1:75" x14ac:dyDescent="0.2">
      <c r="A117" s="63" t="str">
        <f t="shared" si="21"/>
        <v/>
      </c>
      <c r="B117" s="182"/>
      <c r="C117" s="75"/>
      <c r="D117" s="75"/>
      <c r="E117" s="74"/>
      <c r="F117" s="181"/>
      <c r="G117" s="69"/>
      <c r="AB117" s="150">
        <f t="shared" si="12"/>
        <v>0</v>
      </c>
      <c r="AC117" s="150">
        <f t="shared" si="13"/>
        <v>0</v>
      </c>
      <c r="AD117" s="98" t="str">
        <f t="shared" si="22"/>
        <v>0000000000</v>
      </c>
      <c r="AE117" s="151">
        <f t="shared" si="15"/>
        <v>0</v>
      </c>
      <c r="AF117" s="98" t="str">
        <f t="shared" si="16"/>
        <v>00</v>
      </c>
      <c r="AG117" s="98" t="str">
        <f t="shared" si="23"/>
        <v>000000000000</v>
      </c>
      <c r="AH117" s="161" t="str">
        <f t="shared" si="17"/>
        <v xml:space="preserve">                    </v>
      </c>
      <c r="AI117" s="154">
        <f t="shared" si="18"/>
        <v>0</v>
      </c>
      <c r="AJ117" s="155">
        <f t="shared" si="19"/>
        <v>0</v>
      </c>
      <c r="AP117" s="63" t="str">
        <f t="shared" si="20"/>
        <v/>
      </c>
      <c r="AQ117" s="63" t="str">
        <f t="shared" si="14"/>
        <v xml:space="preserve">                    </v>
      </c>
      <c r="AR117" s="63"/>
      <c r="AS117" s="63"/>
      <c r="AT117" s="63"/>
      <c r="AU117" s="63"/>
      <c r="AV117" s="63"/>
      <c r="AW117" s="63"/>
      <c r="AX117" s="63"/>
      <c r="AY117" s="63"/>
      <c r="AZ117" s="63"/>
      <c r="BA117" s="63"/>
      <c r="BB117" s="63"/>
      <c r="BC117" s="63"/>
      <c r="BD117" s="63"/>
      <c r="BE117" s="63"/>
      <c r="BF117" s="63"/>
      <c r="BG117" s="63"/>
      <c r="BH117" s="63"/>
      <c r="BI117" s="63"/>
      <c r="BJ117" s="63"/>
      <c r="BK117" s="63"/>
      <c r="BL117" s="63"/>
      <c r="BM117" s="63"/>
      <c r="BN117" s="63"/>
      <c r="BO117" s="63"/>
      <c r="BP117" s="63"/>
      <c r="BQ117" s="63"/>
      <c r="BR117" s="63"/>
      <c r="BS117" s="63"/>
      <c r="BT117" s="63"/>
      <c r="BU117" s="63"/>
      <c r="BV117" s="63"/>
      <c r="BW117" s="63"/>
    </row>
    <row r="118" spans="1:75" x14ac:dyDescent="0.2">
      <c r="A118" s="63" t="str">
        <f t="shared" si="21"/>
        <v/>
      </c>
      <c r="B118" s="182"/>
      <c r="C118" s="75"/>
      <c r="D118" s="75"/>
      <c r="E118" s="74"/>
      <c r="F118" s="181"/>
      <c r="G118" s="69"/>
      <c r="AB118" s="150">
        <f t="shared" si="12"/>
        <v>0</v>
      </c>
      <c r="AC118" s="150">
        <f t="shared" si="13"/>
        <v>0</v>
      </c>
      <c r="AD118" s="98" t="str">
        <f t="shared" si="22"/>
        <v>0000000000</v>
      </c>
      <c r="AE118" s="151">
        <f t="shared" si="15"/>
        <v>0</v>
      </c>
      <c r="AF118" s="98" t="str">
        <f t="shared" si="16"/>
        <v>00</v>
      </c>
      <c r="AG118" s="98" t="str">
        <f t="shared" si="23"/>
        <v>000000000000</v>
      </c>
      <c r="AH118" s="161" t="str">
        <f t="shared" si="17"/>
        <v xml:space="preserve">                    </v>
      </c>
      <c r="AI118" s="154">
        <f t="shared" si="18"/>
        <v>0</v>
      </c>
      <c r="AJ118" s="155">
        <f t="shared" si="19"/>
        <v>0</v>
      </c>
      <c r="AP118" s="63" t="str">
        <f t="shared" si="20"/>
        <v/>
      </c>
      <c r="AQ118" s="63" t="str">
        <f t="shared" si="14"/>
        <v xml:space="preserve">                    </v>
      </c>
      <c r="AR118" s="63"/>
      <c r="AS118" s="63"/>
      <c r="AT118" s="63"/>
      <c r="AU118" s="63"/>
      <c r="AV118" s="63"/>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c r="BT118" s="63"/>
      <c r="BU118" s="63"/>
      <c r="BV118" s="63"/>
      <c r="BW118" s="63"/>
    </row>
    <row r="119" spans="1:75" x14ac:dyDescent="0.2">
      <c r="A119" s="63" t="str">
        <f t="shared" si="21"/>
        <v/>
      </c>
      <c r="B119" s="182"/>
      <c r="C119" s="75"/>
      <c r="D119" s="75"/>
      <c r="E119" s="74"/>
      <c r="F119" s="181"/>
      <c r="G119" s="69"/>
      <c r="AB119" s="150">
        <f t="shared" si="12"/>
        <v>0</v>
      </c>
      <c r="AC119" s="150">
        <f t="shared" si="13"/>
        <v>0</v>
      </c>
      <c r="AD119" s="98" t="str">
        <f t="shared" si="22"/>
        <v>0000000000</v>
      </c>
      <c r="AE119" s="151">
        <f t="shared" si="15"/>
        <v>0</v>
      </c>
      <c r="AF119" s="98" t="str">
        <f t="shared" si="16"/>
        <v>00</v>
      </c>
      <c r="AG119" s="98" t="str">
        <f t="shared" si="23"/>
        <v>000000000000</v>
      </c>
      <c r="AH119" s="161" t="str">
        <f t="shared" si="17"/>
        <v xml:space="preserve">                    </v>
      </c>
      <c r="AI119" s="154">
        <f t="shared" si="18"/>
        <v>0</v>
      </c>
      <c r="AJ119" s="155">
        <f t="shared" si="19"/>
        <v>0</v>
      </c>
      <c r="AP119" s="63" t="str">
        <f t="shared" si="20"/>
        <v/>
      </c>
      <c r="AQ119" s="63" t="str">
        <f t="shared" si="14"/>
        <v xml:space="preserve">                    </v>
      </c>
      <c r="AR119" s="63"/>
      <c r="AS119" s="63"/>
      <c r="AT119" s="63"/>
      <c r="AU119" s="63"/>
      <c r="AV119" s="63"/>
      <c r="AW119" s="63"/>
      <c r="AX119" s="63"/>
      <c r="AY119" s="63"/>
      <c r="AZ119" s="63"/>
      <c r="BA119" s="63"/>
      <c r="BB119" s="63"/>
      <c r="BC119" s="63"/>
      <c r="BD119" s="63"/>
      <c r="BE119" s="63"/>
      <c r="BF119" s="63"/>
      <c r="BG119" s="63"/>
      <c r="BH119" s="63"/>
      <c r="BI119" s="63"/>
      <c r="BJ119" s="63"/>
      <c r="BK119" s="63"/>
      <c r="BL119" s="63"/>
      <c r="BM119" s="63"/>
      <c r="BN119" s="63"/>
      <c r="BO119" s="63"/>
      <c r="BP119" s="63"/>
      <c r="BQ119" s="63"/>
      <c r="BR119" s="63"/>
      <c r="BS119" s="63"/>
      <c r="BT119" s="63"/>
      <c r="BU119" s="63"/>
      <c r="BV119" s="63"/>
      <c r="BW119" s="63"/>
    </row>
    <row r="120" spans="1:75" x14ac:dyDescent="0.2">
      <c r="A120" s="63" t="str">
        <f t="shared" si="21"/>
        <v/>
      </c>
      <c r="B120" s="182"/>
      <c r="C120" s="75"/>
      <c r="D120" s="75"/>
      <c r="E120" s="74"/>
      <c r="F120" s="181"/>
      <c r="G120" s="69"/>
      <c r="AB120" s="150">
        <f t="shared" si="12"/>
        <v>0</v>
      </c>
      <c r="AC120" s="150">
        <f t="shared" si="13"/>
        <v>0</v>
      </c>
      <c r="AD120" s="98" t="str">
        <f t="shared" si="22"/>
        <v>0000000000</v>
      </c>
      <c r="AE120" s="151">
        <f t="shared" si="15"/>
        <v>0</v>
      </c>
      <c r="AF120" s="98" t="str">
        <f t="shared" si="16"/>
        <v>00</v>
      </c>
      <c r="AG120" s="98" t="str">
        <f t="shared" si="23"/>
        <v>000000000000</v>
      </c>
      <c r="AH120" s="161" t="str">
        <f t="shared" si="17"/>
        <v xml:space="preserve">                    </v>
      </c>
      <c r="AI120" s="154">
        <f t="shared" si="18"/>
        <v>0</v>
      </c>
      <c r="AJ120" s="155">
        <f t="shared" si="19"/>
        <v>0</v>
      </c>
      <c r="AP120" s="63" t="str">
        <f t="shared" si="20"/>
        <v/>
      </c>
      <c r="AQ120" s="63" t="str">
        <f t="shared" si="14"/>
        <v xml:space="preserve">                    </v>
      </c>
      <c r="AR120" s="63"/>
      <c r="AS120" s="63"/>
      <c r="AT120" s="63"/>
      <c r="AU120" s="63"/>
      <c r="AV120" s="63"/>
      <c r="AW120" s="63"/>
      <c r="AX120" s="63"/>
      <c r="AY120" s="63"/>
      <c r="AZ120" s="63"/>
      <c r="BA120" s="63"/>
      <c r="BB120" s="63"/>
      <c r="BC120" s="63"/>
      <c r="BD120" s="63"/>
      <c r="BE120" s="63"/>
      <c r="BF120" s="63"/>
      <c r="BG120" s="63"/>
      <c r="BH120" s="63"/>
      <c r="BI120" s="63"/>
      <c r="BJ120" s="63"/>
      <c r="BK120" s="63"/>
      <c r="BL120" s="63"/>
      <c r="BM120" s="63"/>
      <c r="BN120" s="63"/>
      <c r="BO120" s="63"/>
      <c r="BP120" s="63"/>
      <c r="BQ120" s="63"/>
      <c r="BR120" s="63"/>
      <c r="BS120" s="63"/>
      <c r="BT120" s="63"/>
      <c r="BU120" s="63"/>
      <c r="BV120" s="63"/>
      <c r="BW120" s="63"/>
    </row>
    <row r="121" spans="1:75" x14ac:dyDescent="0.2">
      <c r="A121" s="63" t="str">
        <f t="shared" si="21"/>
        <v/>
      </c>
      <c r="B121" s="182"/>
      <c r="C121" s="75"/>
      <c r="D121" s="75"/>
      <c r="E121" s="74"/>
      <c r="F121" s="181"/>
      <c r="G121" s="69"/>
      <c r="AB121" s="150">
        <f t="shared" si="12"/>
        <v>0</v>
      </c>
      <c r="AC121" s="150">
        <f t="shared" si="13"/>
        <v>0</v>
      </c>
      <c r="AD121" s="98" t="str">
        <f t="shared" si="22"/>
        <v>0000000000</v>
      </c>
      <c r="AE121" s="151">
        <f t="shared" si="15"/>
        <v>0</v>
      </c>
      <c r="AF121" s="98" t="str">
        <f t="shared" si="16"/>
        <v>00</v>
      </c>
      <c r="AG121" s="98" t="str">
        <f t="shared" si="23"/>
        <v>000000000000</v>
      </c>
      <c r="AH121" s="161" t="str">
        <f t="shared" si="17"/>
        <v xml:space="preserve">                    </v>
      </c>
      <c r="AI121" s="154">
        <f t="shared" si="18"/>
        <v>0</v>
      </c>
      <c r="AJ121" s="155">
        <f t="shared" si="19"/>
        <v>0</v>
      </c>
      <c r="AP121" s="63" t="str">
        <f t="shared" si="20"/>
        <v/>
      </c>
      <c r="AQ121" s="63" t="str">
        <f t="shared" si="14"/>
        <v xml:space="preserve">                    </v>
      </c>
      <c r="AR121" s="63"/>
      <c r="AS121" s="63"/>
      <c r="AT121" s="63"/>
      <c r="AU121" s="63"/>
      <c r="AV121" s="63"/>
      <c r="AW121" s="63"/>
      <c r="AX121" s="63"/>
      <c r="AY121" s="63"/>
      <c r="AZ121" s="63"/>
      <c r="BA121" s="63"/>
      <c r="BB121" s="63"/>
      <c r="BC121" s="63"/>
      <c r="BD121" s="63"/>
      <c r="BE121" s="63"/>
      <c r="BF121" s="63"/>
      <c r="BG121" s="63"/>
      <c r="BH121" s="63"/>
      <c r="BI121" s="63"/>
      <c r="BJ121" s="63"/>
      <c r="BK121" s="63"/>
      <c r="BL121" s="63"/>
      <c r="BM121" s="63"/>
      <c r="BN121" s="63"/>
      <c r="BO121" s="63"/>
      <c r="BP121" s="63"/>
      <c r="BQ121" s="63"/>
      <c r="BR121" s="63"/>
      <c r="BS121" s="63"/>
      <c r="BT121" s="63"/>
      <c r="BU121" s="63"/>
      <c r="BV121" s="63"/>
      <c r="BW121" s="63"/>
    </row>
    <row r="122" spans="1:75" x14ac:dyDescent="0.2">
      <c r="A122" s="63" t="str">
        <f t="shared" si="21"/>
        <v/>
      </c>
      <c r="B122" s="182"/>
      <c r="C122" s="75"/>
      <c r="D122" s="75"/>
      <c r="E122" s="74"/>
      <c r="F122" s="181"/>
      <c r="G122" s="69"/>
      <c r="AB122" s="150">
        <f t="shared" si="12"/>
        <v>0</v>
      </c>
      <c r="AC122" s="150">
        <f t="shared" si="13"/>
        <v>0</v>
      </c>
      <c r="AD122" s="98" t="str">
        <f t="shared" si="22"/>
        <v>0000000000</v>
      </c>
      <c r="AE122" s="151">
        <f t="shared" si="15"/>
        <v>0</v>
      </c>
      <c r="AF122" s="98" t="str">
        <f t="shared" si="16"/>
        <v>00</v>
      </c>
      <c r="AG122" s="98" t="str">
        <f t="shared" si="23"/>
        <v>000000000000</v>
      </c>
      <c r="AH122" s="161" t="str">
        <f t="shared" si="17"/>
        <v xml:space="preserve">                    </v>
      </c>
      <c r="AI122" s="154">
        <f t="shared" si="18"/>
        <v>0</v>
      </c>
      <c r="AJ122" s="155">
        <f t="shared" si="19"/>
        <v>0</v>
      </c>
      <c r="AP122" s="63" t="str">
        <f t="shared" si="20"/>
        <v/>
      </c>
      <c r="AQ122" s="63" t="str">
        <f t="shared" si="14"/>
        <v xml:space="preserve">                    </v>
      </c>
      <c r="AR122" s="63"/>
      <c r="AS122" s="63"/>
      <c r="AT122" s="63"/>
      <c r="AU122" s="63"/>
      <c r="AV122" s="63"/>
      <c r="AW122" s="63"/>
      <c r="AX122" s="63"/>
      <c r="AY122" s="63"/>
      <c r="AZ122" s="63"/>
      <c r="BA122" s="63"/>
      <c r="BB122" s="63"/>
      <c r="BC122" s="63"/>
      <c r="BD122" s="63"/>
      <c r="BE122" s="63"/>
      <c r="BF122" s="63"/>
      <c r="BG122" s="63"/>
      <c r="BH122" s="63"/>
      <c r="BI122" s="63"/>
      <c r="BJ122" s="63"/>
      <c r="BK122" s="63"/>
      <c r="BL122" s="63"/>
      <c r="BM122" s="63"/>
      <c r="BN122" s="63"/>
      <c r="BO122" s="63"/>
      <c r="BP122" s="63"/>
      <c r="BQ122" s="63"/>
      <c r="BR122" s="63"/>
      <c r="BS122" s="63"/>
      <c r="BT122" s="63"/>
      <c r="BU122" s="63"/>
      <c r="BV122" s="63"/>
      <c r="BW122" s="63"/>
    </row>
    <row r="123" spans="1:75" x14ac:dyDescent="0.2">
      <c r="A123" s="63" t="str">
        <f t="shared" si="21"/>
        <v/>
      </c>
      <c r="B123" s="182"/>
      <c r="C123" s="75"/>
      <c r="D123" s="75"/>
      <c r="E123" s="74"/>
      <c r="F123" s="181"/>
      <c r="G123" s="69"/>
      <c r="AB123" s="150">
        <f t="shared" si="12"/>
        <v>0</v>
      </c>
      <c r="AC123" s="150">
        <f t="shared" si="13"/>
        <v>0</v>
      </c>
      <c r="AD123" s="98" t="str">
        <f t="shared" si="22"/>
        <v>0000000000</v>
      </c>
      <c r="AE123" s="151">
        <f t="shared" si="15"/>
        <v>0</v>
      </c>
      <c r="AF123" s="98" t="str">
        <f t="shared" si="16"/>
        <v>00</v>
      </c>
      <c r="AG123" s="98" t="str">
        <f t="shared" si="23"/>
        <v>000000000000</v>
      </c>
      <c r="AH123" s="161" t="str">
        <f t="shared" si="17"/>
        <v xml:space="preserve">                    </v>
      </c>
      <c r="AI123" s="154">
        <f t="shared" si="18"/>
        <v>0</v>
      </c>
      <c r="AJ123" s="155">
        <f t="shared" si="19"/>
        <v>0</v>
      </c>
      <c r="AP123" s="63" t="str">
        <f t="shared" si="20"/>
        <v/>
      </c>
      <c r="AQ123" s="63" t="str">
        <f t="shared" si="14"/>
        <v xml:space="preserve">                    </v>
      </c>
      <c r="AR123" s="63"/>
      <c r="AS123" s="63"/>
      <c r="AT123" s="63"/>
      <c r="AU123" s="63"/>
      <c r="AV123" s="63"/>
      <c r="AW123" s="63"/>
      <c r="AX123" s="63"/>
      <c r="AY123" s="63"/>
      <c r="AZ123" s="63"/>
      <c r="BA123" s="63"/>
      <c r="BB123" s="63"/>
      <c r="BC123" s="63"/>
      <c r="BD123" s="63"/>
      <c r="BE123" s="63"/>
      <c r="BF123" s="63"/>
      <c r="BG123" s="63"/>
      <c r="BH123" s="63"/>
      <c r="BI123" s="63"/>
      <c r="BJ123" s="63"/>
      <c r="BK123" s="63"/>
      <c r="BL123" s="63"/>
      <c r="BM123" s="63"/>
      <c r="BN123" s="63"/>
      <c r="BO123" s="63"/>
      <c r="BP123" s="63"/>
      <c r="BQ123" s="63"/>
      <c r="BR123" s="63"/>
      <c r="BS123" s="63"/>
      <c r="BT123" s="63"/>
      <c r="BU123" s="63"/>
      <c r="BV123" s="63"/>
      <c r="BW123" s="63"/>
    </row>
    <row r="124" spans="1:75" x14ac:dyDescent="0.2">
      <c r="A124" s="63" t="str">
        <f t="shared" si="21"/>
        <v/>
      </c>
      <c r="B124" s="182"/>
      <c r="C124" s="75"/>
      <c r="D124" s="75"/>
      <c r="E124" s="74"/>
      <c r="F124" s="181"/>
      <c r="G124" s="69"/>
      <c r="AB124" s="150">
        <f t="shared" si="12"/>
        <v>0</v>
      </c>
      <c r="AC124" s="150">
        <f t="shared" si="13"/>
        <v>0</v>
      </c>
      <c r="AD124" s="98" t="str">
        <f t="shared" si="22"/>
        <v>0000000000</v>
      </c>
      <c r="AE124" s="151">
        <f t="shared" si="15"/>
        <v>0</v>
      </c>
      <c r="AF124" s="98" t="str">
        <f t="shared" si="16"/>
        <v>00</v>
      </c>
      <c r="AG124" s="98" t="str">
        <f t="shared" si="23"/>
        <v>000000000000</v>
      </c>
      <c r="AH124" s="161" t="str">
        <f t="shared" si="17"/>
        <v xml:space="preserve">                    </v>
      </c>
      <c r="AI124" s="154">
        <f t="shared" si="18"/>
        <v>0</v>
      </c>
      <c r="AJ124" s="155">
        <f t="shared" si="19"/>
        <v>0</v>
      </c>
      <c r="AP124" s="63" t="str">
        <f t="shared" si="20"/>
        <v/>
      </c>
      <c r="AQ124" s="63" t="str">
        <f t="shared" si="14"/>
        <v xml:space="preserve">                    </v>
      </c>
      <c r="AR124" s="63"/>
      <c r="AS124" s="63"/>
      <c r="AT124" s="63"/>
      <c r="AU124" s="63"/>
      <c r="AV124" s="63"/>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c r="BT124" s="63"/>
      <c r="BU124" s="63"/>
      <c r="BV124" s="63"/>
      <c r="BW124" s="63"/>
    </row>
    <row r="125" spans="1:75" x14ac:dyDescent="0.2">
      <c r="A125" s="63" t="str">
        <f t="shared" si="21"/>
        <v/>
      </c>
      <c r="B125" s="182"/>
      <c r="C125" s="75"/>
      <c r="D125" s="75"/>
      <c r="E125" s="74"/>
      <c r="F125" s="181"/>
      <c r="G125" s="69"/>
      <c r="AB125" s="150">
        <f t="shared" si="12"/>
        <v>0</v>
      </c>
      <c r="AC125" s="150">
        <f t="shared" si="13"/>
        <v>0</v>
      </c>
      <c r="AD125" s="98" t="str">
        <f t="shared" si="22"/>
        <v>0000000000</v>
      </c>
      <c r="AE125" s="151">
        <f t="shared" si="15"/>
        <v>0</v>
      </c>
      <c r="AF125" s="98" t="str">
        <f t="shared" si="16"/>
        <v>00</v>
      </c>
      <c r="AG125" s="98" t="str">
        <f t="shared" si="23"/>
        <v>000000000000</v>
      </c>
      <c r="AH125" s="161" t="str">
        <f t="shared" si="17"/>
        <v xml:space="preserve">                    </v>
      </c>
      <c r="AI125" s="154">
        <f t="shared" si="18"/>
        <v>0</v>
      </c>
      <c r="AJ125" s="155">
        <f t="shared" si="19"/>
        <v>0</v>
      </c>
      <c r="AP125" s="63" t="str">
        <f t="shared" si="20"/>
        <v/>
      </c>
      <c r="AQ125" s="63" t="str">
        <f t="shared" si="14"/>
        <v xml:space="preserve">                    </v>
      </c>
      <c r="AR125" s="63"/>
      <c r="AS125" s="63"/>
      <c r="AT125" s="63"/>
      <c r="AU125" s="63"/>
      <c r="AV125" s="63"/>
      <c r="AW125" s="63"/>
      <c r="AX125" s="63"/>
      <c r="AY125" s="63"/>
      <c r="AZ125" s="63"/>
      <c r="BA125" s="63"/>
      <c r="BB125" s="63"/>
      <c r="BC125" s="63"/>
      <c r="BD125" s="63"/>
      <c r="BE125" s="63"/>
      <c r="BF125" s="63"/>
      <c r="BG125" s="63"/>
      <c r="BH125" s="63"/>
      <c r="BI125" s="63"/>
      <c r="BJ125" s="63"/>
      <c r="BK125" s="63"/>
      <c r="BL125" s="63"/>
      <c r="BM125" s="63"/>
      <c r="BN125" s="63"/>
      <c r="BO125" s="63"/>
      <c r="BP125" s="63"/>
      <c r="BQ125" s="63"/>
      <c r="BR125" s="63"/>
      <c r="BS125" s="63"/>
      <c r="BT125" s="63"/>
      <c r="BU125" s="63"/>
      <c r="BV125" s="63"/>
      <c r="BW125" s="63"/>
    </row>
    <row r="126" spans="1:75" x14ac:dyDescent="0.2">
      <c r="A126" s="63" t="str">
        <f t="shared" si="21"/>
        <v/>
      </c>
      <c r="B126" s="182"/>
      <c r="C126" s="75"/>
      <c r="D126" s="75"/>
      <c r="E126" s="74"/>
      <c r="F126" s="181"/>
      <c r="G126" s="69"/>
      <c r="AB126" s="150">
        <f t="shared" si="12"/>
        <v>0</v>
      </c>
      <c r="AC126" s="150">
        <f t="shared" si="13"/>
        <v>0</v>
      </c>
      <c r="AD126" s="98" t="str">
        <f t="shared" si="22"/>
        <v>0000000000</v>
      </c>
      <c r="AE126" s="151">
        <f t="shared" si="15"/>
        <v>0</v>
      </c>
      <c r="AF126" s="98" t="str">
        <f t="shared" si="16"/>
        <v>00</v>
      </c>
      <c r="AG126" s="98" t="str">
        <f t="shared" si="23"/>
        <v>000000000000</v>
      </c>
      <c r="AH126" s="161" t="str">
        <f t="shared" si="17"/>
        <v xml:space="preserve">                    </v>
      </c>
      <c r="AI126" s="154">
        <f t="shared" si="18"/>
        <v>0</v>
      </c>
      <c r="AJ126" s="155">
        <f t="shared" si="19"/>
        <v>0</v>
      </c>
      <c r="AP126" s="63" t="str">
        <f t="shared" si="20"/>
        <v/>
      </c>
      <c r="AQ126" s="63" t="str">
        <f t="shared" si="14"/>
        <v xml:space="preserve">                    </v>
      </c>
      <c r="AR126" s="63"/>
      <c r="AS126" s="63"/>
      <c r="AT126" s="63"/>
      <c r="AU126" s="63"/>
      <c r="AV126" s="63"/>
      <c r="AW126" s="63"/>
      <c r="AX126" s="63"/>
      <c r="AY126" s="63"/>
      <c r="AZ126" s="63"/>
      <c r="BA126" s="63"/>
      <c r="BB126" s="63"/>
      <c r="BC126" s="63"/>
      <c r="BD126" s="63"/>
      <c r="BE126" s="63"/>
      <c r="BF126" s="63"/>
      <c r="BG126" s="63"/>
      <c r="BH126" s="63"/>
      <c r="BI126" s="63"/>
      <c r="BJ126" s="63"/>
      <c r="BK126" s="63"/>
      <c r="BL126" s="63"/>
      <c r="BM126" s="63"/>
      <c r="BN126" s="63"/>
      <c r="BO126" s="63"/>
      <c r="BP126" s="63"/>
      <c r="BQ126" s="63"/>
      <c r="BR126" s="63"/>
      <c r="BS126" s="63"/>
      <c r="BT126" s="63"/>
      <c r="BU126" s="63"/>
      <c r="BV126" s="63"/>
      <c r="BW126" s="63"/>
    </row>
    <row r="127" spans="1:75" x14ac:dyDescent="0.2">
      <c r="A127" s="63" t="str">
        <f t="shared" si="21"/>
        <v/>
      </c>
      <c r="B127" s="182"/>
      <c r="C127" s="75"/>
      <c r="D127" s="75"/>
      <c r="E127" s="74"/>
      <c r="F127" s="181"/>
      <c r="G127" s="69"/>
      <c r="AB127" s="150">
        <f t="shared" si="12"/>
        <v>0</v>
      </c>
      <c r="AC127" s="150">
        <f t="shared" si="13"/>
        <v>0</v>
      </c>
      <c r="AD127" s="98" t="str">
        <f t="shared" si="22"/>
        <v>0000000000</v>
      </c>
      <c r="AE127" s="151">
        <f t="shared" si="15"/>
        <v>0</v>
      </c>
      <c r="AF127" s="98" t="str">
        <f t="shared" si="16"/>
        <v>00</v>
      </c>
      <c r="AG127" s="98" t="str">
        <f t="shared" si="23"/>
        <v>000000000000</v>
      </c>
      <c r="AH127" s="161" t="str">
        <f t="shared" si="17"/>
        <v xml:space="preserve">                    </v>
      </c>
      <c r="AI127" s="154">
        <f t="shared" si="18"/>
        <v>0</v>
      </c>
      <c r="AJ127" s="155">
        <f t="shared" si="19"/>
        <v>0</v>
      </c>
      <c r="AP127" s="63" t="str">
        <f t="shared" si="20"/>
        <v/>
      </c>
      <c r="AQ127" s="63" t="str">
        <f t="shared" si="14"/>
        <v xml:space="preserve">                    </v>
      </c>
      <c r="AR127" s="63"/>
      <c r="AS127" s="63"/>
      <c r="AT127" s="63"/>
      <c r="AU127" s="63"/>
      <c r="AV127" s="63"/>
      <c r="AW127" s="63"/>
      <c r="AX127" s="63"/>
      <c r="AY127" s="63"/>
      <c r="AZ127" s="63"/>
      <c r="BA127" s="63"/>
      <c r="BB127" s="63"/>
      <c r="BC127" s="63"/>
      <c r="BD127" s="63"/>
      <c r="BE127" s="63"/>
      <c r="BF127" s="63"/>
      <c r="BG127" s="63"/>
      <c r="BH127" s="63"/>
      <c r="BI127" s="63"/>
      <c r="BJ127" s="63"/>
      <c r="BK127" s="63"/>
      <c r="BL127" s="63"/>
      <c r="BM127" s="63"/>
      <c r="BN127" s="63"/>
      <c r="BO127" s="63"/>
      <c r="BP127" s="63"/>
      <c r="BQ127" s="63"/>
      <c r="BR127" s="63"/>
      <c r="BS127" s="63"/>
      <c r="BT127" s="63"/>
      <c r="BU127" s="63"/>
      <c r="BV127" s="63"/>
      <c r="BW127" s="63"/>
    </row>
    <row r="128" spans="1:75" x14ac:dyDescent="0.2">
      <c r="A128" s="63" t="str">
        <f t="shared" si="21"/>
        <v/>
      </c>
      <c r="B128" s="182"/>
      <c r="C128" s="75"/>
      <c r="D128" s="75"/>
      <c r="E128" s="74"/>
      <c r="F128" s="181"/>
      <c r="G128" s="69"/>
      <c r="AB128" s="150">
        <f t="shared" si="12"/>
        <v>0</v>
      </c>
      <c r="AC128" s="150">
        <f t="shared" si="13"/>
        <v>0</v>
      </c>
      <c r="AD128" s="98" t="str">
        <f t="shared" si="22"/>
        <v>0000000000</v>
      </c>
      <c r="AE128" s="151">
        <f t="shared" si="15"/>
        <v>0</v>
      </c>
      <c r="AF128" s="98" t="str">
        <f t="shared" si="16"/>
        <v>00</v>
      </c>
      <c r="AG128" s="98" t="str">
        <f t="shared" si="23"/>
        <v>000000000000</v>
      </c>
      <c r="AH128" s="161" t="str">
        <f t="shared" si="17"/>
        <v xml:space="preserve">                    </v>
      </c>
      <c r="AI128" s="154">
        <f t="shared" si="18"/>
        <v>0</v>
      </c>
      <c r="AJ128" s="155">
        <f t="shared" si="19"/>
        <v>0</v>
      </c>
      <c r="AP128" s="63" t="str">
        <f t="shared" si="20"/>
        <v/>
      </c>
      <c r="AQ128" s="63" t="str">
        <f t="shared" si="14"/>
        <v xml:space="preserve">                    </v>
      </c>
      <c r="AR128" s="63"/>
      <c r="AS128" s="63"/>
      <c r="AT128" s="63"/>
      <c r="AU128" s="63"/>
      <c r="AV128" s="63"/>
      <c r="AW128" s="63"/>
      <c r="AX128" s="63"/>
      <c r="AY128" s="63"/>
      <c r="AZ128" s="63"/>
      <c r="BA128" s="63"/>
      <c r="BB128" s="63"/>
      <c r="BC128" s="63"/>
      <c r="BD128" s="63"/>
      <c r="BE128" s="63"/>
      <c r="BF128" s="63"/>
      <c r="BG128" s="63"/>
      <c r="BH128" s="63"/>
      <c r="BI128" s="63"/>
      <c r="BJ128" s="63"/>
      <c r="BK128" s="63"/>
      <c r="BL128" s="63"/>
      <c r="BM128" s="63"/>
      <c r="BN128" s="63"/>
      <c r="BO128" s="63"/>
      <c r="BP128" s="63"/>
      <c r="BQ128" s="63"/>
      <c r="BR128" s="63"/>
      <c r="BS128" s="63"/>
      <c r="BT128" s="63"/>
      <c r="BU128" s="63"/>
      <c r="BV128" s="63"/>
      <c r="BW128" s="63"/>
    </row>
    <row r="129" spans="1:75" x14ac:dyDescent="0.2">
      <c r="A129" s="63" t="str">
        <f t="shared" si="21"/>
        <v/>
      </c>
      <c r="B129" s="182"/>
      <c r="C129" s="75"/>
      <c r="D129" s="75"/>
      <c r="E129" s="74"/>
      <c r="F129" s="181"/>
      <c r="G129" s="69"/>
      <c r="AB129" s="150">
        <f t="shared" si="12"/>
        <v>0</v>
      </c>
      <c r="AC129" s="150">
        <f t="shared" si="13"/>
        <v>0</v>
      </c>
      <c r="AD129" s="98" t="str">
        <f t="shared" si="22"/>
        <v>0000000000</v>
      </c>
      <c r="AE129" s="151">
        <f t="shared" si="15"/>
        <v>0</v>
      </c>
      <c r="AF129" s="98" t="str">
        <f t="shared" si="16"/>
        <v>00</v>
      </c>
      <c r="AG129" s="98" t="str">
        <f t="shared" si="23"/>
        <v>000000000000</v>
      </c>
      <c r="AH129" s="161" t="str">
        <f t="shared" si="17"/>
        <v xml:space="preserve">                    </v>
      </c>
      <c r="AI129" s="154">
        <f t="shared" si="18"/>
        <v>0</v>
      </c>
      <c r="AJ129" s="155">
        <f t="shared" si="19"/>
        <v>0</v>
      </c>
      <c r="AP129" s="63" t="str">
        <f t="shared" si="20"/>
        <v/>
      </c>
      <c r="AQ129" s="63" t="str">
        <f t="shared" si="14"/>
        <v xml:space="preserve">                    </v>
      </c>
      <c r="AR129" s="63"/>
      <c r="AS129" s="63"/>
      <c r="AT129" s="63"/>
      <c r="AU129" s="63"/>
      <c r="AV129" s="63"/>
      <c r="AW129" s="63"/>
      <c r="AX129" s="63"/>
      <c r="AY129" s="63"/>
      <c r="AZ129" s="63"/>
      <c r="BA129" s="63"/>
      <c r="BB129" s="63"/>
      <c r="BC129" s="63"/>
      <c r="BD129" s="63"/>
      <c r="BE129" s="63"/>
      <c r="BF129" s="63"/>
      <c r="BG129" s="63"/>
      <c r="BH129" s="63"/>
      <c r="BI129" s="63"/>
      <c r="BJ129" s="63"/>
      <c r="BK129" s="63"/>
      <c r="BL129" s="63"/>
      <c r="BM129" s="63"/>
      <c r="BN129" s="63"/>
      <c r="BO129" s="63"/>
      <c r="BP129" s="63"/>
      <c r="BQ129" s="63"/>
      <c r="BR129" s="63"/>
      <c r="BS129" s="63"/>
      <c r="BT129" s="63"/>
      <c r="BU129" s="63"/>
      <c r="BV129" s="63"/>
      <c r="BW129" s="63"/>
    </row>
    <row r="130" spans="1:75" x14ac:dyDescent="0.2">
      <c r="A130" s="63" t="str">
        <f t="shared" si="21"/>
        <v/>
      </c>
      <c r="B130" s="182"/>
      <c r="C130" s="75"/>
      <c r="D130" s="75"/>
      <c r="E130" s="74"/>
      <c r="F130" s="181"/>
      <c r="G130" s="69"/>
      <c r="AB130" s="150">
        <f t="shared" si="12"/>
        <v>0</v>
      </c>
      <c r="AC130" s="150">
        <f t="shared" si="13"/>
        <v>0</v>
      </c>
      <c r="AD130" s="98" t="str">
        <f t="shared" si="22"/>
        <v>0000000000</v>
      </c>
      <c r="AE130" s="151">
        <f t="shared" si="15"/>
        <v>0</v>
      </c>
      <c r="AF130" s="98" t="str">
        <f t="shared" si="16"/>
        <v>00</v>
      </c>
      <c r="AG130" s="98" t="str">
        <f t="shared" si="23"/>
        <v>000000000000</v>
      </c>
      <c r="AH130" s="161" t="str">
        <f t="shared" si="17"/>
        <v xml:space="preserve">                    </v>
      </c>
      <c r="AI130" s="154">
        <f t="shared" si="18"/>
        <v>0</v>
      </c>
      <c r="AJ130" s="155">
        <f t="shared" si="19"/>
        <v>0</v>
      </c>
      <c r="AP130" s="63" t="str">
        <f t="shared" si="20"/>
        <v/>
      </c>
      <c r="AQ130" s="63" t="str">
        <f t="shared" si="14"/>
        <v xml:space="preserve">                    </v>
      </c>
      <c r="AR130" s="63"/>
      <c r="AS130" s="63"/>
      <c r="AT130" s="63"/>
      <c r="AU130" s="63"/>
      <c r="AV130" s="63"/>
      <c r="AW130" s="63"/>
      <c r="AX130" s="63"/>
      <c r="AY130" s="63"/>
      <c r="AZ130" s="63"/>
      <c r="BA130" s="63"/>
      <c r="BB130" s="63"/>
      <c r="BC130" s="63"/>
      <c r="BD130" s="63"/>
      <c r="BE130" s="63"/>
      <c r="BF130" s="63"/>
      <c r="BG130" s="63"/>
      <c r="BH130" s="63"/>
      <c r="BI130" s="63"/>
      <c r="BJ130" s="63"/>
      <c r="BK130" s="63"/>
      <c r="BL130" s="63"/>
      <c r="BM130" s="63"/>
      <c r="BN130" s="63"/>
      <c r="BO130" s="63"/>
      <c r="BP130" s="63"/>
      <c r="BQ130" s="63"/>
      <c r="BR130" s="63"/>
      <c r="BS130" s="63"/>
      <c r="BT130" s="63"/>
      <c r="BU130" s="63"/>
      <c r="BV130" s="63"/>
      <c r="BW130" s="63"/>
    </row>
    <row r="131" spans="1:75" x14ac:dyDescent="0.2">
      <c r="A131" s="63" t="str">
        <f t="shared" si="21"/>
        <v/>
      </c>
      <c r="B131" s="182"/>
      <c r="C131" s="75"/>
      <c r="D131" s="75"/>
      <c r="E131" s="74"/>
      <c r="F131" s="181"/>
      <c r="G131" s="69"/>
      <c r="AB131" s="150">
        <f t="shared" ref="AB131:AB194" si="24">INT(F131)</f>
        <v>0</v>
      </c>
      <c r="AC131" s="150">
        <f t="shared" ref="AC131:AC194" si="25">F131-AB131</f>
        <v>0</v>
      </c>
      <c r="AD131" s="98" t="str">
        <f t="shared" si="22"/>
        <v>0000000000</v>
      </c>
      <c r="AE131" s="151">
        <f t="shared" si="15"/>
        <v>0</v>
      </c>
      <c r="AF131" s="98" t="str">
        <f t="shared" si="16"/>
        <v>00</v>
      </c>
      <c r="AG131" s="98" t="str">
        <f t="shared" si="23"/>
        <v>000000000000</v>
      </c>
      <c r="AH131" s="161" t="str">
        <f t="shared" si="17"/>
        <v xml:space="preserve">                    </v>
      </c>
      <c r="AI131" s="154">
        <f t="shared" si="18"/>
        <v>0</v>
      </c>
      <c r="AJ131" s="155">
        <f t="shared" si="19"/>
        <v>0</v>
      </c>
      <c r="AP131" s="63" t="str">
        <f t="shared" si="20"/>
        <v/>
      </c>
      <c r="AQ131" s="63" t="str">
        <f t="shared" ref="AQ131:AQ194" si="26">CONCATENATE(D131,REPT(" ",20-LEN(D131)))</f>
        <v xml:space="preserve">                    </v>
      </c>
      <c r="AR131" s="63"/>
      <c r="AS131" s="63"/>
      <c r="AT131" s="63"/>
      <c r="AU131" s="63"/>
      <c r="AV131" s="63"/>
      <c r="AW131" s="63"/>
      <c r="AX131" s="63"/>
      <c r="AY131" s="63"/>
      <c r="AZ131" s="63"/>
      <c r="BA131" s="63"/>
      <c r="BB131" s="63"/>
      <c r="BC131" s="63"/>
      <c r="BD131" s="63"/>
      <c r="BE131" s="63"/>
      <c r="BF131" s="63"/>
      <c r="BG131" s="63"/>
      <c r="BH131" s="63"/>
      <c r="BI131" s="63"/>
      <c r="BJ131" s="63"/>
      <c r="BK131" s="63"/>
      <c r="BL131" s="63"/>
      <c r="BM131" s="63"/>
      <c r="BN131" s="63"/>
      <c r="BO131" s="63"/>
      <c r="BP131" s="63"/>
      <c r="BQ131" s="63"/>
      <c r="BR131" s="63"/>
      <c r="BS131" s="63"/>
      <c r="BT131" s="63"/>
      <c r="BU131" s="63"/>
      <c r="BV131" s="63"/>
      <c r="BW131" s="63"/>
    </row>
    <row r="132" spans="1:75" x14ac:dyDescent="0.2">
      <c r="A132" s="63" t="str">
        <f t="shared" si="21"/>
        <v/>
      </c>
      <c r="B132" s="182"/>
      <c r="C132" s="75"/>
      <c r="D132" s="75"/>
      <c r="E132" s="74"/>
      <c r="F132" s="181"/>
      <c r="G132" s="69"/>
      <c r="AB132" s="150">
        <f t="shared" si="24"/>
        <v>0</v>
      </c>
      <c r="AC132" s="150">
        <f t="shared" si="25"/>
        <v>0</v>
      </c>
      <c r="AD132" s="98" t="str">
        <f t="shared" si="22"/>
        <v>0000000000</v>
      </c>
      <c r="AE132" s="151">
        <f t="shared" ref="AE132:AE195" si="27">AC132*100</f>
        <v>0</v>
      </c>
      <c r="AF132" s="98" t="str">
        <f t="shared" ref="AF132:AF195" si="28">TEXT(AE132,"00")</f>
        <v>00</v>
      </c>
      <c r="AG132" s="98" t="str">
        <f t="shared" si="23"/>
        <v>000000000000</v>
      </c>
      <c r="AH132" s="161" t="str">
        <f t="shared" ref="AH132:AH195" si="29">CONCATENATE(C132,REPT(" ",20-LEN(C132)))</f>
        <v xml:space="preserve">                    </v>
      </c>
      <c r="AI132" s="154">
        <f t="shared" ref="AI132:AI195" si="30">IF(E132&lt;&gt;"",IF(E132=$E$3,0,1),0)</f>
        <v>0</v>
      </c>
      <c r="AJ132" s="155">
        <f t="shared" ref="AJ132:AJ195" si="31">IF(AI132=1,IF($E$3=1,F132*$H$14,F132/$H$14),F132)</f>
        <v>0</v>
      </c>
      <c r="AP132" s="63" t="str">
        <f t="shared" ref="AP132:AP195" si="32">IF(B133&lt;&gt;"",CONCATENATE("000",B133,"0",E133,"2","    00000000",AG133,"            ",AQ133,AH133,"                                                                                               "),"")</f>
        <v/>
      </c>
      <c r="AQ132" s="63" t="str">
        <f t="shared" si="26"/>
        <v xml:space="preserve">                    </v>
      </c>
      <c r="AR132" s="63"/>
      <c r="AS132" s="63"/>
      <c r="AT132" s="63"/>
      <c r="AU132" s="63"/>
      <c r="AV132" s="63"/>
      <c r="AW132" s="63"/>
      <c r="AX132" s="63"/>
      <c r="AY132" s="63"/>
      <c r="AZ132" s="63"/>
      <c r="BA132" s="63"/>
      <c r="BB132" s="63"/>
      <c r="BC132" s="63"/>
      <c r="BD132" s="63"/>
      <c r="BE132" s="63"/>
      <c r="BF132" s="63"/>
      <c r="BG132" s="63"/>
      <c r="BH132" s="63"/>
      <c r="BI132" s="63"/>
      <c r="BJ132" s="63"/>
      <c r="BK132" s="63"/>
      <c r="BL132" s="63"/>
      <c r="BM132" s="63"/>
      <c r="BN132" s="63"/>
      <c r="BO132" s="63"/>
      <c r="BP132" s="63"/>
      <c r="BQ132" s="63"/>
      <c r="BR132" s="63"/>
      <c r="BS132" s="63"/>
      <c r="BT132" s="63"/>
      <c r="BU132" s="63"/>
      <c r="BV132" s="63"/>
      <c r="BW132" s="63"/>
    </row>
    <row r="133" spans="1:75" x14ac:dyDescent="0.2">
      <c r="A133" s="63" t="str">
        <f t="shared" si="21"/>
        <v/>
      </c>
      <c r="B133" s="182"/>
      <c r="C133" s="75"/>
      <c r="D133" s="75"/>
      <c r="E133" s="74"/>
      <c r="F133" s="181"/>
      <c r="G133" s="69"/>
      <c r="AB133" s="150">
        <f t="shared" si="24"/>
        <v>0</v>
      </c>
      <c r="AC133" s="150">
        <f t="shared" si="25"/>
        <v>0</v>
      </c>
      <c r="AD133" s="98" t="str">
        <f t="shared" si="22"/>
        <v>0000000000</v>
      </c>
      <c r="AE133" s="151">
        <f t="shared" si="27"/>
        <v>0</v>
      </c>
      <c r="AF133" s="98" t="str">
        <f t="shared" si="28"/>
        <v>00</v>
      </c>
      <c r="AG133" s="98" t="str">
        <f t="shared" si="23"/>
        <v>000000000000</v>
      </c>
      <c r="AH133" s="161" t="str">
        <f t="shared" si="29"/>
        <v xml:space="preserve">                    </v>
      </c>
      <c r="AI133" s="154">
        <f t="shared" si="30"/>
        <v>0</v>
      </c>
      <c r="AJ133" s="155">
        <f t="shared" si="31"/>
        <v>0</v>
      </c>
      <c r="AP133" s="63" t="str">
        <f t="shared" si="32"/>
        <v/>
      </c>
      <c r="AQ133" s="63" t="str">
        <f t="shared" si="26"/>
        <v xml:space="preserve">                    </v>
      </c>
      <c r="AR133" s="63"/>
      <c r="AS133" s="63"/>
      <c r="AT133" s="63"/>
      <c r="AU133" s="63"/>
      <c r="AV133" s="63"/>
      <c r="AW133" s="63"/>
      <c r="AX133" s="63"/>
      <c r="AY133" s="63"/>
      <c r="AZ133" s="63"/>
      <c r="BA133" s="63"/>
      <c r="BB133" s="63"/>
      <c r="BC133" s="63"/>
      <c r="BD133" s="63"/>
      <c r="BE133" s="63"/>
      <c r="BF133" s="63"/>
      <c r="BG133" s="63"/>
      <c r="BH133" s="63"/>
      <c r="BI133" s="63"/>
      <c r="BJ133" s="63"/>
      <c r="BK133" s="63"/>
      <c r="BL133" s="63"/>
      <c r="BM133" s="63"/>
      <c r="BN133" s="63"/>
      <c r="BO133" s="63"/>
      <c r="BP133" s="63"/>
      <c r="BQ133" s="63"/>
      <c r="BR133" s="63"/>
      <c r="BS133" s="63"/>
      <c r="BT133" s="63"/>
      <c r="BU133" s="63"/>
      <c r="BV133" s="63"/>
      <c r="BW133" s="63"/>
    </row>
    <row r="134" spans="1:75" x14ac:dyDescent="0.2">
      <c r="A134" s="63" t="str">
        <f t="shared" ref="A134:A197" si="33">IF(B134&lt;&gt;"",A133+1,"")</f>
        <v/>
      </c>
      <c r="B134" s="182"/>
      <c r="C134" s="75"/>
      <c r="D134" s="75"/>
      <c r="E134" s="74"/>
      <c r="F134" s="181"/>
      <c r="G134" s="69"/>
      <c r="AB134" s="150">
        <f t="shared" si="24"/>
        <v>0</v>
      </c>
      <c r="AC134" s="150">
        <f t="shared" si="25"/>
        <v>0</v>
      </c>
      <c r="AD134" s="98" t="str">
        <f t="shared" si="22"/>
        <v>0000000000</v>
      </c>
      <c r="AE134" s="151">
        <f t="shared" si="27"/>
        <v>0</v>
      </c>
      <c r="AF134" s="98" t="str">
        <f t="shared" si="28"/>
        <v>00</v>
      </c>
      <c r="AG134" s="98" t="str">
        <f t="shared" si="23"/>
        <v>000000000000</v>
      </c>
      <c r="AH134" s="161" t="str">
        <f t="shared" si="29"/>
        <v xml:space="preserve">                    </v>
      </c>
      <c r="AI134" s="154">
        <f t="shared" si="30"/>
        <v>0</v>
      </c>
      <c r="AJ134" s="155">
        <f t="shared" si="31"/>
        <v>0</v>
      </c>
      <c r="AP134" s="63" t="str">
        <f t="shared" si="32"/>
        <v/>
      </c>
      <c r="AQ134" s="63" t="str">
        <f t="shared" si="26"/>
        <v xml:space="preserve">                    </v>
      </c>
      <c r="AR134" s="63"/>
      <c r="AS134" s="63"/>
      <c r="AT134" s="63"/>
      <c r="AU134" s="63"/>
      <c r="AV134" s="63"/>
      <c r="AW134" s="63"/>
      <c r="AX134" s="63"/>
      <c r="AY134" s="63"/>
      <c r="AZ134" s="63"/>
      <c r="BA134" s="63"/>
      <c r="BB134" s="63"/>
      <c r="BC134" s="63"/>
      <c r="BD134" s="63"/>
      <c r="BE134" s="63"/>
      <c r="BF134" s="63"/>
      <c r="BG134" s="63"/>
      <c r="BH134" s="63"/>
      <c r="BI134" s="63"/>
      <c r="BJ134" s="63"/>
      <c r="BK134" s="63"/>
      <c r="BL134" s="63"/>
      <c r="BM134" s="63"/>
      <c r="BN134" s="63"/>
      <c r="BO134" s="63"/>
      <c r="BP134" s="63"/>
      <c r="BQ134" s="63"/>
      <c r="BR134" s="63"/>
      <c r="BS134" s="63"/>
      <c r="BT134" s="63"/>
      <c r="BU134" s="63"/>
      <c r="BV134" s="63"/>
      <c r="BW134" s="63"/>
    </row>
    <row r="135" spans="1:75" x14ac:dyDescent="0.2">
      <c r="A135" s="63" t="str">
        <f t="shared" si="33"/>
        <v/>
      </c>
      <c r="B135" s="182"/>
      <c r="C135" s="75"/>
      <c r="D135" s="75"/>
      <c r="E135" s="74"/>
      <c r="F135" s="181"/>
      <c r="G135" s="69"/>
      <c r="AB135" s="150">
        <f t="shared" si="24"/>
        <v>0</v>
      </c>
      <c r="AC135" s="150">
        <f t="shared" si="25"/>
        <v>0</v>
      </c>
      <c r="AD135" s="98" t="str">
        <f t="shared" si="22"/>
        <v>0000000000</v>
      </c>
      <c r="AE135" s="151">
        <f t="shared" si="27"/>
        <v>0</v>
      </c>
      <c r="AF135" s="98" t="str">
        <f t="shared" si="28"/>
        <v>00</v>
      </c>
      <c r="AG135" s="98" t="str">
        <f t="shared" si="23"/>
        <v>000000000000</v>
      </c>
      <c r="AH135" s="161" t="str">
        <f t="shared" si="29"/>
        <v xml:space="preserve">                    </v>
      </c>
      <c r="AI135" s="154">
        <f t="shared" si="30"/>
        <v>0</v>
      </c>
      <c r="AJ135" s="155">
        <f t="shared" si="31"/>
        <v>0</v>
      </c>
      <c r="AP135" s="63" t="str">
        <f t="shared" si="32"/>
        <v/>
      </c>
      <c r="AQ135" s="63" t="str">
        <f t="shared" si="26"/>
        <v xml:space="preserve">                    </v>
      </c>
      <c r="AR135" s="63"/>
      <c r="AS135" s="63"/>
      <c r="AT135" s="63"/>
      <c r="AU135" s="63"/>
      <c r="AV135" s="63"/>
      <c r="AW135" s="63"/>
      <c r="AX135" s="63"/>
      <c r="AY135" s="63"/>
      <c r="AZ135" s="63"/>
      <c r="BA135" s="63"/>
      <c r="BB135" s="63"/>
      <c r="BC135" s="63"/>
      <c r="BD135" s="63"/>
      <c r="BE135" s="63"/>
      <c r="BF135" s="63"/>
      <c r="BG135" s="63"/>
      <c r="BH135" s="63"/>
      <c r="BI135" s="63"/>
      <c r="BJ135" s="63"/>
      <c r="BK135" s="63"/>
      <c r="BL135" s="63"/>
      <c r="BM135" s="63"/>
      <c r="BN135" s="63"/>
      <c r="BO135" s="63"/>
      <c r="BP135" s="63"/>
      <c r="BQ135" s="63"/>
      <c r="BR135" s="63"/>
      <c r="BS135" s="63"/>
      <c r="BT135" s="63"/>
      <c r="BU135" s="63"/>
      <c r="BV135" s="63"/>
      <c r="BW135" s="63"/>
    </row>
    <row r="136" spans="1:75" x14ac:dyDescent="0.2">
      <c r="A136" s="63" t="str">
        <f t="shared" si="33"/>
        <v/>
      </c>
      <c r="B136" s="182"/>
      <c r="C136" s="75"/>
      <c r="D136" s="75"/>
      <c r="E136" s="74"/>
      <c r="F136" s="181"/>
      <c r="G136" s="69"/>
      <c r="AB136" s="150">
        <f t="shared" si="24"/>
        <v>0</v>
      </c>
      <c r="AC136" s="150">
        <f t="shared" si="25"/>
        <v>0</v>
      </c>
      <c r="AD136" s="98" t="str">
        <f t="shared" ref="AD136:AD199" si="34">TEXT(AB136,"0000000000")</f>
        <v>0000000000</v>
      </c>
      <c r="AE136" s="151">
        <f t="shared" si="27"/>
        <v>0</v>
      </c>
      <c r="AF136" s="98" t="str">
        <f t="shared" si="28"/>
        <v>00</v>
      </c>
      <c r="AG136" s="98" t="str">
        <f t="shared" ref="AG136:AG199" si="35">CONCATENATE(AD136,AF136)</f>
        <v>000000000000</v>
      </c>
      <c r="AH136" s="161" t="str">
        <f t="shared" si="29"/>
        <v xml:space="preserve">                    </v>
      </c>
      <c r="AI136" s="154">
        <f t="shared" si="30"/>
        <v>0</v>
      </c>
      <c r="AJ136" s="155">
        <f t="shared" si="31"/>
        <v>0</v>
      </c>
      <c r="AP136" s="63" t="str">
        <f t="shared" si="32"/>
        <v/>
      </c>
      <c r="AQ136" s="63" t="str">
        <f t="shared" si="26"/>
        <v xml:space="preserve">                    </v>
      </c>
      <c r="AR136" s="63"/>
      <c r="AS136" s="63"/>
      <c r="AT136" s="63"/>
      <c r="AU136" s="63"/>
      <c r="AV136" s="63"/>
      <c r="AW136" s="63"/>
      <c r="AX136" s="63"/>
      <c r="AY136" s="63"/>
      <c r="AZ136" s="63"/>
      <c r="BA136" s="63"/>
      <c r="BB136" s="63"/>
      <c r="BC136" s="63"/>
      <c r="BD136" s="63"/>
      <c r="BE136" s="63"/>
      <c r="BF136" s="63"/>
      <c r="BG136" s="63"/>
      <c r="BH136" s="63"/>
      <c r="BI136" s="63"/>
      <c r="BJ136" s="63"/>
      <c r="BK136" s="63"/>
      <c r="BL136" s="63"/>
      <c r="BM136" s="63"/>
      <c r="BN136" s="63"/>
      <c r="BO136" s="63"/>
      <c r="BP136" s="63"/>
      <c r="BQ136" s="63"/>
      <c r="BR136" s="63"/>
      <c r="BS136" s="63"/>
      <c r="BT136" s="63"/>
      <c r="BU136" s="63"/>
      <c r="BV136" s="63"/>
      <c r="BW136" s="63"/>
    </row>
    <row r="137" spans="1:75" x14ac:dyDescent="0.2">
      <c r="A137" s="63" t="str">
        <f t="shared" si="33"/>
        <v/>
      </c>
      <c r="B137" s="182"/>
      <c r="C137" s="75"/>
      <c r="D137" s="75"/>
      <c r="E137" s="74"/>
      <c r="F137" s="181"/>
      <c r="G137" s="69"/>
      <c r="AB137" s="150">
        <f t="shared" si="24"/>
        <v>0</v>
      </c>
      <c r="AC137" s="150">
        <f t="shared" si="25"/>
        <v>0</v>
      </c>
      <c r="AD137" s="98" t="str">
        <f t="shared" si="34"/>
        <v>0000000000</v>
      </c>
      <c r="AE137" s="151">
        <f t="shared" si="27"/>
        <v>0</v>
      </c>
      <c r="AF137" s="98" t="str">
        <f t="shared" si="28"/>
        <v>00</v>
      </c>
      <c r="AG137" s="98" t="str">
        <f t="shared" si="35"/>
        <v>000000000000</v>
      </c>
      <c r="AH137" s="161" t="str">
        <f t="shared" si="29"/>
        <v xml:space="preserve">                    </v>
      </c>
      <c r="AI137" s="154">
        <f t="shared" si="30"/>
        <v>0</v>
      </c>
      <c r="AJ137" s="155">
        <f t="shared" si="31"/>
        <v>0</v>
      </c>
      <c r="AP137" s="63" t="str">
        <f t="shared" si="32"/>
        <v/>
      </c>
      <c r="AQ137" s="63" t="str">
        <f t="shared" si="26"/>
        <v xml:space="preserve">                    </v>
      </c>
      <c r="AR137" s="63"/>
      <c r="AS137" s="63"/>
      <c r="AT137" s="63"/>
      <c r="AU137" s="63"/>
      <c r="AV137" s="63"/>
      <c r="AW137" s="63"/>
      <c r="AX137" s="63"/>
      <c r="AY137" s="63"/>
      <c r="AZ137" s="63"/>
      <c r="BA137" s="63"/>
      <c r="BB137" s="63"/>
      <c r="BC137" s="63"/>
      <c r="BD137" s="63"/>
      <c r="BE137" s="63"/>
      <c r="BF137" s="63"/>
      <c r="BG137" s="63"/>
      <c r="BH137" s="63"/>
      <c r="BI137" s="63"/>
      <c r="BJ137" s="63"/>
      <c r="BK137" s="63"/>
      <c r="BL137" s="63"/>
      <c r="BM137" s="63"/>
      <c r="BN137" s="63"/>
      <c r="BO137" s="63"/>
      <c r="BP137" s="63"/>
      <c r="BQ137" s="63"/>
      <c r="BR137" s="63"/>
      <c r="BS137" s="63"/>
      <c r="BT137" s="63"/>
      <c r="BU137" s="63"/>
      <c r="BV137" s="63"/>
      <c r="BW137" s="63"/>
    </row>
    <row r="138" spans="1:75" x14ac:dyDescent="0.2">
      <c r="A138" s="63" t="str">
        <f t="shared" si="33"/>
        <v/>
      </c>
      <c r="B138" s="182"/>
      <c r="C138" s="75"/>
      <c r="D138" s="75"/>
      <c r="E138" s="74"/>
      <c r="F138" s="181"/>
      <c r="G138" s="69"/>
      <c r="AB138" s="150">
        <f t="shared" si="24"/>
        <v>0</v>
      </c>
      <c r="AC138" s="150">
        <f t="shared" si="25"/>
        <v>0</v>
      </c>
      <c r="AD138" s="98" t="str">
        <f t="shared" si="34"/>
        <v>0000000000</v>
      </c>
      <c r="AE138" s="151">
        <f t="shared" si="27"/>
        <v>0</v>
      </c>
      <c r="AF138" s="98" t="str">
        <f t="shared" si="28"/>
        <v>00</v>
      </c>
      <c r="AG138" s="98" t="str">
        <f t="shared" si="35"/>
        <v>000000000000</v>
      </c>
      <c r="AH138" s="161" t="str">
        <f t="shared" si="29"/>
        <v xml:space="preserve">                    </v>
      </c>
      <c r="AI138" s="154">
        <f t="shared" si="30"/>
        <v>0</v>
      </c>
      <c r="AJ138" s="155">
        <f t="shared" si="31"/>
        <v>0</v>
      </c>
      <c r="AP138" s="63" t="str">
        <f t="shared" si="32"/>
        <v/>
      </c>
      <c r="AQ138" s="63" t="str">
        <f t="shared" si="26"/>
        <v xml:space="preserve">                    </v>
      </c>
      <c r="AR138" s="63"/>
      <c r="AS138" s="63"/>
      <c r="AT138" s="63"/>
      <c r="AU138" s="63"/>
      <c r="AV138" s="63"/>
      <c r="AW138" s="63"/>
      <c r="AX138" s="63"/>
      <c r="AY138" s="63"/>
      <c r="AZ138" s="63"/>
      <c r="BA138" s="63"/>
      <c r="BB138" s="63"/>
      <c r="BC138" s="63"/>
      <c r="BD138" s="63"/>
      <c r="BE138" s="63"/>
      <c r="BF138" s="63"/>
      <c r="BG138" s="63"/>
      <c r="BH138" s="63"/>
      <c r="BI138" s="63"/>
      <c r="BJ138" s="63"/>
      <c r="BK138" s="63"/>
      <c r="BL138" s="63"/>
      <c r="BM138" s="63"/>
      <c r="BN138" s="63"/>
      <c r="BO138" s="63"/>
      <c r="BP138" s="63"/>
      <c r="BQ138" s="63"/>
      <c r="BR138" s="63"/>
      <c r="BS138" s="63"/>
      <c r="BT138" s="63"/>
      <c r="BU138" s="63"/>
      <c r="BV138" s="63"/>
      <c r="BW138" s="63"/>
    </row>
    <row r="139" spans="1:75" x14ac:dyDescent="0.2">
      <c r="A139" s="63" t="str">
        <f t="shared" si="33"/>
        <v/>
      </c>
      <c r="B139" s="182"/>
      <c r="C139" s="75"/>
      <c r="D139" s="75"/>
      <c r="E139" s="74"/>
      <c r="F139" s="181"/>
      <c r="G139" s="69"/>
      <c r="AB139" s="150">
        <f t="shared" si="24"/>
        <v>0</v>
      </c>
      <c r="AC139" s="150">
        <f t="shared" si="25"/>
        <v>0</v>
      </c>
      <c r="AD139" s="98" t="str">
        <f t="shared" si="34"/>
        <v>0000000000</v>
      </c>
      <c r="AE139" s="151">
        <f t="shared" si="27"/>
        <v>0</v>
      </c>
      <c r="AF139" s="98" t="str">
        <f t="shared" si="28"/>
        <v>00</v>
      </c>
      <c r="AG139" s="98" t="str">
        <f t="shared" si="35"/>
        <v>000000000000</v>
      </c>
      <c r="AH139" s="161" t="str">
        <f t="shared" si="29"/>
        <v xml:space="preserve">                    </v>
      </c>
      <c r="AI139" s="154">
        <f t="shared" si="30"/>
        <v>0</v>
      </c>
      <c r="AJ139" s="155">
        <f t="shared" si="31"/>
        <v>0</v>
      </c>
      <c r="AP139" s="63" t="str">
        <f t="shared" si="32"/>
        <v/>
      </c>
      <c r="AQ139" s="63" t="str">
        <f t="shared" si="26"/>
        <v xml:space="preserve">                    </v>
      </c>
      <c r="AR139" s="63"/>
      <c r="AS139" s="63"/>
      <c r="AT139" s="63"/>
      <c r="AU139" s="63"/>
      <c r="AV139" s="63"/>
      <c r="AW139" s="63"/>
      <c r="AX139" s="63"/>
      <c r="AY139" s="63"/>
      <c r="AZ139" s="63"/>
      <c r="BA139" s="63"/>
      <c r="BB139" s="63"/>
      <c r="BC139" s="63"/>
      <c r="BD139" s="63"/>
      <c r="BE139" s="63"/>
      <c r="BF139" s="63"/>
      <c r="BG139" s="63"/>
      <c r="BH139" s="63"/>
      <c r="BI139" s="63"/>
      <c r="BJ139" s="63"/>
      <c r="BK139" s="63"/>
      <c r="BL139" s="63"/>
      <c r="BM139" s="63"/>
      <c r="BN139" s="63"/>
      <c r="BO139" s="63"/>
      <c r="BP139" s="63"/>
      <c r="BQ139" s="63"/>
      <c r="BR139" s="63"/>
      <c r="BS139" s="63"/>
      <c r="BT139" s="63"/>
      <c r="BU139" s="63"/>
      <c r="BV139" s="63"/>
      <c r="BW139" s="63"/>
    </row>
    <row r="140" spans="1:75" x14ac:dyDescent="0.2">
      <c r="A140" s="63" t="str">
        <f t="shared" si="33"/>
        <v/>
      </c>
      <c r="B140" s="182"/>
      <c r="C140" s="75"/>
      <c r="D140" s="75"/>
      <c r="E140" s="74"/>
      <c r="F140" s="181"/>
      <c r="G140" s="69"/>
      <c r="AB140" s="150">
        <f t="shared" si="24"/>
        <v>0</v>
      </c>
      <c r="AC140" s="150">
        <f t="shared" si="25"/>
        <v>0</v>
      </c>
      <c r="AD140" s="98" t="str">
        <f t="shared" si="34"/>
        <v>0000000000</v>
      </c>
      <c r="AE140" s="151">
        <f t="shared" si="27"/>
        <v>0</v>
      </c>
      <c r="AF140" s="98" t="str">
        <f t="shared" si="28"/>
        <v>00</v>
      </c>
      <c r="AG140" s="98" t="str">
        <f t="shared" si="35"/>
        <v>000000000000</v>
      </c>
      <c r="AH140" s="161" t="str">
        <f t="shared" si="29"/>
        <v xml:space="preserve">                    </v>
      </c>
      <c r="AI140" s="154">
        <f t="shared" si="30"/>
        <v>0</v>
      </c>
      <c r="AJ140" s="155">
        <f t="shared" si="31"/>
        <v>0</v>
      </c>
      <c r="AP140" s="63" t="str">
        <f t="shared" si="32"/>
        <v/>
      </c>
      <c r="AQ140" s="63" t="str">
        <f t="shared" si="26"/>
        <v xml:space="preserve">                    </v>
      </c>
      <c r="AR140" s="63"/>
      <c r="AS140" s="63"/>
      <c r="AT140" s="63"/>
      <c r="AU140" s="63"/>
      <c r="AV140" s="63"/>
      <c r="AW140" s="63"/>
      <c r="AX140" s="63"/>
      <c r="AY140" s="63"/>
      <c r="AZ140" s="63"/>
      <c r="BA140" s="63"/>
      <c r="BB140" s="63"/>
      <c r="BC140" s="63"/>
      <c r="BD140" s="63"/>
      <c r="BE140" s="63"/>
      <c r="BF140" s="63"/>
      <c r="BG140" s="63"/>
      <c r="BH140" s="63"/>
      <c r="BI140" s="63"/>
      <c r="BJ140" s="63"/>
      <c r="BK140" s="63"/>
      <c r="BL140" s="63"/>
      <c r="BM140" s="63"/>
      <c r="BN140" s="63"/>
      <c r="BO140" s="63"/>
      <c r="BP140" s="63"/>
      <c r="BQ140" s="63"/>
      <c r="BR140" s="63"/>
      <c r="BS140" s="63"/>
      <c r="BT140" s="63"/>
      <c r="BU140" s="63"/>
      <c r="BV140" s="63"/>
      <c r="BW140" s="63"/>
    </row>
    <row r="141" spans="1:75" x14ac:dyDescent="0.2">
      <c r="A141" s="63" t="str">
        <f t="shared" si="33"/>
        <v/>
      </c>
      <c r="B141" s="182"/>
      <c r="C141" s="75"/>
      <c r="D141" s="75"/>
      <c r="E141" s="74"/>
      <c r="F141" s="181"/>
      <c r="G141" s="69"/>
      <c r="AB141" s="150">
        <f t="shared" si="24"/>
        <v>0</v>
      </c>
      <c r="AC141" s="150">
        <f t="shared" si="25"/>
        <v>0</v>
      </c>
      <c r="AD141" s="98" t="str">
        <f t="shared" si="34"/>
        <v>0000000000</v>
      </c>
      <c r="AE141" s="151">
        <f t="shared" si="27"/>
        <v>0</v>
      </c>
      <c r="AF141" s="98" t="str">
        <f t="shared" si="28"/>
        <v>00</v>
      </c>
      <c r="AG141" s="98" t="str">
        <f t="shared" si="35"/>
        <v>000000000000</v>
      </c>
      <c r="AH141" s="161" t="str">
        <f t="shared" si="29"/>
        <v xml:space="preserve">                    </v>
      </c>
      <c r="AI141" s="154">
        <f t="shared" si="30"/>
        <v>0</v>
      </c>
      <c r="AJ141" s="155">
        <f t="shared" si="31"/>
        <v>0</v>
      </c>
      <c r="AP141" s="63" t="str">
        <f t="shared" si="32"/>
        <v/>
      </c>
      <c r="AQ141" s="63" t="str">
        <f t="shared" si="26"/>
        <v xml:space="preserve">                    </v>
      </c>
      <c r="AR141" s="63"/>
      <c r="AS141" s="63"/>
      <c r="AT141" s="63"/>
      <c r="AU141" s="63"/>
      <c r="AV141" s="63"/>
      <c r="AW141" s="63"/>
      <c r="AX141" s="63"/>
      <c r="AY141" s="63"/>
      <c r="AZ141" s="63"/>
      <c r="BA141" s="63"/>
      <c r="BB141" s="63"/>
      <c r="BC141" s="63"/>
      <c r="BD141" s="63"/>
      <c r="BE141" s="63"/>
      <c r="BF141" s="63"/>
      <c r="BG141" s="63"/>
      <c r="BH141" s="63"/>
      <c r="BI141" s="63"/>
      <c r="BJ141" s="63"/>
      <c r="BK141" s="63"/>
      <c r="BL141" s="63"/>
      <c r="BM141" s="63"/>
      <c r="BN141" s="63"/>
      <c r="BO141" s="63"/>
      <c r="BP141" s="63"/>
      <c r="BQ141" s="63"/>
      <c r="BR141" s="63"/>
      <c r="BS141" s="63"/>
      <c r="BT141" s="63"/>
      <c r="BU141" s="63"/>
      <c r="BV141" s="63"/>
      <c r="BW141" s="63"/>
    </row>
    <row r="142" spans="1:75" x14ac:dyDescent="0.2">
      <c r="A142" s="63" t="str">
        <f t="shared" si="33"/>
        <v/>
      </c>
      <c r="B142" s="182"/>
      <c r="C142" s="75"/>
      <c r="D142" s="75"/>
      <c r="E142" s="74"/>
      <c r="F142" s="181"/>
      <c r="G142" s="69"/>
      <c r="AB142" s="150">
        <f t="shared" si="24"/>
        <v>0</v>
      </c>
      <c r="AC142" s="150">
        <f t="shared" si="25"/>
        <v>0</v>
      </c>
      <c r="AD142" s="98" t="str">
        <f t="shared" si="34"/>
        <v>0000000000</v>
      </c>
      <c r="AE142" s="151">
        <f t="shared" si="27"/>
        <v>0</v>
      </c>
      <c r="AF142" s="98" t="str">
        <f t="shared" si="28"/>
        <v>00</v>
      </c>
      <c r="AG142" s="98" t="str">
        <f t="shared" si="35"/>
        <v>000000000000</v>
      </c>
      <c r="AH142" s="161" t="str">
        <f t="shared" si="29"/>
        <v xml:space="preserve">                    </v>
      </c>
      <c r="AI142" s="154">
        <f t="shared" si="30"/>
        <v>0</v>
      </c>
      <c r="AJ142" s="155">
        <f t="shared" si="31"/>
        <v>0</v>
      </c>
      <c r="AP142" s="63" t="str">
        <f t="shared" si="32"/>
        <v/>
      </c>
      <c r="AQ142" s="63" t="str">
        <f t="shared" si="26"/>
        <v xml:space="preserve">                    </v>
      </c>
      <c r="AR142" s="63"/>
      <c r="AS142" s="63"/>
      <c r="AT142" s="63"/>
      <c r="AU142" s="63"/>
      <c r="AV142" s="63"/>
      <c r="AW142" s="63"/>
      <c r="AX142" s="63"/>
      <c r="AY142" s="63"/>
      <c r="AZ142" s="63"/>
      <c r="BA142" s="63"/>
      <c r="BB142" s="63"/>
      <c r="BC142" s="63"/>
      <c r="BD142" s="63"/>
      <c r="BE142" s="63"/>
      <c r="BF142" s="63"/>
      <c r="BG142" s="63"/>
      <c r="BH142" s="63"/>
      <c r="BI142" s="63"/>
      <c r="BJ142" s="63"/>
      <c r="BK142" s="63"/>
      <c r="BL142" s="63"/>
      <c r="BM142" s="63"/>
      <c r="BN142" s="63"/>
      <c r="BO142" s="63"/>
      <c r="BP142" s="63"/>
      <c r="BQ142" s="63"/>
      <c r="BR142" s="63"/>
      <c r="BS142" s="63"/>
      <c r="BT142" s="63"/>
      <c r="BU142" s="63"/>
      <c r="BV142" s="63"/>
      <c r="BW142" s="63"/>
    </row>
    <row r="143" spans="1:75" x14ac:dyDescent="0.2">
      <c r="A143" s="63" t="str">
        <f t="shared" si="33"/>
        <v/>
      </c>
      <c r="B143" s="182"/>
      <c r="C143" s="75"/>
      <c r="D143" s="75"/>
      <c r="E143" s="74"/>
      <c r="F143" s="181"/>
      <c r="G143" s="69"/>
      <c r="AB143" s="150">
        <f t="shared" si="24"/>
        <v>0</v>
      </c>
      <c r="AC143" s="150">
        <f t="shared" si="25"/>
        <v>0</v>
      </c>
      <c r="AD143" s="98" t="str">
        <f t="shared" si="34"/>
        <v>0000000000</v>
      </c>
      <c r="AE143" s="151">
        <f t="shared" si="27"/>
        <v>0</v>
      </c>
      <c r="AF143" s="98" t="str">
        <f t="shared" si="28"/>
        <v>00</v>
      </c>
      <c r="AG143" s="98" t="str">
        <f t="shared" si="35"/>
        <v>000000000000</v>
      </c>
      <c r="AH143" s="161" t="str">
        <f t="shared" si="29"/>
        <v xml:space="preserve">                    </v>
      </c>
      <c r="AI143" s="154">
        <f t="shared" si="30"/>
        <v>0</v>
      </c>
      <c r="AJ143" s="155">
        <f t="shared" si="31"/>
        <v>0</v>
      </c>
      <c r="AP143" s="63" t="str">
        <f t="shared" si="32"/>
        <v/>
      </c>
      <c r="AQ143" s="63" t="str">
        <f t="shared" si="26"/>
        <v xml:space="preserve">                    </v>
      </c>
      <c r="AR143" s="63"/>
      <c r="AS143" s="63"/>
      <c r="AT143" s="63"/>
      <c r="AU143" s="63"/>
      <c r="AV143" s="63"/>
      <c r="AW143" s="63"/>
      <c r="AX143" s="63"/>
      <c r="AY143" s="63"/>
      <c r="AZ143" s="63"/>
      <c r="BA143" s="63"/>
      <c r="BB143" s="63"/>
      <c r="BC143" s="63"/>
      <c r="BD143" s="63"/>
      <c r="BE143" s="63"/>
      <c r="BF143" s="63"/>
      <c r="BG143" s="63"/>
      <c r="BH143" s="63"/>
      <c r="BI143" s="63"/>
      <c r="BJ143" s="63"/>
      <c r="BK143" s="63"/>
      <c r="BL143" s="63"/>
      <c r="BM143" s="63"/>
      <c r="BN143" s="63"/>
      <c r="BO143" s="63"/>
      <c r="BP143" s="63"/>
      <c r="BQ143" s="63"/>
      <c r="BR143" s="63"/>
      <c r="BS143" s="63"/>
      <c r="BT143" s="63"/>
      <c r="BU143" s="63"/>
      <c r="BV143" s="63"/>
      <c r="BW143" s="63"/>
    </row>
    <row r="144" spans="1:75" x14ac:dyDescent="0.2">
      <c r="A144" s="63" t="str">
        <f t="shared" si="33"/>
        <v/>
      </c>
      <c r="B144" s="182"/>
      <c r="C144" s="75"/>
      <c r="D144" s="75"/>
      <c r="E144" s="74"/>
      <c r="F144" s="181"/>
      <c r="G144" s="69"/>
      <c r="AB144" s="150">
        <f t="shared" si="24"/>
        <v>0</v>
      </c>
      <c r="AC144" s="150">
        <f t="shared" si="25"/>
        <v>0</v>
      </c>
      <c r="AD144" s="98" t="str">
        <f t="shared" si="34"/>
        <v>0000000000</v>
      </c>
      <c r="AE144" s="151">
        <f t="shared" si="27"/>
        <v>0</v>
      </c>
      <c r="AF144" s="98" t="str">
        <f t="shared" si="28"/>
        <v>00</v>
      </c>
      <c r="AG144" s="98" t="str">
        <f t="shared" si="35"/>
        <v>000000000000</v>
      </c>
      <c r="AH144" s="161" t="str">
        <f t="shared" si="29"/>
        <v xml:space="preserve">                    </v>
      </c>
      <c r="AI144" s="154">
        <f t="shared" si="30"/>
        <v>0</v>
      </c>
      <c r="AJ144" s="155">
        <f t="shared" si="31"/>
        <v>0</v>
      </c>
      <c r="AP144" s="63" t="str">
        <f t="shared" si="32"/>
        <v/>
      </c>
      <c r="AQ144" s="63" t="str">
        <f t="shared" si="26"/>
        <v xml:space="preserve">                    </v>
      </c>
      <c r="AR144" s="63"/>
      <c r="AS144" s="63"/>
      <c r="AT144" s="63"/>
      <c r="AU144" s="63"/>
      <c r="AV144" s="63"/>
      <c r="AW144" s="63"/>
      <c r="AX144" s="63"/>
      <c r="AY144" s="63"/>
      <c r="AZ144" s="63"/>
      <c r="BA144" s="63"/>
      <c r="BB144" s="63"/>
      <c r="BC144" s="63"/>
      <c r="BD144" s="63"/>
      <c r="BE144" s="63"/>
      <c r="BF144" s="63"/>
      <c r="BG144" s="63"/>
      <c r="BH144" s="63"/>
      <c r="BI144" s="63"/>
      <c r="BJ144" s="63"/>
      <c r="BK144" s="63"/>
      <c r="BL144" s="63"/>
      <c r="BM144" s="63"/>
      <c r="BN144" s="63"/>
      <c r="BO144" s="63"/>
      <c r="BP144" s="63"/>
      <c r="BQ144" s="63"/>
      <c r="BR144" s="63"/>
      <c r="BS144" s="63"/>
      <c r="BT144" s="63"/>
      <c r="BU144" s="63"/>
      <c r="BV144" s="63"/>
      <c r="BW144" s="63"/>
    </row>
    <row r="145" spans="1:75" x14ac:dyDescent="0.2">
      <c r="A145" s="63" t="str">
        <f t="shared" si="33"/>
        <v/>
      </c>
      <c r="B145" s="182"/>
      <c r="C145" s="75"/>
      <c r="D145" s="75"/>
      <c r="E145" s="74"/>
      <c r="F145" s="181"/>
      <c r="G145" s="69"/>
      <c r="AB145" s="150">
        <f t="shared" si="24"/>
        <v>0</v>
      </c>
      <c r="AC145" s="150">
        <f t="shared" si="25"/>
        <v>0</v>
      </c>
      <c r="AD145" s="98" t="str">
        <f t="shared" si="34"/>
        <v>0000000000</v>
      </c>
      <c r="AE145" s="151">
        <f t="shared" si="27"/>
        <v>0</v>
      </c>
      <c r="AF145" s="98" t="str">
        <f t="shared" si="28"/>
        <v>00</v>
      </c>
      <c r="AG145" s="98" t="str">
        <f t="shared" si="35"/>
        <v>000000000000</v>
      </c>
      <c r="AH145" s="161" t="str">
        <f t="shared" si="29"/>
        <v xml:space="preserve">                    </v>
      </c>
      <c r="AI145" s="154">
        <f t="shared" si="30"/>
        <v>0</v>
      </c>
      <c r="AJ145" s="155">
        <f t="shared" si="31"/>
        <v>0</v>
      </c>
      <c r="AP145" s="63" t="str">
        <f t="shared" si="32"/>
        <v/>
      </c>
      <c r="AQ145" s="63" t="str">
        <f t="shared" si="26"/>
        <v xml:space="preserve">                    </v>
      </c>
      <c r="AR145" s="63"/>
      <c r="AS145" s="63"/>
      <c r="AT145" s="63"/>
      <c r="AU145" s="63"/>
      <c r="AV145" s="63"/>
      <c r="AW145" s="63"/>
      <c r="AX145" s="63"/>
      <c r="AY145" s="63"/>
      <c r="AZ145" s="63"/>
      <c r="BA145" s="63"/>
      <c r="BB145" s="63"/>
      <c r="BC145" s="63"/>
      <c r="BD145" s="63"/>
      <c r="BE145" s="63"/>
      <c r="BF145" s="63"/>
      <c r="BG145" s="63"/>
      <c r="BH145" s="63"/>
      <c r="BI145" s="63"/>
      <c r="BJ145" s="63"/>
      <c r="BK145" s="63"/>
      <c r="BL145" s="63"/>
      <c r="BM145" s="63"/>
      <c r="BN145" s="63"/>
      <c r="BO145" s="63"/>
      <c r="BP145" s="63"/>
      <c r="BQ145" s="63"/>
      <c r="BR145" s="63"/>
      <c r="BS145" s="63"/>
      <c r="BT145" s="63"/>
      <c r="BU145" s="63"/>
      <c r="BV145" s="63"/>
      <c r="BW145" s="63"/>
    </row>
    <row r="146" spans="1:75" x14ac:dyDescent="0.2">
      <c r="A146" s="63" t="str">
        <f t="shared" si="33"/>
        <v/>
      </c>
      <c r="B146" s="182"/>
      <c r="C146" s="75"/>
      <c r="D146" s="75"/>
      <c r="E146" s="74"/>
      <c r="F146" s="181"/>
      <c r="G146" s="69"/>
      <c r="AB146" s="150">
        <f t="shared" si="24"/>
        <v>0</v>
      </c>
      <c r="AC146" s="150">
        <f t="shared" si="25"/>
        <v>0</v>
      </c>
      <c r="AD146" s="98" t="str">
        <f t="shared" si="34"/>
        <v>0000000000</v>
      </c>
      <c r="AE146" s="151">
        <f t="shared" si="27"/>
        <v>0</v>
      </c>
      <c r="AF146" s="98" t="str">
        <f t="shared" si="28"/>
        <v>00</v>
      </c>
      <c r="AG146" s="98" t="str">
        <f t="shared" si="35"/>
        <v>000000000000</v>
      </c>
      <c r="AH146" s="161" t="str">
        <f t="shared" si="29"/>
        <v xml:space="preserve">                    </v>
      </c>
      <c r="AI146" s="154">
        <f t="shared" si="30"/>
        <v>0</v>
      </c>
      <c r="AJ146" s="155">
        <f t="shared" si="31"/>
        <v>0</v>
      </c>
      <c r="AP146" s="63" t="str">
        <f t="shared" si="32"/>
        <v/>
      </c>
      <c r="AQ146" s="63" t="str">
        <f t="shared" si="26"/>
        <v xml:space="preserve">                    </v>
      </c>
      <c r="AR146" s="63"/>
      <c r="AS146" s="63"/>
      <c r="AT146" s="63"/>
      <c r="AU146" s="63"/>
      <c r="AV146" s="63"/>
      <c r="AW146" s="63"/>
      <c r="AX146" s="63"/>
      <c r="AY146" s="63"/>
      <c r="AZ146" s="63"/>
      <c r="BA146" s="63"/>
      <c r="BB146" s="63"/>
      <c r="BC146" s="63"/>
      <c r="BD146" s="63"/>
      <c r="BE146" s="63"/>
      <c r="BF146" s="63"/>
      <c r="BG146" s="63"/>
      <c r="BH146" s="63"/>
      <c r="BI146" s="63"/>
      <c r="BJ146" s="63"/>
      <c r="BK146" s="63"/>
      <c r="BL146" s="63"/>
      <c r="BM146" s="63"/>
      <c r="BN146" s="63"/>
      <c r="BO146" s="63"/>
      <c r="BP146" s="63"/>
      <c r="BQ146" s="63"/>
      <c r="BR146" s="63"/>
      <c r="BS146" s="63"/>
      <c r="BT146" s="63"/>
      <c r="BU146" s="63"/>
      <c r="BV146" s="63"/>
      <c r="BW146" s="63"/>
    </row>
    <row r="147" spans="1:75" x14ac:dyDescent="0.2">
      <c r="A147" s="63" t="str">
        <f t="shared" si="33"/>
        <v/>
      </c>
      <c r="B147" s="182"/>
      <c r="C147" s="75"/>
      <c r="D147" s="75"/>
      <c r="E147" s="74"/>
      <c r="F147" s="181"/>
      <c r="G147" s="69"/>
      <c r="AB147" s="150">
        <f t="shared" si="24"/>
        <v>0</v>
      </c>
      <c r="AC147" s="150">
        <f t="shared" si="25"/>
        <v>0</v>
      </c>
      <c r="AD147" s="98" t="str">
        <f t="shared" si="34"/>
        <v>0000000000</v>
      </c>
      <c r="AE147" s="151">
        <f t="shared" si="27"/>
        <v>0</v>
      </c>
      <c r="AF147" s="98" t="str">
        <f t="shared" si="28"/>
        <v>00</v>
      </c>
      <c r="AG147" s="98" t="str">
        <f t="shared" si="35"/>
        <v>000000000000</v>
      </c>
      <c r="AH147" s="161" t="str">
        <f t="shared" si="29"/>
        <v xml:space="preserve">                    </v>
      </c>
      <c r="AI147" s="154">
        <f t="shared" si="30"/>
        <v>0</v>
      </c>
      <c r="AJ147" s="155">
        <f t="shared" si="31"/>
        <v>0</v>
      </c>
      <c r="AP147" s="63" t="str">
        <f t="shared" si="32"/>
        <v/>
      </c>
      <c r="AQ147" s="63" t="str">
        <f t="shared" si="26"/>
        <v xml:space="preserve">                    </v>
      </c>
      <c r="AR147" s="63"/>
      <c r="AS147" s="63"/>
      <c r="AT147" s="63"/>
      <c r="AU147" s="63"/>
      <c r="AV147" s="63"/>
      <c r="AW147" s="63"/>
      <c r="AX147" s="63"/>
      <c r="AY147" s="63"/>
      <c r="AZ147" s="63"/>
      <c r="BA147" s="63"/>
      <c r="BB147" s="63"/>
      <c r="BC147" s="63"/>
      <c r="BD147" s="63"/>
      <c r="BE147" s="63"/>
      <c r="BF147" s="63"/>
      <c r="BG147" s="63"/>
      <c r="BH147" s="63"/>
      <c r="BI147" s="63"/>
      <c r="BJ147" s="63"/>
      <c r="BK147" s="63"/>
      <c r="BL147" s="63"/>
      <c r="BM147" s="63"/>
      <c r="BN147" s="63"/>
      <c r="BO147" s="63"/>
      <c r="BP147" s="63"/>
      <c r="BQ147" s="63"/>
      <c r="BR147" s="63"/>
      <c r="BS147" s="63"/>
      <c r="BT147" s="63"/>
      <c r="BU147" s="63"/>
      <c r="BV147" s="63"/>
      <c r="BW147" s="63"/>
    </row>
    <row r="148" spans="1:75" x14ac:dyDescent="0.2">
      <c r="A148" s="63" t="str">
        <f t="shared" si="33"/>
        <v/>
      </c>
      <c r="B148" s="182"/>
      <c r="C148" s="75"/>
      <c r="D148" s="75"/>
      <c r="E148" s="74"/>
      <c r="F148" s="181"/>
      <c r="G148" s="69"/>
      <c r="AB148" s="150">
        <f t="shared" si="24"/>
        <v>0</v>
      </c>
      <c r="AC148" s="150">
        <f t="shared" si="25"/>
        <v>0</v>
      </c>
      <c r="AD148" s="98" t="str">
        <f t="shared" si="34"/>
        <v>0000000000</v>
      </c>
      <c r="AE148" s="151">
        <f t="shared" si="27"/>
        <v>0</v>
      </c>
      <c r="AF148" s="98" t="str">
        <f t="shared" si="28"/>
        <v>00</v>
      </c>
      <c r="AG148" s="98" t="str">
        <f t="shared" si="35"/>
        <v>000000000000</v>
      </c>
      <c r="AH148" s="161" t="str">
        <f t="shared" si="29"/>
        <v xml:space="preserve">                    </v>
      </c>
      <c r="AI148" s="154">
        <f t="shared" si="30"/>
        <v>0</v>
      </c>
      <c r="AJ148" s="155">
        <f t="shared" si="31"/>
        <v>0</v>
      </c>
      <c r="AP148" s="63" t="str">
        <f t="shared" si="32"/>
        <v/>
      </c>
      <c r="AQ148" s="63" t="str">
        <f t="shared" si="26"/>
        <v xml:space="preserve">                    </v>
      </c>
      <c r="AR148" s="63"/>
      <c r="AS148" s="63"/>
      <c r="AT148" s="63"/>
      <c r="AU148" s="63"/>
      <c r="AV148" s="63"/>
      <c r="AW148" s="63"/>
      <c r="AX148" s="63"/>
      <c r="AY148" s="63"/>
      <c r="AZ148" s="63"/>
      <c r="BA148" s="63"/>
      <c r="BB148" s="63"/>
      <c r="BC148" s="63"/>
      <c r="BD148" s="63"/>
      <c r="BE148" s="63"/>
      <c r="BF148" s="63"/>
      <c r="BG148" s="63"/>
      <c r="BH148" s="63"/>
      <c r="BI148" s="63"/>
      <c r="BJ148" s="63"/>
      <c r="BK148" s="63"/>
      <c r="BL148" s="63"/>
      <c r="BM148" s="63"/>
      <c r="BN148" s="63"/>
      <c r="BO148" s="63"/>
      <c r="BP148" s="63"/>
      <c r="BQ148" s="63"/>
      <c r="BR148" s="63"/>
      <c r="BS148" s="63"/>
      <c r="BT148" s="63"/>
      <c r="BU148" s="63"/>
      <c r="BV148" s="63"/>
      <c r="BW148" s="63"/>
    </row>
    <row r="149" spans="1:75" x14ac:dyDescent="0.2">
      <c r="A149" s="63" t="str">
        <f t="shared" si="33"/>
        <v/>
      </c>
      <c r="B149" s="182"/>
      <c r="C149" s="75"/>
      <c r="D149" s="75"/>
      <c r="E149" s="74"/>
      <c r="F149" s="181"/>
      <c r="G149" s="69"/>
      <c r="AB149" s="150">
        <f t="shared" si="24"/>
        <v>0</v>
      </c>
      <c r="AC149" s="150">
        <f t="shared" si="25"/>
        <v>0</v>
      </c>
      <c r="AD149" s="98" t="str">
        <f t="shared" si="34"/>
        <v>0000000000</v>
      </c>
      <c r="AE149" s="151">
        <f t="shared" si="27"/>
        <v>0</v>
      </c>
      <c r="AF149" s="98" t="str">
        <f t="shared" si="28"/>
        <v>00</v>
      </c>
      <c r="AG149" s="98" t="str">
        <f t="shared" si="35"/>
        <v>000000000000</v>
      </c>
      <c r="AH149" s="161" t="str">
        <f t="shared" si="29"/>
        <v xml:space="preserve">                    </v>
      </c>
      <c r="AI149" s="154">
        <f t="shared" si="30"/>
        <v>0</v>
      </c>
      <c r="AJ149" s="155">
        <f t="shared" si="31"/>
        <v>0</v>
      </c>
      <c r="AP149" s="63" t="str">
        <f t="shared" si="32"/>
        <v/>
      </c>
      <c r="AQ149" s="63" t="str">
        <f t="shared" si="26"/>
        <v xml:space="preserve">                    </v>
      </c>
      <c r="AR149" s="63"/>
      <c r="AS149" s="63"/>
      <c r="AT149" s="63"/>
      <c r="AU149" s="63"/>
      <c r="AV149" s="63"/>
      <c r="AW149" s="63"/>
      <c r="AX149" s="63"/>
      <c r="AY149" s="63"/>
      <c r="AZ149" s="63"/>
      <c r="BA149" s="63"/>
      <c r="BB149" s="63"/>
      <c r="BC149" s="63"/>
      <c r="BD149" s="63"/>
      <c r="BE149" s="63"/>
      <c r="BF149" s="63"/>
      <c r="BG149" s="63"/>
      <c r="BH149" s="63"/>
      <c r="BI149" s="63"/>
      <c r="BJ149" s="63"/>
      <c r="BK149" s="63"/>
      <c r="BL149" s="63"/>
      <c r="BM149" s="63"/>
      <c r="BN149" s="63"/>
      <c r="BO149" s="63"/>
      <c r="BP149" s="63"/>
      <c r="BQ149" s="63"/>
      <c r="BR149" s="63"/>
      <c r="BS149" s="63"/>
      <c r="BT149" s="63"/>
      <c r="BU149" s="63"/>
      <c r="BV149" s="63"/>
      <c r="BW149" s="63"/>
    </row>
    <row r="150" spans="1:75" x14ac:dyDescent="0.2">
      <c r="A150" s="63" t="str">
        <f t="shared" si="33"/>
        <v/>
      </c>
      <c r="B150" s="182"/>
      <c r="C150" s="75"/>
      <c r="D150" s="75"/>
      <c r="E150" s="74"/>
      <c r="F150" s="181"/>
      <c r="G150" s="69"/>
      <c r="AB150" s="150">
        <f t="shared" si="24"/>
        <v>0</v>
      </c>
      <c r="AC150" s="150">
        <f t="shared" si="25"/>
        <v>0</v>
      </c>
      <c r="AD150" s="98" t="str">
        <f t="shared" si="34"/>
        <v>0000000000</v>
      </c>
      <c r="AE150" s="151">
        <f t="shared" si="27"/>
        <v>0</v>
      </c>
      <c r="AF150" s="98" t="str">
        <f t="shared" si="28"/>
        <v>00</v>
      </c>
      <c r="AG150" s="98" t="str">
        <f t="shared" si="35"/>
        <v>000000000000</v>
      </c>
      <c r="AH150" s="161" t="str">
        <f t="shared" si="29"/>
        <v xml:space="preserve">                    </v>
      </c>
      <c r="AI150" s="154">
        <f t="shared" si="30"/>
        <v>0</v>
      </c>
      <c r="AJ150" s="155">
        <f t="shared" si="31"/>
        <v>0</v>
      </c>
      <c r="AP150" s="63" t="str">
        <f t="shared" si="32"/>
        <v/>
      </c>
      <c r="AQ150" s="63" t="str">
        <f t="shared" si="26"/>
        <v xml:space="preserve">                    </v>
      </c>
      <c r="AR150" s="63"/>
      <c r="AS150" s="63"/>
      <c r="AT150" s="63"/>
      <c r="AU150" s="63"/>
      <c r="AV150" s="63"/>
      <c r="AW150" s="63"/>
      <c r="AX150" s="63"/>
      <c r="AY150" s="63"/>
      <c r="AZ150" s="63"/>
      <c r="BA150" s="63"/>
      <c r="BB150" s="63"/>
      <c r="BC150" s="63"/>
      <c r="BD150" s="63"/>
      <c r="BE150" s="63"/>
      <c r="BF150" s="63"/>
      <c r="BG150" s="63"/>
      <c r="BH150" s="63"/>
      <c r="BI150" s="63"/>
      <c r="BJ150" s="63"/>
      <c r="BK150" s="63"/>
      <c r="BL150" s="63"/>
      <c r="BM150" s="63"/>
      <c r="BN150" s="63"/>
      <c r="BO150" s="63"/>
      <c r="BP150" s="63"/>
      <c r="BQ150" s="63"/>
      <c r="BR150" s="63"/>
      <c r="BS150" s="63"/>
      <c r="BT150" s="63"/>
      <c r="BU150" s="63"/>
      <c r="BV150" s="63"/>
      <c r="BW150" s="63"/>
    </row>
    <row r="151" spans="1:75" x14ac:dyDescent="0.2">
      <c r="A151" s="63" t="str">
        <f t="shared" si="33"/>
        <v/>
      </c>
      <c r="B151" s="182"/>
      <c r="C151" s="75"/>
      <c r="D151" s="75"/>
      <c r="E151" s="74"/>
      <c r="F151" s="181"/>
      <c r="G151" s="69"/>
      <c r="AB151" s="150">
        <f t="shared" si="24"/>
        <v>0</v>
      </c>
      <c r="AC151" s="150">
        <f t="shared" si="25"/>
        <v>0</v>
      </c>
      <c r="AD151" s="98" t="str">
        <f t="shared" si="34"/>
        <v>0000000000</v>
      </c>
      <c r="AE151" s="151">
        <f t="shared" si="27"/>
        <v>0</v>
      </c>
      <c r="AF151" s="98" t="str">
        <f t="shared" si="28"/>
        <v>00</v>
      </c>
      <c r="AG151" s="98" t="str">
        <f t="shared" si="35"/>
        <v>000000000000</v>
      </c>
      <c r="AH151" s="161" t="str">
        <f t="shared" si="29"/>
        <v xml:space="preserve">                    </v>
      </c>
      <c r="AI151" s="154">
        <f t="shared" si="30"/>
        <v>0</v>
      </c>
      <c r="AJ151" s="155">
        <f t="shared" si="31"/>
        <v>0</v>
      </c>
      <c r="AP151" s="63" t="str">
        <f t="shared" si="32"/>
        <v/>
      </c>
      <c r="AQ151" s="63" t="str">
        <f t="shared" si="26"/>
        <v xml:space="preserve">                    </v>
      </c>
      <c r="AR151" s="63"/>
      <c r="AS151" s="63"/>
      <c r="AT151" s="63"/>
      <c r="AU151" s="63"/>
      <c r="AV151" s="63"/>
      <c r="AW151" s="63"/>
      <c r="AX151" s="63"/>
      <c r="AY151" s="63"/>
      <c r="AZ151" s="63"/>
      <c r="BA151" s="63"/>
      <c r="BB151" s="63"/>
      <c r="BC151" s="63"/>
      <c r="BD151" s="63"/>
      <c r="BE151" s="63"/>
      <c r="BF151" s="63"/>
      <c r="BG151" s="63"/>
      <c r="BH151" s="63"/>
      <c r="BI151" s="63"/>
      <c r="BJ151" s="63"/>
      <c r="BK151" s="63"/>
      <c r="BL151" s="63"/>
      <c r="BM151" s="63"/>
      <c r="BN151" s="63"/>
      <c r="BO151" s="63"/>
      <c r="BP151" s="63"/>
      <c r="BQ151" s="63"/>
      <c r="BR151" s="63"/>
      <c r="BS151" s="63"/>
      <c r="BT151" s="63"/>
      <c r="BU151" s="63"/>
      <c r="BV151" s="63"/>
      <c r="BW151" s="63"/>
    </row>
    <row r="152" spans="1:75" x14ac:dyDescent="0.2">
      <c r="A152" s="63" t="str">
        <f t="shared" si="33"/>
        <v/>
      </c>
      <c r="B152" s="182"/>
      <c r="C152" s="75"/>
      <c r="D152" s="75"/>
      <c r="E152" s="74"/>
      <c r="F152" s="181"/>
      <c r="G152" s="69"/>
      <c r="AB152" s="150">
        <f t="shared" si="24"/>
        <v>0</v>
      </c>
      <c r="AC152" s="150">
        <f t="shared" si="25"/>
        <v>0</v>
      </c>
      <c r="AD152" s="98" t="str">
        <f t="shared" si="34"/>
        <v>0000000000</v>
      </c>
      <c r="AE152" s="151">
        <f t="shared" si="27"/>
        <v>0</v>
      </c>
      <c r="AF152" s="98" t="str">
        <f t="shared" si="28"/>
        <v>00</v>
      </c>
      <c r="AG152" s="98" t="str">
        <f t="shared" si="35"/>
        <v>000000000000</v>
      </c>
      <c r="AH152" s="161" t="str">
        <f t="shared" si="29"/>
        <v xml:space="preserve">                    </v>
      </c>
      <c r="AI152" s="154">
        <f t="shared" si="30"/>
        <v>0</v>
      </c>
      <c r="AJ152" s="155">
        <f t="shared" si="31"/>
        <v>0</v>
      </c>
      <c r="AP152" s="63" t="str">
        <f t="shared" si="32"/>
        <v/>
      </c>
      <c r="AQ152" s="63" t="str">
        <f t="shared" si="26"/>
        <v xml:space="preserve">                    </v>
      </c>
      <c r="AR152" s="63"/>
      <c r="AS152" s="63"/>
      <c r="AT152" s="63"/>
      <c r="AU152" s="63"/>
      <c r="AV152" s="63"/>
      <c r="AW152" s="63"/>
      <c r="AX152" s="63"/>
      <c r="AY152" s="63"/>
      <c r="AZ152" s="63"/>
      <c r="BA152" s="63"/>
      <c r="BB152" s="63"/>
      <c r="BC152" s="63"/>
      <c r="BD152" s="63"/>
      <c r="BE152" s="63"/>
      <c r="BF152" s="63"/>
      <c r="BG152" s="63"/>
      <c r="BH152" s="63"/>
      <c r="BI152" s="63"/>
      <c r="BJ152" s="63"/>
      <c r="BK152" s="63"/>
      <c r="BL152" s="63"/>
      <c r="BM152" s="63"/>
      <c r="BN152" s="63"/>
      <c r="BO152" s="63"/>
      <c r="BP152" s="63"/>
      <c r="BQ152" s="63"/>
      <c r="BR152" s="63"/>
      <c r="BS152" s="63"/>
      <c r="BT152" s="63"/>
      <c r="BU152" s="63"/>
      <c r="BV152" s="63"/>
      <c r="BW152" s="63"/>
    </row>
    <row r="153" spans="1:75" x14ac:dyDescent="0.2">
      <c r="A153" s="63" t="str">
        <f t="shared" si="33"/>
        <v/>
      </c>
      <c r="B153" s="182"/>
      <c r="C153" s="75"/>
      <c r="D153" s="75"/>
      <c r="E153" s="74"/>
      <c r="F153" s="181"/>
      <c r="G153" s="69"/>
      <c r="AB153" s="150">
        <f t="shared" si="24"/>
        <v>0</v>
      </c>
      <c r="AC153" s="150">
        <f t="shared" si="25"/>
        <v>0</v>
      </c>
      <c r="AD153" s="98" t="str">
        <f t="shared" si="34"/>
        <v>0000000000</v>
      </c>
      <c r="AE153" s="151">
        <f t="shared" si="27"/>
        <v>0</v>
      </c>
      <c r="AF153" s="98" t="str">
        <f t="shared" si="28"/>
        <v>00</v>
      </c>
      <c r="AG153" s="98" t="str">
        <f t="shared" si="35"/>
        <v>000000000000</v>
      </c>
      <c r="AH153" s="161" t="str">
        <f t="shared" si="29"/>
        <v xml:space="preserve">                    </v>
      </c>
      <c r="AI153" s="154">
        <f t="shared" si="30"/>
        <v>0</v>
      </c>
      <c r="AJ153" s="155">
        <f t="shared" si="31"/>
        <v>0</v>
      </c>
      <c r="AP153" s="63" t="str">
        <f t="shared" si="32"/>
        <v/>
      </c>
      <c r="AQ153" s="63" t="str">
        <f t="shared" si="26"/>
        <v xml:space="preserve">                    </v>
      </c>
      <c r="AR153" s="63"/>
      <c r="AS153" s="63"/>
      <c r="AT153" s="63"/>
      <c r="AU153" s="63"/>
      <c r="AV153" s="63"/>
      <c r="AW153" s="63"/>
      <c r="AX153" s="63"/>
      <c r="AY153" s="63"/>
      <c r="AZ153" s="63"/>
      <c r="BA153" s="63"/>
      <c r="BB153" s="63"/>
      <c r="BC153" s="63"/>
      <c r="BD153" s="63"/>
      <c r="BE153" s="63"/>
      <c r="BF153" s="63"/>
      <c r="BG153" s="63"/>
      <c r="BH153" s="63"/>
      <c r="BI153" s="63"/>
      <c r="BJ153" s="63"/>
      <c r="BK153" s="63"/>
      <c r="BL153" s="63"/>
      <c r="BM153" s="63"/>
      <c r="BN153" s="63"/>
      <c r="BO153" s="63"/>
      <c r="BP153" s="63"/>
      <c r="BQ153" s="63"/>
      <c r="BR153" s="63"/>
      <c r="BS153" s="63"/>
      <c r="BT153" s="63"/>
      <c r="BU153" s="63"/>
      <c r="BV153" s="63"/>
      <c r="BW153" s="63"/>
    </row>
    <row r="154" spans="1:75" x14ac:dyDescent="0.2">
      <c r="A154" s="63" t="str">
        <f t="shared" si="33"/>
        <v/>
      </c>
      <c r="B154" s="182"/>
      <c r="C154" s="75"/>
      <c r="D154" s="75"/>
      <c r="E154" s="74"/>
      <c r="F154" s="181"/>
      <c r="G154" s="69"/>
      <c r="AB154" s="150">
        <f t="shared" si="24"/>
        <v>0</v>
      </c>
      <c r="AC154" s="150">
        <f t="shared" si="25"/>
        <v>0</v>
      </c>
      <c r="AD154" s="98" t="str">
        <f t="shared" si="34"/>
        <v>0000000000</v>
      </c>
      <c r="AE154" s="151">
        <f t="shared" si="27"/>
        <v>0</v>
      </c>
      <c r="AF154" s="98" t="str">
        <f t="shared" si="28"/>
        <v>00</v>
      </c>
      <c r="AG154" s="98" t="str">
        <f t="shared" si="35"/>
        <v>000000000000</v>
      </c>
      <c r="AH154" s="161" t="str">
        <f t="shared" si="29"/>
        <v xml:space="preserve">                    </v>
      </c>
      <c r="AI154" s="154">
        <f t="shared" si="30"/>
        <v>0</v>
      </c>
      <c r="AJ154" s="155">
        <f t="shared" si="31"/>
        <v>0</v>
      </c>
      <c r="AP154" s="63" t="str">
        <f t="shared" si="32"/>
        <v/>
      </c>
      <c r="AQ154" s="63" t="str">
        <f t="shared" si="26"/>
        <v xml:space="preserve">                    </v>
      </c>
      <c r="AR154" s="63"/>
      <c r="AS154" s="63"/>
      <c r="AT154" s="63"/>
      <c r="AU154" s="63"/>
      <c r="AV154" s="63"/>
      <c r="AW154" s="63"/>
      <c r="AX154" s="63"/>
      <c r="AY154" s="63"/>
      <c r="AZ154" s="63"/>
      <c r="BA154" s="63"/>
      <c r="BB154" s="63"/>
      <c r="BC154" s="63"/>
      <c r="BD154" s="63"/>
      <c r="BE154" s="63"/>
      <c r="BF154" s="63"/>
      <c r="BG154" s="63"/>
      <c r="BH154" s="63"/>
      <c r="BI154" s="63"/>
      <c r="BJ154" s="63"/>
      <c r="BK154" s="63"/>
      <c r="BL154" s="63"/>
      <c r="BM154" s="63"/>
      <c r="BN154" s="63"/>
      <c r="BO154" s="63"/>
      <c r="BP154" s="63"/>
      <c r="BQ154" s="63"/>
      <c r="BR154" s="63"/>
      <c r="BS154" s="63"/>
      <c r="BT154" s="63"/>
      <c r="BU154" s="63"/>
      <c r="BV154" s="63"/>
      <c r="BW154" s="63"/>
    </row>
    <row r="155" spans="1:75" x14ac:dyDescent="0.2">
      <c r="A155" s="63" t="str">
        <f t="shared" si="33"/>
        <v/>
      </c>
      <c r="B155" s="182"/>
      <c r="C155" s="75"/>
      <c r="D155" s="75"/>
      <c r="E155" s="74"/>
      <c r="F155" s="181"/>
      <c r="G155" s="69"/>
      <c r="AB155" s="150">
        <f t="shared" si="24"/>
        <v>0</v>
      </c>
      <c r="AC155" s="150">
        <f t="shared" si="25"/>
        <v>0</v>
      </c>
      <c r="AD155" s="98" t="str">
        <f t="shared" si="34"/>
        <v>0000000000</v>
      </c>
      <c r="AE155" s="151">
        <f t="shared" si="27"/>
        <v>0</v>
      </c>
      <c r="AF155" s="98" t="str">
        <f t="shared" si="28"/>
        <v>00</v>
      </c>
      <c r="AG155" s="98" t="str">
        <f t="shared" si="35"/>
        <v>000000000000</v>
      </c>
      <c r="AH155" s="161" t="str">
        <f t="shared" si="29"/>
        <v xml:space="preserve">                    </v>
      </c>
      <c r="AI155" s="154">
        <f t="shared" si="30"/>
        <v>0</v>
      </c>
      <c r="AJ155" s="155">
        <f t="shared" si="31"/>
        <v>0</v>
      </c>
      <c r="AP155" s="63" t="str">
        <f t="shared" si="32"/>
        <v/>
      </c>
      <c r="AQ155" s="63" t="str">
        <f t="shared" si="26"/>
        <v xml:space="preserve">                    </v>
      </c>
      <c r="AR155" s="63"/>
      <c r="AS155" s="63"/>
      <c r="AT155" s="63"/>
      <c r="AU155" s="63"/>
      <c r="AV155" s="63"/>
      <c r="AW155" s="63"/>
      <c r="AX155" s="63"/>
      <c r="AY155" s="63"/>
      <c r="AZ155" s="63"/>
      <c r="BA155" s="63"/>
      <c r="BB155" s="63"/>
      <c r="BC155" s="63"/>
      <c r="BD155" s="63"/>
      <c r="BE155" s="63"/>
      <c r="BF155" s="63"/>
      <c r="BG155" s="63"/>
      <c r="BH155" s="63"/>
      <c r="BI155" s="63"/>
      <c r="BJ155" s="63"/>
      <c r="BK155" s="63"/>
      <c r="BL155" s="63"/>
      <c r="BM155" s="63"/>
      <c r="BN155" s="63"/>
      <c r="BO155" s="63"/>
      <c r="BP155" s="63"/>
      <c r="BQ155" s="63"/>
      <c r="BR155" s="63"/>
      <c r="BS155" s="63"/>
      <c r="BT155" s="63"/>
      <c r="BU155" s="63"/>
      <c r="BV155" s="63"/>
      <c r="BW155" s="63"/>
    </row>
    <row r="156" spans="1:75" x14ac:dyDescent="0.2">
      <c r="A156" s="63" t="str">
        <f t="shared" si="33"/>
        <v/>
      </c>
      <c r="B156" s="182"/>
      <c r="C156" s="75"/>
      <c r="D156" s="75"/>
      <c r="E156" s="74"/>
      <c r="F156" s="181"/>
      <c r="G156" s="69"/>
      <c r="AB156" s="150">
        <f t="shared" si="24"/>
        <v>0</v>
      </c>
      <c r="AC156" s="150">
        <f t="shared" si="25"/>
        <v>0</v>
      </c>
      <c r="AD156" s="98" t="str">
        <f t="shared" si="34"/>
        <v>0000000000</v>
      </c>
      <c r="AE156" s="151">
        <f t="shared" si="27"/>
        <v>0</v>
      </c>
      <c r="AF156" s="98" t="str">
        <f t="shared" si="28"/>
        <v>00</v>
      </c>
      <c r="AG156" s="98" t="str">
        <f t="shared" si="35"/>
        <v>000000000000</v>
      </c>
      <c r="AH156" s="161" t="str">
        <f t="shared" si="29"/>
        <v xml:space="preserve">                    </v>
      </c>
      <c r="AI156" s="154">
        <f t="shared" si="30"/>
        <v>0</v>
      </c>
      <c r="AJ156" s="155">
        <f t="shared" si="31"/>
        <v>0</v>
      </c>
      <c r="AP156" s="63" t="str">
        <f t="shared" si="32"/>
        <v/>
      </c>
      <c r="AQ156" s="63" t="str">
        <f t="shared" si="26"/>
        <v xml:space="preserve">                    </v>
      </c>
      <c r="AR156" s="63"/>
      <c r="AS156" s="63"/>
      <c r="AT156" s="63"/>
      <c r="AU156" s="63"/>
      <c r="AV156" s="63"/>
      <c r="AW156" s="63"/>
      <c r="AX156" s="63"/>
      <c r="AY156" s="63"/>
      <c r="AZ156" s="63"/>
      <c r="BA156" s="63"/>
      <c r="BB156" s="63"/>
      <c r="BC156" s="63"/>
      <c r="BD156" s="63"/>
      <c r="BE156" s="63"/>
      <c r="BF156" s="63"/>
      <c r="BG156" s="63"/>
      <c r="BH156" s="63"/>
      <c r="BI156" s="63"/>
      <c r="BJ156" s="63"/>
      <c r="BK156" s="63"/>
      <c r="BL156" s="63"/>
      <c r="BM156" s="63"/>
      <c r="BN156" s="63"/>
      <c r="BO156" s="63"/>
      <c r="BP156" s="63"/>
      <c r="BQ156" s="63"/>
      <c r="BR156" s="63"/>
      <c r="BS156" s="63"/>
      <c r="BT156" s="63"/>
      <c r="BU156" s="63"/>
      <c r="BV156" s="63"/>
      <c r="BW156" s="63"/>
    </row>
    <row r="157" spans="1:75" x14ac:dyDescent="0.2">
      <c r="A157" s="63" t="str">
        <f t="shared" si="33"/>
        <v/>
      </c>
      <c r="B157" s="182"/>
      <c r="C157" s="75"/>
      <c r="D157" s="75"/>
      <c r="E157" s="74"/>
      <c r="F157" s="181"/>
      <c r="G157" s="69"/>
      <c r="AB157" s="150">
        <f t="shared" si="24"/>
        <v>0</v>
      </c>
      <c r="AC157" s="150">
        <f t="shared" si="25"/>
        <v>0</v>
      </c>
      <c r="AD157" s="98" t="str">
        <f t="shared" si="34"/>
        <v>0000000000</v>
      </c>
      <c r="AE157" s="151">
        <f t="shared" si="27"/>
        <v>0</v>
      </c>
      <c r="AF157" s="98" t="str">
        <f t="shared" si="28"/>
        <v>00</v>
      </c>
      <c r="AG157" s="98" t="str">
        <f t="shared" si="35"/>
        <v>000000000000</v>
      </c>
      <c r="AH157" s="161" t="str">
        <f t="shared" si="29"/>
        <v xml:space="preserve">                    </v>
      </c>
      <c r="AI157" s="154">
        <f t="shared" si="30"/>
        <v>0</v>
      </c>
      <c r="AJ157" s="155">
        <f t="shared" si="31"/>
        <v>0</v>
      </c>
      <c r="AP157" s="63" t="str">
        <f t="shared" si="32"/>
        <v/>
      </c>
      <c r="AQ157" s="63" t="str">
        <f t="shared" si="26"/>
        <v xml:space="preserve">                    </v>
      </c>
      <c r="AR157" s="63"/>
      <c r="AS157" s="63"/>
      <c r="AT157" s="63"/>
      <c r="AU157" s="63"/>
      <c r="AV157" s="63"/>
      <c r="AW157" s="63"/>
      <c r="AX157" s="63"/>
      <c r="AY157" s="63"/>
      <c r="AZ157" s="63"/>
      <c r="BA157" s="63"/>
      <c r="BB157" s="63"/>
      <c r="BC157" s="63"/>
      <c r="BD157" s="63"/>
      <c r="BE157" s="63"/>
      <c r="BF157" s="63"/>
      <c r="BG157" s="63"/>
      <c r="BH157" s="63"/>
      <c r="BI157" s="63"/>
      <c r="BJ157" s="63"/>
      <c r="BK157" s="63"/>
      <c r="BL157" s="63"/>
      <c r="BM157" s="63"/>
      <c r="BN157" s="63"/>
      <c r="BO157" s="63"/>
      <c r="BP157" s="63"/>
      <c r="BQ157" s="63"/>
      <c r="BR157" s="63"/>
      <c r="BS157" s="63"/>
      <c r="BT157" s="63"/>
      <c r="BU157" s="63"/>
      <c r="BV157" s="63"/>
      <c r="BW157" s="63"/>
    </row>
    <row r="158" spans="1:75" x14ac:dyDescent="0.2">
      <c r="A158" s="63" t="str">
        <f t="shared" si="33"/>
        <v/>
      </c>
      <c r="B158" s="182"/>
      <c r="C158" s="75"/>
      <c r="D158" s="75"/>
      <c r="E158" s="74"/>
      <c r="F158" s="181"/>
      <c r="G158" s="69"/>
      <c r="AB158" s="150">
        <f t="shared" si="24"/>
        <v>0</v>
      </c>
      <c r="AC158" s="150">
        <f t="shared" si="25"/>
        <v>0</v>
      </c>
      <c r="AD158" s="98" t="str">
        <f t="shared" si="34"/>
        <v>0000000000</v>
      </c>
      <c r="AE158" s="151">
        <f t="shared" si="27"/>
        <v>0</v>
      </c>
      <c r="AF158" s="98" t="str">
        <f t="shared" si="28"/>
        <v>00</v>
      </c>
      <c r="AG158" s="98" t="str">
        <f t="shared" si="35"/>
        <v>000000000000</v>
      </c>
      <c r="AH158" s="161" t="str">
        <f t="shared" si="29"/>
        <v xml:space="preserve">                    </v>
      </c>
      <c r="AI158" s="154">
        <f t="shared" si="30"/>
        <v>0</v>
      </c>
      <c r="AJ158" s="155">
        <f t="shared" si="31"/>
        <v>0</v>
      </c>
      <c r="AP158" s="63" t="str">
        <f t="shared" si="32"/>
        <v/>
      </c>
      <c r="AQ158" s="63" t="str">
        <f t="shared" si="26"/>
        <v xml:space="preserve">                    </v>
      </c>
      <c r="AR158" s="63"/>
      <c r="AS158" s="63"/>
      <c r="AT158" s="63"/>
      <c r="AU158" s="63"/>
      <c r="AV158" s="63"/>
      <c r="AW158" s="63"/>
      <c r="AX158" s="63"/>
      <c r="AY158" s="63"/>
      <c r="AZ158" s="63"/>
      <c r="BA158" s="63"/>
      <c r="BB158" s="63"/>
      <c r="BC158" s="63"/>
      <c r="BD158" s="63"/>
      <c r="BE158" s="63"/>
      <c r="BF158" s="63"/>
      <c r="BG158" s="63"/>
      <c r="BH158" s="63"/>
      <c r="BI158" s="63"/>
      <c r="BJ158" s="63"/>
      <c r="BK158" s="63"/>
      <c r="BL158" s="63"/>
      <c r="BM158" s="63"/>
      <c r="BN158" s="63"/>
      <c r="BO158" s="63"/>
      <c r="BP158" s="63"/>
      <c r="BQ158" s="63"/>
      <c r="BR158" s="63"/>
      <c r="BS158" s="63"/>
      <c r="BT158" s="63"/>
      <c r="BU158" s="63"/>
      <c r="BV158" s="63"/>
      <c r="BW158" s="63"/>
    </row>
    <row r="159" spans="1:75" x14ac:dyDescent="0.2">
      <c r="A159" s="63" t="str">
        <f t="shared" si="33"/>
        <v/>
      </c>
      <c r="B159" s="182"/>
      <c r="C159" s="75"/>
      <c r="D159" s="75"/>
      <c r="E159" s="74"/>
      <c r="F159" s="181"/>
      <c r="G159" s="69"/>
      <c r="AB159" s="150">
        <f t="shared" si="24"/>
        <v>0</v>
      </c>
      <c r="AC159" s="150">
        <f t="shared" si="25"/>
        <v>0</v>
      </c>
      <c r="AD159" s="98" t="str">
        <f t="shared" si="34"/>
        <v>0000000000</v>
      </c>
      <c r="AE159" s="151">
        <f t="shared" si="27"/>
        <v>0</v>
      </c>
      <c r="AF159" s="98" t="str">
        <f t="shared" si="28"/>
        <v>00</v>
      </c>
      <c r="AG159" s="98" t="str">
        <f t="shared" si="35"/>
        <v>000000000000</v>
      </c>
      <c r="AH159" s="161" t="str">
        <f t="shared" si="29"/>
        <v xml:space="preserve">                    </v>
      </c>
      <c r="AI159" s="154">
        <f t="shared" si="30"/>
        <v>0</v>
      </c>
      <c r="AJ159" s="155">
        <f t="shared" si="31"/>
        <v>0</v>
      </c>
      <c r="AP159" s="63" t="str">
        <f t="shared" si="32"/>
        <v/>
      </c>
      <c r="AQ159" s="63" t="str">
        <f t="shared" si="26"/>
        <v xml:space="preserve">                    </v>
      </c>
      <c r="AR159" s="63"/>
      <c r="AS159" s="63"/>
      <c r="AT159" s="63"/>
      <c r="AU159" s="63"/>
      <c r="AV159" s="63"/>
      <c r="AW159" s="63"/>
      <c r="AX159" s="63"/>
      <c r="AY159" s="63"/>
      <c r="AZ159" s="63"/>
      <c r="BA159" s="63"/>
      <c r="BB159" s="63"/>
      <c r="BC159" s="63"/>
      <c r="BD159" s="63"/>
      <c r="BE159" s="63"/>
      <c r="BF159" s="63"/>
      <c r="BG159" s="63"/>
      <c r="BH159" s="63"/>
      <c r="BI159" s="63"/>
      <c r="BJ159" s="63"/>
      <c r="BK159" s="63"/>
      <c r="BL159" s="63"/>
      <c r="BM159" s="63"/>
      <c r="BN159" s="63"/>
      <c r="BO159" s="63"/>
      <c r="BP159" s="63"/>
      <c r="BQ159" s="63"/>
      <c r="BR159" s="63"/>
      <c r="BS159" s="63"/>
      <c r="BT159" s="63"/>
      <c r="BU159" s="63"/>
      <c r="BV159" s="63"/>
      <c r="BW159" s="63"/>
    </row>
    <row r="160" spans="1:75" x14ac:dyDescent="0.2">
      <c r="A160" s="63" t="str">
        <f t="shared" si="33"/>
        <v/>
      </c>
      <c r="B160" s="182"/>
      <c r="C160" s="75"/>
      <c r="D160" s="75"/>
      <c r="E160" s="74"/>
      <c r="F160" s="181"/>
      <c r="G160" s="69"/>
      <c r="AB160" s="150">
        <f t="shared" si="24"/>
        <v>0</v>
      </c>
      <c r="AC160" s="150">
        <f t="shared" si="25"/>
        <v>0</v>
      </c>
      <c r="AD160" s="98" t="str">
        <f t="shared" si="34"/>
        <v>0000000000</v>
      </c>
      <c r="AE160" s="151">
        <f t="shared" si="27"/>
        <v>0</v>
      </c>
      <c r="AF160" s="98" t="str">
        <f t="shared" si="28"/>
        <v>00</v>
      </c>
      <c r="AG160" s="98" t="str">
        <f t="shared" si="35"/>
        <v>000000000000</v>
      </c>
      <c r="AH160" s="161" t="str">
        <f t="shared" si="29"/>
        <v xml:space="preserve">                    </v>
      </c>
      <c r="AI160" s="154">
        <f t="shared" si="30"/>
        <v>0</v>
      </c>
      <c r="AJ160" s="155">
        <f t="shared" si="31"/>
        <v>0</v>
      </c>
      <c r="AP160" s="63" t="str">
        <f t="shared" si="32"/>
        <v/>
      </c>
      <c r="AQ160" s="63" t="str">
        <f t="shared" si="26"/>
        <v xml:space="preserve">                    </v>
      </c>
      <c r="AR160" s="63"/>
      <c r="AS160" s="63"/>
      <c r="AT160" s="63"/>
      <c r="AU160" s="63"/>
      <c r="AV160" s="63"/>
      <c r="AW160" s="63"/>
      <c r="AX160" s="63"/>
      <c r="AY160" s="63"/>
      <c r="AZ160" s="63"/>
      <c r="BA160" s="63"/>
      <c r="BB160" s="63"/>
      <c r="BC160" s="63"/>
      <c r="BD160" s="63"/>
      <c r="BE160" s="63"/>
      <c r="BF160" s="63"/>
      <c r="BG160" s="63"/>
      <c r="BH160" s="63"/>
      <c r="BI160" s="63"/>
      <c r="BJ160" s="63"/>
      <c r="BK160" s="63"/>
      <c r="BL160" s="63"/>
      <c r="BM160" s="63"/>
      <c r="BN160" s="63"/>
      <c r="BO160" s="63"/>
      <c r="BP160" s="63"/>
      <c r="BQ160" s="63"/>
      <c r="BR160" s="63"/>
      <c r="BS160" s="63"/>
      <c r="BT160" s="63"/>
      <c r="BU160" s="63"/>
      <c r="BV160" s="63"/>
      <c r="BW160" s="63"/>
    </row>
    <row r="161" spans="1:75" x14ac:dyDescent="0.2">
      <c r="A161" s="63" t="str">
        <f t="shared" si="33"/>
        <v/>
      </c>
      <c r="B161" s="182"/>
      <c r="C161" s="75"/>
      <c r="D161" s="75"/>
      <c r="E161" s="74"/>
      <c r="F161" s="181"/>
      <c r="G161" s="69"/>
      <c r="AB161" s="150">
        <f t="shared" si="24"/>
        <v>0</v>
      </c>
      <c r="AC161" s="150">
        <f t="shared" si="25"/>
        <v>0</v>
      </c>
      <c r="AD161" s="98" t="str">
        <f t="shared" si="34"/>
        <v>0000000000</v>
      </c>
      <c r="AE161" s="151">
        <f t="shared" si="27"/>
        <v>0</v>
      </c>
      <c r="AF161" s="98" t="str">
        <f t="shared" si="28"/>
        <v>00</v>
      </c>
      <c r="AG161" s="98" t="str">
        <f t="shared" si="35"/>
        <v>000000000000</v>
      </c>
      <c r="AH161" s="161" t="str">
        <f t="shared" si="29"/>
        <v xml:space="preserve">                    </v>
      </c>
      <c r="AI161" s="154">
        <f t="shared" si="30"/>
        <v>0</v>
      </c>
      <c r="AJ161" s="155">
        <f t="shared" si="31"/>
        <v>0</v>
      </c>
      <c r="AP161" s="63" t="str">
        <f t="shared" si="32"/>
        <v/>
      </c>
      <c r="AQ161" s="63" t="str">
        <f t="shared" si="26"/>
        <v xml:space="preserve">                    </v>
      </c>
      <c r="AR161" s="63"/>
      <c r="AS161" s="63"/>
      <c r="AT161" s="63"/>
      <c r="AU161" s="63"/>
      <c r="AV161" s="63"/>
      <c r="AW161" s="63"/>
      <c r="AX161" s="63"/>
      <c r="AY161" s="63"/>
      <c r="AZ161" s="63"/>
      <c r="BA161" s="63"/>
      <c r="BB161" s="63"/>
      <c r="BC161" s="63"/>
      <c r="BD161" s="63"/>
      <c r="BE161" s="63"/>
      <c r="BF161" s="63"/>
      <c r="BG161" s="63"/>
      <c r="BH161" s="63"/>
      <c r="BI161" s="63"/>
      <c r="BJ161" s="63"/>
      <c r="BK161" s="63"/>
      <c r="BL161" s="63"/>
      <c r="BM161" s="63"/>
      <c r="BN161" s="63"/>
      <c r="BO161" s="63"/>
      <c r="BP161" s="63"/>
      <c r="BQ161" s="63"/>
      <c r="BR161" s="63"/>
      <c r="BS161" s="63"/>
      <c r="BT161" s="63"/>
      <c r="BU161" s="63"/>
      <c r="BV161" s="63"/>
      <c r="BW161" s="63"/>
    </row>
    <row r="162" spans="1:75" x14ac:dyDescent="0.2">
      <c r="A162" s="63" t="str">
        <f t="shared" si="33"/>
        <v/>
      </c>
      <c r="B162" s="182"/>
      <c r="C162" s="75"/>
      <c r="D162" s="75"/>
      <c r="E162" s="74"/>
      <c r="F162" s="181"/>
      <c r="G162" s="69"/>
      <c r="AB162" s="150">
        <f t="shared" si="24"/>
        <v>0</v>
      </c>
      <c r="AC162" s="150">
        <f t="shared" si="25"/>
        <v>0</v>
      </c>
      <c r="AD162" s="98" t="str">
        <f t="shared" si="34"/>
        <v>0000000000</v>
      </c>
      <c r="AE162" s="151">
        <f t="shared" si="27"/>
        <v>0</v>
      </c>
      <c r="AF162" s="98" t="str">
        <f t="shared" si="28"/>
        <v>00</v>
      </c>
      <c r="AG162" s="98" t="str">
        <f t="shared" si="35"/>
        <v>000000000000</v>
      </c>
      <c r="AH162" s="161" t="str">
        <f t="shared" si="29"/>
        <v xml:space="preserve">                    </v>
      </c>
      <c r="AI162" s="154">
        <f t="shared" si="30"/>
        <v>0</v>
      </c>
      <c r="AJ162" s="155">
        <f t="shared" si="31"/>
        <v>0</v>
      </c>
      <c r="AP162" s="63" t="str">
        <f t="shared" si="32"/>
        <v/>
      </c>
      <c r="AQ162" s="63" t="str">
        <f t="shared" si="26"/>
        <v xml:space="preserve">                    </v>
      </c>
      <c r="AR162" s="63"/>
      <c r="AS162" s="63"/>
      <c r="AT162" s="63"/>
      <c r="AU162" s="63"/>
      <c r="AV162" s="63"/>
      <c r="AW162" s="63"/>
      <c r="AX162" s="63"/>
      <c r="AY162" s="63"/>
      <c r="AZ162" s="63"/>
      <c r="BA162" s="63"/>
      <c r="BB162" s="63"/>
      <c r="BC162" s="63"/>
      <c r="BD162" s="63"/>
      <c r="BE162" s="63"/>
      <c r="BF162" s="63"/>
      <c r="BG162" s="63"/>
      <c r="BH162" s="63"/>
      <c r="BI162" s="63"/>
      <c r="BJ162" s="63"/>
      <c r="BK162" s="63"/>
      <c r="BL162" s="63"/>
      <c r="BM162" s="63"/>
      <c r="BN162" s="63"/>
      <c r="BO162" s="63"/>
      <c r="BP162" s="63"/>
      <c r="BQ162" s="63"/>
      <c r="BR162" s="63"/>
      <c r="BS162" s="63"/>
      <c r="BT162" s="63"/>
      <c r="BU162" s="63"/>
      <c r="BV162" s="63"/>
      <c r="BW162" s="63"/>
    </row>
    <row r="163" spans="1:75" x14ac:dyDescent="0.2">
      <c r="A163" s="63" t="str">
        <f t="shared" si="33"/>
        <v/>
      </c>
      <c r="B163" s="182"/>
      <c r="C163" s="75"/>
      <c r="D163" s="75"/>
      <c r="E163" s="74"/>
      <c r="F163" s="181"/>
      <c r="G163" s="69"/>
      <c r="AB163" s="150">
        <f t="shared" si="24"/>
        <v>0</v>
      </c>
      <c r="AC163" s="150">
        <f t="shared" si="25"/>
        <v>0</v>
      </c>
      <c r="AD163" s="98" t="str">
        <f t="shared" si="34"/>
        <v>0000000000</v>
      </c>
      <c r="AE163" s="151">
        <f t="shared" si="27"/>
        <v>0</v>
      </c>
      <c r="AF163" s="98" t="str">
        <f t="shared" si="28"/>
        <v>00</v>
      </c>
      <c r="AG163" s="98" t="str">
        <f t="shared" si="35"/>
        <v>000000000000</v>
      </c>
      <c r="AH163" s="161" t="str">
        <f t="shared" si="29"/>
        <v xml:space="preserve">                    </v>
      </c>
      <c r="AI163" s="154">
        <f t="shared" si="30"/>
        <v>0</v>
      </c>
      <c r="AJ163" s="155">
        <f t="shared" si="31"/>
        <v>0</v>
      </c>
      <c r="AP163" s="63" t="str">
        <f t="shared" si="32"/>
        <v/>
      </c>
      <c r="AQ163" s="63" t="str">
        <f t="shared" si="26"/>
        <v xml:space="preserve">                    </v>
      </c>
      <c r="AR163" s="63"/>
      <c r="AS163" s="63"/>
      <c r="AT163" s="63"/>
      <c r="AU163" s="63"/>
      <c r="AV163" s="63"/>
      <c r="AW163" s="63"/>
      <c r="AX163" s="63"/>
      <c r="AY163" s="63"/>
      <c r="AZ163" s="63"/>
      <c r="BA163" s="63"/>
      <c r="BB163" s="63"/>
      <c r="BC163" s="63"/>
      <c r="BD163" s="63"/>
      <c r="BE163" s="63"/>
      <c r="BF163" s="63"/>
      <c r="BG163" s="63"/>
      <c r="BH163" s="63"/>
      <c r="BI163" s="63"/>
      <c r="BJ163" s="63"/>
      <c r="BK163" s="63"/>
      <c r="BL163" s="63"/>
      <c r="BM163" s="63"/>
      <c r="BN163" s="63"/>
      <c r="BO163" s="63"/>
      <c r="BP163" s="63"/>
      <c r="BQ163" s="63"/>
      <c r="BR163" s="63"/>
      <c r="BS163" s="63"/>
      <c r="BT163" s="63"/>
      <c r="BU163" s="63"/>
      <c r="BV163" s="63"/>
      <c r="BW163" s="63"/>
    </row>
    <row r="164" spans="1:75" x14ac:dyDescent="0.2">
      <c r="A164" s="63" t="str">
        <f t="shared" si="33"/>
        <v/>
      </c>
      <c r="B164" s="182"/>
      <c r="C164" s="75"/>
      <c r="D164" s="75"/>
      <c r="E164" s="74"/>
      <c r="F164" s="181"/>
      <c r="G164" s="69"/>
      <c r="AB164" s="150">
        <f t="shared" si="24"/>
        <v>0</v>
      </c>
      <c r="AC164" s="150">
        <f t="shared" si="25"/>
        <v>0</v>
      </c>
      <c r="AD164" s="98" t="str">
        <f t="shared" si="34"/>
        <v>0000000000</v>
      </c>
      <c r="AE164" s="151">
        <f t="shared" si="27"/>
        <v>0</v>
      </c>
      <c r="AF164" s="98" t="str">
        <f t="shared" si="28"/>
        <v>00</v>
      </c>
      <c r="AG164" s="98" t="str">
        <f t="shared" si="35"/>
        <v>000000000000</v>
      </c>
      <c r="AH164" s="161" t="str">
        <f t="shared" si="29"/>
        <v xml:space="preserve">                    </v>
      </c>
      <c r="AI164" s="154">
        <f t="shared" si="30"/>
        <v>0</v>
      </c>
      <c r="AJ164" s="155">
        <f t="shared" si="31"/>
        <v>0</v>
      </c>
      <c r="AP164" s="63" t="str">
        <f t="shared" si="32"/>
        <v/>
      </c>
      <c r="AQ164" s="63" t="str">
        <f t="shared" si="26"/>
        <v xml:space="preserve">                    </v>
      </c>
      <c r="AR164" s="63"/>
      <c r="AS164" s="63"/>
      <c r="AT164" s="63"/>
      <c r="AU164" s="63"/>
      <c r="AV164" s="63"/>
      <c r="AW164" s="63"/>
      <c r="AX164" s="63"/>
      <c r="AY164" s="63"/>
      <c r="AZ164" s="63"/>
      <c r="BA164" s="63"/>
      <c r="BB164" s="63"/>
      <c r="BC164" s="63"/>
      <c r="BD164" s="63"/>
      <c r="BE164" s="63"/>
      <c r="BF164" s="63"/>
      <c r="BG164" s="63"/>
      <c r="BH164" s="63"/>
      <c r="BI164" s="63"/>
      <c r="BJ164" s="63"/>
      <c r="BK164" s="63"/>
      <c r="BL164" s="63"/>
      <c r="BM164" s="63"/>
      <c r="BN164" s="63"/>
      <c r="BO164" s="63"/>
      <c r="BP164" s="63"/>
      <c r="BQ164" s="63"/>
      <c r="BR164" s="63"/>
      <c r="BS164" s="63"/>
      <c r="BT164" s="63"/>
      <c r="BU164" s="63"/>
      <c r="BV164" s="63"/>
      <c r="BW164" s="63"/>
    </row>
    <row r="165" spans="1:75" x14ac:dyDescent="0.2">
      <c r="A165" s="63" t="str">
        <f t="shared" si="33"/>
        <v/>
      </c>
      <c r="B165" s="182"/>
      <c r="C165" s="75"/>
      <c r="D165" s="75"/>
      <c r="E165" s="74"/>
      <c r="F165" s="181"/>
      <c r="G165" s="69"/>
      <c r="AB165" s="150">
        <f t="shared" si="24"/>
        <v>0</v>
      </c>
      <c r="AC165" s="150">
        <f t="shared" si="25"/>
        <v>0</v>
      </c>
      <c r="AD165" s="98" t="str">
        <f t="shared" si="34"/>
        <v>0000000000</v>
      </c>
      <c r="AE165" s="151">
        <f t="shared" si="27"/>
        <v>0</v>
      </c>
      <c r="AF165" s="98" t="str">
        <f t="shared" si="28"/>
        <v>00</v>
      </c>
      <c r="AG165" s="98" t="str">
        <f t="shared" si="35"/>
        <v>000000000000</v>
      </c>
      <c r="AH165" s="161" t="str">
        <f t="shared" si="29"/>
        <v xml:space="preserve">                    </v>
      </c>
      <c r="AI165" s="154">
        <f t="shared" si="30"/>
        <v>0</v>
      </c>
      <c r="AJ165" s="155">
        <f t="shared" si="31"/>
        <v>0</v>
      </c>
      <c r="AP165" s="63" t="str">
        <f t="shared" si="32"/>
        <v/>
      </c>
      <c r="AQ165" s="63" t="str">
        <f t="shared" si="26"/>
        <v xml:space="preserve">                    </v>
      </c>
      <c r="AR165" s="63"/>
      <c r="AS165" s="63"/>
      <c r="AT165" s="63"/>
      <c r="AU165" s="63"/>
      <c r="AV165" s="63"/>
      <c r="AW165" s="63"/>
      <c r="AX165" s="63"/>
      <c r="AY165" s="63"/>
      <c r="AZ165" s="63"/>
      <c r="BA165" s="63"/>
      <c r="BB165" s="63"/>
      <c r="BC165" s="63"/>
      <c r="BD165" s="63"/>
      <c r="BE165" s="63"/>
      <c r="BF165" s="63"/>
      <c r="BG165" s="63"/>
      <c r="BH165" s="63"/>
      <c r="BI165" s="63"/>
      <c r="BJ165" s="63"/>
      <c r="BK165" s="63"/>
      <c r="BL165" s="63"/>
      <c r="BM165" s="63"/>
      <c r="BN165" s="63"/>
      <c r="BO165" s="63"/>
      <c r="BP165" s="63"/>
      <c r="BQ165" s="63"/>
      <c r="BR165" s="63"/>
      <c r="BS165" s="63"/>
      <c r="BT165" s="63"/>
      <c r="BU165" s="63"/>
      <c r="BV165" s="63"/>
      <c r="BW165" s="63"/>
    </row>
    <row r="166" spans="1:75" x14ac:dyDescent="0.2">
      <c r="A166" s="63" t="str">
        <f t="shared" si="33"/>
        <v/>
      </c>
      <c r="B166" s="182"/>
      <c r="C166" s="75"/>
      <c r="D166" s="75"/>
      <c r="E166" s="74"/>
      <c r="F166" s="181"/>
      <c r="G166" s="69"/>
      <c r="AB166" s="150">
        <f t="shared" si="24"/>
        <v>0</v>
      </c>
      <c r="AC166" s="150">
        <f t="shared" si="25"/>
        <v>0</v>
      </c>
      <c r="AD166" s="98" t="str">
        <f t="shared" si="34"/>
        <v>0000000000</v>
      </c>
      <c r="AE166" s="151">
        <f t="shared" si="27"/>
        <v>0</v>
      </c>
      <c r="AF166" s="98" t="str">
        <f t="shared" si="28"/>
        <v>00</v>
      </c>
      <c r="AG166" s="98" t="str">
        <f t="shared" si="35"/>
        <v>000000000000</v>
      </c>
      <c r="AH166" s="161" t="str">
        <f t="shared" si="29"/>
        <v xml:space="preserve">                    </v>
      </c>
      <c r="AI166" s="154">
        <f t="shared" si="30"/>
        <v>0</v>
      </c>
      <c r="AJ166" s="155">
        <f t="shared" si="31"/>
        <v>0</v>
      </c>
      <c r="AP166" s="63" t="str">
        <f t="shared" si="32"/>
        <v/>
      </c>
      <c r="AQ166" s="63" t="str">
        <f t="shared" si="26"/>
        <v xml:space="preserve">                    </v>
      </c>
      <c r="AR166" s="63"/>
      <c r="AS166" s="63"/>
      <c r="AT166" s="63"/>
      <c r="AU166" s="63"/>
      <c r="AV166" s="63"/>
      <c r="AW166" s="63"/>
      <c r="AX166" s="63"/>
      <c r="AY166" s="63"/>
      <c r="AZ166" s="63"/>
      <c r="BA166" s="63"/>
      <c r="BB166" s="63"/>
      <c r="BC166" s="63"/>
      <c r="BD166" s="63"/>
      <c r="BE166" s="63"/>
      <c r="BF166" s="63"/>
      <c r="BG166" s="63"/>
      <c r="BH166" s="63"/>
      <c r="BI166" s="63"/>
      <c r="BJ166" s="63"/>
      <c r="BK166" s="63"/>
      <c r="BL166" s="63"/>
      <c r="BM166" s="63"/>
      <c r="BN166" s="63"/>
      <c r="BO166" s="63"/>
      <c r="BP166" s="63"/>
      <c r="BQ166" s="63"/>
      <c r="BR166" s="63"/>
      <c r="BS166" s="63"/>
      <c r="BT166" s="63"/>
      <c r="BU166" s="63"/>
      <c r="BV166" s="63"/>
      <c r="BW166" s="63"/>
    </row>
    <row r="167" spans="1:75" x14ac:dyDescent="0.2">
      <c r="A167" s="63" t="str">
        <f t="shared" si="33"/>
        <v/>
      </c>
      <c r="B167" s="182"/>
      <c r="C167" s="75"/>
      <c r="D167" s="75"/>
      <c r="E167" s="74"/>
      <c r="F167" s="181"/>
      <c r="G167" s="69"/>
      <c r="AB167" s="150">
        <f t="shared" si="24"/>
        <v>0</v>
      </c>
      <c r="AC167" s="150">
        <f t="shared" si="25"/>
        <v>0</v>
      </c>
      <c r="AD167" s="98" t="str">
        <f t="shared" si="34"/>
        <v>0000000000</v>
      </c>
      <c r="AE167" s="151">
        <f t="shared" si="27"/>
        <v>0</v>
      </c>
      <c r="AF167" s="98" t="str">
        <f t="shared" si="28"/>
        <v>00</v>
      </c>
      <c r="AG167" s="98" t="str">
        <f t="shared" si="35"/>
        <v>000000000000</v>
      </c>
      <c r="AH167" s="161" t="str">
        <f t="shared" si="29"/>
        <v xml:space="preserve">                    </v>
      </c>
      <c r="AI167" s="154">
        <f t="shared" si="30"/>
        <v>0</v>
      </c>
      <c r="AJ167" s="155">
        <f t="shared" si="31"/>
        <v>0</v>
      </c>
      <c r="AP167" s="63" t="str">
        <f t="shared" si="32"/>
        <v/>
      </c>
      <c r="AQ167" s="63" t="str">
        <f t="shared" si="26"/>
        <v xml:space="preserve">                    </v>
      </c>
      <c r="AR167" s="63"/>
      <c r="AS167" s="63"/>
      <c r="AT167" s="63"/>
      <c r="AU167" s="63"/>
      <c r="AV167" s="63"/>
      <c r="AW167" s="63"/>
      <c r="AX167" s="63"/>
      <c r="AY167" s="63"/>
      <c r="AZ167" s="63"/>
      <c r="BA167" s="63"/>
      <c r="BB167" s="63"/>
      <c r="BC167" s="63"/>
      <c r="BD167" s="63"/>
      <c r="BE167" s="63"/>
      <c r="BF167" s="63"/>
      <c r="BG167" s="63"/>
      <c r="BH167" s="63"/>
      <c r="BI167" s="63"/>
      <c r="BJ167" s="63"/>
      <c r="BK167" s="63"/>
      <c r="BL167" s="63"/>
      <c r="BM167" s="63"/>
      <c r="BN167" s="63"/>
      <c r="BO167" s="63"/>
      <c r="BP167" s="63"/>
      <c r="BQ167" s="63"/>
      <c r="BR167" s="63"/>
      <c r="BS167" s="63"/>
      <c r="BT167" s="63"/>
      <c r="BU167" s="63"/>
      <c r="BV167" s="63"/>
      <c r="BW167" s="63"/>
    </row>
    <row r="168" spans="1:75" x14ac:dyDescent="0.2">
      <c r="A168" s="63" t="str">
        <f t="shared" si="33"/>
        <v/>
      </c>
      <c r="B168" s="182"/>
      <c r="C168" s="75"/>
      <c r="D168" s="75"/>
      <c r="E168" s="74"/>
      <c r="F168" s="181"/>
      <c r="G168" s="69"/>
      <c r="AB168" s="150">
        <f t="shared" si="24"/>
        <v>0</v>
      </c>
      <c r="AC168" s="150">
        <f t="shared" si="25"/>
        <v>0</v>
      </c>
      <c r="AD168" s="98" t="str">
        <f t="shared" si="34"/>
        <v>0000000000</v>
      </c>
      <c r="AE168" s="151">
        <f t="shared" si="27"/>
        <v>0</v>
      </c>
      <c r="AF168" s="98" t="str">
        <f t="shared" si="28"/>
        <v>00</v>
      </c>
      <c r="AG168" s="98" t="str">
        <f t="shared" si="35"/>
        <v>000000000000</v>
      </c>
      <c r="AH168" s="161" t="str">
        <f t="shared" si="29"/>
        <v xml:space="preserve">                    </v>
      </c>
      <c r="AI168" s="154">
        <f t="shared" si="30"/>
        <v>0</v>
      </c>
      <c r="AJ168" s="155">
        <f t="shared" si="31"/>
        <v>0</v>
      </c>
      <c r="AP168" s="63" t="str">
        <f t="shared" si="32"/>
        <v/>
      </c>
      <c r="AQ168" s="63" t="str">
        <f t="shared" si="26"/>
        <v xml:space="preserve">                    </v>
      </c>
      <c r="AR168" s="63"/>
      <c r="AS168" s="63"/>
      <c r="AT168" s="63"/>
      <c r="AU168" s="63"/>
      <c r="AV168" s="63"/>
      <c r="AW168" s="63"/>
      <c r="AX168" s="63"/>
      <c r="AY168" s="63"/>
      <c r="AZ168" s="63"/>
      <c r="BA168" s="63"/>
      <c r="BB168" s="63"/>
      <c r="BC168" s="63"/>
      <c r="BD168" s="63"/>
      <c r="BE168" s="63"/>
      <c r="BF168" s="63"/>
      <c r="BG168" s="63"/>
      <c r="BH168" s="63"/>
      <c r="BI168" s="63"/>
      <c r="BJ168" s="63"/>
      <c r="BK168" s="63"/>
      <c r="BL168" s="63"/>
      <c r="BM168" s="63"/>
      <c r="BN168" s="63"/>
      <c r="BO168" s="63"/>
      <c r="BP168" s="63"/>
      <c r="BQ168" s="63"/>
      <c r="BR168" s="63"/>
      <c r="BS168" s="63"/>
      <c r="BT168" s="63"/>
      <c r="BU168" s="63"/>
      <c r="BV168" s="63"/>
      <c r="BW168" s="63"/>
    </row>
    <row r="169" spans="1:75" x14ac:dyDescent="0.2">
      <c r="A169" s="63" t="str">
        <f t="shared" si="33"/>
        <v/>
      </c>
      <c r="B169" s="182"/>
      <c r="C169" s="75"/>
      <c r="D169" s="75"/>
      <c r="E169" s="74"/>
      <c r="F169" s="181"/>
      <c r="G169" s="69"/>
      <c r="AB169" s="150">
        <f t="shared" si="24"/>
        <v>0</v>
      </c>
      <c r="AC169" s="150">
        <f t="shared" si="25"/>
        <v>0</v>
      </c>
      <c r="AD169" s="98" t="str">
        <f t="shared" si="34"/>
        <v>0000000000</v>
      </c>
      <c r="AE169" s="151">
        <f t="shared" si="27"/>
        <v>0</v>
      </c>
      <c r="AF169" s="98" t="str">
        <f t="shared" si="28"/>
        <v>00</v>
      </c>
      <c r="AG169" s="98" t="str">
        <f t="shared" si="35"/>
        <v>000000000000</v>
      </c>
      <c r="AH169" s="161" t="str">
        <f t="shared" si="29"/>
        <v xml:space="preserve">                    </v>
      </c>
      <c r="AI169" s="154">
        <f t="shared" si="30"/>
        <v>0</v>
      </c>
      <c r="AJ169" s="155">
        <f t="shared" si="31"/>
        <v>0</v>
      </c>
      <c r="AP169" s="63" t="str">
        <f t="shared" si="32"/>
        <v/>
      </c>
      <c r="AQ169" s="63" t="str">
        <f t="shared" si="26"/>
        <v xml:space="preserve">                    </v>
      </c>
      <c r="AR169" s="63"/>
      <c r="AS169" s="63"/>
      <c r="AT169" s="63"/>
      <c r="AU169" s="63"/>
      <c r="AV169" s="63"/>
      <c r="AW169" s="63"/>
      <c r="AX169" s="63"/>
      <c r="AY169" s="63"/>
      <c r="AZ169" s="63"/>
      <c r="BA169" s="63"/>
      <c r="BB169" s="63"/>
      <c r="BC169" s="63"/>
      <c r="BD169" s="63"/>
      <c r="BE169" s="63"/>
      <c r="BF169" s="63"/>
      <c r="BG169" s="63"/>
      <c r="BH169" s="63"/>
      <c r="BI169" s="63"/>
      <c r="BJ169" s="63"/>
      <c r="BK169" s="63"/>
      <c r="BL169" s="63"/>
      <c r="BM169" s="63"/>
      <c r="BN169" s="63"/>
      <c r="BO169" s="63"/>
      <c r="BP169" s="63"/>
      <c r="BQ169" s="63"/>
      <c r="BR169" s="63"/>
      <c r="BS169" s="63"/>
      <c r="BT169" s="63"/>
      <c r="BU169" s="63"/>
      <c r="BV169" s="63"/>
      <c r="BW169" s="63"/>
    </row>
    <row r="170" spans="1:75" x14ac:dyDescent="0.2">
      <c r="A170" s="63" t="str">
        <f t="shared" si="33"/>
        <v/>
      </c>
      <c r="B170" s="182"/>
      <c r="C170" s="75"/>
      <c r="D170" s="75"/>
      <c r="E170" s="74"/>
      <c r="F170" s="181"/>
      <c r="G170" s="69"/>
      <c r="AB170" s="150">
        <f t="shared" si="24"/>
        <v>0</v>
      </c>
      <c r="AC170" s="150">
        <f t="shared" si="25"/>
        <v>0</v>
      </c>
      <c r="AD170" s="98" t="str">
        <f t="shared" si="34"/>
        <v>0000000000</v>
      </c>
      <c r="AE170" s="151">
        <f t="shared" si="27"/>
        <v>0</v>
      </c>
      <c r="AF170" s="98" t="str">
        <f t="shared" si="28"/>
        <v>00</v>
      </c>
      <c r="AG170" s="98" t="str">
        <f t="shared" si="35"/>
        <v>000000000000</v>
      </c>
      <c r="AH170" s="161" t="str">
        <f t="shared" si="29"/>
        <v xml:space="preserve">                    </v>
      </c>
      <c r="AI170" s="154">
        <f t="shared" si="30"/>
        <v>0</v>
      </c>
      <c r="AJ170" s="155">
        <f t="shared" si="31"/>
        <v>0</v>
      </c>
      <c r="AP170" s="63" t="str">
        <f t="shared" si="32"/>
        <v/>
      </c>
      <c r="AQ170" s="63" t="str">
        <f t="shared" si="26"/>
        <v xml:space="preserve">                    </v>
      </c>
      <c r="AR170" s="63"/>
      <c r="AS170" s="63"/>
      <c r="AT170" s="63"/>
      <c r="AU170" s="63"/>
      <c r="AV170" s="63"/>
      <c r="AW170" s="63"/>
      <c r="AX170" s="63"/>
      <c r="AY170" s="63"/>
      <c r="AZ170" s="63"/>
      <c r="BA170" s="63"/>
      <c r="BB170" s="63"/>
      <c r="BC170" s="63"/>
      <c r="BD170" s="63"/>
      <c r="BE170" s="63"/>
      <c r="BF170" s="63"/>
      <c r="BG170" s="63"/>
      <c r="BH170" s="63"/>
      <c r="BI170" s="63"/>
      <c r="BJ170" s="63"/>
      <c r="BK170" s="63"/>
      <c r="BL170" s="63"/>
      <c r="BM170" s="63"/>
      <c r="BN170" s="63"/>
      <c r="BO170" s="63"/>
      <c r="BP170" s="63"/>
      <c r="BQ170" s="63"/>
      <c r="BR170" s="63"/>
      <c r="BS170" s="63"/>
      <c r="BT170" s="63"/>
      <c r="BU170" s="63"/>
      <c r="BV170" s="63"/>
      <c r="BW170" s="63"/>
    </row>
    <row r="171" spans="1:75" x14ac:dyDescent="0.2">
      <c r="A171" s="63" t="str">
        <f t="shared" si="33"/>
        <v/>
      </c>
      <c r="B171" s="182"/>
      <c r="C171" s="75"/>
      <c r="D171" s="75"/>
      <c r="E171" s="74"/>
      <c r="F171" s="181"/>
      <c r="G171" s="69"/>
      <c r="AB171" s="150">
        <f t="shared" si="24"/>
        <v>0</v>
      </c>
      <c r="AC171" s="150">
        <f t="shared" si="25"/>
        <v>0</v>
      </c>
      <c r="AD171" s="98" t="str">
        <f t="shared" si="34"/>
        <v>0000000000</v>
      </c>
      <c r="AE171" s="151">
        <f t="shared" si="27"/>
        <v>0</v>
      </c>
      <c r="AF171" s="98" t="str">
        <f t="shared" si="28"/>
        <v>00</v>
      </c>
      <c r="AG171" s="98" t="str">
        <f t="shared" si="35"/>
        <v>000000000000</v>
      </c>
      <c r="AH171" s="161" t="str">
        <f t="shared" si="29"/>
        <v xml:space="preserve">                    </v>
      </c>
      <c r="AI171" s="154">
        <f t="shared" si="30"/>
        <v>0</v>
      </c>
      <c r="AJ171" s="155">
        <f t="shared" si="31"/>
        <v>0</v>
      </c>
      <c r="AP171" s="63" t="str">
        <f t="shared" si="32"/>
        <v/>
      </c>
      <c r="AQ171" s="63" t="str">
        <f t="shared" si="26"/>
        <v xml:space="preserve">                    </v>
      </c>
      <c r="AR171" s="63"/>
      <c r="AS171" s="63"/>
      <c r="AT171" s="63"/>
      <c r="AU171" s="63"/>
      <c r="AV171" s="63"/>
      <c r="AW171" s="63"/>
      <c r="AX171" s="63"/>
      <c r="AY171" s="63"/>
      <c r="AZ171" s="63"/>
      <c r="BA171" s="63"/>
      <c r="BB171" s="63"/>
      <c r="BC171" s="63"/>
      <c r="BD171" s="63"/>
      <c r="BE171" s="63"/>
      <c r="BF171" s="63"/>
      <c r="BG171" s="63"/>
      <c r="BH171" s="63"/>
      <c r="BI171" s="63"/>
      <c r="BJ171" s="63"/>
      <c r="BK171" s="63"/>
      <c r="BL171" s="63"/>
      <c r="BM171" s="63"/>
      <c r="BN171" s="63"/>
      <c r="BO171" s="63"/>
      <c r="BP171" s="63"/>
      <c r="BQ171" s="63"/>
      <c r="BR171" s="63"/>
      <c r="BS171" s="63"/>
      <c r="BT171" s="63"/>
      <c r="BU171" s="63"/>
      <c r="BV171" s="63"/>
      <c r="BW171" s="63"/>
    </row>
    <row r="172" spans="1:75" x14ac:dyDescent="0.2">
      <c r="A172" s="63" t="str">
        <f t="shared" si="33"/>
        <v/>
      </c>
      <c r="B172" s="182"/>
      <c r="C172" s="75"/>
      <c r="D172" s="75"/>
      <c r="E172" s="74"/>
      <c r="F172" s="181"/>
      <c r="G172" s="69"/>
      <c r="AB172" s="150">
        <f t="shared" si="24"/>
        <v>0</v>
      </c>
      <c r="AC172" s="150">
        <f t="shared" si="25"/>
        <v>0</v>
      </c>
      <c r="AD172" s="98" t="str">
        <f t="shared" si="34"/>
        <v>0000000000</v>
      </c>
      <c r="AE172" s="151">
        <f t="shared" si="27"/>
        <v>0</v>
      </c>
      <c r="AF172" s="98" t="str">
        <f t="shared" si="28"/>
        <v>00</v>
      </c>
      <c r="AG172" s="98" t="str">
        <f t="shared" si="35"/>
        <v>000000000000</v>
      </c>
      <c r="AH172" s="161" t="str">
        <f t="shared" si="29"/>
        <v xml:space="preserve">                    </v>
      </c>
      <c r="AI172" s="154">
        <f t="shared" si="30"/>
        <v>0</v>
      </c>
      <c r="AJ172" s="155">
        <f t="shared" si="31"/>
        <v>0</v>
      </c>
      <c r="AP172" s="63" t="str">
        <f t="shared" si="32"/>
        <v/>
      </c>
      <c r="AQ172" s="63" t="str">
        <f t="shared" si="26"/>
        <v xml:space="preserve">                    </v>
      </c>
      <c r="AR172" s="63"/>
      <c r="AS172" s="63"/>
      <c r="AT172" s="63"/>
      <c r="AU172" s="63"/>
      <c r="AV172" s="63"/>
      <c r="AW172" s="63"/>
      <c r="AX172" s="63"/>
      <c r="AY172" s="63"/>
      <c r="AZ172" s="63"/>
      <c r="BA172" s="63"/>
      <c r="BB172" s="63"/>
      <c r="BC172" s="63"/>
      <c r="BD172" s="63"/>
      <c r="BE172" s="63"/>
      <c r="BF172" s="63"/>
      <c r="BG172" s="63"/>
      <c r="BH172" s="63"/>
      <c r="BI172" s="63"/>
      <c r="BJ172" s="63"/>
      <c r="BK172" s="63"/>
      <c r="BL172" s="63"/>
      <c r="BM172" s="63"/>
      <c r="BN172" s="63"/>
      <c r="BO172" s="63"/>
      <c r="BP172" s="63"/>
      <c r="BQ172" s="63"/>
      <c r="BR172" s="63"/>
      <c r="BS172" s="63"/>
      <c r="BT172" s="63"/>
      <c r="BU172" s="63"/>
      <c r="BV172" s="63"/>
      <c r="BW172" s="63"/>
    </row>
    <row r="173" spans="1:75" x14ac:dyDescent="0.2">
      <c r="A173" s="63" t="str">
        <f t="shared" si="33"/>
        <v/>
      </c>
      <c r="B173" s="182"/>
      <c r="C173" s="75"/>
      <c r="D173" s="75"/>
      <c r="E173" s="74"/>
      <c r="F173" s="181"/>
      <c r="G173" s="69"/>
      <c r="AB173" s="150">
        <f t="shared" si="24"/>
        <v>0</v>
      </c>
      <c r="AC173" s="150">
        <f t="shared" si="25"/>
        <v>0</v>
      </c>
      <c r="AD173" s="98" t="str">
        <f t="shared" si="34"/>
        <v>0000000000</v>
      </c>
      <c r="AE173" s="151">
        <f t="shared" si="27"/>
        <v>0</v>
      </c>
      <c r="AF173" s="98" t="str">
        <f t="shared" si="28"/>
        <v>00</v>
      </c>
      <c r="AG173" s="98" t="str">
        <f t="shared" si="35"/>
        <v>000000000000</v>
      </c>
      <c r="AH173" s="161" t="str">
        <f t="shared" si="29"/>
        <v xml:space="preserve">                    </v>
      </c>
      <c r="AI173" s="154">
        <f t="shared" si="30"/>
        <v>0</v>
      </c>
      <c r="AJ173" s="155">
        <f t="shared" si="31"/>
        <v>0</v>
      </c>
      <c r="AP173" s="63" t="str">
        <f t="shared" si="32"/>
        <v/>
      </c>
      <c r="AQ173" s="63" t="str">
        <f t="shared" si="26"/>
        <v xml:space="preserve">                    </v>
      </c>
      <c r="AR173" s="63"/>
      <c r="AS173" s="63"/>
      <c r="AT173" s="63"/>
      <c r="AU173" s="63"/>
      <c r="AV173" s="63"/>
      <c r="AW173" s="63"/>
      <c r="AX173" s="63"/>
      <c r="AY173" s="63"/>
      <c r="AZ173" s="63"/>
      <c r="BA173" s="63"/>
      <c r="BB173" s="63"/>
      <c r="BC173" s="63"/>
      <c r="BD173" s="63"/>
      <c r="BE173" s="63"/>
      <c r="BF173" s="63"/>
      <c r="BG173" s="63"/>
      <c r="BH173" s="63"/>
      <c r="BI173" s="63"/>
      <c r="BJ173" s="63"/>
      <c r="BK173" s="63"/>
      <c r="BL173" s="63"/>
      <c r="BM173" s="63"/>
      <c r="BN173" s="63"/>
      <c r="BO173" s="63"/>
      <c r="BP173" s="63"/>
      <c r="BQ173" s="63"/>
      <c r="BR173" s="63"/>
      <c r="BS173" s="63"/>
      <c r="BT173" s="63"/>
      <c r="BU173" s="63"/>
      <c r="BV173" s="63"/>
      <c r="BW173" s="63"/>
    </row>
    <row r="174" spans="1:75" x14ac:dyDescent="0.2">
      <c r="A174" s="63" t="str">
        <f t="shared" si="33"/>
        <v/>
      </c>
      <c r="B174" s="182"/>
      <c r="C174" s="75"/>
      <c r="D174" s="75"/>
      <c r="E174" s="74"/>
      <c r="F174" s="181"/>
      <c r="G174" s="69"/>
      <c r="AB174" s="150">
        <f t="shared" si="24"/>
        <v>0</v>
      </c>
      <c r="AC174" s="150">
        <f t="shared" si="25"/>
        <v>0</v>
      </c>
      <c r="AD174" s="98" t="str">
        <f t="shared" si="34"/>
        <v>0000000000</v>
      </c>
      <c r="AE174" s="151">
        <f t="shared" si="27"/>
        <v>0</v>
      </c>
      <c r="AF174" s="98" t="str">
        <f t="shared" si="28"/>
        <v>00</v>
      </c>
      <c r="AG174" s="98" t="str">
        <f t="shared" si="35"/>
        <v>000000000000</v>
      </c>
      <c r="AH174" s="161" t="str">
        <f t="shared" si="29"/>
        <v xml:space="preserve">                    </v>
      </c>
      <c r="AI174" s="154">
        <f t="shared" si="30"/>
        <v>0</v>
      </c>
      <c r="AJ174" s="155">
        <f t="shared" si="31"/>
        <v>0</v>
      </c>
      <c r="AP174" s="63" t="str">
        <f t="shared" si="32"/>
        <v/>
      </c>
      <c r="AQ174" s="63" t="str">
        <f t="shared" si="26"/>
        <v xml:space="preserve">                    </v>
      </c>
      <c r="AR174" s="63"/>
      <c r="AS174" s="63"/>
      <c r="AT174" s="63"/>
      <c r="AU174" s="63"/>
      <c r="AV174" s="63"/>
      <c r="AW174" s="63"/>
      <c r="AX174" s="63"/>
      <c r="AY174" s="63"/>
      <c r="AZ174" s="63"/>
      <c r="BA174" s="63"/>
      <c r="BB174" s="63"/>
      <c r="BC174" s="63"/>
      <c r="BD174" s="63"/>
      <c r="BE174" s="63"/>
      <c r="BF174" s="63"/>
      <c r="BG174" s="63"/>
      <c r="BH174" s="63"/>
      <c r="BI174" s="63"/>
      <c r="BJ174" s="63"/>
      <c r="BK174" s="63"/>
      <c r="BL174" s="63"/>
      <c r="BM174" s="63"/>
      <c r="BN174" s="63"/>
      <c r="BO174" s="63"/>
      <c r="BP174" s="63"/>
      <c r="BQ174" s="63"/>
      <c r="BR174" s="63"/>
      <c r="BS174" s="63"/>
      <c r="BT174" s="63"/>
      <c r="BU174" s="63"/>
      <c r="BV174" s="63"/>
      <c r="BW174" s="63"/>
    </row>
    <row r="175" spans="1:75" x14ac:dyDescent="0.2">
      <c r="A175" s="63" t="str">
        <f t="shared" si="33"/>
        <v/>
      </c>
      <c r="B175" s="182"/>
      <c r="C175" s="75"/>
      <c r="D175" s="75"/>
      <c r="E175" s="74"/>
      <c r="F175" s="181"/>
      <c r="G175" s="69"/>
      <c r="AB175" s="150">
        <f t="shared" si="24"/>
        <v>0</v>
      </c>
      <c r="AC175" s="150">
        <f t="shared" si="25"/>
        <v>0</v>
      </c>
      <c r="AD175" s="98" t="str">
        <f t="shared" si="34"/>
        <v>0000000000</v>
      </c>
      <c r="AE175" s="151">
        <f t="shared" si="27"/>
        <v>0</v>
      </c>
      <c r="AF175" s="98" t="str">
        <f t="shared" si="28"/>
        <v>00</v>
      </c>
      <c r="AG175" s="98" t="str">
        <f t="shared" si="35"/>
        <v>000000000000</v>
      </c>
      <c r="AH175" s="161" t="str">
        <f t="shared" si="29"/>
        <v xml:space="preserve">                    </v>
      </c>
      <c r="AI175" s="154">
        <f t="shared" si="30"/>
        <v>0</v>
      </c>
      <c r="AJ175" s="155">
        <f t="shared" si="31"/>
        <v>0</v>
      </c>
      <c r="AP175" s="63" t="str">
        <f t="shared" si="32"/>
        <v/>
      </c>
      <c r="AQ175" s="63" t="str">
        <f t="shared" si="26"/>
        <v xml:space="preserve">                    </v>
      </c>
      <c r="AR175" s="63"/>
      <c r="AS175" s="63"/>
      <c r="AT175" s="63"/>
      <c r="AU175" s="63"/>
      <c r="AV175" s="63"/>
      <c r="AW175" s="63"/>
      <c r="AX175" s="63"/>
      <c r="AY175" s="63"/>
      <c r="AZ175" s="63"/>
      <c r="BA175" s="63"/>
      <c r="BB175" s="63"/>
      <c r="BC175" s="63"/>
      <c r="BD175" s="63"/>
      <c r="BE175" s="63"/>
      <c r="BF175" s="63"/>
      <c r="BG175" s="63"/>
      <c r="BH175" s="63"/>
      <c r="BI175" s="63"/>
      <c r="BJ175" s="63"/>
      <c r="BK175" s="63"/>
      <c r="BL175" s="63"/>
      <c r="BM175" s="63"/>
      <c r="BN175" s="63"/>
      <c r="BO175" s="63"/>
      <c r="BP175" s="63"/>
      <c r="BQ175" s="63"/>
      <c r="BR175" s="63"/>
      <c r="BS175" s="63"/>
      <c r="BT175" s="63"/>
      <c r="BU175" s="63"/>
      <c r="BV175" s="63"/>
      <c r="BW175" s="63"/>
    </row>
    <row r="176" spans="1:75" x14ac:dyDescent="0.2">
      <c r="A176" s="63" t="str">
        <f t="shared" si="33"/>
        <v/>
      </c>
      <c r="B176" s="182"/>
      <c r="C176" s="75"/>
      <c r="D176" s="75"/>
      <c r="E176" s="74"/>
      <c r="F176" s="181"/>
      <c r="G176" s="69"/>
      <c r="AB176" s="150">
        <f t="shared" si="24"/>
        <v>0</v>
      </c>
      <c r="AC176" s="150">
        <f t="shared" si="25"/>
        <v>0</v>
      </c>
      <c r="AD176" s="98" t="str">
        <f t="shared" si="34"/>
        <v>0000000000</v>
      </c>
      <c r="AE176" s="151">
        <f t="shared" si="27"/>
        <v>0</v>
      </c>
      <c r="AF176" s="98" t="str">
        <f t="shared" si="28"/>
        <v>00</v>
      </c>
      <c r="AG176" s="98" t="str">
        <f t="shared" si="35"/>
        <v>000000000000</v>
      </c>
      <c r="AH176" s="161" t="str">
        <f t="shared" si="29"/>
        <v xml:space="preserve">                    </v>
      </c>
      <c r="AI176" s="154">
        <f t="shared" si="30"/>
        <v>0</v>
      </c>
      <c r="AJ176" s="155">
        <f t="shared" si="31"/>
        <v>0</v>
      </c>
      <c r="AP176" s="63" t="str">
        <f t="shared" si="32"/>
        <v/>
      </c>
      <c r="AQ176" s="63" t="str">
        <f t="shared" si="26"/>
        <v xml:space="preserve">                    </v>
      </c>
      <c r="AR176" s="63"/>
      <c r="AS176" s="63"/>
      <c r="AT176" s="63"/>
      <c r="AU176" s="63"/>
      <c r="AV176" s="63"/>
      <c r="AW176" s="63"/>
      <c r="AX176" s="63"/>
      <c r="AY176" s="63"/>
      <c r="AZ176" s="63"/>
      <c r="BA176" s="63"/>
      <c r="BB176" s="63"/>
      <c r="BC176" s="63"/>
      <c r="BD176" s="63"/>
      <c r="BE176" s="63"/>
      <c r="BF176" s="63"/>
      <c r="BG176" s="63"/>
      <c r="BH176" s="63"/>
      <c r="BI176" s="63"/>
      <c r="BJ176" s="63"/>
      <c r="BK176" s="63"/>
      <c r="BL176" s="63"/>
      <c r="BM176" s="63"/>
      <c r="BN176" s="63"/>
      <c r="BO176" s="63"/>
      <c r="BP176" s="63"/>
      <c r="BQ176" s="63"/>
      <c r="BR176" s="63"/>
      <c r="BS176" s="63"/>
      <c r="BT176" s="63"/>
      <c r="BU176" s="63"/>
      <c r="BV176" s="63"/>
      <c r="BW176" s="63"/>
    </row>
    <row r="177" spans="1:75" x14ac:dyDescent="0.2">
      <c r="A177" s="63" t="str">
        <f t="shared" si="33"/>
        <v/>
      </c>
      <c r="B177" s="182"/>
      <c r="C177" s="75"/>
      <c r="D177" s="75"/>
      <c r="E177" s="74"/>
      <c r="F177" s="181"/>
      <c r="G177" s="69"/>
      <c r="AB177" s="150">
        <f t="shared" si="24"/>
        <v>0</v>
      </c>
      <c r="AC177" s="150">
        <f t="shared" si="25"/>
        <v>0</v>
      </c>
      <c r="AD177" s="98" t="str">
        <f t="shared" si="34"/>
        <v>0000000000</v>
      </c>
      <c r="AE177" s="151">
        <f t="shared" si="27"/>
        <v>0</v>
      </c>
      <c r="AF177" s="98" t="str">
        <f t="shared" si="28"/>
        <v>00</v>
      </c>
      <c r="AG177" s="98" t="str">
        <f t="shared" si="35"/>
        <v>000000000000</v>
      </c>
      <c r="AH177" s="161" t="str">
        <f t="shared" si="29"/>
        <v xml:space="preserve">                    </v>
      </c>
      <c r="AI177" s="154">
        <f t="shared" si="30"/>
        <v>0</v>
      </c>
      <c r="AJ177" s="155">
        <f t="shared" si="31"/>
        <v>0</v>
      </c>
      <c r="AP177" s="63" t="str">
        <f t="shared" si="32"/>
        <v/>
      </c>
      <c r="AQ177" s="63" t="str">
        <f t="shared" si="26"/>
        <v xml:space="preserve">                    </v>
      </c>
      <c r="AR177" s="63"/>
      <c r="AS177" s="63"/>
      <c r="AT177" s="63"/>
      <c r="AU177" s="63"/>
      <c r="AV177" s="63"/>
      <c r="AW177" s="63"/>
      <c r="AX177" s="63"/>
      <c r="AY177" s="63"/>
      <c r="AZ177" s="63"/>
      <c r="BA177" s="63"/>
      <c r="BB177" s="63"/>
      <c r="BC177" s="63"/>
      <c r="BD177" s="63"/>
      <c r="BE177" s="63"/>
      <c r="BF177" s="63"/>
      <c r="BG177" s="63"/>
      <c r="BH177" s="63"/>
      <c r="BI177" s="63"/>
      <c r="BJ177" s="63"/>
      <c r="BK177" s="63"/>
      <c r="BL177" s="63"/>
      <c r="BM177" s="63"/>
      <c r="BN177" s="63"/>
      <c r="BO177" s="63"/>
      <c r="BP177" s="63"/>
      <c r="BQ177" s="63"/>
      <c r="BR177" s="63"/>
      <c r="BS177" s="63"/>
      <c r="BT177" s="63"/>
      <c r="BU177" s="63"/>
      <c r="BV177" s="63"/>
      <c r="BW177" s="63"/>
    </row>
    <row r="178" spans="1:75" x14ac:dyDescent="0.2">
      <c r="A178" s="63" t="str">
        <f t="shared" si="33"/>
        <v/>
      </c>
      <c r="B178" s="182"/>
      <c r="C178" s="75"/>
      <c r="D178" s="75"/>
      <c r="E178" s="74"/>
      <c r="F178" s="181"/>
      <c r="G178" s="69"/>
      <c r="AB178" s="150">
        <f t="shared" si="24"/>
        <v>0</v>
      </c>
      <c r="AC178" s="150">
        <f t="shared" si="25"/>
        <v>0</v>
      </c>
      <c r="AD178" s="98" t="str">
        <f t="shared" si="34"/>
        <v>0000000000</v>
      </c>
      <c r="AE178" s="151">
        <f t="shared" si="27"/>
        <v>0</v>
      </c>
      <c r="AF178" s="98" t="str">
        <f t="shared" si="28"/>
        <v>00</v>
      </c>
      <c r="AG178" s="98" t="str">
        <f t="shared" si="35"/>
        <v>000000000000</v>
      </c>
      <c r="AH178" s="161" t="str">
        <f t="shared" si="29"/>
        <v xml:space="preserve">                    </v>
      </c>
      <c r="AI178" s="154">
        <f t="shared" si="30"/>
        <v>0</v>
      </c>
      <c r="AJ178" s="155">
        <f t="shared" si="31"/>
        <v>0</v>
      </c>
      <c r="AP178" s="63" t="str">
        <f t="shared" si="32"/>
        <v/>
      </c>
      <c r="AQ178" s="63" t="str">
        <f t="shared" si="26"/>
        <v xml:space="preserve">                    </v>
      </c>
      <c r="AR178" s="63"/>
      <c r="AS178" s="63"/>
      <c r="AT178" s="63"/>
      <c r="AU178" s="63"/>
      <c r="AV178" s="63"/>
      <c r="AW178" s="63"/>
      <c r="AX178" s="63"/>
      <c r="AY178" s="63"/>
      <c r="AZ178" s="63"/>
      <c r="BA178" s="63"/>
      <c r="BB178" s="63"/>
      <c r="BC178" s="63"/>
      <c r="BD178" s="63"/>
      <c r="BE178" s="63"/>
      <c r="BF178" s="63"/>
      <c r="BG178" s="63"/>
      <c r="BH178" s="63"/>
      <c r="BI178" s="63"/>
      <c r="BJ178" s="63"/>
      <c r="BK178" s="63"/>
      <c r="BL178" s="63"/>
      <c r="BM178" s="63"/>
      <c r="BN178" s="63"/>
      <c r="BO178" s="63"/>
      <c r="BP178" s="63"/>
      <c r="BQ178" s="63"/>
      <c r="BR178" s="63"/>
      <c r="BS178" s="63"/>
      <c r="BT178" s="63"/>
      <c r="BU178" s="63"/>
      <c r="BV178" s="63"/>
      <c r="BW178" s="63"/>
    </row>
    <row r="179" spans="1:75" x14ac:dyDescent="0.2">
      <c r="A179" s="63" t="str">
        <f t="shared" si="33"/>
        <v/>
      </c>
      <c r="B179" s="182"/>
      <c r="C179" s="75"/>
      <c r="D179" s="75"/>
      <c r="E179" s="74"/>
      <c r="F179" s="181"/>
      <c r="G179" s="69"/>
      <c r="AB179" s="150">
        <f t="shared" si="24"/>
        <v>0</v>
      </c>
      <c r="AC179" s="150">
        <f t="shared" si="25"/>
        <v>0</v>
      </c>
      <c r="AD179" s="98" t="str">
        <f t="shared" si="34"/>
        <v>0000000000</v>
      </c>
      <c r="AE179" s="151">
        <f t="shared" si="27"/>
        <v>0</v>
      </c>
      <c r="AF179" s="98" t="str">
        <f t="shared" si="28"/>
        <v>00</v>
      </c>
      <c r="AG179" s="98" t="str">
        <f t="shared" si="35"/>
        <v>000000000000</v>
      </c>
      <c r="AH179" s="161" t="str">
        <f t="shared" si="29"/>
        <v xml:space="preserve">                    </v>
      </c>
      <c r="AI179" s="154">
        <f t="shared" si="30"/>
        <v>0</v>
      </c>
      <c r="AJ179" s="155">
        <f t="shared" si="31"/>
        <v>0</v>
      </c>
      <c r="AP179" s="63" t="str">
        <f t="shared" si="32"/>
        <v/>
      </c>
      <c r="AQ179" s="63" t="str">
        <f t="shared" si="26"/>
        <v xml:space="preserve">                    </v>
      </c>
      <c r="AR179" s="63"/>
      <c r="AS179" s="63"/>
      <c r="AT179" s="63"/>
      <c r="AU179" s="63"/>
      <c r="AV179" s="63"/>
      <c r="AW179" s="63"/>
      <c r="AX179" s="63"/>
      <c r="AY179" s="63"/>
      <c r="AZ179" s="63"/>
      <c r="BA179" s="63"/>
      <c r="BB179" s="63"/>
      <c r="BC179" s="63"/>
      <c r="BD179" s="63"/>
      <c r="BE179" s="63"/>
      <c r="BF179" s="63"/>
      <c r="BG179" s="63"/>
      <c r="BH179" s="63"/>
      <c r="BI179" s="63"/>
      <c r="BJ179" s="63"/>
      <c r="BK179" s="63"/>
      <c r="BL179" s="63"/>
      <c r="BM179" s="63"/>
      <c r="BN179" s="63"/>
      <c r="BO179" s="63"/>
      <c r="BP179" s="63"/>
      <c r="BQ179" s="63"/>
      <c r="BR179" s="63"/>
      <c r="BS179" s="63"/>
      <c r="BT179" s="63"/>
      <c r="BU179" s="63"/>
      <c r="BV179" s="63"/>
      <c r="BW179" s="63"/>
    </row>
    <row r="180" spans="1:75" x14ac:dyDescent="0.2">
      <c r="A180" s="63" t="str">
        <f t="shared" si="33"/>
        <v/>
      </c>
      <c r="B180" s="182"/>
      <c r="C180" s="75"/>
      <c r="D180" s="75"/>
      <c r="E180" s="74"/>
      <c r="F180" s="181"/>
      <c r="G180" s="69"/>
      <c r="AB180" s="150">
        <f t="shared" si="24"/>
        <v>0</v>
      </c>
      <c r="AC180" s="150">
        <f t="shared" si="25"/>
        <v>0</v>
      </c>
      <c r="AD180" s="98" t="str">
        <f t="shared" si="34"/>
        <v>0000000000</v>
      </c>
      <c r="AE180" s="151">
        <f t="shared" si="27"/>
        <v>0</v>
      </c>
      <c r="AF180" s="98" t="str">
        <f t="shared" si="28"/>
        <v>00</v>
      </c>
      <c r="AG180" s="98" t="str">
        <f t="shared" si="35"/>
        <v>000000000000</v>
      </c>
      <c r="AH180" s="161" t="str">
        <f t="shared" si="29"/>
        <v xml:space="preserve">                    </v>
      </c>
      <c r="AI180" s="154">
        <f t="shared" si="30"/>
        <v>0</v>
      </c>
      <c r="AJ180" s="155">
        <f t="shared" si="31"/>
        <v>0</v>
      </c>
      <c r="AP180" s="63" t="str">
        <f t="shared" si="32"/>
        <v/>
      </c>
      <c r="AQ180" s="63" t="str">
        <f t="shared" si="26"/>
        <v xml:space="preserve">                    </v>
      </c>
      <c r="AR180" s="63"/>
      <c r="AS180" s="63"/>
      <c r="AT180" s="63"/>
      <c r="AU180" s="63"/>
      <c r="AV180" s="63"/>
      <c r="AW180" s="63"/>
      <c r="AX180" s="63"/>
      <c r="AY180" s="63"/>
      <c r="AZ180" s="63"/>
      <c r="BA180" s="63"/>
      <c r="BB180" s="63"/>
      <c r="BC180" s="63"/>
      <c r="BD180" s="63"/>
      <c r="BE180" s="63"/>
      <c r="BF180" s="63"/>
      <c r="BG180" s="63"/>
      <c r="BH180" s="63"/>
      <c r="BI180" s="63"/>
      <c r="BJ180" s="63"/>
      <c r="BK180" s="63"/>
      <c r="BL180" s="63"/>
      <c r="BM180" s="63"/>
      <c r="BN180" s="63"/>
      <c r="BO180" s="63"/>
      <c r="BP180" s="63"/>
      <c r="BQ180" s="63"/>
      <c r="BR180" s="63"/>
      <c r="BS180" s="63"/>
      <c r="BT180" s="63"/>
      <c r="BU180" s="63"/>
      <c r="BV180" s="63"/>
      <c r="BW180" s="63"/>
    </row>
    <row r="181" spans="1:75" x14ac:dyDescent="0.2">
      <c r="A181" s="63" t="str">
        <f t="shared" si="33"/>
        <v/>
      </c>
      <c r="B181" s="182"/>
      <c r="C181" s="75"/>
      <c r="D181" s="75"/>
      <c r="E181" s="74"/>
      <c r="F181" s="181"/>
      <c r="G181" s="69"/>
      <c r="AB181" s="150">
        <f t="shared" si="24"/>
        <v>0</v>
      </c>
      <c r="AC181" s="150">
        <f t="shared" si="25"/>
        <v>0</v>
      </c>
      <c r="AD181" s="98" t="str">
        <f t="shared" si="34"/>
        <v>0000000000</v>
      </c>
      <c r="AE181" s="151">
        <f t="shared" si="27"/>
        <v>0</v>
      </c>
      <c r="AF181" s="98" t="str">
        <f t="shared" si="28"/>
        <v>00</v>
      </c>
      <c r="AG181" s="98" t="str">
        <f t="shared" si="35"/>
        <v>000000000000</v>
      </c>
      <c r="AH181" s="161" t="str">
        <f t="shared" si="29"/>
        <v xml:space="preserve">                    </v>
      </c>
      <c r="AI181" s="154">
        <f t="shared" si="30"/>
        <v>0</v>
      </c>
      <c r="AJ181" s="155">
        <f t="shared" si="31"/>
        <v>0</v>
      </c>
      <c r="AP181" s="63" t="str">
        <f t="shared" si="32"/>
        <v/>
      </c>
      <c r="AQ181" s="63" t="str">
        <f t="shared" si="26"/>
        <v xml:space="preserve">                    </v>
      </c>
      <c r="AR181" s="63"/>
      <c r="AS181" s="63"/>
      <c r="AT181" s="63"/>
      <c r="AU181" s="63"/>
      <c r="AV181" s="63"/>
      <c r="AW181" s="63"/>
      <c r="AX181" s="63"/>
      <c r="AY181" s="63"/>
      <c r="AZ181" s="63"/>
      <c r="BA181" s="63"/>
      <c r="BB181" s="63"/>
      <c r="BC181" s="63"/>
      <c r="BD181" s="63"/>
      <c r="BE181" s="63"/>
      <c r="BF181" s="63"/>
      <c r="BG181" s="63"/>
      <c r="BH181" s="63"/>
      <c r="BI181" s="63"/>
      <c r="BJ181" s="63"/>
      <c r="BK181" s="63"/>
      <c r="BL181" s="63"/>
      <c r="BM181" s="63"/>
      <c r="BN181" s="63"/>
      <c r="BO181" s="63"/>
      <c r="BP181" s="63"/>
      <c r="BQ181" s="63"/>
      <c r="BR181" s="63"/>
      <c r="BS181" s="63"/>
      <c r="BT181" s="63"/>
      <c r="BU181" s="63"/>
      <c r="BV181" s="63"/>
      <c r="BW181" s="63"/>
    </row>
    <row r="182" spans="1:75" x14ac:dyDescent="0.2">
      <c r="A182" s="63" t="str">
        <f t="shared" si="33"/>
        <v/>
      </c>
      <c r="B182" s="182"/>
      <c r="C182" s="75"/>
      <c r="D182" s="75"/>
      <c r="E182" s="74"/>
      <c r="F182" s="181"/>
      <c r="G182" s="69"/>
      <c r="AB182" s="150">
        <f t="shared" si="24"/>
        <v>0</v>
      </c>
      <c r="AC182" s="150">
        <f t="shared" si="25"/>
        <v>0</v>
      </c>
      <c r="AD182" s="98" t="str">
        <f t="shared" si="34"/>
        <v>0000000000</v>
      </c>
      <c r="AE182" s="151">
        <f t="shared" si="27"/>
        <v>0</v>
      </c>
      <c r="AF182" s="98" t="str">
        <f t="shared" si="28"/>
        <v>00</v>
      </c>
      <c r="AG182" s="98" t="str">
        <f t="shared" si="35"/>
        <v>000000000000</v>
      </c>
      <c r="AH182" s="161" t="str">
        <f t="shared" si="29"/>
        <v xml:space="preserve">                    </v>
      </c>
      <c r="AI182" s="154">
        <f t="shared" si="30"/>
        <v>0</v>
      </c>
      <c r="AJ182" s="155">
        <f t="shared" si="31"/>
        <v>0</v>
      </c>
      <c r="AP182" s="63" t="str">
        <f t="shared" si="32"/>
        <v/>
      </c>
      <c r="AQ182" s="63" t="str">
        <f t="shared" si="26"/>
        <v xml:space="preserve">                    </v>
      </c>
      <c r="AR182" s="63"/>
      <c r="AS182" s="63"/>
      <c r="AT182" s="63"/>
      <c r="AU182" s="63"/>
      <c r="AV182" s="63"/>
      <c r="AW182" s="63"/>
      <c r="AX182" s="63"/>
      <c r="AY182" s="63"/>
      <c r="AZ182" s="63"/>
      <c r="BA182" s="63"/>
      <c r="BB182" s="63"/>
      <c r="BC182" s="63"/>
      <c r="BD182" s="63"/>
      <c r="BE182" s="63"/>
      <c r="BF182" s="63"/>
      <c r="BG182" s="63"/>
      <c r="BH182" s="63"/>
      <c r="BI182" s="63"/>
      <c r="BJ182" s="63"/>
      <c r="BK182" s="63"/>
      <c r="BL182" s="63"/>
      <c r="BM182" s="63"/>
      <c r="BN182" s="63"/>
      <c r="BO182" s="63"/>
      <c r="BP182" s="63"/>
      <c r="BQ182" s="63"/>
      <c r="BR182" s="63"/>
      <c r="BS182" s="63"/>
      <c r="BT182" s="63"/>
      <c r="BU182" s="63"/>
      <c r="BV182" s="63"/>
      <c r="BW182" s="63"/>
    </row>
    <row r="183" spans="1:75" x14ac:dyDescent="0.2">
      <c r="A183" s="63" t="str">
        <f t="shared" si="33"/>
        <v/>
      </c>
      <c r="B183" s="182"/>
      <c r="C183" s="75"/>
      <c r="D183" s="75"/>
      <c r="E183" s="74"/>
      <c r="F183" s="181"/>
      <c r="G183" s="69"/>
      <c r="AB183" s="150">
        <f t="shared" si="24"/>
        <v>0</v>
      </c>
      <c r="AC183" s="150">
        <f t="shared" si="25"/>
        <v>0</v>
      </c>
      <c r="AD183" s="98" t="str">
        <f t="shared" si="34"/>
        <v>0000000000</v>
      </c>
      <c r="AE183" s="151">
        <f t="shared" si="27"/>
        <v>0</v>
      </c>
      <c r="AF183" s="98" t="str">
        <f t="shared" si="28"/>
        <v>00</v>
      </c>
      <c r="AG183" s="98" t="str">
        <f t="shared" si="35"/>
        <v>000000000000</v>
      </c>
      <c r="AH183" s="161" t="str">
        <f t="shared" si="29"/>
        <v xml:space="preserve">                    </v>
      </c>
      <c r="AI183" s="154">
        <f t="shared" si="30"/>
        <v>0</v>
      </c>
      <c r="AJ183" s="155">
        <f t="shared" si="31"/>
        <v>0</v>
      </c>
      <c r="AP183" s="63" t="str">
        <f t="shared" si="32"/>
        <v/>
      </c>
      <c r="AQ183" s="63" t="str">
        <f t="shared" si="26"/>
        <v xml:space="preserve">                    </v>
      </c>
      <c r="AR183" s="63"/>
      <c r="AS183" s="63"/>
      <c r="AT183" s="63"/>
      <c r="AU183" s="63"/>
      <c r="AV183" s="63"/>
      <c r="AW183" s="63"/>
      <c r="AX183" s="63"/>
      <c r="AY183" s="63"/>
      <c r="AZ183" s="63"/>
      <c r="BA183" s="63"/>
      <c r="BB183" s="63"/>
      <c r="BC183" s="63"/>
      <c r="BD183" s="63"/>
      <c r="BE183" s="63"/>
      <c r="BF183" s="63"/>
      <c r="BG183" s="63"/>
      <c r="BH183" s="63"/>
      <c r="BI183" s="63"/>
      <c r="BJ183" s="63"/>
      <c r="BK183" s="63"/>
      <c r="BL183" s="63"/>
      <c r="BM183" s="63"/>
      <c r="BN183" s="63"/>
      <c r="BO183" s="63"/>
      <c r="BP183" s="63"/>
      <c r="BQ183" s="63"/>
      <c r="BR183" s="63"/>
      <c r="BS183" s="63"/>
      <c r="BT183" s="63"/>
      <c r="BU183" s="63"/>
      <c r="BV183" s="63"/>
      <c r="BW183" s="63"/>
    </row>
    <row r="184" spans="1:75" x14ac:dyDescent="0.2">
      <c r="A184" s="63" t="str">
        <f t="shared" si="33"/>
        <v/>
      </c>
      <c r="B184" s="182"/>
      <c r="C184" s="75"/>
      <c r="D184" s="75"/>
      <c r="E184" s="74"/>
      <c r="F184" s="181"/>
      <c r="G184" s="69"/>
      <c r="AB184" s="150">
        <f t="shared" si="24"/>
        <v>0</v>
      </c>
      <c r="AC184" s="150">
        <f t="shared" si="25"/>
        <v>0</v>
      </c>
      <c r="AD184" s="98" t="str">
        <f t="shared" si="34"/>
        <v>0000000000</v>
      </c>
      <c r="AE184" s="151">
        <f t="shared" si="27"/>
        <v>0</v>
      </c>
      <c r="AF184" s="98" t="str">
        <f t="shared" si="28"/>
        <v>00</v>
      </c>
      <c r="AG184" s="98" t="str">
        <f t="shared" si="35"/>
        <v>000000000000</v>
      </c>
      <c r="AH184" s="161" t="str">
        <f t="shared" si="29"/>
        <v xml:space="preserve">                    </v>
      </c>
      <c r="AI184" s="154">
        <f t="shared" si="30"/>
        <v>0</v>
      </c>
      <c r="AJ184" s="155">
        <f t="shared" si="31"/>
        <v>0</v>
      </c>
      <c r="AP184" s="63" t="str">
        <f t="shared" si="32"/>
        <v/>
      </c>
      <c r="AQ184" s="63" t="str">
        <f t="shared" si="26"/>
        <v xml:space="preserve">                    </v>
      </c>
      <c r="AR184" s="63"/>
      <c r="AS184" s="63"/>
      <c r="AT184" s="63"/>
      <c r="AU184" s="63"/>
      <c r="AV184" s="63"/>
      <c r="AW184" s="63"/>
      <c r="AX184" s="63"/>
      <c r="AY184" s="63"/>
      <c r="AZ184" s="63"/>
      <c r="BA184" s="63"/>
      <c r="BB184" s="63"/>
      <c r="BC184" s="63"/>
      <c r="BD184" s="63"/>
      <c r="BE184" s="63"/>
      <c r="BF184" s="63"/>
      <c r="BG184" s="63"/>
      <c r="BH184" s="63"/>
      <c r="BI184" s="63"/>
      <c r="BJ184" s="63"/>
      <c r="BK184" s="63"/>
      <c r="BL184" s="63"/>
      <c r="BM184" s="63"/>
      <c r="BN184" s="63"/>
      <c r="BO184" s="63"/>
      <c r="BP184" s="63"/>
      <c r="BQ184" s="63"/>
      <c r="BR184" s="63"/>
      <c r="BS184" s="63"/>
      <c r="BT184" s="63"/>
      <c r="BU184" s="63"/>
      <c r="BV184" s="63"/>
      <c r="BW184" s="63"/>
    </row>
    <row r="185" spans="1:75" x14ac:dyDescent="0.2">
      <c r="A185" s="63" t="str">
        <f t="shared" si="33"/>
        <v/>
      </c>
      <c r="B185" s="182"/>
      <c r="C185" s="75"/>
      <c r="D185" s="75"/>
      <c r="E185" s="74"/>
      <c r="F185" s="181"/>
      <c r="G185" s="69"/>
      <c r="AB185" s="150">
        <f t="shared" si="24"/>
        <v>0</v>
      </c>
      <c r="AC185" s="150">
        <f t="shared" si="25"/>
        <v>0</v>
      </c>
      <c r="AD185" s="98" t="str">
        <f t="shared" si="34"/>
        <v>0000000000</v>
      </c>
      <c r="AE185" s="151">
        <f t="shared" si="27"/>
        <v>0</v>
      </c>
      <c r="AF185" s="98" t="str">
        <f t="shared" si="28"/>
        <v>00</v>
      </c>
      <c r="AG185" s="98" t="str">
        <f t="shared" si="35"/>
        <v>000000000000</v>
      </c>
      <c r="AH185" s="161" t="str">
        <f t="shared" si="29"/>
        <v xml:space="preserve">                    </v>
      </c>
      <c r="AI185" s="154">
        <f t="shared" si="30"/>
        <v>0</v>
      </c>
      <c r="AJ185" s="155">
        <f t="shared" si="31"/>
        <v>0</v>
      </c>
      <c r="AP185" s="63" t="str">
        <f t="shared" si="32"/>
        <v/>
      </c>
      <c r="AQ185" s="63" t="str">
        <f t="shared" si="26"/>
        <v xml:space="preserve">                    </v>
      </c>
      <c r="AR185" s="63"/>
      <c r="AS185" s="63"/>
      <c r="AT185" s="63"/>
      <c r="AU185" s="63"/>
      <c r="AV185" s="63"/>
      <c r="AW185" s="63"/>
      <c r="AX185" s="63"/>
      <c r="AY185" s="63"/>
      <c r="AZ185" s="63"/>
      <c r="BA185" s="63"/>
      <c r="BB185" s="63"/>
      <c r="BC185" s="63"/>
      <c r="BD185" s="63"/>
      <c r="BE185" s="63"/>
      <c r="BF185" s="63"/>
      <c r="BG185" s="63"/>
      <c r="BH185" s="63"/>
      <c r="BI185" s="63"/>
      <c r="BJ185" s="63"/>
      <c r="BK185" s="63"/>
      <c r="BL185" s="63"/>
      <c r="BM185" s="63"/>
      <c r="BN185" s="63"/>
      <c r="BO185" s="63"/>
      <c r="BP185" s="63"/>
      <c r="BQ185" s="63"/>
      <c r="BR185" s="63"/>
      <c r="BS185" s="63"/>
      <c r="BT185" s="63"/>
      <c r="BU185" s="63"/>
      <c r="BV185" s="63"/>
      <c r="BW185" s="63"/>
    </row>
    <row r="186" spans="1:75" x14ac:dyDescent="0.2">
      <c r="A186" s="63" t="str">
        <f t="shared" si="33"/>
        <v/>
      </c>
      <c r="B186" s="182"/>
      <c r="C186" s="75"/>
      <c r="D186" s="75"/>
      <c r="E186" s="74"/>
      <c r="F186" s="181"/>
      <c r="G186" s="69"/>
      <c r="AB186" s="150">
        <f t="shared" si="24"/>
        <v>0</v>
      </c>
      <c r="AC186" s="150">
        <f t="shared" si="25"/>
        <v>0</v>
      </c>
      <c r="AD186" s="98" t="str">
        <f t="shared" si="34"/>
        <v>0000000000</v>
      </c>
      <c r="AE186" s="151">
        <f t="shared" si="27"/>
        <v>0</v>
      </c>
      <c r="AF186" s="98" t="str">
        <f t="shared" si="28"/>
        <v>00</v>
      </c>
      <c r="AG186" s="98" t="str">
        <f t="shared" si="35"/>
        <v>000000000000</v>
      </c>
      <c r="AH186" s="161" t="str">
        <f t="shared" si="29"/>
        <v xml:space="preserve">                    </v>
      </c>
      <c r="AI186" s="154">
        <f t="shared" si="30"/>
        <v>0</v>
      </c>
      <c r="AJ186" s="155">
        <f t="shared" si="31"/>
        <v>0</v>
      </c>
      <c r="AP186" s="63" t="str">
        <f t="shared" si="32"/>
        <v/>
      </c>
      <c r="AQ186" s="63" t="str">
        <f t="shared" si="26"/>
        <v xml:space="preserve">                    </v>
      </c>
      <c r="AR186" s="63"/>
      <c r="AS186" s="63"/>
      <c r="AT186" s="63"/>
      <c r="AU186" s="63"/>
      <c r="AV186" s="63"/>
      <c r="AW186" s="63"/>
      <c r="AX186" s="63"/>
      <c r="AY186" s="63"/>
      <c r="AZ186" s="63"/>
      <c r="BA186" s="63"/>
      <c r="BB186" s="63"/>
      <c r="BC186" s="63"/>
      <c r="BD186" s="63"/>
      <c r="BE186" s="63"/>
      <c r="BF186" s="63"/>
      <c r="BG186" s="63"/>
      <c r="BH186" s="63"/>
      <c r="BI186" s="63"/>
      <c r="BJ186" s="63"/>
      <c r="BK186" s="63"/>
      <c r="BL186" s="63"/>
      <c r="BM186" s="63"/>
      <c r="BN186" s="63"/>
      <c r="BO186" s="63"/>
      <c r="BP186" s="63"/>
      <c r="BQ186" s="63"/>
      <c r="BR186" s="63"/>
      <c r="BS186" s="63"/>
      <c r="BT186" s="63"/>
      <c r="BU186" s="63"/>
      <c r="BV186" s="63"/>
      <c r="BW186" s="63"/>
    </row>
    <row r="187" spans="1:75" x14ac:dyDescent="0.2">
      <c r="A187" s="63" t="str">
        <f t="shared" si="33"/>
        <v/>
      </c>
      <c r="B187" s="182"/>
      <c r="C187" s="75"/>
      <c r="D187" s="75"/>
      <c r="E187" s="74"/>
      <c r="F187" s="181"/>
      <c r="G187" s="69"/>
      <c r="AB187" s="150">
        <f t="shared" si="24"/>
        <v>0</v>
      </c>
      <c r="AC187" s="150">
        <f t="shared" si="25"/>
        <v>0</v>
      </c>
      <c r="AD187" s="98" t="str">
        <f t="shared" si="34"/>
        <v>0000000000</v>
      </c>
      <c r="AE187" s="151">
        <f t="shared" si="27"/>
        <v>0</v>
      </c>
      <c r="AF187" s="98" t="str">
        <f t="shared" si="28"/>
        <v>00</v>
      </c>
      <c r="AG187" s="98" t="str">
        <f t="shared" si="35"/>
        <v>000000000000</v>
      </c>
      <c r="AH187" s="161" t="str">
        <f t="shared" si="29"/>
        <v xml:space="preserve">                    </v>
      </c>
      <c r="AI187" s="154">
        <f t="shared" si="30"/>
        <v>0</v>
      </c>
      <c r="AJ187" s="155">
        <f t="shared" si="31"/>
        <v>0</v>
      </c>
      <c r="AP187" s="63" t="str">
        <f t="shared" si="32"/>
        <v/>
      </c>
      <c r="AQ187" s="63" t="str">
        <f t="shared" si="26"/>
        <v xml:space="preserve">                    </v>
      </c>
      <c r="AR187" s="63"/>
      <c r="AS187" s="63"/>
      <c r="AT187" s="63"/>
      <c r="AU187" s="63"/>
      <c r="AV187" s="63"/>
      <c r="AW187" s="63"/>
      <c r="AX187" s="63"/>
      <c r="AY187" s="63"/>
      <c r="AZ187" s="63"/>
      <c r="BA187" s="63"/>
      <c r="BB187" s="63"/>
      <c r="BC187" s="63"/>
      <c r="BD187" s="63"/>
      <c r="BE187" s="63"/>
      <c r="BF187" s="63"/>
      <c r="BG187" s="63"/>
      <c r="BH187" s="63"/>
      <c r="BI187" s="63"/>
      <c r="BJ187" s="63"/>
      <c r="BK187" s="63"/>
      <c r="BL187" s="63"/>
      <c r="BM187" s="63"/>
      <c r="BN187" s="63"/>
      <c r="BO187" s="63"/>
      <c r="BP187" s="63"/>
      <c r="BQ187" s="63"/>
      <c r="BR187" s="63"/>
      <c r="BS187" s="63"/>
      <c r="BT187" s="63"/>
      <c r="BU187" s="63"/>
      <c r="BV187" s="63"/>
      <c r="BW187" s="63"/>
    </row>
    <row r="188" spans="1:75" x14ac:dyDescent="0.2">
      <c r="A188" s="63" t="str">
        <f t="shared" si="33"/>
        <v/>
      </c>
      <c r="B188" s="182"/>
      <c r="C188" s="75"/>
      <c r="D188" s="75"/>
      <c r="E188" s="74"/>
      <c r="F188" s="181"/>
      <c r="G188" s="69"/>
      <c r="AB188" s="150">
        <f t="shared" si="24"/>
        <v>0</v>
      </c>
      <c r="AC188" s="150">
        <f t="shared" si="25"/>
        <v>0</v>
      </c>
      <c r="AD188" s="98" t="str">
        <f t="shared" si="34"/>
        <v>0000000000</v>
      </c>
      <c r="AE188" s="151">
        <f t="shared" si="27"/>
        <v>0</v>
      </c>
      <c r="AF188" s="98" t="str">
        <f t="shared" si="28"/>
        <v>00</v>
      </c>
      <c r="AG188" s="98" t="str">
        <f t="shared" si="35"/>
        <v>000000000000</v>
      </c>
      <c r="AH188" s="161" t="str">
        <f t="shared" si="29"/>
        <v xml:space="preserve">                    </v>
      </c>
      <c r="AI188" s="154">
        <f t="shared" si="30"/>
        <v>0</v>
      </c>
      <c r="AJ188" s="155">
        <f t="shared" si="31"/>
        <v>0</v>
      </c>
      <c r="AP188" s="63" t="str">
        <f t="shared" si="32"/>
        <v/>
      </c>
      <c r="AQ188" s="63" t="str">
        <f t="shared" si="26"/>
        <v xml:space="preserve">                    </v>
      </c>
      <c r="AR188" s="63"/>
      <c r="AS188" s="63"/>
      <c r="AT188" s="63"/>
      <c r="AU188" s="63"/>
      <c r="AV188" s="63"/>
      <c r="AW188" s="63"/>
      <c r="AX188" s="63"/>
      <c r="AY188" s="63"/>
      <c r="AZ188" s="63"/>
      <c r="BA188" s="63"/>
      <c r="BB188" s="63"/>
      <c r="BC188" s="63"/>
      <c r="BD188" s="63"/>
      <c r="BE188" s="63"/>
      <c r="BF188" s="63"/>
      <c r="BG188" s="63"/>
      <c r="BH188" s="63"/>
      <c r="BI188" s="63"/>
      <c r="BJ188" s="63"/>
      <c r="BK188" s="63"/>
      <c r="BL188" s="63"/>
      <c r="BM188" s="63"/>
      <c r="BN188" s="63"/>
      <c r="BO188" s="63"/>
      <c r="BP188" s="63"/>
      <c r="BQ188" s="63"/>
      <c r="BR188" s="63"/>
      <c r="BS188" s="63"/>
      <c r="BT188" s="63"/>
      <c r="BU188" s="63"/>
      <c r="BV188" s="63"/>
      <c r="BW188" s="63"/>
    </row>
    <row r="189" spans="1:75" x14ac:dyDescent="0.2">
      <c r="A189" s="63" t="str">
        <f t="shared" si="33"/>
        <v/>
      </c>
      <c r="B189" s="182"/>
      <c r="C189" s="75"/>
      <c r="D189" s="75"/>
      <c r="E189" s="74"/>
      <c r="F189" s="181"/>
      <c r="G189" s="69"/>
      <c r="AB189" s="150">
        <f t="shared" si="24"/>
        <v>0</v>
      </c>
      <c r="AC189" s="150">
        <f t="shared" si="25"/>
        <v>0</v>
      </c>
      <c r="AD189" s="98" t="str">
        <f t="shared" si="34"/>
        <v>0000000000</v>
      </c>
      <c r="AE189" s="151">
        <f t="shared" si="27"/>
        <v>0</v>
      </c>
      <c r="AF189" s="98" t="str">
        <f t="shared" si="28"/>
        <v>00</v>
      </c>
      <c r="AG189" s="98" t="str">
        <f t="shared" si="35"/>
        <v>000000000000</v>
      </c>
      <c r="AH189" s="161" t="str">
        <f t="shared" si="29"/>
        <v xml:space="preserve">                    </v>
      </c>
      <c r="AI189" s="154">
        <f t="shared" si="30"/>
        <v>0</v>
      </c>
      <c r="AJ189" s="155">
        <f t="shared" si="31"/>
        <v>0</v>
      </c>
      <c r="AP189" s="63" t="str">
        <f t="shared" si="32"/>
        <v/>
      </c>
      <c r="AQ189" s="63" t="str">
        <f t="shared" si="26"/>
        <v xml:space="preserve">                    </v>
      </c>
      <c r="AR189" s="63"/>
      <c r="AS189" s="63"/>
      <c r="AT189" s="63"/>
      <c r="AU189" s="63"/>
      <c r="AV189" s="63"/>
      <c r="AW189" s="63"/>
      <c r="AX189" s="63"/>
      <c r="AY189" s="63"/>
      <c r="AZ189" s="63"/>
      <c r="BA189" s="63"/>
      <c r="BB189" s="63"/>
      <c r="BC189" s="63"/>
      <c r="BD189" s="63"/>
      <c r="BE189" s="63"/>
      <c r="BF189" s="63"/>
      <c r="BG189" s="63"/>
      <c r="BH189" s="63"/>
      <c r="BI189" s="63"/>
      <c r="BJ189" s="63"/>
      <c r="BK189" s="63"/>
      <c r="BL189" s="63"/>
      <c r="BM189" s="63"/>
      <c r="BN189" s="63"/>
      <c r="BO189" s="63"/>
      <c r="BP189" s="63"/>
      <c r="BQ189" s="63"/>
      <c r="BR189" s="63"/>
      <c r="BS189" s="63"/>
      <c r="BT189" s="63"/>
      <c r="BU189" s="63"/>
      <c r="BV189" s="63"/>
      <c r="BW189" s="63"/>
    </row>
    <row r="190" spans="1:75" x14ac:dyDescent="0.2">
      <c r="A190" s="63" t="str">
        <f t="shared" si="33"/>
        <v/>
      </c>
      <c r="B190" s="182"/>
      <c r="C190" s="75"/>
      <c r="D190" s="75"/>
      <c r="E190" s="74"/>
      <c r="F190" s="181"/>
      <c r="G190" s="69"/>
      <c r="AB190" s="150">
        <f t="shared" si="24"/>
        <v>0</v>
      </c>
      <c r="AC190" s="150">
        <f t="shared" si="25"/>
        <v>0</v>
      </c>
      <c r="AD190" s="98" t="str">
        <f t="shared" si="34"/>
        <v>0000000000</v>
      </c>
      <c r="AE190" s="151">
        <f t="shared" si="27"/>
        <v>0</v>
      </c>
      <c r="AF190" s="98" t="str">
        <f t="shared" si="28"/>
        <v>00</v>
      </c>
      <c r="AG190" s="98" t="str">
        <f t="shared" si="35"/>
        <v>000000000000</v>
      </c>
      <c r="AH190" s="161" t="str">
        <f t="shared" si="29"/>
        <v xml:space="preserve">                    </v>
      </c>
      <c r="AI190" s="154">
        <f t="shared" si="30"/>
        <v>0</v>
      </c>
      <c r="AJ190" s="155">
        <f t="shared" si="31"/>
        <v>0</v>
      </c>
      <c r="AP190" s="63" t="str">
        <f t="shared" si="32"/>
        <v/>
      </c>
      <c r="AQ190" s="63" t="str">
        <f t="shared" si="26"/>
        <v xml:space="preserve">                    </v>
      </c>
      <c r="AR190" s="63"/>
      <c r="AS190" s="63"/>
      <c r="AT190" s="63"/>
      <c r="AU190" s="63"/>
      <c r="AV190" s="63"/>
      <c r="AW190" s="63"/>
      <c r="AX190" s="63"/>
      <c r="AY190" s="63"/>
      <c r="AZ190" s="63"/>
      <c r="BA190" s="63"/>
      <c r="BB190" s="63"/>
      <c r="BC190" s="63"/>
      <c r="BD190" s="63"/>
      <c r="BE190" s="63"/>
      <c r="BF190" s="63"/>
      <c r="BG190" s="63"/>
      <c r="BH190" s="63"/>
      <c r="BI190" s="63"/>
      <c r="BJ190" s="63"/>
      <c r="BK190" s="63"/>
      <c r="BL190" s="63"/>
      <c r="BM190" s="63"/>
      <c r="BN190" s="63"/>
      <c r="BO190" s="63"/>
      <c r="BP190" s="63"/>
      <c r="BQ190" s="63"/>
      <c r="BR190" s="63"/>
      <c r="BS190" s="63"/>
      <c r="BT190" s="63"/>
      <c r="BU190" s="63"/>
      <c r="BV190" s="63"/>
      <c r="BW190" s="63"/>
    </row>
    <row r="191" spans="1:75" x14ac:dyDescent="0.2">
      <c r="A191" s="63" t="str">
        <f t="shared" si="33"/>
        <v/>
      </c>
      <c r="B191" s="182"/>
      <c r="C191" s="75"/>
      <c r="D191" s="75"/>
      <c r="E191" s="74"/>
      <c r="F191" s="181"/>
      <c r="G191" s="69"/>
      <c r="AB191" s="150">
        <f t="shared" si="24"/>
        <v>0</v>
      </c>
      <c r="AC191" s="150">
        <f t="shared" si="25"/>
        <v>0</v>
      </c>
      <c r="AD191" s="98" t="str">
        <f t="shared" si="34"/>
        <v>0000000000</v>
      </c>
      <c r="AE191" s="151">
        <f t="shared" si="27"/>
        <v>0</v>
      </c>
      <c r="AF191" s="98" t="str">
        <f t="shared" si="28"/>
        <v>00</v>
      </c>
      <c r="AG191" s="98" t="str">
        <f t="shared" si="35"/>
        <v>000000000000</v>
      </c>
      <c r="AH191" s="161" t="str">
        <f t="shared" si="29"/>
        <v xml:space="preserve">                    </v>
      </c>
      <c r="AI191" s="154">
        <f t="shared" si="30"/>
        <v>0</v>
      </c>
      <c r="AJ191" s="155">
        <f t="shared" si="31"/>
        <v>0</v>
      </c>
      <c r="AP191" s="63" t="str">
        <f t="shared" si="32"/>
        <v/>
      </c>
      <c r="AQ191" s="63" t="str">
        <f t="shared" si="26"/>
        <v xml:space="preserve">                    </v>
      </c>
      <c r="AR191" s="63"/>
      <c r="AS191" s="63"/>
      <c r="AT191" s="63"/>
      <c r="AU191" s="63"/>
      <c r="AV191" s="63"/>
      <c r="AW191" s="63"/>
      <c r="AX191" s="63"/>
      <c r="AY191" s="63"/>
      <c r="AZ191" s="63"/>
      <c r="BA191" s="63"/>
      <c r="BB191" s="63"/>
      <c r="BC191" s="63"/>
      <c r="BD191" s="63"/>
      <c r="BE191" s="63"/>
      <c r="BF191" s="63"/>
      <c r="BG191" s="63"/>
      <c r="BH191" s="63"/>
      <c r="BI191" s="63"/>
      <c r="BJ191" s="63"/>
      <c r="BK191" s="63"/>
      <c r="BL191" s="63"/>
      <c r="BM191" s="63"/>
      <c r="BN191" s="63"/>
      <c r="BO191" s="63"/>
      <c r="BP191" s="63"/>
      <c r="BQ191" s="63"/>
      <c r="BR191" s="63"/>
      <c r="BS191" s="63"/>
      <c r="BT191" s="63"/>
      <c r="BU191" s="63"/>
      <c r="BV191" s="63"/>
      <c r="BW191" s="63"/>
    </row>
    <row r="192" spans="1:75" x14ac:dyDescent="0.2">
      <c r="A192" s="63" t="str">
        <f t="shared" si="33"/>
        <v/>
      </c>
      <c r="B192" s="182"/>
      <c r="C192" s="75"/>
      <c r="D192" s="75"/>
      <c r="E192" s="74"/>
      <c r="F192" s="181"/>
      <c r="G192" s="69"/>
      <c r="AB192" s="150">
        <f t="shared" si="24"/>
        <v>0</v>
      </c>
      <c r="AC192" s="150">
        <f t="shared" si="25"/>
        <v>0</v>
      </c>
      <c r="AD192" s="98" t="str">
        <f t="shared" si="34"/>
        <v>0000000000</v>
      </c>
      <c r="AE192" s="151">
        <f t="shared" si="27"/>
        <v>0</v>
      </c>
      <c r="AF192" s="98" t="str">
        <f t="shared" si="28"/>
        <v>00</v>
      </c>
      <c r="AG192" s="98" t="str">
        <f t="shared" si="35"/>
        <v>000000000000</v>
      </c>
      <c r="AH192" s="161" t="str">
        <f t="shared" si="29"/>
        <v xml:space="preserve">                    </v>
      </c>
      <c r="AI192" s="154">
        <f t="shared" si="30"/>
        <v>0</v>
      </c>
      <c r="AJ192" s="155">
        <f t="shared" si="31"/>
        <v>0</v>
      </c>
      <c r="AP192" s="63" t="str">
        <f t="shared" si="32"/>
        <v/>
      </c>
      <c r="AQ192" s="63" t="str">
        <f t="shared" si="26"/>
        <v xml:space="preserve">                    </v>
      </c>
      <c r="AR192" s="63"/>
      <c r="AS192" s="63"/>
      <c r="AT192" s="63"/>
      <c r="AU192" s="63"/>
      <c r="AV192" s="63"/>
      <c r="AW192" s="63"/>
      <c r="AX192" s="63"/>
      <c r="AY192" s="63"/>
      <c r="AZ192" s="63"/>
      <c r="BA192" s="63"/>
      <c r="BB192" s="63"/>
      <c r="BC192" s="63"/>
      <c r="BD192" s="63"/>
      <c r="BE192" s="63"/>
      <c r="BF192" s="63"/>
      <c r="BG192" s="63"/>
      <c r="BH192" s="63"/>
      <c r="BI192" s="63"/>
      <c r="BJ192" s="63"/>
      <c r="BK192" s="63"/>
      <c r="BL192" s="63"/>
      <c r="BM192" s="63"/>
      <c r="BN192" s="63"/>
      <c r="BO192" s="63"/>
      <c r="BP192" s="63"/>
      <c r="BQ192" s="63"/>
      <c r="BR192" s="63"/>
      <c r="BS192" s="63"/>
      <c r="BT192" s="63"/>
      <c r="BU192" s="63"/>
      <c r="BV192" s="63"/>
      <c r="BW192" s="63"/>
    </row>
    <row r="193" spans="1:75" x14ac:dyDescent="0.2">
      <c r="A193" s="63" t="str">
        <f t="shared" si="33"/>
        <v/>
      </c>
      <c r="B193" s="182"/>
      <c r="C193" s="75"/>
      <c r="D193" s="75"/>
      <c r="E193" s="74"/>
      <c r="F193" s="181"/>
      <c r="G193" s="69"/>
      <c r="AB193" s="150">
        <f t="shared" si="24"/>
        <v>0</v>
      </c>
      <c r="AC193" s="150">
        <f t="shared" si="25"/>
        <v>0</v>
      </c>
      <c r="AD193" s="98" t="str">
        <f t="shared" si="34"/>
        <v>0000000000</v>
      </c>
      <c r="AE193" s="151">
        <f t="shared" si="27"/>
        <v>0</v>
      </c>
      <c r="AF193" s="98" t="str">
        <f t="shared" si="28"/>
        <v>00</v>
      </c>
      <c r="AG193" s="98" t="str">
        <f t="shared" si="35"/>
        <v>000000000000</v>
      </c>
      <c r="AH193" s="161" t="str">
        <f t="shared" si="29"/>
        <v xml:space="preserve">                    </v>
      </c>
      <c r="AI193" s="154">
        <f t="shared" si="30"/>
        <v>0</v>
      </c>
      <c r="AJ193" s="155">
        <f t="shared" si="31"/>
        <v>0</v>
      </c>
      <c r="AP193" s="63" t="str">
        <f t="shared" si="32"/>
        <v/>
      </c>
      <c r="AQ193" s="63" t="str">
        <f t="shared" si="26"/>
        <v xml:space="preserve">                    </v>
      </c>
      <c r="AR193" s="63"/>
      <c r="AS193" s="63"/>
      <c r="AT193" s="63"/>
      <c r="AU193" s="63"/>
      <c r="AV193" s="63"/>
      <c r="AW193" s="63"/>
      <c r="AX193" s="63"/>
      <c r="AY193" s="63"/>
      <c r="AZ193" s="63"/>
      <c r="BA193" s="63"/>
      <c r="BB193" s="63"/>
      <c r="BC193" s="63"/>
      <c r="BD193" s="63"/>
      <c r="BE193" s="63"/>
      <c r="BF193" s="63"/>
      <c r="BG193" s="63"/>
      <c r="BH193" s="63"/>
      <c r="BI193" s="63"/>
      <c r="BJ193" s="63"/>
      <c r="BK193" s="63"/>
      <c r="BL193" s="63"/>
      <c r="BM193" s="63"/>
      <c r="BN193" s="63"/>
      <c r="BO193" s="63"/>
      <c r="BP193" s="63"/>
      <c r="BQ193" s="63"/>
      <c r="BR193" s="63"/>
      <c r="BS193" s="63"/>
      <c r="BT193" s="63"/>
      <c r="BU193" s="63"/>
      <c r="BV193" s="63"/>
      <c r="BW193" s="63"/>
    </row>
    <row r="194" spans="1:75" x14ac:dyDescent="0.2">
      <c r="A194" s="63" t="str">
        <f t="shared" si="33"/>
        <v/>
      </c>
      <c r="B194" s="182"/>
      <c r="C194" s="75"/>
      <c r="D194" s="75"/>
      <c r="E194" s="74"/>
      <c r="F194" s="181"/>
      <c r="G194" s="69"/>
      <c r="AB194" s="150">
        <f t="shared" si="24"/>
        <v>0</v>
      </c>
      <c r="AC194" s="150">
        <f t="shared" si="25"/>
        <v>0</v>
      </c>
      <c r="AD194" s="98" t="str">
        <f t="shared" si="34"/>
        <v>0000000000</v>
      </c>
      <c r="AE194" s="151">
        <f t="shared" si="27"/>
        <v>0</v>
      </c>
      <c r="AF194" s="98" t="str">
        <f t="shared" si="28"/>
        <v>00</v>
      </c>
      <c r="AG194" s="98" t="str">
        <f t="shared" si="35"/>
        <v>000000000000</v>
      </c>
      <c r="AH194" s="161" t="str">
        <f t="shared" si="29"/>
        <v xml:space="preserve">                    </v>
      </c>
      <c r="AI194" s="154">
        <f t="shared" si="30"/>
        <v>0</v>
      </c>
      <c r="AJ194" s="155">
        <f t="shared" si="31"/>
        <v>0</v>
      </c>
      <c r="AP194" s="63" t="str">
        <f t="shared" si="32"/>
        <v/>
      </c>
      <c r="AQ194" s="63" t="str">
        <f t="shared" si="26"/>
        <v xml:space="preserve">                    </v>
      </c>
      <c r="AR194" s="63"/>
      <c r="AS194" s="63"/>
      <c r="AT194" s="63"/>
      <c r="AU194" s="63"/>
      <c r="AV194" s="63"/>
      <c r="AW194" s="63"/>
      <c r="AX194" s="63"/>
      <c r="AY194" s="63"/>
      <c r="AZ194" s="63"/>
      <c r="BA194" s="63"/>
      <c r="BB194" s="63"/>
      <c r="BC194" s="63"/>
      <c r="BD194" s="63"/>
      <c r="BE194" s="63"/>
      <c r="BF194" s="63"/>
      <c r="BG194" s="63"/>
      <c r="BH194" s="63"/>
      <c r="BI194" s="63"/>
      <c r="BJ194" s="63"/>
      <c r="BK194" s="63"/>
      <c r="BL194" s="63"/>
      <c r="BM194" s="63"/>
      <c r="BN194" s="63"/>
      <c r="BO194" s="63"/>
      <c r="BP194" s="63"/>
      <c r="BQ194" s="63"/>
      <c r="BR194" s="63"/>
      <c r="BS194" s="63"/>
      <c r="BT194" s="63"/>
      <c r="BU194" s="63"/>
      <c r="BV194" s="63"/>
      <c r="BW194" s="63"/>
    </row>
    <row r="195" spans="1:75" x14ac:dyDescent="0.2">
      <c r="A195" s="63" t="str">
        <f t="shared" si="33"/>
        <v/>
      </c>
      <c r="B195" s="182"/>
      <c r="C195" s="75"/>
      <c r="D195" s="75"/>
      <c r="E195" s="74"/>
      <c r="F195" s="181"/>
      <c r="G195" s="69"/>
      <c r="AB195" s="150">
        <f t="shared" ref="AB195:AB258" si="36">INT(F195)</f>
        <v>0</v>
      </c>
      <c r="AC195" s="150">
        <f t="shared" ref="AC195:AC258" si="37">F195-AB195</f>
        <v>0</v>
      </c>
      <c r="AD195" s="98" t="str">
        <f t="shared" si="34"/>
        <v>0000000000</v>
      </c>
      <c r="AE195" s="151">
        <f t="shared" si="27"/>
        <v>0</v>
      </c>
      <c r="AF195" s="98" t="str">
        <f t="shared" si="28"/>
        <v>00</v>
      </c>
      <c r="AG195" s="98" t="str">
        <f t="shared" si="35"/>
        <v>000000000000</v>
      </c>
      <c r="AH195" s="161" t="str">
        <f t="shared" si="29"/>
        <v xml:space="preserve">                    </v>
      </c>
      <c r="AI195" s="154">
        <f t="shared" si="30"/>
        <v>0</v>
      </c>
      <c r="AJ195" s="155">
        <f t="shared" si="31"/>
        <v>0</v>
      </c>
      <c r="AP195" s="63" t="str">
        <f t="shared" si="32"/>
        <v/>
      </c>
      <c r="AQ195" s="63" t="str">
        <f t="shared" ref="AQ195:AQ258" si="38">CONCATENATE(D195,REPT(" ",20-LEN(D195)))</f>
        <v xml:space="preserve">                    </v>
      </c>
      <c r="AR195" s="63"/>
      <c r="AS195" s="63"/>
      <c r="AT195" s="63"/>
      <c r="AU195" s="63"/>
      <c r="AV195" s="63"/>
      <c r="AW195" s="63"/>
      <c r="AX195" s="63"/>
      <c r="AY195" s="63"/>
      <c r="AZ195" s="63"/>
      <c r="BA195" s="63"/>
      <c r="BB195" s="63"/>
      <c r="BC195" s="63"/>
      <c r="BD195" s="63"/>
      <c r="BE195" s="63"/>
      <c r="BF195" s="63"/>
      <c r="BG195" s="63"/>
      <c r="BH195" s="63"/>
      <c r="BI195" s="63"/>
      <c r="BJ195" s="63"/>
      <c r="BK195" s="63"/>
      <c r="BL195" s="63"/>
      <c r="BM195" s="63"/>
      <c r="BN195" s="63"/>
      <c r="BO195" s="63"/>
      <c r="BP195" s="63"/>
      <c r="BQ195" s="63"/>
      <c r="BR195" s="63"/>
      <c r="BS195" s="63"/>
      <c r="BT195" s="63"/>
      <c r="BU195" s="63"/>
      <c r="BV195" s="63"/>
      <c r="BW195" s="63"/>
    </row>
    <row r="196" spans="1:75" x14ac:dyDescent="0.2">
      <c r="A196" s="63" t="str">
        <f t="shared" si="33"/>
        <v/>
      </c>
      <c r="B196" s="182"/>
      <c r="C196" s="75"/>
      <c r="D196" s="75"/>
      <c r="E196" s="74"/>
      <c r="F196" s="181"/>
      <c r="G196" s="69"/>
      <c r="AB196" s="150">
        <f t="shared" si="36"/>
        <v>0</v>
      </c>
      <c r="AC196" s="150">
        <f t="shared" si="37"/>
        <v>0</v>
      </c>
      <c r="AD196" s="98" t="str">
        <f t="shared" si="34"/>
        <v>0000000000</v>
      </c>
      <c r="AE196" s="151">
        <f t="shared" ref="AE196:AE259" si="39">AC196*100</f>
        <v>0</v>
      </c>
      <c r="AF196" s="98" t="str">
        <f t="shared" ref="AF196:AF259" si="40">TEXT(AE196,"00")</f>
        <v>00</v>
      </c>
      <c r="AG196" s="98" t="str">
        <f t="shared" si="35"/>
        <v>000000000000</v>
      </c>
      <c r="AH196" s="161" t="str">
        <f t="shared" ref="AH196:AH259" si="41">CONCATENATE(C196,REPT(" ",20-LEN(C196)))</f>
        <v xml:space="preserve">                    </v>
      </c>
      <c r="AI196" s="154">
        <f t="shared" ref="AI196:AI259" si="42">IF(E196&lt;&gt;"",IF(E196=$E$3,0,1),0)</f>
        <v>0</v>
      </c>
      <c r="AJ196" s="155">
        <f t="shared" ref="AJ196:AJ259" si="43">IF(AI196=1,IF($E$3=1,F196*$H$14,F196/$H$14),F196)</f>
        <v>0</v>
      </c>
      <c r="AP196" s="63" t="str">
        <f t="shared" ref="AP196:AP259" si="44">IF(B197&lt;&gt;"",CONCATENATE("000",B197,"0",E197,"2","    00000000",AG197,"            ",AQ197,AH197,"                                                                                               "),"")</f>
        <v/>
      </c>
      <c r="AQ196" s="63" t="str">
        <f t="shared" si="38"/>
        <v xml:space="preserve">                    </v>
      </c>
      <c r="AR196" s="63"/>
      <c r="AS196" s="63"/>
      <c r="AT196" s="63"/>
      <c r="AU196" s="63"/>
      <c r="AV196" s="63"/>
      <c r="AW196" s="63"/>
      <c r="AX196" s="63"/>
      <c r="AY196" s="63"/>
      <c r="AZ196" s="63"/>
      <c r="BA196" s="63"/>
      <c r="BB196" s="63"/>
      <c r="BC196" s="63"/>
      <c r="BD196" s="63"/>
      <c r="BE196" s="63"/>
      <c r="BF196" s="63"/>
      <c r="BG196" s="63"/>
      <c r="BH196" s="63"/>
      <c r="BI196" s="63"/>
      <c r="BJ196" s="63"/>
      <c r="BK196" s="63"/>
      <c r="BL196" s="63"/>
      <c r="BM196" s="63"/>
      <c r="BN196" s="63"/>
      <c r="BO196" s="63"/>
      <c r="BP196" s="63"/>
      <c r="BQ196" s="63"/>
      <c r="BR196" s="63"/>
      <c r="BS196" s="63"/>
      <c r="BT196" s="63"/>
      <c r="BU196" s="63"/>
      <c r="BV196" s="63"/>
      <c r="BW196" s="63"/>
    </row>
    <row r="197" spans="1:75" x14ac:dyDescent="0.2">
      <c r="A197" s="63" t="str">
        <f t="shared" si="33"/>
        <v/>
      </c>
      <c r="B197" s="182"/>
      <c r="C197" s="75"/>
      <c r="D197" s="75"/>
      <c r="E197" s="74"/>
      <c r="F197" s="181"/>
      <c r="G197" s="69"/>
      <c r="AB197" s="150">
        <f t="shared" si="36"/>
        <v>0</v>
      </c>
      <c r="AC197" s="150">
        <f t="shared" si="37"/>
        <v>0</v>
      </c>
      <c r="AD197" s="98" t="str">
        <f t="shared" si="34"/>
        <v>0000000000</v>
      </c>
      <c r="AE197" s="151">
        <f t="shared" si="39"/>
        <v>0</v>
      </c>
      <c r="AF197" s="98" t="str">
        <f t="shared" si="40"/>
        <v>00</v>
      </c>
      <c r="AG197" s="98" t="str">
        <f t="shared" si="35"/>
        <v>000000000000</v>
      </c>
      <c r="AH197" s="161" t="str">
        <f t="shared" si="41"/>
        <v xml:space="preserve">                    </v>
      </c>
      <c r="AI197" s="154">
        <f t="shared" si="42"/>
        <v>0</v>
      </c>
      <c r="AJ197" s="155">
        <f t="shared" si="43"/>
        <v>0</v>
      </c>
      <c r="AP197" s="63" t="str">
        <f t="shared" si="44"/>
        <v/>
      </c>
      <c r="AQ197" s="63" t="str">
        <f t="shared" si="38"/>
        <v xml:space="preserve">                    </v>
      </c>
      <c r="AR197" s="63"/>
      <c r="AS197" s="63"/>
      <c r="AT197" s="63"/>
      <c r="AU197" s="63"/>
      <c r="AV197" s="63"/>
      <c r="AW197" s="63"/>
      <c r="AX197" s="63"/>
      <c r="AY197" s="63"/>
      <c r="AZ197" s="63"/>
      <c r="BA197" s="63"/>
      <c r="BB197" s="63"/>
      <c r="BC197" s="63"/>
      <c r="BD197" s="63"/>
      <c r="BE197" s="63"/>
      <c r="BF197" s="63"/>
      <c r="BG197" s="63"/>
      <c r="BH197" s="63"/>
      <c r="BI197" s="63"/>
      <c r="BJ197" s="63"/>
      <c r="BK197" s="63"/>
      <c r="BL197" s="63"/>
      <c r="BM197" s="63"/>
      <c r="BN197" s="63"/>
      <c r="BO197" s="63"/>
      <c r="BP197" s="63"/>
      <c r="BQ197" s="63"/>
      <c r="BR197" s="63"/>
      <c r="BS197" s="63"/>
      <c r="BT197" s="63"/>
      <c r="BU197" s="63"/>
      <c r="BV197" s="63"/>
      <c r="BW197" s="63"/>
    </row>
    <row r="198" spans="1:75" x14ac:dyDescent="0.2">
      <c r="A198" s="63" t="str">
        <f t="shared" ref="A198:A261" si="45">IF(B198&lt;&gt;"",A197+1,"")</f>
        <v/>
      </c>
      <c r="B198" s="182"/>
      <c r="C198" s="75"/>
      <c r="D198" s="75"/>
      <c r="E198" s="74"/>
      <c r="F198" s="181"/>
      <c r="G198" s="69"/>
      <c r="AB198" s="150">
        <f t="shared" si="36"/>
        <v>0</v>
      </c>
      <c r="AC198" s="150">
        <f t="shared" si="37"/>
        <v>0</v>
      </c>
      <c r="AD198" s="98" t="str">
        <f t="shared" si="34"/>
        <v>0000000000</v>
      </c>
      <c r="AE198" s="151">
        <f t="shared" si="39"/>
        <v>0</v>
      </c>
      <c r="AF198" s="98" t="str">
        <f t="shared" si="40"/>
        <v>00</v>
      </c>
      <c r="AG198" s="98" t="str">
        <f t="shared" si="35"/>
        <v>000000000000</v>
      </c>
      <c r="AH198" s="161" t="str">
        <f t="shared" si="41"/>
        <v xml:space="preserve">                    </v>
      </c>
      <c r="AI198" s="154">
        <f t="shared" si="42"/>
        <v>0</v>
      </c>
      <c r="AJ198" s="155">
        <f t="shared" si="43"/>
        <v>0</v>
      </c>
      <c r="AP198" s="63" t="str">
        <f t="shared" si="44"/>
        <v/>
      </c>
      <c r="AQ198" s="63" t="str">
        <f t="shared" si="38"/>
        <v xml:space="preserve">                    </v>
      </c>
      <c r="AR198" s="63"/>
      <c r="AS198" s="63"/>
      <c r="AT198" s="63"/>
      <c r="AU198" s="63"/>
      <c r="AV198" s="63"/>
      <c r="AW198" s="63"/>
      <c r="AX198" s="63"/>
      <c r="AY198" s="63"/>
      <c r="AZ198" s="63"/>
      <c r="BA198" s="63"/>
      <c r="BB198" s="63"/>
      <c r="BC198" s="63"/>
      <c r="BD198" s="63"/>
      <c r="BE198" s="63"/>
      <c r="BF198" s="63"/>
      <c r="BG198" s="63"/>
      <c r="BH198" s="63"/>
      <c r="BI198" s="63"/>
      <c r="BJ198" s="63"/>
      <c r="BK198" s="63"/>
      <c r="BL198" s="63"/>
      <c r="BM198" s="63"/>
      <c r="BN198" s="63"/>
      <c r="BO198" s="63"/>
      <c r="BP198" s="63"/>
      <c r="BQ198" s="63"/>
      <c r="BR198" s="63"/>
      <c r="BS198" s="63"/>
      <c r="BT198" s="63"/>
      <c r="BU198" s="63"/>
      <c r="BV198" s="63"/>
      <c r="BW198" s="63"/>
    </row>
    <row r="199" spans="1:75" x14ac:dyDescent="0.2">
      <c r="A199" s="63" t="str">
        <f t="shared" si="45"/>
        <v/>
      </c>
      <c r="B199" s="182"/>
      <c r="C199" s="75"/>
      <c r="D199" s="75"/>
      <c r="E199" s="74"/>
      <c r="F199" s="181"/>
      <c r="G199" s="69"/>
      <c r="AB199" s="150">
        <f t="shared" si="36"/>
        <v>0</v>
      </c>
      <c r="AC199" s="150">
        <f t="shared" si="37"/>
        <v>0</v>
      </c>
      <c r="AD199" s="98" t="str">
        <f t="shared" si="34"/>
        <v>0000000000</v>
      </c>
      <c r="AE199" s="151">
        <f t="shared" si="39"/>
        <v>0</v>
      </c>
      <c r="AF199" s="98" t="str">
        <f t="shared" si="40"/>
        <v>00</v>
      </c>
      <c r="AG199" s="98" t="str">
        <f t="shared" si="35"/>
        <v>000000000000</v>
      </c>
      <c r="AH199" s="161" t="str">
        <f t="shared" si="41"/>
        <v xml:space="preserve">                    </v>
      </c>
      <c r="AI199" s="154">
        <f t="shared" si="42"/>
        <v>0</v>
      </c>
      <c r="AJ199" s="155">
        <f t="shared" si="43"/>
        <v>0</v>
      </c>
      <c r="AP199" s="63" t="str">
        <f t="shared" si="44"/>
        <v/>
      </c>
      <c r="AQ199" s="63" t="str">
        <f t="shared" si="38"/>
        <v xml:space="preserve">                    </v>
      </c>
      <c r="AR199" s="63"/>
      <c r="AS199" s="63"/>
      <c r="AT199" s="63"/>
      <c r="AU199" s="63"/>
      <c r="AV199" s="63"/>
      <c r="AW199" s="63"/>
      <c r="AX199" s="63"/>
      <c r="AY199" s="63"/>
      <c r="AZ199" s="63"/>
      <c r="BA199" s="63"/>
      <c r="BB199" s="63"/>
      <c r="BC199" s="63"/>
      <c r="BD199" s="63"/>
      <c r="BE199" s="63"/>
      <c r="BF199" s="63"/>
      <c r="BG199" s="63"/>
      <c r="BH199" s="63"/>
      <c r="BI199" s="63"/>
      <c r="BJ199" s="63"/>
      <c r="BK199" s="63"/>
      <c r="BL199" s="63"/>
      <c r="BM199" s="63"/>
      <c r="BN199" s="63"/>
      <c r="BO199" s="63"/>
      <c r="BP199" s="63"/>
      <c r="BQ199" s="63"/>
      <c r="BR199" s="63"/>
      <c r="BS199" s="63"/>
      <c r="BT199" s="63"/>
      <c r="BU199" s="63"/>
      <c r="BV199" s="63"/>
      <c r="BW199" s="63"/>
    </row>
    <row r="200" spans="1:75" x14ac:dyDescent="0.2">
      <c r="A200" s="63" t="str">
        <f t="shared" si="45"/>
        <v/>
      </c>
      <c r="B200" s="182"/>
      <c r="C200" s="75"/>
      <c r="D200" s="75"/>
      <c r="E200" s="74"/>
      <c r="F200" s="181"/>
      <c r="G200" s="69"/>
      <c r="AB200" s="150">
        <f t="shared" si="36"/>
        <v>0</v>
      </c>
      <c r="AC200" s="150">
        <f t="shared" si="37"/>
        <v>0</v>
      </c>
      <c r="AD200" s="98" t="str">
        <f t="shared" ref="AD200:AD263" si="46">TEXT(AB200,"0000000000")</f>
        <v>0000000000</v>
      </c>
      <c r="AE200" s="151">
        <f t="shared" si="39"/>
        <v>0</v>
      </c>
      <c r="AF200" s="98" t="str">
        <f t="shared" si="40"/>
        <v>00</v>
      </c>
      <c r="AG200" s="98" t="str">
        <f t="shared" ref="AG200:AG263" si="47">CONCATENATE(AD200,AF200)</f>
        <v>000000000000</v>
      </c>
      <c r="AH200" s="161" t="str">
        <f t="shared" si="41"/>
        <v xml:space="preserve">                    </v>
      </c>
      <c r="AI200" s="154">
        <f t="shared" si="42"/>
        <v>0</v>
      </c>
      <c r="AJ200" s="155">
        <f t="shared" si="43"/>
        <v>0</v>
      </c>
      <c r="AP200" s="63" t="str">
        <f t="shared" si="44"/>
        <v/>
      </c>
      <c r="AQ200" s="63" t="str">
        <f t="shared" si="38"/>
        <v xml:space="preserve">                    </v>
      </c>
      <c r="AR200" s="63"/>
      <c r="AS200" s="63"/>
      <c r="AT200" s="63"/>
      <c r="AU200" s="63"/>
      <c r="AV200" s="63"/>
      <c r="AW200" s="63"/>
      <c r="AX200" s="63"/>
      <c r="AY200" s="63"/>
      <c r="AZ200" s="63"/>
      <c r="BA200" s="63"/>
      <c r="BB200" s="63"/>
      <c r="BC200" s="63"/>
      <c r="BD200" s="63"/>
      <c r="BE200" s="63"/>
      <c r="BF200" s="63"/>
      <c r="BG200" s="63"/>
      <c r="BH200" s="63"/>
      <c r="BI200" s="63"/>
      <c r="BJ200" s="63"/>
      <c r="BK200" s="63"/>
      <c r="BL200" s="63"/>
      <c r="BM200" s="63"/>
      <c r="BN200" s="63"/>
      <c r="BO200" s="63"/>
      <c r="BP200" s="63"/>
      <c r="BQ200" s="63"/>
      <c r="BR200" s="63"/>
      <c r="BS200" s="63"/>
      <c r="BT200" s="63"/>
      <c r="BU200" s="63"/>
      <c r="BV200" s="63"/>
      <c r="BW200" s="63"/>
    </row>
    <row r="201" spans="1:75" x14ac:dyDescent="0.2">
      <c r="A201" s="63" t="str">
        <f t="shared" si="45"/>
        <v/>
      </c>
      <c r="B201" s="182"/>
      <c r="C201" s="75"/>
      <c r="D201" s="75"/>
      <c r="E201" s="74"/>
      <c r="F201" s="181"/>
      <c r="G201" s="69"/>
      <c r="AB201" s="150">
        <f t="shared" si="36"/>
        <v>0</v>
      </c>
      <c r="AC201" s="150">
        <f t="shared" si="37"/>
        <v>0</v>
      </c>
      <c r="AD201" s="98" t="str">
        <f t="shared" si="46"/>
        <v>0000000000</v>
      </c>
      <c r="AE201" s="151">
        <f t="shared" si="39"/>
        <v>0</v>
      </c>
      <c r="AF201" s="98" t="str">
        <f t="shared" si="40"/>
        <v>00</v>
      </c>
      <c r="AG201" s="98" t="str">
        <f t="shared" si="47"/>
        <v>000000000000</v>
      </c>
      <c r="AH201" s="161" t="str">
        <f t="shared" si="41"/>
        <v xml:space="preserve">                    </v>
      </c>
      <c r="AI201" s="154">
        <f t="shared" si="42"/>
        <v>0</v>
      </c>
      <c r="AJ201" s="155">
        <f t="shared" si="43"/>
        <v>0</v>
      </c>
      <c r="AP201" s="63" t="str">
        <f t="shared" si="44"/>
        <v/>
      </c>
      <c r="AQ201" s="63" t="str">
        <f t="shared" si="38"/>
        <v xml:space="preserve">                    </v>
      </c>
      <c r="AR201" s="63"/>
      <c r="AS201" s="63"/>
      <c r="AT201" s="63"/>
      <c r="AU201" s="63"/>
      <c r="AV201" s="63"/>
      <c r="AW201" s="63"/>
      <c r="AX201" s="63"/>
      <c r="AY201" s="63"/>
      <c r="AZ201" s="63"/>
      <c r="BA201" s="63"/>
      <c r="BB201" s="63"/>
      <c r="BC201" s="63"/>
      <c r="BD201" s="63"/>
      <c r="BE201" s="63"/>
      <c r="BF201" s="63"/>
      <c r="BG201" s="63"/>
      <c r="BH201" s="63"/>
      <c r="BI201" s="63"/>
      <c r="BJ201" s="63"/>
      <c r="BK201" s="63"/>
      <c r="BL201" s="63"/>
      <c r="BM201" s="63"/>
      <c r="BN201" s="63"/>
      <c r="BO201" s="63"/>
      <c r="BP201" s="63"/>
      <c r="BQ201" s="63"/>
      <c r="BR201" s="63"/>
      <c r="BS201" s="63"/>
      <c r="BT201" s="63"/>
      <c r="BU201" s="63"/>
      <c r="BV201" s="63"/>
      <c r="BW201" s="63"/>
    </row>
    <row r="202" spans="1:75" x14ac:dyDescent="0.2">
      <c r="A202" s="63" t="str">
        <f t="shared" si="45"/>
        <v/>
      </c>
      <c r="B202" s="182"/>
      <c r="C202" s="75"/>
      <c r="D202" s="75"/>
      <c r="E202" s="74"/>
      <c r="F202" s="181"/>
      <c r="G202" s="69"/>
      <c r="AB202" s="150">
        <f t="shared" si="36"/>
        <v>0</v>
      </c>
      <c r="AC202" s="150">
        <f t="shared" si="37"/>
        <v>0</v>
      </c>
      <c r="AD202" s="98" t="str">
        <f t="shared" si="46"/>
        <v>0000000000</v>
      </c>
      <c r="AE202" s="151">
        <f t="shared" si="39"/>
        <v>0</v>
      </c>
      <c r="AF202" s="98" t="str">
        <f t="shared" si="40"/>
        <v>00</v>
      </c>
      <c r="AG202" s="98" t="str">
        <f t="shared" si="47"/>
        <v>000000000000</v>
      </c>
      <c r="AH202" s="161" t="str">
        <f t="shared" si="41"/>
        <v xml:space="preserve">                    </v>
      </c>
      <c r="AI202" s="154">
        <f t="shared" si="42"/>
        <v>0</v>
      </c>
      <c r="AJ202" s="155">
        <f t="shared" si="43"/>
        <v>0</v>
      </c>
      <c r="AP202" s="63" t="str">
        <f t="shared" si="44"/>
        <v/>
      </c>
      <c r="AQ202" s="63" t="str">
        <f t="shared" si="38"/>
        <v xml:space="preserve">                    </v>
      </c>
      <c r="AR202" s="63"/>
      <c r="AS202" s="63"/>
      <c r="AT202" s="63"/>
      <c r="AU202" s="63"/>
      <c r="AV202" s="63"/>
      <c r="AW202" s="63"/>
      <c r="AX202" s="63"/>
      <c r="AY202" s="63"/>
      <c r="AZ202" s="63"/>
      <c r="BA202" s="63"/>
      <c r="BB202" s="63"/>
      <c r="BC202" s="63"/>
      <c r="BD202" s="63"/>
      <c r="BE202" s="63"/>
      <c r="BF202" s="63"/>
      <c r="BG202" s="63"/>
      <c r="BH202" s="63"/>
      <c r="BI202" s="63"/>
      <c r="BJ202" s="63"/>
      <c r="BK202" s="63"/>
      <c r="BL202" s="63"/>
      <c r="BM202" s="63"/>
      <c r="BN202" s="63"/>
      <c r="BO202" s="63"/>
      <c r="BP202" s="63"/>
      <c r="BQ202" s="63"/>
      <c r="BR202" s="63"/>
      <c r="BS202" s="63"/>
      <c r="BT202" s="63"/>
      <c r="BU202" s="63"/>
      <c r="BV202" s="63"/>
      <c r="BW202" s="63"/>
    </row>
    <row r="203" spans="1:75" x14ac:dyDescent="0.2">
      <c r="A203" s="63" t="str">
        <f t="shared" si="45"/>
        <v/>
      </c>
      <c r="B203" s="182"/>
      <c r="C203" s="75"/>
      <c r="D203" s="75"/>
      <c r="E203" s="74"/>
      <c r="F203" s="181"/>
      <c r="G203" s="69"/>
      <c r="AB203" s="150">
        <f t="shared" si="36"/>
        <v>0</v>
      </c>
      <c r="AC203" s="150">
        <f t="shared" si="37"/>
        <v>0</v>
      </c>
      <c r="AD203" s="98" t="str">
        <f t="shared" si="46"/>
        <v>0000000000</v>
      </c>
      <c r="AE203" s="151">
        <f t="shared" si="39"/>
        <v>0</v>
      </c>
      <c r="AF203" s="98" t="str">
        <f t="shared" si="40"/>
        <v>00</v>
      </c>
      <c r="AG203" s="98" t="str">
        <f t="shared" si="47"/>
        <v>000000000000</v>
      </c>
      <c r="AH203" s="161" t="str">
        <f t="shared" si="41"/>
        <v xml:space="preserve">                    </v>
      </c>
      <c r="AI203" s="154">
        <f t="shared" si="42"/>
        <v>0</v>
      </c>
      <c r="AJ203" s="155">
        <f t="shared" si="43"/>
        <v>0</v>
      </c>
      <c r="AP203" s="63" t="str">
        <f t="shared" si="44"/>
        <v/>
      </c>
      <c r="AQ203" s="63" t="str">
        <f t="shared" si="38"/>
        <v xml:space="preserve">                    </v>
      </c>
      <c r="AR203" s="63"/>
      <c r="AS203" s="63"/>
      <c r="AT203" s="63"/>
      <c r="AU203" s="63"/>
      <c r="AV203" s="63"/>
      <c r="AW203" s="63"/>
      <c r="AX203" s="63"/>
      <c r="AY203" s="63"/>
      <c r="AZ203" s="63"/>
      <c r="BA203" s="63"/>
      <c r="BB203" s="63"/>
      <c r="BC203" s="63"/>
      <c r="BD203" s="63"/>
      <c r="BE203" s="63"/>
      <c r="BF203" s="63"/>
      <c r="BG203" s="63"/>
      <c r="BH203" s="63"/>
      <c r="BI203" s="63"/>
      <c r="BJ203" s="63"/>
      <c r="BK203" s="63"/>
      <c r="BL203" s="63"/>
      <c r="BM203" s="63"/>
      <c r="BN203" s="63"/>
      <c r="BO203" s="63"/>
      <c r="BP203" s="63"/>
      <c r="BQ203" s="63"/>
      <c r="BR203" s="63"/>
      <c r="BS203" s="63"/>
      <c r="BT203" s="63"/>
      <c r="BU203" s="63"/>
      <c r="BV203" s="63"/>
      <c r="BW203" s="63"/>
    </row>
    <row r="204" spans="1:75" x14ac:dyDescent="0.2">
      <c r="A204" s="63" t="str">
        <f t="shared" si="45"/>
        <v/>
      </c>
      <c r="B204" s="182"/>
      <c r="C204" s="75"/>
      <c r="D204" s="75"/>
      <c r="E204" s="74"/>
      <c r="F204" s="181"/>
      <c r="G204" s="69"/>
      <c r="AB204" s="150">
        <f t="shared" si="36"/>
        <v>0</v>
      </c>
      <c r="AC204" s="150">
        <f t="shared" si="37"/>
        <v>0</v>
      </c>
      <c r="AD204" s="98" t="str">
        <f t="shared" si="46"/>
        <v>0000000000</v>
      </c>
      <c r="AE204" s="151">
        <f t="shared" si="39"/>
        <v>0</v>
      </c>
      <c r="AF204" s="98" t="str">
        <f t="shared" si="40"/>
        <v>00</v>
      </c>
      <c r="AG204" s="98" t="str">
        <f t="shared" si="47"/>
        <v>000000000000</v>
      </c>
      <c r="AH204" s="161" t="str">
        <f t="shared" si="41"/>
        <v xml:space="preserve">                    </v>
      </c>
      <c r="AI204" s="154">
        <f t="shared" si="42"/>
        <v>0</v>
      </c>
      <c r="AJ204" s="155">
        <f t="shared" si="43"/>
        <v>0</v>
      </c>
      <c r="AP204" s="63" t="str">
        <f t="shared" si="44"/>
        <v/>
      </c>
      <c r="AQ204" s="63" t="str">
        <f t="shared" si="38"/>
        <v xml:space="preserve">                    </v>
      </c>
      <c r="AR204" s="63"/>
      <c r="AS204" s="63"/>
      <c r="AT204" s="63"/>
      <c r="AU204" s="63"/>
      <c r="AV204" s="63"/>
      <c r="AW204" s="63"/>
      <c r="AX204" s="63"/>
      <c r="AY204" s="63"/>
      <c r="AZ204" s="63"/>
      <c r="BA204" s="63"/>
      <c r="BB204" s="63"/>
      <c r="BC204" s="63"/>
      <c r="BD204" s="63"/>
      <c r="BE204" s="63"/>
      <c r="BF204" s="63"/>
      <c r="BG204" s="63"/>
      <c r="BH204" s="63"/>
      <c r="BI204" s="63"/>
      <c r="BJ204" s="63"/>
      <c r="BK204" s="63"/>
      <c r="BL204" s="63"/>
      <c r="BM204" s="63"/>
      <c r="BN204" s="63"/>
      <c r="BO204" s="63"/>
      <c r="BP204" s="63"/>
      <c r="BQ204" s="63"/>
      <c r="BR204" s="63"/>
      <c r="BS204" s="63"/>
      <c r="BT204" s="63"/>
      <c r="BU204" s="63"/>
      <c r="BV204" s="63"/>
      <c r="BW204" s="63"/>
    </row>
    <row r="205" spans="1:75" x14ac:dyDescent="0.2">
      <c r="A205" s="63" t="str">
        <f t="shared" si="45"/>
        <v/>
      </c>
      <c r="B205" s="182"/>
      <c r="C205" s="75"/>
      <c r="D205" s="75"/>
      <c r="E205" s="74"/>
      <c r="F205" s="181"/>
      <c r="G205" s="69"/>
      <c r="AB205" s="150">
        <f t="shared" si="36"/>
        <v>0</v>
      </c>
      <c r="AC205" s="150">
        <f t="shared" si="37"/>
        <v>0</v>
      </c>
      <c r="AD205" s="98" t="str">
        <f t="shared" si="46"/>
        <v>0000000000</v>
      </c>
      <c r="AE205" s="151">
        <f t="shared" si="39"/>
        <v>0</v>
      </c>
      <c r="AF205" s="98" t="str">
        <f t="shared" si="40"/>
        <v>00</v>
      </c>
      <c r="AG205" s="98" t="str">
        <f t="shared" si="47"/>
        <v>000000000000</v>
      </c>
      <c r="AH205" s="161" t="str">
        <f t="shared" si="41"/>
        <v xml:space="preserve">                    </v>
      </c>
      <c r="AI205" s="154">
        <f t="shared" si="42"/>
        <v>0</v>
      </c>
      <c r="AJ205" s="155">
        <f t="shared" si="43"/>
        <v>0</v>
      </c>
      <c r="AP205" s="63" t="str">
        <f t="shared" si="44"/>
        <v/>
      </c>
      <c r="AQ205" s="63" t="str">
        <f t="shared" si="38"/>
        <v xml:space="preserve">                    </v>
      </c>
      <c r="AR205" s="63"/>
      <c r="AS205" s="63"/>
      <c r="AT205" s="63"/>
      <c r="AU205" s="63"/>
      <c r="AV205" s="63"/>
      <c r="AW205" s="63"/>
      <c r="AX205" s="63"/>
      <c r="AY205" s="63"/>
      <c r="AZ205" s="63"/>
      <c r="BA205" s="63"/>
      <c r="BB205" s="63"/>
      <c r="BC205" s="63"/>
      <c r="BD205" s="63"/>
      <c r="BE205" s="63"/>
      <c r="BF205" s="63"/>
      <c r="BG205" s="63"/>
      <c r="BH205" s="63"/>
      <c r="BI205" s="63"/>
      <c r="BJ205" s="63"/>
      <c r="BK205" s="63"/>
      <c r="BL205" s="63"/>
      <c r="BM205" s="63"/>
      <c r="BN205" s="63"/>
      <c r="BO205" s="63"/>
      <c r="BP205" s="63"/>
      <c r="BQ205" s="63"/>
      <c r="BR205" s="63"/>
      <c r="BS205" s="63"/>
      <c r="BT205" s="63"/>
      <c r="BU205" s="63"/>
      <c r="BV205" s="63"/>
      <c r="BW205" s="63"/>
    </row>
    <row r="206" spans="1:75" x14ac:dyDescent="0.2">
      <c r="A206" s="63" t="str">
        <f t="shared" si="45"/>
        <v/>
      </c>
      <c r="B206" s="182"/>
      <c r="C206" s="75"/>
      <c r="D206" s="75"/>
      <c r="E206" s="74"/>
      <c r="F206" s="181"/>
      <c r="G206" s="69"/>
      <c r="AB206" s="150">
        <f t="shared" si="36"/>
        <v>0</v>
      </c>
      <c r="AC206" s="150">
        <f t="shared" si="37"/>
        <v>0</v>
      </c>
      <c r="AD206" s="98" t="str">
        <f t="shared" si="46"/>
        <v>0000000000</v>
      </c>
      <c r="AE206" s="151">
        <f t="shared" si="39"/>
        <v>0</v>
      </c>
      <c r="AF206" s="98" t="str">
        <f t="shared" si="40"/>
        <v>00</v>
      </c>
      <c r="AG206" s="98" t="str">
        <f t="shared" si="47"/>
        <v>000000000000</v>
      </c>
      <c r="AH206" s="161" t="str">
        <f t="shared" si="41"/>
        <v xml:space="preserve">                    </v>
      </c>
      <c r="AI206" s="154">
        <f t="shared" si="42"/>
        <v>0</v>
      </c>
      <c r="AJ206" s="155">
        <f t="shared" si="43"/>
        <v>0</v>
      </c>
      <c r="AP206" s="63" t="str">
        <f t="shared" si="44"/>
        <v/>
      </c>
      <c r="AQ206" s="63" t="str">
        <f t="shared" si="38"/>
        <v xml:space="preserve">                    </v>
      </c>
      <c r="AR206" s="63"/>
      <c r="AS206" s="63"/>
      <c r="AT206" s="63"/>
      <c r="AU206" s="63"/>
      <c r="AV206" s="63"/>
      <c r="AW206" s="63"/>
      <c r="AX206" s="63"/>
      <c r="AY206" s="63"/>
      <c r="AZ206" s="63"/>
      <c r="BA206" s="63"/>
      <c r="BB206" s="63"/>
      <c r="BC206" s="63"/>
      <c r="BD206" s="63"/>
      <c r="BE206" s="63"/>
      <c r="BF206" s="63"/>
      <c r="BG206" s="63"/>
      <c r="BH206" s="63"/>
      <c r="BI206" s="63"/>
      <c r="BJ206" s="63"/>
      <c r="BK206" s="63"/>
      <c r="BL206" s="63"/>
      <c r="BM206" s="63"/>
      <c r="BN206" s="63"/>
      <c r="BO206" s="63"/>
      <c r="BP206" s="63"/>
      <c r="BQ206" s="63"/>
      <c r="BR206" s="63"/>
      <c r="BS206" s="63"/>
      <c r="BT206" s="63"/>
      <c r="BU206" s="63"/>
      <c r="BV206" s="63"/>
      <c r="BW206" s="63"/>
    </row>
    <row r="207" spans="1:75" x14ac:dyDescent="0.2">
      <c r="A207" s="63" t="str">
        <f t="shared" si="45"/>
        <v/>
      </c>
      <c r="B207" s="182"/>
      <c r="C207" s="75"/>
      <c r="D207" s="75"/>
      <c r="E207" s="74"/>
      <c r="F207" s="181"/>
      <c r="G207" s="69"/>
      <c r="AB207" s="150">
        <f t="shared" si="36"/>
        <v>0</v>
      </c>
      <c r="AC207" s="150">
        <f t="shared" si="37"/>
        <v>0</v>
      </c>
      <c r="AD207" s="98" t="str">
        <f t="shared" si="46"/>
        <v>0000000000</v>
      </c>
      <c r="AE207" s="151">
        <f t="shared" si="39"/>
        <v>0</v>
      </c>
      <c r="AF207" s="98" t="str">
        <f t="shared" si="40"/>
        <v>00</v>
      </c>
      <c r="AG207" s="98" t="str">
        <f t="shared" si="47"/>
        <v>000000000000</v>
      </c>
      <c r="AH207" s="161" t="str">
        <f t="shared" si="41"/>
        <v xml:space="preserve">                    </v>
      </c>
      <c r="AI207" s="154">
        <f t="shared" si="42"/>
        <v>0</v>
      </c>
      <c r="AJ207" s="155">
        <f t="shared" si="43"/>
        <v>0</v>
      </c>
      <c r="AP207" s="63" t="str">
        <f t="shared" si="44"/>
        <v/>
      </c>
      <c r="AQ207" s="63" t="str">
        <f t="shared" si="38"/>
        <v xml:space="preserve">                    </v>
      </c>
      <c r="AR207" s="63"/>
      <c r="AS207" s="63"/>
      <c r="AT207" s="63"/>
      <c r="AU207" s="63"/>
      <c r="AV207" s="63"/>
      <c r="AW207" s="63"/>
      <c r="AX207" s="63"/>
      <c r="AY207" s="63"/>
      <c r="AZ207" s="63"/>
      <c r="BA207" s="63"/>
      <c r="BB207" s="63"/>
      <c r="BC207" s="63"/>
      <c r="BD207" s="63"/>
      <c r="BE207" s="63"/>
      <c r="BF207" s="63"/>
      <c r="BG207" s="63"/>
      <c r="BH207" s="63"/>
      <c r="BI207" s="63"/>
      <c r="BJ207" s="63"/>
      <c r="BK207" s="63"/>
      <c r="BL207" s="63"/>
      <c r="BM207" s="63"/>
      <c r="BN207" s="63"/>
      <c r="BO207" s="63"/>
      <c r="BP207" s="63"/>
      <c r="BQ207" s="63"/>
      <c r="BR207" s="63"/>
      <c r="BS207" s="63"/>
      <c r="BT207" s="63"/>
      <c r="BU207" s="63"/>
      <c r="BV207" s="63"/>
      <c r="BW207" s="63"/>
    </row>
    <row r="208" spans="1:75" x14ac:dyDescent="0.2">
      <c r="A208" s="63" t="str">
        <f t="shared" si="45"/>
        <v/>
      </c>
      <c r="B208" s="182"/>
      <c r="C208" s="75"/>
      <c r="D208" s="75"/>
      <c r="E208" s="74"/>
      <c r="F208" s="181"/>
      <c r="G208" s="69"/>
      <c r="AB208" s="150">
        <f t="shared" si="36"/>
        <v>0</v>
      </c>
      <c r="AC208" s="150">
        <f t="shared" si="37"/>
        <v>0</v>
      </c>
      <c r="AD208" s="98" t="str">
        <f t="shared" si="46"/>
        <v>0000000000</v>
      </c>
      <c r="AE208" s="151">
        <f t="shared" si="39"/>
        <v>0</v>
      </c>
      <c r="AF208" s="98" t="str">
        <f t="shared" si="40"/>
        <v>00</v>
      </c>
      <c r="AG208" s="98" t="str">
        <f t="shared" si="47"/>
        <v>000000000000</v>
      </c>
      <c r="AH208" s="161" t="str">
        <f t="shared" si="41"/>
        <v xml:space="preserve">                    </v>
      </c>
      <c r="AI208" s="154">
        <f t="shared" si="42"/>
        <v>0</v>
      </c>
      <c r="AJ208" s="155">
        <f t="shared" si="43"/>
        <v>0</v>
      </c>
      <c r="AP208" s="63" t="str">
        <f t="shared" si="44"/>
        <v/>
      </c>
      <c r="AQ208" s="63" t="str">
        <f t="shared" si="38"/>
        <v xml:space="preserve">                    </v>
      </c>
      <c r="AR208" s="63"/>
      <c r="AS208" s="63"/>
      <c r="AT208" s="63"/>
      <c r="AU208" s="63"/>
      <c r="AV208" s="63"/>
      <c r="AW208" s="63"/>
      <c r="AX208" s="63"/>
      <c r="AY208" s="63"/>
      <c r="AZ208" s="63"/>
      <c r="BA208" s="63"/>
      <c r="BB208" s="63"/>
      <c r="BC208" s="63"/>
      <c r="BD208" s="63"/>
      <c r="BE208" s="63"/>
      <c r="BF208" s="63"/>
      <c r="BG208" s="63"/>
      <c r="BH208" s="63"/>
      <c r="BI208" s="63"/>
      <c r="BJ208" s="63"/>
      <c r="BK208" s="63"/>
      <c r="BL208" s="63"/>
      <c r="BM208" s="63"/>
      <c r="BN208" s="63"/>
      <c r="BO208" s="63"/>
      <c r="BP208" s="63"/>
      <c r="BQ208" s="63"/>
      <c r="BR208" s="63"/>
      <c r="BS208" s="63"/>
      <c r="BT208" s="63"/>
      <c r="BU208" s="63"/>
      <c r="BV208" s="63"/>
      <c r="BW208" s="63"/>
    </row>
    <row r="209" spans="1:75" x14ac:dyDescent="0.2">
      <c r="A209" s="63" t="str">
        <f t="shared" si="45"/>
        <v/>
      </c>
      <c r="B209" s="182"/>
      <c r="C209" s="75"/>
      <c r="D209" s="75"/>
      <c r="E209" s="74"/>
      <c r="F209" s="181"/>
      <c r="G209" s="69"/>
      <c r="AB209" s="150">
        <f t="shared" si="36"/>
        <v>0</v>
      </c>
      <c r="AC209" s="150">
        <f t="shared" si="37"/>
        <v>0</v>
      </c>
      <c r="AD209" s="98" t="str">
        <f t="shared" si="46"/>
        <v>0000000000</v>
      </c>
      <c r="AE209" s="151">
        <f t="shared" si="39"/>
        <v>0</v>
      </c>
      <c r="AF209" s="98" t="str">
        <f t="shared" si="40"/>
        <v>00</v>
      </c>
      <c r="AG209" s="98" t="str">
        <f t="shared" si="47"/>
        <v>000000000000</v>
      </c>
      <c r="AH209" s="161" t="str">
        <f t="shared" si="41"/>
        <v xml:space="preserve">                    </v>
      </c>
      <c r="AI209" s="154">
        <f t="shared" si="42"/>
        <v>0</v>
      </c>
      <c r="AJ209" s="155">
        <f t="shared" si="43"/>
        <v>0</v>
      </c>
      <c r="AP209" s="63" t="str">
        <f t="shared" si="44"/>
        <v/>
      </c>
      <c r="AQ209" s="63" t="str">
        <f t="shared" si="38"/>
        <v xml:space="preserve">                    </v>
      </c>
      <c r="AR209" s="63"/>
      <c r="AS209" s="63"/>
      <c r="AT209" s="63"/>
      <c r="AU209" s="63"/>
      <c r="AV209" s="63"/>
      <c r="AW209" s="63"/>
      <c r="AX209" s="63"/>
      <c r="AY209" s="63"/>
      <c r="AZ209" s="63"/>
      <c r="BA209" s="63"/>
      <c r="BB209" s="63"/>
      <c r="BC209" s="63"/>
      <c r="BD209" s="63"/>
      <c r="BE209" s="63"/>
      <c r="BF209" s="63"/>
      <c r="BG209" s="63"/>
      <c r="BH209" s="63"/>
      <c r="BI209" s="63"/>
      <c r="BJ209" s="63"/>
      <c r="BK209" s="63"/>
      <c r="BL209" s="63"/>
      <c r="BM209" s="63"/>
      <c r="BN209" s="63"/>
      <c r="BO209" s="63"/>
      <c r="BP209" s="63"/>
      <c r="BQ209" s="63"/>
      <c r="BR209" s="63"/>
      <c r="BS209" s="63"/>
      <c r="BT209" s="63"/>
      <c r="BU209" s="63"/>
      <c r="BV209" s="63"/>
      <c r="BW209" s="63"/>
    </row>
    <row r="210" spans="1:75" x14ac:dyDescent="0.2">
      <c r="A210" s="63" t="str">
        <f t="shared" si="45"/>
        <v/>
      </c>
      <c r="B210" s="182"/>
      <c r="C210" s="75"/>
      <c r="D210" s="75"/>
      <c r="E210" s="74"/>
      <c r="F210" s="181"/>
      <c r="G210" s="69"/>
      <c r="AB210" s="150">
        <f t="shared" si="36"/>
        <v>0</v>
      </c>
      <c r="AC210" s="150">
        <f t="shared" si="37"/>
        <v>0</v>
      </c>
      <c r="AD210" s="98" t="str">
        <f t="shared" si="46"/>
        <v>0000000000</v>
      </c>
      <c r="AE210" s="151">
        <f t="shared" si="39"/>
        <v>0</v>
      </c>
      <c r="AF210" s="98" t="str">
        <f t="shared" si="40"/>
        <v>00</v>
      </c>
      <c r="AG210" s="98" t="str">
        <f t="shared" si="47"/>
        <v>000000000000</v>
      </c>
      <c r="AH210" s="161" t="str">
        <f t="shared" si="41"/>
        <v xml:space="preserve">                    </v>
      </c>
      <c r="AI210" s="154">
        <f t="shared" si="42"/>
        <v>0</v>
      </c>
      <c r="AJ210" s="155">
        <f t="shared" si="43"/>
        <v>0</v>
      </c>
      <c r="AP210" s="63" t="str">
        <f t="shared" si="44"/>
        <v/>
      </c>
      <c r="AQ210" s="63" t="str">
        <f t="shared" si="38"/>
        <v xml:space="preserve">                    </v>
      </c>
      <c r="AR210" s="63"/>
      <c r="AS210" s="63"/>
      <c r="AT210" s="63"/>
      <c r="AU210" s="63"/>
      <c r="AV210" s="63"/>
      <c r="AW210" s="63"/>
      <c r="AX210" s="63"/>
      <c r="AY210" s="63"/>
      <c r="AZ210" s="63"/>
      <c r="BA210" s="63"/>
      <c r="BB210" s="63"/>
      <c r="BC210" s="63"/>
      <c r="BD210" s="63"/>
      <c r="BE210" s="63"/>
      <c r="BF210" s="63"/>
      <c r="BG210" s="63"/>
      <c r="BH210" s="63"/>
      <c r="BI210" s="63"/>
      <c r="BJ210" s="63"/>
      <c r="BK210" s="63"/>
      <c r="BL210" s="63"/>
      <c r="BM210" s="63"/>
      <c r="BN210" s="63"/>
      <c r="BO210" s="63"/>
      <c r="BP210" s="63"/>
      <c r="BQ210" s="63"/>
      <c r="BR210" s="63"/>
      <c r="BS210" s="63"/>
      <c r="BT210" s="63"/>
      <c r="BU210" s="63"/>
      <c r="BV210" s="63"/>
      <c r="BW210" s="63"/>
    </row>
    <row r="211" spans="1:75" x14ac:dyDescent="0.2">
      <c r="A211" s="63" t="str">
        <f t="shared" si="45"/>
        <v/>
      </c>
      <c r="B211" s="182"/>
      <c r="C211" s="75"/>
      <c r="D211" s="75"/>
      <c r="E211" s="74"/>
      <c r="F211" s="181"/>
      <c r="G211" s="69"/>
      <c r="AB211" s="150">
        <f t="shared" si="36"/>
        <v>0</v>
      </c>
      <c r="AC211" s="150">
        <f t="shared" si="37"/>
        <v>0</v>
      </c>
      <c r="AD211" s="98" t="str">
        <f t="shared" si="46"/>
        <v>0000000000</v>
      </c>
      <c r="AE211" s="151">
        <f t="shared" si="39"/>
        <v>0</v>
      </c>
      <c r="AF211" s="98" t="str">
        <f t="shared" si="40"/>
        <v>00</v>
      </c>
      <c r="AG211" s="98" t="str">
        <f t="shared" si="47"/>
        <v>000000000000</v>
      </c>
      <c r="AH211" s="161" t="str">
        <f t="shared" si="41"/>
        <v xml:space="preserve">                    </v>
      </c>
      <c r="AI211" s="154">
        <f t="shared" si="42"/>
        <v>0</v>
      </c>
      <c r="AJ211" s="155">
        <f t="shared" si="43"/>
        <v>0</v>
      </c>
      <c r="AP211" s="63" t="str">
        <f t="shared" si="44"/>
        <v/>
      </c>
      <c r="AQ211" s="63" t="str">
        <f t="shared" si="38"/>
        <v xml:space="preserve">                    </v>
      </c>
      <c r="AR211" s="63"/>
      <c r="AS211" s="63"/>
      <c r="AT211" s="63"/>
      <c r="AU211" s="63"/>
      <c r="AV211" s="63"/>
      <c r="AW211" s="63"/>
      <c r="AX211" s="63"/>
      <c r="AY211" s="63"/>
      <c r="AZ211" s="63"/>
      <c r="BA211" s="63"/>
      <c r="BB211" s="63"/>
      <c r="BC211" s="63"/>
      <c r="BD211" s="63"/>
      <c r="BE211" s="63"/>
      <c r="BF211" s="63"/>
      <c r="BG211" s="63"/>
      <c r="BH211" s="63"/>
      <c r="BI211" s="63"/>
      <c r="BJ211" s="63"/>
      <c r="BK211" s="63"/>
      <c r="BL211" s="63"/>
      <c r="BM211" s="63"/>
      <c r="BN211" s="63"/>
      <c r="BO211" s="63"/>
      <c r="BP211" s="63"/>
      <c r="BQ211" s="63"/>
      <c r="BR211" s="63"/>
      <c r="BS211" s="63"/>
      <c r="BT211" s="63"/>
      <c r="BU211" s="63"/>
      <c r="BV211" s="63"/>
      <c r="BW211" s="63"/>
    </row>
    <row r="212" spans="1:75" x14ac:dyDescent="0.2">
      <c r="A212" s="63" t="str">
        <f t="shared" si="45"/>
        <v/>
      </c>
      <c r="B212" s="182"/>
      <c r="C212" s="75"/>
      <c r="D212" s="75"/>
      <c r="E212" s="74"/>
      <c r="F212" s="181"/>
      <c r="G212" s="69"/>
      <c r="AB212" s="150">
        <f t="shared" si="36"/>
        <v>0</v>
      </c>
      <c r="AC212" s="150">
        <f t="shared" si="37"/>
        <v>0</v>
      </c>
      <c r="AD212" s="98" t="str">
        <f t="shared" si="46"/>
        <v>0000000000</v>
      </c>
      <c r="AE212" s="151">
        <f t="shared" si="39"/>
        <v>0</v>
      </c>
      <c r="AF212" s="98" t="str">
        <f t="shared" si="40"/>
        <v>00</v>
      </c>
      <c r="AG212" s="98" t="str">
        <f t="shared" si="47"/>
        <v>000000000000</v>
      </c>
      <c r="AH212" s="161" t="str">
        <f t="shared" si="41"/>
        <v xml:space="preserve">                    </v>
      </c>
      <c r="AI212" s="154">
        <f t="shared" si="42"/>
        <v>0</v>
      </c>
      <c r="AJ212" s="155">
        <f t="shared" si="43"/>
        <v>0</v>
      </c>
      <c r="AP212" s="63" t="str">
        <f t="shared" si="44"/>
        <v/>
      </c>
      <c r="AQ212" s="63" t="str">
        <f t="shared" si="38"/>
        <v xml:space="preserve">                    </v>
      </c>
      <c r="AR212" s="63"/>
      <c r="AS212" s="63"/>
      <c r="AT212" s="63"/>
      <c r="AU212" s="63"/>
      <c r="AV212" s="63"/>
      <c r="AW212" s="63"/>
      <c r="AX212" s="63"/>
      <c r="AY212" s="63"/>
      <c r="AZ212" s="63"/>
      <c r="BA212" s="63"/>
      <c r="BB212" s="63"/>
      <c r="BC212" s="63"/>
      <c r="BD212" s="63"/>
      <c r="BE212" s="63"/>
      <c r="BF212" s="63"/>
      <c r="BG212" s="63"/>
      <c r="BH212" s="63"/>
      <c r="BI212" s="63"/>
      <c r="BJ212" s="63"/>
      <c r="BK212" s="63"/>
      <c r="BL212" s="63"/>
      <c r="BM212" s="63"/>
      <c r="BN212" s="63"/>
      <c r="BO212" s="63"/>
      <c r="BP212" s="63"/>
      <c r="BQ212" s="63"/>
      <c r="BR212" s="63"/>
      <c r="BS212" s="63"/>
      <c r="BT212" s="63"/>
      <c r="BU212" s="63"/>
      <c r="BV212" s="63"/>
      <c r="BW212" s="63"/>
    </row>
    <row r="213" spans="1:75" x14ac:dyDescent="0.2">
      <c r="A213" s="63" t="str">
        <f t="shared" si="45"/>
        <v/>
      </c>
      <c r="B213" s="182"/>
      <c r="C213" s="75"/>
      <c r="D213" s="75"/>
      <c r="E213" s="74"/>
      <c r="F213" s="181"/>
      <c r="G213" s="69"/>
      <c r="AB213" s="150">
        <f t="shared" si="36"/>
        <v>0</v>
      </c>
      <c r="AC213" s="150">
        <f t="shared" si="37"/>
        <v>0</v>
      </c>
      <c r="AD213" s="98" t="str">
        <f t="shared" si="46"/>
        <v>0000000000</v>
      </c>
      <c r="AE213" s="151">
        <f t="shared" si="39"/>
        <v>0</v>
      </c>
      <c r="AF213" s="98" t="str">
        <f t="shared" si="40"/>
        <v>00</v>
      </c>
      <c r="AG213" s="98" t="str">
        <f t="shared" si="47"/>
        <v>000000000000</v>
      </c>
      <c r="AH213" s="161" t="str">
        <f t="shared" si="41"/>
        <v xml:space="preserve">                    </v>
      </c>
      <c r="AI213" s="154">
        <f t="shared" si="42"/>
        <v>0</v>
      </c>
      <c r="AJ213" s="155">
        <f t="shared" si="43"/>
        <v>0</v>
      </c>
      <c r="AP213" s="63" t="str">
        <f t="shared" si="44"/>
        <v/>
      </c>
      <c r="AQ213" s="63" t="str">
        <f t="shared" si="38"/>
        <v xml:space="preserve">                    </v>
      </c>
      <c r="AR213" s="63"/>
      <c r="AS213" s="63"/>
      <c r="AT213" s="63"/>
      <c r="AU213" s="63"/>
      <c r="AV213" s="63"/>
      <c r="AW213" s="63"/>
      <c r="AX213" s="63"/>
      <c r="AY213" s="63"/>
      <c r="AZ213" s="63"/>
      <c r="BA213" s="63"/>
      <c r="BB213" s="63"/>
      <c r="BC213" s="63"/>
      <c r="BD213" s="63"/>
      <c r="BE213" s="63"/>
      <c r="BF213" s="63"/>
      <c r="BG213" s="63"/>
      <c r="BH213" s="63"/>
      <c r="BI213" s="63"/>
      <c r="BJ213" s="63"/>
      <c r="BK213" s="63"/>
      <c r="BL213" s="63"/>
      <c r="BM213" s="63"/>
      <c r="BN213" s="63"/>
      <c r="BO213" s="63"/>
      <c r="BP213" s="63"/>
      <c r="BQ213" s="63"/>
      <c r="BR213" s="63"/>
      <c r="BS213" s="63"/>
      <c r="BT213" s="63"/>
      <c r="BU213" s="63"/>
      <c r="BV213" s="63"/>
      <c r="BW213" s="63"/>
    </row>
    <row r="214" spans="1:75" x14ac:dyDescent="0.2">
      <c r="A214" s="63" t="str">
        <f t="shared" si="45"/>
        <v/>
      </c>
      <c r="B214" s="182"/>
      <c r="C214" s="75"/>
      <c r="D214" s="75"/>
      <c r="E214" s="74"/>
      <c r="F214" s="181"/>
      <c r="G214" s="69"/>
      <c r="AB214" s="150">
        <f t="shared" si="36"/>
        <v>0</v>
      </c>
      <c r="AC214" s="150">
        <f t="shared" si="37"/>
        <v>0</v>
      </c>
      <c r="AD214" s="98" t="str">
        <f t="shared" si="46"/>
        <v>0000000000</v>
      </c>
      <c r="AE214" s="151">
        <f t="shared" si="39"/>
        <v>0</v>
      </c>
      <c r="AF214" s="98" t="str">
        <f t="shared" si="40"/>
        <v>00</v>
      </c>
      <c r="AG214" s="98" t="str">
        <f t="shared" si="47"/>
        <v>000000000000</v>
      </c>
      <c r="AH214" s="161" t="str">
        <f t="shared" si="41"/>
        <v xml:space="preserve">                    </v>
      </c>
      <c r="AI214" s="154">
        <f t="shared" si="42"/>
        <v>0</v>
      </c>
      <c r="AJ214" s="155">
        <f t="shared" si="43"/>
        <v>0</v>
      </c>
      <c r="AP214" s="63" t="str">
        <f t="shared" si="44"/>
        <v/>
      </c>
      <c r="AQ214" s="63" t="str">
        <f t="shared" si="38"/>
        <v xml:space="preserve">                    </v>
      </c>
      <c r="AR214" s="63"/>
      <c r="AS214" s="63"/>
      <c r="AT214" s="63"/>
      <c r="AU214" s="63"/>
      <c r="AV214" s="63"/>
      <c r="AW214" s="63"/>
      <c r="AX214" s="63"/>
      <c r="AY214" s="63"/>
      <c r="AZ214" s="63"/>
      <c r="BA214" s="63"/>
      <c r="BB214" s="63"/>
      <c r="BC214" s="63"/>
      <c r="BD214" s="63"/>
      <c r="BE214" s="63"/>
      <c r="BF214" s="63"/>
      <c r="BG214" s="63"/>
      <c r="BH214" s="63"/>
      <c r="BI214" s="63"/>
      <c r="BJ214" s="63"/>
      <c r="BK214" s="63"/>
      <c r="BL214" s="63"/>
      <c r="BM214" s="63"/>
      <c r="BN214" s="63"/>
      <c r="BO214" s="63"/>
      <c r="BP214" s="63"/>
      <c r="BQ214" s="63"/>
      <c r="BR214" s="63"/>
      <c r="BS214" s="63"/>
      <c r="BT214" s="63"/>
      <c r="BU214" s="63"/>
      <c r="BV214" s="63"/>
      <c r="BW214" s="63"/>
    </row>
    <row r="215" spans="1:75" x14ac:dyDescent="0.2">
      <c r="A215" s="63" t="str">
        <f t="shared" si="45"/>
        <v/>
      </c>
      <c r="B215" s="182"/>
      <c r="C215" s="75"/>
      <c r="D215" s="75"/>
      <c r="E215" s="74"/>
      <c r="F215" s="181"/>
      <c r="G215" s="69"/>
      <c r="AB215" s="150">
        <f t="shared" si="36"/>
        <v>0</v>
      </c>
      <c r="AC215" s="150">
        <f t="shared" si="37"/>
        <v>0</v>
      </c>
      <c r="AD215" s="98" t="str">
        <f t="shared" si="46"/>
        <v>0000000000</v>
      </c>
      <c r="AE215" s="151">
        <f t="shared" si="39"/>
        <v>0</v>
      </c>
      <c r="AF215" s="98" t="str">
        <f t="shared" si="40"/>
        <v>00</v>
      </c>
      <c r="AG215" s="98" t="str">
        <f t="shared" si="47"/>
        <v>000000000000</v>
      </c>
      <c r="AH215" s="161" t="str">
        <f t="shared" si="41"/>
        <v xml:space="preserve">                    </v>
      </c>
      <c r="AI215" s="154">
        <f t="shared" si="42"/>
        <v>0</v>
      </c>
      <c r="AJ215" s="155">
        <f t="shared" si="43"/>
        <v>0</v>
      </c>
      <c r="AP215" s="63" t="str">
        <f t="shared" si="44"/>
        <v/>
      </c>
      <c r="AQ215" s="63" t="str">
        <f t="shared" si="38"/>
        <v xml:space="preserve">                    </v>
      </c>
      <c r="AR215" s="63"/>
      <c r="AS215" s="63"/>
      <c r="AT215" s="63"/>
      <c r="AU215" s="63"/>
      <c r="AV215" s="63"/>
      <c r="AW215" s="63"/>
      <c r="AX215" s="63"/>
      <c r="AY215" s="63"/>
      <c r="AZ215" s="63"/>
      <c r="BA215" s="63"/>
      <c r="BB215" s="63"/>
      <c r="BC215" s="63"/>
      <c r="BD215" s="63"/>
      <c r="BE215" s="63"/>
      <c r="BF215" s="63"/>
      <c r="BG215" s="63"/>
      <c r="BH215" s="63"/>
      <c r="BI215" s="63"/>
      <c r="BJ215" s="63"/>
      <c r="BK215" s="63"/>
      <c r="BL215" s="63"/>
      <c r="BM215" s="63"/>
      <c r="BN215" s="63"/>
      <c r="BO215" s="63"/>
      <c r="BP215" s="63"/>
      <c r="BQ215" s="63"/>
      <c r="BR215" s="63"/>
      <c r="BS215" s="63"/>
      <c r="BT215" s="63"/>
      <c r="BU215" s="63"/>
      <c r="BV215" s="63"/>
      <c r="BW215" s="63"/>
    </row>
    <row r="216" spans="1:75" x14ac:dyDescent="0.2">
      <c r="A216" s="63" t="str">
        <f t="shared" si="45"/>
        <v/>
      </c>
      <c r="B216" s="182"/>
      <c r="C216" s="75"/>
      <c r="D216" s="75"/>
      <c r="E216" s="74"/>
      <c r="F216" s="181"/>
      <c r="G216" s="69"/>
      <c r="AB216" s="150">
        <f t="shared" si="36"/>
        <v>0</v>
      </c>
      <c r="AC216" s="150">
        <f t="shared" si="37"/>
        <v>0</v>
      </c>
      <c r="AD216" s="98" t="str">
        <f t="shared" si="46"/>
        <v>0000000000</v>
      </c>
      <c r="AE216" s="151">
        <f t="shared" si="39"/>
        <v>0</v>
      </c>
      <c r="AF216" s="98" t="str">
        <f t="shared" si="40"/>
        <v>00</v>
      </c>
      <c r="AG216" s="98" t="str">
        <f t="shared" si="47"/>
        <v>000000000000</v>
      </c>
      <c r="AH216" s="161" t="str">
        <f t="shared" si="41"/>
        <v xml:space="preserve">                    </v>
      </c>
      <c r="AI216" s="154">
        <f t="shared" si="42"/>
        <v>0</v>
      </c>
      <c r="AJ216" s="155">
        <f t="shared" si="43"/>
        <v>0</v>
      </c>
      <c r="AP216" s="63" t="str">
        <f t="shared" si="44"/>
        <v/>
      </c>
      <c r="AQ216" s="63" t="str">
        <f t="shared" si="38"/>
        <v xml:space="preserve">                    </v>
      </c>
      <c r="AR216" s="63"/>
      <c r="AS216" s="63"/>
      <c r="AT216" s="63"/>
      <c r="AU216" s="63"/>
      <c r="AV216" s="63"/>
      <c r="AW216" s="63"/>
      <c r="AX216" s="63"/>
      <c r="AY216" s="63"/>
      <c r="AZ216" s="63"/>
      <c r="BA216" s="63"/>
      <c r="BB216" s="63"/>
      <c r="BC216" s="63"/>
      <c r="BD216" s="63"/>
      <c r="BE216" s="63"/>
      <c r="BF216" s="63"/>
      <c r="BG216" s="63"/>
      <c r="BH216" s="63"/>
      <c r="BI216" s="63"/>
      <c r="BJ216" s="63"/>
      <c r="BK216" s="63"/>
      <c r="BL216" s="63"/>
      <c r="BM216" s="63"/>
      <c r="BN216" s="63"/>
      <c r="BO216" s="63"/>
      <c r="BP216" s="63"/>
      <c r="BQ216" s="63"/>
      <c r="BR216" s="63"/>
      <c r="BS216" s="63"/>
      <c r="BT216" s="63"/>
      <c r="BU216" s="63"/>
      <c r="BV216" s="63"/>
      <c r="BW216" s="63"/>
    </row>
    <row r="217" spans="1:75" x14ac:dyDescent="0.2">
      <c r="A217" s="63" t="str">
        <f t="shared" si="45"/>
        <v/>
      </c>
      <c r="B217" s="182"/>
      <c r="C217" s="75"/>
      <c r="D217" s="75"/>
      <c r="E217" s="74"/>
      <c r="F217" s="181"/>
      <c r="G217" s="69"/>
      <c r="AB217" s="150">
        <f t="shared" si="36"/>
        <v>0</v>
      </c>
      <c r="AC217" s="150">
        <f t="shared" si="37"/>
        <v>0</v>
      </c>
      <c r="AD217" s="98" t="str">
        <f t="shared" si="46"/>
        <v>0000000000</v>
      </c>
      <c r="AE217" s="151">
        <f t="shared" si="39"/>
        <v>0</v>
      </c>
      <c r="AF217" s="98" t="str">
        <f t="shared" si="40"/>
        <v>00</v>
      </c>
      <c r="AG217" s="98" t="str">
        <f t="shared" si="47"/>
        <v>000000000000</v>
      </c>
      <c r="AH217" s="161" t="str">
        <f t="shared" si="41"/>
        <v xml:space="preserve">                    </v>
      </c>
      <c r="AI217" s="154">
        <f t="shared" si="42"/>
        <v>0</v>
      </c>
      <c r="AJ217" s="155">
        <f t="shared" si="43"/>
        <v>0</v>
      </c>
      <c r="AP217" s="63" t="str">
        <f t="shared" si="44"/>
        <v/>
      </c>
      <c r="AQ217" s="63" t="str">
        <f t="shared" si="38"/>
        <v xml:space="preserve">                    </v>
      </c>
      <c r="AR217" s="63"/>
      <c r="AS217" s="63"/>
      <c r="AT217" s="63"/>
      <c r="AU217" s="63"/>
      <c r="AV217" s="63"/>
      <c r="AW217" s="63"/>
      <c r="AX217" s="63"/>
      <c r="AY217" s="63"/>
      <c r="AZ217" s="63"/>
      <c r="BA217" s="63"/>
      <c r="BB217" s="63"/>
      <c r="BC217" s="63"/>
      <c r="BD217" s="63"/>
      <c r="BE217" s="63"/>
      <c r="BF217" s="63"/>
      <c r="BG217" s="63"/>
      <c r="BH217" s="63"/>
      <c r="BI217" s="63"/>
      <c r="BJ217" s="63"/>
      <c r="BK217" s="63"/>
      <c r="BL217" s="63"/>
      <c r="BM217" s="63"/>
      <c r="BN217" s="63"/>
      <c r="BO217" s="63"/>
      <c r="BP217" s="63"/>
      <c r="BQ217" s="63"/>
      <c r="BR217" s="63"/>
      <c r="BS217" s="63"/>
      <c r="BT217" s="63"/>
      <c r="BU217" s="63"/>
      <c r="BV217" s="63"/>
      <c r="BW217" s="63"/>
    </row>
    <row r="218" spans="1:75" x14ac:dyDescent="0.2">
      <c r="A218" s="63" t="str">
        <f t="shared" si="45"/>
        <v/>
      </c>
      <c r="B218" s="182"/>
      <c r="C218" s="75"/>
      <c r="D218" s="75"/>
      <c r="E218" s="74"/>
      <c r="F218" s="181"/>
      <c r="G218" s="69"/>
      <c r="AB218" s="150">
        <f t="shared" si="36"/>
        <v>0</v>
      </c>
      <c r="AC218" s="150">
        <f t="shared" si="37"/>
        <v>0</v>
      </c>
      <c r="AD218" s="98" t="str">
        <f t="shared" si="46"/>
        <v>0000000000</v>
      </c>
      <c r="AE218" s="151">
        <f t="shared" si="39"/>
        <v>0</v>
      </c>
      <c r="AF218" s="98" t="str">
        <f t="shared" si="40"/>
        <v>00</v>
      </c>
      <c r="AG218" s="98" t="str">
        <f t="shared" si="47"/>
        <v>000000000000</v>
      </c>
      <c r="AH218" s="161" t="str">
        <f t="shared" si="41"/>
        <v xml:space="preserve">                    </v>
      </c>
      <c r="AI218" s="154">
        <f t="shared" si="42"/>
        <v>0</v>
      </c>
      <c r="AJ218" s="155">
        <f t="shared" si="43"/>
        <v>0</v>
      </c>
      <c r="AP218" s="63" t="str">
        <f t="shared" si="44"/>
        <v/>
      </c>
      <c r="AQ218" s="63" t="str">
        <f t="shared" si="38"/>
        <v xml:space="preserve">                    </v>
      </c>
      <c r="AR218" s="63"/>
      <c r="AS218" s="63"/>
      <c r="AT218" s="63"/>
      <c r="AU218" s="63"/>
      <c r="AV218" s="63"/>
      <c r="AW218" s="63"/>
      <c r="AX218" s="63"/>
      <c r="AY218" s="63"/>
      <c r="AZ218" s="63"/>
      <c r="BA218" s="63"/>
      <c r="BB218" s="63"/>
      <c r="BC218" s="63"/>
      <c r="BD218" s="63"/>
      <c r="BE218" s="63"/>
      <c r="BF218" s="63"/>
      <c r="BG218" s="63"/>
      <c r="BH218" s="63"/>
      <c r="BI218" s="63"/>
      <c r="BJ218" s="63"/>
      <c r="BK218" s="63"/>
      <c r="BL218" s="63"/>
      <c r="BM218" s="63"/>
      <c r="BN218" s="63"/>
      <c r="BO218" s="63"/>
      <c r="BP218" s="63"/>
      <c r="BQ218" s="63"/>
      <c r="BR218" s="63"/>
      <c r="BS218" s="63"/>
      <c r="BT218" s="63"/>
      <c r="BU218" s="63"/>
      <c r="BV218" s="63"/>
      <c r="BW218" s="63"/>
    </row>
    <row r="219" spans="1:75" x14ac:dyDescent="0.2">
      <c r="A219" s="63" t="str">
        <f t="shared" si="45"/>
        <v/>
      </c>
      <c r="B219" s="182"/>
      <c r="C219" s="75"/>
      <c r="D219" s="75"/>
      <c r="E219" s="74"/>
      <c r="F219" s="181"/>
      <c r="G219" s="69"/>
      <c r="AB219" s="150">
        <f t="shared" si="36"/>
        <v>0</v>
      </c>
      <c r="AC219" s="150">
        <f t="shared" si="37"/>
        <v>0</v>
      </c>
      <c r="AD219" s="98" t="str">
        <f t="shared" si="46"/>
        <v>0000000000</v>
      </c>
      <c r="AE219" s="151">
        <f t="shared" si="39"/>
        <v>0</v>
      </c>
      <c r="AF219" s="98" t="str">
        <f t="shared" si="40"/>
        <v>00</v>
      </c>
      <c r="AG219" s="98" t="str">
        <f t="shared" si="47"/>
        <v>000000000000</v>
      </c>
      <c r="AH219" s="161" t="str">
        <f t="shared" si="41"/>
        <v xml:space="preserve">                    </v>
      </c>
      <c r="AI219" s="154">
        <f t="shared" si="42"/>
        <v>0</v>
      </c>
      <c r="AJ219" s="155">
        <f t="shared" si="43"/>
        <v>0</v>
      </c>
      <c r="AP219" s="63" t="str">
        <f t="shared" si="44"/>
        <v/>
      </c>
      <c r="AQ219" s="63" t="str">
        <f t="shared" si="38"/>
        <v xml:space="preserve">                    </v>
      </c>
      <c r="AR219" s="63"/>
      <c r="AS219" s="63"/>
      <c r="AT219" s="63"/>
      <c r="AU219" s="63"/>
      <c r="AV219" s="63"/>
      <c r="AW219" s="63"/>
      <c r="AX219" s="63"/>
      <c r="AY219" s="63"/>
      <c r="AZ219" s="63"/>
      <c r="BA219" s="63"/>
      <c r="BB219" s="63"/>
      <c r="BC219" s="63"/>
      <c r="BD219" s="63"/>
      <c r="BE219" s="63"/>
      <c r="BF219" s="63"/>
      <c r="BG219" s="63"/>
      <c r="BH219" s="63"/>
      <c r="BI219" s="63"/>
      <c r="BJ219" s="63"/>
      <c r="BK219" s="63"/>
      <c r="BL219" s="63"/>
      <c r="BM219" s="63"/>
      <c r="BN219" s="63"/>
      <c r="BO219" s="63"/>
      <c r="BP219" s="63"/>
      <c r="BQ219" s="63"/>
      <c r="BR219" s="63"/>
      <c r="BS219" s="63"/>
      <c r="BT219" s="63"/>
      <c r="BU219" s="63"/>
      <c r="BV219" s="63"/>
      <c r="BW219" s="63"/>
    </row>
    <row r="220" spans="1:75" x14ac:dyDescent="0.2">
      <c r="A220" s="63" t="str">
        <f t="shared" si="45"/>
        <v/>
      </c>
      <c r="B220" s="182"/>
      <c r="C220" s="75"/>
      <c r="D220" s="75"/>
      <c r="E220" s="74"/>
      <c r="F220" s="181"/>
      <c r="G220" s="69"/>
      <c r="AB220" s="150">
        <f t="shared" si="36"/>
        <v>0</v>
      </c>
      <c r="AC220" s="150">
        <f t="shared" si="37"/>
        <v>0</v>
      </c>
      <c r="AD220" s="98" t="str">
        <f t="shared" si="46"/>
        <v>0000000000</v>
      </c>
      <c r="AE220" s="151">
        <f t="shared" si="39"/>
        <v>0</v>
      </c>
      <c r="AF220" s="98" t="str">
        <f t="shared" si="40"/>
        <v>00</v>
      </c>
      <c r="AG220" s="98" t="str">
        <f t="shared" si="47"/>
        <v>000000000000</v>
      </c>
      <c r="AH220" s="161" t="str">
        <f t="shared" si="41"/>
        <v xml:space="preserve">                    </v>
      </c>
      <c r="AI220" s="154">
        <f t="shared" si="42"/>
        <v>0</v>
      </c>
      <c r="AJ220" s="155">
        <f t="shared" si="43"/>
        <v>0</v>
      </c>
      <c r="AP220" s="63" t="str">
        <f t="shared" si="44"/>
        <v/>
      </c>
      <c r="AQ220" s="63" t="str">
        <f t="shared" si="38"/>
        <v xml:space="preserve">                    </v>
      </c>
      <c r="AR220" s="63"/>
      <c r="AS220" s="63"/>
      <c r="AT220" s="63"/>
      <c r="AU220" s="63"/>
      <c r="AV220" s="63"/>
      <c r="AW220" s="63"/>
      <c r="AX220" s="63"/>
      <c r="AY220" s="63"/>
      <c r="AZ220" s="63"/>
      <c r="BA220" s="63"/>
      <c r="BB220" s="63"/>
      <c r="BC220" s="63"/>
      <c r="BD220" s="63"/>
      <c r="BE220" s="63"/>
      <c r="BF220" s="63"/>
      <c r="BG220" s="63"/>
      <c r="BH220" s="63"/>
      <c r="BI220" s="63"/>
      <c r="BJ220" s="63"/>
      <c r="BK220" s="63"/>
      <c r="BL220" s="63"/>
      <c r="BM220" s="63"/>
      <c r="BN220" s="63"/>
      <c r="BO220" s="63"/>
      <c r="BP220" s="63"/>
      <c r="BQ220" s="63"/>
      <c r="BR220" s="63"/>
      <c r="BS220" s="63"/>
      <c r="BT220" s="63"/>
      <c r="BU220" s="63"/>
      <c r="BV220" s="63"/>
      <c r="BW220" s="63"/>
    </row>
    <row r="221" spans="1:75" x14ac:dyDescent="0.2">
      <c r="A221" s="63" t="str">
        <f t="shared" si="45"/>
        <v/>
      </c>
      <c r="B221" s="182"/>
      <c r="C221" s="75"/>
      <c r="D221" s="75"/>
      <c r="E221" s="74"/>
      <c r="F221" s="181"/>
      <c r="G221" s="69"/>
      <c r="AB221" s="150">
        <f t="shared" si="36"/>
        <v>0</v>
      </c>
      <c r="AC221" s="150">
        <f t="shared" si="37"/>
        <v>0</v>
      </c>
      <c r="AD221" s="98" t="str">
        <f t="shared" si="46"/>
        <v>0000000000</v>
      </c>
      <c r="AE221" s="151">
        <f t="shared" si="39"/>
        <v>0</v>
      </c>
      <c r="AF221" s="98" t="str">
        <f t="shared" si="40"/>
        <v>00</v>
      </c>
      <c r="AG221" s="98" t="str">
        <f t="shared" si="47"/>
        <v>000000000000</v>
      </c>
      <c r="AH221" s="161" t="str">
        <f t="shared" si="41"/>
        <v xml:space="preserve">                    </v>
      </c>
      <c r="AI221" s="154">
        <f t="shared" si="42"/>
        <v>0</v>
      </c>
      <c r="AJ221" s="155">
        <f t="shared" si="43"/>
        <v>0</v>
      </c>
      <c r="AP221" s="63" t="str">
        <f t="shared" si="44"/>
        <v/>
      </c>
      <c r="AQ221" s="63" t="str">
        <f t="shared" si="38"/>
        <v xml:space="preserve">                    </v>
      </c>
      <c r="AR221" s="63"/>
      <c r="AS221" s="63"/>
      <c r="AT221" s="63"/>
      <c r="AU221" s="63"/>
      <c r="AV221" s="63"/>
      <c r="AW221" s="63"/>
      <c r="AX221" s="63"/>
      <c r="AY221" s="63"/>
      <c r="AZ221" s="63"/>
      <c r="BA221" s="63"/>
      <c r="BB221" s="63"/>
      <c r="BC221" s="63"/>
      <c r="BD221" s="63"/>
      <c r="BE221" s="63"/>
      <c r="BF221" s="63"/>
      <c r="BG221" s="63"/>
      <c r="BH221" s="63"/>
      <c r="BI221" s="63"/>
      <c r="BJ221" s="63"/>
      <c r="BK221" s="63"/>
      <c r="BL221" s="63"/>
      <c r="BM221" s="63"/>
      <c r="BN221" s="63"/>
      <c r="BO221" s="63"/>
      <c r="BP221" s="63"/>
      <c r="BQ221" s="63"/>
      <c r="BR221" s="63"/>
      <c r="BS221" s="63"/>
      <c r="BT221" s="63"/>
      <c r="BU221" s="63"/>
      <c r="BV221" s="63"/>
      <c r="BW221" s="63"/>
    </row>
    <row r="222" spans="1:75" x14ac:dyDescent="0.2">
      <c r="A222" s="63" t="str">
        <f t="shared" si="45"/>
        <v/>
      </c>
      <c r="B222" s="182"/>
      <c r="C222" s="75"/>
      <c r="D222" s="75"/>
      <c r="E222" s="74"/>
      <c r="F222" s="181"/>
      <c r="G222" s="69"/>
      <c r="AB222" s="150">
        <f t="shared" si="36"/>
        <v>0</v>
      </c>
      <c r="AC222" s="150">
        <f t="shared" si="37"/>
        <v>0</v>
      </c>
      <c r="AD222" s="98" t="str">
        <f t="shared" si="46"/>
        <v>0000000000</v>
      </c>
      <c r="AE222" s="151">
        <f t="shared" si="39"/>
        <v>0</v>
      </c>
      <c r="AF222" s="98" t="str">
        <f t="shared" si="40"/>
        <v>00</v>
      </c>
      <c r="AG222" s="98" t="str">
        <f t="shared" si="47"/>
        <v>000000000000</v>
      </c>
      <c r="AH222" s="161" t="str">
        <f t="shared" si="41"/>
        <v xml:space="preserve">                    </v>
      </c>
      <c r="AI222" s="154">
        <f t="shared" si="42"/>
        <v>0</v>
      </c>
      <c r="AJ222" s="155">
        <f t="shared" si="43"/>
        <v>0</v>
      </c>
      <c r="AP222" s="63" t="str">
        <f t="shared" si="44"/>
        <v/>
      </c>
      <c r="AQ222" s="63" t="str">
        <f t="shared" si="38"/>
        <v xml:space="preserve">                    </v>
      </c>
      <c r="AR222" s="63"/>
      <c r="AS222" s="63"/>
      <c r="AT222" s="63"/>
      <c r="AU222" s="63"/>
      <c r="AV222" s="63"/>
      <c r="AW222" s="63"/>
      <c r="AX222" s="63"/>
      <c r="AY222" s="63"/>
      <c r="AZ222" s="63"/>
      <c r="BA222" s="63"/>
      <c r="BB222" s="63"/>
      <c r="BC222" s="63"/>
      <c r="BD222" s="63"/>
      <c r="BE222" s="63"/>
      <c r="BF222" s="63"/>
      <c r="BG222" s="63"/>
      <c r="BH222" s="63"/>
      <c r="BI222" s="63"/>
      <c r="BJ222" s="63"/>
      <c r="BK222" s="63"/>
      <c r="BL222" s="63"/>
      <c r="BM222" s="63"/>
      <c r="BN222" s="63"/>
      <c r="BO222" s="63"/>
      <c r="BP222" s="63"/>
      <c r="BQ222" s="63"/>
      <c r="BR222" s="63"/>
      <c r="BS222" s="63"/>
      <c r="BT222" s="63"/>
      <c r="BU222" s="63"/>
      <c r="BV222" s="63"/>
      <c r="BW222" s="63"/>
    </row>
    <row r="223" spans="1:75" x14ac:dyDescent="0.2">
      <c r="A223" s="63" t="str">
        <f t="shared" si="45"/>
        <v/>
      </c>
      <c r="B223" s="182"/>
      <c r="C223" s="75"/>
      <c r="D223" s="75"/>
      <c r="E223" s="74"/>
      <c r="F223" s="181"/>
      <c r="G223" s="69"/>
      <c r="AB223" s="150">
        <f t="shared" si="36"/>
        <v>0</v>
      </c>
      <c r="AC223" s="150">
        <f t="shared" si="37"/>
        <v>0</v>
      </c>
      <c r="AD223" s="98" t="str">
        <f t="shared" si="46"/>
        <v>0000000000</v>
      </c>
      <c r="AE223" s="151">
        <f t="shared" si="39"/>
        <v>0</v>
      </c>
      <c r="AF223" s="98" t="str">
        <f t="shared" si="40"/>
        <v>00</v>
      </c>
      <c r="AG223" s="98" t="str">
        <f t="shared" si="47"/>
        <v>000000000000</v>
      </c>
      <c r="AH223" s="161" t="str">
        <f t="shared" si="41"/>
        <v xml:space="preserve">                    </v>
      </c>
      <c r="AI223" s="154">
        <f t="shared" si="42"/>
        <v>0</v>
      </c>
      <c r="AJ223" s="155">
        <f t="shared" si="43"/>
        <v>0</v>
      </c>
      <c r="AP223" s="63" t="str">
        <f t="shared" si="44"/>
        <v/>
      </c>
      <c r="AQ223" s="63" t="str">
        <f t="shared" si="38"/>
        <v xml:space="preserve">                    </v>
      </c>
      <c r="AR223" s="63"/>
      <c r="AS223" s="63"/>
      <c r="AT223" s="63"/>
      <c r="AU223" s="63"/>
      <c r="AV223" s="63"/>
      <c r="AW223" s="63"/>
      <c r="AX223" s="63"/>
      <c r="AY223" s="63"/>
      <c r="AZ223" s="63"/>
      <c r="BA223" s="63"/>
      <c r="BB223" s="63"/>
      <c r="BC223" s="63"/>
      <c r="BD223" s="63"/>
      <c r="BE223" s="63"/>
      <c r="BF223" s="63"/>
      <c r="BG223" s="63"/>
      <c r="BH223" s="63"/>
      <c r="BI223" s="63"/>
      <c r="BJ223" s="63"/>
      <c r="BK223" s="63"/>
      <c r="BL223" s="63"/>
      <c r="BM223" s="63"/>
      <c r="BN223" s="63"/>
      <c r="BO223" s="63"/>
      <c r="BP223" s="63"/>
      <c r="BQ223" s="63"/>
      <c r="BR223" s="63"/>
      <c r="BS223" s="63"/>
      <c r="BT223" s="63"/>
      <c r="BU223" s="63"/>
      <c r="BV223" s="63"/>
      <c r="BW223" s="63"/>
    </row>
    <row r="224" spans="1:75" x14ac:dyDescent="0.2">
      <c r="A224" s="63" t="str">
        <f t="shared" si="45"/>
        <v/>
      </c>
      <c r="B224" s="182"/>
      <c r="C224" s="75"/>
      <c r="D224" s="75"/>
      <c r="E224" s="74"/>
      <c r="F224" s="181"/>
      <c r="G224" s="69"/>
      <c r="AB224" s="150">
        <f t="shared" si="36"/>
        <v>0</v>
      </c>
      <c r="AC224" s="150">
        <f t="shared" si="37"/>
        <v>0</v>
      </c>
      <c r="AD224" s="98" t="str">
        <f t="shared" si="46"/>
        <v>0000000000</v>
      </c>
      <c r="AE224" s="151">
        <f t="shared" si="39"/>
        <v>0</v>
      </c>
      <c r="AF224" s="98" t="str">
        <f t="shared" si="40"/>
        <v>00</v>
      </c>
      <c r="AG224" s="98" t="str">
        <f t="shared" si="47"/>
        <v>000000000000</v>
      </c>
      <c r="AH224" s="161" t="str">
        <f t="shared" si="41"/>
        <v xml:space="preserve">                    </v>
      </c>
      <c r="AI224" s="154">
        <f t="shared" si="42"/>
        <v>0</v>
      </c>
      <c r="AJ224" s="155">
        <f t="shared" si="43"/>
        <v>0</v>
      </c>
      <c r="AP224" s="63" t="str">
        <f t="shared" si="44"/>
        <v/>
      </c>
      <c r="AQ224" s="63" t="str">
        <f t="shared" si="38"/>
        <v xml:space="preserve">                    </v>
      </c>
      <c r="AR224" s="63"/>
      <c r="AS224" s="63"/>
      <c r="AT224" s="63"/>
      <c r="AU224" s="63"/>
      <c r="AV224" s="63"/>
      <c r="AW224" s="63"/>
      <c r="AX224" s="63"/>
      <c r="AY224" s="63"/>
      <c r="AZ224" s="63"/>
      <c r="BA224" s="63"/>
      <c r="BB224" s="63"/>
      <c r="BC224" s="63"/>
      <c r="BD224" s="63"/>
      <c r="BE224" s="63"/>
      <c r="BF224" s="63"/>
      <c r="BG224" s="63"/>
      <c r="BH224" s="63"/>
      <c r="BI224" s="63"/>
      <c r="BJ224" s="63"/>
      <c r="BK224" s="63"/>
      <c r="BL224" s="63"/>
      <c r="BM224" s="63"/>
      <c r="BN224" s="63"/>
      <c r="BO224" s="63"/>
      <c r="BP224" s="63"/>
      <c r="BQ224" s="63"/>
      <c r="BR224" s="63"/>
      <c r="BS224" s="63"/>
      <c r="BT224" s="63"/>
      <c r="BU224" s="63"/>
      <c r="BV224" s="63"/>
      <c r="BW224" s="63"/>
    </row>
    <row r="225" spans="1:75" x14ac:dyDescent="0.2">
      <c r="A225" s="63" t="str">
        <f t="shared" si="45"/>
        <v/>
      </c>
      <c r="B225" s="182"/>
      <c r="C225" s="75"/>
      <c r="D225" s="75"/>
      <c r="E225" s="74"/>
      <c r="F225" s="181"/>
      <c r="G225" s="69"/>
      <c r="AB225" s="150">
        <f t="shared" si="36"/>
        <v>0</v>
      </c>
      <c r="AC225" s="150">
        <f t="shared" si="37"/>
        <v>0</v>
      </c>
      <c r="AD225" s="98" t="str">
        <f t="shared" si="46"/>
        <v>0000000000</v>
      </c>
      <c r="AE225" s="151">
        <f t="shared" si="39"/>
        <v>0</v>
      </c>
      <c r="AF225" s="98" t="str">
        <f t="shared" si="40"/>
        <v>00</v>
      </c>
      <c r="AG225" s="98" t="str">
        <f t="shared" si="47"/>
        <v>000000000000</v>
      </c>
      <c r="AH225" s="161" t="str">
        <f t="shared" si="41"/>
        <v xml:space="preserve">                    </v>
      </c>
      <c r="AI225" s="154">
        <f t="shared" si="42"/>
        <v>0</v>
      </c>
      <c r="AJ225" s="155">
        <f t="shared" si="43"/>
        <v>0</v>
      </c>
      <c r="AP225" s="63" t="str">
        <f t="shared" si="44"/>
        <v/>
      </c>
      <c r="AQ225" s="63" t="str">
        <f t="shared" si="38"/>
        <v xml:space="preserve">                    </v>
      </c>
      <c r="AR225" s="63"/>
      <c r="AS225" s="63"/>
      <c r="AT225" s="63"/>
      <c r="AU225" s="63"/>
      <c r="AV225" s="63"/>
      <c r="AW225" s="63"/>
      <c r="AX225" s="63"/>
      <c r="AY225" s="63"/>
      <c r="AZ225" s="63"/>
      <c r="BA225" s="63"/>
      <c r="BB225" s="63"/>
      <c r="BC225" s="63"/>
      <c r="BD225" s="63"/>
      <c r="BE225" s="63"/>
      <c r="BF225" s="63"/>
      <c r="BG225" s="63"/>
      <c r="BH225" s="63"/>
      <c r="BI225" s="63"/>
      <c r="BJ225" s="63"/>
      <c r="BK225" s="63"/>
      <c r="BL225" s="63"/>
      <c r="BM225" s="63"/>
      <c r="BN225" s="63"/>
      <c r="BO225" s="63"/>
      <c r="BP225" s="63"/>
      <c r="BQ225" s="63"/>
      <c r="BR225" s="63"/>
      <c r="BS225" s="63"/>
      <c r="BT225" s="63"/>
      <c r="BU225" s="63"/>
      <c r="BV225" s="63"/>
      <c r="BW225" s="63"/>
    </row>
    <row r="226" spans="1:75" x14ac:dyDescent="0.2">
      <c r="A226" s="63" t="str">
        <f t="shared" si="45"/>
        <v/>
      </c>
      <c r="B226" s="182"/>
      <c r="C226" s="75"/>
      <c r="D226" s="75"/>
      <c r="E226" s="74"/>
      <c r="F226" s="181"/>
      <c r="G226" s="69"/>
      <c r="AB226" s="150">
        <f t="shared" si="36"/>
        <v>0</v>
      </c>
      <c r="AC226" s="150">
        <f t="shared" si="37"/>
        <v>0</v>
      </c>
      <c r="AD226" s="98" t="str">
        <f t="shared" si="46"/>
        <v>0000000000</v>
      </c>
      <c r="AE226" s="151">
        <f t="shared" si="39"/>
        <v>0</v>
      </c>
      <c r="AF226" s="98" t="str">
        <f t="shared" si="40"/>
        <v>00</v>
      </c>
      <c r="AG226" s="98" t="str">
        <f t="shared" si="47"/>
        <v>000000000000</v>
      </c>
      <c r="AH226" s="161" t="str">
        <f t="shared" si="41"/>
        <v xml:space="preserve">                    </v>
      </c>
      <c r="AI226" s="154">
        <f t="shared" si="42"/>
        <v>0</v>
      </c>
      <c r="AJ226" s="155">
        <f t="shared" si="43"/>
        <v>0</v>
      </c>
      <c r="AP226" s="63" t="str">
        <f t="shared" si="44"/>
        <v/>
      </c>
      <c r="AQ226" s="63" t="str">
        <f t="shared" si="38"/>
        <v xml:space="preserve">                    </v>
      </c>
      <c r="AR226" s="63"/>
      <c r="AS226" s="63"/>
      <c r="AT226" s="63"/>
      <c r="AU226" s="63"/>
      <c r="AV226" s="63"/>
      <c r="AW226" s="63"/>
      <c r="AX226" s="63"/>
      <c r="AY226" s="63"/>
      <c r="AZ226" s="63"/>
      <c r="BA226" s="63"/>
      <c r="BB226" s="63"/>
      <c r="BC226" s="63"/>
      <c r="BD226" s="63"/>
      <c r="BE226" s="63"/>
      <c r="BF226" s="63"/>
      <c r="BG226" s="63"/>
      <c r="BH226" s="63"/>
      <c r="BI226" s="63"/>
      <c r="BJ226" s="63"/>
      <c r="BK226" s="63"/>
      <c r="BL226" s="63"/>
      <c r="BM226" s="63"/>
      <c r="BN226" s="63"/>
      <c r="BO226" s="63"/>
      <c r="BP226" s="63"/>
      <c r="BQ226" s="63"/>
      <c r="BR226" s="63"/>
      <c r="BS226" s="63"/>
      <c r="BT226" s="63"/>
      <c r="BU226" s="63"/>
      <c r="BV226" s="63"/>
      <c r="BW226" s="63"/>
    </row>
    <row r="227" spans="1:75" x14ac:dyDescent="0.2">
      <c r="A227" s="63" t="str">
        <f t="shared" si="45"/>
        <v/>
      </c>
      <c r="B227" s="182"/>
      <c r="C227" s="75"/>
      <c r="D227" s="75"/>
      <c r="E227" s="74"/>
      <c r="F227" s="181"/>
      <c r="G227" s="69"/>
      <c r="AB227" s="150">
        <f t="shared" si="36"/>
        <v>0</v>
      </c>
      <c r="AC227" s="150">
        <f t="shared" si="37"/>
        <v>0</v>
      </c>
      <c r="AD227" s="98" t="str">
        <f t="shared" si="46"/>
        <v>0000000000</v>
      </c>
      <c r="AE227" s="151">
        <f t="shared" si="39"/>
        <v>0</v>
      </c>
      <c r="AF227" s="98" t="str">
        <f t="shared" si="40"/>
        <v>00</v>
      </c>
      <c r="AG227" s="98" t="str">
        <f t="shared" si="47"/>
        <v>000000000000</v>
      </c>
      <c r="AH227" s="161" t="str">
        <f t="shared" si="41"/>
        <v xml:space="preserve">                    </v>
      </c>
      <c r="AI227" s="154">
        <f t="shared" si="42"/>
        <v>0</v>
      </c>
      <c r="AJ227" s="155">
        <f t="shared" si="43"/>
        <v>0</v>
      </c>
      <c r="AP227" s="63" t="str">
        <f t="shared" si="44"/>
        <v/>
      </c>
      <c r="AQ227" s="63" t="str">
        <f t="shared" si="38"/>
        <v xml:space="preserve">                    </v>
      </c>
      <c r="AR227" s="63"/>
      <c r="AS227" s="63"/>
      <c r="AT227" s="63"/>
      <c r="AU227" s="63"/>
      <c r="AV227" s="63"/>
      <c r="AW227" s="63"/>
      <c r="AX227" s="63"/>
      <c r="AY227" s="63"/>
      <c r="AZ227" s="63"/>
      <c r="BA227" s="63"/>
      <c r="BB227" s="63"/>
      <c r="BC227" s="63"/>
      <c r="BD227" s="63"/>
      <c r="BE227" s="63"/>
      <c r="BF227" s="63"/>
      <c r="BG227" s="63"/>
      <c r="BH227" s="63"/>
      <c r="BI227" s="63"/>
      <c r="BJ227" s="63"/>
      <c r="BK227" s="63"/>
      <c r="BL227" s="63"/>
      <c r="BM227" s="63"/>
      <c r="BN227" s="63"/>
      <c r="BO227" s="63"/>
      <c r="BP227" s="63"/>
      <c r="BQ227" s="63"/>
      <c r="BR227" s="63"/>
      <c r="BS227" s="63"/>
      <c r="BT227" s="63"/>
      <c r="BU227" s="63"/>
      <c r="BV227" s="63"/>
      <c r="BW227" s="63"/>
    </row>
    <row r="228" spans="1:75" x14ac:dyDescent="0.2">
      <c r="A228" s="63" t="str">
        <f t="shared" si="45"/>
        <v/>
      </c>
      <c r="B228" s="182"/>
      <c r="C228" s="75"/>
      <c r="D228" s="75"/>
      <c r="E228" s="74"/>
      <c r="F228" s="181"/>
      <c r="G228" s="69"/>
      <c r="AB228" s="150">
        <f t="shared" si="36"/>
        <v>0</v>
      </c>
      <c r="AC228" s="150">
        <f t="shared" si="37"/>
        <v>0</v>
      </c>
      <c r="AD228" s="98" t="str">
        <f t="shared" si="46"/>
        <v>0000000000</v>
      </c>
      <c r="AE228" s="151">
        <f t="shared" si="39"/>
        <v>0</v>
      </c>
      <c r="AF228" s="98" t="str">
        <f t="shared" si="40"/>
        <v>00</v>
      </c>
      <c r="AG228" s="98" t="str">
        <f t="shared" si="47"/>
        <v>000000000000</v>
      </c>
      <c r="AH228" s="161" t="str">
        <f t="shared" si="41"/>
        <v xml:space="preserve">                    </v>
      </c>
      <c r="AI228" s="154">
        <f t="shared" si="42"/>
        <v>0</v>
      </c>
      <c r="AJ228" s="155">
        <f t="shared" si="43"/>
        <v>0</v>
      </c>
      <c r="AP228" s="63" t="str">
        <f t="shared" si="44"/>
        <v/>
      </c>
      <c r="AQ228" s="63" t="str">
        <f t="shared" si="38"/>
        <v xml:space="preserve">                    </v>
      </c>
      <c r="AR228" s="63"/>
      <c r="AS228" s="63"/>
      <c r="AT228" s="63"/>
      <c r="AU228" s="63"/>
      <c r="AV228" s="63"/>
      <c r="AW228" s="63"/>
      <c r="AX228" s="63"/>
      <c r="AY228" s="63"/>
      <c r="AZ228" s="63"/>
      <c r="BA228" s="63"/>
      <c r="BB228" s="63"/>
      <c r="BC228" s="63"/>
      <c r="BD228" s="63"/>
      <c r="BE228" s="63"/>
      <c r="BF228" s="63"/>
      <c r="BG228" s="63"/>
      <c r="BH228" s="63"/>
      <c r="BI228" s="63"/>
      <c r="BJ228" s="63"/>
      <c r="BK228" s="63"/>
      <c r="BL228" s="63"/>
      <c r="BM228" s="63"/>
      <c r="BN228" s="63"/>
      <c r="BO228" s="63"/>
      <c r="BP228" s="63"/>
      <c r="BQ228" s="63"/>
      <c r="BR228" s="63"/>
      <c r="BS228" s="63"/>
      <c r="BT228" s="63"/>
      <c r="BU228" s="63"/>
      <c r="BV228" s="63"/>
      <c r="BW228" s="63"/>
    </row>
    <row r="229" spans="1:75" x14ac:dyDescent="0.2">
      <c r="A229" s="63" t="str">
        <f t="shared" si="45"/>
        <v/>
      </c>
      <c r="B229" s="182"/>
      <c r="C229" s="75"/>
      <c r="D229" s="75"/>
      <c r="E229" s="74"/>
      <c r="F229" s="181"/>
      <c r="G229" s="69"/>
      <c r="AB229" s="150">
        <f t="shared" si="36"/>
        <v>0</v>
      </c>
      <c r="AC229" s="150">
        <f t="shared" si="37"/>
        <v>0</v>
      </c>
      <c r="AD229" s="98" t="str">
        <f t="shared" si="46"/>
        <v>0000000000</v>
      </c>
      <c r="AE229" s="151">
        <f t="shared" si="39"/>
        <v>0</v>
      </c>
      <c r="AF229" s="98" t="str">
        <f t="shared" si="40"/>
        <v>00</v>
      </c>
      <c r="AG229" s="98" t="str">
        <f t="shared" si="47"/>
        <v>000000000000</v>
      </c>
      <c r="AH229" s="161" t="str">
        <f t="shared" si="41"/>
        <v xml:space="preserve">                    </v>
      </c>
      <c r="AI229" s="154">
        <f t="shared" si="42"/>
        <v>0</v>
      </c>
      <c r="AJ229" s="155">
        <f t="shared" si="43"/>
        <v>0</v>
      </c>
      <c r="AP229" s="63" t="str">
        <f t="shared" si="44"/>
        <v/>
      </c>
      <c r="AQ229" s="63" t="str">
        <f t="shared" si="38"/>
        <v xml:space="preserve">                    </v>
      </c>
      <c r="AR229" s="63"/>
      <c r="AS229" s="63"/>
      <c r="AT229" s="63"/>
      <c r="AU229" s="63"/>
      <c r="AV229" s="63"/>
      <c r="AW229" s="63"/>
      <c r="AX229" s="63"/>
      <c r="AY229" s="63"/>
      <c r="AZ229" s="63"/>
      <c r="BA229" s="63"/>
      <c r="BB229" s="63"/>
      <c r="BC229" s="63"/>
      <c r="BD229" s="63"/>
      <c r="BE229" s="63"/>
      <c r="BF229" s="63"/>
      <c r="BG229" s="63"/>
      <c r="BH229" s="63"/>
      <c r="BI229" s="63"/>
      <c r="BJ229" s="63"/>
      <c r="BK229" s="63"/>
      <c r="BL229" s="63"/>
      <c r="BM229" s="63"/>
      <c r="BN229" s="63"/>
      <c r="BO229" s="63"/>
      <c r="BP229" s="63"/>
      <c r="BQ229" s="63"/>
      <c r="BR229" s="63"/>
      <c r="BS229" s="63"/>
      <c r="BT229" s="63"/>
      <c r="BU229" s="63"/>
      <c r="BV229" s="63"/>
      <c r="BW229" s="63"/>
    </row>
    <row r="230" spans="1:75" x14ac:dyDescent="0.2">
      <c r="A230" s="63" t="str">
        <f t="shared" si="45"/>
        <v/>
      </c>
      <c r="B230" s="182"/>
      <c r="C230" s="75"/>
      <c r="D230" s="75"/>
      <c r="E230" s="74"/>
      <c r="F230" s="181"/>
      <c r="G230" s="69"/>
      <c r="AB230" s="150">
        <f t="shared" si="36"/>
        <v>0</v>
      </c>
      <c r="AC230" s="150">
        <f t="shared" si="37"/>
        <v>0</v>
      </c>
      <c r="AD230" s="98" t="str">
        <f t="shared" si="46"/>
        <v>0000000000</v>
      </c>
      <c r="AE230" s="151">
        <f t="shared" si="39"/>
        <v>0</v>
      </c>
      <c r="AF230" s="98" t="str">
        <f t="shared" si="40"/>
        <v>00</v>
      </c>
      <c r="AG230" s="98" t="str">
        <f t="shared" si="47"/>
        <v>000000000000</v>
      </c>
      <c r="AH230" s="161" t="str">
        <f t="shared" si="41"/>
        <v xml:space="preserve">                    </v>
      </c>
      <c r="AI230" s="154">
        <f t="shared" si="42"/>
        <v>0</v>
      </c>
      <c r="AJ230" s="155">
        <f t="shared" si="43"/>
        <v>0</v>
      </c>
      <c r="AP230" s="63" t="str">
        <f t="shared" si="44"/>
        <v/>
      </c>
      <c r="AQ230" s="63" t="str">
        <f t="shared" si="38"/>
        <v xml:space="preserve">                    </v>
      </c>
      <c r="AR230" s="63"/>
      <c r="AS230" s="63"/>
      <c r="AT230" s="63"/>
      <c r="AU230" s="63"/>
      <c r="AV230" s="63"/>
      <c r="AW230" s="63"/>
      <c r="AX230" s="63"/>
      <c r="AY230" s="63"/>
      <c r="AZ230" s="63"/>
      <c r="BA230" s="63"/>
      <c r="BB230" s="63"/>
      <c r="BC230" s="63"/>
      <c r="BD230" s="63"/>
      <c r="BE230" s="63"/>
      <c r="BF230" s="63"/>
      <c r="BG230" s="63"/>
      <c r="BH230" s="63"/>
      <c r="BI230" s="63"/>
      <c r="BJ230" s="63"/>
      <c r="BK230" s="63"/>
      <c r="BL230" s="63"/>
      <c r="BM230" s="63"/>
      <c r="BN230" s="63"/>
      <c r="BO230" s="63"/>
      <c r="BP230" s="63"/>
      <c r="BQ230" s="63"/>
      <c r="BR230" s="63"/>
      <c r="BS230" s="63"/>
      <c r="BT230" s="63"/>
      <c r="BU230" s="63"/>
      <c r="BV230" s="63"/>
      <c r="BW230" s="63"/>
    </row>
    <row r="231" spans="1:75" x14ac:dyDescent="0.2">
      <c r="A231" s="63" t="str">
        <f t="shared" si="45"/>
        <v/>
      </c>
      <c r="B231" s="182"/>
      <c r="C231" s="75"/>
      <c r="D231" s="75"/>
      <c r="E231" s="74"/>
      <c r="F231" s="181"/>
      <c r="G231" s="69"/>
      <c r="AB231" s="150">
        <f t="shared" si="36"/>
        <v>0</v>
      </c>
      <c r="AC231" s="150">
        <f t="shared" si="37"/>
        <v>0</v>
      </c>
      <c r="AD231" s="98" t="str">
        <f t="shared" si="46"/>
        <v>0000000000</v>
      </c>
      <c r="AE231" s="151">
        <f t="shared" si="39"/>
        <v>0</v>
      </c>
      <c r="AF231" s="98" t="str">
        <f t="shared" si="40"/>
        <v>00</v>
      </c>
      <c r="AG231" s="98" t="str">
        <f t="shared" si="47"/>
        <v>000000000000</v>
      </c>
      <c r="AH231" s="161" t="str">
        <f t="shared" si="41"/>
        <v xml:space="preserve">                    </v>
      </c>
      <c r="AI231" s="154">
        <f t="shared" si="42"/>
        <v>0</v>
      </c>
      <c r="AJ231" s="155">
        <f t="shared" si="43"/>
        <v>0</v>
      </c>
      <c r="AP231" s="63" t="str">
        <f t="shared" si="44"/>
        <v/>
      </c>
      <c r="AQ231" s="63" t="str">
        <f t="shared" si="38"/>
        <v xml:space="preserve">                    </v>
      </c>
      <c r="AR231" s="63"/>
      <c r="AS231" s="63"/>
      <c r="AT231" s="63"/>
      <c r="AU231" s="63"/>
      <c r="AV231" s="63"/>
      <c r="AW231" s="63"/>
      <c r="AX231" s="63"/>
      <c r="AY231" s="63"/>
      <c r="AZ231" s="63"/>
      <c r="BA231" s="63"/>
      <c r="BB231" s="63"/>
      <c r="BC231" s="63"/>
      <c r="BD231" s="63"/>
      <c r="BE231" s="63"/>
      <c r="BF231" s="63"/>
      <c r="BG231" s="63"/>
      <c r="BH231" s="63"/>
      <c r="BI231" s="63"/>
      <c r="BJ231" s="63"/>
      <c r="BK231" s="63"/>
      <c r="BL231" s="63"/>
      <c r="BM231" s="63"/>
      <c r="BN231" s="63"/>
      <c r="BO231" s="63"/>
      <c r="BP231" s="63"/>
      <c r="BQ231" s="63"/>
      <c r="BR231" s="63"/>
      <c r="BS231" s="63"/>
      <c r="BT231" s="63"/>
      <c r="BU231" s="63"/>
      <c r="BV231" s="63"/>
      <c r="BW231" s="63"/>
    </row>
    <row r="232" spans="1:75" x14ac:dyDescent="0.2">
      <c r="A232" s="63" t="str">
        <f t="shared" si="45"/>
        <v/>
      </c>
      <c r="B232" s="182"/>
      <c r="C232" s="75"/>
      <c r="D232" s="75"/>
      <c r="E232" s="74"/>
      <c r="F232" s="181"/>
      <c r="G232" s="69"/>
      <c r="AB232" s="150">
        <f t="shared" si="36"/>
        <v>0</v>
      </c>
      <c r="AC232" s="150">
        <f t="shared" si="37"/>
        <v>0</v>
      </c>
      <c r="AD232" s="98" t="str">
        <f t="shared" si="46"/>
        <v>0000000000</v>
      </c>
      <c r="AE232" s="151">
        <f t="shared" si="39"/>
        <v>0</v>
      </c>
      <c r="AF232" s="98" t="str">
        <f t="shared" si="40"/>
        <v>00</v>
      </c>
      <c r="AG232" s="98" t="str">
        <f t="shared" si="47"/>
        <v>000000000000</v>
      </c>
      <c r="AH232" s="161" t="str">
        <f t="shared" si="41"/>
        <v xml:space="preserve">                    </v>
      </c>
      <c r="AI232" s="154">
        <f t="shared" si="42"/>
        <v>0</v>
      </c>
      <c r="AJ232" s="155">
        <f t="shared" si="43"/>
        <v>0</v>
      </c>
      <c r="AP232" s="63" t="str">
        <f t="shared" si="44"/>
        <v/>
      </c>
      <c r="AQ232" s="63" t="str">
        <f t="shared" si="38"/>
        <v xml:space="preserve">                    </v>
      </c>
      <c r="AR232" s="63"/>
      <c r="AS232" s="63"/>
      <c r="AT232" s="63"/>
      <c r="AU232" s="63"/>
      <c r="AV232" s="63"/>
      <c r="AW232" s="63"/>
      <c r="AX232" s="63"/>
      <c r="AY232" s="63"/>
      <c r="AZ232" s="63"/>
      <c r="BA232" s="63"/>
      <c r="BB232" s="63"/>
      <c r="BC232" s="63"/>
      <c r="BD232" s="63"/>
      <c r="BE232" s="63"/>
      <c r="BF232" s="63"/>
      <c r="BG232" s="63"/>
      <c r="BH232" s="63"/>
      <c r="BI232" s="63"/>
      <c r="BJ232" s="63"/>
      <c r="BK232" s="63"/>
      <c r="BL232" s="63"/>
      <c r="BM232" s="63"/>
      <c r="BN232" s="63"/>
      <c r="BO232" s="63"/>
      <c r="BP232" s="63"/>
      <c r="BQ232" s="63"/>
      <c r="BR232" s="63"/>
      <c r="BS232" s="63"/>
      <c r="BT232" s="63"/>
      <c r="BU232" s="63"/>
      <c r="BV232" s="63"/>
      <c r="BW232" s="63"/>
    </row>
    <row r="233" spans="1:75" x14ac:dyDescent="0.2">
      <c r="A233" s="63" t="str">
        <f t="shared" si="45"/>
        <v/>
      </c>
      <c r="B233" s="182"/>
      <c r="C233" s="75"/>
      <c r="D233" s="75"/>
      <c r="E233" s="74"/>
      <c r="F233" s="181"/>
      <c r="G233" s="69"/>
      <c r="AB233" s="150">
        <f t="shared" si="36"/>
        <v>0</v>
      </c>
      <c r="AC233" s="150">
        <f t="shared" si="37"/>
        <v>0</v>
      </c>
      <c r="AD233" s="98" t="str">
        <f t="shared" si="46"/>
        <v>0000000000</v>
      </c>
      <c r="AE233" s="151">
        <f t="shared" si="39"/>
        <v>0</v>
      </c>
      <c r="AF233" s="98" t="str">
        <f t="shared" si="40"/>
        <v>00</v>
      </c>
      <c r="AG233" s="98" t="str">
        <f t="shared" si="47"/>
        <v>000000000000</v>
      </c>
      <c r="AH233" s="161" t="str">
        <f t="shared" si="41"/>
        <v xml:space="preserve">                    </v>
      </c>
      <c r="AI233" s="154">
        <f t="shared" si="42"/>
        <v>0</v>
      </c>
      <c r="AJ233" s="155">
        <f t="shared" si="43"/>
        <v>0</v>
      </c>
      <c r="AP233" s="63" t="str">
        <f t="shared" si="44"/>
        <v/>
      </c>
      <c r="AQ233" s="63" t="str">
        <f t="shared" si="38"/>
        <v xml:space="preserve">                    </v>
      </c>
      <c r="AR233" s="63"/>
      <c r="AS233" s="63"/>
      <c r="AT233" s="63"/>
      <c r="AU233" s="63"/>
      <c r="AV233" s="63"/>
      <c r="AW233" s="63"/>
      <c r="AX233" s="63"/>
      <c r="AY233" s="63"/>
      <c r="AZ233" s="63"/>
      <c r="BA233" s="63"/>
      <c r="BB233" s="63"/>
      <c r="BC233" s="63"/>
      <c r="BD233" s="63"/>
      <c r="BE233" s="63"/>
      <c r="BF233" s="63"/>
      <c r="BG233" s="63"/>
      <c r="BH233" s="63"/>
      <c r="BI233" s="63"/>
      <c r="BJ233" s="63"/>
      <c r="BK233" s="63"/>
      <c r="BL233" s="63"/>
      <c r="BM233" s="63"/>
      <c r="BN233" s="63"/>
      <c r="BO233" s="63"/>
      <c r="BP233" s="63"/>
      <c r="BQ233" s="63"/>
      <c r="BR233" s="63"/>
      <c r="BS233" s="63"/>
      <c r="BT233" s="63"/>
      <c r="BU233" s="63"/>
      <c r="BV233" s="63"/>
      <c r="BW233" s="63"/>
    </row>
    <row r="234" spans="1:75" x14ac:dyDescent="0.2">
      <c r="A234" s="63" t="str">
        <f t="shared" si="45"/>
        <v/>
      </c>
      <c r="B234" s="182"/>
      <c r="C234" s="75"/>
      <c r="D234" s="75"/>
      <c r="E234" s="74"/>
      <c r="F234" s="181"/>
      <c r="G234" s="69"/>
      <c r="AB234" s="150">
        <f t="shared" si="36"/>
        <v>0</v>
      </c>
      <c r="AC234" s="150">
        <f t="shared" si="37"/>
        <v>0</v>
      </c>
      <c r="AD234" s="98" t="str">
        <f t="shared" si="46"/>
        <v>0000000000</v>
      </c>
      <c r="AE234" s="151">
        <f t="shared" si="39"/>
        <v>0</v>
      </c>
      <c r="AF234" s="98" t="str">
        <f t="shared" si="40"/>
        <v>00</v>
      </c>
      <c r="AG234" s="98" t="str">
        <f t="shared" si="47"/>
        <v>000000000000</v>
      </c>
      <c r="AH234" s="161" t="str">
        <f t="shared" si="41"/>
        <v xml:space="preserve">                    </v>
      </c>
      <c r="AI234" s="154">
        <f t="shared" si="42"/>
        <v>0</v>
      </c>
      <c r="AJ234" s="155">
        <f t="shared" si="43"/>
        <v>0</v>
      </c>
      <c r="AP234" s="63" t="str">
        <f t="shared" si="44"/>
        <v/>
      </c>
      <c r="AQ234" s="63" t="str">
        <f t="shared" si="38"/>
        <v xml:space="preserve">                    </v>
      </c>
      <c r="AR234" s="63"/>
      <c r="AS234" s="63"/>
      <c r="AT234" s="63"/>
      <c r="AU234" s="63"/>
      <c r="AV234" s="63"/>
      <c r="AW234" s="63"/>
      <c r="AX234" s="63"/>
      <c r="AY234" s="63"/>
      <c r="AZ234" s="63"/>
      <c r="BA234" s="63"/>
      <c r="BB234" s="63"/>
      <c r="BC234" s="63"/>
      <c r="BD234" s="63"/>
      <c r="BE234" s="63"/>
      <c r="BF234" s="63"/>
      <c r="BG234" s="63"/>
      <c r="BH234" s="63"/>
      <c r="BI234" s="63"/>
      <c r="BJ234" s="63"/>
      <c r="BK234" s="63"/>
      <c r="BL234" s="63"/>
      <c r="BM234" s="63"/>
      <c r="BN234" s="63"/>
      <c r="BO234" s="63"/>
      <c r="BP234" s="63"/>
      <c r="BQ234" s="63"/>
      <c r="BR234" s="63"/>
      <c r="BS234" s="63"/>
      <c r="BT234" s="63"/>
      <c r="BU234" s="63"/>
      <c r="BV234" s="63"/>
      <c r="BW234" s="63"/>
    </row>
    <row r="235" spans="1:75" x14ac:dyDescent="0.2">
      <c r="A235" s="63" t="str">
        <f t="shared" si="45"/>
        <v/>
      </c>
      <c r="B235" s="182"/>
      <c r="C235" s="75"/>
      <c r="D235" s="75"/>
      <c r="E235" s="74"/>
      <c r="F235" s="181"/>
      <c r="G235" s="69"/>
      <c r="AB235" s="150">
        <f t="shared" si="36"/>
        <v>0</v>
      </c>
      <c r="AC235" s="150">
        <f t="shared" si="37"/>
        <v>0</v>
      </c>
      <c r="AD235" s="98" t="str">
        <f t="shared" si="46"/>
        <v>0000000000</v>
      </c>
      <c r="AE235" s="151">
        <f t="shared" si="39"/>
        <v>0</v>
      </c>
      <c r="AF235" s="98" t="str">
        <f t="shared" si="40"/>
        <v>00</v>
      </c>
      <c r="AG235" s="98" t="str">
        <f t="shared" si="47"/>
        <v>000000000000</v>
      </c>
      <c r="AH235" s="161" t="str">
        <f t="shared" si="41"/>
        <v xml:space="preserve">                    </v>
      </c>
      <c r="AI235" s="154">
        <f t="shared" si="42"/>
        <v>0</v>
      </c>
      <c r="AJ235" s="155">
        <f t="shared" si="43"/>
        <v>0</v>
      </c>
      <c r="AP235" s="63" t="str">
        <f t="shared" si="44"/>
        <v/>
      </c>
      <c r="AQ235" s="63" t="str">
        <f t="shared" si="38"/>
        <v xml:space="preserve">                    </v>
      </c>
      <c r="AR235" s="63"/>
      <c r="AS235" s="63"/>
      <c r="AT235" s="63"/>
      <c r="AU235" s="63"/>
      <c r="AV235" s="63"/>
      <c r="AW235" s="63"/>
      <c r="AX235" s="63"/>
      <c r="AY235" s="63"/>
      <c r="AZ235" s="63"/>
      <c r="BA235" s="63"/>
      <c r="BB235" s="63"/>
      <c r="BC235" s="63"/>
      <c r="BD235" s="63"/>
      <c r="BE235" s="63"/>
      <c r="BF235" s="63"/>
      <c r="BG235" s="63"/>
      <c r="BH235" s="63"/>
      <c r="BI235" s="63"/>
      <c r="BJ235" s="63"/>
      <c r="BK235" s="63"/>
      <c r="BL235" s="63"/>
      <c r="BM235" s="63"/>
      <c r="BN235" s="63"/>
      <c r="BO235" s="63"/>
      <c r="BP235" s="63"/>
      <c r="BQ235" s="63"/>
      <c r="BR235" s="63"/>
      <c r="BS235" s="63"/>
      <c r="BT235" s="63"/>
      <c r="BU235" s="63"/>
      <c r="BV235" s="63"/>
      <c r="BW235" s="63"/>
    </row>
    <row r="236" spans="1:75" x14ac:dyDescent="0.2">
      <c r="A236" s="63" t="str">
        <f t="shared" si="45"/>
        <v/>
      </c>
      <c r="B236" s="182"/>
      <c r="C236" s="75"/>
      <c r="D236" s="75"/>
      <c r="E236" s="74"/>
      <c r="F236" s="181"/>
      <c r="G236" s="69"/>
      <c r="AB236" s="150">
        <f t="shared" si="36"/>
        <v>0</v>
      </c>
      <c r="AC236" s="150">
        <f t="shared" si="37"/>
        <v>0</v>
      </c>
      <c r="AD236" s="98" t="str">
        <f t="shared" si="46"/>
        <v>0000000000</v>
      </c>
      <c r="AE236" s="151">
        <f t="shared" si="39"/>
        <v>0</v>
      </c>
      <c r="AF236" s="98" t="str">
        <f t="shared" si="40"/>
        <v>00</v>
      </c>
      <c r="AG236" s="98" t="str">
        <f t="shared" si="47"/>
        <v>000000000000</v>
      </c>
      <c r="AH236" s="161" t="str">
        <f t="shared" si="41"/>
        <v xml:space="preserve">                    </v>
      </c>
      <c r="AI236" s="154">
        <f t="shared" si="42"/>
        <v>0</v>
      </c>
      <c r="AJ236" s="155">
        <f t="shared" si="43"/>
        <v>0</v>
      </c>
      <c r="AP236" s="63" t="str">
        <f t="shared" si="44"/>
        <v/>
      </c>
      <c r="AQ236" s="63" t="str">
        <f t="shared" si="38"/>
        <v xml:space="preserve">                    </v>
      </c>
      <c r="AR236" s="63"/>
      <c r="AS236" s="63"/>
      <c r="AT236" s="63"/>
      <c r="AU236" s="63"/>
      <c r="AV236" s="63"/>
      <c r="AW236" s="63"/>
      <c r="AX236" s="63"/>
      <c r="AY236" s="63"/>
      <c r="AZ236" s="63"/>
      <c r="BA236" s="63"/>
      <c r="BB236" s="63"/>
      <c r="BC236" s="63"/>
      <c r="BD236" s="63"/>
      <c r="BE236" s="63"/>
      <c r="BF236" s="63"/>
      <c r="BG236" s="63"/>
      <c r="BH236" s="63"/>
      <c r="BI236" s="63"/>
      <c r="BJ236" s="63"/>
      <c r="BK236" s="63"/>
      <c r="BL236" s="63"/>
      <c r="BM236" s="63"/>
      <c r="BN236" s="63"/>
      <c r="BO236" s="63"/>
      <c r="BP236" s="63"/>
      <c r="BQ236" s="63"/>
      <c r="BR236" s="63"/>
      <c r="BS236" s="63"/>
      <c r="BT236" s="63"/>
      <c r="BU236" s="63"/>
      <c r="BV236" s="63"/>
      <c r="BW236" s="63"/>
    </row>
    <row r="237" spans="1:75" x14ac:dyDescent="0.2">
      <c r="A237" s="63" t="str">
        <f t="shared" si="45"/>
        <v/>
      </c>
      <c r="B237" s="182"/>
      <c r="C237" s="75"/>
      <c r="D237" s="75"/>
      <c r="E237" s="74"/>
      <c r="F237" s="181"/>
      <c r="G237" s="69"/>
      <c r="AB237" s="150">
        <f t="shared" si="36"/>
        <v>0</v>
      </c>
      <c r="AC237" s="150">
        <f t="shared" si="37"/>
        <v>0</v>
      </c>
      <c r="AD237" s="98" t="str">
        <f t="shared" si="46"/>
        <v>0000000000</v>
      </c>
      <c r="AE237" s="151">
        <f t="shared" si="39"/>
        <v>0</v>
      </c>
      <c r="AF237" s="98" t="str">
        <f t="shared" si="40"/>
        <v>00</v>
      </c>
      <c r="AG237" s="98" t="str">
        <f t="shared" si="47"/>
        <v>000000000000</v>
      </c>
      <c r="AH237" s="161" t="str">
        <f t="shared" si="41"/>
        <v xml:space="preserve">                    </v>
      </c>
      <c r="AI237" s="154">
        <f t="shared" si="42"/>
        <v>0</v>
      </c>
      <c r="AJ237" s="155">
        <f t="shared" si="43"/>
        <v>0</v>
      </c>
      <c r="AP237" s="63" t="str">
        <f t="shared" si="44"/>
        <v/>
      </c>
      <c r="AQ237" s="63" t="str">
        <f t="shared" si="38"/>
        <v xml:space="preserve">                    </v>
      </c>
      <c r="AR237" s="63"/>
      <c r="AS237" s="63"/>
      <c r="AT237" s="63"/>
      <c r="AU237" s="63"/>
      <c r="AV237" s="63"/>
      <c r="AW237" s="63"/>
      <c r="AX237" s="63"/>
      <c r="AY237" s="63"/>
      <c r="AZ237" s="63"/>
      <c r="BA237" s="63"/>
      <c r="BB237" s="63"/>
      <c r="BC237" s="63"/>
      <c r="BD237" s="63"/>
      <c r="BE237" s="63"/>
      <c r="BF237" s="63"/>
      <c r="BG237" s="63"/>
      <c r="BH237" s="63"/>
      <c r="BI237" s="63"/>
      <c r="BJ237" s="63"/>
      <c r="BK237" s="63"/>
      <c r="BL237" s="63"/>
      <c r="BM237" s="63"/>
      <c r="BN237" s="63"/>
      <c r="BO237" s="63"/>
      <c r="BP237" s="63"/>
      <c r="BQ237" s="63"/>
      <c r="BR237" s="63"/>
      <c r="BS237" s="63"/>
      <c r="BT237" s="63"/>
      <c r="BU237" s="63"/>
      <c r="BV237" s="63"/>
      <c r="BW237" s="63"/>
    </row>
    <row r="238" spans="1:75" x14ac:dyDescent="0.2">
      <c r="A238" s="63" t="str">
        <f t="shared" si="45"/>
        <v/>
      </c>
      <c r="B238" s="182"/>
      <c r="C238" s="75"/>
      <c r="D238" s="75"/>
      <c r="E238" s="74"/>
      <c r="F238" s="181"/>
      <c r="G238" s="69"/>
      <c r="AB238" s="150">
        <f t="shared" si="36"/>
        <v>0</v>
      </c>
      <c r="AC238" s="150">
        <f t="shared" si="37"/>
        <v>0</v>
      </c>
      <c r="AD238" s="98" t="str">
        <f t="shared" si="46"/>
        <v>0000000000</v>
      </c>
      <c r="AE238" s="151">
        <f t="shared" si="39"/>
        <v>0</v>
      </c>
      <c r="AF238" s="98" t="str">
        <f t="shared" si="40"/>
        <v>00</v>
      </c>
      <c r="AG238" s="98" t="str">
        <f t="shared" si="47"/>
        <v>000000000000</v>
      </c>
      <c r="AH238" s="161" t="str">
        <f t="shared" si="41"/>
        <v xml:space="preserve">                    </v>
      </c>
      <c r="AI238" s="154">
        <f t="shared" si="42"/>
        <v>0</v>
      </c>
      <c r="AJ238" s="155">
        <f t="shared" si="43"/>
        <v>0</v>
      </c>
      <c r="AP238" s="63" t="str">
        <f t="shared" si="44"/>
        <v/>
      </c>
      <c r="AQ238" s="63" t="str">
        <f t="shared" si="38"/>
        <v xml:space="preserve">                    </v>
      </c>
      <c r="AR238" s="63"/>
      <c r="AS238" s="63"/>
      <c r="AT238" s="63"/>
      <c r="AU238" s="63"/>
      <c r="AV238" s="63"/>
      <c r="AW238" s="63"/>
      <c r="AX238" s="63"/>
      <c r="AY238" s="63"/>
      <c r="AZ238" s="63"/>
      <c r="BA238" s="63"/>
      <c r="BB238" s="63"/>
      <c r="BC238" s="63"/>
      <c r="BD238" s="63"/>
      <c r="BE238" s="63"/>
      <c r="BF238" s="63"/>
      <c r="BG238" s="63"/>
      <c r="BH238" s="63"/>
      <c r="BI238" s="63"/>
      <c r="BJ238" s="63"/>
      <c r="BK238" s="63"/>
      <c r="BL238" s="63"/>
      <c r="BM238" s="63"/>
      <c r="BN238" s="63"/>
      <c r="BO238" s="63"/>
      <c r="BP238" s="63"/>
      <c r="BQ238" s="63"/>
      <c r="BR238" s="63"/>
      <c r="BS238" s="63"/>
      <c r="BT238" s="63"/>
      <c r="BU238" s="63"/>
      <c r="BV238" s="63"/>
      <c r="BW238" s="63"/>
    </row>
    <row r="239" spans="1:75" x14ac:dyDescent="0.2">
      <c r="A239" s="63" t="str">
        <f t="shared" si="45"/>
        <v/>
      </c>
      <c r="B239" s="182"/>
      <c r="C239" s="75"/>
      <c r="D239" s="75"/>
      <c r="E239" s="74"/>
      <c r="F239" s="181"/>
      <c r="G239" s="69"/>
      <c r="AB239" s="150">
        <f t="shared" si="36"/>
        <v>0</v>
      </c>
      <c r="AC239" s="150">
        <f t="shared" si="37"/>
        <v>0</v>
      </c>
      <c r="AD239" s="98" t="str">
        <f t="shared" si="46"/>
        <v>0000000000</v>
      </c>
      <c r="AE239" s="151">
        <f t="shared" si="39"/>
        <v>0</v>
      </c>
      <c r="AF239" s="98" t="str">
        <f t="shared" si="40"/>
        <v>00</v>
      </c>
      <c r="AG239" s="98" t="str">
        <f t="shared" si="47"/>
        <v>000000000000</v>
      </c>
      <c r="AH239" s="161" t="str">
        <f t="shared" si="41"/>
        <v xml:space="preserve">                    </v>
      </c>
      <c r="AI239" s="154">
        <f t="shared" si="42"/>
        <v>0</v>
      </c>
      <c r="AJ239" s="155">
        <f t="shared" si="43"/>
        <v>0</v>
      </c>
      <c r="AP239" s="63" t="str">
        <f t="shared" si="44"/>
        <v/>
      </c>
      <c r="AQ239" s="63" t="str">
        <f t="shared" si="38"/>
        <v xml:space="preserve">                    </v>
      </c>
      <c r="AR239" s="63"/>
      <c r="AS239" s="63"/>
      <c r="AT239" s="63"/>
      <c r="AU239" s="63"/>
      <c r="AV239" s="63"/>
      <c r="AW239" s="63"/>
      <c r="AX239" s="63"/>
      <c r="AY239" s="63"/>
      <c r="AZ239" s="63"/>
      <c r="BA239" s="63"/>
      <c r="BB239" s="63"/>
      <c r="BC239" s="63"/>
      <c r="BD239" s="63"/>
      <c r="BE239" s="63"/>
      <c r="BF239" s="63"/>
      <c r="BG239" s="63"/>
      <c r="BH239" s="63"/>
      <c r="BI239" s="63"/>
      <c r="BJ239" s="63"/>
      <c r="BK239" s="63"/>
      <c r="BL239" s="63"/>
      <c r="BM239" s="63"/>
      <c r="BN239" s="63"/>
      <c r="BO239" s="63"/>
      <c r="BP239" s="63"/>
      <c r="BQ239" s="63"/>
      <c r="BR239" s="63"/>
      <c r="BS239" s="63"/>
      <c r="BT239" s="63"/>
      <c r="BU239" s="63"/>
      <c r="BV239" s="63"/>
      <c r="BW239" s="63"/>
    </row>
    <row r="240" spans="1:75" x14ac:dyDescent="0.2">
      <c r="A240" s="63" t="str">
        <f t="shared" si="45"/>
        <v/>
      </c>
      <c r="B240" s="182"/>
      <c r="C240" s="75"/>
      <c r="D240" s="75"/>
      <c r="E240" s="74"/>
      <c r="F240" s="181"/>
      <c r="G240" s="69"/>
      <c r="AB240" s="150">
        <f t="shared" si="36"/>
        <v>0</v>
      </c>
      <c r="AC240" s="150">
        <f t="shared" si="37"/>
        <v>0</v>
      </c>
      <c r="AD240" s="98" t="str">
        <f t="shared" si="46"/>
        <v>0000000000</v>
      </c>
      <c r="AE240" s="151">
        <f t="shared" si="39"/>
        <v>0</v>
      </c>
      <c r="AF240" s="98" t="str">
        <f t="shared" si="40"/>
        <v>00</v>
      </c>
      <c r="AG240" s="98" t="str">
        <f t="shared" si="47"/>
        <v>000000000000</v>
      </c>
      <c r="AH240" s="161" t="str">
        <f t="shared" si="41"/>
        <v xml:space="preserve">                    </v>
      </c>
      <c r="AI240" s="154">
        <f t="shared" si="42"/>
        <v>0</v>
      </c>
      <c r="AJ240" s="155">
        <f t="shared" si="43"/>
        <v>0</v>
      </c>
      <c r="AP240" s="63" t="str">
        <f t="shared" si="44"/>
        <v/>
      </c>
      <c r="AQ240" s="63" t="str">
        <f t="shared" si="38"/>
        <v xml:space="preserve">                    </v>
      </c>
      <c r="AR240" s="63"/>
      <c r="AS240" s="63"/>
      <c r="AT240" s="63"/>
      <c r="AU240" s="63"/>
      <c r="AV240" s="63"/>
      <c r="AW240" s="63"/>
      <c r="AX240" s="63"/>
      <c r="AY240" s="63"/>
      <c r="AZ240" s="63"/>
      <c r="BA240" s="63"/>
      <c r="BB240" s="63"/>
      <c r="BC240" s="63"/>
      <c r="BD240" s="63"/>
      <c r="BE240" s="63"/>
      <c r="BF240" s="63"/>
      <c r="BG240" s="63"/>
      <c r="BH240" s="63"/>
      <c r="BI240" s="63"/>
      <c r="BJ240" s="63"/>
      <c r="BK240" s="63"/>
      <c r="BL240" s="63"/>
      <c r="BM240" s="63"/>
      <c r="BN240" s="63"/>
      <c r="BO240" s="63"/>
      <c r="BP240" s="63"/>
      <c r="BQ240" s="63"/>
      <c r="BR240" s="63"/>
      <c r="BS240" s="63"/>
      <c r="BT240" s="63"/>
      <c r="BU240" s="63"/>
      <c r="BV240" s="63"/>
      <c r="BW240" s="63"/>
    </row>
    <row r="241" spans="1:75" x14ac:dyDescent="0.2">
      <c r="A241" s="63" t="str">
        <f t="shared" si="45"/>
        <v/>
      </c>
      <c r="B241" s="182"/>
      <c r="C241" s="75"/>
      <c r="D241" s="75"/>
      <c r="E241" s="74"/>
      <c r="F241" s="181"/>
      <c r="G241" s="69"/>
      <c r="AB241" s="150">
        <f t="shared" si="36"/>
        <v>0</v>
      </c>
      <c r="AC241" s="150">
        <f t="shared" si="37"/>
        <v>0</v>
      </c>
      <c r="AD241" s="98" t="str">
        <f t="shared" si="46"/>
        <v>0000000000</v>
      </c>
      <c r="AE241" s="151">
        <f t="shared" si="39"/>
        <v>0</v>
      </c>
      <c r="AF241" s="98" t="str">
        <f t="shared" si="40"/>
        <v>00</v>
      </c>
      <c r="AG241" s="98" t="str">
        <f t="shared" si="47"/>
        <v>000000000000</v>
      </c>
      <c r="AH241" s="161" t="str">
        <f t="shared" si="41"/>
        <v xml:space="preserve">                    </v>
      </c>
      <c r="AI241" s="154">
        <f t="shared" si="42"/>
        <v>0</v>
      </c>
      <c r="AJ241" s="155">
        <f t="shared" si="43"/>
        <v>0</v>
      </c>
      <c r="AP241" s="63" t="str">
        <f t="shared" si="44"/>
        <v/>
      </c>
      <c r="AQ241" s="63" t="str">
        <f t="shared" si="38"/>
        <v xml:space="preserve">                    </v>
      </c>
      <c r="AR241" s="63"/>
      <c r="AS241" s="63"/>
      <c r="AT241" s="63"/>
      <c r="AU241" s="63"/>
      <c r="AV241" s="63"/>
      <c r="AW241" s="63"/>
      <c r="AX241" s="63"/>
      <c r="AY241" s="63"/>
      <c r="AZ241" s="63"/>
      <c r="BA241" s="63"/>
      <c r="BB241" s="63"/>
      <c r="BC241" s="63"/>
      <c r="BD241" s="63"/>
      <c r="BE241" s="63"/>
      <c r="BF241" s="63"/>
      <c r="BG241" s="63"/>
      <c r="BH241" s="63"/>
      <c r="BI241" s="63"/>
      <c r="BJ241" s="63"/>
      <c r="BK241" s="63"/>
      <c r="BL241" s="63"/>
      <c r="BM241" s="63"/>
      <c r="BN241" s="63"/>
      <c r="BO241" s="63"/>
      <c r="BP241" s="63"/>
      <c r="BQ241" s="63"/>
      <c r="BR241" s="63"/>
      <c r="BS241" s="63"/>
      <c r="BT241" s="63"/>
      <c r="BU241" s="63"/>
      <c r="BV241" s="63"/>
      <c r="BW241" s="63"/>
    </row>
    <row r="242" spans="1:75" x14ac:dyDescent="0.2">
      <c r="A242" s="63" t="str">
        <f t="shared" si="45"/>
        <v/>
      </c>
      <c r="B242" s="182"/>
      <c r="C242" s="75"/>
      <c r="D242" s="75"/>
      <c r="E242" s="74"/>
      <c r="F242" s="181"/>
      <c r="G242" s="69"/>
      <c r="AB242" s="150">
        <f t="shared" si="36"/>
        <v>0</v>
      </c>
      <c r="AC242" s="150">
        <f t="shared" si="37"/>
        <v>0</v>
      </c>
      <c r="AD242" s="98" t="str">
        <f t="shared" si="46"/>
        <v>0000000000</v>
      </c>
      <c r="AE242" s="151">
        <f t="shared" si="39"/>
        <v>0</v>
      </c>
      <c r="AF242" s="98" t="str">
        <f t="shared" si="40"/>
        <v>00</v>
      </c>
      <c r="AG242" s="98" t="str">
        <f t="shared" si="47"/>
        <v>000000000000</v>
      </c>
      <c r="AH242" s="161" t="str">
        <f t="shared" si="41"/>
        <v xml:space="preserve">                    </v>
      </c>
      <c r="AI242" s="154">
        <f t="shared" si="42"/>
        <v>0</v>
      </c>
      <c r="AJ242" s="155">
        <f t="shared" si="43"/>
        <v>0</v>
      </c>
      <c r="AP242" s="63" t="str">
        <f t="shared" si="44"/>
        <v/>
      </c>
      <c r="AQ242" s="63" t="str">
        <f t="shared" si="38"/>
        <v xml:space="preserve">                    </v>
      </c>
      <c r="AR242" s="63"/>
      <c r="AS242" s="63"/>
      <c r="AT242" s="63"/>
      <c r="AU242" s="63"/>
      <c r="AV242" s="63"/>
      <c r="AW242" s="63"/>
      <c r="AX242" s="63"/>
      <c r="AY242" s="63"/>
      <c r="AZ242" s="63"/>
      <c r="BA242" s="63"/>
      <c r="BB242" s="63"/>
      <c r="BC242" s="63"/>
      <c r="BD242" s="63"/>
      <c r="BE242" s="63"/>
      <c r="BF242" s="63"/>
      <c r="BG242" s="63"/>
      <c r="BH242" s="63"/>
      <c r="BI242" s="63"/>
      <c r="BJ242" s="63"/>
      <c r="BK242" s="63"/>
      <c r="BL242" s="63"/>
      <c r="BM242" s="63"/>
      <c r="BN242" s="63"/>
      <c r="BO242" s="63"/>
      <c r="BP242" s="63"/>
      <c r="BQ242" s="63"/>
      <c r="BR242" s="63"/>
      <c r="BS242" s="63"/>
      <c r="BT242" s="63"/>
      <c r="BU242" s="63"/>
      <c r="BV242" s="63"/>
      <c r="BW242" s="63"/>
    </row>
    <row r="243" spans="1:75" x14ac:dyDescent="0.2">
      <c r="A243" s="63" t="str">
        <f t="shared" si="45"/>
        <v/>
      </c>
      <c r="B243" s="182"/>
      <c r="C243" s="75"/>
      <c r="D243" s="75"/>
      <c r="E243" s="74"/>
      <c r="F243" s="181"/>
      <c r="G243" s="69"/>
      <c r="AB243" s="150">
        <f t="shared" si="36"/>
        <v>0</v>
      </c>
      <c r="AC243" s="150">
        <f t="shared" si="37"/>
        <v>0</v>
      </c>
      <c r="AD243" s="98" t="str">
        <f t="shared" si="46"/>
        <v>0000000000</v>
      </c>
      <c r="AE243" s="151">
        <f t="shared" si="39"/>
        <v>0</v>
      </c>
      <c r="AF243" s="98" t="str">
        <f t="shared" si="40"/>
        <v>00</v>
      </c>
      <c r="AG243" s="98" t="str">
        <f t="shared" si="47"/>
        <v>000000000000</v>
      </c>
      <c r="AH243" s="161" t="str">
        <f t="shared" si="41"/>
        <v xml:space="preserve">                    </v>
      </c>
      <c r="AI243" s="154">
        <f t="shared" si="42"/>
        <v>0</v>
      </c>
      <c r="AJ243" s="155">
        <f t="shared" si="43"/>
        <v>0</v>
      </c>
      <c r="AP243" s="63" t="str">
        <f t="shared" si="44"/>
        <v/>
      </c>
      <c r="AQ243" s="63" t="str">
        <f t="shared" si="38"/>
        <v xml:space="preserve">                    </v>
      </c>
      <c r="AR243" s="63"/>
      <c r="AS243" s="63"/>
      <c r="AT243" s="63"/>
      <c r="AU243" s="63"/>
      <c r="AV243" s="63"/>
      <c r="AW243" s="63"/>
      <c r="AX243" s="63"/>
      <c r="AY243" s="63"/>
      <c r="AZ243" s="63"/>
      <c r="BA243" s="63"/>
      <c r="BB243" s="63"/>
      <c r="BC243" s="63"/>
      <c r="BD243" s="63"/>
      <c r="BE243" s="63"/>
      <c r="BF243" s="63"/>
      <c r="BG243" s="63"/>
      <c r="BH243" s="63"/>
      <c r="BI243" s="63"/>
      <c r="BJ243" s="63"/>
      <c r="BK243" s="63"/>
      <c r="BL243" s="63"/>
      <c r="BM243" s="63"/>
      <c r="BN243" s="63"/>
      <c r="BO243" s="63"/>
      <c r="BP243" s="63"/>
      <c r="BQ243" s="63"/>
      <c r="BR243" s="63"/>
      <c r="BS243" s="63"/>
      <c r="BT243" s="63"/>
      <c r="BU243" s="63"/>
      <c r="BV243" s="63"/>
      <c r="BW243" s="63"/>
    </row>
    <row r="244" spans="1:75" x14ac:dyDescent="0.2">
      <c r="A244" s="63" t="str">
        <f t="shared" si="45"/>
        <v/>
      </c>
      <c r="B244" s="182"/>
      <c r="C244" s="75"/>
      <c r="D244" s="75"/>
      <c r="E244" s="74"/>
      <c r="F244" s="181"/>
      <c r="G244" s="69"/>
      <c r="AB244" s="150">
        <f t="shared" si="36"/>
        <v>0</v>
      </c>
      <c r="AC244" s="150">
        <f t="shared" si="37"/>
        <v>0</v>
      </c>
      <c r="AD244" s="98" t="str">
        <f t="shared" si="46"/>
        <v>0000000000</v>
      </c>
      <c r="AE244" s="151">
        <f t="shared" si="39"/>
        <v>0</v>
      </c>
      <c r="AF244" s="98" t="str">
        <f t="shared" si="40"/>
        <v>00</v>
      </c>
      <c r="AG244" s="98" t="str">
        <f t="shared" si="47"/>
        <v>000000000000</v>
      </c>
      <c r="AH244" s="161" t="str">
        <f t="shared" si="41"/>
        <v xml:space="preserve">                    </v>
      </c>
      <c r="AI244" s="154">
        <f t="shared" si="42"/>
        <v>0</v>
      </c>
      <c r="AJ244" s="155">
        <f t="shared" si="43"/>
        <v>0</v>
      </c>
      <c r="AP244" s="63" t="str">
        <f t="shared" si="44"/>
        <v/>
      </c>
      <c r="AQ244" s="63" t="str">
        <f t="shared" si="38"/>
        <v xml:space="preserve">                    </v>
      </c>
      <c r="AR244" s="63"/>
      <c r="AS244" s="63"/>
      <c r="AT244" s="63"/>
      <c r="AU244" s="63"/>
      <c r="AV244" s="63"/>
      <c r="AW244" s="63"/>
      <c r="AX244" s="63"/>
      <c r="AY244" s="63"/>
      <c r="AZ244" s="63"/>
      <c r="BA244" s="63"/>
      <c r="BB244" s="63"/>
      <c r="BC244" s="63"/>
      <c r="BD244" s="63"/>
      <c r="BE244" s="63"/>
      <c r="BF244" s="63"/>
      <c r="BG244" s="63"/>
      <c r="BH244" s="63"/>
      <c r="BI244" s="63"/>
      <c r="BJ244" s="63"/>
      <c r="BK244" s="63"/>
      <c r="BL244" s="63"/>
      <c r="BM244" s="63"/>
      <c r="BN244" s="63"/>
      <c r="BO244" s="63"/>
      <c r="BP244" s="63"/>
      <c r="BQ244" s="63"/>
      <c r="BR244" s="63"/>
      <c r="BS244" s="63"/>
      <c r="BT244" s="63"/>
      <c r="BU244" s="63"/>
      <c r="BV244" s="63"/>
      <c r="BW244" s="63"/>
    </row>
    <row r="245" spans="1:75" x14ac:dyDescent="0.2">
      <c r="A245" s="63" t="str">
        <f t="shared" si="45"/>
        <v/>
      </c>
      <c r="B245" s="182"/>
      <c r="C245" s="75"/>
      <c r="D245" s="75"/>
      <c r="E245" s="74"/>
      <c r="F245" s="181"/>
      <c r="G245" s="69"/>
      <c r="AB245" s="150">
        <f t="shared" si="36"/>
        <v>0</v>
      </c>
      <c r="AC245" s="150">
        <f t="shared" si="37"/>
        <v>0</v>
      </c>
      <c r="AD245" s="98" t="str">
        <f t="shared" si="46"/>
        <v>0000000000</v>
      </c>
      <c r="AE245" s="151">
        <f t="shared" si="39"/>
        <v>0</v>
      </c>
      <c r="AF245" s="98" t="str">
        <f t="shared" si="40"/>
        <v>00</v>
      </c>
      <c r="AG245" s="98" t="str">
        <f t="shared" si="47"/>
        <v>000000000000</v>
      </c>
      <c r="AH245" s="161" t="str">
        <f t="shared" si="41"/>
        <v xml:space="preserve">                    </v>
      </c>
      <c r="AI245" s="154">
        <f t="shared" si="42"/>
        <v>0</v>
      </c>
      <c r="AJ245" s="155">
        <f t="shared" si="43"/>
        <v>0</v>
      </c>
      <c r="AP245" s="63" t="str">
        <f t="shared" si="44"/>
        <v/>
      </c>
      <c r="AQ245" s="63" t="str">
        <f t="shared" si="38"/>
        <v xml:space="preserve">                    </v>
      </c>
      <c r="AR245" s="63"/>
      <c r="AS245" s="63"/>
      <c r="AT245" s="63"/>
      <c r="AU245" s="63"/>
      <c r="AV245" s="63"/>
      <c r="AW245" s="63"/>
      <c r="AX245" s="63"/>
      <c r="AY245" s="63"/>
      <c r="AZ245" s="63"/>
      <c r="BA245" s="63"/>
      <c r="BB245" s="63"/>
      <c r="BC245" s="63"/>
      <c r="BD245" s="63"/>
      <c r="BE245" s="63"/>
      <c r="BF245" s="63"/>
      <c r="BG245" s="63"/>
      <c r="BH245" s="63"/>
      <c r="BI245" s="63"/>
      <c r="BJ245" s="63"/>
      <c r="BK245" s="63"/>
      <c r="BL245" s="63"/>
      <c r="BM245" s="63"/>
      <c r="BN245" s="63"/>
      <c r="BO245" s="63"/>
      <c r="BP245" s="63"/>
      <c r="BQ245" s="63"/>
      <c r="BR245" s="63"/>
      <c r="BS245" s="63"/>
      <c r="BT245" s="63"/>
      <c r="BU245" s="63"/>
      <c r="BV245" s="63"/>
      <c r="BW245" s="63"/>
    </row>
    <row r="246" spans="1:75" x14ac:dyDescent="0.2">
      <c r="A246" s="63" t="str">
        <f t="shared" si="45"/>
        <v/>
      </c>
      <c r="B246" s="182"/>
      <c r="C246" s="75"/>
      <c r="D246" s="75"/>
      <c r="E246" s="74"/>
      <c r="F246" s="181"/>
      <c r="G246" s="69"/>
      <c r="AB246" s="150">
        <f t="shared" si="36"/>
        <v>0</v>
      </c>
      <c r="AC246" s="150">
        <f t="shared" si="37"/>
        <v>0</v>
      </c>
      <c r="AD246" s="98" t="str">
        <f t="shared" si="46"/>
        <v>0000000000</v>
      </c>
      <c r="AE246" s="151">
        <f t="shared" si="39"/>
        <v>0</v>
      </c>
      <c r="AF246" s="98" t="str">
        <f t="shared" si="40"/>
        <v>00</v>
      </c>
      <c r="AG246" s="98" t="str">
        <f t="shared" si="47"/>
        <v>000000000000</v>
      </c>
      <c r="AH246" s="161" t="str">
        <f t="shared" si="41"/>
        <v xml:space="preserve">                    </v>
      </c>
      <c r="AI246" s="154">
        <f t="shared" si="42"/>
        <v>0</v>
      </c>
      <c r="AJ246" s="155">
        <f t="shared" si="43"/>
        <v>0</v>
      </c>
      <c r="AP246" s="63" t="str">
        <f t="shared" si="44"/>
        <v/>
      </c>
      <c r="AQ246" s="63" t="str">
        <f t="shared" si="38"/>
        <v xml:space="preserve">                    </v>
      </c>
      <c r="AR246" s="63"/>
      <c r="AS246" s="63"/>
      <c r="AT246" s="63"/>
      <c r="AU246" s="63"/>
      <c r="AV246" s="63"/>
      <c r="AW246" s="63"/>
      <c r="AX246" s="63"/>
      <c r="AY246" s="63"/>
      <c r="AZ246" s="63"/>
      <c r="BA246" s="63"/>
      <c r="BB246" s="63"/>
      <c r="BC246" s="63"/>
      <c r="BD246" s="63"/>
      <c r="BE246" s="63"/>
      <c r="BF246" s="63"/>
      <c r="BG246" s="63"/>
      <c r="BH246" s="63"/>
      <c r="BI246" s="63"/>
      <c r="BJ246" s="63"/>
      <c r="BK246" s="63"/>
      <c r="BL246" s="63"/>
      <c r="BM246" s="63"/>
      <c r="BN246" s="63"/>
      <c r="BO246" s="63"/>
      <c r="BP246" s="63"/>
      <c r="BQ246" s="63"/>
      <c r="BR246" s="63"/>
      <c r="BS246" s="63"/>
      <c r="BT246" s="63"/>
      <c r="BU246" s="63"/>
      <c r="BV246" s="63"/>
      <c r="BW246" s="63"/>
    </row>
    <row r="247" spans="1:75" x14ac:dyDescent="0.2">
      <c r="A247" s="63" t="str">
        <f t="shared" si="45"/>
        <v/>
      </c>
      <c r="B247" s="182"/>
      <c r="C247" s="75"/>
      <c r="D247" s="75"/>
      <c r="E247" s="74"/>
      <c r="F247" s="181"/>
      <c r="G247" s="69"/>
      <c r="AB247" s="150">
        <f t="shared" si="36"/>
        <v>0</v>
      </c>
      <c r="AC247" s="150">
        <f t="shared" si="37"/>
        <v>0</v>
      </c>
      <c r="AD247" s="98" t="str">
        <f t="shared" si="46"/>
        <v>0000000000</v>
      </c>
      <c r="AE247" s="151">
        <f t="shared" si="39"/>
        <v>0</v>
      </c>
      <c r="AF247" s="98" t="str">
        <f t="shared" si="40"/>
        <v>00</v>
      </c>
      <c r="AG247" s="98" t="str">
        <f t="shared" si="47"/>
        <v>000000000000</v>
      </c>
      <c r="AH247" s="161" t="str">
        <f t="shared" si="41"/>
        <v xml:space="preserve">                    </v>
      </c>
      <c r="AI247" s="154">
        <f t="shared" si="42"/>
        <v>0</v>
      </c>
      <c r="AJ247" s="155">
        <f t="shared" si="43"/>
        <v>0</v>
      </c>
      <c r="AP247" s="63" t="str">
        <f t="shared" si="44"/>
        <v/>
      </c>
      <c r="AQ247" s="63" t="str">
        <f t="shared" si="38"/>
        <v xml:space="preserve">                    </v>
      </c>
      <c r="AR247" s="63"/>
      <c r="AS247" s="63"/>
      <c r="AT247" s="63"/>
      <c r="AU247" s="63"/>
      <c r="AV247" s="63"/>
      <c r="AW247" s="63"/>
      <c r="AX247" s="63"/>
      <c r="AY247" s="63"/>
      <c r="AZ247" s="63"/>
      <c r="BA247" s="63"/>
      <c r="BB247" s="63"/>
      <c r="BC247" s="63"/>
      <c r="BD247" s="63"/>
      <c r="BE247" s="63"/>
      <c r="BF247" s="63"/>
      <c r="BG247" s="63"/>
      <c r="BH247" s="63"/>
      <c r="BI247" s="63"/>
      <c r="BJ247" s="63"/>
      <c r="BK247" s="63"/>
      <c r="BL247" s="63"/>
      <c r="BM247" s="63"/>
      <c r="BN247" s="63"/>
      <c r="BO247" s="63"/>
      <c r="BP247" s="63"/>
      <c r="BQ247" s="63"/>
      <c r="BR247" s="63"/>
      <c r="BS247" s="63"/>
      <c r="BT247" s="63"/>
      <c r="BU247" s="63"/>
      <c r="BV247" s="63"/>
      <c r="BW247" s="63"/>
    </row>
    <row r="248" spans="1:75" x14ac:dyDescent="0.2">
      <c r="A248" s="63" t="str">
        <f t="shared" si="45"/>
        <v/>
      </c>
      <c r="B248" s="182"/>
      <c r="C248" s="75"/>
      <c r="D248" s="75"/>
      <c r="E248" s="74"/>
      <c r="F248" s="181"/>
      <c r="G248" s="69"/>
      <c r="AB248" s="150">
        <f t="shared" si="36"/>
        <v>0</v>
      </c>
      <c r="AC248" s="150">
        <f t="shared" si="37"/>
        <v>0</v>
      </c>
      <c r="AD248" s="98" t="str">
        <f t="shared" si="46"/>
        <v>0000000000</v>
      </c>
      <c r="AE248" s="151">
        <f t="shared" si="39"/>
        <v>0</v>
      </c>
      <c r="AF248" s="98" t="str">
        <f t="shared" si="40"/>
        <v>00</v>
      </c>
      <c r="AG248" s="98" t="str">
        <f t="shared" si="47"/>
        <v>000000000000</v>
      </c>
      <c r="AH248" s="161" t="str">
        <f t="shared" si="41"/>
        <v xml:space="preserve">                    </v>
      </c>
      <c r="AI248" s="154">
        <f t="shared" si="42"/>
        <v>0</v>
      </c>
      <c r="AJ248" s="155">
        <f t="shared" si="43"/>
        <v>0</v>
      </c>
      <c r="AP248" s="63" t="str">
        <f t="shared" si="44"/>
        <v/>
      </c>
      <c r="AQ248" s="63" t="str">
        <f t="shared" si="38"/>
        <v xml:space="preserve">                    </v>
      </c>
      <c r="AR248" s="63"/>
      <c r="AS248" s="63"/>
      <c r="AT248" s="63"/>
      <c r="AU248" s="63"/>
      <c r="AV248" s="63"/>
      <c r="AW248" s="63"/>
      <c r="AX248" s="63"/>
      <c r="AY248" s="63"/>
      <c r="AZ248" s="63"/>
      <c r="BA248" s="63"/>
      <c r="BB248" s="63"/>
      <c r="BC248" s="63"/>
      <c r="BD248" s="63"/>
      <c r="BE248" s="63"/>
      <c r="BF248" s="63"/>
      <c r="BG248" s="63"/>
      <c r="BH248" s="63"/>
      <c r="BI248" s="63"/>
      <c r="BJ248" s="63"/>
      <c r="BK248" s="63"/>
      <c r="BL248" s="63"/>
      <c r="BM248" s="63"/>
      <c r="BN248" s="63"/>
      <c r="BO248" s="63"/>
      <c r="BP248" s="63"/>
      <c r="BQ248" s="63"/>
      <c r="BR248" s="63"/>
      <c r="BS248" s="63"/>
      <c r="BT248" s="63"/>
      <c r="BU248" s="63"/>
      <c r="BV248" s="63"/>
      <c r="BW248" s="63"/>
    </row>
    <row r="249" spans="1:75" x14ac:dyDescent="0.2">
      <c r="A249" s="63" t="str">
        <f t="shared" si="45"/>
        <v/>
      </c>
      <c r="B249" s="182"/>
      <c r="C249" s="75"/>
      <c r="D249" s="75"/>
      <c r="E249" s="74"/>
      <c r="F249" s="181"/>
      <c r="G249" s="69"/>
      <c r="AB249" s="150">
        <f t="shared" si="36"/>
        <v>0</v>
      </c>
      <c r="AC249" s="150">
        <f t="shared" si="37"/>
        <v>0</v>
      </c>
      <c r="AD249" s="98" t="str">
        <f t="shared" si="46"/>
        <v>0000000000</v>
      </c>
      <c r="AE249" s="151">
        <f t="shared" si="39"/>
        <v>0</v>
      </c>
      <c r="AF249" s="98" t="str">
        <f t="shared" si="40"/>
        <v>00</v>
      </c>
      <c r="AG249" s="98" t="str">
        <f t="shared" si="47"/>
        <v>000000000000</v>
      </c>
      <c r="AH249" s="161" t="str">
        <f t="shared" si="41"/>
        <v xml:space="preserve">                    </v>
      </c>
      <c r="AI249" s="154">
        <f t="shared" si="42"/>
        <v>0</v>
      </c>
      <c r="AJ249" s="155">
        <f t="shared" si="43"/>
        <v>0</v>
      </c>
      <c r="AP249" s="63" t="str">
        <f t="shared" si="44"/>
        <v/>
      </c>
      <c r="AQ249" s="63" t="str">
        <f t="shared" si="38"/>
        <v xml:space="preserve">                    </v>
      </c>
      <c r="AR249" s="63"/>
      <c r="AS249" s="63"/>
      <c r="AT249" s="63"/>
      <c r="AU249" s="63"/>
      <c r="AV249" s="63"/>
      <c r="AW249" s="63"/>
      <c r="AX249" s="63"/>
      <c r="AY249" s="63"/>
      <c r="AZ249" s="63"/>
      <c r="BA249" s="63"/>
      <c r="BB249" s="63"/>
      <c r="BC249" s="63"/>
      <c r="BD249" s="63"/>
      <c r="BE249" s="63"/>
      <c r="BF249" s="63"/>
      <c r="BG249" s="63"/>
      <c r="BH249" s="63"/>
      <c r="BI249" s="63"/>
      <c r="BJ249" s="63"/>
      <c r="BK249" s="63"/>
      <c r="BL249" s="63"/>
      <c r="BM249" s="63"/>
      <c r="BN249" s="63"/>
      <c r="BO249" s="63"/>
      <c r="BP249" s="63"/>
      <c r="BQ249" s="63"/>
      <c r="BR249" s="63"/>
      <c r="BS249" s="63"/>
      <c r="BT249" s="63"/>
      <c r="BU249" s="63"/>
      <c r="BV249" s="63"/>
      <c r="BW249" s="63"/>
    </row>
    <row r="250" spans="1:75" x14ac:dyDescent="0.2">
      <c r="A250" s="63" t="str">
        <f t="shared" si="45"/>
        <v/>
      </c>
      <c r="B250" s="182"/>
      <c r="C250" s="75"/>
      <c r="D250" s="75"/>
      <c r="E250" s="74"/>
      <c r="F250" s="181"/>
      <c r="G250" s="69"/>
      <c r="AB250" s="150">
        <f t="shared" si="36"/>
        <v>0</v>
      </c>
      <c r="AC250" s="150">
        <f t="shared" si="37"/>
        <v>0</v>
      </c>
      <c r="AD250" s="98" t="str">
        <f t="shared" si="46"/>
        <v>0000000000</v>
      </c>
      <c r="AE250" s="151">
        <f t="shared" si="39"/>
        <v>0</v>
      </c>
      <c r="AF250" s="98" t="str">
        <f t="shared" si="40"/>
        <v>00</v>
      </c>
      <c r="AG250" s="98" t="str">
        <f t="shared" si="47"/>
        <v>000000000000</v>
      </c>
      <c r="AH250" s="161" t="str">
        <f t="shared" si="41"/>
        <v xml:space="preserve">                    </v>
      </c>
      <c r="AI250" s="154">
        <f t="shared" si="42"/>
        <v>0</v>
      </c>
      <c r="AJ250" s="155">
        <f t="shared" si="43"/>
        <v>0</v>
      </c>
      <c r="AP250" s="63" t="str">
        <f t="shared" si="44"/>
        <v/>
      </c>
      <c r="AQ250" s="63" t="str">
        <f t="shared" si="38"/>
        <v xml:space="preserve">                    </v>
      </c>
      <c r="AR250" s="63"/>
      <c r="AS250" s="63"/>
      <c r="AT250" s="63"/>
      <c r="AU250" s="63"/>
      <c r="AV250" s="63"/>
      <c r="AW250" s="63"/>
      <c r="AX250" s="63"/>
      <c r="AY250" s="63"/>
      <c r="AZ250" s="63"/>
      <c r="BA250" s="63"/>
      <c r="BB250" s="63"/>
      <c r="BC250" s="63"/>
      <c r="BD250" s="63"/>
      <c r="BE250" s="63"/>
      <c r="BF250" s="63"/>
      <c r="BG250" s="63"/>
      <c r="BH250" s="63"/>
      <c r="BI250" s="63"/>
      <c r="BJ250" s="63"/>
      <c r="BK250" s="63"/>
      <c r="BL250" s="63"/>
      <c r="BM250" s="63"/>
      <c r="BN250" s="63"/>
      <c r="BO250" s="63"/>
      <c r="BP250" s="63"/>
      <c r="BQ250" s="63"/>
      <c r="BR250" s="63"/>
      <c r="BS250" s="63"/>
      <c r="BT250" s="63"/>
      <c r="BU250" s="63"/>
      <c r="BV250" s="63"/>
      <c r="BW250" s="63"/>
    </row>
    <row r="251" spans="1:75" x14ac:dyDescent="0.2">
      <c r="A251" s="63" t="str">
        <f t="shared" si="45"/>
        <v/>
      </c>
      <c r="B251" s="182"/>
      <c r="C251" s="75"/>
      <c r="D251" s="75"/>
      <c r="E251" s="74"/>
      <c r="F251" s="181"/>
      <c r="G251" s="69"/>
      <c r="AB251" s="150">
        <f t="shared" si="36"/>
        <v>0</v>
      </c>
      <c r="AC251" s="150">
        <f t="shared" si="37"/>
        <v>0</v>
      </c>
      <c r="AD251" s="98" t="str">
        <f t="shared" si="46"/>
        <v>0000000000</v>
      </c>
      <c r="AE251" s="151">
        <f t="shared" si="39"/>
        <v>0</v>
      </c>
      <c r="AF251" s="98" t="str">
        <f t="shared" si="40"/>
        <v>00</v>
      </c>
      <c r="AG251" s="98" t="str">
        <f t="shared" si="47"/>
        <v>000000000000</v>
      </c>
      <c r="AH251" s="161" t="str">
        <f t="shared" si="41"/>
        <v xml:space="preserve">                    </v>
      </c>
      <c r="AI251" s="154">
        <f t="shared" si="42"/>
        <v>0</v>
      </c>
      <c r="AJ251" s="155">
        <f t="shared" si="43"/>
        <v>0</v>
      </c>
      <c r="AP251" s="63" t="str">
        <f t="shared" si="44"/>
        <v/>
      </c>
      <c r="AQ251" s="63" t="str">
        <f t="shared" si="38"/>
        <v xml:space="preserve">                    </v>
      </c>
      <c r="AR251" s="63"/>
      <c r="AS251" s="63"/>
      <c r="AT251" s="63"/>
      <c r="AU251" s="63"/>
      <c r="AV251" s="63"/>
      <c r="AW251" s="63"/>
      <c r="AX251" s="63"/>
      <c r="AY251" s="63"/>
      <c r="AZ251" s="63"/>
      <c r="BA251" s="63"/>
      <c r="BB251" s="63"/>
      <c r="BC251" s="63"/>
      <c r="BD251" s="63"/>
      <c r="BE251" s="63"/>
      <c r="BF251" s="63"/>
      <c r="BG251" s="63"/>
      <c r="BH251" s="63"/>
      <c r="BI251" s="63"/>
      <c r="BJ251" s="63"/>
      <c r="BK251" s="63"/>
      <c r="BL251" s="63"/>
      <c r="BM251" s="63"/>
      <c r="BN251" s="63"/>
      <c r="BO251" s="63"/>
      <c r="BP251" s="63"/>
      <c r="BQ251" s="63"/>
      <c r="BR251" s="63"/>
      <c r="BS251" s="63"/>
      <c r="BT251" s="63"/>
      <c r="BU251" s="63"/>
      <c r="BV251" s="63"/>
      <c r="BW251" s="63"/>
    </row>
    <row r="252" spans="1:75" x14ac:dyDescent="0.2">
      <c r="A252" s="63" t="str">
        <f t="shared" si="45"/>
        <v/>
      </c>
      <c r="B252" s="182"/>
      <c r="C252" s="75"/>
      <c r="D252" s="75"/>
      <c r="E252" s="74"/>
      <c r="F252" s="181"/>
      <c r="G252" s="69"/>
      <c r="AB252" s="150">
        <f t="shared" si="36"/>
        <v>0</v>
      </c>
      <c r="AC252" s="150">
        <f t="shared" si="37"/>
        <v>0</v>
      </c>
      <c r="AD252" s="98" t="str">
        <f t="shared" si="46"/>
        <v>0000000000</v>
      </c>
      <c r="AE252" s="151">
        <f t="shared" si="39"/>
        <v>0</v>
      </c>
      <c r="AF252" s="98" t="str">
        <f t="shared" si="40"/>
        <v>00</v>
      </c>
      <c r="AG252" s="98" t="str">
        <f t="shared" si="47"/>
        <v>000000000000</v>
      </c>
      <c r="AH252" s="161" t="str">
        <f t="shared" si="41"/>
        <v xml:space="preserve">                    </v>
      </c>
      <c r="AI252" s="154">
        <f t="shared" si="42"/>
        <v>0</v>
      </c>
      <c r="AJ252" s="155">
        <f t="shared" si="43"/>
        <v>0</v>
      </c>
      <c r="AP252" s="63" t="str">
        <f t="shared" si="44"/>
        <v/>
      </c>
      <c r="AQ252" s="63" t="str">
        <f t="shared" si="38"/>
        <v xml:space="preserve">                    </v>
      </c>
      <c r="AR252" s="63"/>
      <c r="AS252" s="63"/>
      <c r="AT252" s="63"/>
      <c r="AU252" s="63"/>
      <c r="AV252" s="63"/>
      <c r="AW252" s="63"/>
      <c r="AX252" s="63"/>
      <c r="AY252" s="63"/>
      <c r="AZ252" s="63"/>
      <c r="BA252" s="63"/>
      <c r="BB252" s="63"/>
      <c r="BC252" s="63"/>
      <c r="BD252" s="63"/>
      <c r="BE252" s="63"/>
      <c r="BF252" s="63"/>
      <c r="BG252" s="63"/>
      <c r="BH252" s="63"/>
      <c r="BI252" s="63"/>
      <c r="BJ252" s="63"/>
      <c r="BK252" s="63"/>
      <c r="BL252" s="63"/>
      <c r="BM252" s="63"/>
      <c r="BN252" s="63"/>
      <c r="BO252" s="63"/>
      <c r="BP252" s="63"/>
      <c r="BQ252" s="63"/>
      <c r="BR252" s="63"/>
      <c r="BS252" s="63"/>
      <c r="BT252" s="63"/>
      <c r="BU252" s="63"/>
      <c r="BV252" s="63"/>
      <c r="BW252" s="63"/>
    </row>
    <row r="253" spans="1:75" x14ac:dyDescent="0.2">
      <c r="A253" s="63" t="str">
        <f t="shared" si="45"/>
        <v/>
      </c>
      <c r="B253" s="182"/>
      <c r="C253" s="75"/>
      <c r="D253" s="75"/>
      <c r="E253" s="74"/>
      <c r="F253" s="181"/>
      <c r="G253" s="69"/>
      <c r="AB253" s="150">
        <f t="shared" si="36"/>
        <v>0</v>
      </c>
      <c r="AC253" s="150">
        <f t="shared" si="37"/>
        <v>0</v>
      </c>
      <c r="AD253" s="98" t="str">
        <f t="shared" si="46"/>
        <v>0000000000</v>
      </c>
      <c r="AE253" s="151">
        <f t="shared" si="39"/>
        <v>0</v>
      </c>
      <c r="AF253" s="98" t="str">
        <f t="shared" si="40"/>
        <v>00</v>
      </c>
      <c r="AG253" s="98" t="str">
        <f t="shared" si="47"/>
        <v>000000000000</v>
      </c>
      <c r="AH253" s="161" t="str">
        <f t="shared" si="41"/>
        <v xml:space="preserve">                    </v>
      </c>
      <c r="AI253" s="154">
        <f t="shared" si="42"/>
        <v>0</v>
      </c>
      <c r="AJ253" s="155">
        <f t="shared" si="43"/>
        <v>0</v>
      </c>
      <c r="AP253" s="63" t="str">
        <f t="shared" si="44"/>
        <v/>
      </c>
      <c r="AQ253" s="63" t="str">
        <f t="shared" si="38"/>
        <v xml:space="preserve">                    </v>
      </c>
      <c r="AR253" s="63"/>
      <c r="AS253" s="63"/>
      <c r="AT253" s="63"/>
      <c r="AU253" s="63"/>
      <c r="AV253" s="63"/>
      <c r="AW253" s="63"/>
      <c r="AX253" s="63"/>
      <c r="AY253" s="63"/>
      <c r="AZ253" s="63"/>
      <c r="BA253" s="63"/>
      <c r="BB253" s="63"/>
      <c r="BC253" s="63"/>
      <c r="BD253" s="63"/>
      <c r="BE253" s="63"/>
      <c r="BF253" s="63"/>
      <c r="BG253" s="63"/>
      <c r="BH253" s="63"/>
      <c r="BI253" s="63"/>
      <c r="BJ253" s="63"/>
      <c r="BK253" s="63"/>
      <c r="BL253" s="63"/>
      <c r="BM253" s="63"/>
      <c r="BN253" s="63"/>
      <c r="BO253" s="63"/>
      <c r="BP253" s="63"/>
      <c r="BQ253" s="63"/>
      <c r="BR253" s="63"/>
      <c r="BS253" s="63"/>
      <c r="BT253" s="63"/>
      <c r="BU253" s="63"/>
      <c r="BV253" s="63"/>
      <c r="BW253" s="63"/>
    </row>
    <row r="254" spans="1:75" x14ac:dyDescent="0.2">
      <c r="A254" s="63" t="str">
        <f t="shared" si="45"/>
        <v/>
      </c>
      <c r="B254" s="182"/>
      <c r="C254" s="75"/>
      <c r="D254" s="75"/>
      <c r="E254" s="74"/>
      <c r="F254" s="181"/>
      <c r="G254" s="69"/>
      <c r="AB254" s="150">
        <f t="shared" si="36"/>
        <v>0</v>
      </c>
      <c r="AC254" s="150">
        <f t="shared" si="37"/>
        <v>0</v>
      </c>
      <c r="AD254" s="98" t="str">
        <f t="shared" si="46"/>
        <v>0000000000</v>
      </c>
      <c r="AE254" s="151">
        <f t="shared" si="39"/>
        <v>0</v>
      </c>
      <c r="AF254" s="98" t="str">
        <f t="shared" si="40"/>
        <v>00</v>
      </c>
      <c r="AG254" s="98" t="str">
        <f t="shared" si="47"/>
        <v>000000000000</v>
      </c>
      <c r="AH254" s="161" t="str">
        <f t="shared" si="41"/>
        <v xml:space="preserve">                    </v>
      </c>
      <c r="AI254" s="154">
        <f t="shared" si="42"/>
        <v>0</v>
      </c>
      <c r="AJ254" s="155">
        <f t="shared" si="43"/>
        <v>0</v>
      </c>
      <c r="AP254" s="63" t="str">
        <f t="shared" si="44"/>
        <v/>
      </c>
      <c r="AQ254" s="63" t="str">
        <f t="shared" si="38"/>
        <v xml:space="preserve">                    </v>
      </c>
      <c r="AR254" s="63"/>
      <c r="AS254" s="63"/>
      <c r="AT254" s="63"/>
      <c r="AU254" s="63"/>
      <c r="AV254" s="63"/>
      <c r="AW254" s="63"/>
      <c r="AX254" s="63"/>
      <c r="AY254" s="63"/>
      <c r="AZ254" s="63"/>
      <c r="BA254" s="63"/>
      <c r="BB254" s="63"/>
      <c r="BC254" s="63"/>
      <c r="BD254" s="63"/>
      <c r="BE254" s="63"/>
      <c r="BF254" s="63"/>
      <c r="BG254" s="63"/>
      <c r="BH254" s="63"/>
      <c r="BI254" s="63"/>
      <c r="BJ254" s="63"/>
      <c r="BK254" s="63"/>
      <c r="BL254" s="63"/>
      <c r="BM254" s="63"/>
      <c r="BN254" s="63"/>
      <c r="BO254" s="63"/>
      <c r="BP254" s="63"/>
      <c r="BQ254" s="63"/>
      <c r="BR254" s="63"/>
      <c r="BS254" s="63"/>
      <c r="BT254" s="63"/>
      <c r="BU254" s="63"/>
      <c r="BV254" s="63"/>
      <c r="BW254" s="63"/>
    </row>
    <row r="255" spans="1:75" x14ac:dyDescent="0.2">
      <c r="A255" s="63" t="str">
        <f t="shared" si="45"/>
        <v/>
      </c>
      <c r="B255" s="182"/>
      <c r="C255" s="75"/>
      <c r="D255" s="75"/>
      <c r="E255" s="74"/>
      <c r="F255" s="181"/>
      <c r="G255" s="69"/>
      <c r="AB255" s="150">
        <f t="shared" si="36"/>
        <v>0</v>
      </c>
      <c r="AC255" s="150">
        <f t="shared" si="37"/>
        <v>0</v>
      </c>
      <c r="AD255" s="98" t="str">
        <f t="shared" si="46"/>
        <v>0000000000</v>
      </c>
      <c r="AE255" s="151">
        <f t="shared" si="39"/>
        <v>0</v>
      </c>
      <c r="AF255" s="98" t="str">
        <f t="shared" si="40"/>
        <v>00</v>
      </c>
      <c r="AG255" s="98" t="str">
        <f t="shared" si="47"/>
        <v>000000000000</v>
      </c>
      <c r="AH255" s="161" t="str">
        <f t="shared" si="41"/>
        <v xml:space="preserve">                    </v>
      </c>
      <c r="AI255" s="154">
        <f t="shared" si="42"/>
        <v>0</v>
      </c>
      <c r="AJ255" s="155">
        <f t="shared" si="43"/>
        <v>0</v>
      </c>
      <c r="AP255" s="63" t="str">
        <f t="shared" si="44"/>
        <v/>
      </c>
      <c r="AQ255" s="63" t="str">
        <f t="shared" si="38"/>
        <v xml:space="preserve">                    </v>
      </c>
      <c r="AR255" s="63"/>
      <c r="AS255" s="63"/>
      <c r="AT255" s="63"/>
      <c r="AU255" s="63"/>
      <c r="AV255" s="63"/>
      <c r="AW255" s="63"/>
      <c r="AX255" s="63"/>
      <c r="AY255" s="63"/>
      <c r="AZ255" s="63"/>
      <c r="BA255" s="63"/>
      <c r="BB255" s="63"/>
      <c r="BC255" s="63"/>
      <c r="BD255" s="63"/>
      <c r="BE255" s="63"/>
      <c r="BF255" s="63"/>
      <c r="BG255" s="63"/>
      <c r="BH255" s="63"/>
      <c r="BI255" s="63"/>
      <c r="BJ255" s="63"/>
      <c r="BK255" s="63"/>
      <c r="BL255" s="63"/>
      <c r="BM255" s="63"/>
      <c r="BN255" s="63"/>
      <c r="BO255" s="63"/>
      <c r="BP255" s="63"/>
      <c r="BQ255" s="63"/>
      <c r="BR255" s="63"/>
      <c r="BS255" s="63"/>
      <c r="BT255" s="63"/>
      <c r="BU255" s="63"/>
      <c r="BV255" s="63"/>
      <c r="BW255" s="63"/>
    </row>
    <row r="256" spans="1:75" x14ac:dyDescent="0.2">
      <c r="A256" s="63" t="str">
        <f t="shared" si="45"/>
        <v/>
      </c>
      <c r="B256" s="182"/>
      <c r="C256" s="75"/>
      <c r="D256" s="75"/>
      <c r="E256" s="74"/>
      <c r="F256" s="181"/>
      <c r="G256" s="69"/>
      <c r="AB256" s="150">
        <f t="shared" si="36"/>
        <v>0</v>
      </c>
      <c r="AC256" s="150">
        <f t="shared" si="37"/>
        <v>0</v>
      </c>
      <c r="AD256" s="98" t="str">
        <f t="shared" si="46"/>
        <v>0000000000</v>
      </c>
      <c r="AE256" s="151">
        <f t="shared" si="39"/>
        <v>0</v>
      </c>
      <c r="AF256" s="98" t="str">
        <f t="shared" si="40"/>
        <v>00</v>
      </c>
      <c r="AG256" s="98" t="str">
        <f t="shared" si="47"/>
        <v>000000000000</v>
      </c>
      <c r="AH256" s="161" t="str">
        <f t="shared" si="41"/>
        <v xml:space="preserve">                    </v>
      </c>
      <c r="AI256" s="154">
        <f t="shared" si="42"/>
        <v>0</v>
      </c>
      <c r="AJ256" s="155">
        <f t="shared" si="43"/>
        <v>0</v>
      </c>
      <c r="AP256" s="63" t="str">
        <f t="shared" si="44"/>
        <v/>
      </c>
      <c r="AQ256" s="63" t="str">
        <f t="shared" si="38"/>
        <v xml:space="preserve">                    </v>
      </c>
      <c r="AR256" s="63"/>
      <c r="AS256" s="63"/>
      <c r="AT256" s="63"/>
      <c r="AU256" s="63"/>
      <c r="AV256" s="63"/>
      <c r="AW256" s="63"/>
      <c r="AX256" s="63"/>
      <c r="AY256" s="63"/>
      <c r="AZ256" s="63"/>
      <c r="BA256" s="63"/>
      <c r="BB256" s="63"/>
      <c r="BC256" s="63"/>
      <c r="BD256" s="63"/>
      <c r="BE256" s="63"/>
      <c r="BF256" s="63"/>
      <c r="BG256" s="63"/>
      <c r="BH256" s="63"/>
      <c r="BI256" s="63"/>
      <c r="BJ256" s="63"/>
      <c r="BK256" s="63"/>
      <c r="BL256" s="63"/>
      <c r="BM256" s="63"/>
      <c r="BN256" s="63"/>
      <c r="BO256" s="63"/>
      <c r="BP256" s="63"/>
      <c r="BQ256" s="63"/>
      <c r="BR256" s="63"/>
      <c r="BS256" s="63"/>
      <c r="BT256" s="63"/>
      <c r="BU256" s="63"/>
      <c r="BV256" s="63"/>
      <c r="BW256" s="63"/>
    </row>
    <row r="257" spans="1:75" x14ac:dyDescent="0.2">
      <c r="A257" s="63" t="str">
        <f t="shared" si="45"/>
        <v/>
      </c>
      <c r="B257" s="182"/>
      <c r="C257" s="75"/>
      <c r="D257" s="75"/>
      <c r="E257" s="74"/>
      <c r="F257" s="181"/>
      <c r="G257" s="69"/>
      <c r="AB257" s="150">
        <f t="shared" si="36"/>
        <v>0</v>
      </c>
      <c r="AC257" s="150">
        <f t="shared" si="37"/>
        <v>0</v>
      </c>
      <c r="AD257" s="98" t="str">
        <f t="shared" si="46"/>
        <v>0000000000</v>
      </c>
      <c r="AE257" s="151">
        <f t="shared" si="39"/>
        <v>0</v>
      </c>
      <c r="AF257" s="98" t="str">
        <f t="shared" si="40"/>
        <v>00</v>
      </c>
      <c r="AG257" s="98" t="str">
        <f t="shared" si="47"/>
        <v>000000000000</v>
      </c>
      <c r="AH257" s="161" t="str">
        <f t="shared" si="41"/>
        <v xml:space="preserve">                    </v>
      </c>
      <c r="AI257" s="154">
        <f t="shared" si="42"/>
        <v>0</v>
      </c>
      <c r="AJ257" s="155">
        <f t="shared" si="43"/>
        <v>0</v>
      </c>
      <c r="AP257" s="63" t="str">
        <f t="shared" si="44"/>
        <v/>
      </c>
      <c r="AQ257" s="63" t="str">
        <f t="shared" si="38"/>
        <v xml:space="preserve">                    </v>
      </c>
      <c r="AR257" s="63"/>
      <c r="AS257" s="63"/>
      <c r="AT257" s="63"/>
      <c r="AU257" s="63"/>
      <c r="AV257" s="63"/>
      <c r="AW257" s="63"/>
      <c r="AX257" s="63"/>
      <c r="AY257" s="63"/>
      <c r="AZ257" s="63"/>
      <c r="BA257" s="63"/>
      <c r="BB257" s="63"/>
      <c r="BC257" s="63"/>
      <c r="BD257" s="63"/>
      <c r="BE257" s="63"/>
      <c r="BF257" s="63"/>
      <c r="BG257" s="63"/>
      <c r="BH257" s="63"/>
      <c r="BI257" s="63"/>
      <c r="BJ257" s="63"/>
      <c r="BK257" s="63"/>
      <c r="BL257" s="63"/>
      <c r="BM257" s="63"/>
      <c r="BN257" s="63"/>
      <c r="BO257" s="63"/>
      <c r="BP257" s="63"/>
      <c r="BQ257" s="63"/>
      <c r="BR257" s="63"/>
      <c r="BS257" s="63"/>
      <c r="BT257" s="63"/>
      <c r="BU257" s="63"/>
      <c r="BV257" s="63"/>
      <c r="BW257" s="63"/>
    </row>
    <row r="258" spans="1:75" x14ac:dyDescent="0.2">
      <c r="A258" s="63" t="str">
        <f t="shared" si="45"/>
        <v/>
      </c>
      <c r="B258" s="182"/>
      <c r="C258" s="75"/>
      <c r="D258" s="75"/>
      <c r="E258" s="74"/>
      <c r="F258" s="181"/>
      <c r="G258" s="69"/>
      <c r="AB258" s="150">
        <f t="shared" si="36"/>
        <v>0</v>
      </c>
      <c r="AC258" s="150">
        <f t="shared" si="37"/>
        <v>0</v>
      </c>
      <c r="AD258" s="98" t="str">
        <f t="shared" si="46"/>
        <v>0000000000</v>
      </c>
      <c r="AE258" s="151">
        <f t="shared" si="39"/>
        <v>0</v>
      </c>
      <c r="AF258" s="98" t="str">
        <f t="shared" si="40"/>
        <v>00</v>
      </c>
      <c r="AG258" s="98" t="str">
        <f t="shared" si="47"/>
        <v>000000000000</v>
      </c>
      <c r="AH258" s="161" t="str">
        <f t="shared" si="41"/>
        <v xml:space="preserve">                    </v>
      </c>
      <c r="AI258" s="154">
        <f t="shared" si="42"/>
        <v>0</v>
      </c>
      <c r="AJ258" s="155">
        <f t="shared" si="43"/>
        <v>0</v>
      </c>
      <c r="AP258" s="63" t="str">
        <f t="shared" si="44"/>
        <v/>
      </c>
      <c r="AQ258" s="63" t="str">
        <f t="shared" si="38"/>
        <v xml:space="preserve">                    </v>
      </c>
      <c r="AR258" s="63"/>
      <c r="AS258" s="63"/>
      <c r="AT258" s="63"/>
      <c r="AU258" s="63"/>
      <c r="AV258" s="63"/>
      <c r="AW258" s="63"/>
      <c r="AX258" s="63"/>
      <c r="AY258" s="63"/>
      <c r="AZ258" s="63"/>
      <c r="BA258" s="63"/>
      <c r="BB258" s="63"/>
      <c r="BC258" s="63"/>
      <c r="BD258" s="63"/>
      <c r="BE258" s="63"/>
      <c r="BF258" s="63"/>
      <c r="BG258" s="63"/>
      <c r="BH258" s="63"/>
      <c r="BI258" s="63"/>
      <c r="BJ258" s="63"/>
      <c r="BK258" s="63"/>
      <c r="BL258" s="63"/>
      <c r="BM258" s="63"/>
      <c r="BN258" s="63"/>
      <c r="BO258" s="63"/>
      <c r="BP258" s="63"/>
      <c r="BQ258" s="63"/>
      <c r="BR258" s="63"/>
      <c r="BS258" s="63"/>
      <c r="BT258" s="63"/>
      <c r="BU258" s="63"/>
      <c r="BV258" s="63"/>
      <c r="BW258" s="63"/>
    </row>
    <row r="259" spans="1:75" x14ac:dyDescent="0.2">
      <c r="A259" s="63" t="str">
        <f t="shared" si="45"/>
        <v/>
      </c>
      <c r="B259" s="182"/>
      <c r="C259" s="75"/>
      <c r="D259" s="75"/>
      <c r="E259" s="74"/>
      <c r="F259" s="181"/>
      <c r="G259" s="69"/>
      <c r="AB259" s="150">
        <f t="shared" ref="AB259:AB322" si="48">INT(F259)</f>
        <v>0</v>
      </c>
      <c r="AC259" s="150">
        <f t="shared" ref="AC259:AC322" si="49">F259-AB259</f>
        <v>0</v>
      </c>
      <c r="AD259" s="98" t="str">
        <f t="shared" si="46"/>
        <v>0000000000</v>
      </c>
      <c r="AE259" s="151">
        <f t="shared" si="39"/>
        <v>0</v>
      </c>
      <c r="AF259" s="98" t="str">
        <f t="shared" si="40"/>
        <v>00</v>
      </c>
      <c r="AG259" s="98" t="str">
        <f t="shared" si="47"/>
        <v>000000000000</v>
      </c>
      <c r="AH259" s="161" t="str">
        <f t="shared" si="41"/>
        <v xml:space="preserve">                    </v>
      </c>
      <c r="AI259" s="154">
        <f t="shared" si="42"/>
        <v>0</v>
      </c>
      <c r="AJ259" s="155">
        <f t="shared" si="43"/>
        <v>0</v>
      </c>
      <c r="AP259" s="63" t="str">
        <f t="shared" si="44"/>
        <v/>
      </c>
      <c r="AQ259" s="63" t="str">
        <f t="shared" ref="AQ259:AQ322" si="50">CONCATENATE(D259,REPT(" ",20-LEN(D259)))</f>
        <v xml:space="preserve">                    </v>
      </c>
      <c r="AR259" s="63"/>
      <c r="AS259" s="63"/>
      <c r="AT259" s="63"/>
      <c r="AU259" s="63"/>
      <c r="AV259" s="63"/>
      <c r="AW259" s="63"/>
      <c r="AX259" s="63"/>
      <c r="AY259" s="63"/>
      <c r="AZ259" s="63"/>
      <c r="BA259" s="63"/>
      <c r="BB259" s="63"/>
      <c r="BC259" s="63"/>
      <c r="BD259" s="63"/>
      <c r="BE259" s="63"/>
      <c r="BF259" s="63"/>
      <c r="BG259" s="63"/>
      <c r="BH259" s="63"/>
      <c r="BI259" s="63"/>
      <c r="BJ259" s="63"/>
      <c r="BK259" s="63"/>
      <c r="BL259" s="63"/>
      <c r="BM259" s="63"/>
      <c r="BN259" s="63"/>
      <c r="BO259" s="63"/>
      <c r="BP259" s="63"/>
      <c r="BQ259" s="63"/>
      <c r="BR259" s="63"/>
      <c r="BS259" s="63"/>
      <c r="BT259" s="63"/>
      <c r="BU259" s="63"/>
      <c r="BV259" s="63"/>
      <c r="BW259" s="63"/>
    </row>
    <row r="260" spans="1:75" x14ac:dyDescent="0.2">
      <c r="A260" s="63" t="str">
        <f t="shared" si="45"/>
        <v/>
      </c>
      <c r="B260" s="182"/>
      <c r="C260" s="75"/>
      <c r="D260" s="75"/>
      <c r="E260" s="74"/>
      <c r="F260" s="181"/>
      <c r="G260" s="69"/>
      <c r="AB260" s="150">
        <f t="shared" si="48"/>
        <v>0</v>
      </c>
      <c r="AC260" s="150">
        <f t="shared" si="49"/>
        <v>0</v>
      </c>
      <c r="AD260" s="98" t="str">
        <f t="shared" si="46"/>
        <v>0000000000</v>
      </c>
      <c r="AE260" s="151">
        <f t="shared" ref="AE260:AE323" si="51">AC260*100</f>
        <v>0</v>
      </c>
      <c r="AF260" s="98" t="str">
        <f t="shared" ref="AF260:AF323" si="52">TEXT(AE260,"00")</f>
        <v>00</v>
      </c>
      <c r="AG260" s="98" t="str">
        <f t="shared" si="47"/>
        <v>000000000000</v>
      </c>
      <c r="AH260" s="161" t="str">
        <f t="shared" ref="AH260:AH323" si="53">CONCATENATE(C260,REPT(" ",20-LEN(C260)))</f>
        <v xml:space="preserve">                    </v>
      </c>
      <c r="AI260" s="154">
        <f t="shared" ref="AI260:AI323" si="54">IF(E260&lt;&gt;"",IF(E260=$E$3,0,1),0)</f>
        <v>0</v>
      </c>
      <c r="AJ260" s="155">
        <f t="shared" ref="AJ260:AJ323" si="55">IF(AI260=1,IF($E$3=1,F260*$H$14,F260/$H$14),F260)</f>
        <v>0</v>
      </c>
      <c r="AP260" s="63" t="str">
        <f t="shared" ref="AP260:AP323" si="56">IF(B261&lt;&gt;"",CONCATENATE("000",B261,"0",E261,"2","    00000000",AG261,"            ",AQ261,AH261,"                                                                                               "),"")</f>
        <v/>
      </c>
      <c r="AQ260" s="63" t="str">
        <f t="shared" si="50"/>
        <v xml:space="preserve">                    </v>
      </c>
      <c r="AR260" s="63"/>
      <c r="AS260" s="63"/>
      <c r="AT260" s="63"/>
      <c r="AU260" s="63"/>
      <c r="AV260" s="63"/>
      <c r="AW260" s="63"/>
      <c r="AX260" s="63"/>
      <c r="AY260" s="63"/>
      <c r="AZ260" s="63"/>
      <c r="BA260" s="63"/>
      <c r="BB260" s="63"/>
      <c r="BC260" s="63"/>
      <c r="BD260" s="63"/>
      <c r="BE260" s="63"/>
      <c r="BF260" s="63"/>
      <c r="BG260" s="63"/>
      <c r="BH260" s="63"/>
      <c r="BI260" s="63"/>
      <c r="BJ260" s="63"/>
      <c r="BK260" s="63"/>
      <c r="BL260" s="63"/>
      <c r="BM260" s="63"/>
      <c r="BN260" s="63"/>
      <c r="BO260" s="63"/>
      <c r="BP260" s="63"/>
      <c r="BQ260" s="63"/>
      <c r="BR260" s="63"/>
      <c r="BS260" s="63"/>
      <c r="BT260" s="63"/>
      <c r="BU260" s="63"/>
      <c r="BV260" s="63"/>
      <c r="BW260" s="63"/>
    </row>
    <row r="261" spans="1:75" x14ac:dyDescent="0.2">
      <c r="A261" s="63" t="str">
        <f t="shared" si="45"/>
        <v/>
      </c>
      <c r="B261" s="182"/>
      <c r="C261" s="75"/>
      <c r="D261" s="75"/>
      <c r="E261" s="74"/>
      <c r="F261" s="181"/>
      <c r="G261" s="69"/>
      <c r="AB261" s="150">
        <f t="shared" si="48"/>
        <v>0</v>
      </c>
      <c r="AC261" s="150">
        <f t="shared" si="49"/>
        <v>0</v>
      </c>
      <c r="AD261" s="98" t="str">
        <f t="shared" si="46"/>
        <v>0000000000</v>
      </c>
      <c r="AE261" s="151">
        <f t="shared" si="51"/>
        <v>0</v>
      </c>
      <c r="AF261" s="98" t="str">
        <f t="shared" si="52"/>
        <v>00</v>
      </c>
      <c r="AG261" s="98" t="str">
        <f t="shared" si="47"/>
        <v>000000000000</v>
      </c>
      <c r="AH261" s="161" t="str">
        <f t="shared" si="53"/>
        <v xml:space="preserve">                    </v>
      </c>
      <c r="AI261" s="154">
        <f t="shared" si="54"/>
        <v>0</v>
      </c>
      <c r="AJ261" s="155">
        <f t="shared" si="55"/>
        <v>0</v>
      </c>
      <c r="AP261" s="63" t="str">
        <f t="shared" si="56"/>
        <v/>
      </c>
      <c r="AQ261" s="63" t="str">
        <f t="shared" si="50"/>
        <v xml:space="preserve">                    </v>
      </c>
      <c r="AR261" s="63"/>
      <c r="AS261" s="63"/>
      <c r="AT261" s="63"/>
      <c r="AU261" s="63"/>
      <c r="AV261" s="63"/>
      <c r="AW261" s="63"/>
      <c r="AX261" s="63"/>
      <c r="AY261" s="63"/>
      <c r="AZ261" s="63"/>
      <c r="BA261" s="63"/>
      <c r="BB261" s="63"/>
      <c r="BC261" s="63"/>
      <c r="BD261" s="63"/>
      <c r="BE261" s="63"/>
      <c r="BF261" s="63"/>
      <c r="BG261" s="63"/>
      <c r="BH261" s="63"/>
      <c r="BI261" s="63"/>
      <c r="BJ261" s="63"/>
      <c r="BK261" s="63"/>
      <c r="BL261" s="63"/>
      <c r="BM261" s="63"/>
      <c r="BN261" s="63"/>
      <c r="BO261" s="63"/>
      <c r="BP261" s="63"/>
      <c r="BQ261" s="63"/>
      <c r="BR261" s="63"/>
      <c r="BS261" s="63"/>
      <c r="BT261" s="63"/>
      <c r="BU261" s="63"/>
      <c r="BV261" s="63"/>
      <c r="BW261" s="63"/>
    </row>
    <row r="262" spans="1:75" x14ac:dyDescent="0.2">
      <c r="A262" s="63" t="str">
        <f t="shared" ref="A262:A325" si="57">IF(B262&lt;&gt;"",A261+1,"")</f>
        <v/>
      </c>
      <c r="B262" s="182"/>
      <c r="C262" s="75"/>
      <c r="D262" s="75"/>
      <c r="E262" s="74"/>
      <c r="F262" s="181"/>
      <c r="G262" s="69"/>
      <c r="AB262" s="150">
        <f t="shared" si="48"/>
        <v>0</v>
      </c>
      <c r="AC262" s="150">
        <f t="shared" si="49"/>
        <v>0</v>
      </c>
      <c r="AD262" s="98" t="str">
        <f t="shared" si="46"/>
        <v>0000000000</v>
      </c>
      <c r="AE262" s="151">
        <f t="shared" si="51"/>
        <v>0</v>
      </c>
      <c r="AF262" s="98" t="str">
        <f t="shared" si="52"/>
        <v>00</v>
      </c>
      <c r="AG262" s="98" t="str">
        <f t="shared" si="47"/>
        <v>000000000000</v>
      </c>
      <c r="AH262" s="161" t="str">
        <f t="shared" si="53"/>
        <v xml:space="preserve">                    </v>
      </c>
      <c r="AI262" s="154">
        <f t="shared" si="54"/>
        <v>0</v>
      </c>
      <c r="AJ262" s="155">
        <f t="shared" si="55"/>
        <v>0</v>
      </c>
      <c r="AP262" s="63" t="str">
        <f t="shared" si="56"/>
        <v/>
      </c>
      <c r="AQ262" s="63" t="str">
        <f t="shared" si="50"/>
        <v xml:space="preserve">                    </v>
      </c>
      <c r="AR262" s="63"/>
      <c r="AS262" s="63"/>
      <c r="AT262" s="63"/>
      <c r="AU262" s="63"/>
      <c r="AV262" s="63"/>
      <c r="AW262" s="63"/>
      <c r="AX262" s="63"/>
      <c r="AY262" s="63"/>
      <c r="AZ262" s="63"/>
      <c r="BA262" s="63"/>
      <c r="BB262" s="63"/>
      <c r="BC262" s="63"/>
      <c r="BD262" s="63"/>
      <c r="BE262" s="63"/>
      <c r="BF262" s="63"/>
      <c r="BG262" s="63"/>
      <c r="BH262" s="63"/>
      <c r="BI262" s="63"/>
      <c r="BJ262" s="63"/>
      <c r="BK262" s="63"/>
      <c r="BL262" s="63"/>
      <c r="BM262" s="63"/>
      <c r="BN262" s="63"/>
      <c r="BO262" s="63"/>
      <c r="BP262" s="63"/>
      <c r="BQ262" s="63"/>
      <c r="BR262" s="63"/>
      <c r="BS262" s="63"/>
      <c r="BT262" s="63"/>
      <c r="BU262" s="63"/>
      <c r="BV262" s="63"/>
      <c r="BW262" s="63"/>
    </row>
    <row r="263" spans="1:75" x14ac:dyDescent="0.2">
      <c r="A263" s="63" t="str">
        <f t="shared" si="57"/>
        <v/>
      </c>
      <c r="B263" s="182"/>
      <c r="C263" s="75"/>
      <c r="D263" s="75"/>
      <c r="E263" s="74"/>
      <c r="F263" s="181"/>
      <c r="G263" s="69"/>
      <c r="AB263" s="150">
        <f t="shared" si="48"/>
        <v>0</v>
      </c>
      <c r="AC263" s="150">
        <f t="shared" si="49"/>
        <v>0</v>
      </c>
      <c r="AD263" s="98" t="str">
        <f t="shared" si="46"/>
        <v>0000000000</v>
      </c>
      <c r="AE263" s="151">
        <f t="shared" si="51"/>
        <v>0</v>
      </c>
      <c r="AF263" s="98" t="str">
        <f t="shared" si="52"/>
        <v>00</v>
      </c>
      <c r="AG263" s="98" t="str">
        <f t="shared" si="47"/>
        <v>000000000000</v>
      </c>
      <c r="AH263" s="161" t="str">
        <f t="shared" si="53"/>
        <v xml:space="preserve">                    </v>
      </c>
      <c r="AI263" s="154">
        <f t="shared" si="54"/>
        <v>0</v>
      </c>
      <c r="AJ263" s="155">
        <f t="shared" si="55"/>
        <v>0</v>
      </c>
      <c r="AP263" s="63" t="str">
        <f t="shared" si="56"/>
        <v/>
      </c>
      <c r="AQ263" s="63" t="str">
        <f t="shared" si="50"/>
        <v xml:space="preserve">                    </v>
      </c>
      <c r="AR263" s="63"/>
      <c r="AS263" s="63"/>
      <c r="AT263" s="63"/>
      <c r="AU263" s="63"/>
      <c r="AV263" s="63"/>
      <c r="AW263" s="63"/>
      <c r="AX263" s="63"/>
      <c r="AY263" s="63"/>
      <c r="AZ263" s="63"/>
      <c r="BA263" s="63"/>
      <c r="BB263" s="63"/>
      <c r="BC263" s="63"/>
      <c r="BD263" s="63"/>
      <c r="BE263" s="63"/>
      <c r="BF263" s="63"/>
      <c r="BG263" s="63"/>
      <c r="BH263" s="63"/>
      <c r="BI263" s="63"/>
      <c r="BJ263" s="63"/>
      <c r="BK263" s="63"/>
      <c r="BL263" s="63"/>
      <c r="BM263" s="63"/>
      <c r="BN263" s="63"/>
      <c r="BO263" s="63"/>
      <c r="BP263" s="63"/>
      <c r="BQ263" s="63"/>
      <c r="BR263" s="63"/>
      <c r="BS263" s="63"/>
      <c r="BT263" s="63"/>
      <c r="BU263" s="63"/>
      <c r="BV263" s="63"/>
      <c r="BW263" s="63"/>
    </row>
    <row r="264" spans="1:75" x14ac:dyDescent="0.2">
      <c r="A264" s="63" t="str">
        <f t="shared" si="57"/>
        <v/>
      </c>
      <c r="B264" s="182"/>
      <c r="C264" s="75"/>
      <c r="D264" s="75"/>
      <c r="E264" s="74"/>
      <c r="F264" s="181"/>
      <c r="G264" s="69"/>
      <c r="AB264" s="150">
        <f t="shared" si="48"/>
        <v>0</v>
      </c>
      <c r="AC264" s="150">
        <f t="shared" si="49"/>
        <v>0</v>
      </c>
      <c r="AD264" s="98" t="str">
        <f t="shared" ref="AD264:AD327" si="58">TEXT(AB264,"0000000000")</f>
        <v>0000000000</v>
      </c>
      <c r="AE264" s="151">
        <f t="shared" si="51"/>
        <v>0</v>
      </c>
      <c r="AF264" s="98" t="str">
        <f t="shared" si="52"/>
        <v>00</v>
      </c>
      <c r="AG264" s="98" t="str">
        <f t="shared" ref="AG264:AG327" si="59">CONCATENATE(AD264,AF264)</f>
        <v>000000000000</v>
      </c>
      <c r="AH264" s="161" t="str">
        <f t="shared" si="53"/>
        <v xml:space="preserve">                    </v>
      </c>
      <c r="AI264" s="154">
        <f t="shared" si="54"/>
        <v>0</v>
      </c>
      <c r="AJ264" s="155">
        <f t="shared" si="55"/>
        <v>0</v>
      </c>
      <c r="AP264" s="63" t="str">
        <f t="shared" si="56"/>
        <v/>
      </c>
      <c r="AQ264" s="63" t="str">
        <f t="shared" si="50"/>
        <v xml:space="preserve">                    </v>
      </c>
      <c r="AR264" s="63"/>
      <c r="AS264" s="63"/>
      <c r="AT264" s="63"/>
      <c r="AU264" s="63"/>
      <c r="AV264" s="63"/>
      <c r="AW264" s="63"/>
      <c r="AX264" s="63"/>
      <c r="AY264" s="63"/>
      <c r="AZ264" s="63"/>
      <c r="BA264" s="63"/>
      <c r="BB264" s="63"/>
      <c r="BC264" s="63"/>
      <c r="BD264" s="63"/>
      <c r="BE264" s="63"/>
      <c r="BF264" s="63"/>
      <c r="BG264" s="63"/>
      <c r="BH264" s="63"/>
      <c r="BI264" s="63"/>
      <c r="BJ264" s="63"/>
      <c r="BK264" s="63"/>
      <c r="BL264" s="63"/>
      <c r="BM264" s="63"/>
      <c r="BN264" s="63"/>
      <c r="BO264" s="63"/>
      <c r="BP264" s="63"/>
      <c r="BQ264" s="63"/>
      <c r="BR264" s="63"/>
      <c r="BS264" s="63"/>
      <c r="BT264" s="63"/>
      <c r="BU264" s="63"/>
      <c r="BV264" s="63"/>
      <c r="BW264" s="63"/>
    </row>
    <row r="265" spans="1:75" x14ac:dyDescent="0.2">
      <c r="A265" s="63" t="str">
        <f t="shared" si="57"/>
        <v/>
      </c>
      <c r="B265" s="182"/>
      <c r="C265" s="75"/>
      <c r="D265" s="75"/>
      <c r="E265" s="74"/>
      <c r="F265" s="181"/>
      <c r="G265" s="69"/>
      <c r="AB265" s="150">
        <f t="shared" si="48"/>
        <v>0</v>
      </c>
      <c r="AC265" s="150">
        <f t="shared" si="49"/>
        <v>0</v>
      </c>
      <c r="AD265" s="98" t="str">
        <f t="shared" si="58"/>
        <v>0000000000</v>
      </c>
      <c r="AE265" s="151">
        <f t="shared" si="51"/>
        <v>0</v>
      </c>
      <c r="AF265" s="98" t="str">
        <f t="shared" si="52"/>
        <v>00</v>
      </c>
      <c r="AG265" s="98" t="str">
        <f t="shared" si="59"/>
        <v>000000000000</v>
      </c>
      <c r="AH265" s="161" t="str">
        <f t="shared" si="53"/>
        <v xml:space="preserve">                    </v>
      </c>
      <c r="AI265" s="154">
        <f t="shared" si="54"/>
        <v>0</v>
      </c>
      <c r="AJ265" s="155">
        <f t="shared" si="55"/>
        <v>0</v>
      </c>
      <c r="AP265" s="63" t="str">
        <f t="shared" si="56"/>
        <v/>
      </c>
      <c r="AQ265" s="63" t="str">
        <f t="shared" si="50"/>
        <v xml:space="preserve">                    </v>
      </c>
      <c r="AR265" s="63"/>
      <c r="AS265" s="63"/>
      <c r="AT265" s="63"/>
      <c r="AU265" s="63"/>
      <c r="AV265" s="63"/>
      <c r="AW265" s="63"/>
      <c r="AX265" s="63"/>
      <c r="AY265" s="63"/>
      <c r="AZ265" s="63"/>
      <c r="BA265" s="63"/>
      <c r="BB265" s="63"/>
      <c r="BC265" s="63"/>
      <c r="BD265" s="63"/>
      <c r="BE265" s="63"/>
      <c r="BF265" s="63"/>
      <c r="BG265" s="63"/>
      <c r="BH265" s="63"/>
      <c r="BI265" s="63"/>
      <c r="BJ265" s="63"/>
      <c r="BK265" s="63"/>
      <c r="BL265" s="63"/>
      <c r="BM265" s="63"/>
      <c r="BN265" s="63"/>
      <c r="BO265" s="63"/>
      <c r="BP265" s="63"/>
      <c r="BQ265" s="63"/>
      <c r="BR265" s="63"/>
      <c r="BS265" s="63"/>
      <c r="BT265" s="63"/>
      <c r="BU265" s="63"/>
      <c r="BV265" s="63"/>
      <c r="BW265" s="63"/>
    </row>
    <row r="266" spans="1:75" x14ac:dyDescent="0.2">
      <c r="A266" s="63" t="str">
        <f t="shared" si="57"/>
        <v/>
      </c>
      <c r="B266" s="182"/>
      <c r="C266" s="75"/>
      <c r="D266" s="75"/>
      <c r="E266" s="74"/>
      <c r="F266" s="181"/>
      <c r="G266" s="69"/>
      <c r="AB266" s="150">
        <f t="shared" si="48"/>
        <v>0</v>
      </c>
      <c r="AC266" s="150">
        <f t="shared" si="49"/>
        <v>0</v>
      </c>
      <c r="AD266" s="98" t="str">
        <f t="shared" si="58"/>
        <v>0000000000</v>
      </c>
      <c r="AE266" s="151">
        <f t="shared" si="51"/>
        <v>0</v>
      </c>
      <c r="AF266" s="98" t="str">
        <f t="shared" si="52"/>
        <v>00</v>
      </c>
      <c r="AG266" s="98" t="str">
        <f t="shared" si="59"/>
        <v>000000000000</v>
      </c>
      <c r="AH266" s="161" t="str">
        <f t="shared" si="53"/>
        <v xml:space="preserve">                    </v>
      </c>
      <c r="AI266" s="154">
        <f t="shared" si="54"/>
        <v>0</v>
      </c>
      <c r="AJ266" s="155">
        <f t="shared" si="55"/>
        <v>0</v>
      </c>
      <c r="AP266" s="63" t="str">
        <f t="shared" si="56"/>
        <v/>
      </c>
      <c r="AQ266" s="63" t="str">
        <f t="shared" si="50"/>
        <v xml:space="preserve">                    </v>
      </c>
      <c r="AR266" s="63"/>
      <c r="AS266" s="63"/>
      <c r="AT266" s="63"/>
      <c r="AU266" s="63"/>
      <c r="AV266" s="63"/>
      <c r="AW266" s="63"/>
      <c r="AX266" s="63"/>
      <c r="AY266" s="63"/>
      <c r="AZ266" s="63"/>
      <c r="BA266" s="63"/>
      <c r="BB266" s="63"/>
      <c r="BC266" s="63"/>
      <c r="BD266" s="63"/>
      <c r="BE266" s="63"/>
      <c r="BF266" s="63"/>
      <c r="BG266" s="63"/>
      <c r="BH266" s="63"/>
      <c r="BI266" s="63"/>
      <c r="BJ266" s="63"/>
      <c r="BK266" s="63"/>
      <c r="BL266" s="63"/>
      <c r="BM266" s="63"/>
      <c r="BN266" s="63"/>
      <c r="BO266" s="63"/>
      <c r="BP266" s="63"/>
      <c r="BQ266" s="63"/>
      <c r="BR266" s="63"/>
      <c r="BS266" s="63"/>
      <c r="BT266" s="63"/>
      <c r="BU266" s="63"/>
      <c r="BV266" s="63"/>
      <c r="BW266" s="63"/>
    </row>
    <row r="267" spans="1:75" x14ac:dyDescent="0.2">
      <c r="A267" s="63" t="str">
        <f t="shared" si="57"/>
        <v/>
      </c>
      <c r="B267" s="182"/>
      <c r="C267" s="75"/>
      <c r="D267" s="75"/>
      <c r="E267" s="74"/>
      <c r="F267" s="181"/>
      <c r="G267" s="69"/>
      <c r="AB267" s="150">
        <f t="shared" si="48"/>
        <v>0</v>
      </c>
      <c r="AC267" s="150">
        <f t="shared" si="49"/>
        <v>0</v>
      </c>
      <c r="AD267" s="98" t="str">
        <f t="shared" si="58"/>
        <v>0000000000</v>
      </c>
      <c r="AE267" s="151">
        <f t="shared" si="51"/>
        <v>0</v>
      </c>
      <c r="AF267" s="98" t="str">
        <f t="shared" si="52"/>
        <v>00</v>
      </c>
      <c r="AG267" s="98" t="str">
        <f t="shared" si="59"/>
        <v>000000000000</v>
      </c>
      <c r="AH267" s="161" t="str">
        <f t="shared" si="53"/>
        <v xml:space="preserve">                    </v>
      </c>
      <c r="AI267" s="154">
        <f t="shared" si="54"/>
        <v>0</v>
      </c>
      <c r="AJ267" s="155">
        <f t="shared" si="55"/>
        <v>0</v>
      </c>
      <c r="AP267" s="63" t="str">
        <f t="shared" si="56"/>
        <v/>
      </c>
      <c r="AQ267" s="63" t="str">
        <f t="shared" si="50"/>
        <v xml:space="preserve">                    </v>
      </c>
      <c r="AR267" s="63"/>
      <c r="AS267" s="63"/>
      <c r="AT267" s="63"/>
      <c r="AU267" s="63"/>
      <c r="AV267" s="63"/>
      <c r="AW267" s="63"/>
      <c r="AX267" s="63"/>
      <c r="AY267" s="63"/>
      <c r="AZ267" s="63"/>
      <c r="BA267" s="63"/>
      <c r="BB267" s="63"/>
      <c r="BC267" s="63"/>
      <c r="BD267" s="63"/>
      <c r="BE267" s="63"/>
      <c r="BF267" s="63"/>
      <c r="BG267" s="63"/>
      <c r="BH267" s="63"/>
      <c r="BI267" s="63"/>
      <c r="BJ267" s="63"/>
      <c r="BK267" s="63"/>
      <c r="BL267" s="63"/>
      <c r="BM267" s="63"/>
      <c r="BN267" s="63"/>
      <c r="BO267" s="63"/>
      <c r="BP267" s="63"/>
      <c r="BQ267" s="63"/>
      <c r="BR267" s="63"/>
      <c r="BS267" s="63"/>
      <c r="BT267" s="63"/>
      <c r="BU267" s="63"/>
      <c r="BV267" s="63"/>
      <c r="BW267" s="63"/>
    </row>
    <row r="268" spans="1:75" x14ac:dyDescent="0.2">
      <c r="A268" s="63" t="str">
        <f t="shared" si="57"/>
        <v/>
      </c>
      <c r="B268" s="182"/>
      <c r="C268" s="75"/>
      <c r="D268" s="75"/>
      <c r="E268" s="74"/>
      <c r="F268" s="181"/>
      <c r="G268" s="69"/>
      <c r="AB268" s="150">
        <f t="shared" si="48"/>
        <v>0</v>
      </c>
      <c r="AC268" s="150">
        <f t="shared" si="49"/>
        <v>0</v>
      </c>
      <c r="AD268" s="98" t="str">
        <f t="shared" si="58"/>
        <v>0000000000</v>
      </c>
      <c r="AE268" s="151">
        <f t="shared" si="51"/>
        <v>0</v>
      </c>
      <c r="AF268" s="98" t="str">
        <f t="shared" si="52"/>
        <v>00</v>
      </c>
      <c r="AG268" s="98" t="str">
        <f t="shared" si="59"/>
        <v>000000000000</v>
      </c>
      <c r="AH268" s="161" t="str">
        <f t="shared" si="53"/>
        <v xml:space="preserve">                    </v>
      </c>
      <c r="AI268" s="154">
        <f t="shared" si="54"/>
        <v>0</v>
      </c>
      <c r="AJ268" s="155">
        <f t="shared" si="55"/>
        <v>0</v>
      </c>
      <c r="AP268" s="63" t="str">
        <f t="shared" si="56"/>
        <v/>
      </c>
      <c r="AQ268" s="63" t="str">
        <f t="shared" si="50"/>
        <v xml:space="preserve">                    </v>
      </c>
      <c r="AR268" s="63"/>
      <c r="AS268" s="63"/>
      <c r="AT268" s="63"/>
      <c r="AU268" s="63"/>
      <c r="AV268" s="63"/>
      <c r="AW268" s="63"/>
      <c r="AX268" s="63"/>
      <c r="AY268" s="63"/>
      <c r="AZ268" s="63"/>
      <c r="BA268" s="63"/>
      <c r="BB268" s="63"/>
      <c r="BC268" s="63"/>
      <c r="BD268" s="63"/>
      <c r="BE268" s="63"/>
      <c r="BF268" s="63"/>
      <c r="BG268" s="63"/>
      <c r="BH268" s="63"/>
      <c r="BI268" s="63"/>
      <c r="BJ268" s="63"/>
      <c r="BK268" s="63"/>
      <c r="BL268" s="63"/>
      <c r="BM268" s="63"/>
      <c r="BN268" s="63"/>
      <c r="BO268" s="63"/>
      <c r="BP268" s="63"/>
      <c r="BQ268" s="63"/>
      <c r="BR268" s="63"/>
      <c r="BS268" s="63"/>
      <c r="BT268" s="63"/>
      <c r="BU268" s="63"/>
      <c r="BV268" s="63"/>
      <c r="BW268" s="63"/>
    </row>
    <row r="269" spans="1:75" x14ac:dyDescent="0.2">
      <c r="A269" s="63" t="str">
        <f t="shared" si="57"/>
        <v/>
      </c>
      <c r="B269" s="182"/>
      <c r="C269" s="75"/>
      <c r="D269" s="75"/>
      <c r="E269" s="74"/>
      <c r="F269" s="181"/>
      <c r="G269" s="69"/>
      <c r="AB269" s="150">
        <f t="shared" si="48"/>
        <v>0</v>
      </c>
      <c r="AC269" s="150">
        <f t="shared" si="49"/>
        <v>0</v>
      </c>
      <c r="AD269" s="98" t="str">
        <f t="shared" si="58"/>
        <v>0000000000</v>
      </c>
      <c r="AE269" s="151">
        <f t="shared" si="51"/>
        <v>0</v>
      </c>
      <c r="AF269" s="98" t="str">
        <f t="shared" si="52"/>
        <v>00</v>
      </c>
      <c r="AG269" s="98" t="str">
        <f t="shared" si="59"/>
        <v>000000000000</v>
      </c>
      <c r="AH269" s="161" t="str">
        <f t="shared" si="53"/>
        <v xml:space="preserve">                    </v>
      </c>
      <c r="AI269" s="154">
        <f t="shared" si="54"/>
        <v>0</v>
      </c>
      <c r="AJ269" s="155">
        <f t="shared" si="55"/>
        <v>0</v>
      </c>
      <c r="AP269" s="63" t="str">
        <f t="shared" si="56"/>
        <v/>
      </c>
      <c r="AQ269" s="63" t="str">
        <f t="shared" si="50"/>
        <v xml:space="preserve">                    </v>
      </c>
      <c r="AR269" s="63"/>
      <c r="AS269" s="63"/>
      <c r="AT269" s="63"/>
      <c r="AU269" s="63"/>
      <c r="AV269" s="63"/>
      <c r="AW269" s="63"/>
      <c r="AX269" s="63"/>
      <c r="AY269" s="63"/>
      <c r="AZ269" s="63"/>
      <c r="BA269" s="63"/>
      <c r="BB269" s="63"/>
      <c r="BC269" s="63"/>
      <c r="BD269" s="63"/>
      <c r="BE269" s="63"/>
      <c r="BF269" s="63"/>
      <c r="BG269" s="63"/>
      <c r="BH269" s="63"/>
      <c r="BI269" s="63"/>
      <c r="BJ269" s="63"/>
      <c r="BK269" s="63"/>
      <c r="BL269" s="63"/>
      <c r="BM269" s="63"/>
      <c r="BN269" s="63"/>
      <c r="BO269" s="63"/>
      <c r="BP269" s="63"/>
      <c r="BQ269" s="63"/>
      <c r="BR269" s="63"/>
      <c r="BS269" s="63"/>
      <c r="BT269" s="63"/>
      <c r="BU269" s="63"/>
      <c r="BV269" s="63"/>
      <c r="BW269" s="63"/>
    </row>
    <row r="270" spans="1:75" x14ac:dyDescent="0.2">
      <c r="A270" s="63" t="str">
        <f t="shared" si="57"/>
        <v/>
      </c>
      <c r="B270" s="182"/>
      <c r="C270" s="75"/>
      <c r="D270" s="75"/>
      <c r="E270" s="74"/>
      <c r="F270" s="181"/>
      <c r="G270" s="69"/>
      <c r="AB270" s="150">
        <f t="shared" si="48"/>
        <v>0</v>
      </c>
      <c r="AC270" s="150">
        <f t="shared" si="49"/>
        <v>0</v>
      </c>
      <c r="AD270" s="98" t="str">
        <f t="shared" si="58"/>
        <v>0000000000</v>
      </c>
      <c r="AE270" s="151">
        <f t="shared" si="51"/>
        <v>0</v>
      </c>
      <c r="AF270" s="98" t="str">
        <f t="shared" si="52"/>
        <v>00</v>
      </c>
      <c r="AG270" s="98" t="str">
        <f t="shared" si="59"/>
        <v>000000000000</v>
      </c>
      <c r="AH270" s="161" t="str">
        <f t="shared" si="53"/>
        <v xml:space="preserve">                    </v>
      </c>
      <c r="AI270" s="154">
        <f t="shared" si="54"/>
        <v>0</v>
      </c>
      <c r="AJ270" s="155">
        <f t="shared" si="55"/>
        <v>0</v>
      </c>
      <c r="AP270" s="63" t="str">
        <f t="shared" si="56"/>
        <v/>
      </c>
      <c r="AQ270" s="63" t="str">
        <f t="shared" si="50"/>
        <v xml:space="preserve">                    </v>
      </c>
      <c r="AR270" s="63"/>
      <c r="AS270" s="63"/>
      <c r="AT270" s="63"/>
      <c r="AU270" s="63"/>
      <c r="AV270" s="63"/>
      <c r="AW270" s="63"/>
      <c r="AX270" s="63"/>
      <c r="AY270" s="63"/>
      <c r="AZ270" s="63"/>
      <c r="BA270" s="63"/>
      <c r="BB270" s="63"/>
      <c r="BC270" s="63"/>
      <c r="BD270" s="63"/>
      <c r="BE270" s="63"/>
      <c r="BF270" s="63"/>
      <c r="BG270" s="63"/>
      <c r="BH270" s="63"/>
      <c r="BI270" s="63"/>
      <c r="BJ270" s="63"/>
      <c r="BK270" s="63"/>
      <c r="BL270" s="63"/>
      <c r="BM270" s="63"/>
      <c r="BN270" s="63"/>
      <c r="BO270" s="63"/>
      <c r="BP270" s="63"/>
      <c r="BQ270" s="63"/>
      <c r="BR270" s="63"/>
      <c r="BS270" s="63"/>
      <c r="BT270" s="63"/>
      <c r="BU270" s="63"/>
      <c r="BV270" s="63"/>
      <c r="BW270" s="63"/>
    </row>
    <row r="271" spans="1:75" x14ac:dyDescent="0.2">
      <c r="A271" s="63" t="str">
        <f t="shared" si="57"/>
        <v/>
      </c>
      <c r="B271" s="182"/>
      <c r="C271" s="75"/>
      <c r="D271" s="75"/>
      <c r="E271" s="74"/>
      <c r="F271" s="181"/>
      <c r="G271" s="69"/>
      <c r="AB271" s="150">
        <f t="shared" si="48"/>
        <v>0</v>
      </c>
      <c r="AC271" s="150">
        <f t="shared" si="49"/>
        <v>0</v>
      </c>
      <c r="AD271" s="98" t="str">
        <f t="shared" si="58"/>
        <v>0000000000</v>
      </c>
      <c r="AE271" s="151">
        <f t="shared" si="51"/>
        <v>0</v>
      </c>
      <c r="AF271" s="98" t="str">
        <f t="shared" si="52"/>
        <v>00</v>
      </c>
      <c r="AG271" s="98" t="str">
        <f t="shared" si="59"/>
        <v>000000000000</v>
      </c>
      <c r="AH271" s="161" t="str">
        <f t="shared" si="53"/>
        <v xml:space="preserve">                    </v>
      </c>
      <c r="AI271" s="154">
        <f t="shared" si="54"/>
        <v>0</v>
      </c>
      <c r="AJ271" s="155">
        <f t="shared" si="55"/>
        <v>0</v>
      </c>
      <c r="AP271" s="63" t="str">
        <f t="shared" si="56"/>
        <v/>
      </c>
      <c r="AQ271" s="63" t="str">
        <f t="shared" si="50"/>
        <v xml:space="preserve">                    </v>
      </c>
      <c r="AR271" s="63"/>
      <c r="AS271" s="63"/>
      <c r="AT271" s="63"/>
      <c r="AU271" s="63"/>
      <c r="AV271" s="63"/>
      <c r="AW271" s="63"/>
      <c r="AX271" s="63"/>
      <c r="AY271" s="63"/>
      <c r="AZ271" s="63"/>
      <c r="BA271" s="63"/>
      <c r="BB271" s="63"/>
      <c r="BC271" s="63"/>
      <c r="BD271" s="63"/>
      <c r="BE271" s="63"/>
      <c r="BF271" s="63"/>
      <c r="BG271" s="63"/>
      <c r="BH271" s="63"/>
      <c r="BI271" s="63"/>
      <c r="BJ271" s="63"/>
      <c r="BK271" s="63"/>
      <c r="BL271" s="63"/>
      <c r="BM271" s="63"/>
      <c r="BN271" s="63"/>
      <c r="BO271" s="63"/>
      <c r="BP271" s="63"/>
      <c r="BQ271" s="63"/>
      <c r="BR271" s="63"/>
      <c r="BS271" s="63"/>
      <c r="BT271" s="63"/>
      <c r="BU271" s="63"/>
      <c r="BV271" s="63"/>
      <c r="BW271" s="63"/>
    </row>
    <row r="272" spans="1:75" x14ac:dyDescent="0.2">
      <c r="A272" s="63" t="str">
        <f t="shared" si="57"/>
        <v/>
      </c>
      <c r="B272" s="182"/>
      <c r="C272" s="75"/>
      <c r="D272" s="75"/>
      <c r="E272" s="74"/>
      <c r="F272" s="181"/>
      <c r="G272" s="69"/>
      <c r="AB272" s="150">
        <f t="shared" si="48"/>
        <v>0</v>
      </c>
      <c r="AC272" s="150">
        <f t="shared" si="49"/>
        <v>0</v>
      </c>
      <c r="AD272" s="98" t="str">
        <f t="shared" si="58"/>
        <v>0000000000</v>
      </c>
      <c r="AE272" s="151">
        <f t="shared" si="51"/>
        <v>0</v>
      </c>
      <c r="AF272" s="98" t="str">
        <f t="shared" si="52"/>
        <v>00</v>
      </c>
      <c r="AG272" s="98" t="str">
        <f t="shared" si="59"/>
        <v>000000000000</v>
      </c>
      <c r="AH272" s="161" t="str">
        <f t="shared" si="53"/>
        <v xml:space="preserve">                    </v>
      </c>
      <c r="AI272" s="154">
        <f t="shared" si="54"/>
        <v>0</v>
      </c>
      <c r="AJ272" s="155">
        <f t="shared" si="55"/>
        <v>0</v>
      </c>
      <c r="AP272" s="63" t="str">
        <f t="shared" si="56"/>
        <v/>
      </c>
      <c r="AQ272" s="63" t="str">
        <f t="shared" si="50"/>
        <v xml:space="preserve">                    </v>
      </c>
      <c r="AR272" s="63"/>
      <c r="AS272" s="63"/>
      <c r="AT272" s="63"/>
      <c r="AU272" s="63"/>
      <c r="AV272" s="63"/>
      <c r="AW272" s="63"/>
      <c r="AX272" s="63"/>
      <c r="AY272" s="63"/>
      <c r="AZ272" s="63"/>
      <c r="BA272" s="63"/>
      <c r="BB272" s="63"/>
      <c r="BC272" s="63"/>
      <c r="BD272" s="63"/>
      <c r="BE272" s="63"/>
      <c r="BF272" s="63"/>
      <c r="BG272" s="63"/>
      <c r="BH272" s="63"/>
      <c r="BI272" s="63"/>
      <c r="BJ272" s="63"/>
      <c r="BK272" s="63"/>
      <c r="BL272" s="63"/>
      <c r="BM272" s="63"/>
      <c r="BN272" s="63"/>
      <c r="BO272" s="63"/>
      <c r="BP272" s="63"/>
      <c r="BQ272" s="63"/>
      <c r="BR272" s="63"/>
      <c r="BS272" s="63"/>
      <c r="BT272" s="63"/>
      <c r="BU272" s="63"/>
      <c r="BV272" s="63"/>
      <c r="BW272" s="63"/>
    </row>
    <row r="273" spans="1:75" x14ac:dyDescent="0.2">
      <c r="A273" s="63" t="str">
        <f t="shared" si="57"/>
        <v/>
      </c>
      <c r="B273" s="182"/>
      <c r="C273" s="75"/>
      <c r="D273" s="75"/>
      <c r="E273" s="74"/>
      <c r="F273" s="181"/>
      <c r="G273" s="69"/>
      <c r="AB273" s="150">
        <f t="shared" si="48"/>
        <v>0</v>
      </c>
      <c r="AC273" s="150">
        <f t="shared" si="49"/>
        <v>0</v>
      </c>
      <c r="AD273" s="98" t="str">
        <f t="shared" si="58"/>
        <v>0000000000</v>
      </c>
      <c r="AE273" s="151">
        <f t="shared" si="51"/>
        <v>0</v>
      </c>
      <c r="AF273" s="98" t="str">
        <f t="shared" si="52"/>
        <v>00</v>
      </c>
      <c r="AG273" s="98" t="str">
        <f t="shared" si="59"/>
        <v>000000000000</v>
      </c>
      <c r="AH273" s="161" t="str">
        <f t="shared" si="53"/>
        <v xml:space="preserve">                    </v>
      </c>
      <c r="AI273" s="154">
        <f t="shared" si="54"/>
        <v>0</v>
      </c>
      <c r="AJ273" s="155">
        <f t="shared" si="55"/>
        <v>0</v>
      </c>
      <c r="AP273" s="63" t="str">
        <f t="shared" si="56"/>
        <v/>
      </c>
      <c r="AQ273" s="63" t="str">
        <f t="shared" si="50"/>
        <v xml:space="preserve">                    </v>
      </c>
      <c r="AR273" s="63"/>
      <c r="AS273" s="63"/>
      <c r="AT273" s="63"/>
      <c r="AU273" s="63"/>
      <c r="AV273" s="63"/>
      <c r="AW273" s="63"/>
      <c r="AX273" s="63"/>
      <c r="AY273" s="63"/>
      <c r="AZ273" s="63"/>
      <c r="BA273" s="63"/>
      <c r="BB273" s="63"/>
      <c r="BC273" s="63"/>
      <c r="BD273" s="63"/>
      <c r="BE273" s="63"/>
      <c r="BF273" s="63"/>
      <c r="BG273" s="63"/>
      <c r="BH273" s="63"/>
      <c r="BI273" s="63"/>
      <c r="BJ273" s="63"/>
      <c r="BK273" s="63"/>
      <c r="BL273" s="63"/>
      <c r="BM273" s="63"/>
      <c r="BN273" s="63"/>
      <c r="BO273" s="63"/>
      <c r="BP273" s="63"/>
      <c r="BQ273" s="63"/>
      <c r="BR273" s="63"/>
      <c r="BS273" s="63"/>
      <c r="BT273" s="63"/>
      <c r="BU273" s="63"/>
      <c r="BV273" s="63"/>
      <c r="BW273" s="63"/>
    </row>
    <row r="274" spans="1:75" x14ac:dyDescent="0.2">
      <c r="A274" s="63" t="str">
        <f t="shared" si="57"/>
        <v/>
      </c>
      <c r="B274" s="182"/>
      <c r="C274" s="75"/>
      <c r="D274" s="75"/>
      <c r="E274" s="74"/>
      <c r="F274" s="181"/>
      <c r="G274" s="69"/>
      <c r="AB274" s="150">
        <f t="shared" si="48"/>
        <v>0</v>
      </c>
      <c r="AC274" s="150">
        <f t="shared" si="49"/>
        <v>0</v>
      </c>
      <c r="AD274" s="98" t="str">
        <f t="shared" si="58"/>
        <v>0000000000</v>
      </c>
      <c r="AE274" s="151">
        <f t="shared" si="51"/>
        <v>0</v>
      </c>
      <c r="AF274" s="98" t="str">
        <f t="shared" si="52"/>
        <v>00</v>
      </c>
      <c r="AG274" s="98" t="str">
        <f t="shared" si="59"/>
        <v>000000000000</v>
      </c>
      <c r="AH274" s="161" t="str">
        <f t="shared" si="53"/>
        <v xml:space="preserve">                    </v>
      </c>
      <c r="AI274" s="154">
        <f t="shared" si="54"/>
        <v>0</v>
      </c>
      <c r="AJ274" s="155">
        <f t="shared" si="55"/>
        <v>0</v>
      </c>
      <c r="AP274" s="63" t="str">
        <f t="shared" si="56"/>
        <v/>
      </c>
      <c r="AQ274" s="63" t="str">
        <f t="shared" si="50"/>
        <v xml:space="preserve">                    </v>
      </c>
      <c r="AR274" s="63"/>
      <c r="AS274" s="63"/>
      <c r="AT274" s="63"/>
      <c r="AU274" s="63"/>
      <c r="AV274" s="63"/>
      <c r="AW274" s="63"/>
      <c r="AX274" s="63"/>
      <c r="AY274" s="63"/>
      <c r="AZ274" s="63"/>
      <c r="BA274" s="63"/>
      <c r="BB274" s="63"/>
      <c r="BC274" s="63"/>
      <c r="BD274" s="63"/>
      <c r="BE274" s="63"/>
      <c r="BF274" s="63"/>
      <c r="BG274" s="63"/>
      <c r="BH274" s="63"/>
      <c r="BI274" s="63"/>
      <c r="BJ274" s="63"/>
      <c r="BK274" s="63"/>
      <c r="BL274" s="63"/>
      <c r="BM274" s="63"/>
      <c r="BN274" s="63"/>
      <c r="BO274" s="63"/>
      <c r="BP274" s="63"/>
      <c r="BQ274" s="63"/>
      <c r="BR274" s="63"/>
      <c r="BS274" s="63"/>
      <c r="BT274" s="63"/>
      <c r="BU274" s="63"/>
      <c r="BV274" s="63"/>
      <c r="BW274" s="63"/>
    </row>
    <row r="275" spans="1:75" x14ac:dyDescent="0.2">
      <c r="A275" s="63" t="str">
        <f t="shared" si="57"/>
        <v/>
      </c>
      <c r="B275" s="182"/>
      <c r="C275" s="75"/>
      <c r="D275" s="75"/>
      <c r="E275" s="74"/>
      <c r="F275" s="181"/>
      <c r="G275" s="69"/>
      <c r="AB275" s="150">
        <f t="shared" si="48"/>
        <v>0</v>
      </c>
      <c r="AC275" s="150">
        <f t="shared" si="49"/>
        <v>0</v>
      </c>
      <c r="AD275" s="98" t="str">
        <f t="shared" si="58"/>
        <v>0000000000</v>
      </c>
      <c r="AE275" s="151">
        <f t="shared" si="51"/>
        <v>0</v>
      </c>
      <c r="AF275" s="98" t="str">
        <f t="shared" si="52"/>
        <v>00</v>
      </c>
      <c r="AG275" s="98" t="str">
        <f t="shared" si="59"/>
        <v>000000000000</v>
      </c>
      <c r="AH275" s="161" t="str">
        <f t="shared" si="53"/>
        <v xml:space="preserve">                    </v>
      </c>
      <c r="AI275" s="154">
        <f t="shared" si="54"/>
        <v>0</v>
      </c>
      <c r="AJ275" s="155">
        <f t="shared" si="55"/>
        <v>0</v>
      </c>
      <c r="AP275" s="63" t="str">
        <f t="shared" si="56"/>
        <v/>
      </c>
      <c r="AQ275" s="63" t="str">
        <f t="shared" si="50"/>
        <v xml:space="preserve">                    </v>
      </c>
      <c r="AR275" s="63"/>
      <c r="AS275" s="63"/>
      <c r="AT275" s="63"/>
      <c r="AU275" s="63"/>
      <c r="AV275" s="63"/>
      <c r="AW275" s="63"/>
      <c r="AX275" s="63"/>
      <c r="AY275" s="63"/>
      <c r="AZ275" s="63"/>
      <c r="BA275" s="63"/>
      <c r="BB275" s="63"/>
      <c r="BC275" s="63"/>
      <c r="BD275" s="63"/>
      <c r="BE275" s="63"/>
      <c r="BF275" s="63"/>
      <c r="BG275" s="63"/>
      <c r="BH275" s="63"/>
      <c r="BI275" s="63"/>
      <c r="BJ275" s="63"/>
      <c r="BK275" s="63"/>
      <c r="BL275" s="63"/>
      <c r="BM275" s="63"/>
      <c r="BN275" s="63"/>
      <c r="BO275" s="63"/>
      <c r="BP275" s="63"/>
      <c r="BQ275" s="63"/>
      <c r="BR275" s="63"/>
      <c r="BS275" s="63"/>
      <c r="BT275" s="63"/>
      <c r="BU275" s="63"/>
      <c r="BV275" s="63"/>
      <c r="BW275" s="63"/>
    </row>
    <row r="276" spans="1:75" x14ac:dyDescent="0.2">
      <c r="A276" s="63" t="str">
        <f t="shared" si="57"/>
        <v/>
      </c>
      <c r="B276" s="182"/>
      <c r="C276" s="75"/>
      <c r="D276" s="75"/>
      <c r="E276" s="74"/>
      <c r="F276" s="181"/>
      <c r="G276" s="69"/>
      <c r="AB276" s="150">
        <f t="shared" si="48"/>
        <v>0</v>
      </c>
      <c r="AC276" s="150">
        <f t="shared" si="49"/>
        <v>0</v>
      </c>
      <c r="AD276" s="98" t="str">
        <f t="shared" si="58"/>
        <v>0000000000</v>
      </c>
      <c r="AE276" s="151">
        <f t="shared" si="51"/>
        <v>0</v>
      </c>
      <c r="AF276" s="98" t="str">
        <f t="shared" si="52"/>
        <v>00</v>
      </c>
      <c r="AG276" s="98" t="str">
        <f t="shared" si="59"/>
        <v>000000000000</v>
      </c>
      <c r="AH276" s="161" t="str">
        <f t="shared" si="53"/>
        <v xml:space="preserve">                    </v>
      </c>
      <c r="AI276" s="154">
        <f t="shared" si="54"/>
        <v>0</v>
      </c>
      <c r="AJ276" s="155">
        <f t="shared" si="55"/>
        <v>0</v>
      </c>
      <c r="AP276" s="63" t="str">
        <f t="shared" si="56"/>
        <v/>
      </c>
      <c r="AQ276" s="63" t="str">
        <f t="shared" si="50"/>
        <v xml:space="preserve">                    </v>
      </c>
      <c r="AR276" s="63"/>
      <c r="AS276" s="63"/>
      <c r="AT276" s="63"/>
      <c r="AU276" s="63"/>
      <c r="AV276" s="63"/>
      <c r="AW276" s="63"/>
      <c r="AX276" s="63"/>
      <c r="AY276" s="63"/>
      <c r="AZ276" s="63"/>
      <c r="BA276" s="63"/>
      <c r="BB276" s="63"/>
      <c r="BC276" s="63"/>
      <c r="BD276" s="63"/>
      <c r="BE276" s="63"/>
      <c r="BF276" s="63"/>
      <c r="BG276" s="63"/>
      <c r="BH276" s="63"/>
      <c r="BI276" s="63"/>
      <c r="BJ276" s="63"/>
      <c r="BK276" s="63"/>
      <c r="BL276" s="63"/>
      <c r="BM276" s="63"/>
      <c r="BN276" s="63"/>
      <c r="BO276" s="63"/>
      <c r="BP276" s="63"/>
      <c r="BQ276" s="63"/>
      <c r="BR276" s="63"/>
      <c r="BS276" s="63"/>
      <c r="BT276" s="63"/>
      <c r="BU276" s="63"/>
      <c r="BV276" s="63"/>
      <c r="BW276" s="63"/>
    </row>
    <row r="277" spans="1:75" x14ac:dyDescent="0.2">
      <c r="A277" s="63" t="str">
        <f t="shared" si="57"/>
        <v/>
      </c>
      <c r="B277" s="182"/>
      <c r="C277" s="75"/>
      <c r="D277" s="75"/>
      <c r="E277" s="74"/>
      <c r="F277" s="181"/>
      <c r="G277" s="69"/>
      <c r="AB277" s="150">
        <f t="shared" si="48"/>
        <v>0</v>
      </c>
      <c r="AC277" s="150">
        <f t="shared" si="49"/>
        <v>0</v>
      </c>
      <c r="AD277" s="98" t="str">
        <f t="shared" si="58"/>
        <v>0000000000</v>
      </c>
      <c r="AE277" s="151">
        <f t="shared" si="51"/>
        <v>0</v>
      </c>
      <c r="AF277" s="98" t="str">
        <f t="shared" si="52"/>
        <v>00</v>
      </c>
      <c r="AG277" s="98" t="str">
        <f t="shared" si="59"/>
        <v>000000000000</v>
      </c>
      <c r="AH277" s="161" t="str">
        <f t="shared" si="53"/>
        <v xml:space="preserve">                    </v>
      </c>
      <c r="AI277" s="154">
        <f t="shared" si="54"/>
        <v>0</v>
      </c>
      <c r="AJ277" s="155">
        <f t="shared" si="55"/>
        <v>0</v>
      </c>
      <c r="AP277" s="63" t="str">
        <f t="shared" si="56"/>
        <v/>
      </c>
      <c r="AQ277" s="63" t="str">
        <f t="shared" si="50"/>
        <v xml:space="preserve">                    </v>
      </c>
      <c r="AR277" s="63"/>
      <c r="AS277" s="63"/>
      <c r="AT277" s="63"/>
      <c r="AU277" s="63"/>
      <c r="AV277" s="63"/>
      <c r="AW277" s="63"/>
      <c r="AX277" s="63"/>
      <c r="AY277" s="63"/>
      <c r="AZ277" s="63"/>
      <c r="BA277" s="63"/>
      <c r="BB277" s="63"/>
      <c r="BC277" s="63"/>
      <c r="BD277" s="63"/>
      <c r="BE277" s="63"/>
      <c r="BF277" s="63"/>
      <c r="BG277" s="63"/>
      <c r="BH277" s="63"/>
      <c r="BI277" s="63"/>
      <c r="BJ277" s="63"/>
      <c r="BK277" s="63"/>
      <c r="BL277" s="63"/>
      <c r="BM277" s="63"/>
      <c r="BN277" s="63"/>
      <c r="BO277" s="63"/>
      <c r="BP277" s="63"/>
      <c r="BQ277" s="63"/>
      <c r="BR277" s="63"/>
      <c r="BS277" s="63"/>
      <c r="BT277" s="63"/>
      <c r="BU277" s="63"/>
      <c r="BV277" s="63"/>
      <c r="BW277" s="63"/>
    </row>
    <row r="278" spans="1:75" x14ac:dyDescent="0.2">
      <c r="A278" s="63" t="str">
        <f t="shared" si="57"/>
        <v/>
      </c>
      <c r="B278" s="182"/>
      <c r="C278" s="75"/>
      <c r="D278" s="75"/>
      <c r="E278" s="74"/>
      <c r="F278" s="181"/>
      <c r="G278" s="69"/>
      <c r="AB278" s="150">
        <f t="shared" si="48"/>
        <v>0</v>
      </c>
      <c r="AC278" s="150">
        <f t="shared" si="49"/>
        <v>0</v>
      </c>
      <c r="AD278" s="98" t="str">
        <f t="shared" si="58"/>
        <v>0000000000</v>
      </c>
      <c r="AE278" s="151">
        <f t="shared" si="51"/>
        <v>0</v>
      </c>
      <c r="AF278" s="98" t="str">
        <f t="shared" si="52"/>
        <v>00</v>
      </c>
      <c r="AG278" s="98" t="str">
        <f t="shared" si="59"/>
        <v>000000000000</v>
      </c>
      <c r="AH278" s="161" t="str">
        <f t="shared" si="53"/>
        <v xml:space="preserve">                    </v>
      </c>
      <c r="AI278" s="154">
        <f t="shared" si="54"/>
        <v>0</v>
      </c>
      <c r="AJ278" s="155">
        <f t="shared" si="55"/>
        <v>0</v>
      </c>
      <c r="AP278" s="63" t="str">
        <f t="shared" si="56"/>
        <v/>
      </c>
      <c r="AQ278" s="63" t="str">
        <f t="shared" si="50"/>
        <v xml:space="preserve">                    </v>
      </c>
      <c r="AR278" s="63"/>
      <c r="AS278" s="63"/>
      <c r="AT278" s="63"/>
      <c r="AU278" s="63"/>
      <c r="AV278" s="63"/>
      <c r="AW278" s="63"/>
      <c r="AX278" s="63"/>
      <c r="AY278" s="63"/>
      <c r="AZ278" s="63"/>
      <c r="BA278" s="63"/>
      <c r="BB278" s="63"/>
      <c r="BC278" s="63"/>
      <c r="BD278" s="63"/>
      <c r="BE278" s="63"/>
      <c r="BF278" s="63"/>
      <c r="BG278" s="63"/>
      <c r="BH278" s="63"/>
      <c r="BI278" s="63"/>
      <c r="BJ278" s="63"/>
      <c r="BK278" s="63"/>
      <c r="BL278" s="63"/>
      <c r="BM278" s="63"/>
      <c r="BN278" s="63"/>
      <c r="BO278" s="63"/>
      <c r="BP278" s="63"/>
      <c r="BQ278" s="63"/>
      <c r="BR278" s="63"/>
      <c r="BS278" s="63"/>
      <c r="BT278" s="63"/>
      <c r="BU278" s="63"/>
      <c r="BV278" s="63"/>
      <c r="BW278" s="63"/>
    </row>
    <row r="279" spans="1:75" x14ac:dyDescent="0.2">
      <c r="A279" s="63" t="str">
        <f t="shared" si="57"/>
        <v/>
      </c>
      <c r="B279" s="182"/>
      <c r="C279" s="75"/>
      <c r="D279" s="75"/>
      <c r="E279" s="74"/>
      <c r="F279" s="181"/>
      <c r="G279" s="69"/>
      <c r="AB279" s="150">
        <f t="shared" si="48"/>
        <v>0</v>
      </c>
      <c r="AC279" s="150">
        <f t="shared" si="49"/>
        <v>0</v>
      </c>
      <c r="AD279" s="98" t="str">
        <f t="shared" si="58"/>
        <v>0000000000</v>
      </c>
      <c r="AE279" s="151">
        <f t="shared" si="51"/>
        <v>0</v>
      </c>
      <c r="AF279" s="98" t="str">
        <f t="shared" si="52"/>
        <v>00</v>
      </c>
      <c r="AG279" s="98" t="str">
        <f t="shared" si="59"/>
        <v>000000000000</v>
      </c>
      <c r="AH279" s="161" t="str">
        <f t="shared" si="53"/>
        <v xml:space="preserve">                    </v>
      </c>
      <c r="AI279" s="154">
        <f t="shared" si="54"/>
        <v>0</v>
      </c>
      <c r="AJ279" s="155">
        <f t="shared" si="55"/>
        <v>0</v>
      </c>
      <c r="AP279" s="63" t="str">
        <f t="shared" si="56"/>
        <v/>
      </c>
      <c r="AQ279" s="63" t="str">
        <f t="shared" si="50"/>
        <v xml:space="preserve">                    </v>
      </c>
      <c r="AR279" s="63"/>
      <c r="AS279" s="63"/>
      <c r="AT279" s="63"/>
      <c r="AU279" s="63"/>
      <c r="AV279" s="63"/>
      <c r="AW279" s="63"/>
      <c r="AX279" s="63"/>
      <c r="AY279" s="63"/>
      <c r="AZ279" s="63"/>
      <c r="BA279" s="63"/>
      <c r="BB279" s="63"/>
      <c r="BC279" s="63"/>
      <c r="BD279" s="63"/>
      <c r="BE279" s="63"/>
      <c r="BF279" s="63"/>
      <c r="BG279" s="63"/>
      <c r="BH279" s="63"/>
      <c r="BI279" s="63"/>
      <c r="BJ279" s="63"/>
      <c r="BK279" s="63"/>
      <c r="BL279" s="63"/>
      <c r="BM279" s="63"/>
      <c r="BN279" s="63"/>
      <c r="BO279" s="63"/>
      <c r="BP279" s="63"/>
      <c r="BQ279" s="63"/>
      <c r="BR279" s="63"/>
      <c r="BS279" s="63"/>
      <c r="BT279" s="63"/>
      <c r="BU279" s="63"/>
      <c r="BV279" s="63"/>
      <c r="BW279" s="63"/>
    </row>
    <row r="280" spans="1:75" x14ac:dyDescent="0.2">
      <c r="A280" s="63" t="str">
        <f t="shared" si="57"/>
        <v/>
      </c>
      <c r="B280" s="182"/>
      <c r="C280" s="75"/>
      <c r="D280" s="75"/>
      <c r="E280" s="74"/>
      <c r="F280" s="181"/>
      <c r="G280" s="69"/>
      <c r="AB280" s="150">
        <f t="shared" si="48"/>
        <v>0</v>
      </c>
      <c r="AC280" s="150">
        <f t="shared" si="49"/>
        <v>0</v>
      </c>
      <c r="AD280" s="98" t="str">
        <f t="shared" si="58"/>
        <v>0000000000</v>
      </c>
      <c r="AE280" s="151">
        <f t="shared" si="51"/>
        <v>0</v>
      </c>
      <c r="AF280" s="98" t="str">
        <f t="shared" si="52"/>
        <v>00</v>
      </c>
      <c r="AG280" s="98" t="str">
        <f t="shared" si="59"/>
        <v>000000000000</v>
      </c>
      <c r="AH280" s="161" t="str">
        <f t="shared" si="53"/>
        <v xml:space="preserve">                    </v>
      </c>
      <c r="AI280" s="154">
        <f t="shared" si="54"/>
        <v>0</v>
      </c>
      <c r="AJ280" s="155">
        <f t="shared" si="55"/>
        <v>0</v>
      </c>
      <c r="AP280" s="63" t="str">
        <f t="shared" si="56"/>
        <v/>
      </c>
      <c r="AQ280" s="63" t="str">
        <f t="shared" si="50"/>
        <v xml:space="preserve">                    </v>
      </c>
      <c r="AR280" s="63"/>
      <c r="AS280" s="63"/>
      <c r="AT280" s="63"/>
      <c r="AU280" s="63"/>
      <c r="AV280" s="63"/>
      <c r="AW280" s="63"/>
      <c r="AX280" s="63"/>
      <c r="AY280" s="63"/>
      <c r="AZ280" s="63"/>
      <c r="BA280" s="63"/>
      <c r="BB280" s="63"/>
      <c r="BC280" s="63"/>
      <c r="BD280" s="63"/>
      <c r="BE280" s="63"/>
      <c r="BF280" s="63"/>
      <c r="BG280" s="63"/>
      <c r="BH280" s="63"/>
      <c r="BI280" s="63"/>
      <c r="BJ280" s="63"/>
      <c r="BK280" s="63"/>
      <c r="BL280" s="63"/>
      <c r="BM280" s="63"/>
      <c r="BN280" s="63"/>
      <c r="BO280" s="63"/>
      <c r="BP280" s="63"/>
      <c r="BQ280" s="63"/>
      <c r="BR280" s="63"/>
      <c r="BS280" s="63"/>
      <c r="BT280" s="63"/>
      <c r="BU280" s="63"/>
      <c r="BV280" s="63"/>
      <c r="BW280" s="63"/>
    </row>
    <row r="281" spans="1:75" x14ac:dyDescent="0.2">
      <c r="A281" s="63" t="str">
        <f t="shared" si="57"/>
        <v/>
      </c>
      <c r="B281" s="182"/>
      <c r="C281" s="75"/>
      <c r="D281" s="75"/>
      <c r="E281" s="74"/>
      <c r="F281" s="181"/>
      <c r="G281" s="69"/>
      <c r="AB281" s="150">
        <f t="shared" si="48"/>
        <v>0</v>
      </c>
      <c r="AC281" s="150">
        <f t="shared" si="49"/>
        <v>0</v>
      </c>
      <c r="AD281" s="98" t="str">
        <f t="shared" si="58"/>
        <v>0000000000</v>
      </c>
      <c r="AE281" s="151">
        <f t="shared" si="51"/>
        <v>0</v>
      </c>
      <c r="AF281" s="98" t="str">
        <f t="shared" si="52"/>
        <v>00</v>
      </c>
      <c r="AG281" s="98" t="str">
        <f t="shared" si="59"/>
        <v>000000000000</v>
      </c>
      <c r="AH281" s="161" t="str">
        <f t="shared" si="53"/>
        <v xml:space="preserve">                    </v>
      </c>
      <c r="AI281" s="154">
        <f t="shared" si="54"/>
        <v>0</v>
      </c>
      <c r="AJ281" s="155">
        <f t="shared" si="55"/>
        <v>0</v>
      </c>
      <c r="AP281" s="63" t="str">
        <f t="shared" si="56"/>
        <v/>
      </c>
      <c r="AQ281" s="63" t="str">
        <f t="shared" si="50"/>
        <v xml:space="preserve">                    </v>
      </c>
      <c r="AR281" s="63"/>
      <c r="AS281" s="63"/>
      <c r="AT281" s="63"/>
      <c r="AU281" s="63"/>
      <c r="AV281" s="63"/>
      <c r="AW281" s="63"/>
      <c r="AX281" s="63"/>
      <c r="AY281" s="63"/>
      <c r="AZ281" s="63"/>
      <c r="BA281" s="63"/>
      <c r="BB281" s="63"/>
      <c r="BC281" s="63"/>
      <c r="BD281" s="63"/>
      <c r="BE281" s="63"/>
      <c r="BF281" s="63"/>
      <c r="BG281" s="63"/>
      <c r="BH281" s="63"/>
      <c r="BI281" s="63"/>
      <c r="BJ281" s="63"/>
      <c r="BK281" s="63"/>
      <c r="BL281" s="63"/>
      <c r="BM281" s="63"/>
      <c r="BN281" s="63"/>
      <c r="BO281" s="63"/>
      <c r="BP281" s="63"/>
      <c r="BQ281" s="63"/>
      <c r="BR281" s="63"/>
      <c r="BS281" s="63"/>
      <c r="BT281" s="63"/>
      <c r="BU281" s="63"/>
      <c r="BV281" s="63"/>
      <c r="BW281" s="63"/>
    </row>
    <row r="282" spans="1:75" x14ac:dyDescent="0.2">
      <c r="A282" s="63" t="str">
        <f t="shared" si="57"/>
        <v/>
      </c>
      <c r="B282" s="182"/>
      <c r="C282" s="75"/>
      <c r="D282" s="75"/>
      <c r="E282" s="74"/>
      <c r="F282" s="181"/>
      <c r="G282" s="69"/>
      <c r="AB282" s="150">
        <f t="shared" si="48"/>
        <v>0</v>
      </c>
      <c r="AC282" s="150">
        <f t="shared" si="49"/>
        <v>0</v>
      </c>
      <c r="AD282" s="98" t="str">
        <f t="shared" si="58"/>
        <v>0000000000</v>
      </c>
      <c r="AE282" s="151">
        <f t="shared" si="51"/>
        <v>0</v>
      </c>
      <c r="AF282" s="98" t="str">
        <f t="shared" si="52"/>
        <v>00</v>
      </c>
      <c r="AG282" s="98" t="str">
        <f t="shared" si="59"/>
        <v>000000000000</v>
      </c>
      <c r="AH282" s="161" t="str">
        <f t="shared" si="53"/>
        <v xml:space="preserve">                    </v>
      </c>
      <c r="AI282" s="154">
        <f t="shared" si="54"/>
        <v>0</v>
      </c>
      <c r="AJ282" s="155">
        <f t="shared" si="55"/>
        <v>0</v>
      </c>
      <c r="AP282" s="63" t="str">
        <f t="shared" si="56"/>
        <v/>
      </c>
      <c r="AQ282" s="63" t="str">
        <f t="shared" si="50"/>
        <v xml:space="preserve">                    </v>
      </c>
      <c r="AR282" s="63"/>
      <c r="AS282" s="63"/>
      <c r="AT282" s="63"/>
      <c r="AU282" s="63"/>
      <c r="AV282" s="63"/>
      <c r="AW282" s="63"/>
      <c r="AX282" s="63"/>
      <c r="AY282" s="63"/>
      <c r="AZ282" s="63"/>
      <c r="BA282" s="63"/>
      <c r="BB282" s="63"/>
      <c r="BC282" s="63"/>
      <c r="BD282" s="63"/>
      <c r="BE282" s="63"/>
      <c r="BF282" s="63"/>
      <c r="BG282" s="63"/>
      <c r="BH282" s="63"/>
      <c r="BI282" s="63"/>
      <c r="BJ282" s="63"/>
      <c r="BK282" s="63"/>
      <c r="BL282" s="63"/>
      <c r="BM282" s="63"/>
      <c r="BN282" s="63"/>
      <c r="BO282" s="63"/>
      <c r="BP282" s="63"/>
      <c r="BQ282" s="63"/>
      <c r="BR282" s="63"/>
      <c r="BS282" s="63"/>
      <c r="BT282" s="63"/>
      <c r="BU282" s="63"/>
      <c r="BV282" s="63"/>
      <c r="BW282" s="63"/>
    </row>
    <row r="283" spans="1:75" x14ac:dyDescent="0.2">
      <c r="A283" s="63" t="str">
        <f t="shared" si="57"/>
        <v/>
      </c>
      <c r="B283" s="182"/>
      <c r="C283" s="75"/>
      <c r="D283" s="75"/>
      <c r="E283" s="74"/>
      <c r="F283" s="181"/>
      <c r="G283" s="69"/>
      <c r="AB283" s="150">
        <f t="shared" si="48"/>
        <v>0</v>
      </c>
      <c r="AC283" s="150">
        <f t="shared" si="49"/>
        <v>0</v>
      </c>
      <c r="AD283" s="98" t="str">
        <f t="shared" si="58"/>
        <v>0000000000</v>
      </c>
      <c r="AE283" s="151">
        <f t="shared" si="51"/>
        <v>0</v>
      </c>
      <c r="AF283" s="98" t="str">
        <f t="shared" si="52"/>
        <v>00</v>
      </c>
      <c r="AG283" s="98" t="str">
        <f t="shared" si="59"/>
        <v>000000000000</v>
      </c>
      <c r="AH283" s="161" t="str">
        <f t="shared" si="53"/>
        <v xml:space="preserve">                    </v>
      </c>
      <c r="AI283" s="154">
        <f t="shared" si="54"/>
        <v>0</v>
      </c>
      <c r="AJ283" s="155">
        <f t="shared" si="55"/>
        <v>0</v>
      </c>
      <c r="AP283" s="63" t="str">
        <f t="shared" si="56"/>
        <v/>
      </c>
      <c r="AQ283" s="63" t="str">
        <f t="shared" si="50"/>
        <v xml:space="preserve">                    </v>
      </c>
      <c r="AR283" s="63"/>
      <c r="AS283" s="63"/>
      <c r="AT283" s="63"/>
      <c r="AU283" s="63"/>
      <c r="AV283" s="63"/>
      <c r="AW283" s="63"/>
      <c r="AX283" s="63"/>
      <c r="AY283" s="63"/>
      <c r="AZ283" s="63"/>
      <c r="BA283" s="63"/>
      <c r="BB283" s="63"/>
      <c r="BC283" s="63"/>
      <c r="BD283" s="63"/>
      <c r="BE283" s="63"/>
      <c r="BF283" s="63"/>
      <c r="BG283" s="63"/>
      <c r="BH283" s="63"/>
      <c r="BI283" s="63"/>
      <c r="BJ283" s="63"/>
      <c r="BK283" s="63"/>
      <c r="BL283" s="63"/>
      <c r="BM283" s="63"/>
      <c r="BN283" s="63"/>
      <c r="BO283" s="63"/>
      <c r="BP283" s="63"/>
      <c r="BQ283" s="63"/>
      <c r="BR283" s="63"/>
      <c r="BS283" s="63"/>
      <c r="BT283" s="63"/>
      <c r="BU283" s="63"/>
      <c r="BV283" s="63"/>
      <c r="BW283" s="63"/>
    </row>
    <row r="284" spans="1:75" x14ac:dyDescent="0.2">
      <c r="A284" s="63" t="str">
        <f t="shared" si="57"/>
        <v/>
      </c>
      <c r="B284" s="182"/>
      <c r="C284" s="75"/>
      <c r="D284" s="75"/>
      <c r="E284" s="74"/>
      <c r="F284" s="181"/>
      <c r="G284" s="69"/>
      <c r="AB284" s="150">
        <f t="shared" si="48"/>
        <v>0</v>
      </c>
      <c r="AC284" s="150">
        <f t="shared" si="49"/>
        <v>0</v>
      </c>
      <c r="AD284" s="98" t="str">
        <f t="shared" si="58"/>
        <v>0000000000</v>
      </c>
      <c r="AE284" s="151">
        <f t="shared" si="51"/>
        <v>0</v>
      </c>
      <c r="AF284" s="98" t="str">
        <f t="shared" si="52"/>
        <v>00</v>
      </c>
      <c r="AG284" s="98" t="str">
        <f t="shared" si="59"/>
        <v>000000000000</v>
      </c>
      <c r="AH284" s="161" t="str">
        <f t="shared" si="53"/>
        <v xml:space="preserve">                    </v>
      </c>
      <c r="AI284" s="154">
        <f t="shared" si="54"/>
        <v>0</v>
      </c>
      <c r="AJ284" s="155">
        <f t="shared" si="55"/>
        <v>0</v>
      </c>
      <c r="AP284" s="63" t="str">
        <f t="shared" si="56"/>
        <v/>
      </c>
      <c r="AQ284" s="63" t="str">
        <f t="shared" si="50"/>
        <v xml:space="preserve">                    </v>
      </c>
      <c r="AR284" s="63"/>
      <c r="AS284" s="63"/>
      <c r="AT284" s="63"/>
      <c r="AU284" s="63"/>
      <c r="AV284" s="63"/>
      <c r="AW284" s="63"/>
      <c r="AX284" s="63"/>
      <c r="AY284" s="63"/>
      <c r="AZ284" s="63"/>
      <c r="BA284" s="63"/>
      <c r="BB284" s="63"/>
      <c r="BC284" s="63"/>
      <c r="BD284" s="63"/>
      <c r="BE284" s="63"/>
      <c r="BF284" s="63"/>
      <c r="BG284" s="63"/>
      <c r="BH284" s="63"/>
      <c r="BI284" s="63"/>
      <c r="BJ284" s="63"/>
      <c r="BK284" s="63"/>
      <c r="BL284" s="63"/>
      <c r="BM284" s="63"/>
      <c r="BN284" s="63"/>
      <c r="BO284" s="63"/>
      <c r="BP284" s="63"/>
      <c r="BQ284" s="63"/>
      <c r="BR284" s="63"/>
      <c r="BS284" s="63"/>
      <c r="BT284" s="63"/>
      <c r="BU284" s="63"/>
      <c r="BV284" s="63"/>
      <c r="BW284" s="63"/>
    </row>
    <row r="285" spans="1:75" x14ac:dyDescent="0.2">
      <c r="A285" s="63" t="str">
        <f t="shared" si="57"/>
        <v/>
      </c>
      <c r="B285" s="182"/>
      <c r="C285" s="75"/>
      <c r="D285" s="75"/>
      <c r="E285" s="74"/>
      <c r="F285" s="181"/>
      <c r="G285" s="69"/>
      <c r="AB285" s="150">
        <f t="shared" si="48"/>
        <v>0</v>
      </c>
      <c r="AC285" s="150">
        <f t="shared" si="49"/>
        <v>0</v>
      </c>
      <c r="AD285" s="98" t="str">
        <f t="shared" si="58"/>
        <v>0000000000</v>
      </c>
      <c r="AE285" s="151">
        <f t="shared" si="51"/>
        <v>0</v>
      </c>
      <c r="AF285" s="98" t="str">
        <f t="shared" si="52"/>
        <v>00</v>
      </c>
      <c r="AG285" s="98" t="str">
        <f t="shared" si="59"/>
        <v>000000000000</v>
      </c>
      <c r="AH285" s="161" t="str">
        <f t="shared" si="53"/>
        <v xml:space="preserve">                    </v>
      </c>
      <c r="AI285" s="154">
        <f t="shared" si="54"/>
        <v>0</v>
      </c>
      <c r="AJ285" s="155">
        <f t="shared" si="55"/>
        <v>0</v>
      </c>
      <c r="AP285" s="63" t="str">
        <f t="shared" si="56"/>
        <v/>
      </c>
      <c r="AQ285" s="63" t="str">
        <f t="shared" si="50"/>
        <v xml:space="preserve">                    </v>
      </c>
      <c r="AR285" s="63"/>
      <c r="AS285" s="63"/>
      <c r="AT285" s="63"/>
      <c r="AU285" s="63"/>
      <c r="AV285" s="63"/>
      <c r="AW285" s="63"/>
      <c r="AX285" s="63"/>
      <c r="AY285" s="63"/>
      <c r="AZ285" s="63"/>
      <c r="BA285" s="63"/>
      <c r="BB285" s="63"/>
      <c r="BC285" s="63"/>
      <c r="BD285" s="63"/>
      <c r="BE285" s="63"/>
      <c r="BF285" s="63"/>
      <c r="BG285" s="63"/>
      <c r="BH285" s="63"/>
      <c r="BI285" s="63"/>
      <c r="BJ285" s="63"/>
      <c r="BK285" s="63"/>
      <c r="BL285" s="63"/>
      <c r="BM285" s="63"/>
      <c r="BN285" s="63"/>
      <c r="BO285" s="63"/>
      <c r="BP285" s="63"/>
      <c r="BQ285" s="63"/>
      <c r="BR285" s="63"/>
      <c r="BS285" s="63"/>
      <c r="BT285" s="63"/>
      <c r="BU285" s="63"/>
      <c r="BV285" s="63"/>
      <c r="BW285" s="63"/>
    </row>
    <row r="286" spans="1:75" x14ac:dyDescent="0.2">
      <c r="A286" s="63" t="str">
        <f t="shared" si="57"/>
        <v/>
      </c>
      <c r="B286" s="182"/>
      <c r="C286" s="75"/>
      <c r="D286" s="75"/>
      <c r="E286" s="74"/>
      <c r="F286" s="181"/>
      <c r="G286" s="69"/>
      <c r="AB286" s="150">
        <f t="shared" si="48"/>
        <v>0</v>
      </c>
      <c r="AC286" s="150">
        <f t="shared" si="49"/>
        <v>0</v>
      </c>
      <c r="AD286" s="98" t="str">
        <f t="shared" si="58"/>
        <v>0000000000</v>
      </c>
      <c r="AE286" s="151">
        <f t="shared" si="51"/>
        <v>0</v>
      </c>
      <c r="AF286" s="98" t="str">
        <f t="shared" si="52"/>
        <v>00</v>
      </c>
      <c r="AG286" s="98" t="str">
        <f t="shared" si="59"/>
        <v>000000000000</v>
      </c>
      <c r="AH286" s="161" t="str">
        <f t="shared" si="53"/>
        <v xml:space="preserve">                    </v>
      </c>
      <c r="AI286" s="154">
        <f t="shared" si="54"/>
        <v>0</v>
      </c>
      <c r="AJ286" s="155">
        <f t="shared" si="55"/>
        <v>0</v>
      </c>
      <c r="AP286" s="63" t="str">
        <f t="shared" si="56"/>
        <v/>
      </c>
      <c r="AQ286" s="63" t="str">
        <f t="shared" si="50"/>
        <v xml:space="preserve">                    </v>
      </c>
      <c r="AR286" s="63"/>
      <c r="AS286" s="63"/>
      <c r="AT286" s="63"/>
      <c r="AU286" s="63"/>
      <c r="AV286" s="63"/>
      <c r="AW286" s="63"/>
      <c r="AX286" s="63"/>
      <c r="AY286" s="63"/>
      <c r="AZ286" s="63"/>
      <c r="BA286" s="63"/>
      <c r="BB286" s="63"/>
      <c r="BC286" s="63"/>
      <c r="BD286" s="63"/>
      <c r="BE286" s="63"/>
      <c r="BF286" s="63"/>
      <c r="BG286" s="63"/>
      <c r="BH286" s="63"/>
      <c r="BI286" s="63"/>
      <c r="BJ286" s="63"/>
      <c r="BK286" s="63"/>
      <c r="BL286" s="63"/>
      <c r="BM286" s="63"/>
      <c r="BN286" s="63"/>
      <c r="BO286" s="63"/>
      <c r="BP286" s="63"/>
      <c r="BQ286" s="63"/>
      <c r="BR286" s="63"/>
      <c r="BS286" s="63"/>
      <c r="BT286" s="63"/>
      <c r="BU286" s="63"/>
      <c r="BV286" s="63"/>
      <c r="BW286" s="63"/>
    </row>
    <row r="287" spans="1:75" x14ac:dyDescent="0.2">
      <c r="A287" s="63" t="str">
        <f t="shared" si="57"/>
        <v/>
      </c>
      <c r="B287" s="182"/>
      <c r="C287" s="75"/>
      <c r="D287" s="75"/>
      <c r="E287" s="74"/>
      <c r="F287" s="181"/>
      <c r="G287" s="69"/>
      <c r="AB287" s="150">
        <f t="shared" si="48"/>
        <v>0</v>
      </c>
      <c r="AC287" s="150">
        <f t="shared" si="49"/>
        <v>0</v>
      </c>
      <c r="AD287" s="98" t="str">
        <f t="shared" si="58"/>
        <v>0000000000</v>
      </c>
      <c r="AE287" s="151">
        <f t="shared" si="51"/>
        <v>0</v>
      </c>
      <c r="AF287" s="98" t="str">
        <f t="shared" si="52"/>
        <v>00</v>
      </c>
      <c r="AG287" s="98" t="str">
        <f t="shared" si="59"/>
        <v>000000000000</v>
      </c>
      <c r="AH287" s="161" t="str">
        <f t="shared" si="53"/>
        <v xml:space="preserve">                    </v>
      </c>
      <c r="AI287" s="154">
        <f t="shared" si="54"/>
        <v>0</v>
      </c>
      <c r="AJ287" s="155">
        <f t="shared" si="55"/>
        <v>0</v>
      </c>
      <c r="AP287" s="63" t="str">
        <f t="shared" si="56"/>
        <v/>
      </c>
      <c r="AQ287" s="63" t="str">
        <f t="shared" si="50"/>
        <v xml:space="preserve">                    </v>
      </c>
      <c r="AR287" s="63"/>
      <c r="AS287" s="63"/>
      <c r="AT287" s="63"/>
      <c r="AU287" s="63"/>
      <c r="AV287" s="63"/>
      <c r="AW287" s="63"/>
      <c r="AX287" s="63"/>
      <c r="AY287" s="63"/>
      <c r="AZ287" s="63"/>
      <c r="BA287" s="63"/>
      <c r="BB287" s="63"/>
      <c r="BC287" s="63"/>
      <c r="BD287" s="63"/>
      <c r="BE287" s="63"/>
      <c r="BF287" s="63"/>
      <c r="BG287" s="63"/>
      <c r="BH287" s="63"/>
      <c r="BI287" s="63"/>
      <c r="BJ287" s="63"/>
      <c r="BK287" s="63"/>
      <c r="BL287" s="63"/>
      <c r="BM287" s="63"/>
      <c r="BN287" s="63"/>
      <c r="BO287" s="63"/>
      <c r="BP287" s="63"/>
      <c r="BQ287" s="63"/>
      <c r="BR287" s="63"/>
      <c r="BS287" s="63"/>
      <c r="BT287" s="63"/>
      <c r="BU287" s="63"/>
      <c r="BV287" s="63"/>
      <c r="BW287" s="63"/>
    </row>
    <row r="288" spans="1:75" x14ac:dyDescent="0.2">
      <c r="A288" s="63" t="str">
        <f t="shared" si="57"/>
        <v/>
      </c>
      <c r="B288" s="182"/>
      <c r="C288" s="75"/>
      <c r="D288" s="75"/>
      <c r="E288" s="74"/>
      <c r="F288" s="181"/>
      <c r="G288" s="69"/>
      <c r="AB288" s="150">
        <f t="shared" si="48"/>
        <v>0</v>
      </c>
      <c r="AC288" s="150">
        <f t="shared" si="49"/>
        <v>0</v>
      </c>
      <c r="AD288" s="98" t="str">
        <f t="shared" si="58"/>
        <v>0000000000</v>
      </c>
      <c r="AE288" s="151">
        <f t="shared" si="51"/>
        <v>0</v>
      </c>
      <c r="AF288" s="98" t="str">
        <f t="shared" si="52"/>
        <v>00</v>
      </c>
      <c r="AG288" s="98" t="str">
        <f t="shared" si="59"/>
        <v>000000000000</v>
      </c>
      <c r="AH288" s="161" t="str">
        <f t="shared" si="53"/>
        <v xml:space="preserve">                    </v>
      </c>
      <c r="AI288" s="154">
        <f t="shared" si="54"/>
        <v>0</v>
      </c>
      <c r="AJ288" s="155">
        <f t="shared" si="55"/>
        <v>0</v>
      </c>
      <c r="AP288" s="63" t="str">
        <f t="shared" si="56"/>
        <v/>
      </c>
      <c r="AQ288" s="63" t="str">
        <f t="shared" si="50"/>
        <v xml:space="preserve">                    </v>
      </c>
      <c r="AR288" s="63"/>
      <c r="AS288" s="63"/>
      <c r="AT288" s="63"/>
      <c r="AU288" s="63"/>
      <c r="AV288" s="63"/>
      <c r="AW288" s="63"/>
      <c r="AX288" s="63"/>
      <c r="AY288" s="63"/>
      <c r="AZ288" s="63"/>
      <c r="BA288" s="63"/>
      <c r="BB288" s="63"/>
      <c r="BC288" s="63"/>
      <c r="BD288" s="63"/>
      <c r="BE288" s="63"/>
      <c r="BF288" s="63"/>
      <c r="BG288" s="63"/>
      <c r="BH288" s="63"/>
      <c r="BI288" s="63"/>
      <c r="BJ288" s="63"/>
      <c r="BK288" s="63"/>
      <c r="BL288" s="63"/>
      <c r="BM288" s="63"/>
      <c r="BN288" s="63"/>
      <c r="BO288" s="63"/>
      <c r="BP288" s="63"/>
      <c r="BQ288" s="63"/>
      <c r="BR288" s="63"/>
      <c r="BS288" s="63"/>
      <c r="BT288" s="63"/>
      <c r="BU288" s="63"/>
      <c r="BV288" s="63"/>
      <c r="BW288" s="63"/>
    </row>
    <row r="289" spans="1:75" x14ac:dyDescent="0.2">
      <c r="A289" s="63" t="str">
        <f t="shared" si="57"/>
        <v/>
      </c>
      <c r="B289" s="182"/>
      <c r="C289" s="75"/>
      <c r="D289" s="75"/>
      <c r="E289" s="74"/>
      <c r="F289" s="181"/>
      <c r="G289" s="69"/>
      <c r="AB289" s="150">
        <f t="shared" si="48"/>
        <v>0</v>
      </c>
      <c r="AC289" s="150">
        <f t="shared" si="49"/>
        <v>0</v>
      </c>
      <c r="AD289" s="98" t="str">
        <f t="shared" si="58"/>
        <v>0000000000</v>
      </c>
      <c r="AE289" s="151">
        <f t="shared" si="51"/>
        <v>0</v>
      </c>
      <c r="AF289" s="98" t="str">
        <f t="shared" si="52"/>
        <v>00</v>
      </c>
      <c r="AG289" s="98" t="str">
        <f t="shared" si="59"/>
        <v>000000000000</v>
      </c>
      <c r="AH289" s="161" t="str">
        <f t="shared" si="53"/>
        <v xml:space="preserve">                    </v>
      </c>
      <c r="AI289" s="154">
        <f t="shared" si="54"/>
        <v>0</v>
      </c>
      <c r="AJ289" s="155">
        <f t="shared" si="55"/>
        <v>0</v>
      </c>
      <c r="AP289" s="63" t="str">
        <f t="shared" si="56"/>
        <v/>
      </c>
      <c r="AQ289" s="63" t="str">
        <f t="shared" si="50"/>
        <v xml:space="preserve">                    </v>
      </c>
      <c r="AR289" s="63"/>
      <c r="AS289" s="63"/>
      <c r="AT289" s="63"/>
      <c r="AU289" s="63"/>
      <c r="AV289" s="63"/>
      <c r="AW289" s="63"/>
      <c r="AX289" s="63"/>
      <c r="AY289" s="63"/>
      <c r="AZ289" s="63"/>
      <c r="BA289" s="63"/>
      <c r="BB289" s="63"/>
      <c r="BC289" s="63"/>
      <c r="BD289" s="63"/>
      <c r="BE289" s="63"/>
      <c r="BF289" s="63"/>
      <c r="BG289" s="63"/>
      <c r="BH289" s="63"/>
      <c r="BI289" s="63"/>
      <c r="BJ289" s="63"/>
      <c r="BK289" s="63"/>
      <c r="BL289" s="63"/>
      <c r="BM289" s="63"/>
      <c r="BN289" s="63"/>
      <c r="BO289" s="63"/>
      <c r="BP289" s="63"/>
      <c r="BQ289" s="63"/>
      <c r="BR289" s="63"/>
      <c r="BS289" s="63"/>
      <c r="BT289" s="63"/>
      <c r="BU289" s="63"/>
      <c r="BV289" s="63"/>
      <c r="BW289" s="63"/>
    </row>
    <row r="290" spans="1:75" x14ac:dyDescent="0.2">
      <c r="A290" s="63" t="str">
        <f t="shared" si="57"/>
        <v/>
      </c>
      <c r="B290" s="182"/>
      <c r="C290" s="75"/>
      <c r="D290" s="75"/>
      <c r="E290" s="74"/>
      <c r="F290" s="181"/>
      <c r="G290" s="69"/>
      <c r="AB290" s="150">
        <f t="shared" si="48"/>
        <v>0</v>
      </c>
      <c r="AC290" s="150">
        <f t="shared" si="49"/>
        <v>0</v>
      </c>
      <c r="AD290" s="98" t="str">
        <f t="shared" si="58"/>
        <v>0000000000</v>
      </c>
      <c r="AE290" s="151">
        <f t="shared" si="51"/>
        <v>0</v>
      </c>
      <c r="AF290" s="98" t="str">
        <f t="shared" si="52"/>
        <v>00</v>
      </c>
      <c r="AG290" s="98" t="str">
        <f t="shared" si="59"/>
        <v>000000000000</v>
      </c>
      <c r="AH290" s="161" t="str">
        <f t="shared" si="53"/>
        <v xml:space="preserve">                    </v>
      </c>
      <c r="AI290" s="154">
        <f t="shared" si="54"/>
        <v>0</v>
      </c>
      <c r="AJ290" s="155">
        <f t="shared" si="55"/>
        <v>0</v>
      </c>
      <c r="AP290" s="63" t="str">
        <f t="shared" si="56"/>
        <v/>
      </c>
      <c r="AQ290" s="63" t="str">
        <f t="shared" si="50"/>
        <v xml:space="preserve">                    </v>
      </c>
      <c r="AR290" s="63"/>
      <c r="AS290" s="63"/>
      <c r="AT290" s="63"/>
      <c r="AU290" s="63"/>
      <c r="AV290" s="63"/>
      <c r="AW290" s="63"/>
      <c r="AX290" s="63"/>
      <c r="AY290" s="63"/>
      <c r="AZ290" s="63"/>
      <c r="BA290" s="63"/>
      <c r="BB290" s="63"/>
      <c r="BC290" s="63"/>
      <c r="BD290" s="63"/>
      <c r="BE290" s="63"/>
      <c r="BF290" s="63"/>
      <c r="BG290" s="63"/>
      <c r="BH290" s="63"/>
      <c r="BI290" s="63"/>
      <c r="BJ290" s="63"/>
      <c r="BK290" s="63"/>
      <c r="BL290" s="63"/>
      <c r="BM290" s="63"/>
      <c r="BN290" s="63"/>
      <c r="BO290" s="63"/>
      <c r="BP290" s="63"/>
      <c r="BQ290" s="63"/>
      <c r="BR290" s="63"/>
      <c r="BS290" s="63"/>
      <c r="BT290" s="63"/>
      <c r="BU290" s="63"/>
      <c r="BV290" s="63"/>
      <c r="BW290" s="63"/>
    </row>
    <row r="291" spans="1:75" x14ac:dyDescent="0.2">
      <c r="A291" s="63" t="str">
        <f t="shared" si="57"/>
        <v/>
      </c>
      <c r="B291" s="182"/>
      <c r="C291" s="75"/>
      <c r="D291" s="75"/>
      <c r="E291" s="74"/>
      <c r="F291" s="181"/>
      <c r="G291" s="69"/>
      <c r="AB291" s="150">
        <f t="shared" si="48"/>
        <v>0</v>
      </c>
      <c r="AC291" s="150">
        <f t="shared" si="49"/>
        <v>0</v>
      </c>
      <c r="AD291" s="98" t="str">
        <f t="shared" si="58"/>
        <v>0000000000</v>
      </c>
      <c r="AE291" s="151">
        <f t="shared" si="51"/>
        <v>0</v>
      </c>
      <c r="AF291" s="98" t="str">
        <f t="shared" si="52"/>
        <v>00</v>
      </c>
      <c r="AG291" s="98" t="str">
        <f t="shared" si="59"/>
        <v>000000000000</v>
      </c>
      <c r="AH291" s="161" t="str">
        <f t="shared" si="53"/>
        <v xml:space="preserve">                    </v>
      </c>
      <c r="AI291" s="154">
        <f t="shared" si="54"/>
        <v>0</v>
      </c>
      <c r="AJ291" s="155">
        <f t="shared" si="55"/>
        <v>0</v>
      </c>
      <c r="AP291" s="63" t="str">
        <f t="shared" si="56"/>
        <v/>
      </c>
      <c r="AQ291" s="63" t="str">
        <f t="shared" si="50"/>
        <v xml:space="preserve">                    </v>
      </c>
      <c r="AR291" s="63"/>
      <c r="AS291" s="63"/>
      <c r="AT291" s="63"/>
      <c r="AU291" s="63"/>
      <c r="AV291" s="63"/>
      <c r="AW291" s="63"/>
      <c r="AX291" s="63"/>
      <c r="AY291" s="63"/>
      <c r="AZ291" s="63"/>
      <c r="BA291" s="63"/>
      <c r="BB291" s="63"/>
      <c r="BC291" s="63"/>
      <c r="BD291" s="63"/>
      <c r="BE291" s="63"/>
      <c r="BF291" s="63"/>
      <c r="BG291" s="63"/>
      <c r="BH291" s="63"/>
      <c r="BI291" s="63"/>
      <c r="BJ291" s="63"/>
      <c r="BK291" s="63"/>
      <c r="BL291" s="63"/>
      <c r="BM291" s="63"/>
      <c r="BN291" s="63"/>
      <c r="BO291" s="63"/>
      <c r="BP291" s="63"/>
      <c r="BQ291" s="63"/>
      <c r="BR291" s="63"/>
      <c r="BS291" s="63"/>
      <c r="BT291" s="63"/>
      <c r="BU291" s="63"/>
      <c r="BV291" s="63"/>
      <c r="BW291" s="63"/>
    </row>
    <row r="292" spans="1:75" x14ac:dyDescent="0.2">
      <c r="A292" s="63" t="str">
        <f t="shared" si="57"/>
        <v/>
      </c>
      <c r="B292" s="182"/>
      <c r="C292" s="75"/>
      <c r="D292" s="75"/>
      <c r="E292" s="74"/>
      <c r="F292" s="181"/>
      <c r="G292" s="69"/>
      <c r="AB292" s="150">
        <f t="shared" si="48"/>
        <v>0</v>
      </c>
      <c r="AC292" s="150">
        <f t="shared" si="49"/>
        <v>0</v>
      </c>
      <c r="AD292" s="98" t="str">
        <f t="shared" si="58"/>
        <v>0000000000</v>
      </c>
      <c r="AE292" s="151">
        <f t="shared" si="51"/>
        <v>0</v>
      </c>
      <c r="AF292" s="98" t="str">
        <f t="shared" si="52"/>
        <v>00</v>
      </c>
      <c r="AG292" s="98" t="str">
        <f t="shared" si="59"/>
        <v>000000000000</v>
      </c>
      <c r="AH292" s="161" t="str">
        <f t="shared" si="53"/>
        <v xml:space="preserve">                    </v>
      </c>
      <c r="AI292" s="154">
        <f t="shared" si="54"/>
        <v>0</v>
      </c>
      <c r="AJ292" s="155">
        <f t="shared" si="55"/>
        <v>0</v>
      </c>
      <c r="AP292" s="63" t="str">
        <f t="shared" si="56"/>
        <v/>
      </c>
      <c r="AQ292" s="63" t="str">
        <f t="shared" si="50"/>
        <v xml:space="preserve">                    </v>
      </c>
      <c r="AR292" s="63"/>
      <c r="AS292" s="63"/>
      <c r="AT292" s="63"/>
      <c r="AU292" s="63"/>
      <c r="AV292" s="63"/>
      <c r="AW292" s="63"/>
      <c r="AX292" s="63"/>
      <c r="AY292" s="63"/>
      <c r="AZ292" s="63"/>
      <c r="BA292" s="63"/>
      <c r="BB292" s="63"/>
      <c r="BC292" s="63"/>
      <c r="BD292" s="63"/>
      <c r="BE292" s="63"/>
      <c r="BF292" s="63"/>
      <c r="BG292" s="63"/>
      <c r="BH292" s="63"/>
      <c r="BI292" s="63"/>
      <c r="BJ292" s="63"/>
      <c r="BK292" s="63"/>
      <c r="BL292" s="63"/>
      <c r="BM292" s="63"/>
      <c r="BN292" s="63"/>
      <c r="BO292" s="63"/>
      <c r="BP292" s="63"/>
      <c r="BQ292" s="63"/>
      <c r="BR292" s="63"/>
      <c r="BS292" s="63"/>
      <c r="BT292" s="63"/>
      <c r="BU292" s="63"/>
      <c r="BV292" s="63"/>
      <c r="BW292" s="63"/>
    </row>
    <row r="293" spans="1:75" x14ac:dyDescent="0.2">
      <c r="A293" s="63" t="str">
        <f t="shared" si="57"/>
        <v/>
      </c>
      <c r="B293" s="182"/>
      <c r="C293" s="75"/>
      <c r="D293" s="75"/>
      <c r="E293" s="74"/>
      <c r="F293" s="181"/>
      <c r="G293" s="69"/>
      <c r="AB293" s="150">
        <f t="shared" si="48"/>
        <v>0</v>
      </c>
      <c r="AC293" s="150">
        <f t="shared" si="49"/>
        <v>0</v>
      </c>
      <c r="AD293" s="98" t="str">
        <f t="shared" si="58"/>
        <v>0000000000</v>
      </c>
      <c r="AE293" s="151">
        <f t="shared" si="51"/>
        <v>0</v>
      </c>
      <c r="AF293" s="98" t="str">
        <f t="shared" si="52"/>
        <v>00</v>
      </c>
      <c r="AG293" s="98" t="str">
        <f t="shared" si="59"/>
        <v>000000000000</v>
      </c>
      <c r="AH293" s="161" t="str">
        <f t="shared" si="53"/>
        <v xml:space="preserve">                    </v>
      </c>
      <c r="AI293" s="154">
        <f t="shared" si="54"/>
        <v>0</v>
      </c>
      <c r="AJ293" s="155">
        <f t="shared" si="55"/>
        <v>0</v>
      </c>
      <c r="AP293" s="63" t="str">
        <f t="shared" si="56"/>
        <v/>
      </c>
      <c r="AQ293" s="63" t="str">
        <f t="shared" si="50"/>
        <v xml:space="preserve">                    </v>
      </c>
      <c r="AR293" s="63"/>
      <c r="AS293" s="63"/>
      <c r="AT293" s="63"/>
      <c r="AU293" s="63"/>
      <c r="AV293" s="63"/>
      <c r="AW293" s="63"/>
      <c r="AX293" s="63"/>
      <c r="AY293" s="63"/>
      <c r="AZ293" s="63"/>
      <c r="BA293" s="63"/>
      <c r="BB293" s="63"/>
      <c r="BC293" s="63"/>
      <c r="BD293" s="63"/>
      <c r="BE293" s="63"/>
      <c r="BF293" s="63"/>
      <c r="BG293" s="63"/>
      <c r="BH293" s="63"/>
      <c r="BI293" s="63"/>
      <c r="BJ293" s="63"/>
      <c r="BK293" s="63"/>
      <c r="BL293" s="63"/>
      <c r="BM293" s="63"/>
      <c r="BN293" s="63"/>
      <c r="BO293" s="63"/>
      <c r="BP293" s="63"/>
      <c r="BQ293" s="63"/>
      <c r="BR293" s="63"/>
      <c r="BS293" s="63"/>
      <c r="BT293" s="63"/>
      <c r="BU293" s="63"/>
      <c r="BV293" s="63"/>
      <c r="BW293" s="63"/>
    </row>
    <row r="294" spans="1:75" x14ac:dyDescent="0.2">
      <c r="A294" s="63" t="str">
        <f t="shared" si="57"/>
        <v/>
      </c>
      <c r="B294" s="182"/>
      <c r="C294" s="75"/>
      <c r="D294" s="75"/>
      <c r="E294" s="74"/>
      <c r="F294" s="181"/>
      <c r="G294" s="69"/>
      <c r="AB294" s="150">
        <f t="shared" si="48"/>
        <v>0</v>
      </c>
      <c r="AC294" s="150">
        <f t="shared" si="49"/>
        <v>0</v>
      </c>
      <c r="AD294" s="98" t="str">
        <f t="shared" si="58"/>
        <v>0000000000</v>
      </c>
      <c r="AE294" s="151">
        <f t="shared" si="51"/>
        <v>0</v>
      </c>
      <c r="AF294" s="98" t="str">
        <f t="shared" si="52"/>
        <v>00</v>
      </c>
      <c r="AG294" s="98" t="str">
        <f t="shared" si="59"/>
        <v>000000000000</v>
      </c>
      <c r="AH294" s="161" t="str">
        <f t="shared" si="53"/>
        <v xml:space="preserve">                    </v>
      </c>
      <c r="AI294" s="154">
        <f t="shared" si="54"/>
        <v>0</v>
      </c>
      <c r="AJ294" s="155">
        <f t="shared" si="55"/>
        <v>0</v>
      </c>
      <c r="AP294" s="63" t="str">
        <f t="shared" si="56"/>
        <v/>
      </c>
      <c r="AQ294" s="63" t="str">
        <f t="shared" si="50"/>
        <v xml:space="preserve">                    </v>
      </c>
      <c r="AR294" s="63"/>
      <c r="AS294" s="63"/>
      <c r="AT294" s="63"/>
      <c r="AU294" s="63"/>
      <c r="AV294" s="63"/>
      <c r="AW294" s="63"/>
      <c r="AX294" s="63"/>
      <c r="AY294" s="63"/>
      <c r="AZ294" s="63"/>
      <c r="BA294" s="63"/>
      <c r="BB294" s="63"/>
      <c r="BC294" s="63"/>
      <c r="BD294" s="63"/>
      <c r="BE294" s="63"/>
      <c r="BF294" s="63"/>
      <c r="BG294" s="63"/>
      <c r="BH294" s="63"/>
      <c r="BI294" s="63"/>
      <c r="BJ294" s="63"/>
      <c r="BK294" s="63"/>
      <c r="BL294" s="63"/>
      <c r="BM294" s="63"/>
      <c r="BN294" s="63"/>
      <c r="BO294" s="63"/>
      <c r="BP294" s="63"/>
      <c r="BQ294" s="63"/>
      <c r="BR294" s="63"/>
      <c r="BS294" s="63"/>
      <c r="BT294" s="63"/>
      <c r="BU294" s="63"/>
      <c r="BV294" s="63"/>
      <c r="BW294" s="63"/>
    </row>
    <row r="295" spans="1:75" x14ac:dyDescent="0.2">
      <c r="A295" s="63" t="str">
        <f t="shared" si="57"/>
        <v/>
      </c>
      <c r="B295" s="182"/>
      <c r="C295" s="75"/>
      <c r="D295" s="75"/>
      <c r="E295" s="74"/>
      <c r="F295" s="181"/>
      <c r="G295" s="69"/>
      <c r="AB295" s="150">
        <f t="shared" si="48"/>
        <v>0</v>
      </c>
      <c r="AC295" s="150">
        <f t="shared" si="49"/>
        <v>0</v>
      </c>
      <c r="AD295" s="98" t="str">
        <f t="shared" si="58"/>
        <v>0000000000</v>
      </c>
      <c r="AE295" s="151">
        <f t="shared" si="51"/>
        <v>0</v>
      </c>
      <c r="AF295" s="98" t="str">
        <f t="shared" si="52"/>
        <v>00</v>
      </c>
      <c r="AG295" s="98" t="str">
        <f t="shared" si="59"/>
        <v>000000000000</v>
      </c>
      <c r="AH295" s="161" t="str">
        <f t="shared" si="53"/>
        <v xml:space="preserve">                    </v>
      </c>
      <c r="AI295" s="154">
        <f t="shared" si="54"/>
        <v>0</v>
      </c>
      <c r="AJ295" s="155">
        <f t="shared" si="55"/>
        <v>0</v>
      </c>
      <c r="AP295" s="63" t="str">
        <f t="shared" si="56"/>
        <v/>
      </c>
      <c r="AQ295" s="63" t="str">
        <f t="shared" si="50"/>
        <v xml:space="preserve">                    </v>
      </c>
      <c r="AR295" s="63"/>
      <c r="AS295" s="63"/>
      <c r="AT295" s="63"/>
      <c r="AU295" s="63"/>
      <c r="AV295" s="63"/>
      <c r="AW295" s="63"/>
      <c r="AX295" s="63"/>
      <c r="AY295" s="63"/>
      <c r="AZ295" s="63"/>
      <c r="BA295" s="63"/>
      <c r="BB295" s="63"/>
      <c r="BC295" s="63"/>
      <c r="BD295" s="63"/>
      <c r="BE295" s="63"/>
      <c r="BF295" s="63"/>
      <c r="BG295" s="63"/>
      <c r="BH295" s="63"/>
      <c r="BI295" s="63"/>
      <c r="BJ295" s="63"/>
      <c r="BK295" s="63"/>
      <c r="BL295" s="63"/>
      <c r="BM295" s="63"/>
      <c r="BN295" s="63"/>
      <c r="BO295" s="63"/>
      <c r="BP295" s="63"/>
      <c r="BQ295" s="63"/>
      <c r="BR295" s="63"/>
      <c r="BS295" s="63"/>
      <c r="BT295" s="63"/>
      <c r="BU295" s="63"/>
      <c r="BV295" s="63"/>
      <c r="BW295" s="63"/>
    </row>
    <row r="296" spans="1:75" x14ac:dyDescent="0.2">
      <c r="A296" s="63" t="str">
        <f t="shared" si="57"/>
        <v/>
      </c>
      <c r="B296" s="182"/>
      <c r="C296" s="75"/>
      <c r="D296" s="75"/>
      <c r="E296" s="74"/>
      <c r="F296" s="181"/>
      <c r="G296" s="69"/>
      <c r="AB296" s="150">
        <f t="shared" si="48"/>
        <v>0</v>
      </c>
      <c r="AC296" s="150">
        <f t="shared" si="49"/>
        <v>0</v>
      </c>
      <c r="AD296" s="98" t="str">
        <f t="shared" si="58"/>
        <v>0000000000</v>
      </c>
      <c r="AE296" s="151">
        <f t="shared" si="51"/>
        <v>0</v>
      </c>
      <c r="AF296" s="98" t="str">
        <f t="shared" si="52"/>
        <v>00</v>
      </c>
      <c r="AG296" s="98" t="str">
        <f t="shared" si="59"/>
        <v>000000000000</v>
      </c>
      <c r="AH296" s="161" t="str">
        <f t="shared" si="53"/>
        <v xml:space="preserve">                    </v>
      </c>
      <c r="AI296" s="154">
        <f t="shared" si="54"/>
        <v>0</v>
      </c>
      <c r="AJ296" s="155">
        <f t="shared" si="55"/>
        <v>0</v>
      </c>
      <c r="AP296" s="63" t="str">
        <f t="shared" si="56"/>
        <v/>
      </c>
      <c r="AQ296" s="63" t="str">
        <f t="shared" si="50"/>
        <v xml:space="preserve">                    </v>
      </c>
      <c r="AR296" s="63"/>
      <c r="AS296" s="63"/>
      <c r="AT296" s="63"/>
      <c r="AU296" s="63"/>
      <c r="AV296" s="63"/>
      <c r="AW296" s="63"/>
      <c r="AX296" s="63"/>
      <c r="AY296" s="63"/>
      <c r="AZ296" s="63"/>
      <c r="BA296" s="63"/>
      <c r="BB296" s="63"/>
      <c r="BC296" s="63"/>
      <c r="BD296" s="63"/>
      <c r="BE296" s="63"/>
      <c r="BF296" s="63"/>
      <c r="BG296" s="63"/>
      <c r="BH296" s="63"/>
      <c r="BI296" s="63"/>
      <c r="BJ296" s="63"/>
      <c r="BK296" s="63"/>
      <c r="BL296" s="63"/>
      <c r="BM296" s="63"/>
      <c r="BN296" s="63"/>
      <c r="BO296" s="63"/>
      <c r="BP296" s="63"/>
      <c r="BQ296" s="63"/>
      <c r="BR296" s="63"/>
      <c r="BS296" s="63"/>
      <c r="BT296" s="63"/>
      <c r="BU296" s="63"/>
      <c r="BV296" s="63"/>
      <c r="BW296" s="63"/>
    </row>
    <row r="297" spans="1:75" x14ac:dyDescent="0.2">
      <c r="A297" s="63" t="str">
        <f t="shared" si="57"/>
        <v/>
      </c>
      <c r="B297" s="182"/>
      <c r="C297" s="75"/>
      <c r="D297" s="75"/>
      <c r="E297" s="74"/>
      <c r="F297" s="181"/>
      <c r="G297" s="69"/>
      <c r="AB297" s="150">
        <f t="shared" si="48"/>
        <v>0</v>
      </c>
      <c r="AC297" s="150">
        <f t="shared" si="49"/>
        <v>0</v>
      </c>
      <c r="AD297" s="98" t="str">
        <f t="shared" si="58"/>
        <v>0000000000</v>
      </c>
      <c r="AE297" s="151">
        <f t="shared" si="51"/>
        <v>0</v>
      </c>
      <c r="AF297" s="98" t="str">
        <f t="shared" si="52"/>
        <v>00</v>
      </c>
      <c r="AG297" s="98" t="str">
        <f t="shared" si="59"/>
        <v>000000000000</v>
      </c>
      <c r="AH297" s="161" t="str">
        <f t="shared" si="53"/>
        <v xml:space="preserve">                    </v>
      </c>
      <c r="AI297" s="154">
        <f t="shared" si="54"/>
        <v>0</v>
      </c>
      <c r="AJ297" s="155">
        <f t="shared" si="55"/>
        <v>0</v>
      </c>
      <c r="AP297" s="63" t="str">
        <f t="shared" si="56"/>
        <v/>
      </c>
      <c r="AQ297" s="63" t="str">
        <f t="shared" si="50"/>
        <v xml:space="preserve">                    </v>
      </c>
      <c r="AR297" s="63"/>
      <c r="AS297" s="63"/>
      <c r="AT297" s="63"/>
      <c r="AU297" s="63"/>
      <c r="AV297" s="63"/>
      <c r="AW297" s="63"/>
      <c r="AX297" s="63"/>
      <c r="AY297" s="63"/>
      <c r="AZ297" s="63"/>
      <c r="BA297" s="63"/>
      <c r="BB297" s="63"/>
      <c r="BC297" s="63"/>
      <c r="BD297" s="63"/>
      <c r="BE297" s="63"/>
      <c r="BF297" s="63"/>
      <c r="BG297" s="63"/>
      <c r="BH297" s="63"/>
      <c r="BI297" s="63"/>
      <c r="BJ297" s="63"/>
      <c r="BK297" s="63"/>
      <c r="BL297" s="63"/>
      <c r="BM297" s="63"/>
      <c r="BN297" s="63"/>
      <c r="BO297" s="63"/>
      <c r="BP297" s="63"/>
      <c r="BQ297" s="63"/>
      <c r="BR297" s="63"/>
      <c r="BS297" s="63"/>
      <c r="BT297" s="63"/>
      <c r="BU297" s="63"/>
      <c r="BV297" s="63"/>
      <c r="BW297" s="63"/>
    </row>
    <row r="298" spans="1:75" x14ac:dyDescent="0.2">
      <c r="A298" s="63" t="str">
        <f t="shared" si="57"/>
        <v/>
      </c>
      <c r="B298" s="182"/>
      <c r="C298" s="75"/>
      <c r="D298" s="75"/>
      <c r="E298" s="74"/>
      <c r="F298" s="181"/>
      <c r="G298" s="69"/>
      <c r="AB298" s="150">
        <f t="shared" si="48"/>
        <v>0</v>
      </c>
      <c r="AC298" s="150">
        <f t="shared" si="49"/>
        <v>0</v>
      </c>
      <c r="AD298" s="98" t="str">
        <f t="shared" si="58"/>
        <v>0000000000</v>
      </c>
      <c r="AE298" s="151">
        <f t="shared" si="51"/>
        <v>0</v>
      </c>
      <c r="AF298" s="98" t="str">
        <f t="shared" si="52"/>
        <v>00</v>
      </c>
      <c r="AG298" s="98" t="str">
        <f t="shared" si="59"/>
        <v>000000000000</v>
      </c>
      <c r="AH298" s="161" t="str">
        <f t="shared" si="53"/>
        <v xml:space="preserve">                    </v>
      </c>
      <c r="AI298" s="154">
        <f t="shared" si="54"/>
        <v>0</v>
      </c>
      <c r="AJ298" s="155">
        <f t="shared" si="55"/>
        <v>0</v>
      </c>
      <c r="AP298" s="63" t="str">
        <f t="shared" si="56"/>
        <v/>
      </c>
      <c r="AQ298" s="63" t="str">
        <f t="shared" si="50"/>
        <v xml:space="preserve">                    </v>
      </c>
      <c r="AR298" s="63"/>
      <c r="AS298" s="63"/>
      <c r="AT298" s="63"/>
      <c r="AU298" s="63"/>
      <c r="AV298" s="63"/>
      <c r="AW298" s="63"/>
      <c r="AX298" s="63"/>
      <c r="AY298" s="63"/>
      <c r="AZ298" s="63"/>
      <c r="BA298" s="63"/>
      <c r="BB298" s="63"/>
      <c r="BC298" s="63"/>
      <c r="BD298" s="63"/>
      <c r="BE298" s="63"/>
      <c r="BF298" s="63"/>
      <c r="BG298" s="63"/>
      <c r="BH298" s="63"/>
      <c r="BI298" s="63"/>
      <c r="BJ298" s="63"/>
      <c r="BK298" s="63"/>
      <c r="BL298" s="63"/>
      <c r="BM298" s="63"/>
      <c r="BN298" s="63"/>
      <c r="BO298" s="63"/>
      <c r="BP298" s="63"/>
      <c r="BQ298" s="63"/>
      <c r="BR298" s="63"/>
      <c r="BS298" s="63"/>
      <c r="BT298" s="63"/>
      <c r="BU298" s="63"/>
      <c r="BV298" s="63"/>
      <c r="BW298" s="63"/>
    </row>
    <row r="299" spans="1:75" x14ac:dyDescent="0.2">
      <c r="A299" s="63" t="str">
        <f t="shared" si="57"/>
        <v/>
      </c>
      <c r="B299" s="182"/>
      <c r="C299" s="75"/>
      <c r="D299" s="75"/>
      <c r="E299" s="74"/>
      <c r="F299" s="181"/>
      <c r="G299" s="69"/>
      <c r="AB299" s="150">
        <f t="shared" si="48"/>
        <v>0</v>
      </c>
      <c r="AC299" s="150">
        <f t="shared" si="49"/>
        <v>0</v>
      </c>
      <c r="AD299" s="98" t="str">
        <f t="shared" si="58"/>
        <v>0000000000</v>
      </c>
      <c r="AE299" s="151">
        <f t="shared" si="51"/>
        <v>0</v>
      </c>
      <c r="AF299" s="98" t="str">
        <f t="shared" si="52"/>
        <v>00</v>
      </c>
      <c r="AG299" s="98" t="str">
        <f t="shared" si="59"/>
        <v>000000000000</v>
      </c>
      <c r="AH299" s="161" t="str">
        <f t="shared" si="53"/>
        <v xml:space="preserve">                    </v>
      </c>
      <c r="AI299" s="154">
        <f t="shared" si="54"/>
        <v>0</v>
      </c>
      <c r="AJ299" s="155">
        <f t="shared" si="55"/>
        <v>0</v>
      </c>
      <c r="AP299" s="63" t="str">
        <f t="shared" si="56"/>
        <v/>
      </c>
      <c r="AQ299" s="63" t="str">
        <f t="shared" si="50"/>
        <v xml:space="preserve">                    </v>
      </c>
      <c r="AR299" s="63"/>
      <c r="AS299" s="63"/>
      <c r="AT299" s="63"/>
      <c r="AU299" s="63"/>
      <c r="AV299" s="63"/>
      <c r="AW299" s="63"/>
      <c r="AX299" s="63"/>
      <c r="AY299" s="63"/>
      <c r="AZ299" s="63"/>
      <c r="BA299" s="63"/>
      <c r="BB299" s="63"/>
      <c r="BC299" s="63"/>
      <c r="BD299" s="63"/>
      <c r="BE299" s="63"/>
      <c r="BF299" s="63"/>
      <c r="BG299" s="63"/>
      <c r="BH299" s="63"/>
      <c r="BI299" s="63"/>
      <c r="BJ299" s="63"/>
      <c r="BK299" s="63"/>
      <c r="BL299" s="63"/>
      <c r="BM299" s="63"/>
      <c r="BN299" s="63"/>
      <c r="BO299" s="63"/>
      <c r="BP299" s="63"/>
      <c r="BQ299" s="63"/>
      <c r="BR299" s="63"/>
      <c r="BS299" s="63"/>
      <c r="BT299" s="63"/>
      <c r="BU299" s="63"/>
      <c r="BV299" s="63"/>
      <c r="BW299" s="63"/>
    </row>
    <row r="300" spans="1:75" x14ac:dyDescent="0.2">
      <c r="A300" s="63" t="str">
        <f t="shared" si="57"/>
        <v/>
      </c>
      <c r="B300" s="182"/>
      <c r="C300" s="75"/>
      <c r="D300" s="75"/>
      <c r="E300" s="74"/>
      <c r="F300" s="181"/>
      <c r="G300" s="69"/>
      <c r="AB300" s="150">
        <f t="shared" si="48"/>
        <v>0</v>
      </c>
      <c r="AC300" s="150">
        <f t="shared" si="49"/>
        <v>0</v>
      </c>
      <c r="AD300" s="98" t="str">
        <f t="shared" si="58"/>
        <v>0000000000</v>
      </c>
      <c r="AE300" s="151">
        <f t="shared" si="51"/>
        <v>0</v>
      </c>
      <c r="AF300" s="98" t="str">
        <f t="shared" si="52"/>
        <v>00</v>
      </c>
      <c r="AG300" s="98" t="str">
        <f t="shared" si="59"/>
        <v>000000000000</v>
      </c>
      <c r="AH300" s="161" t="str">
        <f t="shared" si="53"/>
        <v xml:space="preserve">                    </v>
      </c>
      <c r="AI300" s="154">
        <f t="shared" si="54"/>
        <v>0</v>
      </c>
      <c r="AJ300" s="155">
        <f t="shared" si="55"/>
        <v>0</v>
      </c>
      <c r="AP300" s="63" t="str">
        <f t="shared" si="56"/>
        <v/>
      </c>
      <c r="AQ300" s="63" t="str">
        <f t="shared" si="50"/>
        <v xml:space="preserve">                    </v>
      </c>
      <c r="AR300" s="63"/>
      <c r="AS300" s="63"/>
      <c r="AT300" s="63"/>
      <c r="AU300" s="63"/>
      <c r="AV300" s="63"/>
      <c r="AW300" s="63"/>
      <c r="AX300" s="63"/>
      <c r="AY300" s="63"/>
      <c r="AZ300" s="63"/>
      <c r="BA300" s="63"/>
      <c r="BB300" s="63"/>
      <c r="BC300" s="63"/>
      <c r="BD300" s="63"/>
      <c r="BE300" s="63"/>
      <c r="BF300" s="63"/>
      <c r="BG300" s="63"/>
      <c r="BH300" s="63"/>
      <c r="BI300" s="63"/>
      <c r="BJ300" s="63"/>
      <c r="BK300" s="63"/>
      <c r="BL300" s="63"/>
      <c r="BM300" s="63"/>
      <c r="BN300" s="63"/>
      <c r="BO300" s="63"/>
      <c r="BP300" s="63"/>
      <c r="BQ300" s="63"/>
      <c r="BR300" s="63"/>
      <c r="BS300" s="63"/>
      <c r="BT300" s="63"/>
      <c r="BU300" s="63"/>
      <c r="BV300" s="63"/>
      <c r="BW300" s="63"/>
    </row>
    <row r="301" spans="1:75" x14ac:dyDescent="0.2">
      <c r="A301" s="63" t="str">
        <f t="shared" si="57"/>
        <v/>
      </c>
      <c r="B301" s="182"/>
      <c r="C301" s="75"/>
      <c r="D301" s="75"/>
      <c r="E301" s="74"/>
      <c r="F301" s="181"/>
      <c r="G301" s="69"/>
      <c r="AB301" s="150">
        <f t="shared" si="48"/>
        <v>0</v>
      </c>
      <c r="AC301" s="150">
        <f t="shared" si="49"/>
        <v>0</v>
      </c>
      <c r="AD301" s="98" t="str">
        <f t="shared" si="58"/>
        <v>0000000000</v>
      </c>
      <c r="AE301" s="151">
        <f t="shared" si="51"/>
        <v>0</v>
      </c>
      <c r="AF301" s="98" t="str">
        <f t="shared" si="52"/>
        <v>00</v>
      </c>
      <c r="AG301" s="98" t="str">
        <f t="shared" si="59"/>
        <v>000000000000</v>
      </c>
      <c r="AH301" s="161" t="str">
        <f t="shared" si="53"/>
        <v xml:space="preserve">                    </v>
      </c>
      <c r="AI301" s="154">
        <f t="shared" si="54"/>
        <v>0</v>
      </c>
      <c r="AJ301" s="155">
        <f t="shared" si="55"/>
        <v>0</v>
      </c>
      <c r="AP301" s="63" t="str">
        <f t="shared" si="56"/>
        <v/>
      </c>
      <c r="AQ301" s="63" t="str">
        <f t="shared" si="50"/>
        <v xml:space="preserve">                    </v>
      </c>
      <c r="AR301" s="63"/>
      <c r="AS301" s="63"/>
      <c r="AT301" s="63"/>
      <c r="AU301" s="63"/>
      <c r="AV301" s="63"/>
      <c r="AW301" s="63"/>
      <c r="AX301" s="63"/>
      <c r="AY301" s="63"/>
      <c r="AZ301" s="63"/>
      <c r="BA301" s="63"/>
      <c r="BB301" s="63"/>
      <c r="BC301" s="63"/>
      <c r="BD301" s="63"/>
      <c r="BE301" s="63"/>
      <c r="BF301" s="63"/>
      <c r="BG301" s="63"/>
      <c r="BH301" s="63"/>
      <c r="BI301" s="63"/>
      <c r="BJ301" s="63"/>
      <c r="BK301" s="63"/>
      <c r="BL301" s="63"/>
      <c r="BM301" s="63"/>
      <c r="BN301" s="63"/>
      <c r="BO301" s="63"/>
      <c r="BP301" s="63"/>
      <c r="BQ301" s="63"/>
      <c r="BR301" s="63"/>
      <c r="BS301" s="63"/>
      <c r="BT301" s="63"/>
      <c r="BU301" s="63"/>
      <c r="BV301" s="63"/>
      <c r="BW301" s="63"/>
    </row>
    <row r="302" spans="1:75" x14ac:dyDescent="0.2">
      <c r="A302" s="63" t="str">
        <f t="shared" si="57"/>
        <v/>
      </c>
      <c r="B302" s="182"/>
      <c r="C302" s="75"/>
      <c r="D302" s="75"/>
      <c r="E302" s="74"/>
      <c r="F302" s="181"/>
      <c r="G302" s="69"/>
      <c r="AB302" s="150">
        <f t="shared" si="48"/>
        <v>0</v>
      </c>
      <c r="AC302" s="150">
        <f t="shared" si="49"/>
        <v>0</v>
      </c>
      <c r="AD302" s="98" t="str">
        <f t="shared" si="58"/>
        <v>0000000000</v>
      </c>
      <c r="AE302" s="151">
        <f t="shared" si="51"/>
        <v>0</v>
      </c>
      <c r="AF302" s="98" t="str">
        <f t="shared" si="52"/>
        <v>00</v>
      </c>
      <c r="AG302" s="98" t="str">
        <f t="shared" si="59"/>
        <v>000000000000</v>
      </c>
      <c r="AH302" s="161" t="str">
        <f t="shared" si="53"/>
        <v xml:space="preserve">                    </v>
      </c>
      <c r="AI302" s="154">
        <f t="shared" si="54"/>
        <v>0</v>
      </c>
      <c r="AJ302" s="155">
        <f t="shared" si="55"/>
        <v>0</v>
      </c>
      <c r="AP302" s="63" t="str">
        <f t="shared" si="56"/>
        <v/>
      </c>
      <c r="AQ302" s="63" t="str">
        <f t="shared" si="50"/>
        <v xml:space="preserve">                    </v>
      </c>
      <c r="AR302" s="63"/>
      <c r="AS302" s="63"/>
      <c r="AT302" s="63"/>
      <c r="AU302" s="63"/>
      <c r="AV302" s="63"/>
      <c r="AW302" s="63"/>
      <c r="AX302" s="63"/>
      <c r="AY302" s="63"/>
      <c r="AZ302" s="63"/>
      <c r="BA302" s="63"/>
      <c r="BB302" s="63"/>
      <c r="BC302" s="63"/>
      <c r="BD302" s="63"/>
      <c r="BE302" s="63"/>
      <c r="BF302" s="63"/>
      <c r="BG302" s="63"/>
      <c r="BH302" s="63"/>
      <c r="BI302" s="63"/>
      <c r="BJ302" s="63"/>
      <c r="BK302" s="63"/>
      <c r="BL302" s="63"/>
      <c r="BM302" s="63"/>
      <c r="BN302" s="63"/>
      <c r="BO302" s="63"/>
      <c r="BP302" s="63"/>
      <c r="BQ302" s="63"/>
      <c r="BR302" s="63"/>
      <c r="BS302" s="63"/>
      <c r="BT302" s="63"/>
      <c r="BU302" s="63"/>
      <c r="BV302" s="63"/>
      <c r="BW302" s="63"/>
    </row>
    <row r="303" spans="1:75" x14ac:dyDescent="0.2">
      <c r="A303" s="63" t="str">
        <f t="shared" si="57"/>
        <v/>
      </c>
      <c r="B303" s="182"/>
      <c r="C303" s="75"/>
      <c r="D303" s="75"/>
      <c r="E303" s="74"/>
      <c r="F303" s="181"/>
      <c r="G303" s="69"/>
      <c r="AB303" s="150">
        <f t="shared" si="48"/>
        <v>0</v>
      </c>
      <c r="AC303" s="150">
        <f t="shared" si="49"/>
        <v>0</v>
      </c>
      <c r="AD303" s="98" t="str">
        <f t="shared" si="58"/>
        <v>0000000000</v>
      </c>
      <c r="AE303" s="151">
        <f t="shared" si="51"/>
        <v>0</v>
      </c>
      <c r="AF303" s="98" t="str">
        <f t="shared" si="52"/>
        <v>00</v>
      </c>
      <c r="AG303" s="98" t="str">
        <f t="shared" si="59"/>
        <v>000000000000</v>
      </c>
      <c r="AH303" s="161" t="str">
        <f t="shared" si="53"/>
        <v xml:space="preserve">                    </v>
      </c>
      <c r="AI303" s="154">
        <f t="shared" si="54"/>
        <v>0</v>
      </c>
      <c r="AJ303" s="155">
        <f t="shared" si="55"/>
        <v>0</v>
      </c>
      <c r="AP303" s="63" t="str">
        <f t="shared" si="56"/>
        <v/>
      </c>
      <c r="AQ303" s="63" t="str">
        <f t="shared" si="50"/>
        <v xml:space="preserve">                    </v>
      </c>
      <c r="AR303" s="63"/>
      <c r="AS303" s="63"/>
      <c r="AT303" s="63"/>
      <c r="AU303" s="63"/>
      <c r="AV303" s="63"/>
      <c r="AW303" s="63"/>
      <c r="AX303" s="63"/>
      <c r="AY303" s="63"/>
      <c r="AZ303" s="63"/>
      <c r="BA303" s="63"/>
      <c r="BB303" s="63"/>
      <c r="BC303" s="63"/>
      <c r="BD303" s="63"/>
      <c r="BE303" s="63"/>
      <c r="BF303" s="63"/>
      <c r="BG303" s="63"/>
      <c r="BH303" s="63"/>
      <c r="BI303" s="63"/>
      <c r="BJ303" s="63"/>
      <c r="BK303" s="63"/>
      <c r="BL303" s="63"/>
      <c r="BM303" s="63"/>
      <c r="BN303" s="63"/>
      <c r="BO303" s="63"/>
      <c r="BP303" s="63"/>
      <c r="BQ303" s="63"/>
      <c r="BR303" s="63"/>
      <c r="BS303" s="63"/>
      <c r="BT303" s="63"/>
      <c r="BU303" s="63"/>
      <c r="BV303" s="63"/>
      <c r="BW303" s="63"/>
    </row>
    <row r="304" spans="1:75" x14ac:dyDescent="0.2">
      <c r="A304" s="63" t="str">
        <f t="shared" si="57"/>
        <v/>
      </c>
      <c r="B304" s="182"/>
      <c r="C304" s="75"/>
      <c r="D304" s="75"/>
      <c r="E304" s="74"/>
      <c r="F304" s="181"/>
      <c r="G304" s="69"/>
      <c r="AB304" s="150">
        <f t="shared" si="48"/>
        <v>0</v>
      </c>
      <c r="AC304" s="150">
        <f t="shared" si="49"/>
        <v>0</v>
      </c>
      <c r="AD304" s="98" t="str">
        <f t="shared" si="58"/>
        <v>0000000000</v>
      </c>
      <c r="AE304" s="151">
        <f t="shared" si="51"/>
        <v>0</v>
      </c>
      <c r="AF304" s="98" t="str">
        <f t="shared" si="52"/>
        <v>00</v>
      </c>
      <c r="AG304" s="98" t="str">
        <f t="shared" si="59"/>
        <v>000000000000</v>
      </c>
      <c r="AH304" s="161" t="str">
        <f t="shared" si="53"/>
        <v xml:space="preserve">                    </v>
      </c>
      <c r="AI304" s="154">
        <f t="shared" si="54"/>
        <v>0</v>
      </c>
      <c r="AJ304" s="155">
        <f t="shared" si="55"/>
        <v>0</v>
      </c>
      <c r="AP304" s="63" t="str">
        <f t="shared" si="56"/>
        <v/>
      </c>
      <c r="AQ304" s="63" t="str">
        <f t="shared" si="50"/>
        <v xml:space="preserve">                    </v>
      </c>
      <c r="AR304" s="63"/>
      <c r="AS304" s="63"/>
      <c r="AT304" s="63"/>
      <c r="AU304" s="63"/>
      <c r="AV304" s="63"/>
      <c r="AW304" s="63"/>
      <c r="AX304" s="63"/>
      <c r="AY304" s="63"/>
      <c r="AZ304" s="63"/>
      <c r="BA304" s="63"/>
      <c r="BB304" s="63"/>
      <c r="BC304" s="63"/>
      <c r="BD304" s="63"/>
      <c r="BE304" s="63"/>
      <c r="BF304" s="63"/>
      <c r="BG304" s="63"/>
      <c r="BH304" s="63"/>
      <c r="BI304" s="63"/>
      <c r="BJ304" s="63"/>
      <c r="BK304" s="63"/>
      <c r="BL304" s="63"/>
      <c r="BM304" s="63"/>
      <c r="BN304" s="63"/>
      <c r="BO304" s="63"/>
      <c r="BP304" s="63"/>
      <c r="BQ304" s="63"/>
      <c r="BR304" s="63"/>
      <c r="BS304" s="63"/>
      <c r="BT304" s="63"/>
      <c r="BU304" s="63"/>
      <c r="BV304" s="63"/>
      <c r="BW304" s="63"/>
    </row>
    <row r="305" spans="1:75" x14ac:dyDescent="0.2">
      <c r="A305" s="63" t="str">
        <f t="shared" si="57"/>
        <v/>
      </c>
      <c r="B305" s="182"/>
      <c r="C305" s="75"/>
      <c r="D305" s="75"/>
      <c r="E305" s="74"/>
      <c r="F305" s="181"/>
      <c r="G305" s="69"/>
      <c r="AB305" s="150">
        <f t="shared" si="48"/>
        <v>0</v>
      </c>
      <c r="AC305" s="150">
        <f t="shared" si="49"/>
        <v>0</v>
      </c>
      <c r="AD305" s="98" t="str">
        <f t="shared" si="58"/>
        <v>0000000000</v>
      </c>
      <c r="AE305" s="151">
        <f t="shared" si="51"/>
        <v>0</v>
      </c>
      <c r="AF305" s="98" t="str">
        <f t="shared" si="52"/>
        <v>00</v>
      </c>
      <c r="AG305" s="98" t="str">
        <f t="shared" si="59"/>
        <v>000000000000</v>
      </c>
      <c r="AH305" s="161" t="str">
        <f t="shared" si="53"/>
        <v xml:space="preserve">                    </v>
      </c>
      <c r="AI305" s="154">
        <f t="shared" si="54"/>
        <v>0</v>
      </c>
      <c r="AJ305" s="155">
        <f t="shared" si="55"/>
        <v>0</v>
      </c>
      <c r="AP305" s="63" t="str">
        <f t="shared" si="56"/>
        <v/>
      </c>
      <c r="AQ305" s="63" t="str">
        <f t="shared" si="50"/>
        <v xml:space="preserve">                    </v>
      </c>
      <c r="AR305" s="63"/>
      <c r="AS305" s="63"/>
      <c r="AT305" s="63"/>
      <c r="AU305" s="63"/>
      <c r="AV305" s="63"/>
      <c r="AW305" s="63"/>
      <c r="AX305" s="63"/>
      <c r="AY305" s="63"/>
      <c r="AZ305" s="63"/>
      <c r="BA305" s="63"/>
      <c r="BB305" s="63"/>
      <c r="BC305" s="63"/>
      <c r="BD305" s="63"/>
      <c r="BE305" s="63"/>
      <c r="BF305" s="63"/>
      <c r="BG305" s="63"/>
      <c r="BH305" s="63"/>
      <c r="BI305" s="63"/>
      <c r="BJ305" s="63"/>
      <c r="BK305" s="63"/>
      <c r="BL305" s="63"/>
      <c r="BM305" s="63"/>
      <c r="BN305" s="63"/>
      <c r="BO305" s="63"/>
      <c r="BP305" s="63"/>
      <c r="BQ305" s="63"/>
      <c r="BR305" s="63"/>
      <c r="BS305" s="63"/>
      <c r="BT305" s="63"/>
      <c r="BU305" s="63"/>
      <c r="BV305" s="63"/>
      <c r="BW305" s="63"/>
    </row>
    <row r="306" spans="1:75" x14ac:dyDescent="0.2">
      <c r="A306" s="63" t="str">
        <f t="shared" si="57"/>
        <v/>
      </c>
      <c r="B306" s="182"/>
      <c r="C306" s="75"/>
      <c r="D306" s="75"/>
      <c r="E306" s="74"/>
      <c r="F306" s="181"/>
      <c r="G306" s="69"/>
      <c r="AB306" s="150">
        <f t="shared" si="48"/>
        <v>0</v>
      </c>
      <c r="AC306" s="150">
        <f t="shared" si="49"/>
        <v>0</v>
      </c>
      <c r="AD306" s="98" t="str">
        <f t="shared" si="58"/>
        <v>0000000000</v>
      </c>
      <c r="AE306" s="151">
        <f t="shared" si="51"/>
        <v>0</v>
      </c>
      <c r="AF306" s="98" t="str">
        <f t="shared" si="52"/>
        <v>00</v>
      </c>
      <c r="AG306" s="98" t="str">
        <f t="shared" si="59"/>
        <v>000000000000</v>
      </c>
      <c r="AH306" s="161" t="str">
        <f t="shared" si="53"/>
        <v xml:space="preserve">                    </v>
      </c>
      <c r="AI306" s="154">
        <f t="shared" si="54"/>
        <v>0</v>
      </c>
      <c r="AJ306" s="155">
        <f t="shared" si="55"/>
        <v>0</v>
      </c>
      <c r="AP306" s="63" t="str">
        <f t="shared" si="56"/>
        <v/>
      </c>
      <c r="AQ306" s="63" t="str">
        <f t="shared" si="50"/>
        <v xml:space="preserve">                    </v>
      </c>
      <c r="AR306" s="63"/>
      <c r="AS306" s="63"/>
      <c r="AT306" s="63"/>
      <c r="AU306" s="63"/>
      <c r="AV306" s="63"/>
      <c r="AW306" s="63"/>
      <c r="AX306" s="63"/>
      <c r="AY306" s="63"/>
      <c r="AZ306" s="63"/>
      <c r="BA306" s="63"/>
      <c r="BB306" s="63"/>
      <c r="BC306" s="63"/>
      <c r="BD306" s="63"/>
      <c r="BE306" s="63"/>
      <c r="BF306" s="63"/>
      <c r="BG306" s="63"/>
      <c r="BH306" s="63"/>
      <c r="BI306" s="63"/>
      <c r="BJ306" s="63"/>
      <c r="BK306" s="63"/>
      <c r="BL306" s="63"/>
      <c r="BM306" s="63"/>
      <c r="BN306" s="63"/>
      <c r="BO306" s="63"/>
      <c r="BP306" s="63"/>
      <c r="BQ306" s="63"/>
      <c r="BR306" s="63"/>
      <c r="BS306" s="63"/>
      <c r="BT306" s="63"/>
      <c r="BU306" s="63"/>
      <c r="BV306" s="63"/>
      <c r="BW306" s="63"/>
    </row>
    <row r="307" spans="1:75" x14ac:dyDescent="0.2">
      <c r="A307" s="63" t="str">
        <f t="shared" si="57"/>
        <v/>
      </c>
      <c r="B307" s="182"/>
      <c r="C307" s="75"/>
      <c r="D307" s="75"/>
      <c r="E307" s="74"/>
      <c r="F307" s="181"/>
      <c r="G307" s="69"/>
      <c r="AB307" s="150">
        <f t="shared" si="48"/>
        <v>0</v>
      </c>
      <c r="AC307" s="150">
        <f t="shared" si="49"/>
        <v>0</v>
      </c>
      <c r="AD307" s="98" t="str">
        <f t="shared" si="58"/>
        <v>0000000000</v>
      </c>
      <c r="AE307" s="151">
        <f t="shared" si="51"/>
        <v>0</v>
      </c>
      <c r="AF307" s="98" t="str">
        <f t="shared" si="52"/>
        <v>00</v>
      </c>
      <c r="AG307" s="98" t="str">
        <f t="shared" si="59"/>
        <v>000000000000</v>
      </c>
      <c r="AH307" s="161" t="str">
        <f t="shared" si="53"/>
        <v xml:space="preserve">                    </v>
      </c>
      <c r="AI307" s="154">
        <f t="shared" si="54"/>
        <v>0</v>
      </c>
      <c r="AJ307" s="155">
        <f t="shared" si="55"/>
        <v>0</v>
      </c>
      <c r="AP307" s="63" t="str">
        <f t="shared" si="56"/>
        <v/>
      </c>
      <c r="AQ307" s="63" t="str">
        <f t="shared" si="50"/>
        <v xml:space="preserve">                    </v>
      </c>
      <c r="AR307" s="63"/>
      <c r="AS307" s="63"/>
      <c r="AT307" s="63"/>
      <c r="AU307" s="63"/>
      <c r="AV307" s="63"/>
      <c r="AW307" s="63"/>
      <c r="AX307" s="63"/>
      <c r="AY307" s="63"/>
      <c r="AZ307" s="63"/>
      <c r="BA307" s="63"/>
      <c r="BB307" s="63"/>
      <c r="BC307" s="63"/>
      <c r="BD307" s="63"/>
      <c r="BE307" s="63"/>
      <c r="BF307" s="63"/>
      <c r="BG307" s="63"/>
      <c r="BH307" s="63"/>
      <c r="BI307" s="63"/>
      <c r="BJ307" s="63"/>
      <c r="BK307" s="63"/>
      <c r="BL307" s="63"/>
      <c r="BM307" s="63"/>
      <c r="BN307" s="63"/>
      <c r="BO307" s="63"/>
      <c r="BP307" s="63"/>
      <c r="BQ307" s="63"/>
      <c r="BR307" s="63"/>
      <c r="BS307" s="63"/>
      <c r="BT307" s="63"/>
      <c r="BU307" s="63"/>
      <c r="BV307" s="63"/>
      <c r="BW307" s="63"/>
    </row>
    <row r="308" spans="1:75" x14ac:dyDescent="0.2">
      <c r="A308" s="63" t="str">
        <f t="shared" si="57"/>
        <v/>
      </c>
      <c r="B308" s="182"/>
      <c r="C308" s="75"/>
      <c r="D308" s="75"/>
      <c r="E308" s="74"/>
      <c r="F308" s="181"/>
      <c r="G308" s="69"/>
      <c r="AB308" s="150">
        <f t="shared" si="48"/>
        <v>0</v>
      </c>
      <c r="AC308" s="150">
        <f t="shared" si="49"/>
        <v>0</v>
      </c>
      <c r="AD308" s="98" t="str">
        <f t="shared" si="58"/>
        <v>0000000000</v>
      </c>
      <c r="AE308" s="151">
        <f t="shared" si="51"/>
        <v>0</v>
      </c>
      <c r="AF308" s="98" t="str">
        <f t="shared" si="52"/>
        <v>00</v>
      </c>
      <c r="AG308" s="98" t="str">
        <f t="shared" si="59"/>
        <v>000000000000</v>
      </c>
      <c r="AH308" s="161" t="str">
        <f t="shared" si="53"/>
        <v xml:space="preserve">                    </v>
      </c>
      <c r="AI308" s="154">
        <f t="shared" si="54"/>
        <v>0</v>
      </c>
      <c r="AJ308" s="155">
        <f t="shared" si="55"/>
        <v>0</v>
      </c>
      <c r="AP308" s="63" t="str">
        <f t="shared" si="56"/>
        <v/>
      </c>
      <c r="AQ308" s="63" t="str">
        <f t="shared" si="50"/>
        <v xml:space="preserve">                    </v>
      </c>
      <c r="AR308" s="63"/>
      <c r="AS308" s="63"/>
      <c r="AT308" s="63"/>
      <c r="AU308" s="63"/>
      <c r="AV308" s="63"/>
      <c r="AW308" s="63"/>
      <c r="AX308" s="63"/>
      <c r="AY308" s="63"/>
      <c r="AZ308" s="63"/>
      <c r="BA308" s="63"/>
      <c r="BB308" s="63"/>
      <c r="BC308" s="63"/>
      <c r="BD308" s="63"/>
      <c r="BE308" s="63"/>
      <c r="BF308" s="63"/>
      <c r="BG308" s="63"/>
      <c r="BH308" s="63"/>
      <c r="BI308" s="63"/>
      <c r="BJ308" s="63"/>
      <c r="BK308" s="63"/>
      <c r="BL308" s="63"/>
      <c r="BM308" s="63"/>
      <c r="BN308" s="63"/>
      <c r="BO308" s="63"/>
      <c r="BP308" s="63"/>
      <c r="BQ308" s="63"/>
      <c r="BR308" s="63"/>
      <c r="BS308" s="63"/>
      <c r="BT308" s="63"/>
      <c r="BU308" s="63"/>
      <c r="BV308" s="63"/>
      <c r="BW308" s="63"/>
    </row>
    <row r="309" spans="1:75" x14ac:dyDescent="0.2">
      <c r="A309" s="63" t="str">
        <f t="shared" si="57"/>
        <v/>
      </c>
      <c r="B309" s="182"/>
      <c r="C309" s="75"/>
      <c r="D309" s="75"/>
      <c r="E309" s="74"/>
      <c r="F309" s="181"/>
      <c r="G309" s="69"/>
      <c r="AB309" s="150">
        <f t="shared" si="48"/>
        <v>0</v>
      </c>
      <c r="AC309" s="150">
        <f t="shared" si="49"/>
        <v>0</v>
      </c>
      <c r="AD309" s="98" t="str">
        <f t="shared" si="58"/>
        <v>0000000000</v>
      </c>
      <c r="AE309" s="151">
        <f t="shared" si="51"/>
        <v>0</v>
      </c>
      <c r="AF309" s="98" t="str">
        <f t="shared" si="52"/>
        <v>00</v>
      </c>
      <c r="AG309" s="98" t="str">
        <f t="shared" si="59"/>
        <v>000000000000</v>
      </c>
      <c r="AH309" s="161" t="str">
        <f t="shared" si="53"/>
        <v xml:space="preserve">                    </v>
      </c>
      <c r="AI309" s="154">
        <f t="shared" si="54"/>
        <v>0</v>
      </c>
      <c r="AJ309" s="155">
        <f t="shared" si="55"/>
        <v>0</v>
      </c>
      <c r="AP309" s="63" t="str">
        <f t="shared" si="56"/>
        <v/>
      </c>
      <c r="AQ309" s="63" t="str">
        <f t="shared" si="50"/>
        <v xml:space="preserve">                    </v>
      </c>
      <c r="AR309" s="63"/>
      <c r="AS309" s="63"/>
      <c r="AT309" s="63"/>
      <c r="AU309" s="63"/>
      <c r="AV309" s="63"/>
      <c r="AW309" s="63"/>
      <c r="AX309" s="63"/>
      <c r="AY309" s="63"/>
      <c r="AZ309" s="63"/>
      <c r="BA309" s="63"/>
      <c r="BB309" s="63"/>
      <c r="BC309" s="63"/>
      <c r="BD309" s="63"/>
      <c r="BE309" s="63"/>
      <c r="BF309" s="63"/>
      <c r="BG309" s="63"/>
      <c r="BH309" s="63"/>
      <c r="BI309" s="63"/>
      <c r="BJ309" s="63"/>
      <c r="BK309" s="63"/>
      <c r="BL309" s="63"/>
      <c r="BM309" s="63"/>
      <c r="BN309" s="63"/>
      <c r="BO309" s="63"/>
      <c r="BP309" s="63"/>
      <c r="BQ309" s="63"/>
      <c r="BR309" s="63"/>
      <c r="BS309" s="63"/>
      <c r="BT309" s="63"/>
      <c r="BU309" s="63"/>
      <c r="BV309" s="63"/>
      <c r="BW309" s="63"/>
    </row>
    <row r="310" spans="1:75" x14ac:dyDescent="0.2">
      <c r="A310" s="63" t="str">
        <f t="shared" si="57"/>
        <v/>
      </c>
      <c r="B310" s="182"/>
      <c r="C310" s="75"/>
      <c r="D310" s="75"/>
      <c r="E310" s="74"/>
      <c r="F310" s="181"/>
      <c r="G310" s="69"/>
      <c r="AB310" s="150">
        <f t="shared" si="48"/>
        <v>0</v>
      </c>
      <c r="AC310" s="150">
        <f t="shared" si="49"/>
        <v>0</v>
      </c>
      <c r="AD310" s="98" t="str">
        <f t="shared" si="58"/>
        <v>0000000000</v>
      </c>
      <c r="AE310" s="151">
        <f t="shared" si="51"/>
        <v>0</v>
      </c>
      <c r="AF310" s="98" t="str">
        <f t="shared" si="52"/>
        <v>00</v>
      </c>
      <c r="AG310" s="98" t="str">
        <f t="shared" si="59"/>
        <v>000000000000</v>
      </c>
      <c r="AH310" s="161" t="str">
        <f t="shared" si="53"/>
        <v xml:space="preserve">                    </v>
      </c>
      <c r="AI310" s="154">
        <f t="shared" si="54"/>
        <v>0</v>
      </c>
      <c r="AJ310" s="155">
        <f t="shared" si="55"/>
        <v>0</v>
      </c>
      <c r="AP310" s="63" t="str">
        <f t="shared" si="56"/>
        <v/>
      </c>
      <c r="AQ310" s="63" t="str">
        <f t="shared" si="50"/>
        <v xml:space="preserve">                    </v>
      </c>
      <c r="AR310" s="63"/>
      <c r="AS310" s="63"/>
      <c r="AT310" s="63"/>
      <c r="AU310" s="63"/>
      <c r="AV310" s="63"/>
      <c r="AW310" s="63"/>
      <c r="AX310" s="63"/>
      <c r="AY310" s="63"/>
      <c r="AZ310" s="63"/>
      <c r="BA310" s="63"/>
      <c r="BB310" s="63"/>
      <c r="BC310" s="63"/>
      <c r="BD310" s="63"/>
      <c r="BE310" s="63"/>
      <c r="BF310" s="63"/>
      <c r="BG310" s="63"/>
      <c r="BH310" s="63"/>
      <c r="BI310" s="63"/>
      <c r="BJ310" s="63"/>
      <c r="BK310" s="63"/>
      <c r="BL310" s="63"/>
      <c r="BM310" s="63"/>
      <c r="BN310" s="63"/>
      <c r="BO310" s="63"/>
      <c r="BP310" s="63"/>
      <c r="BQ310" s="63"/>
      <c r="BR310" s="63"/>
      <c r="BS310" s="63"/>
      <c r="BT310" s="63"/>
      <c r="BU310" s="63"/>
      <c r="BV310" s="63"/>
      <c r="BW310" s="63"/>
    </row>
    <row r="311" spans="1:75" x14ac:dyDescent="0.2">
      <c r="A311" s="63" t="str">
        <f t="shared" si="57"/>
        <v/>
      </c>
      <c r="B311" s="182"/>
      <c r="C311" s="75"/>
      <c r="D311" s="75"/>
      <c r="E311" s="74"/>
      <c r="F311" s="181"/>
      <c r="G311" s="69"/>
      <c r="AB311" s="150">
        <f t="shared" si="48"/>
        <v>0</v>
      </c>
      <c r="AC311" s="150">
        <f t="shared" si="49"/>
        <v>0</v>
      </c>
      <c r="AD311" s="98" t="str">
        <f t="shared" si="58"/>
        <v>0000000000</v>
      </c>
      <c r="AE311" s="151">
        <f t="shared" si="51"/>
        <v>0</v>
      </c>
      <c r="AF311" s="98" t="str">
        <f t="shared" si="52"/>
        <v>00</v>
      </c>
      <c r="AG311" s="98" t="str">
        <f t="shared" si="59"/>
        <v>000000000000</v>
      </c>
      <c r="AH311" s="161" t="str">
        <f t="shared" si="53"/>
        <v xml:space="preserve">                    </v>
      </c>
      <c r="AI311" s="154">
        <f t="shared" si="54"/>
        <v>0</v>
      </c>
      <c r="AJ311" s="155">
        <f t="shared" si="55"/>
        <v>0</v>
      </c>
      <c r="AP311" s="63" t="str">
        <f t="shared" si="56"/>
        <v/>
      </c>
      <c r="AQ311" s="63" t="str">
        <f t="shared" si="50"/>
        <v xml:space="preserve">                    </v>
      </c>
      <c r="AR311" s="63"/>
      <c r="AS311" s="63"/>
      <c r="AT311" s="63"/>
      <c r="AU311" s="63"/>
      <c r="AV311" s="63"/>
      <c r="AW311" s="63"/>
      <c r="AX311" s="63"/>
      <c r="AY311" s="63"/>
      <c r="AZ311" s="63"/>
      <c r="BA311" s="63"/>
      <c r="BB311" s="63"/>
      <c r="BC311" s="63"/>
      <c r="BD311" s="63"/>
      <c r="BE311" s="63"/>
      <c r="BF311" s="63"/>
      <c r="BG311" s="63"/>
      <c r="BH311" s="63"/>
      <c r="BI311" s="63"/>
      <c r="BJ311" s="63"/>
      <c r="BK311" s="63"/>
      <c r="BL311" s="63"/>
      <c r="BM311" s="63"/>
      <c r="BN311" s="63"/>
      <c r="BO311" s="63"/>
      <c r="BP311" s="63"/>
      <c r="BQ311" s="63"/>
      <c r="BR311" s="63"/>
      <c r="BS311" s="63"/>
      <c r="BT311" s="63"/>
      <c r="BU311" s="63"/>
      <c r="BV311" s="63"/>
      <c r="BW311" s="63"/>
    </row>
    <row r="312" spans="1:75" x14ac:dyDescent="0.2">
      <c r="A312" s="63" t="str">
        <f t="shared" si="57"/>
        <v/>
      </c>
      <c r="B312" s="182"/>
      <c r="C312" s="75"/>
      <c r="D312" s="75"/>
      <c r="E312" s="74"/>
      <c r="F312" s="181"/>
      <c r="G312" s="69"/>
      <c r="AB312" s="150">
        <f t="shared" si="48"/>
        <v>0</v>
      </c>
      <c r="AC312" s="150">
        <f t="shared" si="49"/>
        <v>0</v>
      </c>
      <c r="AD312" s="98" t="str">
        <f t="shared" si="58"/>
        <v>0000000000</v>
      </c>
      <c r="AE312" s="151">
        <f t="shared" si="51"/>
        <v>0</v>
      </c>
      <c r="AF312" s="98" t="str">
        <f t="shared" si="52"/>
        <v>00</v>
      </c>
      <c r="AG312" s="98" t="str">
        <f t="shared" si="59"/>
        <v>000000000000</v>
      </c>
      <c r="AH312" s="161" t="str">
        <f t="shared" si="53"/>
        <v xml:space="preserve">                    </v>
      </c>
      <c r="AI312" s="154">
        <f t="shared" si="54"/>
        <v>0</v>
      </c>
      <c r="AJ312" s="155">
        <f t="shared" si="55"/>
        <v>0</v>
      </c>
      <c r="AP312" s="63" t="str">
        <f t="shared" si="56"/>
        <v/>
      </c>
      <c r="AQ312" s="63" t="str">
        <f t="shared" si="50"/>
        <v xml:space="preserve">                    </v>
      </c>
      <c r="AR312" s="63"/>
      <c r="AS312" s="63"/>
      <c r="AT312" s="63"/>
      <c r="AU312" s="63"/>
      <c r="AV312" s="63"/>
      <c r="AW312" s="63"/>
      <c r="AX312" s="63"/>
      <c r="AY312" s="63"/>
      <c r="AZ312" s="63"/>
      <c r="BA312" s="63"/>
      <c r="BB312" s="63"/>
      <c r="BC312" s="63"/>
      <c r="BD312" s="63"/>
      <c r="BE312" s="63"/>
      <c r="BF312" s="63"/>
      <c r="BG312" s="63"/>
      <c r="BH312" s="63"/>
      <c r="BI312" s="63"/>
      <c r="BJ312" s="63"/>
      <c r="BK312" s="63"/>
      <c r="BL312" s="63"/>
      <c r="BM312" s="63"/>
      <c r="BN312" s="63"/>
      <c r="BO312" s="63"/>
      <c r="BP312" s="63"/>
      <c r="BQ312" s="63"/>
      <c r="BR312" s="63"/>
      <c r="BS312" s="63"/>
      <c r="BT312" s="63"/>
      <c r="BU312" s="63"/>
      <c r="BV312" s="63"/>
      <c r="BW312" s="63"/>
    </row>
    <row r="313" spans="1:75" x14ac:dyDescent="0.2">
      <c r="A313" s="63" t="str">
        <f t="shared" si="57"/>
        <v/>
      </c>
      <c r="B313" s="182"/>
      <c r="C313" s="75"/>
      <c r="D313" s="75"/>
      <c r="E313" s="74"/>
      <c r="F313" s="181"/>
      <c r="G313" s="69"/>
      <c r="AB313" s="150">
        <f t="shared" si="48"/>
        <v>0</v>
      </c>
      <c r="AC313" s="150">
        <f t="shared" si="49"/>
        <v>0</v>
      </c>
      <c r="AD313" s="98" t="str">
        <f t="shared" si="58"/>
        <v>0000000000</v>
      </c>
      <c r="AE313" s="151">
        <f t="shared" si="51"/>
        <v>0</v>
      </c>
      <c r="AF313" s="98" t="str">
        <f t="shared" si="52"/>
        <v>00</v>
      </c>
      <c r="AG313" s="98" t="str">
        <f t="shared" si="59"/>
        <v>000000000000</v>
      </c>
      <c r="AH313" s="161" t="str">
        <f t="shared" si="53"/>
        <v xml:space="preserve">                    </v>
      </c>
      <c r="AI313" s="154">
        <f t="shared" si="54"/>
        <v>0</v>
      </c>
      <c r="AJ313" s="155">
        <f t="shared" si="55"/>
        <v>0</v>
      </c>
      <c r="AP313" s="63" t="str">
        <f t="shared" si="56"/>
        <v/>
      </c>
      <c r="AQ313" s="63" t="str">
        <f t="shared" si="50"/>
        <v xml:space="preserve">                    </v>
      </c>
      <c r="AR313" s="63"/>
      <c r="AS313" s="63"/>
      <c r="AT313" s="63"/>
      <c r="AU313" s="63"/>
      <c r="AV313" s="63"/>
      <c r="AW313" s="63"/>
      <c r="AX313" s="63"/>
      <c r="AY313" s="63"/>
      <c r="AZ313" s="63"/>
      <c r="BA313" s="63"/>
      <c r="BB313" s="63"/>
      <c r="BC313" s="63"/>
      <c r="BD313" s="63"/>
      <c r="BE313" s="63"/>
      <c r="BF313" s="63"/>
      <c r="BG313" s="63"/>
      <c r="BH313" s="63"/>
      <c r="BI313" s="63"/>
      <c r="BJ313" s="63"/>
      <c r="BK313" s="63"/>
      <c r="BL313" s="63"/>
      <c r="BM313" s="63"/>
      <c r="BN313" s="63"/>
      <c r="BO313" s="63"/>
      <c r="BP313" s="63"/>
      <c r="BQ313" s="63"/>
      <c r="BR313" s="63"/>
      <c r="BS313" s="63"/>
      <c r="BT313" s="63"/>
      <c r="BU313" s="63"/>
      <c r="BV313" s="63"/>
      <c r="BW313" s="63"/>
    </row>
    <row r="314" spans="1:75" x14ac:dyDescent="0.2">
      <c r="A314" s="63" t="str">
        <f t="shared" si="57"/>
        <v/>
      </c>
      <c r="B314" s="182"/>
      <c r="C314" s="75"/>
      <c r="D314" s="75"/>
      <c r="E314" s="74"/>
      <c r="F314" s="181"/>
      <c r="G314" s="69"/>
      <c r="AB314" s="150">
        <f t="shared" si="48"/>
        <v>0</v>
      </c>
      <c r="AC314" s="150">
        <f t="shared" si="49"/>
        <v>0</v>
      </c>
      <c r="AD314" s="98" t="str">
        <f t="shared" si="58"/>
        <v>0000000000</v>
      </c>
      <c r="AE314" s="151">
        <f t="shared" si="51"/>
        <v>0</v>
      </c>
      <c r="AF314" s="98" t="str">
        <f t="shared" si="52"/>
        <v>00</v>
      </c>
      <c r="AG314" s="98" t="str">
        <f t="shared" si="59"/>
        <v>000000000000</v>
      </c>
      <c r="AH314" s="161" t="str">
        <f t="shared" si="53"/>
        <v xml:space="preserve">                    </v>
      </c>
      <c r="AI314" s="154">
        <f t="shared" si="54"/>
        <v>0</v>
      </c>
      <c r="AJ314" s="155">
        <f t="shared" si="55"/>
        <v>0</v>
      </c>
      <c r="AP314" s="63" t="str">
        <f t="shared" si="56"/>
        <v/>
      </c>
      <c r="AQ314" s="63" t="str">
        <f t="shared" si="50"/>
        <v xml:space="preserve">                    </v>
      </c>
      <c r="AR314" s="63"/>
      <c r="AS314" s="63"/>
      <c r="AT314" s="63"/>
      <c r="AU314" s="63"/>
      <c r="AV314" s="63"/>
      <c r="AW314" s="63"/>
      <c r="AX314" s="63"/>
      <c r="AY314" s="63"/>
      <c r="AZ314" s="63"/>
      <c r="BA314" s="63"/>
      <c r="BB314" s="63"/>
      <c r="BC314" s="63"/>
      <c r="BD314" s="63"/>
      <c r="BE314" s="63"/>
      <c r="BF314" s="63"/>
      <c r="BG314" s="63"/>
      <c r="BH314" s="63"/>
      <c r="BI314" s="63"/>
      <c r="BJ314" s="63"/>
      <c r="BK314" s="63"/>
      <c r="BL314" s="63"/>
      <c r="BM314" s="63"/>
      <c r="BN314" s="63"/>
      <c r="BO314" s="63"/>
      <c r="BP314" s="63"/>
      <c r="BQ314" s="63"/>
      <c r="BR314" s="63"/>
      <c r="BS314" s="63"/>
      <c r="BT314" s="63"/>
      <c r="BU314" s="63"/>
      <c r="BV314" s="63"/>
      <c r="BW314" s="63"/>
    </row>
    <row r="315" spans="1:75" x14ac:dyDescent="0.2">
      <c r="A315" s="63" t="str">
        <f t="shared" si="57"/>
        <v/>
      </c>
      <c r="B315" s="182"/>
      <c r="C315" s="75"/>
      <c r="D315" s="75"/>
      <c r="E315" s="74"/>
      <c r="F315" s="181"/>
      <c r="G315" s="69"/>
      <c r="AB315" s="150">
        <f t="shared" si="48"/>
        <v>0</v>
      </c>
      <c r="AC315" s="150">
        <f t="shared" si="49"/>
        <v>0</v>
      </c>
      <c r="AD315" s="98" t="str">
        <f t="shared" si="58"/>
        <v>0000000000</v>
      </c>
      <c r="AE315" s="151">
        <f t="shared" si="51"/>
        <v>0</v>
      </c>
      <c r="AF315" s="98" t="str">
        <f t="shared" si="52"/>
        <v>00</v>
      </c>
      <c r="AG315" s="98" t="str">
        <f t="shared" si="59"/>
        <v>000000000000</v>
      </c>
      <c r="AH315" s="161" t="str">
        <f t="shared" si="53"/>
        <v xml:space="preserve">                    </v>
      </c>
      <c r="AI315" s="154">
        <f t="shared" si="54"/>
        <v>0</v>
      </c>
      <c r="AJ315" s="155">
        <f t="shared" si="55"/>
        <v>0</v>
      </c>
      <c r="AP315" s="63" t="str">
        <f t="shared" si="56"/>
        <v/>
      </c>
      <c r="AQ315" s="63" t="str">
        <f t="shared" si="50"/>
        <v xml:space="preserve">                    </v>
      </c>
      <c r="AR315" s="63"/>
      <c r="AS315" s="63"/>
      <c r="AT315" s="63"/>
      <c r="AU315" s="63"/>
      <c r="AV315" s="63"/>
      <c r="AW315" s="63"/>
      <c r="AX315" s="63"/>
      <c r="AY315" s="63"/>
      <c r="AZ315" s="63"/>
      <c r="BA315" s="63"/>
      <c r="BB315" s="63"/>
      <c r="BC315" s="63"/>
      <c r="BD315" s="63"/>
      <c r="BE315" s="63"/>
      <c r="BF315" s="63"/>
      <c r="BG315" s="63"/>
      <c r="BH315" s="63"/>
      <c r="BI315" s="63"/>
      <c r="BJ315" s="63"/>
      <c r="BK315" s="63"/>
      <c r="BL315" s="63"/>
      <c r="BM315" s="63"/>
      <c r="BN315" s="63"/>
      <c r="BO315" s="63"/>
      <c r="BP315" s="63"/>
      <c r="BQ315" s="63"/>
      <c r="BR315" s="63"/>
      <c r="BS315" s="63"/>
      <c r="BT315" s="63"/>
      <c r="BU315" s="63"/>
      <c r="BV315" s="63"/>
      <c r="BW315" s="63"/>
    </row>
    <row r="316" spans="1:75" x14ac:dyDescent="0.2">
      <c r="A316" s="63" t="str">
        <f t="shared" si="57"/>
        <v/>
      </c>
      <c r="B316" s="182"/>
      <c r="C316" s="75"/>
      <c r="D316" s="75"/>
      <c r="E316" s="74"/>
      <c r="F316" s="181"/>
      <c r="G316" s="69"/>
      <c r="AB316" s="150">
        <f t="shared" si="48"/>
        <v>0</v>
      </c>
      <c r="AC316" s="150">
        <f t="shared" si="49"/>
        <v>0</v>
      </c>
      <c r="AD316" s="98" t="str">
        <f t="shared" si="58"/>
        <v>0000000000</v>
      </c>
      <c r="AE316" s="151">
        <f t="shared" si="51"/>
        <v>0</v>
      </c>
      <c r="AF316" s="98" t="str">
        <f t="shared" si="52"/>
        <v>00</v>
      </c>
      <c r="AG316" s="98" t="str">
        <f t="shared" si="59"/>
        <v>000000000000</v>
      </c>
      <c r="AH316" s="161" t="str">
        <f t="shared" si="53"/>
        <v xml:space="preserve">                    </v>
      </c>
      <c r="AI316" s="154">
        <f t="shared" si="54"/>
        <v>0</v>
      </c>
      <c r="AJ316" s="155">
        <f t="shared" si="55"/>
        <v>0</v>
      </c>
      <c r="AP316" s="63" t="str">
        <f t="shared" si="56"/>
        <v/>
      </c>
      <c r="AQ316" s="63" t="str">
        <f t="shared" si="50"/>
        <v xml:space="preserve">                    </v>
      </c>
      <c r="AR316" s="63"/>
      <c r="AS316" s="63"/>
      <c r="AT316" s="63"/>
      <c r="AU316" s="63"/>
      <c r="AV316" s="63"/>
      <c r="AW316" s="63"/>
      <c r="AX316" s="63"/>
      <c r="AY316" s="63"/>
      <c r="AZ316" s="63"/>
      <c r="BA316" s="63"/>
      <c r="BB316" s="63"/>
      <c r="BC316" s="63"/>
      <c r="BD316" s="63"/>
      <c r="BE316" s="63"/>
      <c r="BF316" s="63"/>
      <c r="BG316" s="63"/>
      <c r="BH316" s="63"/>
      <c r="BI316" s="63"/>
      <c r="BJ316" s="63"/>
      <c r="BK316" s="63"/>
      <c r="BL316" s="63"/>
      <c r="BM316" s="63"/>
      <c r="BN316" s="63"/>
      <c r="BO316" s="63"/>
      <c r="BP316" s="63"/>
      <c r="BQ316" s="63"/>
      <c r="BR316" s="63"/>
      <c r="BS316" s="63"/>
      <c r="BT316" s="63"/>
      <c r="BU316" s="63"/>
      <c r="BV316" s="63"/>
      <c r="BW316" s="63"/>
    </row>
    <row r="317" spans="1:75" x14ac:dyDescent="0.2">
      <c r="A317" s="63" t="str">
        <f t="shared" si="57"/>
        <v/>
      </c>
      <c r="B317" s="182"/>
      <c r="C317" s="75"/>
      <c r="D317" s="75"/>
      <c r="E317" s="74"/>
      <c r="F317" s="181"/>
      <c r="G317" s="69"/>
      <c r="AB317" s="150">
        <f t="shared" si="48"/>
        <v>0</v>
      </c>
      <c r="AC317" s="150">
        <f t="shared" si="49"/>
        <v>0</v>
      </c>
      <c r="AD317" s="98" t="str">
        <f t="shared" si="58"/>
        <v>0000000000</v>
      </c>
      <c r="AE317" s="151">
        <f t="shared" si="51"/>
        <v>0</v>
      </c>
      <c r="AF317" s="98" t="str">
        <f t="shared" si="52"/>
        <v>00</v>
      </c>
      <c r="AG317" s="98" t="str">
        <f t="shared" si="59"/>
        <v>000000000000</v>
      </c>
      <c r="AH317" s="161" t="str">
        <f t="shared" si="53"/>
        <v xml:space="preserve">                    </v>
      </c>
      <c r="AI317" s="154">
        <f t="shared" si="54"/>
        <v>0</v>
      </c>
      <c r="AJ317" s="155">
        <f t="shared" si="55"/>
        <v>0</v>
      </c>
      <c r="AP317" s="63" t="str">
        <f t="shared" si="56"/>
        <v/>
      </c>
      <c r="AQ317" s="63" t="str">
        <f t="shared" si="50"/>
        <v xml:space="preserve">                    </v>
      </c>
      <c r="AR317" s="63"/>
      <c r="AS317" s="63"/>
      <c r="AT317" s="63"/>
      <c r="AU317" s="63"/>
      <c r="AV317" s="63"/>
      <c r="AW317" s="63"/>
      <c r="AX317" s="63"/>
      <c r="AY317" s="63"/>
      <c r="AZ317" s="63"/>
      <c r="BA317" s="63"/>
      <c r="BB317" s="63"/>
      <c r="BC317" s="63"/>
      <c r="BD317" s="63"/>
      <c r="BE317" s="63"/>
      <c r="BF317" s="63"/>
      <c r="BG317" s="63"/>
      <c r="BH317" s="63"/>
      <c r="BI317" s="63"/>
      <c r="BJ317" s="63"/>
      <c r="BK317" s="63"/>
      <c r="BL317" s="63"/>
      <c r="BM317" s="63"/>
      <c r="BN317" s="63"/>
      <c r="BO317" s="63"/>
      <c r="BP317" s="63"/>
      <c r="BQ317" s="63"/>
      <c r="BR317" s="63"/>
      <c r="BS317" s="63"/>
      <c r="BT317" s="63"/>
      <c r="BU317" s="63"/>
      <c r="BV317" s="63"/>
      <c r="BW317" s="63"/>
    </row>
    <row r="318" spans="1:75" x14ac:dyDescent="0.2">
      <c r="A318" s="63" t="str">
        <f t="shared" si="57"/>
        <v/>
      </c>
      <c r="B318" s="182"/>
      <c r="C318" s="75"/>
      <c r="D318" s="75"/>
      <c r="E318" s="74"/>
      <c r="F318" s="181"/>
      <c r="G318" s="69"/>
      <c r="AB318" s="150">
        <f t="shared" si="48"/>
        <v>0</v>
      </c>
      <c r="AC318" s="150">
        <f t="shared" si="49"/>
        <v>0</v>
      </c>
      <c r="AD318" s="98" t="str">
        <f t="shared" si="58"/>
        <v>0000000000</v>
      </c>
      <c r="AE318" s="151">
        <f t="shared" si="51"/>
        <v>0</v>
      </c>
      <c r="AF318" s="98" t="str">
        <f t="shared" si="52"/>
        <v>00</v>
      </c>
      <c r="AG318" s="98" t="str">
        <f t="shared" si="59"/>
        <v>000000000000</v>
      </c>
      <c r="AH318" s="161" t="str">
        <f t="shared" si="53"/>
        <v xml:space="preserve">                    </v>
      </c>
      <c r="AI318" s="154">
        <f t="shared" si="54"/>
        <v>0</v>
      </c>
      <c r="AJ318" s="155">
        <f t="shared" si="55"/>
        <v>0</v>
      </c>
      <c r="AP318" s="63" t="str">
        <f t="shared" si="56"/>
        <v/>
      </c>
      <c r="AQ318" s="63" t="str">
        <f t="shared" si="50"/>
        <v xml:space="preserve">                    </v>
      </c>
      <c r="AR318" s="63"/>
      <c r="AS318" s="63"/>
      <c r="AT318" s="63"/>
      <c r="AU318" s="63"/>
      <c r="AV318" s="63"/>
      <c r="AW318" s="63"/>
      <c r="AX318" s="63"/>
      <c r="AY318" s="63"/>
      <c r="AZ318" s="63"/>
      <c r="BA318" s="63"/>
      <c r="BB318" s="63"/>
      <c r="BC318" s="63"/>
      <c r="BD318" s="63"/>
      <c r="BE318" s="63"/>
      <c r="BF318" s="63"/>
      <c r="BG318" s="63"/>
      <c r="BH318" s="63"/>
      <c r="BI318" s="63"/>
      <c r="BJ318" s="63"/>
      <c r="BK318" s="63"/>
      <c r="BL318" s="63"/>
      <c r="BM318" s="63"/>
      <c r="BN318" s="63"/>
      <c r="BO318" s="63"/>
      <c r="BP318" s="63"/>
      <c r="BQ318" s="63"/>
      <c r="BR318" s="63"/>
      <c r="BS318" s="63"/>
      <c r="BT318" s="63"/>
      <c r="BU318" s="63"/>
      <c r="BV318" s="63"/>
      <c r="BW318" s="63"/>
    </row>
    <row r="319" spans="1:75" x14ac:dyDescent="0.2">
      <c r="A319" s="63" t="str">
        <f t="shared" si="57"/>
        <v/>
      </c>
      <c r="B319" s="182"/>
      <c r="C319" s="75"/>
      <c r="D319" s="75"/>
      <c r="E319" s="74"/>
      <c r="F319" s="181"/>
      <c r="G319" s="69"/>
      <c r="AB319" s="150">
        <f t="shared" si="48"/>
        <v>0</v>
      </c>
      <c r="AC319" s="150">
        <f t="shared" si="49"/>
        <v>0</v>
      </c>
      <c r="AD319" s="98" t="str">
        <f t="shared" si="58"/>
        <v>0000000000</v>
      </c>
      <c r="AE319" s="151">
        <f t="shared" si="51"/>
        <v>0</v>
      </c>
      <c r="AF319" s="98" t="str">
        <f t="shared" si="52"/>
        <v>00</v>
      </c>
      <c r="AG319" s="98" t="str">
        <f t="shared" si="59"/>
        <v>000000000000</v>
      </c>
      <c r="AH319" s="161" t="str">
        <f t="shared" si="53"/>
        <v xml:space="preserve">                    </v>
      </c>
      <c r="AI319" s="154">
        <f t="shared" si="54"/>
        <v>0</v>
      </c>
      <c r="AJ319" s="155">
        <f t="shared" si="55"/>
        <v>0</v>
      </c>
      <c r="AP319" s="63" t="str">
        <f t="shared" si="56"/>
        <v/>
      </c>
      <c r="AQ319" s="63" t="str">
        <f t="shared" si="50"/>
        <v xml:space="preserve">                    </v>
      </c>
      <c r="AR319" s="63"/>
      <c r="AS319" s="63"/>
      <c r="AT319" s="63"/>
      <c r="AU319" s="63"/>
      <c r="AV319" s="63"/>
      <c r="AW319" s="63"/>
      <c r="AX319" s="63"/>
      <c r="AY319" s="63"/>
      <c r="AZ319" s="63"/>
      <c r="BA319" s="63"/>
      <c r="BB319" s="63"/>
      <c r="BC319" s="63"/>
      <c r="BD319" s="63"/>
      <c r="BE319" s="63"/>
      <c r="BF319" s="63"/>
      <c r="BG319" s="63"/>
      <c r="BH319" s="63"/>
      <c r="BI319" s="63"/>
      <c r="BJ319" s="63"/>
      <c r="BK319" s="63"/>
      <c r="BL319" s="63"/>
      <c r="BM319" s="63"/>
      <c r="BN319" s="63"/>
      <c r="BO319" s="63"/>
      <c r="BP319" s="63"/>
      <c r="BQ319" s="63"/>
      <c r="BR319" s="63"/>
      <c r="BS319" s="63"/>
      <c r="BT319" s="63"/>
      <c r="BU319" s="63"/>
      <c r="BV319" s="63"/>
      <c r="BW319" s="63"/>
    </row>
    <row r="320" spans="1:75" x14ac:dyDescent="0.2">
      <c r="A320" s="63" t="str">
        <f t="shared" si="57"/>
        <v/>
      </c>
      <c r="B320" s="182"/>
      <c r="C320" s="75"/>
      <c r="D320" s="75"/>
      <c r="E320" s="74"/>
      <c r="F320" s="181"/>
      <c r="G320" s="69"/>
      <c r="AB320" s="150">
        <f t="shared" si="48"/>
        <v>0</v>
      </c>
      <c r="AC320" s="150">
        <f t="shared" si="49"/>
        <v>0</v>
      </c>
      <c r="AD320" s="98" t="str">
        <f t="shared" si="58"/>
        <v>0000000000</v>
      </c>
      <c r="AE320" s="151">
        <f t="shared" si="51"/>
        <v>0</v>
      </c>
      <c r="AF320" s="98" t="str">
        <f t="shared" si="52"/>
        <v>00</v>
      </c>
      <c r="AG320" s="98" t="str">
        <f t="shared" si="59"/>
        <v>000000000000</v>
      </c>
      <c r="AH320" s="161" t="str">
        <f t="shared" si="53"/>
        <v xml:space="preserve">                    </v>
      </c>
      <c r="AI320" s="154">
        <f t="shared" si="54"/>
        <v>0</v>
      </c>
      <c r="AJ320" s="155">
        <f t="shared" si="55"/>
        <v>0</v>
      </c>
      <c r="AP320" s="63" t="str">
        <f t="shared" si="56"/>
        <v/>
      </c>
      <c r="AQ320" s="63" t="str">
        <f t="shared" si="50"/>
        <v xml:space="preserve">                    </v>
      </c>
      <c r="AR320" s="63"/>
      <c r="AS320" s="63"/>
      <c r="AT320" s="63"/>
      <c r="AU320" s="63"/>
      <c r="AV320" s="63"/>
      <c r="AW320" s="63"/>
      <c r="AX320" s="63"/>
      <c r="AY320" s="63"/>
      <c r="AZ320" s="63"/>
      <c r="BA320" s="63"/>
      <c r="BB320" s="63"/>
      <c r="BC320" s="63"/>
      <c r="BD320" s="63"/>
      <c r="BE320" s="63"/>
      <c r="BF320" s="63"/>
      <c r="BG320" s="63"/>
      <c r="BH320" s="63"/>
      <c r="BI320" s="63"/>
      <c r="BJ320" s="63"/>
      <c r="BK320" s="63"/>
      <c r="BL320" s="63"/>
      <c r="BM320" s="63"/>
      <c r="BN320" s="63"/>
      <c r="BO320" s="63"/>
      <c r="BP320" s="63"/>
      <c r="BQ320" s="63"/>
      <c r="BR320" s="63"/>
      <c r="BS320" s="63"/>
      <c r="BT320" s="63"/>
      <c r="BU320" s="63"/>
      <c r="BV320" s="63"/>
      <c r="BW320" s="63"/>
    </row>
    <row r="321" spans="1:75" x14ac:dyDescent="0.2">
      <c r="A321" s="63" t="str">
        <f t="shared" si="57"/>
        <v/>
      </c>
      <c r="B321" s="182"/>
      <c r="C321" s="75"/>
      <c r="D321" s="75"/>
      <c r="E321" s="74"/>
      <c r="F321" s="181"/>
      <c r="G321" s="69"/>
      <c r="AB321" s="150">
        <f t="shared" si="48"/>
        <v>0</v>
      </c>
      <c r="AC321" s="150">
        <f t="shared" si="49"/>
        <v>0</v>
      </c>
      <c r="AD321" s="98" t="str">
        <f t="shared" si="58"/>
        <v>0000000000</v>
      </c>
      <c r="AE321" s="151">
        <f t="shared" si="51"/>
        <v>0</v>
      </c>
      <c r="AF321" s="98" t="str">
        <f t="shared" si="52"/>
        <v>00</v>
      </c>
      <c r="AG321" s="98" t="str">
        <f t="shared" si="59"/>
        <v>000000000000</v>
      </c>
      <c r="AH321" s="161" t="str">
        <f t="shared" si="53"/>
        <v xml:space="preserve">                    </v>
      </c>
      <c r="AI321" s="154">
        <f t="shared" si="54"/>
        <v>0</v>
      </c>
      <c r="AJ321" s="155">
        <f t="shared" si="55"/>
        <v>0</v>
      </c>
      <c r="AP321" s="63" t="str">
        <f t="shared" si="56"/>
        <v/>
      </c>
      <c r="AQ321" s="63" t="str">
        <f t="shared" si="50"/>
        <v xml:space="preserve">                    </v>
      </c>
      <c r="AR321" s="63"/>
      <c r="AS321" s="63"/>
      <c r="AT321" s="63"/>
      <c r="AU321" s="63"/>
      <c r="AV321" s="63"/>
      <c r="AW321" s="63"/>
      <c r="AX321" s="63"/>
      <c r="AY321" s="63"/>
      <c r="AZ321" s="63"/>
      <c r="BA321" s="63"/>
      <c r="BB321" s="63"/>
      <c r="BC321" s="63"/>
      <c r="BD321" s="63"/>
      <c r="BE321" s="63"/>
      <c r="BF321" s="63"/>
      <c r="BG321" s="63"/>
      <c r="BH321" s="63"/>
      <c r="BI321" s="63"/>
      <c r="BJ321" s="63"/>
      <c r="BK321" s="63"/>
      <c r="BL321" s="63"/>
      <c r="BM321" s="63"/>
      <c r="BN321" s="63"/>
      <c r="BO321" s="63"/>
      <c r="BP321" s="63"/>
      <c r="BQ321" s="63"/>
      <c r="BR321" s="63"/>
      <c r="BS321" s="63"/>
      <c r="BT321" s="63"/>
      <c r="BU321" s="63"/>
      <c r="BV321" s="63"/>
      <c r="BW321" s="63"/>
    </row>
    <row r="322" spans="1:75" x14ac:dyDescent="0.2">
      <c r="A322" s="63" t="str">
        <f t="shared" si="57"/>
        <v/>
      </c>
      <c r="B322" s="182"/>
      <c r="C322" s="75"/>
      <c r="D322" s="75"/>
      <c r="E322" s="74"/>
      <c r="F322" s="181"/>
      <c r="G322" s="69"/>
      <c r="AB322" s="150">
        <f t="shared" si="48"/>
        <v>0</v>
      </c>
      <c r="AC322" s="150">
        <f t="shared" si="49"/>
        <v>0</v>
      </c>
      <c r="AD322" s="98" t="str">
        <f t="shared" si="58"/>
        <v>0000000000</v>
      </c>
      <c r="AE322" s="151">
        <f t="shared" si="51"/>
        <v>0</v>
      </c>
      <c r="AF322" s="98" t="str">
        <f t="shared" si="52"/>
        <v>00</v>
      </c>
      <c r="AG322" s="98" t="str">
        <f t="shared" si="59"/>
        <v>000000000000</v>
      </c>
      <c r="AH322" s="161" t="str">
        <f t="shared" si="53"/>
        <v xml:space="preserve">                    </v>
      </c>
      <c r="AI322" s="154">
        <f t="shared" si="54"/>
        <v>0</v>
      </c>
      <c r="AJ322" s="155">
        <f t="shared" si="55"/>
        <v>0</v>
      </c>
      <c r="AP322" s="63" t="str">
        <f t="shared" si="56"/>
        <v/>
      </c>
      <c r="AQ322" s="63" t="str">
        <f t="shared" si="50"/>
        <v xml:space="preserve">                    </v>
      </c>
      <c r="AR322" s="63"/>
      <c r="AS322" s="63"/>
      <c r="AT322" s="63"/>
      <c r="AU322" s="63"/>
      <c r="AV322" s="63"/>
      <c r="AW322" s="63"/>
      <c r="AX322" s="63"/>
      <c r="AY322" s="63"/>
      <c r="AZ322" s="63"/>
      <c r="BA322" s="63"/>
      <c r="BB322" s="63"/>
      <c r="BC322" s="63"/>
      <c r="BD322" s="63"/>
      <c r="BE322" s="63"/>
      <c r="BF322" s="63"/>
      <c r="BG322" s="63"/>
      <c r="BH322" s="63"/>
      <c r="BI322" s="63"/>
      <c r="BJ322" s="63"/>
      <c r="BK322" s="63"/>
      <c r="BL322" s="63"/>
      <c r="BM322" s="63"/>
      <c r="BN322" s="63"/>
      <c r="BO322" s="63"/>
      <c r="BP322" s="63"/>
      <c r="BQ322" s="63"/>
      <c r="BR322" s="63"/>
      <c r="BS322" s="63"/>
      <c r="BT322" s="63"/>
      <c r="BU322" s="63"/>
      <c r="BV322" s="63"/>
      <c r="BW322" s="63"/>
    </row>
    <row r="323" spans="1:75" x14ac:dyDescent="0.2">
      <c r="A323" s="63" t="str">
        <f t="shared" si="57"/>
        <v/>
      </c>
      <c r="B323" s="182"/>
      <c r="C323" s="75"/>
      <c r="D323" s="75"/>
      <c r="E323" s="74"/>
      <c r="F323" s="181"/>
      <c r="G323" s="69"/>
      <c r="AB323" s="150">
        <f t="shared" ref="AB323:AB386" si="60">INT(F323)</f>
        <v>0</v>
      </c>
      <c r="AC323" s="150">
        <f t="shared" ref="AC323:AC386" si="61">F323-AB323</f>
        <v>0</v>
      </c>
      <c r="AD323" s="98" t="str">
        <f t="shared" si="58"/>
        <v>0000000000</v>
      </c>
      <c r="AE323" s="151">
        <f t="shared" si="51"/>
        <v>0</v>
      </c>
      <c r="AF323" s="98" t="str">
        <f t="shared" si="52"/>
        <v>00</v>
      </c>
      <c r="AG323" s="98" t="str">
        <f t="shared" si="59"/>
        <v>000000000000</v>
      </c>
      <c r="AH323" s="161" t="str">
        <f t="shared" si="53"/>
        <v xml:space="preserve">                    </v>
      </c>
      <c r="AI323" s="154">
        <f t="shared" si="54"/>
        <v>0</v>
      </c>
      <c r="AJ323" s="155">
        <f t="shared" si="55"/>
        <v>0</v>
      </c>
      <c r="AP323" s="63" t="str">
        <f t="shared" si="56"/>
        <v/>
      </c>
      <c r="AQ323" s="63" t="str">
        <f t="shared" ref="AQ323:AQ386" si="62">CONCATENATE(D323,REPT(" ",20-LEN(D323)))</f>
        <v xml:space="preserve">                    </v>
      </c>
      <c r="AR323" s="63"/>
      <c r="AS323" s="63"/>
      <c r="AT323" s="63"/>
      <c r="AU323" s="63"/>
      <c r="AV323" s="63"/>
      <c r="AW323" s="63"/>
      <c r="AX323" s="63"/>
      <c r="AY323" s="63"/>
      <c r="AZ323" s="63"/>
      <c r="BA323" s="63"/>
      <c r="BB323" s="63"/>
      <c r="BC323" s="63"/>
      <c r="BD323" s="63"/>
      <c r="BE323" s="63"/>
      <c r="BF323" s="63"/>
      <c r="BG323" s="63"/>
      <c r="BH323" s="63"/>
      <c r="BI323" s="63"/>
      <c r="BJ323" s="63"/>
      <c r="BK323" s="63"/>
      <c r="BL323" s="63"/>
      <c r="BM323" s="63"/>
      <c r="BN323" s="63"/>
      <c r="BO323" s="63"/>
      <c r="BP323" s="63"/>
      <c r="BQ323" s="63"/>
      <c r="BR323" s="63"/>
      <c r="BS323" s="63"/>
      <c r="BT323" s="63"/>
      <c r="BU323" s="63"/>
      <c r="BV323" s="63"/>
      <c r="BW323" s="63"/>
    </row>
    <row r="324" spans="1:75" x14ac:dyDescent="0.2">
      <c r="A324" s="63" t="str">
        <f t="shared" si="57"/>
        <v/>
      </c>
      <c r="B324" s="182"/>
      <c r="C324" s="75"/>
      <c r="D324" s="75"/>
      <c r="E324" s="74"/>
      <c r="F324" s="181"/>
      <c r="G324" s="69"/>
      <c r="AB324" s="150">
        <f t="shared" si="60"/>
        <v>0</v>
      </c>
      <c r="AC324" s="150">
        <f t="shared" si="61"/>
        <v>0</v>
      </c>
      <c r="AD324" s="98" t="str">
        <f t="shared" si="58"/>
        <v>0000000000</v>
      </c>
      <c r="AE324" s="151">
        <f t="shared" ref="AE324:AE387" si="63">AC324*100</f>
        <v>0</v>
      </c>
      <c r="AF324" s="98" t="str">
        <f t="shared" ref="AF324:AF387" si="64">TEXT(AE324,"00")</f>
        <v>00</v>
      </c>
      <c r="AG324" s="98" t="str">
        <f t="shared" si="59"/>
        <v>000000000000</v>
      </c>
      <c r="AH324" s="161" t="str">
        <f t="shared" ref="AH324:AH387" si="65">CONCATENATE(C324,REPT(" ",20-LEN(C324)))</f>
        <v xml:space="preserve">                    </v>
      </c>
      <c r="AI324" s="154">
        <f t="shared" ref="AI324:AI387" si="66">IF(E324&lt;&gt;"",IF(E324=$E$3,0,1),0)</f>
        <v>0</v>
      </c>
      <c r="AJ324" s="155">
        <f t="shared" ref="AJ324:AJ387" si="67">IF(AI324=1,IF($E$3=1,F324*$H$14,F324/$H$14),F324)</f>
        <v>0</v>
      </c>
      <c r="AP324" s="63" t="str">
        <f t="shared" ref="AP324:AP387" si="68">IF(B325&lt;&gt;"",CONCATENATE("000",B325,"0",E325,"2","    00000000",AG325,"            ",AQ325,AH325,"                                                                                               "),"")</f>
        <v/>
      </c>
      <c r="AQ324" s="63" t="str">
        <f t="shared" si="62"/>
        <v xml:space="preserve">                    </v>
      </c>
      <c r="AR324" s="63"/>
      <c r="AS324" s="63"/>
      <c r="AT324" s="63"/>
      <c r="AU324" s="63"/>
      <c r="AV324" s="63"/>
      <c r="AW324" s="63"/>
      <c r="AX324" s="63"/>
      <c r="AY324" s="63"/>
      <c r="AZ324" s="63"/>
      <c r="BA324" s="63"/>
      <c r="BB324" s="63"/>
      <c r="BC324" s="63"/>
      <c r="BD324" s="63"/>
      <c r="BE324" s="63"/>
      <c r="BF324" s="63"/>
      <c r="BG324" s="63"/>
      <c r="BH324" s="63"/>
      <c r="BI324" s="63"/>
      <c r="BJ324" s="63"/>
      <c r="BK324" s="63"/>
      <c r="BL324" s="63"/>
      <c r="BM324" s="63"/>
      <c r="BN324" s="63"/>
      <c r="BO324" s="63"/>
      <c r="BP324" s="63"/>
      <c r="BQ324" s="63"/>
      <c r="BR324" s="63"/>
      <c r="BS324" s="63"/>
      <c r="BT324" s="63"/>
      <c r="BU324" s="63"/>
      <c r="BV324" s="63"/>
      <c r="BW324" s="63"/>
    </row>
    <row r="325" spans="1:75" x14ac:dyDescent="0.2">
      <c r="A325" s="63" t="str">
        <f t="shared" si="57"/>
        <v/>
      </c>
      <c r="B325" s="182"/>
      <c r="C325" s="75"/>
      <c r="D325" s="75"/>
      <c r="E325" s="74"/>
      <c r="F325" s="181"/>
      <c r="G325" s="69"/>
      <c r="AB325" s="150">
        <f t="shared" si="60"/>
        <v>0</v>
      </c>
      <c r="AC325" s="150">
        <f t="shared" si="61"/>
        <v>0</v>
      </c>
      <c r="AD325" s="98" t="str">
        <f t="shared" si="58"/>
        <v>0000000000</v>
      </c>
      <c r="AE325" s="151">
        <f t="shared" si="63"/>
        <v>0</v>
      </c>
      <c r="AF325" s="98" t="str">
        <f t="shared" si="64"/>
        <v>00</v>
      </c>
      <c r="AG325" s="98" t="str">
        <f t="shared" si="59"/>
        <v>000000000000</v>
      </c>
      <c r="AH325" s="161" t="str">
        <f t="shared" si="65"/>
        <v xml:space="preserve">                    </v>
      </c>
      <c r="AI325" s="154">
        <f t="shared" si="66"/>
        <v>0</v>
      </c>
      <c r="AJ325" s="155">
        <f t="shared" si="67"/>
        <v>0</v>
      </c>
      <c r="AP325" s="63" t="str">
        <f t="shared" si="68"/>
        <v/>
      </c>
      <c r="AQ325" s="63" t="str">
        <f t="shared" si="62"/>
        <v xml:space="preserve">                    </v>
      </c>
      <c r="AR325" s="63"/>
      <c r="AS325" s="63"/>
      <c r="AT325" s="63"/>
      <c r="AU325" s="63"/>
      <c r="AV325" s="63"/>
      <c r="AW325" s="63"/>
      <c r="AX325" s="63"/>
      <c r="AY325" s="63"/>
      <c r="AZ325" s="63"/>
      <c r="BA325" s="63"/>
      <c r="BB325" s="63"/>
      <c r="BC325" s="63"/>
      <c r="BD325" s="63"/>
      <c r="BE325" s="63"/>
      <c r="BF325" s="63"/>
      <c r="BG325" s="63"/>
      <c r="BH325" s="63"/>
      <c r="BI325" s="63"/>
      <c r="BJ325" s="63"/>
      <c r="BK325" s="63"/>
      <c r="BL325" s="63"/>
      <c r="BM325" s="63"/>
      <c r="BN325" s="63"/>
      <c r="BO325" s="63"/>
      <c r="BP325" s="63"/>
      <c r="BQ325" s="63"/>
      <c r="BR325" s="63"/>
      <c r="BS325" s="63"/>
      <c r="BT325" s="63"/>
      <c r="BU325" s="63"/>
      <c r="BV325" s="63"/>
      <c r="BW325" s="63"/>
    </row>
    <row r="326" spans="1:75" x14ac:dyDescent="0.2">
      <c r="A326" s="63" t="str">
        <f t="shared" ref="A326:A389" si="69">IF(B326&lt;&gt;"",A325+1,"")</f>
        <v/>
      </c>
      <c r="B326" s="182"/>
      <c r="C326" s="75"/>
      <c r="D326" s="75"/>
      <c r="E326" s="74"/>
      <c r="F326" s="181"/>
      <c r="G326" s="69"/>
      <c r="AB326" s="150">
        <f t="shared" si="60"/>
        <v>0</v>
      </c>
      <c r="AC326" s="150">
        <f t="shared" si="61"/>
        <v>0</v>
      </c>
      <c r="AD326" s="98" t="str">
        <f t="shared" si="58"/>
        <v>0000000000</v>
      </c>
      <c r="AE326" s="151">
        <f t="shared" si="63"/>
        <v>0</v>
      </c>
      <c r="AF326" s="98" t="str">
        <f t="shared" si="64"/>
        <v>00</v>
      </c>
      <c r="AG326" s="98" t="str">
        <f t="shared" si="59"/>
        <v>000000000000</v>
      </c>
      <c r="AH326" s="161" t="str">
        <f t="shared" si="65"/>
        <v xml:space="preserve">                    </v>
      </c>
      <c r="AI326" s="154">
        <f t="shared" si="66"/>
        <v>0</v>
      </c>
      <c r="AJ326" s="155">
        <f t="shared" si="67"/>
        <v>0</v>
      </c>
      <c r="AP326" s="63" t="str">
        <f t="shared" si="68"/>
        <v/>
      </c>
      <c r="AQ326" s="63" t="str">
        <f t="shared" si="62"/>
        <v xml:space="preserve">                    </v>
      </c>
      <c r="AR326" s="63"/>
      <c r="AS326" s="63"/>
      <c r="AT326" s="63"/>
      <c r="AU326" s="63"/>
      <c r="AV326" s="63"/>
      <c r="AW326" s="63"/>
      <c r="AX326" s="63"/>
      <c r="AY326" s="63"/>
      <c r="AZ326" s="63"/>
      <c r="BA326" s="63"/>
      <c r="BB326" s="63"/>
      <c r="BC326" s="63"/>
      <c r="BD326" s="63"/>
      <c r="BE326" s="63"/>
      <c r="BF326" s="63"/>
      <c r="BG326" s="63"/>
      <c r="BH326" s="63"/>
      <c r="BI326" s="63"/>
      <c r="BJ326" s="63"/>
      <c r="BK326" s="63"/>
      <c r="BL326" s="63"/>
      <c r="BM326" s="63"/>
      <c r="BN326" s="63"/>
      <c r="BO326" s="63"/>
      <c r="BP326" s="63"/>
      <c r="BQ326" s="63"/>
      <c r="BR326" s="63"/>
      <c r="BS326" s="63"/>
      <c r="BT326" s="63"/>
      <c r="BU326" s="63"/>
      <c r="BV326" s="63"/>
      <c r="BW326" s="63"/>
    </row>
    <row r="327" spans="1:75" x14ac:dyDescent="0.2">
      <c r="A327" s="63" t="str">
        <f t="shared" si="69"/>
        <v/>
      </c>
      <c r="B327" s="182"/>
      <c r="C327" s="75"/>
      <c r="D327" s="75"/>
      <c r="E327" s="74"/>
      <c r="F327" s="181"/>
      <c r="G327" s="69"/>
      <c r="AB327" s="150">
        <f t="shared" si="60"/>
        <v>0</v>
      </c>
      <c r="AC327" s="150">
        <f t="shared" si="61"/>
        <v>0</v>
      </c>
      <c r="AD327" s="98" t="str">
        <f t="shared" si="58"/>
        <v>0000000000</v>
      </c>
      <c r="AE327" s="151">
        <f t="shared" si="63"/>
        <v>0</v>
      </c>
      <c r="AF327" s="98" t="str">
        <f t="shared" si="64"/>
        <v>00</v>
      </c>
      <c r="AG327" s="98" t="str">
        <f t="shared" si="59"/>
        <v>000000000000</v>
      </c>
      <c r="AH327" s="161" t="str">
        <f t="shared" si="65"/>
        <v xml:space="preserve">                    </v>
      </c>
      <c r="AI327" s="154">
        <f t="shared" si="66"/>
        <v>0</v>
      </c>
      <c r="AJ327" s="155">
        <f t="shared" si="67"/>
        <v>0</v>
      </c>
      <c r="AP327" s="63" t="str">
        <f t="shared" si="68"/>
        <v/>
      </c>
      <c r="AQ327" s="63" t="str">
        <f t="shared" si="62"/>
        <v xml:space="preserve">                    </v>
      </c>
      <c r="AR327" s="63"/>
      <c r="AS327" s="63"/>
      <c r="AT327" s="63"/>
      <c r="AU327" s="63"/>
      <c r="AV327" s="63"/>
      <c r="AW327" s="63"/>
      <c r="AX327" s="63"/>
      <c r="AY327" s="63"/>
      <c r="AZ327" s="63"/>
      <c r="BA327" s="63"/>
      <c r="BB327" s="63"/>
      <c r="BC327" s="63"/>
      <c r="BD327" s="63"/>
      <c r="BE327" s="63"/>
      <c r="BF327" s="63"/>
      <c r="BG327" s="63"/>
      <c r="BH327" s="63"/>
      <c r="BI327" s="63"/>
      <c r="BJ327" s="63"/>
      <c r="BK327" s="63"/>
      <c r="BL327" s="63"/>
      <c r="BM327" s="63"/>
      <c r="BN327" s="63"/>
      <c r="BO327" s="63"/>
      <c r="BP327" s="63"/>
      <c r="BQ327" s="63"/>
      <c r="BR327" s="63"/>
      <c r="BS327" s="63"/>
      <c r="BT327" s="63"/>
      <c r="BU327" s="63"/>
      <c r="BV327" s="63"/>
      <c r="BW327" s="63"/>
    </row>
    <row r="328" spans="1:75" x14ac:dyDescent="0.2">
      <c r="A328" s="63" t="str">
        <f t="shared" si="69"/>
        <v/>
      </c>
      <c r="B328" s="182"/>
      <c r="C328" s="75"/>
      <c r="D328" s="75"/>
      <c r="E328" s="74"/>
      <c r="F328" s="181"/>
      <c r="G328" s="69"/>
      <c r="AB328" s="150">
        <f t="shared" si="60"/>
        <v>0</v>
      </c>
      <c r="AC328" s="150">
        <f t="shared" si="61"/>
        <v>0</v>
      </c>
      <c r="AD328" s="98" t="str">
        <f t="shared" ref="AD328:AD391" si="70">TEXT(AB328,"0000000000")</f>
        <v>0000000000</v>
      </c>
      <c r="AE328" s="151">
        <f t="shared" si="63"/>
        <v>0</v>
      </c>
      <c r="AF328" s="98" t="str">
        <f t="shared" si="64"/>
        <v>00</v>
      </c>
      <c r="AG328" s="98" t="str">
        <f t="shared" ref="AG328:AG391" si="71">CONCATENATE(AD328,AF328)</f>
        <v>000000000000</v>
      </c>
      <c r="AH328" s="161" t="str">
        <f t="shared" si="65"/>
        <v xml:space="preserve">                    </v>
      </c>
      <c r="AI328" s="154">
        <f t="shared" si="66"/>
        <v>0</v>
      </c>
      <c r="AJ328" s="155">
        <f t="shared" si="67"/>
        <v>0</v>
      </c>
      <c r="AP328" s="63" t="str">
        <f t="shared" si="68"/>
        <v/>
      </c>
      <c r="AQ328" s="63" t="str">
        <f t="shared" si="62"/>
        <v xml:space="preserve">                    </v>
      </c>
      <c r="AR328" s="63"/>
      <c r="AS328" s="63"/>
      <c r="AT328" s="63"/>
      <c r="AU328" s="63"/>
      <c r="AV328" s="63"/>
      <c r="AW328" s="63"/>
      <c r="AX328" s="63"/>
      <c r="AY328" s="63"/>
      <c r="AZ328" s="63"/>
      <c r="BA328" s="63"/>
      <c r="BB328" s="63"/>
      <c r="BC328" s="63"/>
      <c r="BD328" s="63"/>
      <c r="BE328" s="63"/>
      <c r="BF328" s="63"/>
      <c r="BG328" s="63"/>
      <c r="BH328" s="63"/>
      <c r="BI328" s="63"/>
      <c r="BJ328" s="63"/>
      <c r="BK328" s="63"/>
      <c r="BL328" s="63"/>
      <c r="BM328" s="63"/>
      <c r="BN328" s="63"/>
      <c r="BO328" s="63"/>
      <c r="BP328" s="63"/>
      <c r="BQ328" s="63"/>
      <c r="BR328" s="63"/>
      <c r="BS328" s="63"/>
      <c r="BT328" s="63"/>
      <c r="BU328" s="63"/>
      <c r="BV328" s="63"/>
      <c r="BW328" s="63"/>
    </row>
    <row r="329" spans="1:75" x14ac:dyDescent="0.2">
      <c r="A329" s="63" t="str">
        <f t="shared" si="69"/>
        <v/>
      </c>
      <c r="B329" s="182"/>
      <c r="C329" s="75"/>
      <c r="D329" s="75"/>
      <c r="E329" s="74"/>
      <c r="F329" s="181"/>
      <c r="G329" s="69"/>
      <c r="AB329" s="150">
        <f t="shared" si="60"/>
        <v>0</v>
      </c>
      <c r="AC329" s="150">
        <f t="shared" si="61"/>
        <v>0</v>
      </c>
      <c r="AD329" s="98" t="str">
        <f t="shared" si="70"/>
        <v>0000000000</v>
      </c>
      <c r="AE329" s="151">
        <f t="shared" si="63"/>
        <v>0</v>
      </c>
      <c r="AF329" s="98" t="str">
        <f t="shared" si="64"/>
        <v>00</v>
      </c>
      <c r="AG329" s="98" t="str">
        <f t="shared" si="71"/>
        <v>000000000000</v>
      </c>
      <c r="AH329" s="161" t="str">
        <f t="shared" si="65"/>
        <v xml:space="preserve">                    </v>
      </c>
      <c r="AI329" s="154">
        <f t="shared" si="66"/>
        <v>0</v>
      </c>
      <c r="AJ329" s="155">
        <f t="shared" si="67"/>
        <v>0</v>
      </c>
      <c r="AP329" s="63" t="str">
        <f t="shared" si="68"/>
        <v/>
      </c>
      <c r="AQ329" s="63" t="str">
        <f t="shared" si="62"/>
        <v xml:space="preserve">                    </v>
      </c>
      <c r="AR329" s="63"/>
      <c r="AS329" s="63"/>
      <c r="AT329" s="63"/>
      <c r="AU329" s="63"/>
      <c r="AV329" s="63"/>
      <c r="AW329" s="63"/>
      <c r="AX329" s="63"/>
      <c r="AY329" s="63"/>
      <c r="AZ329" s="63"/>
      <c r="BA329" s="63"/>
      <c r="BB329" s="63"/>
      <c r="BC329" s="63"/>
      <c r="BD329" s="63"/>
      <c r="BE329" s="63"/>
      <c r="BF329" s="63"/>
      <c r="BG329" s="63"/>
      <c r="BH329" s="63"/>
      <c r="BI329" s="63"/>
      <c r="BJ329" s="63"/>
      <c r="BK329" s="63"/>
      <c r="BL329" s="63"/>
      <c r="BM329" s="63"/>
      <c r="BN329" s="63"/>
      <c r="BO329" s="63"/>
      <c r="BP329" s="63"/>
      <c r="BQ329" s="63"/>
      <c r="BR329" s="63"/>
      <c r="BS329" s="63"/>
      <c r="BT329" s="63"/>
      <c r="BU329" s="63"/>
      <c r="BV329" s="63"/>
      <c r="BW329" s="63"/>
    </row>
    <row r="330" spans="1:75" x14ac:dyDescent="0.2">
      <c r="A330" s="63" t="str">
        <f t="shared" si="69"/>
        <v/>
      </c>
      <c r="B330" s="182"/>
      <c r="C330" s="75"/>
      <c r="D330" s="75"/>
      <c r="E330" s="74"/>
      <c r="F330" s="181"/>
      <c r="G330" s="69"/>
      <c r="AB330" s="150">
        <f t="shared" si="60"/>
        <v>0</v>
      </c>
      <c r="AC330" s="150">
        <f t="shared" si="61"/>
        <v>0</v>
      </c>
      <c r="AD330" s="98" t="str">
        <f t="shared" si="70"/>
        <v>0000000000</v>
      </c>
      <c r="AE330" s="151">
        <f t="shared" si="63"/>
        <v>0</v>
      </c>
      <c r="AF330" s="98" t="str">
        <f t="shared" si="64"/>
        <v>00</v>
      </c>
      <c r="AG330" s="98" t="str">
        <f t="shared" si="71"/>
        <v>000000000000</v>
      </c>
      <c r="AH330" s="161" t="str">
        <f t="shared" si="65"/>
        <v xml:space="preserve">                    </v>
      </c>
      <c r="AI330" s="154">
        <f t="shared" si="66"/>
        <v>0</v>
      </c>
      <c r="AJ330" s="155">
        <f t="shared" si="67"/>
        <v>0</v>
      </c>
      <c r="AP330" s="63" t="str">
        <f t="shared" si="68"/>
        <v/>
      </c>
      <c r="AQ330" s="63" t="str">
        <f t="shared" si="62"/>
        <v xml:space="preserve">                    </v>
      </c>
      <c r="AR330" s="63"/>
      <c r="AS330" s="63"/>
      <c r="AT330" s="63"/>
      <c r="AU330" s="63"/>
      <c r="AV330" s="63"/>
      <c r="AW330" s="63"/>
      <c r="AX330" s="63"/>
      <c r="AY330" s="63"/>
      <c r="AZ330" s="63"/>
      <c r="BA330" s="63"/>
      <c r="BB330" s="63"/>
      <c r="BC330" s="63"/>
      <c r="BD330" s="63"/>
      <c r="BE330" s="63"/>
      <c r="BF330" s="63"/>
      <c r="BG330" s="63"/>
      <c r="BH330" s="63"/>
      <c r="BI330" s="63"/>
      <c r="BJ330" s="63"/>
      <c r="BK330" s="63"/>
      <c r="BL330" s="63"/>
      <c r="BM330" s="63"/>
      <c r="BN330" s="63"/>
      <c r="BO330" s="63"/>
      <c r="BP330" s="63"/>
      <c r="BQ330" s="63"/>
      <c r="BR330" s="63"/>
      <c r="BS330" s="63"/>
      <c r="BT330" s="63"/>
      <c r="BU330" s="63"/>
      <c r="BV330" s="63"/>
      <c r="BW330" s="63"/>
    </row>
    <row r="331" spans="1:75" x14ac:dyDescent="0.2">
      <c r="A331" s="63" t="str">
        <f t="shared" si="69"/>
        <v/>
      </c>
      <c r="B331" s="182"/>
      <c r="C331" s="75"/>
      <c r="D331" s="75"/>
      <c r="E331" s="74"/>
      <c r="F331" s="181"/>
      <c r="G331" s="69"/>
      <c r="AB331" s="150">
        <f t="shared" si="60"/>
        <v>0</v>
      </c>
      <c r="AC331" s="150">
        <f t="shared" si="61"/>
        <v>0</v>
      </c>
      <c r="AD331" s="98" t="str">
        <f t="shared" si="70"/>
        <v>0000000000</v>
      </c>
      <c r="AE331" s="151">
        <f t="shared" si="63"/>
        <v>0</v>
      </c>
      <c r="AF331" s="98" t="str">
        <f t="shared" si="64"/>
        <v>00</v>
      </c>
      <c r="AG331" s="98" t="str">
        <f t="shared" si="71"/>
        <v>000000000000</v>
      </c>
      <c r="AH331" s="161" t="str">
        <f t="shared" si="65"/>
        <v xml:space="preserve">                    </v>
      </c>
      <c r="AI331" s="154">
        <f t="shared" si="66"/>
        <v>0</v>
      </c>
      <c r="AJ331" s="155">
        <f t="shared" si="67"/>
        <v>0</v>
      </c>
      <c r="AP331" s="63" t="str">
        <f t="shared" si="68"/>
        <v/>
      </c>
      <c r="AQ331" s="63" t="str">
        <f t="shared" si="62"/>
        <v xml:space="preserve">                    </v>
      </c>
      <c r="AR331" s="63"/>
      <c r="AS331" s="63"/>
      <c r="AT331" s="63"/>
      <c r="AU331" s="63"/>
      <c r="AV331" s="63"/>
      <c r="AW331" s="63"/>
      <c r="AX331" s="63"/>
      <c r="AY331" s="63"/>
      <c r="AZ331" s="63"/>
      <c r="BA331" s="63"/>
      <c r="BB331" s="63"/>
      <c r="BC331" s="63"/>
      <c r="BD331" s="63"/>
      <c r="BE331" s="63"/>
      <c r="BF331" s="63"/>
      <c r="BG331" s="63"/>
      <c r="BH331" s="63"/>
      <c r="BI331" s="63"/>
      <c r="BJ331" s="63"/>
      <c r="BK331" s="63"/>
      <c r="BL331" s="63"/>
      <c r="BM331" s="63"/>
      <c r="BN331" s="63"/>
      <c r="BO331" s="63"/>
      <c r="BP331" s="63"/>
      <c r="BQ331" s="63"/>
      <c r="BR331" s="63"/>
      <c r="BS331" s="63"/>
      <c r="BT331" s="63"/>
      <c r="BU331" s="63"/>
      <c r="BV331" s="63"/>
      <c r="BW331" s="63"/>
    </row>
    <row r="332" spans="1:75" x14ac:dyDescent="0.2">
      <c r="A332" s="63" t="str">
        <f t="shared" si="69"/>
        <v/>
      </c>
      <c r="B332" s="182"/>
      <c r="C332" s="75"/>
      <c r="D332" s="75"/>
      <c r="E332" s="74"/>
      <c r="F332" s="181"/>
      <c r="G332" s="69"/>
      <c r="AB332" s="150">
        <f t="shared" si="60"/>
        <v>0</v>
      </c>
      <c r="AC332" s="150">
        <f t="shared" si="61"/>
        <v>0</v>
      </c>
      <c r="AD332" s="98" t="str">
        <f t="shared" si="70"/>
        <v>0000000000</v>
      </c>
      <c r="AE332" s="151">
        <f t="shared" si="63"/>
        <v>0</v>
      </c>
      <c r="AF332" s="98" t="str">
        <f t="shared" si="64"/>
        <v>00</v>
      </c>
      <c r="AG332" s="98" t="str">
        <f t="shared" si="71"/>
        <v>000000000000</v>
      </c>
      <c r="AH332" s="161" t="str">
        <f t="shared" si="65"/>
        <v xml:space="preserve">                    </v>
      </c>
      <c r="AI332" s="154">
        <f t="shared" si="66"/>
        <v>0</v>
      </c>
      <c r="AJ332" s="155">
        <f t="shared" si="67"/>
        <v>0</v>
      </c>
      <c r="AP332" s="63" t="str">
        <f t="shared" si="68"/>
        <v/>
      </c>
      <c r="AQ332" s="63" t="str">
        <f t="shared" si="62"/>
        <v xml:space="preserve">                    </v>
      </c>
      <c r="AR332" s="63"/>
      <c r="AS332" s="63"/>
      <c r="AT332" s="63"/>
      <c r="AU332" s="63"/>
      <c r="AV332" s="63"/>
      <c r="AW332" s="63"/>
      <c r="AX332" s="63"/>
      <c r="AY332" s="63"/>
      <c r="AZ332" s="63"/>
      <c r="BA332" s="63"/>
      <c r="BB332" s="63"/>
      <c r="BC332" s="63"/>
      <c r="BD332" s="63"/>
      <c r="BE332" s="63"/>
      <c r="BF332" s="63"/>
      <c r="BG332" s="63"/>
      <c r="BH332" s="63"/>
      <c r="BI332" s="63"/>
      <c r="BJ332" s="63"/>
      <c r="BK332" s="63"/>
      <c r="BL332" s="63"/>
      <c r="BM332" s="63"/>
      <c r="BN332" s="63"/>
      <c r="BO332" s="63"/>
      <c r="BP332" s="63"/>
      <c r="BQ332" s="63"/>
      <c r="BR332" s="63"/>
      <c r="BS332" s="63"/>
      <c r="BT332" s="63"/>
      <c r="BU332" s="63"/>
      <c r="BV332" s="63"/>
      <c r="BW332" s="63"/>
    </row>
    <row r="333" spans="1:75" x14ac:dyDescent="0.2">
      <c r="A333" s="63" t="str">
        <f t="shared" si="69"/>
        <v/>
      </c>
      <c r="B333" s="182"/>
      <c r="C333" s="75"/>
      <c r="D333" s="75"/>
      <c r="E333" s="74"/>
      <c r="F333" s="181"/>
      <c r="G333" s="69"/>
      <c r="AB333" s="150">
        <f t="shared" si="60"/>
        <v>0</v>
      </c>
      <c r="AC333" s="150">
        <f t="shared" si="61"/>
        <v>0</v>
      </c>
      <c r="AD333" s="98" t="str">
        <f t="shared" si="70"/>
        <v>0000000000</v>
      </c>
      <c r="AE333" s="151">
        <f t="shared" si="63"/>
        <v>0</v>
      </c>
      <c r="AF333" s="98" t="str">
        <f t="shared" si="64"/>
        <v>00</v>
      </c>
      <c r="AG333" s="98" t="str">
        <f t="shared" si="71"/>
        <v>000000000000</v>
      </c>
      <c r="AH333" s="161" t="str">
        <f t="shared" si="65"/>
        <v xml:space="preserve">                    </v>
      </c>
      <c r="AI333" s="154">
        <f t="shared" si="66"/>
        <v>0</v>
      </c>
      <c r="AJ333" s="155">
        <f t="shared" si="67"/>
        <v>0</v>
      </c>
      <c r="AP333" s="63" t="str">
        <f t="shared" si="68"/>
        <v/>
      </c>
      <c r="AQ333" s="63" t="str">
        <f t="shared" si="62"/>
        <v xml:space="preserve">                    </v>
      </c>
      <c r="AR333" s="63"/>
      <c r="AS333" s="63"/>
      <c r="AT333" s="63"/>
      <c r="AU333" s="63"/>
      <c r="AV333" s="63"/>
      <c r="AW333" s="63"/>
      <c r="AX333" s="63"/>
      <c r="AY333" s="63"/>
      <c r="AZ333" s="63"/>
      <c r="BA333" s="63"/>
      <c r="BB333" s="63"/>
      <c r="BC333" s="63"/>
      <c r="BD333" s="63"/>
      <c r="BE333" s="63"/>
      <c r="BF333" s="63"/>
      <c r="BG333" s="63"/>
      <c r="BH333" s="63"/>
      <c r="BI333" s="63"/>
      <c r="BJ333" s="63"/>
      <c r="BK333" s="63"/>
      <c r="BL333" s="63"/>
      <c r="BM333" s="63"/>
      <c r="BN333" s="63"/>
      <c r="BO333" s="63"/>
      <c r="BP333" s="63"/>
      <c r="BQ333" s="63"/>
      <c r="BR333" s="63"/>
      <c r="BS333" s="63"/>
      <c r="BT333" s="63"/>
      <c r="BU333" s="63"/>
      <c r="BV333" s="63"/>
      <c r="BW333" s="63"/>
    </row>
    <row r="334" spans="1:75" x14ac:dyDescent="0.2">
      <c r="A334" s="63" t="str">
        <f t="shared" si="69"/>
        <v/>
      </c>
      <c r="B334" s="182"/>
      <c r="C334" s="75"/>
      <c r="D334" s="75"/>
      <c r="E334" s="74"/>
      <c r="F334" s="181"/>
      <c r="G334" s="69"/>
      <c r="AB334" s="150">
        <f t="shared" si="60"/>
        <v>0</v>
      </c>
      <c r="AC334" s="150">
        <f t="shared" si="61"/>
        <v>0</v>
      </c>
      <c r="AD334" s="98" t="str">
        <f t="shared" si="70"/>
        <v>0000000000</v>
      </c>
      <c r="AE334" s="151">
        <f t="shared" si="63"/>
        <v>0</v>
      </c>
      <c r="AF334" s="98" t="str">
        <f t="shared" si="64"/>
        <v>00</v>
      </c>
      <c r="AG334" s="98" t="str">
        <f t="shared" si="71"/>
        <v>000000000000</v>
      </c>
      <c r="AH334" s="161" t="str">
        <f t="shared" si="65"/>
        <v xml:space="preserve">                    </v>
      </c>
      <c r="AI334" s="154">
        <f t="shared" si="66"/>
        <v>0</v>
      </c>
      <c r="AJ334" s="155">
        <f t="shared" si="67"/>
        <v>0</v>
      </c>
      <c r="AP334" s="63" t="str">
        <f t="shared" si="68"/>
        <v/>
      </c>
      <c r="AQ334" s="63" t="str">
        <f t="shared" si="62"/>
        <v xml:space="preserve">                    </v>
      </c>
      <c r="AR334" s="63"/>
      <c r="AS334" s="63"/>
      <c r="AT334" s="63"/>
      <c r="AU334" s="63"/>
      <c r="AV334" s="63"/>
      <c r="AW334" s="63"/>
      <c r="AX334" s="63"/>
      <c r="AY334" s="63"/>
      <c r="AZ334" s="63"/>
      <c r="BA334" s="63"/>
      <c r="BB334" s="63"/>
      <c r="BC334" s="63"/>
      <c r="BD334" s="63"/>
      <c r="BE334" s="63"/>
      <c r="BF334" s="63"/>
      <c r="BG334" s="63"/>
      <c r="BH334" s="63"/>
      <c r="BI334" s="63"/>
      <c r="BJ334" s="63"/>
      <c r="BK334" s="63"/>
      <c r="BL334" s="63"/>
      <c r="BM334" s="63"/>
      <c r="BN334" s="63"/>
      <c r="BO334" s="63"/>
      <c r="BP334" s="63"/>
      <c r="BQ334" s="63"/>
      <c r="BR334" s="63"/>
      <c r="BS334" s="63"/>
      <c r="BT334" s="63"/>
      <c r="BU334" s="63"/>
      <c r="BV334" s="63"/>
      <c r="BW334" s="63"/>
    </row>
    <row r="335" spans="1:75" x14ac:dyDescent="0.2">
      <c r="A335" s="63" t="str">
        <f t="shared" si="69"/>
        <v/>
      </c>
      <c r="B335" s="182"/>
      <c r="C335" s="75"/>
      <c r="D335" s="75"/>
      <c r="E335" s="74"/>
      <c r="F335" s="181"/>
      <c r="G335" s="69"/>
      <c r="AB335" s="150">
        <f t="shared" si="60"/>
        <v>0</v>
      </c>
      <c r="AC335" s="150">
        <f t="shared" si="61"/>
        <v>0</v>
      </c>
      <c r="AD335" s="98" t="str">
        <f t="shared" si="70"/>
        <v>0000000000</v>
      </c>
      <c r="AE335" s="151">
        <f t="shared" si="63"/>
        <v>0</v>
      </c>
      <c r="AF335" s="98" t="str">
        <f t="shared" si="64"/>
        <v>00</v>
      </c>
      <c r="AG335" s="98" t="str">
        <f t="shared" si="71"/>
        <v>000000000000</v>
      </c>
      <c r="AH335" s="161" t="str">
        <f t="shared" si="65"/>
        <v xml:space="preserve">                    </v>
      </c>
      <c r="AI335" s="154">
        <f t="shared" si="66"/>
        <v>0</v>
      </c>
      <c r="AJ335" s="155">
        <f t="shared" si="67"/>
        <v>0</v>
      </c>
      <c r="AP335" s="63" t="str">
        <f t="shared" si="68"/>
        <v/>
      </c>
      <c r="AQ335" s="63" t="str">
        <f t="shared" si="62"/>
        <v xml:space="preserve">                    </v>
      </c>
      <c r="AR335" s="63"/>
      <c r="AS335" s="63"/>
      <c r="AT335" s="63"/>
      <c r="AU335" s="63"/>
      <c r="AV335" s="63"/>
      <c r="AW335" s="63"/>
      <c r="AX335" s="63"/>
      <c r="AY335" s="63"/>
      <c r="AZ335" s="63"/>
      <c r="BA335" s="63"/>
      <c r="BB335" s="63"/>
      <c r="BC335" s="63"/>
      <c r="BD335" s="63"/>
      <c r="BE335" s="63"/>
      <c r="BF335" s="63"/>
      <c r="BG335" s="63"/>
      <c r="BH335" s="63"/>
      <c r="BI335" s="63"/>
      <c r="BJ335" s="63"/>
      <c r="BK335" s="63"/>
      <c r="BL335" s="63"/>
      <c r="BM335" s="63"/>
      <c r="BN335" s="63"/>
      <c r="BO335" s="63"/>
      <c r="BP335" s="63"/>
      <c r="BQ335" s="63"/>
      <c r="BR335" s="63"/>
      <c r="BS335" s="63"/>
      <c r="BT335" s="63"/>
      <c r="BU335" s="63"/>
      <c r="BV335" s="63"/>
      <c r="BW335" s="63"/>
    </row>
    <row r="336" spans="1:75" x14ac:dyDescent="0.2">
      <c r="A336" s="63" t="str">
        <f t="shared" si="69"/>
        <v/>
      </c>
      <c r="B336" s="182"/>
      <c r="C336" s="75"/>
      <c r="D336" s="75"/>
      <c r="E336" s="74"/>
      <c r="F336" s="181"/>
      <c r="G336" s="69"/>
      <c r="AB336" s="150">
        <f t="shared" si="60"/>
        <v>0</v>
      </c>
      <c r="AC336" s="150">
        <f t="shared" si="61"/>
        <v>0</v>
      </c>
      <c r="AD336" s="98" t="str">
        <f t="shared" si="70"/>
        <v>0000000000</v>
      </c>
      <c r="AE336" s="151">
        <f t="shared" si="63"/>
        <v>0</v>
      </c>
      <c r="AF336" s="98" t="str">
        <f t="shared" si="64"/>
        <v>00</v>
      </c>
      <c r="AG336" s="98" t="str">
        <f t="shared" si="71"/>
        <v>000000000000</v>
      </c>
      <c r="AH336" s="161" t="str">
        <f t="shared" si="65"/>
        <v xml:space="preserve">                    </v>
      </c>
      <c r="AI336" s="154">
        <f t="shared" si="66"/>
        <v>0</v>
      </c>
      <c r="AJ336" s="155">
        <f t="shared" si="67"/>
        <v>0</v>
      </c>
      <c r="AP336" s="63" t="str">
        <f t="shared" si="68"/>
        <v/>
      </c>
      <c r="AQ336" s="63" t="str">
        <f t="shared" si="62"/>
        <v xml:space="preserve">                    </v>
      </c>
      <c r="AR336" s="63"/>
      <c r="AS336" s="63"/>
      <c r="AT336" s="63"/>
      <c r="AU336" s="63"/>
      <c r="AV336" s="63"/>
      <c r="AW336" s="63"/>
      <c r="AX336" s="63"/>
      <c r="AY336" s="63"/>
      <c r="AZ336" s="63"/>
      <c r="BA336" s="63"/>
      <c r="BB336" s="63"/>
      <c r="BC336" s="63"/>
      <c r="BD336" s="63"/>
      <c r="BE336" s="63"/>
      <c r="BF336" s="63"/>
      <c r="BG336" s="63"/>
      <c r="BH336" s="63"/>
      <c r="BI336" s="63"/>
      <c r="BJ336" s="63"/>
      <c r="BK336" s="63"/>
      <c r="BL336" s="63"/>
      <c r="BM336" s="63"/>
      <c r="BN336" s="63"/>
      <c r="BO336" s="63"/>
      <c r="BP336" s="63"/>
      <c r="BQ336" s="63"/>
      <c r="BR336" s="63"/>
      <c r="BS336" s="63"/>
      <c r="BT336" s="63"/>
      <c r="BU336" s="63"/>
      <c r="BV336" s="63"/>
      <c r="BW336" s="63"/>
    </row>
    <row r="337" spans="1:75" x14ac:dyDescent="0.2">
      <c r="A337" s="63" t="str">
        <f t="shared" si="69"/>
        <v/>
      </c>
      <c r="B337" s="182"/>
      <c r="C337" s="75"/>
      <c r="D337" s="75"/>
      <c r="E337" s="74"/>
      <c r="F337" s="181"/>
      <c r="G337" s="69"/>
      <c r="AB337" s="150">
        <f t="shared" si="60"/>
        <v>0</v>
      </c>
      <c r="AC337" s="150">
        <f t="shared" si="61"/>
        <v>0</v>
      </c>
      <c r="AD337" s="98" t="str">
        <f t="shared" si="70"/>
        <v>0000000000</v>
      </c>
      <c r="AE337" s="151">
        <f t="shared" si="63"/>
        <v>0</v>
      </c>
      <c r="AF337" s="98" t="str">
        <f t="shared" si="64"/>
        <v>00</v>
      </c>
      <c r="AG337" s="98" t="str">
        <f t="shared" si="71"/>
        <v>000000000000</v>
      </c>
      <c r="AH337" s="161" t="str">
        <f t="shared" si="65"/>
        <v xml:space="preserve">                    </v>
      </c>
      <c r="AI337" s="154">
        <f t="shared" si="66"/>
        <v>0</v>
      </c>
      <c r="AJ337" s="155">
        <f t="shared" si="67"/>
        <v>0</v>
      </c>
      <c r="AP337" s="63" t="str">
        <f t="shared" si="68"/>
        <v/>
      </c>
      <c r="AQ337" s="63" t="str">
        <f t="shared" si="62"/>
        <v xml:space="preserve">                    </v>
      </c>
      <c r="AR337" s="63"/>
      <c r="AS337" s="63"/>
      <c r="AT337" s="63"/>
      <c r="AU337" s="63"/>
      <c r="AV337" s="63"/>
      <c r="AW337" s="63"/>
      <c r="AX337" s="63"/>
      <c r="AY337" s="63"/>
      <c r="AZ337" s="63"/>
      <c r="BA337" s="63"/>
      <c r="BB337" s="63"/>
      <c r="BC337" s="63"/>
      <c r="BD337" s="63"/>
      <c r="BE337" s="63"/>
      <c r="BF337" s="63"/>
      <c r="BG337" s="63"/>
      <c r="BH337" s="63"/>
      <c r="BI337" s="63"/>
      <c r="BJ337" s="63"/>
      <c r="BK337" s="63"/>
      <c r="BL337" s="63"/>
      <c r="BM337" s="63"/>
      <c r="BN337" s="63"/>
      <c r="BO337" s="63"/>
      <c r="BP337" s="63"/>
      <c r="BQ337" s="63"/>
      <c r="BR337" s="63"/>
      <c r="BS337" s="63"/>
      <c r="BT337" s="63"/>
      <c r="BU337" s="63"/>
      <c r="BV337" s="63"/>
      <c r="BW337" s="63"/>
    </row>
    <row r="338" spans="1:75" x14ac:dyDescent="0.2">
      <c r="A338" s="63" t="str">
        <f t="shared" si="69"/>
        <v/>
      </c>
      <c r="B338" s="182"/>
      <c r="C338" s="75"/>
      <c r="D338" s="75"/>
      <c r="E338" s="74"/>
      <c r="F338" s="181"/>
      <c r="G338" s="69"/>
      <c r="AB338" s="150">
        <f t="shared" si="60"/>
        <v>0</v>
      </c>
      <c r="AC338" s="150">
        <f t="shared" si="61"/>
        <v>0</v>
      </c>
      <c r="AD338" s="98" t="str">
        <f t="shared" si="70"/>
        <v>0000000000</v>
      </c>
      <c r="AE338" s="151">
        <f t="shared" si="63"/>
        <v>0</v>
      </c>
      <c r="AF338" s="98" t="str">
        <f t="shared" si="64"/>
        <v>00</v>
      </c>
      <c r="AG338" s="98" t="str">
        <f t="shared" si="71"/>
        <v>000000000000</v>
      </c>
      <c r="AH338" s="161" t="str">
        <f t="shared" si="65"/>
        <v xml:space="preserve">                    </v>
      </c>
      <c r="AI338" s="154">
        <f t="shared" si="66"/>
        <v>0</v>
      </c>
      <c r="AJ338" s="155">
        <f t="shared" si="67"/>
        <v>0</v>
      </c>
      <c r="AP338" s="63" t="str">
        <f t="shared" si="68"/>
        <v/>
      </c>
      <c r="AQ338" s="63" t="str">
        <f t="shared" si="62"/>
        <v xml:space="preserve">                    </v>
      </c>
      <c r="AR338" s="63"/>
      <c r="AS338" s="63"/>
      <c r="AT338" s="63"/>
      <c r="AU338" s="63"/>
      <c r="AV338" s="63"/>
      <c r="AW338" s="63"/>
      <c r="AX338" s="63"/>
      <c r="AY338" s="63"/>
      <c r="AZ338" s="63"/>
      <c r="BA338" s="63"/>
      <c r="BB338" s="63"/>
      <c r="BC338" s="63"/>
      <c r="BD338" s="63"/>
      <c r="BE338" s="63"/>
      <c r="BF338" s="63"/>
      <c r="BG338" s="63"/>
      <c r="BH338" s="63"/>
      <c r="BI338" s="63"/>
      <c r="BJ338" s="63"/>
      <c r="BK338" s="63"/>
      <c r="BL338" s="63"/>
      <c r="BM338" s="63"/>
      <c r="BN338" s="63"/>
      <c r="BO338" s="63"/>
      <c r="BP338" s="63"/>
      <c r="BQ338" s="63"/>
      <c r="BR338" s="63"/>
      <c r="BS338" s="63"/>
      <c r="BT338" s="63"/>
      <c r="BU338" s="63"/>
      <c r="BV338" s="63"/>
      <c r="BW338" s="63"/>
    </row>
    <row r="339" spans="1:75" x14ac:dyDescent="0.2">
      <c r="A339" s="63" t="str">
        <f t="shared" si="69"/>
        <v/>
      </c>
      <c r="B339" s="182"/>
      <c r="C339" s="75"/>
      <c r="D339" s="75"/>
      <c r="E339" s="74"/>
      <c r="F339" s="181"/>
      <c r="G339" s="69"/>
      <c r="AB339" s="150">
        <f t="shared" si="60"/>
        <v>0</v>
      </c>
      <c r="AC339" s="150">
        <f t="shared" si="61"/>
        <v>0</v>
      </c>
      <c r="AD339" s="98" t="str">
        <f t="shared" si="70"/>
        <v>0000000000</v>
      </c>
      <c r="AE339" s="151">
        <f t="shared" si="63"/>
        <v>0</v>
      </c>
      <c r="AF339" s="98" t="str">
        <f t="shared" si="64"/>
        <v>00</v>
      </c>
      <c r="AG339" s="98" t="str">
        <f t="shared" si="71"/>
        <v>000000000000</v>
      </c>
      <c r="AH339" s="161" t="str">
        <f t="shared" si="65"/>
        <v xml:space="preserve">                    </v>
      </c>
      <c r="AI339" s="154">
        <f t="shared" si="66"/>
        <v>0</v>
      </c>
      <c r="AJ339" s="155">
        <f t="shared" si="67"/>
        <v>0</v>
      </c>
      <c r="AP339" s="63" t="str">
        <f t="shared" si="68"/>
        <v/>
      </c>
      <c r="AQ339" s="63" t="str">
        <f t="shared" si="62"/>
        <v xml:space="preserve">                    </v>
      </c>
      <c r="AR339" s="63"/>
      <c r="AS339" s="63"/>
      <c r="AT339" s="63"/>
      <c r="AU339" s="63"/>
      <c r="AV339" s="63"/>
      <c r="AW339" s="63"/>
      <c r="AX339" s="63"/>
      <c r="AY339" s="63"/>
      <c r="AZ339" s="63"/>
      <c r="BA339" s="63"/>
      <c r="BB339" s="63"/>
      <c r="BC339" s="63"/>
      <c r="BD339" s="63"/>
      <c r="BE339" s="63"/>
      <c r="BF339" s="63"/>
      <c r="BG339" s="63"/>
      <c r="BH339" s="63"/>
      <c r="BI339" s="63"/>
      <c r="BJ339" s="63"/>
      <c r="BK339" s="63"/>
      <c r="BL339" s="63"/>
      <c r="BM339" s="63"/>
      <c r="BN339" s="63"/>
      <c r="BO339" s="63"/>
      <c r="BP339" s="63"/>
      <c r="BQ339" s="63"/>
      <c r="BR339" s="63"/>
      <c r="BS339" s="63"/>
      <c r="BT339" s="63"/>
      <c r="BU339" s="63"/>
      <c r="BV339" s="63"/>
      <c r="BW339" s="63"/>
    </row>
    <row r="340" spans="1:75" x14ac:dyDescent="0.2">
      <c r="A340" s="63" t="str">
        <f t="shared" si="69"/>
        <v/>
      </c>
      <c r="B340" s="182"/>
      <c r="C340" s="75"/>
      <c r="D340" s="75"/>
      <c r="E340" s="74"/>
      <c r="F340" s="181"/>
      <c r="G340" s="69"/>
      <c r="AB340" s="150">
        <f t="shared" si="60"/>
        <v>0</v>
      </c>
      <c r="AC340" s="150">
        <f t="shared" si="61"/>
        <v>0</v>
      </c>
      <c r="AD340" s="98" t="str">
        <f t="shared" si="70"/>
        <v>0000000000</v>
      </c>
      <c r="AE340" s="151">
        <f t="shared" si="63"/>
        <v>0</v>
      </c>
      <c r="AF340" s="98" t="str">
        <f t="shared" si="64"/>
        <v>00</v>
      </c>
      <c r="AG340" s="98" t="str">
        <f t="shared" si="71"/>
        <v>000000000000</v>
      </c>
      <c r="AH340" s="161" t="str">
        <f t="shared" si="65"/>
        <v xml:space="preserve">                    </v>
      </c>
      <c r="AI340" s="154">
        <f t="shared" si="66"/>
        <v>0</v>
      </c>
      <c r="AJ340" s="155">
        <f t="shared" si="67"/>
        <v>0</v>
      </c>
      <c r="AP340" s="63" t="str">
        <f t="shared" si="68"/>
        <v/>
      </c>
      <c r="AQ340" s="63" t="str">
        <f t="shared" si="62"/>
        <v xml:space="preserve">                    </v>
      </c>
      <c r="AR340" s="63"/>
      <c r="AS340" s="63"/>
      <c r="AT340" s="63"/>
      <c r="AU340" s="63"/>
      <c r="AV340" s="63"/>
      <c r="AW340" s="63"/>
      <c r="AX340" s="63"/>
      <c r="AY340" s="63"/>
      <c r="AZ340" s="63"/>
      <c r="BA340" s="63"/>
      <c r="BB340" s="63"/>
      <c r="BC340" s="63"/>
      <c r="BD340" s="63"/>
      <c r="BE340" s="63"/>
      <c r="BF340" s="63"/>
      <c r="BG340" s="63"/>
      <c r="BH340" s="63"/>
      <c r="BI340" s="63"/>
      <c r="BJ340" s="63"/>
      <c r="BK340" s="63"/>
      <c r="BL340" s="63"/>
      <c r="BM340" s="63"/>
      <c r="BN340" s="63"/>
      <c r="BO340" s="63"/>
      <c r="BP340" s="63"/>
      <c r="BQ340" s="63"/>
      <c r="BR340" s="63"/>
      <c r="BS340" s="63"/>
      <c r="BT340" s="63"/>
      <c r="BU340" s="63"/>
      <c r="BV340" s="63"/>
      <c r="BW340" s="63"/>
    </row>
    <row r="341" spans="1:75" x14ac:dyDescent="0.2">
      <c r="A341" s="63" t="str">
        <f t="shared" si="69"/>
        <v/>
      </c>
      <c r="B341" s="182"/>
      <c r="C341" s="75"/>
      <c r="D341" s="75"/>
      <c r="E341" s="74"/>
      <c r="F341" s="181"/>
      <c r="G341" s="69"/>
      <c r="AB341" s="150">
        <f t="shared" si="60"/>
        <v>0</v>
      </c>
      <c r="AC341" s="150">
        <f t="shared" si="61"/>
        <v>0</v>
      </c>
      <c r="AD341" s="98" t="str">
        <f t="shared" si="70"/>
        <v>0000000000</v>
      </c>
      <c r="AE341" s="151">
        <f t="shared" si="63"/>
        <v>0</v>
      </c>
      <c r="AF341" s="98" t="str">
        <f t="shared" si="64"/>
        <v>00</v>
      </c>
      <c r="AG341" s="98" t="str">
        <f t="shared" si="71"/>
        <v>000000000000</v>
      </c>
      <c r="AH341" s="161" t="str">
        <f t="shared" si="65"/>
        <v xml:space="preserve">                    </v>
      </c>
      <c r="AI341" s="154">
        <f t="shared" si="66"/>
        <v>0</v>
      </c>
      <c r="AJ341" s="155">
        <f t="shared" si="67"/>
        <v>0</v>
      </c>
      <c r="AP341" s="63" t="str">
        <f t="shared" si="68"/>
        <v/>
      </c>
      <c r="AQ341" s="63" t="str">
        <f t="shared" si="62"/>
        <v xml:space="preserve">                    </v>
      </c>
      <c r="AR341" s="63"/>
      <c r="AS341" s="63"/>
      <c r="AT341" s="63"/>
      <c r="AU341" s="63"/>
      <c r="AV341" s="63"/>
      <c r="AW341" s="63"/>
      <c r="AX341" s="63"/>
      <c r="AY341" s="63"/>
      <c r="AZ341" s="63"/>
      <c r="BA341" s="63"/>
      <c r="BB341" s="63"/>
      <c r="BC341" s="63"/>
      <c r="BD341" s="63"/>
      <c r="BE341" s="63"/>
      <c r="BF341" s="63"/>
      <c r="BG341" s="63"/>
      <c r="BH341" s="63"/>
      <c r="BI341" s="63"/>
      <c r="BJ341" s="63"/>
      <c r="BK341" s="63"/>
      <c r="BL341" s="63"/>
      <c r="BM341" s="63"/>
      <c r="BN341" s="63"/>
      <c r="BO341" s="63"/>
      <c r="BP341" s="63"/>
      <c r="BQ341" s="63"/>
      <c r="BR341" s="63"/>
      <c r="BS341" s="63"/>
      <c r="BT341" s="63"/>
      <c r="BU341" s="63"/>
      <c r="BV341" s="63"/>
      <c r="BW341" s="63"/>
    </row>
    <row r="342" spans="1:75" x14ac:dyDescent="0.2">
      <c r="A342" s="63" t="str">
        <f t="shared" si="69"/>
        <v/>
      </c>
      <c r="B342" s="182"/>
      <c r="C342" s="75"/>
      <c r="D342" s="75"/>
      <c r="E342" s="74"/>
      <c r="F342" s="181"/>
      <c r="G342" s="69"/>
      <c r="AB342" s="150">
        <f t="shared" si="60"/>
        <v>0</v>
      </c>
      <c r="AC342" s="150">
        <f t="shared" si="61"/>
        <v>0</v>
      </c>
      <c r="AD342" s="98" t="str">
        <f t="shared" si="70"/>
        <v>0000000000</v>
      </c>
      <c r="AE342" s="151">
        <f t="shared" si="63"/>
        <v>0</v>
      </c>
      <c r="AF342" s="98" t="str">
        <f t="shared" si="64"/>
        <v>00</v>
      </c>
      <c r="AG342" s="98" t="str">
        <f t="shared" si="71"/>
        <v>000000000000</v>
      </c>
      <c r="AH342" s="161" t="str">
        <f t="shared" si="65"/>
        <v xml:space="preserve">                    </v>
      </c>
      <c r="AI342" s="154">
        <f t="shared" si="66"/>
        <v>0</v>
      </c>
      <c r="AJ342" s="155">
        <f t="shared" si="67"/>
        <v>0</v>
      </c>
      <c r="AP342" s="63" t="str">
        <f t="shared" si="68"/>
        <v/>
      </c>
      <c r="AQ342" s="63" t="str">
        <f t="shared" si="62"/>
        <v xml:space="preserve">                    </v>
      </c>
      <c r="AR342" s="63"/>
      <c r="AS342" s="63"/>
      <c r="AT342" s="63"/>
      <c r="AU342" s="63"/>
      <c r="AV342" s="63"/>
      <c r="AW342" s="63"/>
      <c r="AX342" s="63"/>
      <c r="AY342" s="63"/>
      <c r="AZ342" s="63"/>
      <c r="BA342" s="63"/>
      <c r="BB342" s="63"/>
      <c r="BC342" s="63"/>
      <c r="BD342" s="63"/>
      <c r="BE342" s="63"/>
      <c r="BF342" s="63"/>
      <c r="BG342" s="63"/>
      <c r="BH342" s="63"/>
      <c r="BI342" s="63"/>
      <c r="BJ342" s="63"/>
      <c r="BK342" s="63"/>
      <c r="BL342" s="63"/>
      <c r="BM342" s="63"/>
      <c r="BN342" s="63"/>
      <c r="BO342" s="63"/>
      <c r="BP342" s="63"/>
      <c r="BQ342" s="63"/>
      <c r="BR342" s="63"/>
      <c r="BS342" s="63"/>
      <c r="BT342" s="63"/>
      <c r="BU342" s="63"/>
      <c r="BV342" s="63"/>
      <c r="BW342" s="63"/>
    </row>
    <row r="343" spans="1:75" x14ac:dyDescent="0.2">
      <c r="A343" s="63" t="str">
        <f t="shared" si="69"/>
        <v/>
      </c>
      <c r="B343" s="182"/>
      <c r="C343" s="75"/>
      <c r="D343" s="75"/>
      <c r="E343" s="74"/>
      <c r="F343" s="181"/>
      <c r="G343" s="69"/>
      <c r="AB343" s="150">
        <f t="shared" si="60"/>
        <v>0</v>
      </c>
      <c r="AC343" s="150">
        <f t="shared" si="61"/>
        <v>0</v>
      </c>
      <c r="AD343" s="98" t="str">
        <f t="shared" si="70"/>
        <v>0000000000</v>
      </c>
      <c r="AE343" s="151">
        <f t="shared" si="63"/>
        <v>0</v>
      </c>
      <c r="AF343" s="98" t="str">
        <f t="shared" si="64"/>
        <v>00</v>
      </c>
      <c r="AG343" s="98" t="str">
        <f t="shared" si="71"/>
        <v>000000000000</v>
      </c>
      <c r="AH343" s="161" t="str">
        <f t="shared" si="65"/>
        <v xml:space="preserve">                    </v>
      </c>
      <c r="AI343" s="154">
        <f t="shared" si="66"/>
        <v>0</v>
      </c>
      <c r="AJ343" s="155">
        <f t="shared" si="67"/>
        <v>0</v>
      </c>
      <c r="AP343" s="63" t="str">
        <f t="shared" si="68"/>
        <v/>
      </c>
      <c r="AQ343" s="63" t="str">
        <f t="shared" si="62"/>
        <v xml:space="preserve">                    </v>
      </c>
      <c r="AR343" s="63"/>
      <c r="AS343" s="63"/>
      <c r="AT343" s="63"/>
      <c r="AU343" s="63"/>
      <c r="AV343" s="63"/>
      <c r="AW343" s="63"/>
      <c r="AX343" s="63"/>
      <c r="AY343" s="63"/>
      <c r="AZ343" s="63"/>
      <c r="BA343" s="63"/>
      <c r="BB343" s="63"/>
      <c r="BC343" s="63"/>
      <c r="BD343" s="63"/>
      <c r="BE343" s="63"/>
      <c r="BF343" s="63"/>
      <c r="BG343" s="63"/>
      <c r="BH343" s="63"/>
      <c r="BI343" s="63"/>
      <c r="BJ343" s="63"/>
      <c r="BK343" s="63"/>
      <c r="BL343" s="63"/>
      <c r="BM343" s="63"/>
      <c r="BN343" s="63"/>
      <c r="BO343" s="63"/>
      <c r="BP343" s="63"/>
      <c r="BQ343" s="63"/>
      <c r="BR343" s="63"/>
      <c r="BS343" s="63"/>
      <c r="BT343" s="63"/>
      <c r="BU343" s="63"/>
      <c r="BV343" s="63"/>
      <c r="BW343" s="63"/>
    </row>
    <row r="344" spans="1:75" x14ac:dyDescent="0.2">
      <c r="A344" s="63" t="str">
        <f t="shared" si="69"/>
        <v/>
      </c>
      <c r="B344" s="182"/>
      <c r="C344" s="75"/>
      <c r="D344" s="75"/>
      <c r="E344" s="74"/>
      <c r="F344" s="181"/>
      <c r="G344" s="69"/>
      <c r="AB344" s="150">
        <f t="shared" si="60"/>
        <v>0</v>
      </c>
      <c r="AC344" s="150">
        <f t="shared" si="61"/>
        <v>0</v>
      </c>
      <c r="AD344" s="98" t="str">
        <f t="shared" si="70"/>
        <v>0000000000</v>
      </c>
      <c r="AE344" s="151">
        <f t="shared" si="63"/>
        <v>0</v>
      </c>
      <c r="AF344" s="98" t="str">
        <f t="shared" si="64"/>
        <v>00</v>
      </c>
      <c r="AG344" s="98" t="str">
        <f t="shared" si="71"/>
        <v>000000000000</v>
      </c>
      <c r="AH344" s="161" t="str">
        <f t="shared" si="65"/>
        <v xml:space="preserve">                    </v>
      </c>
      <c r="AI344" s="154">
        <f t="shared" si="66"/>
        <v>0</v>
      </c>
      <c r="AJ344" s="155">
        <f t="shared" si="67"/>
        <v>0</v>
      </c>
      <c r="AP344" s="63" t="str">
        <f t="shared" si="68"/>
        <v/>
      </c>
      <c r="AQ344" s="63" t="str">
        <f t="shared" si="62"/>
        <v xml:space="preserve">                    </v>
      </c>
      <c r="AR344" s="63"/>
      <c r="AS344" s="63"/>
      <c r="AT344" s="63"/>
      <c r="AU344" s="63"/>
      <c r="AV344" s="63"/>
      <c r="AW344" s="63"/>
      <c r="AX344" s="63"/>
      <c r="AY344" s="63"/>
      <c r="AZ344" s="63"/>
      <c r="BA344" s="63"/>
      <c r="BB344" s="63"/>
      <c r="BC344" s="63"/>
      <c r="BD344" s="63"/>
      <c r="BE344" s="63"/>
      <c r="BF344" s="63"/>
      <c r="BG344" s="63"/>
      <c r="BH344" s="63"/>
      <c r="BI344" s="63"/>
      <c r="BJ344" s="63"/>
      <c r="BK344" s="63"/>
      <c r="BL344" s="63"/>
      <c r="BM344" s="63"/>
      <c r="BN344" s="63"/>
      <c r="BO344" s="63"/>
      <c r="BP344" s="63"/>
      <c r="BQ344" s="63"/>
      <c r="BR344" s="63"/>
      <c r="BS344" s="63"/>
      <c r="BT344" s="63"/>
      <c r="BU344" s="63"/>
      <c r="BV344" s="63"/>
      <c r="BW344" s="63"/>
    </row>
    <row r="345" spans="1:75" x14ac:dyDescent="0.2">
      <c r="A345" s="63" t="str">
        <f t="shared" si="69"/>
        <v/>
      </c>
      <c r="B345" s="182"/>
      <c r="C345" s="75"/>
      <c r="D345" s="75"/>
      <c r="E345" s="74"/>
      <c r="F345" s="181"/>
      <c r="G345" s="69"/>
      <c r="AB345" s="150">
        <f t="shared" si="60"/>
        <v>0</v>
      </c>
      <c r="AC345" s="150">
        <f t="shared" si="61"/>
        <v>0</v>
      </c>
      <c r="AD345" s="98" t="str">
        <f t="shared" si="70"/>
        <v>0000000000</v>
      </c>
      <c r="AE345" s="151">
        <f t="shared" si="63"/>
        <v>0</v>
      </c>
      <c r="AF345" s="98" t="str">
        <f t="shared" si="64"/>
        <v>00</v>
      </c>
      <c r="AG345" s="98" t="str">
        <f t="shared" si="71"/>
        <v>000000000000</v>
      </c>
      <c r="AH345" s="161" t="str">
        <f t="shared" si="65"/>
        <v xml:space="preserve">                    </v>
      </c>
      <c r="AI345" s="154">
        <f t="shared" si="66"/>
        <v>0</v>
      </c>
      <c r="AJ345" s="155">
        <f t="shared" si="67"/>
        <v>0</v>
      </c>
      <c r="AP345" s="63" t="str">
        <f t="shared" si="68"/>
        <v/>
      </c>
      <c r="AQ345" s="63" t="str">
        <f t="shared" si="62"/>
        <v xml:space="preserve">                    </v>
      </c>
      <c r="AR345" s="63"/>
      <c r="AS345" s="63"/>
      <c r="AT345" s="63"/>
      <c r="AU345" s="63"/>
      <c r="AV345" s="63"/>
      <c r="AW345" s="63"/>
      <c r="AX345" s="63"/>
      <c r="AY345" s="63"/>
      <c r="AZ345" s="63"/>
      <c r="BA345" s="63"/>
      <c r="BB345" s="63"/>
      <c r="BC345" s="63"/>
      <c r="BD345" s="63"/>
      <c r="BE345" s="63"/>
      <c r="BF345" s="63"/>
      <c r="BG345" s="63"/>
      <c r="BH345" s="63"/>
      <c r="BI345" s="63"/>
      <c r="BJ345" s="63"/>
      <c r="BK345" s="63"/>
      <c r="BL345" s="63"/>
      <c r="BM345" s="63"/>
      <c r="BN345" s="63"/>
      <c r="BO345" s="63"/>
      <c r="BP345" s="63"/>
      <c r="BQ345" s="63"/>
      <c r="BR345" s="63"/>
      <c r="BS345" s="63"/>
      <c r="BT345" s="63"/>
      <c r="BU345" s="63"/>
      <c r="BV345" s="63"/>
      <c r="BW345" s="63"/>
    </row>
    <row r="346" spans="1:75" x14ac:dyDescent="0.2">
      <c r="A346" s="63" t="str">
        <f t="shared" si="69"/>
        <v/>
      </c>
      <c r="B346" s="182"/>
      <c r="C346" s="75"/>
      <c r="D346" s="75"/>
      <c r="E346" s="74"/>
      <c r="F346" s="181"/>
      <c r="G346" s="69"/>
      <c r="AB346" s="150">
        <f t="shared" si="60"/>
        <v>0</v>
      </c>
      <c r="AC346" s="150">
        <f t="shared" si="61"/>
        <v>0</v>
      </c>
      <c r="AD346" s="98" t="str">
        <f t="shared" si="70"/>
        <v>0000000000</v>
      </c>
      <c r="AE346" s="151">
        <f t="shared" si="63"/>
        <v>0</v>
      </c>
      <c r="AF346" s="98" t="str">
        <f t="shared" si="64"/>
        <v>00</v>
      </c>
      <c r="AG346" s="98" t="str">
        <f t="shared" si="71"/>
        <v>000000000000</v>
      </c>
      <c r="AH346" s="161" t="str">
        <f t="shared" si="65"/>
        <v xml:space="preserve">                    </v>
      </c>
      <c r="AI346" s="154">
        <f t="shared" si="66"/>
        <v>0</v>
      </c>
      <c r="AJ346" s="155">
        <f t="shared" si="67"/>
        <v>0</v>
      </c>
      <c r="AP346" s="63" t="str">
        <f t="shared" si="68"/>
        <v/>
      </c>
      <c r="AQ346" s="63" t="str">
        <f t="shared" si="62"/>
        <v xml:space="preserve">                    </v>
      </c>
      <c r="AR346" s="63"/>
      <c r="AS346" s="63"/>
      <c r="AT346" s="63"/>
      <c r="AU346" s="63"/>
      <c r="AV346" s="63"/>
      <c r="AW346" s="63"/>
      <c r="AX346" s="63"/>
      <c r="AY346" s="63"/>
      <c r="AZ346" s="63"/>
      <c r="BA346" s="63"/>
      <c r="BB346" s="63"/>
      <c r="BC346" s="63"/>
      <c r="BD346" s="63"/>
      <c r="BE346" s="63"/>
      <c r="BF346" s="63"/>
      <c r="BG346" s="63"/>
      <c r="BH346" s="63"/>
      <c r="BI346" s="63"/>
      <c r="BJ346" s="63"/>
      <c r="BK346" s="63"/>
      <c r="BL346" s="63"/>
      <c r="BM346" s="63"/>
      <c r="BN346" s="63"/>
      <c r="BO346" s="63"/>
      <c r="BP346" s="63"/>
      <c r="BQ346" s="63"/>
      <c r="BR346" s="63"/>
      <c r="BS346" s="63"/>
      <c r="BT346" s="63"/>
      <c r="BU346" s="63"/>
      <c r="BV346" s="63"/>
      <c r="BW346" s="63"/>
    </row>
    <row r="347" spans="1:75" x14ac:dyDescent="0.2">
      <c r="A347" s="63" t="str">
        <f t="shared" si="69"/>
        <v/>
      </c>
      <c r="B347" s="182"/>
      <c r="C347" s="75"/>
      <c r="D347" s="75"/>
      <c r="E347" s="74"/>
      <c r="F347" s="181"/>
      <c r="G347" s="69"/>
      <c r="AB347" s="150">
        <f t="shared" si="60"/>
        <v>0</v>
      </c>
      <c r="AC347" s="150">
        <f t="shared" si="61"/>
        <v>0</v>
      </c>
      <c r="AD347" s="98" t="str">
        <f t="shared" si="70"/>
        <v>0000000000</v>
      </c>
      <c r="AE347" s="151">
        <f t="shared" si="63"/>
        <v>0</v>
      </c>
      <c r="AF347" s="98" t="str">
        <f t="shared" si="64"/>
        <v>00</v>
      </c>
      <c r="AG347" s="98" t="str">
        <f t="shared" si="71"/>
        <v>000000000000</v>
      </c>
      <c r="AH347" s="161" t="str">
        <f t="shared" si="65"/>
        <v xml:space="preserve">                    </v>
      </c>
      <c r="AI347" s="154">
        <f t="shared" si="66"/>
        <v>0</v>
      </c>
      <c r="AJ347" s="155">
        <f t="shared" si="67"/>
        <v>0</v>
      </c>
      <c r="AP347" s="63" t="str">
        <f t="shared" si="68"/>
        <v/>
      </c>
      <c r="AQ347" s="63" t="str">
        <f t="shared" si="62"/>
        <v xml:space="preserve">                    </v>
      </c>
      <c r="AR347" s="63"/>
      <c r="AS347" s="63"/>
      <c r="AT347" s="63"/>
      <c r="AU347" s="63"/>
      <c r="AV347" s="63"/>
      <c r="AW347" s="63"/>
      <c r="AX347" s="63"/>
      <c r="AY347" s="63"/>
      <c r="AZ347" s="63"/>
      <c r="BA347" s="63"/>
      <c r="BB347" s="63"/>
      <c r="BC347" s="63"/>
      <c r="BD347" s="63"/>
      <c r="BE347" s="63"/>
      <c r="BF347" s="63"/>
      <c r="BG347" s="63"/>
      <c r="BH347" s="63"/>
      <c r="BI347" s="63"/>
      <c r="BJ347" s="63"/>
      <c r="BK347" s="63"/>
      <c r="BL347" s="63"/>
      <c r="BM347" s="63"/>
      <c r="BN347" s="63"/>
      <c r="BO347" s="63"/>
      <c r="BP347" s="63"/>
      <c r="BQ347" s="63"/>
      <c r="BR347" s="63"/>
      <c r="BS347" s="63"/>
      <c r="BT347" s="63"/>
      <c r="BU347" s="63"/>
      <c r="BV347" s="63"/>
      <c r="BW347" s="63"/>
    </row>
    <row r="348" spans="1:75" x14ac:dyDescent="0.2">
      <c r="A348" s="63" t="str">
        <f t="shared" si="69"/>
        <v/>
      </c>
      <c r="B348" s="182"/>
      <c r="C348" s="75"/>
      <c r="D348" s="75"/>
      <c r="E348" s="74"/>
      <c r="F348" s="181"/>
      <c r="G348" s="69"/>
      <c r="AB348" s="150">
        <f t="shared" si="60"/>
        <v>0</v>
      </c>
      <c r="AC348" s="150">
        <f t="shared" si="61"/>
        <v>0</v>
      </c>
      <c r="AD348" s="98" t="str">
        <f t="shared" si="70"/>
        <v>0000000000</v>
      </c>
      <c r="AE348" s="151">
        <f t="shared" si="63"/>
        <v>0</v>
      </c>
      <c r="AF348" s="98" t="str">
        <f t="shared" si="64"/>
        <v>00</v>
      </c>
      <c r="AG348" s="98" t="str">
        <f t="shared" si="71"/>
        <v>000000000000</v>
      </c>
      <c r="AH348" s="161" t="str">
        <f t="shared" si="65"/>
        <v xml:space="preserve">                    </v>
      </c>
      <c r="AI348" s="154">
        <f t="shared" si="66"/>
        <v>0</v>
      </c>
      <c r="AJ348" s="155">
        <f t="shared" si="67"/>
        <v>0</v>
      </c>
      <c r="AP348" s="63" t="str">
        <f t="shared" si="68"/>
        <v/>
      </c>
      <c r="AQ348" s="63" t="str">
        <f t="shared" si="62"/>
        <v xml:space="preserve">                    </v>
      </c>
      <c r="AR348" s="63"/>
      <c r="AS348" s="63"/>
      <c r="AT348" s="63"/>
      <c r="AU348" s="63"/>
      <c r="AV348" s="63"/>
      <c r="AW348" s="63"/>
      <c r="AX348" s="63"/>
      <c r="AY348" s="63"/>
      <c r="AZ348" s="63"/>
      <c r="BA348" s="63"/>
      <c r="BB348" s="63"/>
      <c r="BC348" s="63"/>
      <c r="BD348" s="63"/>
      <c r="BE348" s="63"/>
      <c r="BF348" s="63"/>
      <c r="BG348" s="63"/>
      <c r="BH348" s="63"/>
      <c r="BI348" s="63"/>
      <c r="BJ348" s="63"/>
      <c r="BK348" s="63"/>
      <c r="BL348" s="63"/>
      <c r="BM348" s="63"/>
      <c r="BN348" s="63"/>
      <c r="BO348" s="63"/>
      <c r="BP348" s="63"/>
      <c r="BQ348" s="63"/>
      <c r="BR348" s="63"/>
      <c r="BS348" s="63"/>
      <c r="BT348" s="63"/>
      <c r="BU348" s="63"/>
      <c r="BV348" s="63"/>
      <c r="BW348" s="63"/>
    </row>
    <row r="349" spans="1:75" x14ac:dyDescent="0.2">
      <c r="A349" s="63" t="str">
        <f t="shared" si="69"/>
        <v/>
      </c>
      <c r="B349" s="182"/>
      <c r="C349" s="75"/>
      <c r="D349" s="75"/>
      <c r="E349" s="74"/>
      <c r="F349" s="181"/>
      <c r="G349" s="69"/>
      <c r="AB349" s="150">
        <f t="shared" si="60"/>
        <v>0</v>
      </c>
      <c r="AC349" s="150">
        <f t="shared" si="61"/>
        <v>0</v>
      </c>
      <c r="AD349" s="98" t="str">
        <f t="shared" si="70"/>
        <v>0000000000</v>
      </c>
      <c r="AE349" s="151">
        <f t="shared" si="63"/>
        <v>0</v>
      </c>
      <c r="AF349" s="98" t="str">
        <f t="shared" si="64"/>
        <v>00</v>
      </c>
      <c r="AG349" s="98" t="str">
        <f t="shared" si="71"/>
        <v>000000000000</v>
      </c>
      <c r="AH349" s="161" t="str">
        <f t="shared" si="65"/>
        <v xml:space="preserve">                    </v>
      </c>
      <c r="AI349" s="154">
        <f t="shared" si="66"/>
        <v>0</v>
      </c>
      <c r="AJ349" s="155">
        <f t="shared" si="67"/>
        <v>0</v>
      </c>
      <c r="AP349" s="63" t="str">
        <f t="shared" si="68"/>
        <v/>
      </c>
      <c r="AQ349" s="63" t="str">
        <f t="shared" si="62"/>
        <v xml:space="preserve">                    </v>
      </c>
      <c r="AR349" s="63"/>
      <c r="AS349" s="63"/>
      <c r="AT349" s="63"/>
      <c r="AU349" s="63"/>
      <c r="AV349" s="63"/>
      <c r="AW349" s="63"/>
      <c r="AX349" s="63"/>
      <c r="AY349" s="63"/>
      <c r="AZ349" s="63"/>
      <c r="BA349" s="63"/>
      <c r="BB349" s="63"/>
      <c r="BC349" s="63"/>
      <c r="BD349" s="63"/>
      <c r="BE349" s="63"/>
      <c r="BF349" s="63"/>
      <c r="BG349" s="63"/>
      <c r="BH349" s="63"/>
      <c r="BI349" s="63"/>
      <c r="BJ349" s="63"/>
      <c r="BK349" s="63"/>
      <c r="BL349" s="63"/>
      <c r="BM349" s="63"/>
      <c r="BN349" s="63"/>
      <c r="BO349" s="63"/>
      <c r="BP349" s="63"/>
      <c r="BQ349" s="63"/>
      <c r="BR349" s="63"/>
      <c r="BS349" s="63"/>
      <c r="BT349" s="63"/>
      <c r="BU349" s="63"/>
      <c r="BV349" s="63"/>
      <c r="BW349" s="63"/>
    </row>
    <row r="350" spans="1:75" x14ac:dyDescent="0.2">
      <c r="A350" s="63" t="str">
        <f t="shared" si="69"/>
        <v/>
      </c>
      <c r="B350" s="182"/>
      <c r="C350" s="75"/>
      <c r="D350" s="75"/>
      <c r="E350" s="74"/>
      <c r="F350" s="181"/>
      <c r="G350" s="69"/>
      <c r="AB350" s="150">
        <f t="shared" si="60"/>
        <v>0</v>
      </c>
      <c r="AC350" s="150">
        <f t="shared" si="61"/>
        <v>0</v>
      </c>
      <c r="AD350" s="98" t="str">
        <f t="shared" si="70"/>
        <v>0000000000</v>
      </c>
      <c r="AE350" s="151">
        <f t="shared" si="63"/>
        <v>0</v>
      </c>
      <c r="AF350" s="98" t="str">
        <f t="shared" si="64"/>
        <v>00</v>
      </c>
      <c r="AG350" s="98" t="str">
        <f t="shared" si="71"/>
        <v>000000000000</v>
      </c>
      <c r="AH350" s="161" t="str">
        <f t="shared" si="65"/>
        <v xml:space="preserve">                    </v>
      </c>
      <c r="AI350" s="154">
        <f t="shared" si="66"/>
        <v>0</v>
      </c>
      <c r="AJ350" s="155">
        <f t="shared" si="67"/>
        <v>0</v>
      </c>
      <c r="AP350" s="63" t="str">
        <f t="shared" si="68"/>
        <v/>
      </c>
      <c r="AQ350" s="63" t="str">
        <f t="shared" si="62"/>
        <v xml:space="preserve">                    </v>
      </c>
      <c r="AR350" s="63"/>
      <c r="AS350" s="63"/>
      <c r="AT350" s="63"/>
      <c r="AU350" s="63"/>
      <c r="AV350" s="63"/>
      <c r="AW350" s="63"/>
      <c r="AX350" s="63"/>
      <c r="AY350" s="63"/>
      <c r="AZ350" s="63"/>
      <c r="BA350" s="63"/>
      <c r="BB350" s="63"/>
      <c r="BC350" s="63"/>
      <c r="BD350" s="63"/>
      <c r="BE350" s="63"/>
      <c r="BF350" s="63"/>
      <c r="BG350" s="63"/>
      <c r="BH350" s="63"/>
      <c r="BI350" s="63"/>
      <c r="BJ350" s="63"/>
      <c r="BK350" s="63"/>
      <c r="BL350" s="63"/>
      <c r="BM350" s="63"/>
      <c r="BN350" s="63"/>
      <c r="BO350" s="63"/>
      <c r="BP350" s="63"/>
      <c r="BQ350" s="63"/>
      <c r="BR350" s="63"/>
      <c r="BS350" s="63"/>
      <c r="BT350" s="63"/>
      <c r="BU350" s="63"/>
      <c r="BV350" s="63"/>
      <c r="BW350" s="63"/>
    </row>
    <row r="351" spans="1:75" x14ac:dyDescent="0.2">
      <c r="A351" s="63" t="str">
        <f t="shared" si="69"/>
        <v/>
      </c>
      <c r="B351" s="182"/>
      <c r="C351" s="75"/>
      <c r="D351" s="75"/>
      <c r="E351" s="74"/>
      <c r="F351" s="181"/>
      <c r="G351" s="69"/>
      <c r="AB351" s="150">
        <f t="shared" si="60"/>
        <v>0</v>
      </c>
      <c r="AC351" s="150">
        <f t="shared" si="61"/>
        <v>0</v>
      </c>
      <c r="AD351" s="98" t="str">
        <f t="shared" si="70"/>
        <v>0000000000</v>
      </c>
      <c r="AE351" s="151">
        <f t="shared" si="63"/>
        <v>0</v>
      </c>
      <c r="AF351" s="98" t="str">
        <f t="shared" si="64"/>
        <v>00</v>
      </c>
      <c r="AG351" s="98" t="str">
        <f t="shared" si="71"/>
        <v>000000000000</v>
      </c>
      <c r="AH351" s="161" t="str">
        <f t="shared" si="65"/>
        <v xml:space="preserve">                    </v>
      </c>
      <c r="AI351" s="154">
        <f t="shared" si="66"/>
        <v>0</v>
      </c>
      <c r="AJ351" s="155">
        <f t="shared" si="67"/>
        <v>0</v>
      </c>
      <c r="AP351" s="63" t="str">
        <f t="shared" si="68"/>
        <v/>
      </c>
      <c r="AQ351" s="63" t="str">
        <f t="shared" si="62"/>
        <v xml:space="preserve">                    </v>
      </c>
      <c r="AR351" s="63"/>
      <c r="AS351" s="63"/>
      <c r="AT351" s="63"/>
      <c r="AU351" s="63"/>
      <c r="AV351" s="63"/>
      <c r="AW351" s="63"/>
      <c r="AX351" s="63"/>
      <c r="AY351" s="63"/>
      <c r="AZ351" s="63"/>
      <c r="BA351" s="63"/>
      <c r="BB351" s="63"/>
      <c r="BC351" s="63"/>
      <c r="BD351" s="63"/>
      <c r="BE351" s="63"/>
      <c r="BF351" s="63"/>
      <c r="BG351" s="63"/>
      <c r="BH351" s="63"/>
      <c r="BI351" s="63"/>
      <c r="BJ351" s="63"/>
      <c r="BK351" s="63"/>
      <c r="BL351" s="63"/>
      <c r="BM351" s="63"/>
      <c r="BN351" s="63"/>
      <c r="BO351" s="63"/>
      <c r="BP351" s="63"/>
      <c r="BQ351" s="63"/>
      <c r="BR351" s="63"/>
      <c r="BS351" s="63"/>
      <c r="BT351" s="63"/>
      <c r="BU351" s="63"/>
      <c r="BV351" s="63"/>
      <c r="BW351" s="63"/>
    </row>
    <row r="352" spans="1:75" x14ac:dyDescent="0.2">
      <c r="A352" s="63" t="str">
        <f t="shared" si="69"/>
        <v/>
      </c>
      <c r="B352" s="182"/>
      <c r="C352" s="75"/>
      <c r="D352" s="75"/>
      <c r="E352" s="74"/>
      <c r="F352" s="181"/>
      <c r="G352" s="69"/>
      <c r="AB352" s="150">
        <f t="shared" si="60"/>
        <v>0</v>
      </c>
      <c r="AC352" s="150">
        <f t="shared" si="61"/>
        <v>0</v>
      </c>
      <c r="AD352" s="98" t="str">
        <f t="shared" si="70"/>
        <v>0000000000</v>
      </c>
      <c r="AE352" s="151">
        <f t="shared" si="63"/>
        <v>0</v>
      </c>
      <c r="AF352" s="98" t="str">
        <f t="shared" si="64"/>
        <v>00</v>
      </c>
      <c r="AG352" s="98" t="str">
        <f t="shared" si="71"/>
        <v>000000000000</v>
      </c>
      <c r="AH352" s="161" t="str">
        <f t="shared" si="65"/>
        <v xml:space="preserve">                    </v>
      </c>
      <c r="AI352" s="154">
        <f t="shared" si="66"/>
        <v>0</v>
      </c>
      <c r="AJ352" s="155">
        <f t="shared" si="67"/>
        <v>0</v>
      </c>
      <c r="AP352" s="63" t="str">
        <f t="shared" si="68"/>
        <v/>
      </c>
      <c r="AQ352" s="63" t="str">
        <f t="shared" si="62"/>
        <v xml:space="preserve">                    </v>
      </c>
      <c r="AR352" s="63"/>
      <c r="AS352" s="63"/>
      <c r="AT352" s="63"/>
      <c r="AU352" s="63"/>
      <c r="AV352" s="63"/>
      <c r="AW352" s="63"/>
      <c r="AX352" s="63"/>
      <c r="AY352" s="63"/>
      <c r="AZ352" s="63"/>
      <c r="BA352" s="63"/>
      <c r="BB352" s="63"/>
      <c r="BC352" s="63"/>
      <c r="BD352" s="63"/>
      <c r="BE352" s="63"/>
      <c r="BF352" s="63"/>
      <c r="BG352" s="63"/>
      <c r="BH352" s="63"/>
      <c r="BI352" s="63"/>
      <c r="BJ352" s="63"/>
      <c r="BK352" s="63"/>
      <c r="BL352" s="63"/>
      <c r="BM352" s="63"/>
      <c r="BN352" s="63"/>
      <c r="BO352" s="63"/>
      <c r="BP352" s="63"/>
      <c r="BQ352" s="63"/>
      <c r="BR352" s="63"/>
      <c r="BS352" s="63"/>
      <c r="BT352" s="63"/>
      <c r="BU352" s="63"/>
      <c r="BV352" s="63"/>
      <c r="BW352" s="63"/>
    </row>
    <row r="353" spans="1:75" x14ac:dyDescent="0.2">
      <c r="A353" s="63" t="str">
        <f t="shared" si="69"/>
        <v/>
      </c>
      <c r="B353" s="182"/>
      <c r="C353" s="75"/>
      <c r="D353" s="75"/>
      <c r="E353" s="74"/>
      <c r="F353" s="181"/>
      <c r="G353" s="69"/>
      <c r="AB353" s="150">
        <f t="shared" si="60"/>
        <v>0</v>
      </c>
      <c r="AC353" s="150">
        <f t="shared" si="61"/>
        <v>0</v>
      </c>
      <c r="AD353" s="98" t="str">
        <f t="shared" si="70"/>
        <v>0000000000</v>
      </c>
      <c r="AE353" s="151">
        <f t="shared" si="63"/>
        <v>0</v>
      </c>
      <c r="AF353" s="98" t="str">
        <f t="shared" si="64"/>
        <v>00</v>
      </c>
      <c r="AG353" s="98" t="str">
        <f t="shared" si="71"/>
        <v>000000000000</v>
      </c>
      <c r="AH353" s="161" t="str">
        <f t="shared" si="65"/>
        <v xml:space="preserve">                    </v>
      </c>
      <c r="AI353" s="154">
        <f t="shared" si="66"/>
        <v>0</v>
      </c>
      <c r="AJ353" s="155">
        <f t="shared" si="67"/>
        <v>0</v>
      </c>
      <c r="AP353" s="63" t="str">
        <f t="shared" si="68"/>
        <v/>
      </c>
      <c r="AQ353" s="63" t="str">
        <f t="shared" si="62"/>
        <v xml:space="preserve">                    </v>
      </c>
      <c r="AR353" s="63"/>
      <c r="AS353" s="63"/>
      <c r="AT353" s="63"/>
      <c r="AU353" s="63"/>
      <c r="AV353" s="63"/>
      <c r="AW353" s="63"/>
      <c r="AX353" s="63"/>
      <c r="AY353" s="63"/>
      <c r="AZ353" s="63"/>
      <c r="BA353" s="63"/>
      <c r="BB353" s="63"/>
      <c r="BC353" s="63"/>
      <c r="BD353" s="63"/>
      <c r="BE353" s="63"/>
      <c r="BF353" s="63"/>
      <c r="BG353" s="63"/>
      <c r="BH353" s="63"/>
      <c r="BI353" s="63"/>
      <c r="BJ353" s="63"/>
      <c r="BK353" s="63"/>
      <c r="BL353" s="63"/>
      <c r="BM353" s="63"/>
      <c r="BN353" s="63"/>
      <c r="BO353" s="63"/>
      <c r="BP353" s="63"/>
      <c r="BQ353" s="63"/>
      <c r="BR353" s="63"/>
      <c r="BS353" s="63"/>
      <c r="BT353" s="63"/>
      <c r="BU353" s="63"/>
      <c r="BV353" s="63"/>
      <c r="BW353" s="63"/>
    </row>
    <row r="354" spans="1:75" x14ac:dyDescent="0.2">
      <c r="A354" s="63" t="str">
        <f t="shared" si="69"/>
        <v/>
      </c>
      <c r="B354" s="182"/>
      <c r="C354" s="75"/>
      <c r="D354" s="75"/>
      <c r="E354" s="74"/>
      <c r="F354" s="181"/>
      <c r="G354" s="69"/>
      <c r="AB354" s="150">
        <f t="shared" si="60"/>
        <v>0</v>
      </c>
      <c r="AC354" s="150">
        <f t="shared" si="61"/>
        <v>0</v>
      </c>
      <c r="AD354" s="98" t="str">
        <f t="shared" si="70"/>
        <v>0000000000</v>
      </c>
      <c r="AE354" s="151">
        <f t="shared" si="63"/>
        <v>0</v>
      </c>
      <c r="AF354" s="98" t="str">
        <f t="shared" si="64"/>
        <v>00</v>
      </c>
      <c r="AG354" s="98" t="str">
        <f t="shared" si="71"/>
        <v>000000000000</v>
      </c>
      <c r="AH354" s="161" t="str">
        <f t="shared" si="65"/>
        <v xml:space="preserve">                    </v>
      </c>
      <c r="AI354" s="154">
        <f t="shared" si="66"/>
        <v>0</v>
      </c>
      <c r="AJ354" s="155">
        <f t="shared" si="67"/>
        <v>0</v>
      </c>
      <c r="AP354" s="63" t="str">
        <f t="shared" si="68"/>
        <v/>
      </c>
      <c r="AQ354" s="63" t="str">
        <f t="shared" si="62"/>
        <v xml:space="preserve">                    </v>
      </c>
      <c r="AR354" s="63"/>
      <c r="AS354" s="63"/>
      <c r="AT354" s="63"/>
      <c r="AU354" s="63"/>
      <c r="AV354" s="63"/>
      <c r="AW354" s="63"/>
      <c r="AX354" s="63"/>
      <c r="AY354" s="63"/>
      <c r="AZ354" s="63"/>
      <c r="BA354" s="63"/>
      <c r="BB354" s="63"/>
      <c r="BC354" s="63"/>
      <c r="BD354" s="63"/>
      <c r="BE354" s="63"/>
      <c r="BF354" s="63"/>
      <c r="BG354" s="63"/>
      <c r="BH354" s="63"/>
      <c r="BI354" s="63"/>
      <c r="BJ354" s="63"/>
      <c r="BK354" s="63"/>
      <c r="BL354" s="63"/>
      <c r="BM354" s="63"/>
      <c r="BN354" s="63"/>
      <c r="BO354" s="63"/>
      <c r="BP354" s="63"/>
      <c r="BQ354" s="63"/>
      <c r="BR354" s="63"/>
      <c r="BS354" s="63"/>
      <c r="BT354" s="63"/>
      <c r="BU354" s="63"/>
      <c r="BV354" s="63"/>
      <c r="BW354" s="63"/>
    </row>
    <row r="355" spans="1:75" x14ac:dyDescent="0.2">
      <c r="A355" s="63" t="str">
        <f t="shared" si="69"/>
        <v/>
      </c>
      <c r="B355" s="182"/>
      <c r="C355" s="75"/>
      <c r="D355" s="75"/>
      <c r="E355" s="74"/>
      <c r="F355" s="181"/>
      <c r="G355" s="69"/>
      <c r="AB355" s="150">
        <f t="shared" si="60"/>
        <v>0</v>
      </c>
      <c r="AC355" s="150">
        <f t="shared" si="61"/>
        <v>0</v>
      </c>
      <c r="AD355" s="98" t="str">
        <f t="shared" si="70"/>
        <v>0000000000</v>
      </c>
      <c r="AE355" s="151">
        <f t="shared" si="63"/>
        <v>0</v>
      </c>
      <c r="AF355" s="98" t="str">
        <f t="shared" si="64"/>
        <v>00</v>
      </c>
      <c r="AG355" s="98" t="str">
        <f t="shared" si="71"/>
        <v>000000000000</v>
      </c>
      <c r="AH355" s="161" t="str">
        <f t="shared" si="65"/>
        <v xml:space="preserve">                    </v>
      </c>
      <c r="AI355" s="154">
        <f t="shared" si="66"/>
        <v>0</v>
      </c>
      <c r="AJ355" s="155">
        <f t="shared" si="67"/>
        <v>0</v>
      </c>
      <c r="AP355" s="63" t="str">
        <f t="shared" si="68"/>
        <v/>
      </c>
      <c r="AQ355" s="63" t="str">
        <f t="shared" si="62"/>
        <v xml:space="preserve">                    </v>
      </c>
      <c r="AR355" s="63"/>
      <c r="AS355" s="63"/>
      <c r="AT355" s="63"/>
      <c r="AU355" s="63"/>
      <c r="AV355" s="63"/>
      <c r="AW355" s="63"/>
      <c r="AX355" s="63"/>
      <c r="AY355" s="63"/>
      <c r="AZ355" s="63"/>
      <c r="BA355" s="63"/>
      <c r="BB355" s="63"/>
      <c r="BC355" s="63"/>
      <c r="BD355" s="63"/>
      <c r="BE355" s="63"/>
      <c r="BF355" s="63"/>
      <c r="BG355" s="63"/>
      <c r="BH355" s="63"/>
      <c r="BI355" s="63"/>
      <c r="BJ355" s="63"/>
      <c r="BK355" s="63"/>
      <c r="BL355" s="63"/>
      <c r="BM355" s="63"/>
      <c r="BN355" s="63"/>
      <c r="BO355" s="63"/>
      <c r="BP355" s="63"/>
      <c r="BQ355" s="63"/>
      <c r="BR355" s="63"/>
      <c r="BS355" s="63"/>
      <c r="BT355" s="63"/>
      <c r="BU355" s="63"/>
      <c r="BV355" s="63"/>
      <c r="BW355" s="63"/>
    </row>
    <row r="356" spans="1:75" x14ac:dyDescent="0.2">
      <c r="A356" s="63" t="str">
        <f t="shared" si="69"/>
        <v/>
      </c>
      <c r="B356" s="182"/>
      <c r="C356" s="75"/>
      <c r="D356" s="75"/>
      <c r="E356" s="74"/>
      <c r="F356" s="181"/>
      <c r="G356" s="69"/>
      <c r="AB356" s="150">
        <f t="shared" si="60"/>
        <v>0</v>
      </c>
      <c r="AC356" s="150">
        <f t="shared" si="61"/>
        <v>0</v>
      </c>
      <c r="AD356" s="98" t="str">
        <f t="shared" si="70"/>
        <v>0000000000</v>
      </c>
      <c r="AE356" s="151">
        <f t="shared" si="63"/>
        <v>0</v>
      </c>
      <c r="AF356" s="98" t="str">
        <f t="shared" si="64"/>
        <v>00</v>
      </c>
      <c r="AG356" s="98" t="str">
        <f t="shared" si="71"/>
        <v>000000000000</v>
      </c>
      <c r="AH356" s="161" t="str">
        <f t="shared" si="65"/>
        <v xml:space="preserve">                    </v>
      </c>
      <c r="AI356" s="154">
        <f t="shared" si="66"/>
        <v>0</v>
      </c>
      <c r="AJ356" s="155">
        <f t="shared" si="67"/>
        <v>0</v>
      </c>
      <c r="AP356" s="63" t="str">
        <f t="shared" si="68"/>
        <v/>
      </c>
      <c r="AQ356" s="63" t="str">
        <f t="shared" si="62"/>
        <v xml:space="preserve">                    </v>
      </c>
      <c r="AR356" s="63"/>
      <c r="AS356" s="63"/>
      <c r="AT356" s="63"/>
      <c r="AU356" s="63"/>
      <c r="AV356" s="63"/>
      <c r="AW356" s="63"/>
      <c r="AX356" s="63"/>
      <c r="AY356" s="63"/>
      <c r="AZ356" s="63"/>
      <c r="BA356" s="63"/>
      <c r="BB356" s="63"/>
      <c r="BC356" s="63"/>
      <c r="BD356" s="63"/>
      <c r="BE356" s="63"/>
      <c r="BF356" s="63"/>
      <c r="BG356" s="63"/>
      <c r="BH356" s="63"/>
      <c r="BI356" s="63"/>
      <c r="BJ356" s="63"/>
      <c r="BK356" s="63"/>
      <c r="BL356" s="63"/>
      <c r="BM356" s="63"/>
      <c r="BN356" s="63"/>
      <c r="BO356" s="63"/>
      <c r="BP356" s="63"/>
      <c r="BQ356" s="63"/>
      <c r="BR356" s="63"/>
      <c r="BS356" s="63"/>
      <c r="BT356" s="63"/>
      <c r="BU356" s="63"/>
      <c r="BV356" s="63"/>
      <c r="BW356" s="63"/>
    </row>
    <row r="357" spans="1:75" x14ac:dyDescent="0.2">
      <c r="A357" s="63" t="str">
        <f t="shared" si="69"/>
        <v/>
      </c>
      <c r="B357" s="182"/>
      <c r="C357" s="75"/>
      <c r="D357" s="75"/>
      <c r="E357" s="74"/>
      <c r="F357" s="181"/>
      <c r="G357" s="69"/>
      <c r="AB357" s="150">
        <f t="shared" si="60"/>
        <v>0</v>
      </c>
      <c r="AC357" s="150">
        <f t="shared" si="61"/>
        <v>0</v>
      </c>
      <c r="AD357" s="98" t="str">
        <f t="shared" si="70"/>
        <v>0000000000</v>
      </c>
      <c r="AE357" s="151">
        <f t="shared" si="63"/>
        <v>0</v>
      </c>
      <c r="AF357" s="98" t="str">
        <f t="shared" si="64"/>
        <v>00</v>
      </c>
      <c r="AG357" s="98" t="str">
        <f t="shared" si="71"/>
        <v>000000000000</v>
      </c>
      <c r="AH357" s="161" t="str">
        <f t="shared" si="65"/>
        <v xml:space="preserve">                    </v>
      </c>
      <c r="AI357" s="154">
        <f t="shared" si="66"/>
        <v>0</v>
      </c>
      <c r="AJ357" s="155">
        <f t="shared" si="67"/>
        <v>0</v>
      </c>
      <c r="AP357" s="63" t="str">
        <f t="shared" si="68"/>
        <v/>
      </c>
      <c r="AQ357" s="63" t="str">
        <f t="shared" si="62"/>
        <v xml:space="preserve">                    </v>
      </c>
      <c r="AR357" s="63"/>
      <c r="AS357" s="63"/>
      <c r="AT357" s="63"/>
      <c r="AU357" s="63"/>
      <c r="AV357" s="63"/>
      <c r="AW357" s="63"/>
      <c r="AX357" s="63"/>
      <c r="AY357" s="63"/>
      <c r="AZ357" s="63"/>
      <c r="BA357" s="63"/>
      <c r="BB357" s="63"/>
      <c r="BC357" s="63"/>
      <c r="BD357" s="63"/>
      <c r="BE357" s="63"/>
      <c r="BF357" s="63"/>
      <c r="BG357" s="63"/>
      <c r="BH357" s="63"/>
      <c r="BI357" s="63"/>
      <c r="BJ357" s="63"/>
      <c r="BK357" s="63"/>
      <c r="BL357" s="63"/>
      <c r="BM357" s="63"/>
      <c r="BN357" s="63"/>
      <c r="BO357" s="63"/>
      <c r="BP357" s="63"/>
      <c r="BQ357" s="63"/>
      <c r="BR357" s="63"/>
      <c r="BS357" s="63"/>
      <c r="BT357" s="63"/>
      <c r="BU357" s="63"/>
      <c r="BV357" s="63"/>
      <c r="BW357" s="63"/>
    </row>
    <row r="358" spans="1:75" x14ac:dyDescent="0.2">
      <c r="A358" s="63" t="str">
        <f t="shared" si="69"/>
        <v/>
      </c>
      <c r="B358" s="182"/>
      <c r="C358" s="75"/>
      <c r="D358" s="75"/>
      <c r="E358" s="74"/>
      <c r="F358" s="181"/>
      <c r="G358" s="69"/>
      <c r="AB358" s="150">
        <f t="shared" si="60"/>
        <v>0</v>
      </c>
      <c r="AC358" s="150">
        <f t="shared" si="61"/>
        <v>0</v>
      </c>
      <c r="AD358" s="98" t="str">
        <f t="shared" si="70"/>
        <v>0000000000</v>
      </c>
      <c r="AE358" s="151">
        <f t="shared" si="63"/>
        <v>0</v>
      </c>
      <c r="AF358" s="98" t="str">
        <f t="shared" si="64"/>
        <v>00</v>
      </c>
      <c r="AG358" s="98" t="str">
        <f t="shared" si="71"/>
        <v>000000000000</v>
      </c>
      <c r="AH358" s="161" t="str">
        <f t="shared" si="65"/>
        <v xml:space="preserve">                    </v>
      </c>
      <c r="AI358" s="154">
        <f t="shared" si="66"/>
        <v>0</v>
      </c>
      <c r="AJ358" s="155">
        <f t="shared" si="67"/>
        <v>0</v>
      </c>
      <c r="AP358" s="63" t="str">
        <f t="shared" si="68"/>
        <v/>
      </c>
      <c r="AQ358" s="63" t="str">
        <f t="shared" si="62"/>
        <v xml:space="preserve">                    </v>
      </c>
      <c r="AR358" s="63"/>
      <c r="AS358" s="63"/>
      <c r="AT358" s="63"/>
      <c r="AU358" s="63"/>
      <c r="AV358" s="63"/>
      <c r="AW358" s="63"/>
      <c r="AX358" s="63"/>
      <c r="AY358" s="63"/>
      <c r="AZ358" s="63"/>
      <c r="BA358" s="63"/>
      <c r="BB358" s="63"/>
      <c r="BC358" s="63"/>
      <c r="BD358" s="63"/>
      <c r="BE358" s="63"/>
      <c r="BF358" s="63"/>
      <c r="BG358" s="63"/>
      <c r="BH358" s="63"/>
      <c r="BI358" s="63"/>
      <c r="BJ358" s="63"/>
      <c r="BK358" s="63"/>
      <c r="BL358" s="63"/>
      <c r="BM358" s="63"/>
      <c r="BN358" s="63"/>
      <c r="BO358" s="63"/>
      <c r="BP358" s="63"/>
      <c r="BQ358" s="63"/>
      <c r="BR358" s="63"/>
      <c r="BS358" s="63"/>
      <c r="BT358" s="63"/>
      <c r="BU358" s="63"/>
      <c r="BV358" s="63"/>
      <c r="BW358" s="63"/>
    </row>
    <row r="359" spans="1:75" x14ac:dyDescent="0.2">
      <c r="A359" s="63" t="str">
        <f t="shared" si="69"/>
        <v/>
      </c>
      <c r="B359" s="182"/>
      <c r="C359" s="75"/>
      <c r="D359" s="75"/>
      <c r="E359" s="74"/>
      <c r="F359" s="181"/>
      <c r="G359" s="69"/>
      <c r="AB359" s="150">
        <f t="shared" si="60"/>
        <v>0</v>
      </c>
      <c r="AC359" s="150">
        <f t="shared" si="61"/>
        <v>0</v>
      </c>
      <c r="AD359" s="98" t="str">
        <f t="shared" si="70"/>
        <v>0000000000</v>
      </c>
      <c r="AE359" s="151">
        <f t="shared" si="63"/>
        <v>0</v>
      </c>
      <c r="AF359" s="98" t="str">
        <f t="shared" si="64"/>
        <v>00</v>
      </c>
      <c r="AG359" s="98" t="str">
        <f t="shared" si="71"/>
        <v>000000000000</v>
      </c>
      <c r="AH359" s="161" t="str">
        <f t="shared" si="65"/>
        <v xml:space="preserve">                    </v>
      </c>
      <c r="AI359" s="154">
        <f t="shared" si="66"/>
        <v>0</v>
      </c>
      <c r="AJ359" s="155">
        <f t="shared" si="67"/>
        <v>0</v>
      </c>
      <c r="AP359" s="63" t="str">
        <f t="shared" si="68"/>
        <v/>
      </c>
      <c r="AQ359" s="63" t="str">
        <f t="shared" si="62"/>
        <v xml:space="preserve">                    </v>
      </c>
      <c r="AR359" s="63"/>
      <c r="AS359" s="63"/>
      <c r="AT359" s="63"/>
      <c r="AU359" s="63"/>
      <c r="AV359" s="63"/>
      <c r="AW359" s="63"/>
      <c r="AX359" s="63"/>
      <c r="AY359" s="63"/>
      <c r="AZ359" s="63"/>
      <c r="BA359" s="63"/>
      <c r="BB359" s="63"/>
      <c r="BC359" s="63"/>
      <c r="BD359" s="63"/>
      <c r="BE359" s="63"/>
      <c r="BF359" s="63"/>
      <c r="BG359" s="63"/>
      <c r="BH359" s="63"/>
      <c r="BI359" s="63"/>
      <c r="BJ359" s="63"/>
      <c r="BK359" s="63"/>
      <c r="BL359" s="63"/>
      <c r="BM359" s="63"/>
      <c r="BN359" s="63"/>
      <c r="BO359" s="63"/>
      <c r="BP359" s="63"/>
      <c r="BQ359" s="63"/>
      <c r="BR359" s="63"/>
      <c r="BS359" s="63"/>
      <c r="BT359" s="63"/>
      <c r="BU359" s="63"/>
      <c r="BV359" s="63"/>
      <c r="BW359" s="63"/>
    </row>
    <row r="360" spans="1:75" x14ac:dyDescent="0.2">
      <c r="A360" s="63" t="str">
        <f t="shared" si="69"/>
        <v/>
      </c>
      <c r="B360" s="182"/>
      <c r="C360" s="75"/>
      <c r="D360" s="75"/>
      <c r="E360" s="74"/>
      <c r="F360" s="181"/>
      <c r="G360" s="69"/>
      <c r="AB360" s="150">
        <f t="shared" si="60"/>
        <v>0</v>
      </c>
      <c r="AC360" s="150">
        <f t="shared" si="61"/>
        <v>0</v>
      </c>
      <c r="AD360" s="98" t="str">
        <f t="shared" si="70"/>
        <v>0000000000</v>
      </c>
      <c r="AE360" s="151">
        <f t="shared" si="63"/>
        <v>0</v>
      </c>
      <c r="AF360" s="98" t="str">
        <f t="shared" si="64"/>
        <v>00</v>
      </c>
      <c r="AG360" s="98" t="str">
        <f t="shared" si="71"/>
        <v>000000000000</v>
      </c>
      <c r="AH360" s="161" t="str">
        <f t="shared" si="65"/>
        <v xml:space="preserve">                    </v>
      </c>
      <c r="AI360" s="154">
        <f t="shared" si="66"/>
        <v>0</v>
      </c>
      <c r="AJ360" s="155">
        <f t="shared" si="67"/>
        <v>0</v>
      </c>
      <c r="AP360" s="63" t="str">
        <f t="shared" si="68"/>
        <v/>
      </c>
      <c r="AQ360" s="63" t="str">
        <f t="shared" si="62"/>
        <v xml:space="preserve">                    </v>
      </c>
      <c r="AR360" s="63"/>
      <c r="AS360" s="63"/>
      <c r="AT360" s="63"/>
      <c r="AU360" s="63"/>
      <c r="AV360" s="63"/>
      <c r="AW360" s="63"/>
      <c r="AX360" s="63"/>
      <c r="AY360" s="63"/>
      <c r="AZ360" s="63"/>
      <c r="BA360" s="63"/>
      <c r="BB360" s="63"/>
      <c r="BC360" s="63"/>
      <c r="BD360" s="63"/>
      <c r="BE360" s="63"/>
      <c r="BF360" s="63"/>
      <c r="BG360" s="63"/>
      <c r="BH360" s="63"/>
      <c r="BI360" s="63"/>
      <c r="BJ360" s="63"/>
      <c r="BK360" s="63"/>
      <c r="BL360" s="63"/>
      <c r="BM360" s="63"/>
      <c r="BN360" s="63"/>
      <c r="BO360" s="63"/>
      <c r="BP360" s="63"/>
      <c r="BQ360" s="63"/>
      <c r="BR360" s="63"/>
      <c r="BS360" s="63"/>
      <c r="BT360" s="63"/>
      <c r="BU360" s="63"/>
      <c r="BV360" s="63"/>
      <c r="BW360" s="63"/>
    </row>
    <row r="361" spans="1:75" x14ac:dyDescent="0.2">
      <c r="A361" s="63" t="str">
        <f t="shared" si="69"/>
        <v/>
      </c>
      <c r="B361" s="182"/>
      <c r="C361" s="75"/>
      <c r="D361" s="75"/>
      <c r="E361" s="74"/>
      <c r="F361" s="181"/>
      <c r="G361" s="69"/>
      <c r="AB361" s="150">
        <f t="shared" si="60"/>
        <v>0</v>
      </c>
      <c r="AC361" s="150">
        <f t="shared" si="61"/>
        <v>0</v>
      </c>
      <c r="AD361" s="98" t="str">
        <f t="shared" si="70"/>
        <v>0000000000</v>
      </c>
      <c r="AE361" s="151">
        <f t="shared" si="63"/>
        <v>0</v>
      </c>
      <c r="AF361" s="98" t="str">
        <f t="shared" si="64"/>
        <v>00</v>
      </c>
      <c r="AG361" s="98" t="str">
        <f t="shared" si="71"/>
        <v>000000000000</v>
      </c>
      <c r="AH361" s="161" t="str">
        <f t="shared" si="65"/>
        <v xml:space="preserve">                    </v>
      </c>
      <c r="AI361" s="154">
        <f t="shared" si="66"/>
        <v>0</v>
      </c>
      <c r="AJ361" s="155">
        <f t="shared" si="67"/>
        <v>0</v>
      </c>
      <c r="AP361" s="63" t="str">
        <f t="shared" si="68"/>
        <v/>
      </c>
      <c r="AQ361" s="63" t="str">
        <f t="shared" si="62"/>
        <v xml:space="preserve">                    </v>
      </c>
      <c r="AR361" s="63"/>
      <c r="AS361" s="63"/>
      <c r="AT361" s="63"/>
      <c r="AU361" s="63"/>
      <c r="AV361" s="63"/>
      <c r="AW361" s="63"/>
      <c r="AX361" s="63"/>
      <c r="AY361" s="63"/>
      <c r="AZ361" s="63"/>
      <c r="BA361" s="63"/>
      <c r="BB361" s="63"/>
      <c r="BC361" s="63"/>
      <c r="BD361" s="63"/>
      <c r="BE361" s="63"/>
      <c r="BF361" s="63"/>
      <c r="BG361" s="63"/>
      <c r="BH361" s="63"/>
      <c r="BI361" s="63"/>
      <c r="BJ361" s="63"/>
      <c r="BK361" s="63"/>
      <c r="BL361" s="63"/>
      <c r="BM361" s="63"/>
      <c r="BN361" s="63"/>
      <c r="BO361" s="63"/>
      <c r="BP361" s="63"/>
      <c r="BQ361" s="63"/>
      <c r="BR361" s="63"/>
      <c r="BS361" s="63"/>
      <c r="BT361" s="63"/>
      <c r="BU361" s="63"/>
      <c r="BV361" s="63"/>
      <c r="BW361" s="63"/>
    </row>
    <row r="362" spans="1:75" x14ac:dyDescent="0.2">
      <c r="A362" s="63" t="str">
        <f t="shared" si="69"/>
        <v/>
      </c>
      <c r="B362" s="182"/>
      <c r="C362" s="75"/>
      <c r="D362" s="75"/>
      <c r="E362" s="74"/>
      <c r="F362" s="181"/>
      <c r="G362" s="69"/>
      <c r="AB362" s="150">
        <f t="shared" si="60"/>
        <v>0</v>
      </c>
      <c r="AC362" s="150">
        <f t="shared" si="61"/>
        <v>0</v>
      </c>
      <c r="AD362" s="98" t="str">
        <f t="shared" si="70"/>
        <v>0000000000</v>
      </c>
      <c r="AE362" s="151">
        <f t="shared" si="63"/>
        <v>0</v>
      </c>
      <c r="AF362" s="98" t="str">
        <f t="shared" si="64"/>
        <v>00</v>
      </c>
      <c r="AG362" s="98" t="str">
        <f t="shared" si="71"/>
        <v>000000000000</v>
      </c>
      <c r="AH362" s="161" t="str">
        <f t="shared" si="65"/>
        <v xml:space="preserve">                    </v>
      </c>
      <c r="AI362" s="154">
        <f t="shared" si="66"/>
        <v>0</v>
      </c>
      <c r="AJ362" s="155">
        <f t="shared" si="67"/>
        <v>0</v>
      </c>
      <c r="AP362" s="63" t="str">
        <f t="shared" si="68"/>
        <v/>
      </c>
      <c r="AQ362" s="63" t="str">
        <f t="shared" si="62"/>
        <v xml:space="preserve">                    </v>
      </c>
      <c r="AR362" s="63"/>
      <c r="AS362" s="63"/>
      <c r="AT362" s="63"/>
      <c r="AU362" s="63"/>
      <c r="AV362" s="63"/>
      <c r="AW362" s="63"/>
      <c r="AX362" s="63"/>
      <c r="AY362" s="63"/>
      <c r="AZ362" s="63"/>
      <c r="BA362" s="63"/>
      <c r="BB362" s="63"/>
      <c r="BC362" s="63"/>
      <c r="BD362" s="63"/>
      <c r="BE362" s="63"/>
      <c r="BF362" s="63"/>
      <c r="BG362" s="63"/>
      <c r="BH362" s="63"/>
      <c r="BI362" s="63"/>
      <c r="BJ362" s="63"/>
      <c r="BK362" s="63"/>
      <c r="BL362" s="63"/>
      <c r="BM362" s="63"/>
      <c r="BN362" s="63"/>
      <c r="BO362" s="63"/>
      <c r="BP362" s="63"/>
      <c r="BQ362" s="63"/>
      <c r="BR362" s="63"/>
      <c r="BS362" s="63"/>
      <c r="BT362" s="63"/>
      <c r="BU362" s="63"/>
      <c r="BV362" s="63"/>
      <c r="BW362" s="63"/>
    </row>
    <row r="363" spans="1:75" x14ac:dyDescent="0.2">
      <c r="A363" s="63" t="str">
        <f t="shared" si="69"/>
        <v/>
      </c>
      <c r="B363" s="182"/>
      <c r="C363" s="75"/>
      <c r="D363" s="75"/>
      <c r="E363" s="74"/>
      <c r="F363" s="181"/>
      <c r="G363" s="69"/>
      <c r="AB363" s="150">
        <f t="shared" si="60"/>
        <v>0</v>
      </c>
      <c r="AC363" s="150">
        <f t="shared" si="61"/>
        <v>0</v>
      </c>
      <c r="AD363" s="98" t="str">
        <f t="shared" si="70"/>
        <v>0000000000</v>
      </c>
      <c r="AE363" s="151">
        <f t="shared" si="63"/>
        <v>0</v>
      </c>
      <c r="AF363" s="98" t="str">
        <f t="shared" si="64"/>
        <v>00</v>
      </c>
      <c r="AG363" s="98" t="str">
        <f t="shared" si="71"/>
        <v>000000000000</v>
      </c>
      <c r="AH363" s="161" t="str">
        <f t="shared" si="65"/>
        <v xml:space="preserve">                    </v>
      </c>
      <c r="AI363" s="154">
        <f t="shared" si="66"/>
        <v>0</v>
      </c>
      <c r="AJ363" s="155">
        <f t="shared" si="67"/>
        <v>0</v>
      </c>
      <c r="AP363" s="63" t="str">
        <f t="shared" si="68"/>
        <v/>
      </c>
      <c r="AQ363" s="63" t="str">
        <f t="shared" si="62"/>
        <v xml:space="preserve">                    </v>
      </c>
      <c r="AR363" s="63"/>
      <c r="AS363" s="63"/>
      <c r="AT363" s="63"/>
      <c r="AU363" s="63"/>
      <c r="AV363" s="63"/>
      <c r="AW363" s="63"/>
      <c r="AX363" s="63"/>
      <c r="AY363" s="63"/>
      <c r="AZ363" s="63"/>
      <c r="BA363" s="63"/>
      <c r="BB363" s="63"/>
      <c r="BC363" s="63"/>
      <c r="BD363" s="63"/>
      <c r="BE363" s="63"/>
      <c r="BF363" s="63"/>
      <c r="BG363" s="63"/>
      <c r="BH363" s="63"/>
      <c r="BI363" s="63"/>
      <c r="BJ363" s="63"/>
      <c r="BK363" s="63"/>
      <c r="BL363" s="63"/>
      <c r="BM363" s="63"/>
      <c r="BN363" s="63"/>
      <c r="BO363" s="63"/>
      <c r="BP363" s="63"/>
      <c r="BQ363" s="63"/>
      <c r="BR363" s="63"/>
      <c r="BS363" s="63"/>
      <c r="BT363" s="63"/>
      <c r="BU363" s="63"/>
      <c r="BV363" s="63"/>
      <c r="BW363" s="63"/>
    </row>
    <row r="364" spans="1:75" x14ac:dyDescent="0.2">
      <c r="A364" s="63" t="str">
        <f t="shared" si="69"/>
        <v/>
      </c>
      <c r="B364" s="182"/>
      <c r="C364" s="75"/>
      <c r="D364" s="75"/>
      <c r="E364" s="74"/>
      <c r="F364" s="181"/>
      <c r="G364" s="69"/>
      <c r="AB364" s="150">
        <f t="shared" si="60"/>
        <v>0</v>
      </c>
      <c r="AC364" s="150">
        <f t="shared" si="61"/>
        <v>0</v>
      </c>
      <c r="AD364" s="98" t="str">
        <f t="shared" si="70"/>
        <v>0000000000</v>
      </c>
      <c r="AE364" s="151">
        <f t="shared" si="63"/>
        <v>0</v>
      </c>
      <c r="AF364" s="98" t="str">
        <f t="shared" si="64"/>
        <v>00</v>
      </c>
      <c r="AG364" s="98" t="str">
        <f t="shared" si="71"/>
        <v>000000000000</v>
      </c>
      <c r="AH364" s="161" t="str">
        <f t="shared" si="65"/>
        <v xml:space="preserve">                    </v>
      </c>
      <c r="AI364" s="154">
        <f t="shared" si="66"/>
        <v>0</v>
      </c>
      <c r="AJ364" s="155">
        <f t="shared" si="67"/>
        <v>0</v>
      </c>
      <c r="AP364" s="63" t="str">
        <f t="shared" si="68"/>
        <v/>
      </c>
      <c r="AQ364" s="63" t="str">
        <f t="shared" si="62"/>
        <v xml:space="preserve">                    </v>
      </c>
      <c r="AR364" s="63"/>
      <c r="AS364" s="63"/>
      <c r="AT364" s="63"/>
      <c r="AU364" s="63"/>
      <c r="AV364" s="63"/>
      <c r="AW364" s="63"/>
      <c r="AX364" s="63"/>
      <c r="AY364" s="63"/>
      <c r="AZ364" s="63"/>
      <c r="BA364" s="63"/>
      <c r="BB364" s="63"/>
      <c r="BC364" s="63"/>
      <c r="BD364" s="63"/>
      <c r="BE364" s="63"/>
      <c r="BF364" s="63"/>
      <c r="BG364" s="63"/>
      <c r="BH364" s="63"/>
      <c r="BI364" s="63"/>
      <c r="BJ364" s="63"/>
      <c r="BK364" s="63"/>
      <c r="BL364" s="63"/>
      <c r="BM364" s="63"/>
      <c r="BN364" s="63"/>
      <c r="BO364" s="63"/>
      <c r="BP364" s="63"/>
      <c r="BQ364" s="63"/>
      <c r="BR364" s="63"/>
      <c r="BS364" s="63"/>
      <c r="BT364" s="63"/>
      <c r="BU364" s="63"/>
      <c r="BV364" s="63"/>
      <c r="BW364" s="63"/>
    </row>
    <row r="365" spans="1:75" x14ac:dyDescent="0.2">
      <c r="A365" s="63" t="str">
        <f t="shared" si="69"/>
        <v/>
      </c>
      <c r="B365" s="182"/>
      <c r="C365" s="75"/>
      <c r="D365" s="75"/>
      <c r="E365" s="74"/>
      <c r="F365" s="181"/>
      <c r="G365" s="69"/>
      <c r="AB365" s="150">
        <f t="shared" si="60"/>
        <v>0</v>
      </c>
      <c r="AC365" s="150">
        <f t="shared" si="61"/>
        <v>0</v>
      </c>
      <c r="AD365" s="98" t="str">
        <f t="shared" si="70"/>
        <v>0000000000</v>
      </c>
      <c r="AE365" s="151">
        <f t="shared" si="63"/>
        <v>0</v>
      </c>
      <c r="AF365" s="98" t="str">
        <f t="shared" si="64"/>
        <v>00</v>
      </c>
      <c r="AG365" s="98" t="str">
        <f t="shared" si="71"/>
        <v>000000000000</v>
      </c>
      <c r="AH365" s="161" t="str">
        <f t="shared" si="65"/>
        <v xml:space="preserve">                    </v>
      </c>
      <c r="AI365" s="154">
        <f t="shared" si="66"/>
        <v>0</v>
      </c>
      <c r="AJ365" s="155">
        <f t="shared" si="67"/>
        <v>0</v>
      </c>
      <c r="AP365" s="63" t="str">
        <f t="shared" si="68"/>
        <v/>
      </c>
      <c r="AQ365" s="63" t="str">
        <f t="shared" si="62"/>
        <v xml:space="preserve">                    </v>
      </c>
      <c r="AR365" s="63"/>
      <c r="AS365" s="63"/>
      <c r="AT365" s="63"/>
      <c r="AU365" s="63"/>
      <c r="AV365" s="63"/>
      <c r="AW365" s="63"/>
      <c r="AX365" s="63"/>
      <c r="AY365" s="63"/>
      <c r="AZ365" s="63"/>
      <c r="BA365" s="63"/>
      <c r="BB365" s="63"/>
      <c r="BC365" s="63"/>
      <c r="BD365" s="63"/>
      <c r="BE365" s="63"/>
      <c r="BF365" s="63"/>
      <c r="BG365" s="63"/>
      <c r="BH365" s="63"/>
      <c r="BI365" s="63"/>
      <c r="BJ365" s="63"/>
      <c r="BK365" s="63"/>
      <c r="BL365" s="63"/>
      <c r="BM365" s="63"/>
      <c r="BN365" s="63"/>
      <c r="BO365" s="63"/>
      <c r="BP365" s="63"/>
      <c r="BQ365" s="63"/>
      <c r="BR365" s="63"/>
      <c r="BS365" s="63"/>
      <c r="BT365" s="63"/>
      <c r="BU365" s="63"/>
      <c r="BV365" s="63"/>
      <c r="BW365" s="63"/>
    </row>
    <row r="366" spans="1:75" x14ac:dyDescent="0.2">
      <c r="A366" s="63" t="str">
        <f t="shared" si="69"/>
        <v/>
      </c>
      <c r="B366" s="182"/>
      <c r="C366" s="75"/>
      <c r="D366" s="75"/>
      <c r="E366" s="74"/>
      <c r="F366" s="181"/>
      <c r="G366" s="69"/>
      <c r="AB366" s="150">
        <f t="shared" si="60"/>
        <v>0</v>
      </c>
      <c r="AC366" s="150">
        <f t="shared" si="61"/>
        <v>0</v>
      </c>
      <c r="AD366" s="98" t="str">
        <f t="shared" si="70"/>
        <v>0000000000</v>
      </c>
      <c r="AE366" s="151">
        <f t="shared" si="63"/>
        <v>0</v>
      </c>
      <c r="AF366" s="98" t="str">
        <f t="shared" si="64"/>
        <v>00</v>
      </c>
      <c r="AG366" s="98" t="str">
        <f t="shared" si="71"/>
        <v>000000000000</v>
      </c>
      <c r="AH366" s="161" t="str">
        <f t="shared" si="65"/>
        <v xml:space="preserve">                    </v>
      </c>
      <c r="AI366" s="154">
        <f t="shared" si="66"/>
        <v>0</v>
      </c>
      <c r="AJ366" s="155">
        <f t="shared" si="67"/>
        <v>0</v>
      </c>
      <c r="AP366" s="63" t="str">
        <f t="shared" si="68"/>
        <v/>
      </c>
      <c r="AQ366" s="63" t="str">
        <f t="shared" si="62"/>
        <v xml:space="preserve">                    </v>
      </c>
      <c r="AR366" s="63"/>
      <c r="AS366" s="63"/>
      <c r="AT366" s="63"/>
      <c r="AU366" s="63"/>
      <c r="AV366" s="63"/>
      <c r="AW366" s="63"/>
      <c r="AX366" s="63"/>
      <c r="AY366" s="63"/>
      <c r="AZ366" s="63"/>
      <c r="BA366" s="63"/>
      <c r="BB366" s="63"/>
      <c r="BC366" s="63"/>
      <c r="BD366" s="63"/>
      <c r="BE366" s="63"/>
      <c r="BF366" s="63"/>
      <c r="BG366" s="63"/>
      <c r="BH366" s="63"/>
      <c r="BI366" s="63"/>
      <c r="BJ366" s="63"/>
      <c r="BK366" s="63"/>
      <c r="BL366" s="63"/>
      <c r="BM366" s="63"/>
      <c r="BN366" s="63"/>
      <c r="BO366" s="63"/>
      <c r="BP366" s="63"/>
      <c r="BQ366" s="63"/>
      <c r="BR366" s="63"/>
      <c r="BS366" s="63"/>
      <c r="BT366" s="63"/>
      <c r="BU366" s="63"/>
      <c r="BV366" s="63"/>
      <c r="BW366" s="63"/>
    </row>
    <row r="367" spans="1:75" x14ac:dyDescent="0.2">
      <c r="A367" s="63" t="str">
        <f t="shared" si="69"/>
        <v/>
      </c>
      <c r="B367" s="182"/>
      <c r="C367" s="75"/>
      <c r="D367" s="75"/>
      <c r="E367" s="74"/>
      <c r="F367" s="181"/>
      <c r="G367" s="69"/>
      <c r="AB367" s="150">
        <f t="shared" si="60"/>
        <v>0</v>
      </c>
      <c r="AC367" s="150">
        <f t="shared" si="61"/>
        <v>0</v>
      </c>
      <c r="AD367" s="98" t="str">
        <f t="shared" si="70"/>
        <v>0000000000</v>
      </c>
      <c r="AE367" s="151">
        <f t="shared" si="63"/>
        <v>0</v>
      </c>
      <c r="AF367" s="98" t="str">
        <f t="shared" si="64"/>
        <v>00</v>
      </c>
      <c r="AG367" s="98" t="str">
        <f t="shared" si="71"/>
        <v>000000000000</v>
      </c>
      <c r="AH367" s="161" t="str">
        <f t="shared" si="65"/>
        <v xml:space="preserve">                    </v>
      </c>
      <c r="AI367" s="154">
        <f t="shared" si="66"/>
        <v>0</v>
      </c>
      <c r="AJ367" s="155">
        <f t="shared" si="67"/>
        <v>0</v>
      </c>
      <c r="AP367" s="63" t="str">
        <f t="shared" si="68"/>
        <v/>
      </c>
      <c r="AQ367" s="63" t="str">
        <f t="shared" si="62"/>
        <v xml:space="preserve">                    </v>
      </c>
      <c r="AR367" s="63"/>
      <c r="AS367" s="63"/>
      <c r="AT367" s="63"/>
      <c r="AU367" s="63"/>
      <c r="AV367" s="63"/>
      <c r="AW367" s="63"/>
      <c r="AX367" s="63"/>
      <c r="AY367" s="63"/>
      <c r="AZ367" s="63"/>
      <c r="BA367" s="63"/>
      <c r="BB367" s="63"/>
      <c r="BC367" s="63"/>
      <c r="BD367" s="63"/>
      <c r="BE367" s="63"/>
      <c r="BF367" s="63"/>
      <c r="BG367" s="63"/>
      <c r="BH367" s="63"/>
      <c r="BI367" s="63"/>
      <c r="BJ367" s="63"/>
      <c r="BK367" s="63"/>
      <c r="BL367" s="63"/>
      <c r="BM367" s="63"/>
      <c r="BN367" s="63"/>
      <c r="BO367" s="63"/>
      <c r="BP367" s="63"/>
      <c r="BQ367" s="63"/>
      <c r="BR367" s="63"/>
      <c r="BS367" s="63"/>
      <c r="BT367" s="63"/>
      <c r="BU367" s="63"/>
      <c r="BV367" s="63"/>
      <c r="BW367" s="63"/>
    </row>
    <row r="368" spans="1:75" x14ac:dyDescent="0.2">
      <c r="A368" s="63" t="str">
        <f t="shared" si="69"/>
        <v/>
      </c>
      <c r="B368" s="182"/>
      <c r="C368" s="75"/>
      <c r="D368" s="75"/>
      <c r="E368" s="74"/>
      <c r="F368" s="181"/>
      <c r="G368" s="69"/>
      <c r="AB368" s="150">
        <f t="shared" si="60"/>
        <v>0</v>
      </c>
      <c r="AC368" s="150">
        <f t="shared" si="61"/>
        <v>0</v>
      </c>
      <c r="AD368" s="98" t="str">
        <f t="shared" si="70"/>
        <v>0000000000</v>
      </c>
      <c r="AE368" s="151">
        <f t="shared" si="63"/>
        <v>0</v>
      </c>
      <c r="AF368" s="98" t="str">
        <f t="shared" si="64"/>
        <v>00</v>
      </c>
      <c r="AG368" s="98" t="str">
        <f t="shared" si="71"/>
        <v>000000000000</v>
      </c>
      <c r="AH368" s="161" t="str">
        <f t="shared" si="65"/>
        <v xml:space="preserve">                    </v>
      </c>
      <c r="AI368" s="154">
        <f t="shared" si="66"/>
        <v>0</v>
      </c>
      <c r="AJ368" s="155">
        <f t="shared" si="67"/>
        <v>0</v>
      </c>
      <c r="AP368" s="63" t="str">
        <f t="shared" si="68"/>
        <v/>
      </c>
      <c r="AQ368" s="63" t="str">
        <f t="shared" si="62"/>
        <v xml:space="preserve">                    </v>
      </c>
      <c r="AR368" s="63"/>
      <c r="AS368" s="63"/>
      <c r="AT368" s="63"/>
      <c r="AU368" s="63"/>
      <c r="AV368" s="63"/>
      <c r="AW368" s="63"/>
      <c r="AX368" s="63"/>
      <c r="AY368" s="63"/>
      <c r="AZ368" s="63"/>
      <c r="BA368" s="63"/>
      <c r="BB368" s="63"/>
      <c r="BC368" s="63"/>
      <c r="BD368" s="63"/>
      <c r="BE368" s="63"/>
      <c r="BF368" s="63"/>
      <c r="BG368" s="63"/>
      <c r="BH368" s="63"/>
      <c r="BI368" s="63"/>
      <c r="BJ368" s="63"/>
      <c r="BK368" s="63"/>
      <c r="BL368" s="63"/>
      <c r="BM368" s="63"/>
      <c r="BN368" s="63"/>
      <c r="BO368" s="63"/>
      <c r="BP368" s="63"/>
      <c r="BQ368" s="63"/>
      <c r="BR368" s="63"/>
      <c r="BS368" s="63"/>
      <c r="BT368" s="63"/>
      <c r="BU368" s="63"/>
      <c r="BV368" s="63"/>
      <c r="BW368" s="63"/>
    </row>
    <row r="369" spans="1:75" x14ac:dyDescent="0.2">
      <c r="A369" s="63" t="str">
        <f t="shared" si="69"/>
        <v/>
      </c>
      <c r="B369" s="182"/>
      <c r="C369" s="75"/>
      <c r="D369" s="75"/>
      <c r="E369" s="74"/>
      <c r="F369" s="181"/>
      <c r="G369" s="69"/>
      <c r="AB369" s="150">
        <f t="shared" si="60"/>
        <v>0</v>
      </c>
      <c r="AC369" s="150">
        <f t="shared" si="61"/>
        <v>0</v>
      </c>
      <c r="AD369" s="98" t="str">
        <f t="shared" si="70"/>
        <v>0000000000</v>
      </c>
      <c r="AE369" s="151">
        <f t="shared" si="63"/>
        <v>0</v>
      </c>
      <c r="AF369" s="98" t="str">
        <f t="shared" si="64"/>
        <v>00</v>
      </c>
      <c r="AG369" s="98" t="str">
        <f t="shared" si="71"/>
        <v>000000000000</v>
      </c>
      <c r="AH369" s="161" t="str">
        <f t="shared" si="65"/>
        <v xml:space="preserve">                    </v>
      </c>
      <c r="AI369" s="154">
        <f t="shared" si="66"/>
        <v>0</v>
      </c>
      <c r="AJ369" s="155">
        <f t="shared" si="67"/>
        <v>0</v>
      </c>
      <c r="AP369" s="63" t="str">
        <f t="shared" si="68"/>
        <v/>
      </c>
      <c r="AQ369" s="63" t="str">
        <f t="shared" si="62"/>
        <v xml:space="preserve">                    </v>
      </c>
      <c r="AR369" s="63"/>
      <c r="AS369" s="63"/>
      <c r="AT369" s="63"/>
      <c r="AU369" s="63"/>
      <c r="AV369" s="63"/>
      <c r="AW369" s="63"/>
      <c r="AX369" s="63"/>
      <c r="AY369" s="63"/>
      <c r="AZ369" s="63"/>
      <c r="BA369" s="63"/>
      <c r="BB369" s="63"/>
      <c r="BC369" s="63"/>
      <c r="BD369" s="63"/>
      <c r="BE369" s="63"/>
      <c r="BF369" s="63"/>
      <c r="BG369" s="63"/>
      <c r="BH369" s="63"/>
      <c r="BI369" s="63"/>
      <c r="BJ369" s="63"/>
      <c r="BK369" s="63"/>
      <c r="BL369" s="63"/>
      <c r="BM369" s="63"/>
      <c r="BN369" s="63"/>
      <c r="BO369" s="63"/>
      <c r="BP369" s="63"/>
      <c r="BQ369" s="63"/>
      <c r="BR369" s="63"/>
      <c r="BS369" s="63"/>
      <c r="BT369" s="63"/>
      <c r="BU369" s="63"/>
      <c r="BV369" s="63"/>
      <c r="BW369" s="63"/>
    </row>
    <row r="370" spans="1:75" x14ac:dyDescent="0.2">
      <c r="A370" s="63" t="str">
        <f t="shared" si="69"/>
        <v/>
      </c>
      <c r="B370" s="182"/>
      <c r="C370" s="75"/>
      <c r="D370" s="75"/>
      <c r="E370" s="74"/>
      <c r="F370" s="181"/>
      <c r="G370" s="69"/>
      <c r="AB370" s="150">
        <f t="shared" si="60"/>
        <v>0</v>
      </c>
      <c r="AC370" s="150">
        <f t="shared" si="61"/>
        <v>0</v>
      </c>
      <c r="AD370" s="98" t="str">
        <f t="shared" si="70"/>
        <v>0000000000</v>
      </c>
      <c r="AE370" s="151">
        <f t="shared" si="63"/>
        <v>0</v>
      </c>
      <c r="AF370" s="98" t="str">
        <f t="shared" si="64"/>
        <v>00</v>
      </c>
      <c r="AG370" s="98" t="str">
        <f t="shared" si="71"/>
        <v>000000000000</v>
      </c>
      <c r="AH370" s="161" t="str">
        <f t="shared" si="65"/>
        <v xml:space="preserve">                    </v>
      </c>
      <c r="AI370" s="154">
        <f t="shared" si="66"/>
        <v>0</v>
      </c>
      <c r="AJ370" s="155">
        <f t="shared" si="67"/>
        <v>0</v>
      </c>
      <c r="AP370" s="63" t="str">
        <f t="shared" si="68"/>
        <v/>
      </c>
      <c r="AQ370" s="63" t="str">
        <f t="shared" si="62"/>
        <v xml:space="preserve">                    </v>
      </c>
      <c r="AR370" s="63"/>
      <c r="AS370" s="63"/>
      <c r="AT370" s="63"/>
      <c r="AU370" s="63"/>
      <c r="AV370" s="63"/>
      <c r="AW370" s="63"/>
      <c r="AX370" s="63"/>
      <c r="AY370" s="63"/>
      <c r="AZ370" s="63"/>
      <c r="BA370" s="63"/>
      <c r="BB370" s="63"/>
      <c r="BC370" s="63"/>
      <c r="BD370" s="63"/>
      <c r="BE370" s="63"/>
      <c r="BF370" s="63"/>
      <c r="BG370" s="63"/>
      <c r="BH370" s="63"/>
      <c r="BI370" s="63"/>
      <c r="BJ370" s="63"/>
      <c r="BK370" s="63"/>
      <c r="BL370" s="63"/>
      <c r="BM370" s="63"/>
      <c r="BN370" s="63"/>
      <c r="BO370" s="63"/>
      <c r="BP370" s="63"/>
      <c r="BQ370" s="63"/>
      <c r="BR370" s="63"/>
      <c r="BS370" s="63"/>
      <c r="BT370" s="63"/>
      <c r="BU370" s="63"/>
      <c r="BV370" s="63"/>
      <c r="BW370" s="63"/>
    </row>
    <row r="371" spans="1:75" x14ac:dyDescent="0.2">
      <c r="A371" s="63" t="str">
        <f t="shared" si="69"/>
        <v/>
      </c>
      <c r="B371" s="182"/>
      <c r="C371" s="75"/>
      <c r="D371" s="75"/>
      <c r="E371" s="74"/>
      <c r="F371" s="181"/>
      <c r="G371" s="69"/>
      <c r="AB371" s="150">
        <f t="shared" si="60"/>
        <v>0</v>
      </c>
      <c r="AC371" s="150">
        <f t="shared" si="61"/>
        <v>0</v>
      </c>
      <c r="AD371" s="98" t="str">
        <f t="shared" si="70"/>
        <v>0000000000</v>
      </c>
      <c r="AE371" s="151">
        <f t="shared" si="63"/>
        <v>0</v>
      </c>
      <c r="AF371" s="98" t="str">
        <f t="shared" si="64"/>
        <v>00</v>
      </c>
      <c r="AG371" s="98" t="str">
        <f t="shared" si="71"/>
        <v>000000000000</v>
      </c>
      <c r="AH371" s="161" t="str">
        <f t="shared" si="65"/>
        <v xml:space="preserve">                    </v>
      </c>
      <c r="AI371" s="154">
        <f t="shared" si="66"/>
        <v>0</v>
      </c>
      <c r="AJ371" s="155">
        <f t="shared" si="67"/>
        <v>0</v>
      </c>
      <c r="AP371" s="63" t="str">
        <f t="shared" si="68"/>
        <v/>
      </c>
      <c r="AQ371" s="63" t="str">
        <f t="shared" si="62"/>
        <v xml:space="preserve">                    </v>
      </c>
      <c r="AR371" s="63"/>
      <c r="AS371" s="63"/>
      <c r="AT371" s="63"/>
      <c r="AU371" s="63"/>
      <c r="AV371" s="63"/>
      <c r="AW371" s="63"/>
      <c r="AX371" s="63"/>
      <c r="AY371" s="63"/>
      <c r="AZ371" s="63"/>
      <c r="BA371" s="63"/>
      <c r="BB371" s="63"/>
      <c r="BC371" s="63"/>
      <c r="BD371" s="63"/>
      <c r="BE371" s="63"/>
      <c r="BF371" s="63"/>
      <c r="BG371" s="63"/>
      <c r="BH371" s="63"/>
      <c r="BI371" s="63"/>
      <c r="BJ371" s="63"/>
      <c r="BK371" s="63"/>
      <c r="BL371" s="63"/>
      <c r="BM371" s="63"/>
      <c r="BN371" s="63"/>
      <c r="BO371" s="63"/>
      <c r="BP371" s="63"/>
      <c r="BQ371" s="63"/>
      <c r="BR371" s="63"/>
      <c r="BS371" s="63"/>
      <c r="BT371" s="63"/>
      <c r="BU371" s="63"/>
      <c r="BV371" s="63"/>
      <c r="BW371" s="63"/>
    </row>
    <row r="372" spans="1:75" x14ac:dyDescent="0.2">
      <c r="A372" s="63" t="str">
        <f t="shared" si="69"/>
        <v/>
      </c>
      <c r="B372" s="182"/>
      <c r="C372" s="75"/>
      <c r="D372" s="75"/>
      <c r="E372" s="74"/>
      <c r="F372" s="181"/>
      <c r="G372" s="69"/>
      <c r="AB372" s="150">
        <f t="shared" si="60"/>
        <v>0</v>
      </c>
      <c r="AC372" s="150">
        <f t="shared" si="61"/>
        <v>0</v>
      </c>
      <c r="AD372" s="98" t="str">
        <f t="shared" si="70"/>
        <v>0000000000</v>
      </c>
      <c r="AE372" s="151">
        <f t="shared" si="63"/>
        <v>0</v>
      </c>
      <c r="AF372" s="98" t="str">
        <f t="shared" si="64"/>
        <v>00</v>
      </c>
      <c r="AG372" s="98" t="str">
        <f t="shared" si="71"/>
        <v>000000000000</v>
      </c>
      <c r="AH372" s="161" t="str">
        <f t="shared" si="65"/>
        <v xml:space="preserve">                    </v>
      </c>
      <c r="AI372" s="154">
        <f t="shared" si="66"/>
        <v>0</v>
      </c>
      <c r="AJ372" s="155">
        <f t="shared" si="67"/>
        <v>0</v>
      </c>
      <c r="AP372" s="63" t="str">
        <f t="shared" si="68"/>
        <v/>
      </c>
      <c r="AQ372" s="63" t="str">
        <f t="shared" si="62"/>
        <v xml:space="preserve">                    </v>
      </c>
      <c r="AR372" s="63"/>
      <c r="AS372" s="63"/>
      <c r="AT372" s="63"/>
      <c r="AU372" s="63"/>
      <c r="AV372" s="63"/>
      <c r="AW372" s="63"/>
      <c r="AX372" s="63"/>
      <c r="AY372" s="63"/>
      <c r="AZ372" s="63"/>
      <c r="BA372" s="63"/>
      <c r="BB372" s="63"/>
      <c r="BC372" s="63"/>
      <c r="BD372" s="63"/>
      <c r="BE372" s="63"/>
      <c r="BF372" s="63"/>
      <c r="BG372" s="63"/>
      <c r="BH372" s="63"/>
      <c r="BI372" s="63"/>
      <c r="BJ372" s="63"/>
      <c r="BK372" s="63"/>
      <c r="BL372" s="63"/>
      <c r="BM372" s="63"/>
      <c r="BN372" s="63"/>
      <c r="BO372" s="63"/>
      <c r="BP372" s="63"/>
      <c r="BQ372" s="63"/>
      <c r="BR372" s="63"/>
      <c r="BS372" s="63"/>
      <c r="BT372" s="63"/>
      <c r="BU372" s="63"/>
      <c r="BV372" s="63"/>
      <c r="BW372" s="63"/>
    </row>
    <row r="373" spans="1:75" x14ac:dyDescent="0.2">
      <c r="A373" s="63" t="str">
        <f t="shared" si="69"/>
        <v/>
      </c>
      <c r="B373" s="182"/>
      <c r="C373" s="75"/>
      <c r="D373" s="75"/>
      <c r="E373" s="74"/>
      <c r="F373" s="181"/>
      <c r="G373" s="69"/>
      <c r="AB373" s="150">
        <f t="shared" si="60"/>
        <v>0</v>
      </c>
      <c r="AC373" s="150">
        <f t="shared" si="61"/>
        <v>0</v>
      </c>
      <c r="AD373" s="98" t="str">
        <f t="shared" si="70"/>
        <v>0000000000</v>
      </c>
      <c r="AE373" s="151">
        <f t="shared" si="63"/>
        <v>0</v>
      </c>
      <c r="AF373" s="98" t="str">
        <f t="shared" si="64"/>
        <v>00</v>
      </c>
      <c r="AG373" s="98" t="str">
        <f t="shared" si="71"/>
        <v>000000000000</v>
      </c>
      <c r="AH373" s="161" t="str">
        <f t="shared" si="65"/>
        <v xml:space="preserve">                    </v>
      </c>
      <c r="AI373" s="154">
        <f t="shared" si="66"/>
        <v>0</v>
      </c>
      <c r="AJ373" s="155">
        <f t="shared" si="67"/>
        <v>0</v>
      </c>
      <c r="AP373" s="63" t="str">
        <f t="shared" si="68"/>
        <v/>
      </c>
      <c r="AQ373" s="63" t="str">
        <f t="shared" si="62"/>
        <v xml:space="preserve">                    </v>
      </c>
      <c r="AR373" s="63"/>
      <c r="AS373" s="63"/>
      <c r="AT373" s="63"/>
      <c r="AU373" s="63"/>
      <c r="AV373" s="63"/>
      <c r="AW373" s="63"/>
      <c r="AX373" s="63"/>
      <c r="AY373" s="63"/>
      <c r="AZ373" s="63"/>
      <c r="BA373" s="63"/>
      <c r="BB373" s="63"/>
      <c r="BC373" s="63"/>
      <c r="BD373" s="63"/>
      <c r="BE373" s="63"/>
      <c r="BF373" s="63"/>
      <c r="BG373" s="63"/>
      <c r="BH373" s="63"/>
      <c r="BI373" s="63"/>
      <c r="BJ373" s="63"/>
      <c r="BK373" s="63"/>
      <c r="BL373" s="63"/>
      <c r="BM373" s="63"/>
      <c r="BN373" s="63"/>
      <c r="BO373" s="63"/>
      <c r="BP373" s="63"/>
      <c r="BQ373" s="63"/>
      <c r="BR373" s="63"/>
      <c r="BS373" s="63"/>
      <c r="BT373" s="63"/>
      <c r="BU373" s="63"/>
      <c r="BV373" s="63"/>
      <c r="BW373" s="63"/>
    </row>
    <row r="374" spans="1:75" x14ac:dyDescent="0.2">
      <c r="A374" s="63" t="str">
        <f t="shared" si="69"/>
        <v/>
      </c>
      <c r="B374" s="182"/>
      <c r="C374" s="75"/>
      <c r="D374" s="75"/>
      <c r="E374" s="74"/>
      <c r="F374" s="181"/>
      <c r="G374" s="69"/>
      <c r="AB374" s="150">
        <f t="shared" si="60"/>
        <v>0</v>
      </c>
      <c r="AC374" s="150">
        <f t="shared" si="61"/>
        <v>0</v>
      </c>
      <c r="AD374" s="98" t="str">
        <f t="shared" si="70"/>
        <v>0000000000</v>
      </c>
      <c r="AE374" s="151">
        <f t="shared" si="63"/>
        <v>0</v>
      </c>
      <c r="AF374" s="98" t="str">
        <f t="shared" si="64"/>
        <v>00</v>
      </c>
      <c r="AG374" s="98" t="str">
        <f t="shared" si="71"/>
        <v>000000000000</v>
      </c>
      <c r="AH374" s="161" t="str">
        <f t="shared" si="65"/>
        <v xml:space="preserve">                    </v>
      </c>
      <c r="AI374" s="154">
        <f t="shared" si="66"/>
        <v>0</v>
      </c>
      <c r="AJ374" s="155">
        <f t="shared" si="67"/>
        <v>0</v>
      </c>
      <c r="AP374" s="63" t="str">
        <f t="shared" si="68"/>
        <v/>
      </c>
      <c r="AQ374" s="63" t="str">
        <f t="shared" si="62"/>
        <v xml:space="preserve">                    </v>
      </c>
      <c r="AR374" s="63"/>
      <c r="AS374" s="63"/>
      <c r="AT374" s="63"/>
      <c r="AU374" s="63"/>
      <c r="AV374" s="63"/>
      <c r="AW374" s="63"/>
      <c r="AX374" s="63"/>
      <c r="AY374" s="63"/>
      <c r="AZ374" s="63"/>
      <c r="BA374" s="63"/>
      <c r="BB374" s="63"/>
      <c r="BC374" s="63"/>
      <c r="BD374" s="63"/>
      <c r="BE374" s="63"/>
      <c r="BF374" s="63"/>
      <c r="BG374" s="63"/>
      <c r="BH374" s="63"/>
      <c r="BI374" s="63"/>
      <c r="BJ374" s="63"/>
      <c r="BK374" s="63"/>
      <c r="BL374" s="63"/>
      <c r="BM374" s="63"/>
      <c r="BN374" s="63"/>
      <c r="BO374" s="63"/>
      <c r="BP374" s="63"/>
      <c r="BQ374" s="63"/>
      <c r="BR374" s="63"/>
      <c r="BS374" s="63"/>
      <c r="BT374" s="63"/>
      <c r="BU374" s="63"/>
      <c r="BV374" s="63"/>
      <c r="BW374" s="63"/>
    </row>
    <row r="375" spans="1:75" x14ac:dyDescent="0.2">
      <c r="A375" s="63" t="str">
        <f t="shared" si="69"/>
        <v/>
      </c>
      <c r="B375" s="182"/>
      <c r="C375" s="75"/>
      <c r="D375" s="75"/>
      <c r="E375" s="74"/>
      <c r="F375" s="181"/>
      <c r="G375" s="69"/>
      <c r="AB375" s="150">
        <f t="shared" si="60"/>
        <v>0</v>
      </c>
      <c r="AC375" s="150">
        <f t="shared" si="61"/>
        <v>0</v>
      </c>
      <c r="AD375" s="98" t="str">
        <f t="shared" si="70"/>
        <v>0000000000</v>
      </c>
      <c r="AE375" s="151">
        <f t="shared" si="63"/>
        <v>0</v>
      </c>
      <c r="AF375" s="98" t="str">
        <f t="shared" si="64"/>
        <v>00</v>
      </c>
      <c r="AG375" s="98" t="str">
        <f t="shared" si="71"/>
        <v>000000000000</v>
      </c>
      <c r="AH375" s="161" t="str">
        <f t="shared" si="65"/>
        <v xml:space="preserve">                    </v>
      </c>
      <c r="AI375" s="154">
        <f t="shared" si="66"/>
        <v>0</v>
      </c>
      <c r="AJ375" s="155">
        <f t="shared" si="67"/>
        <v>0</v>
      </c>
      <c r="AP375" s="63" t="str">
        <f t="shared" si="68"/>
        <v/>
      </c>
      <c r="AQ375" s="63" t="str">
        <f t="shared" si="62"/>
        <v xml:space="preserve">                    </v>
      </c>
      <c r="AR375" s="63"/>
      <c r="AS375" s="63"/>
      <c r="AT375" s="63"/>
      <c r="AU375" s="63"/>
      <c r="AV375" s="63"/>
      <c r="AW375" s="63"/>
      <c r="AX375" s="63"/>
      <c r="AY375" s="63"/>
      <c r="AZ375" s="63"/>
      <c r="BA375" s="63"/>
      <c r="BB375" s="63"/>
      <c r="BC375" s="63"/>
      <c r="BD375" s="63"/>
      <c r="BE375" s="63"/>
      <c r="BF375" s="63"/>
      <c r="BG375" s="63"/>
      <c r="BH375" s="63"/>
      <c r="BI375" s="63"/>
      <c r="BJ375" s="63"/>
      <c r="BK375" s="63"/>
      <c r="BL375" s="63"/>
      <c r="BM375" s="63"/>
      <c r="BN375" s="63"/>
      <c r="BO375" s="63"/>
      <c r="BP375" s="63"/>
      <c r="BQ375" s="63"/>
      <c r="BR375" s="63"/>
      <c r="BS375" s="63"/>
      <c r="BT375" s="63"/>
      <c r="BU375" s="63"/>
      <c r="BV375" s="63"/>
      <c r="BW375" s="63"/>
    </row>
    <row r="376" spans="1:75" x14ac:dyDescent="0.2">
      <c r="A376" s="63" t="str">
        <f t="shared" si="69"/>
        <v/>
      </c>
      <c r="B376" s="182"/>
      <c r="C376" s="75"/>
      <c r="D376" s="75"/>
      <c r="E376" s="74"/>
      <c r="F376" s="181"/>
      <c r="G376" s="69"/>
      <c r="AB376" s="150">
        <f t="shared" si="60"/>
        <v>0</v>
      </c>
      <c r="AC376" s="150">
        <f t="shared" si="61"/>
        <v>0</v>
      </c>
      <c r="AD376" s="98" t="str">
        <f t="shared" si="70"/>
        <v>0000000000</v>
      </c>
      <c r="AE376" s="151">
        <f t="shared" si="63"/>
        <v>0</v>
      </c>
      <c r="AF376" s="98" t="str">
        <f t="shared" si="64"/>
        <v>00</v>
      </c>
      <c r="AG376" s="98" t="str">
        <f t="shared" si="71"/>
        <v>000000000000</v>
      </c>
      <c r="AH376" s="161" t="str">
        <f t="shared" si="65"/>
        <v xml:space="preserve">                    </v>
      </c>
      <c r="AI376" s="154">
        <f t="shared" si="66"/>
        <v>0</v>
      </c>
      <c r="AJ376" s="155">
        <f t="shared" si="67"/>
        <v>0</v>
      </c>
      <c r="AP376" s="63" t="str">
        <f t="shared" si="68"/>
        <v/>
      </c>
      <c r="AQ376" s="63" t="str">
        <f t="shared" si="62"/>
        <v xml:space="preserve">                    </v>
      </c>
      <c r="AR376" s="63"/>
      <c r="AS376" s="63"/>
      <c r="AT376" s="63"/>
      <c r="AU376" s="63"/>
      <c r="AV376" s="63"/>
      <c r="AW376" s="63"/>
      <c r="AX376" s="63"/>
      <c r="AY376" s="63"/>
      <c r="AZ376" s="63"/>
      <c r="BA376" s="63"/>
      <c r="BB376" s="63"/>
      <c r="BC376" s="63"/>
      <c r="BD376" s="63"/>
      <c r="BE376" s="63"/>
      <c r="BF376" s="63"/>
      <c r="BG376" s="63"/>
      <c r="BH376" s="63"/>
      <c r="BI376" s="63"/>
      <c r="BJ376" s="63"/>
      <c r="BK376" s="63"/>
      <c r="BL376" s="63"/>
      <c r="BM376" s="63"/>
      <c r="BN376" s="63"/>
      <c r="BO376" s="63"/>
      <c r="BP376" s="63"/>
      <c r="BQ376" s="63"/>
      <c r="BR376" s="63"/>
      <c r="BS376" s="63"/>
      <c r="BT376" s="63"/>
      <c r="BU376" s="63"/>
      <c r="BV376" s="63"/>
      <c r="BW376" s="63"/>
    </row>
    <row r="377" spans="1:75" x14ac:dyDescent="0.2">
      <c r="A377" s="63" t="str">
        <f t="shared" si="69"/>
        <v/>
      </c>
      <c r="B377" s="182"/>
      <c r="C377" s="75"/>
      <c r="D377" s="75"/>
      <c r="E377" s="74"/>
      <c r="F377" s="181"/>
      <c r="G377" s="69"/>
      <c r="AB377" s="150">
        <f t="shared" si="60"/>
        <v>0</v>
      </c>
      <c r="AC377" s="150">
        <f t="shared" si="61"/>
        <v>0</v>
      </c>
      <c r="AD377" s="98" t="str">
        <f t="shared" si="70"/>
        <v>0000000000</v>
      </c>
      <c r="AE377" s="151">
        <f t="shared" si="63"/>
        <v>0</v>
      </c>
      <c r="AF377" s="98" t="str">
        <f t="shared" si="64"/>
        <v>00</v>
      </c>
      <c r="AG377" s="98" t="str">
        <f t="shared" si="71"/>
        <v>000000000000</v>
      </c>
      <c r="AH377" s="161" t="str">
        <f t="shared" si="65"/>
        <v xml:space="preserve">                    </v>
      </c>
      <c r="AI377" s="154">
        <f t="shared" si="66"/>
        <v>0</v>
      </c>
      <c r="AJ377" s="155">
        <f t="shared" si="67"/>
        <v>0</v>
      </c>
      <c r="AP377" s="63" t="str">
        <f t="shared" si="68"/>
        <v/>
      </c>
      <c r="AQ377" s="63" t="str">
        <f t="shared" si="62"/>
        <v xml:space="preserve">                    </v>
      </c>
      <c r="AR377" s="63"/>
      <c r="AS377" s="63"/>
      <c r="AT377" s="63"/>
      <c r="AU377" s="63"/>
      <c r="AV377" s="63"/>
      <c r="AW377" s="63"/>
      <c r="AX377" s="63"/>
      <c r="AY377" s="63"/>
      <c r="AZ377" s="63"/>
      <c r="BA377" s="63"/>
      <c r="BB377" s="63"/>
      <c r="BC377" s="63"/>
      <c r="BD377" s="63"/>
      <c r="BE377" s="63"/>
      <c r="BF377" s="63"/>
      <c r="BG377" s="63"/>
      <c r="BH377" s="63"/>
      <c r="BI377" s="63"/>
      <c r="BJ377" s="63"/>
      <c r="BK377" s="63"/>
      <c r="BL377" s="63"/>
      <c r="BM377" s="63"/>
      <c r="BN377" s="63"/>
      <c r="BO377" s="63"/>
      <c r="BP377" s="63"/>
      <c r="BQ377" s="63"/>
      <c r="BR377" s="63"/>
      <c r="BS377" s="63"/>
      <c r="BT377" s="63"/>
      <c r="BU377" s="63"/>
      <c r="BV377" s="63"/>
      <c r="BW377" s="63"/>
    </row>
    <row r="378" spans="1:75" x14ac:dyDescent="0.2">
      <c r="A378" s="63" t="str">
        <f t="shared" si="69"/>
        <v/>
      </c>
      <c r="B378" s="182"/>
      <c r="C378" s="75"/>
      <c r="D378" s="75"/>
      <c r="E378" s="74"/>
      <c r="F378" s="181"/>
      <c r="G378" s="69"/>
      <c r="AB378" s="150">
        <f t="shared" si="60"/>
        <v>0</v>
      </c>
      <c r="AC378" s="150">
        <f t="shared" si="61"/>
        <v>0</v>
      </c>
      <c r="AD378" s="98" t="str">
        <f t="shared" si="70"/>
        <v>0000000000</v>
      </c>
      <c r="AE378" s="151">
        <f t="shared" si="63"/>
        <v>0</v>
      </c>
      <c r="AF378" s="98" t="str">
        <f t="shared" si="64"/>
        <v>00</v>
      </c>
      <c r="AG378" s="98" t="str">
        <f t="shared" si="71"/>
        <v>000000000000</v>
      </c>
      <c r="AH378" s="161" t="str">
        <f t="shared" si="65"/>
        <v xml:space="preserve">                    </v>
      </c>
      <c r="AI378" s="154">
        <f t="shared" si="66"/>
        <v>0</v>
      </c>
      <c r="AJ378" s="155">
        <f t="shared" si="67"/>
        <v>0</v>
      </c>
      <c r="AP378" s="63" t="str">
        <f t="shared" si="68"/>
        <v/>
      </c>
      <c r="AQ378" s="63" t="str">
        <f t="shared" si="62"/>
        <v xml:space="preserve">                    </v>
      </c>
      <c r="AR378" s="63"/>
      <c r="AS378" s="63"/>
      <c r="AT378" s="63"/>
      <c r="AU378" s="63"/>
      <c r="AV378" s="63"/>
      <c r="AW378" s="63"/>
      <c r="AX378" s="63"/>
      <c r="AY378" s="63"/>
      <c r="AZ378" s="63"/>
      <c r="BA378" s="63"/>
      <c r="BB378" s="63"/>
      <c r="BC378" s="63"/>
      <c r="BD378" s="63"/>
      <c r="BE378" s="63"/>
      <c r="BF378" s="63"/>
      <c r="BG378" s="63"/>
      <c r="BH378" s="63"/>
      <c r="BI378" s="63"/>
      <c r="BJ378" s="63"/>
      <c r="BK378" s="63"/>
      <c r="BL378" s="63"/>
      <c r="BM378" s="63"/>
      <c r="BN378" s="63"/>
      <c r="BO378" s="63"/>
      <c r="BP378" s="63"/>
      <c r="BQ378" s="63"/>
      <c r="BR378" s="63"/>
      <c r="BS378" s="63"/>
      <c r="BT378" s="63"/>
      <c r="BU378" s="63"/>
      <c r="BV378" s="63"/>
      <c r="BW378" s="63"/>
    </row>
    <row r="379" spans="1:75" x14ac:dyDescent="0.2">
      <c r="A379" s="63" t="str">
        <f t="shared" si="69"/>
        <v/>
      </c>
      <c r="B379" s="182"/>
      <c r="C379" s="75"/>
      <c r="D379" s="75"/>
      <c r="E379" s="74"/>
      <c r="F379" s="181"/>
      <c r="G379" s="69"/>
      <c r="AB379" s="150">
        <f t="shared" si="60"/>
        <v>0</v>
      </c>
      <c r="AC379" s="150">
        <f t="shared" si="61"/>
        <v>0</v>
      </c>
      <c r="AD379" s="98" t="str">
        <f t="shared" si="70"/>
        <v>0000000000</v>
      </c>
      <c r="AE379" s="151">
        <f t="shared" si="63"/>
        <v>0</v>
      </c>
      <c r="AF379" s="98" t="str">
        <f t="shared" si="64"/>
        <v>00</v>
      </c>
      <c r="AG379" s="98" t="str">
        <f t="shared" si="71"/>
        <v>000000000000</v>
      </c>
      <c r="AH379" s="161" t="str">
        <f t="shared" si="65"/>
        <v xml:space="preserve">                    </v>
      </c>
      <c r="AI379" s="154">
        <f t="shared" si="66"/>
        <v>0</v>
      </c>
      <c r="AJ379" s="155">
        <f t="shared" si="67"/>
        <v>0</v>
      </c>
      <c r="AP379" s="63" t="str">
        <f t="shared" si="68"/>
        <v/>
      </c>
      <c r="AQ379" s="63" t="str">
        <f t="shared" si="62"/>
        <v xml:space="preserve">                    </v>
      </c>
      <c r="AR379" s="63"/>
      <c r="AS379" s="63"/>
      <c r="AT379" s="63"/>
      <c r="AU379" s="63"/>
      <c r="AV379" s="63"/>
      <c r="AW379" s="63"/>
      <c r="AX379" s="63"/>
      <c r="AY379" s="63"/>
      <c r="AZ379" s="63"/>
      <c r="BA379" s="63"/>
      <c r="BB379" s="63"/>
      <c r="BC379" s="63"/>
      <c r="BD379" s="63"/>
      <c r="BE379" s="63"/>
      <c r="BF379" s="63"/>
      <c r="BG379" s="63"/>
      <c r="BH379" s="63"/>
      <c r="BI379" s="63"/>
      <c r="BJ379" s="63"/>
      <c r="BK379" s="63"/>
      <c r="BL379" s="63"/>
      <c r="BM379" s="63"/>
      <c r="BN379" s="63"/>
      <c r="BO379" s="63"/>
      <c r="BP379" s="63"/>
      <c r="BQ379" s="63"/>
      <c r="BR379" s="63"/>
      <c r="BS379" s="63"/>
      <c r="BT379" s="63"/>
      <c r="BU379" s="63"/>
      <c r="BV379" s="63"/>
      <c r="BW379" s="63"/>
    </row>
    <row r="380" spans="1:75" x14ac:dyDescent="0.2">
      <c r="A380" s="63" t="str">
        <f t="shared" si="69"/>
        <v/>
      </c>
      <c r="B380" s="182"/>
      <c r="C380" s="75"/>
      <c r="D380" s="75"/>
      <c r="E380" s="74"/>
      <c r="F380" s="181"/>
      <c r="G380" s="69"/>
      <c r="AB380" s="150">
        <f t="shared" si="60"/>
        <v>0</v>
      </c>
      <c r="AC380" s="150">
        <f t="shared" si="61"/>
        <v>0</v>
      </c>
      <c r="AD380" s="98" t="str">
        <f t="shared" si="70"/>
        <v>0000000000</v>
      </c>
      <c r="AE380" s="151">
        <f t="shared" si="63"/>
        <v>0</v>
      </c>
      <c r="AF380" s="98" t="str">
        <f t="shared" si="64"/>
        <v>00</v>
      </c>
      <c r="AG380" s="98" t="str">
        <f t="shared" si="71"/>
        <v>000000000000</v>
      </c>
      <c r="AH380" s="161" t="str">
        <f t="shared" si="65"/>
        <v xml:space="preserve">                    </v>
      </c>
      <c r="AI380" s="154">
        <f t="shared" si="66"/>
        <v>0</v>
      </c>
      <c r="AJ380" s="155">
        <f t="shared" si="67"/>
        <v>0</v>
      </c>
      <c r="AP380" s="63" t="str">
        <f t="shared" si="68"/>
        <v/>
      </c>
      <c r="AQ380" s="63" t="str">
        <f t="shared" si="62"/>
        <v xml:space="preserve">                    </v>
      </c>
      <c r="AR380" s="63"/>
      <c r="AS380" s="63"/>
      <c r="AT380" s="63"/>
      <c r="AU380" s="63"/>
      <c r="AV380" s="63"/>
      <c r="AW380" s="63"/>
      <c r="AX380" s="63"/>
      <c r="AY380" s="63"/>
      <c r="AZ380" s="63"/>
      <c r="BA380" s="63"/>
      <c r="BB380" s="63"/>
      <c r="BC380" s="63"/>
      <c r="BD380" s="63"/>
      <c r="BE380" s="63"/>
      <c r="BF380" s="63"/>
      <c r="BG380" s="63"/>
      <c r="BH380" s="63"/>
      <c r="BI380" s="63"/>
      <c r="BJ380" s="63"/>
      <c r="BK380" s="63"/>
      <c r="BL380" s="63"/>
      <c r="BM380" s="63"/>
      <c r="BN380" s="63"/>
      <c r="BO380" s="63"/>
      <c r="BP380" s="63"/>
      <c r="BQ380" s="63"/>
      <c r="BR380" s="63"/>
      <c r="BS380" s="63"/>
      <c r="BT380" s="63"/>
      <c r="BU380" s="63"/>
      <c r="BV380" s="63"/>
      <c r="BW380" s="63"/>
    </row>
    <row r="381" spans="1:75" x14ac:dyDescent="0.2">
      <c r="A381" s="63" t="str">
        <f t="shared" si="69"/>
        <v/>
      </c>
      <c r="B381" s="182"/>
      <c r="C381" s="75"/>
      <c r="D381" s="75"/>
      <c r="E381" s="74"/>
      <c r="F381" s="181"/>
      <c r="G381" s="69"/>
      <c r="AB381" s="150">
        <f t="shared" si="60"/>
        <v>0</v>
      </c>
      <c r="AC381" s="150">
        <f t="shared" si="61"/>
        <v>0</v>
      </c>
      <c r="AD381" s="98" t="str">
        <f t="shared" si="70"/>
        <v>0000000000</v>
      </c>
      <c r="AE381" s="151">
        <f t="shared" si="63"/>
        <v>0</v>
      </c>
      <c r="AF381" s="98" t="str">
        <f t="shared" si="64"/>
        <v>00</v>
      </c>
      <c r="AG381" s="98" t="str">
        <f t="shared" si="71"/>
        <v>000000000000</v>
      </c>
      <c r="AH381" s="161" t="str">
        <f t="shared" si="65"/>
        <v xml:space="preserve">                    </v>
      </c>
      <c r="AI381" s="154">
        <f t="shared" si="66"/>
        <v>0</v>
      </c>
      <c r="AJ381" s="155">
        <f t="shared" si="67"/>
        <v>0</v>
      </c>
      <c r="AP381" s="63" t="str">
        <f t="shared" si="68"/>
        <v/>
      </c>
      <c r="AQ381" s="63" t="str">
        <f t="shared" si="62"/>
        <v xml:space="preserve">                    </v>
      </c>
      <c r="AR381" s="63"/>
      <c r="AS381" s="63"/>
      <c r="AT381" s="63"/>
      <c r="AU381" s="63"/>
      <c r="AV381" s="63"/>
      <c r="AW381" s="63"/>
      <c r="AX381" s="63"/>
      <c r="AY381" s="63"/>
      <c r="AZ381" s="63"/>
      <c r="BA381" s="63"/>
      <c r="BB381" s="63"/>
      <c r="BC381" s="63"/>
      <c r="BD381" s="63"/>
      <c r="BE381" s="63"/>
      <c r="BF381" s="63"/>
      <c r="BG381" s="63"/>
      <c r="BH381" s="63"/>
      <c r="BI381" s="63"/>
      <c r="BJ381" s="63"/>
      <c r="BK381" s="63"/>
      <c r="BL381" s="63"/>
      <c r="BM381" s="63"/>
      <c r="BN381" s="63"/>
      <c r="BO381" s="63"/>
      <c r="BP381" s="63"/>
      <c r="BQ381" s="63"/>
      <c r="BR381" s="63"/>
      <c r="BS381" s="63"/>
      <c r="BT381" s="63"/>
      <c r="BU381" s="63"/>
      <c r="BV381" s="63"/>
      <c r="BW381" s="63"/>
    </row>
    <row r="382" spans="1:75" x14ac:dyDescent="0.2">
      <c r="A382" s="63" t="str">
        <f t="shared" si="69"/>
        <v/>
      </c>
      <c r="B382" s="182"/>
      <c r="C382" s="75"/>
      <c r="D382" s="75"/>
      <c r="E382" s="74"/>
      <c r="F382" s="181"/>
      <c r="G382" s="69"/>
      <c r="AB382" s="150">
        <f t="shared" si="60"/>
        <v>0</v>
      </c>
      <c r="AC382" s="150">
        <f t="shared" si="61"/>
        <v>0</v>
      </c>
      <c r="AD382" s="98" t="str">
        <f t="shared" si="70"/>
        <v>0000000000</v>
      </c>
      <c r="AE382" s="151">
        <f t="shared" si="63"/>
        <v>0</v>
      </c>
      <c r="AF382" s="98" t="str">
        <f t="shared" si="64"/>
        <v>00</v>
      </c>
      <c r="AG382" s="98" t="str">
        <f t="shared" si="71"/>
        <v>000000000000</v>
      </c>
      <c r="AH382" s="161" t="str">
        <f t="shared" si="65"/>
        <v xml:space="preserve">                    </v>
      </c>
      <c r="AI382" s="154">
        <f t="shared" si="66"/>
        <v>0</v>
      </c>
      <c r="AJ382" s="155">
        <f t="shared" si="67"/>
        <v>0</v>
      </c>
      <c r="AP382" s="63" t="str">
        <f t="shared" si="68"/>
        <v/>
      </c>
      <c r="AQ382" s="63" t="str">
        <f t="shared" si="62"/>
        <v xml:space="preserve">                    </v>
      </c>
      <c r="AR382" s="63"/>
      <c r="AS382" s="63"/>
      <c r="AT382" s="63"/>
      <c r="AU382" s="63"/>
      <c r="AV382" s="63"/>
      <c r="AW382" s="63"/>
      <c r="AX382" s="63"/>
      <c r="AY382" s="63"/>
      <c r="AZ382" s="63"/>
      <c r="BA382" s="63"/>
      <c r="BB382" s="63"/>
      <c r="BC382" s="63"/>
      <c r="BD382" s="63"/>
      <c r="BE382" s="63"/>
      <c r="BF382" s="63"/>
      <c r="BG382" s="63"/>
      <c r="BH382" s="63"/>
      <c r="BI382" s="63"/>
      <c r="BJ382" s="63"/>
      <c r="BK382" s="63"/>
      <c r="BL382" s="63"/>
      <c r="BM382" s="63"/>
      <c r="BN382" s="63"/>
      <c r="BO382" s="63"/>
      <c r="BP382" s="63"/>
      <c r="BQ382" s="63"/>
      <c r="BR382" s="63"/>
      <c r="BS382" s="63"/>
      <c r="BT382" s="63"/>
      <c r="BU382" s="63"/>
      <c r="BV382" s="63"/>
      <c r="BW382" s="63"/>
    </row>
    <row r="383" spans="1:75" x14ac:dyDescent="0.2">
      <c r="A383" s="63" t="str">
        <f t="shared" si="69"/>
        <v/>
      </c>
      <c r="B383" s="182"/>
      <c r="C383" s="75"/>
      <c r="D383" s="75"/>
      <c r="E383" s="74"/>
      <c r="F383" s="181"/>
      <c r="G383" s="69"/>
      <c r="AB383" s="150">
        <f t="shared" si="60"/>
        <v>0</v>
      </c>
      <c r="AC383" s="150">
        <f t="shared" si="61"/>
        <v>0</v>
      </c>
      <c r="AD383" s="98" t="str">
        <f t="shared" si="70"/>
        <v>0000000000</v>
      </c>
      <c r="AE383" s="151">
        <f t="shared" si="63"/>
        <v>0</v>
      </c>
      <c r="AF383" s="98" t="str">
        <f t="shared" si="64"/>
        <v>00</v>
      </c>
      <c r="AG383" s="98" t="str">
        <f t="shared" si="71"/>
        <v>000000000000</v>
      </c>
      <c r="AH383" s="161" t="str">
        <f t="shared" si="65"/>
        <v xml:space="preserve">                    </v>
      </c>
      <c r="AI383" s="154">
        <f t="shared" si="66"/>
        <v>0</v>
      </c>
      <c r="AJ383" s="155">
        <f t="shared" si="67"/>
        <v>0</v>
      </c>
      <c r="AP383" s="63" t="str">
        <f t="shared" si="68"/>
        <v/>
      </c>
      <c r="AQ383" s="63" t="str">
        <f t="shared" si="62"/>
        <v xml:space="preserve">                    </v>
      </c>
      <c r="AR383" s="63"/>
      <c r="AS383" s="63"/>
      <c r="AT383" s="63"/>
      <c r="AU383" s="63"/>
      <c r="AV383" s="63"/>
      <c r="AW383" s="63"/>
      <c r="AX383" s="63"/>
      <c r="AY383" s="63"/>
      <c r="AZ383" s="63"/>
      <c r="BA383" s="63"/>
      <c r="BB383" s="63"/>
      <c r="BC383" s="63"/>
      <c r="BD383" s="63"/>
      <c r="BE383" s="63"/>
      <c r="BF383" s="63"/>
      <c r="BG383" s="63"/>
      <c r="BH383" s="63"/>
      <c r="BI383" s="63"/>
      <c r="BJ383" s="63"/>
      <c r="BK383" s="63"/>
      <c r="BL383" s="63"/>
      <c r="BM383" s="63"/>
      <c r="BN383" s="63"/>
      <c r="BO383" s="63"/>
      <c r="BP383" s="63"/>
      <c r="BQ383" s="63"/>
      <c r="BR383" s="63"/>
      <c r="BS383" s="63"/>
      <c r="BT383" s="63"/>
      <c r="BU383" s="63"/>
      <c r="BV383" s="63"/>
      <c r="BW383" s="63"/>
    </row>
    <row r="384" spans="1:75" x14ac:dyDescent="0.2">
      <c r="A384" s="63" t="str">
        <f t="shared" si="69"/>
        <v/>
      </c>
      <c r="B384" s="182"/>
      <c r="C384" s="75"/>
      <c r="D384" s="75"/>
      <c r="E384" s="74"/>
      <c r="F384" s="181"/>
      <c r="G384" s="69"/>
      <c r="AB384" s="150">
        <f t="shared" si="60"/>
        <v>0</v>
      </c>
      <c r="AC384" s="150">
        <f t="shared" si="61"/>
        <v>0</v>
      </c>
      <c r="AD384" s="98" t="str">
        <f t="shared" si="70"/>
        <v>0000000000</v>
      </c>
      <c r="AE384" s="151">
        <f t="shared" si="63"/>
        <v>0</v>
      </c>
      <c r="AF384" s="98" t="str">
        <f t="shared" si="64"/>
        <v>00</v>
      </c>
      <c r="AG384" s="98" t="str">
        <f t="shared" si="71"/>
        <v>000000000000</v>
      </c>
      <c r="AH384" s="161" t="str">
        <f t="shared" si="65"/>
        <v xml:space="preserve">                    </v>
      </c>
      <c r="AI384" s="154">
        <f t="shared" si="66"/>
        <v>0</v>
      </c>
      <c r="AJ384" s="155">
        <f t="shared" si="67"/>
        <v>0</v>
      </c>
      <c r="AP384" s="63" t="str">
        <f t="shared" si="68"/>
        <v/>
      </c>
      <c r="AQ384" s="63" t="str">
        <f t="shared" si="62"/>
        <v xml:space="preserve">                    </v>
      </c>
      <c r="AR384" s="63"/>
      <c r="AS384" s="63"/>
      <c r="AT384" s="63"/>
      <c r="AU384" s="63"/>
      <c r="AV384" s="63"/>
      <c r="AW384" s="63"/>
      <c r="AX384" s="63"/>
      <c r="AY384" s="63"/>
      <c r="AZ384" s="63"/>
      <c r="BA384" s="63"/>
      <c r="BB384" s="63"/>
      <c r="BC384" s="63"/>
      <c r="BD384" s="63"/>
      <c r="BE384" s="63"/>
      <c r="BF384" s="63"/>
      <c r="BG384" s="63"/>
      <c r="BH384" s="63"/>
      <c r="BI384" s="63"/>
      <c r="BJ384" s="63"/>
      <c r="BK384" s="63"/>
      <c r="BL384" s="63"/>
      <c r="BM384" s="63"/>
      <c r="BN384" s="63"/>
      <c r="BO384" s="63"/>
      <c r="BP384" s="63"/>
      <c r="BQ384" s="63"/>
      <c r="BR384" s="63"/>
      <c r="BS384" s="63"/>
      <c r="BT384" s="63"/>
      <c r="BU384" s="63"/>
      <c r="BV384" s="63"/>
      <c r="BW384" s="63"/>
    </row>
    <row r="385" spans="1:75" x14ac:dyDescent="0.2">
      <c r="A385" s="63" t="str">
        <f t="shared" si="69"/>
        <v/>
      </c>
      <c r="B385" s="182"/>
      <c r="C385" s="75"/>
      <c r="D385" s="75"/>
      <c r="E385" s="74"/>
      <c r="F385" s="181"/>
      <c r="G385" s="69"/>
      <c r="AB385" s="150">
        <f t="shared" si="60"/>
        <v>0</v>
      </c>
      <c r="AC385" s="150">
        <f t="shared" si="61"/>
        <v>0</v>
      </c>
      <c r="AD385" s="98" t="str">
        <f t="shared" si="70"/>
        <v>0000000000</v>
      </c>
      <c r="AE385" s="151">
        <f t="shared" si="63"/>
        <v>0</v>
      </c>
      <c r="AF385" s="98" t="str">
        <f t="shared" si="64"/>
        <v>00</v>
      </c>
      <c r="AG385" s="98" t="str">
        <f t="shared" si="71"/>
        <v>000000000000</v>
      </c>
      <c r="AH385" s="161" t="str">
        <f t="shared" si="65"/>
        <v xml:space="preserve">                    </v>
      </c>
      <c r="AI385" s="154">
        <f t="shared" si="66"/>
        <v>0</v>
      </c>
      <c r="AJ385" s="155">
        <f t="shared" si="67"/>
        <v>0</v>
      </c>
      <c r="AP385" s="63" t="str">
        <f t="shared" si="68"/>
        <v/>
      </c>
      <c r="AQ385" s="63" t="str">
        <f t="shared" si="62"/>
        <v xml:space="preserve">                    </v>
      </c>
      <c r="AR385" s="63"/>
      <c r="AS385" s="63"/>
      <c r="AT385" s="63"/>
      <c r="AU385" s="63"/>
      <c r="AV385" s="63"/>
      <c r="AW385" s="63"/>
      <c r="AX385" s="63"/>
      <c r="AY385" s="63"/>
      <c r="AZ385" s="63"/>
      <c r="BA385" s="63"/>
      <c r="BB385" s="63"/>
      <c r="BC385" s="63"/>
      <c r="BD385" s="63"/>
      <c r="BE385" s="63"/>
      <c r="BF385" s="63"/>
      <c r="BG385" s="63"/>
      <c r="BH385" s="63"/>
      <c r="BI385" s="63"/>
      <c r="BJ385" s="63"/>
      <c r="BK385" s="63"/>
      <c r="BL385" s="63"/>
      <c r="BM385" s="63"/>
      <c r="BN385" s="63"/>
      <c r="BO385" s="63"/>
      <c r="BP385" s="63"/>
      <c r="BQ385" s="63"/>
      <c r="BR385" s="63"/>
      <c r="BS385" s="63"/>
      <c r="BT385" s="63"/>
      <c r="BU385" s="63"/>
      <c r="BV385" s="63"/>
      <c r="BW385" s="63"/>
    </row>
    <row r="386" spans="1:75" x14ac:dyDescent="0.2">
      <c r="A386" s="63" t="str">
        <f t="shared" si="69"/>
        <v/>
      </c>
      <c r="B386" s="182"/>
      <c r="C386" s="75"/>
      <c r="D386" s="75"/>
      <c r="E386" s="74"/>
      <c r="F386" s="181"/>
      <c r="G386" s="69"/>
      <c r="AB386" s="150">
        <f t="shared" si="60"/>
        <v>0</v>
      </c>
      <c r="AC386" s="150">
        <f t="shared" si="61"/>
        <v>0</v>
      </c>
      <c r="AD386" s="98" t="str">
        <f t="shared" si="70"/>
        <v>0000000000</v>
      </c>
      <c r="AE386" s="151">
        <f t="shared" si="63"/>
        <v>0</v>
      </c>
      <c r="AF386" s="98" t="str">
        <f t="shared" si="64"/>
        <v>00</v>
      </c>
      <c r="AG386" s="98" t="str">
        <f t="shared" si="71"/>
        <v>000000000000</v>
      </c>
      <c r="AH386" s="161" t="str">
        <f t="shared" si="65"/>
        <v xml:space="preserve">                    </v>
      </c>
      <c r="AI386" s="154">
        <f t="shared" si="66"/>
        <v>0</v>
      </c>
      <c r="AJ386" s="155">
        <f t="shared" si="67"/>
        <v>0</v>
      </c>
      <c r="AP386" s="63" t="str">
        <f t="shared" si="68"/>
        <v/>
      </c>
      <c r="AQ386" s="63" t="str">
        <f t="shared" si="62"/>
        <v xml:space="preserve">                    </v>
      </c>
      <c r="AR386" s="63"/>
      <c r="AS386" s="63"/>
      <c r="AT386" s="63"/>
      <c r="AU386" s="63"/>
      <c r="AV386" s="63"/>
      <c r="AW386" s="63"/>
      <c r="AX386" s="63"/>
      <c r="AY386" s="63"/>
      <c r="AZ386" s="63"/>
      <c r="BA386" s="63"/>
      <c r="BB386" s="63"/>
      <c r="BC386" s="63"/>
      <c r="BD386" s="63"/>
      <c r="BE386" s="63"/>
      <c r="BF386" s="63"/>
      <c r="BG386" s="63"/>
      <c r="BH386" s="63"/>
      <c r="BI386" s="63"/>
      <c r="BJ386" s="63"/>
      <c r="BK386" s="63"/>
      <c r="BL386" s="63"/>
      <c r="BM386" s="63"/>
      <c r="BN386" s="63"/>
      <c r="BO386" s="63"/>
      <c r="BP386" s="63"/>
      <c r="BQ386" s="63"/>
      <c r="BR386" s="63"/>
      <c r="BS386" s="63"/>
      <c r="BT386" s="63"/>
      <c r="BU386" s="63"/>
      <c r="BV386" s="63"/>
      <c r="BW386" s="63"/>
    </row>
    <row r="387" spans="1:75" x14ac:dyDescent="0.2">
      <c r="A387" s="63" t="str">
        <f t="shared" si="69"/>
        <v/>
      </c>
      <c r="B387" s="182"/>
      <c r="C387" s="75"/>
      <c r="D387" s="75"/>
      <c r="E387" s="74"/>
      <c r="F387" s="181"/>
      <c r="G387" s="69"/>
      <c r="AB387" s="150">
        <f t="shared" ref="AB387:AB450" si="72">INT(F387)</f>
        <v>0</v>
      </c>
      <c r="AC387" s="150">
        <f t="shared" ref="AC387:AC450" si="73">F387-AB387</f>
        <v>0</v>
      </c>
      <c r="AD387" s="98" t="str">
        <f t="shared" si="70"/>
        <v>0000000000</v>
      </c>
      <c r="AE387" s="151">
        <f t="shared" si="63"/>
        <v>0</v>
      </c>
      <c r="AF387" s="98" t="str">
        <f t="shared" si="64"/>
        <v>00</v>
      </c>
      <c r="AG387" s="98" t="str">
        <f t="shared" si="71"/>
        <v>000000000000</v>
      </c>
      <c r="AH387" s="161" t="str">
        <f t="shared" si="65"/>
        <v xml:space="preserve">                    </v>
      </c>
      <c r="AI387" s="154">
        <f t="shared" si="66"/>
        <v>0</v>
      </c>
      <c r="AJ387" s="155">
        <f t="shared" si="67"/>
        <v>0</v>
      </c>
      <c r="AP387" s="63" t="str">
        <f t="shared" si="68"/>
        <v/>
      </c>
      <c r="AQ387" s="63" t="str">
        <f t="shared" ref="AQ387:AQ450" si="74">CONCATENATE(D387,REPT(" ",20-LEN(D387)))</f>
        <v xml:space="preserve">                    </v>
      </c>
      <c r="AR387" s="63"/>
      <c r="AS387" s="63"/>
      <c r="AT387" s="63"/>
      <c r="AU387" s="63"/>
      <c r="AV387" s="63"/>
      <c r="AW387" s="63"/>
      <c r="AX387" s="63"/>
      <c r="AY387" s="63"/>
      <c r="AZ387" s="63"/>
      <c r="BA387" s="63"/>
      <c r="BB387" s="63"/>
      <c r="BC387" s="63"/>
      <c r="BD387" s="63"/>
      <c r="BE387" s="63"/>
      <c r="BF387" s="63"/>
      <c r="BG387" s="63"/>
      <c r="BH387" s="63"/>
      <c r="BI387" s="63"/>
      <c r="BJ387" s="63"/>
      <c r="BK387" s="63"/>
      <c r="BL387" s="63"/>
      <c r="BM387" s="63"/>
      <c r="BN387" s="63"/>
      <c r="BO387" s="63"/>
      <c r="BP387" s="63"/>
      <c r="BQ387" s="63"/>
      <c r="BR387" s="63"/>
      <c r="BS387" s="63"/>
      <c r="BT387" s="63"/>
      <c r="BU387" s="63"/>
      <c r="BV387" s="63"/>
      <c r="BW387" s="63"/>
    </row>
    <row r="388" spans="1:75" x14ac:dyDescent="0.2">
      <c r="A388" s="63" t="str">
        <f t="shared" si="69"/>
        <v/>
      </c>
      <c r="B388" s="182"/>
      <c r="C388" s="75"/>
      <c r="D388" s="75"/>
      <c r="E388" s="74"/>
      <c r="F388" s="181"/>
      <c r="G388" s="69"/>
      <c r="AB388" s="150">
        <f t="shared" si="72"/>
        <v>0</v>
      </c>
      <c r="AC388" s="150">
        <f t="shared" si="73"/>
        <v>0</v>
      </c>
      <c r="AD388" s="98" t="str">
        <f t="shared" si="70"/>
        <v>0000000000</v>
      </c>
      <c r="AE388" s="151">
        <f t="shared" ref="AE388:AE451" si="75">AC388*100</f>
        <v>0</v>
      </c>
      <c r="AF388" s="98" t="str">
        <f t="shared" ref="AF388:AF451" si="76">TEXT(AE388,"00")</f>
        <v>00</v>
      </c>
      <c r="AG388" s="98" t="str">
        <f t="shared" si="71"/>
        <v>000000000000</v>
      </c>
      <c r="AH388" s="161" t="str">
        <f t="shared" ref="AH388:AH451" si="77">CONCATENATE(C388,REPT(" ",20-LEN(C388)))</f>
        <v xml:space="preserve">                    </v>
      </c>
      <c r="AI388" s="154">
        <f t="shared" ref="AI388:AI451" si="78">IF(E388&lt;&gt;"",IF(E388=$E$3,0,1),0)</f>
        <v>0</v>
      </c>
      <c r="AJ388" s="155">
        <f t="shared" ref="AJ388:AJ451" si="79">IF(AI388=1,IF($E$3=1,F388*$H$14,F388/$H$14),F388)</f>
        <v>0</v>
      </c>
      <c r="AP388" s="63" t="str">
        <f t="shared" ref="AP388:AP451" si="80">IF(B389&lt;&gt;"",CONCATENATE("000",B389,"0",E389,"2","    00000000",AG389,"            ",AQ389,AH389,"                                                                                               "),"")</f>
        <v/>
      </c>
      <c r="AQ388" s="63" t="str">
        <f t="shared" si="74"/>
        <v xml:space="preserve">                    </v>
      </c>
      <c r="AR388" s="63"/>
      <c r="AS388" s="63"/>
      <c r="AT388" s="63"/>
      <c r="AU388" s="63"/>
      <c r="AV388" s="63"/>
      <c r="AW388" s="63"/>
      <c r="AX388" s="63"/>
      <c r="AY388" s="63"/>
      <c r="AZ388" s="63"/>
      <c r="BA388" s="63"/>
      <c r="BB388" s="63"/>
      <c r="BC388" s="63"/>
      <c r="BD388" s="63"/>
      <c r="BE388" s="63"/>
      <c r="BF388" s="63"/>
      <c r="BG388" s="63"/>
      <c r="BH388" s="63"/>
      <c r="BI388" s="63"/>
      <c r="BJ388" s="63"/>
      <c r="BK388" s="63"/>
      <c r="BL388" s="63"/>
      <c r="BM388" s="63"/>
      <c r="BN388" s="63"/>
      <c r="BO388" s="63"/>
      <c r="BP388" s="63"/>
      <c r="BQ388" s="63"/>
      <c r="BR388" s="63"/>
      <c r="BS388" s="63"/>
      <c r="BT388" s="63"/>
      <c r="BU388" s="63"/>
      <c r="BV388" s="63"/>
      <c r="BW388" s="63"/>
    </row>
    <row r="389" spans="1:75" x14ac:dyDescent="0.2">
      <c r="A389" s="63" t="str">
        <f t="shared" si="69"/>
        <v/>
      </c>
      <c r="B389" s="182"/>
      <c r="C389" s="75"/>
      <c r="D389" s="75"/>
      <c r="E389" s="74"/>
      <c r="F389" s="181"/>
      <c r="G389" s="69"/>
      <c r="AB389" s="150">
        <f t="shared" si="72"/>
        <v>0</v>
      </c>
      <c r="AC389" s="150">
        <f t="shared" si="73"/>
        <v>0</v>
      </c>
      <c r="AD389" s="98" t="str">
        <f t="shared" si="70"/>
        <v>0000000000</v>
      </c>
      <c r="AE389" s="151">
        <f t="shared" si="75"/>
        <v>0</v>
      </c>
      <c r="AF389" s="98" t="str">
        <f t="shared" si="76"/>
        <v>00</v>
      </c>
      <c r="AG389" s="98" t="str">
        <f t="shared" si="71"/>
        <v>000000000000</v>
      </c>
      <c r="AH389" s="161" t="str">
        <f t="shared" si="77"/>
        <v xml:space="preserve">                    </v>
      </c>
      <c r="AI389" s="154">
        <f t="shared" si="78"/>
        <v>0</v>
      </c>
      <c r="AJ389" s="155">
        <f t="shared" si="79"/>
        <v>0</v>
      </c>
      <c r="AP389" s="63" t="str">
        <f t="shared" si="80"/>
        <v/>
      </c>
      <c r="AQ389" s="63" t="str">
        <f t="shared" si="74"/>
        <v xml:space="preserve">                    </v>
      </c>
      <c r="AR389" s="63"/>
      <c r="AS389" s="63"/>
      <c r="AT389" s="63"/>
      <c r="AU389" s="63"/>
      <c r="AV389" s="63"/>
      <c r="AW389" s="63"/>
      <c r="AX389" s="63"/>
      <c r="AY389" s="63"/>
      <c r="AZ389" s="63"/>
      <c r="BA389" s="63"/>
      <c r="BB389" s="63"/>
      <c r="BC389" s="63"/>
      <c r="BD389" s="63"/>
      <c r="BE389" s="63"/>
      <c r="BF389" s="63"/>
      <c r="BG389" s="63"/>
      <c r="BH389" s="63"/>
      <c r="BI389" s="63"/>
      <c r="BJ389" s="63"/>
      <c r="BK389" s="63"/>
      <c r="BL389" s="63"/>
      <c r="BM389" s="63"/>
      <c r="BN389" s="63"/>
      <c r="BO389" s="63"/>
      <c r="BP389" s="63"/>
      <c r="BQ389" s="63"/>
      <c r="BR389" s="63"/>
      <c r="BS389" s="63"/>
      <c r="BT389" s="63"/>
      <c r="BU389" s="63"/>
      <c r="BV389" s="63"/>
      <c r="BW389" s="63"/>
    </row>
    <row r="390" spans="1:75" x14ac:dyDescent="0.2">
      <c r="A390" s="63" t="str">
        <f t="shared" ref="A390:A453" si="81">IF(B390&lt;&gt;"",A389+1,"")</f>
        <v/>
      </c>
      <c r="B390" s="182"/>
      <c r="C390" s="75"/>
      <c r="D390" s="75"/>
      <c r="E390" s="74"/>
      <c r="F390" s="181"/>
      <c r="G390" s="69"/>
      <c r="AB390" s="150">
        <f t="shared" si="72"/>
        <v>0</v>
      </c>
      <c r="AC390" s="150">
        <f t="shared" si="73"/>
        <v>0</v>
      </c>
      <c r="AD390" s="98" t="str">
        <f t="shared" si="70"/>
        <v>0000000000</v>
      </c>
      <c r="AE390" s="151">
        <f t="shared" si="75"/>
        <v>0</v>
      </c>
      <c r="AF390" s="98" t="str">
        <f t="shared" si="76"/>
        <v>00</v>
      </c>
      <c r="AG390" s="98" t="str">
        <f t="shared" si="71"/>
        <v>000000000000</v>
      </c>
      <c r="AH390" s="161" t="str">
        <f t="shared" si="77"/>
        <v xml:space="preserve">                    </v>
      </c>
      <c r="AI390" s="154">
        <f t="shared" si="78"/>
        <v>0</v>
      </c>
      <c r="AJ390" s="155">
        <f t="shared" si="79"/>
        <v>0</v>
      </c>
      <c r="AP390" s="63" t="str">
        <f t="shared" si="80"/>
        <v/>
      </c>
      <c r="AQ390" s="63" t="str">
        <f t="shared" si="74"/>
        <v xml:space="preserve">                    </v>
      </c>
      <c r="AR390" s="63"/>
      <c r="AS390" s="63"/>
      <c r="AT390" s="63"/>
      <c r="AU390" s="63"/>
      <c r="AV390" s="63"/>
      <c r="AW390" s="63"/>
      <c r="AX390" s="63"/>
      <c r="AY390" s="63"/>
      <c r="AZ390" s="63"/>
      <c r="BA390" s="63"/>
      <c r="BB390" s="63"/>
      <c r="BC390" s="63"/>
      <c r="BD390" s="63"/>
      <c r="BE390" s="63"/>
      <c r="BF390" s="63"/>
      <c r="BG390" s="63"/>
      <c r="BH390" s="63"/>
      <c r="BI390" s="63"/>
      <c r="BJ390" s="63"/>
      <c r="BK390" s="63"/>
      <c r="BL390" s="63"/>
      <c r="BM390" s="63"/>
      <c r="BN390" s="63"/>
      <c r="BO390" s="63"/>
      <c r="BP390" s="63"/>
      <c r="BQ390" s="63"/>
      <c r="BR390" s="63"/>
      <c r="BS390" s="63"/>
      <c r="BT390" s="63"/>
      <c r="BU390" s="63"/>
      <c r="BV390" s="63"/>
      <c r="BW390" s="63"/>
    </row>
    <row r="391" spans="1:75" x14ac:dyDescent="0.2">
      <c r="A391" s="63" t="str">
        <f t="shared" si="81"/>
        <v/>
      </c>
      <c r="B391" s="182"/>
      <c r="C391" s="75"/>
      <c r="D391" s="75"/>
      <c r="E391" s="74"/>
      <c r="F391" s="181"/>
      <c r="G391" s="69"/>
      <c r="AB391" s="150">
        <f t="shared" si="72"/>
        <v>0</v>
      </c>
      <c r="AC391" s="150">
        <f t="shared" si="73"/>
        <v>0</v>
      </c>
      <c r="AD391" s="98" t="str">
        <f t="shared" si="70"/>
        <v>0000000000</v>
      </c>
      <c r="AE391" s="151">
        <f t="shared" si="75"/>
        <v>0</v>
      </c>
      <c r="AF391" s="98" t="str">
        <f t="shared" si="76"/>
        <v>00</v>
      </c>
      <c r="AG391" s="98" t="str">
        <f t="shared" si="71"/>
        <v>000000000000</v>
      </c>
      <c r="AH391" s="161" t="str">
        <f t="shared" si="77"/>
        <v xml:space="preserve">                    </v>
      </c>
      <c r="AI391" s="154">
        <f t="shared" si="78"/>
        <v>0</v>
      </c>
      <c r="AJ391" s="155">
        <f t="shared" si="79"/>
        <v>0</v>
      </c>
      <c r="AP391" s="63" t="str">
        <f t="shared" si="80"/>
        <v/>
      </c>
      <c r="AQ391" s="63" t="str">
        <f t="shared" si="74"/>
        <v xml:space="preserve">                    </v>
      </c>
      <c r="AR391" s="63"/>
      <c r="AS391" s="63"/>
      <c r="AT391" s="63"/>
      <c r="AU391" s="63"/>
      <c r="AV391" s="63"/>
      <c r="AW391" s="63"/>
      <c r="AX391" s="63"/>
      <c r="AY391" s="63"/>
      <c r="AZ391" s="63"/>
      <c r="BA391" s="63"/>
      <c r="BB391" s="63"/>
      <c r="BC391" s="63"/>
      <c r="BD391" s="63"/>
      <c r="BE391" s="63"/>
      <c r="BF391" s="63"/>
      <c r="BG391" s="63"/>
      <c r="BH391" s="63"/>
      <c r="BI391" s="63"/>
      <c r="BJ391" s="63"/>
      <c r="BK391" s="63"/>
      <c r="BL391" s="63"/>
      <c r="BM391" s="63"/>
      <c r="BN391" s="63"/>
      <c r="BO391" s="63"/>
      <c r="BP391" s="63"/>
      <c r="BQ391" s="63"/>
      <c r="BR391" s="63"/>
      <c r="BS391" s="63"/>
      <c r="BT391" s="63"/>
      <c r="BU391" s="63"/>
      <c r="BV391" s="63"/>
      <c r="BW391" s="63"/>
    </row>
    <row r="392" spans="1:75" x14ac:dyDescent="0.2">
      <c r="A392" s="63" t="str">
        <f t="shared" si="81"/>
        <v/>
      </c>
      <c r="B392" s="182"/>
      <c r="C392" s="75"/>
      <c r="D392" s="75"/>
      <c r="E392" s="74"/>
      <c r="F392" s="181"/>
      <c r="G392" s="69"/>
      <c r="AB392" s="150">
        <f t="shared" si="72"/>
        <v>0</v>
      </c>
      <c r="AC392" s="150">
        <f t="shared" si="73"/>
        <v>0</v>
      </c>
      <c r="AD392" s="98" t="str">
        <f t="shared" ref="AD392:AD455" si="82">TEXT(AB392,"0000000000")</f>
        <v>0000000000</v>
      </c>
      <c r="AE392" s="151">
        <f t="shared" si="75"/>
        <v>0</v>
      </c>
      <c r="AF392" s="98" t="str">
        <f t="shared" si="76"/>
        <v>00</v>
      </c>
      <c r="AG392" s="98" t="str">
        <f t="shared" ref="AG392:AG455" si="83">CONCATENATE(AD392,AF392)</f>
        <v>000000000000</v>
      </c>
      <c r="AH392" s="161" t="str">
        <f t="shared" si="77"/>
        <v xml:space="preserve">                    </v>
      </c>
      <c r="AI392" s="154">
        <f t="shared" si="78"/>
        <v>0</v>
      </c>
      <c r="AJ392" s="155">
        <f t="shared" si="79"/>
        <v>0</v>
      </c>
      <c r="AP392" s="63" t="str">
        <f t="shared" si="80"/>
        <v/>
      </c>
      <c r="AQ392" s="63" t="str">
        <f t="shared" si="74"/>
        <v xml:space="preserve">                    </v>
      </c>
      <c r="AR392" s="63"/>
      <c r="AS392" s="63"/>
      <c r="AT392" s="63"/>
      <c r="AU392" s="63"/>
      <c r="AV392" s="63"/>
      <c r="AW392" s="63"/>
      <c r="AX392" s="63"/>
      <c r="AY392" s="63"/>
      <c r="AZ392" s="63"/>
      <c r="BA392" s="63"/>
      <c r="BB392" s="63"/>
      <c r="BC392" s="63"/>
      <c r="BD392" s="63"/>
      <c r="BE392" s="63"/>
      <c r="BF392" s="63"/>
      <c r="BG392" s="63"/>
      <c r="BH392" s="63"/>
      <c r="BI392" s="63"/>
      <c r="BJ392" s="63"/>
      <c r="BK392" s="63"/>
      <c r="BL392" s="63"/>
      <c r="BM392" s="63"/>
      <c r="BN392" s="63"/>
      <c r="BO392" s="63"/>
      <c r="BP392" s="63"/>
      <c r="BQ392" s="63"/>
      <c r="BR392" s="63"/>
      <c r="BS392" s="63"/>
      <c r="BT392" s="63"/>
      <c r="BU392" s="63"/>
      <c r="BV392" s="63"/>
      <c r="BW392" s="63"/>
    </row>
    <row r="393" spans="1:75" x14ac:dyDescent="0.2">
      <c r="A393" s="63" t="str">
        <f t="shared" si="81"/>
        <v/>
      </c>
      <c r="B393" s="182"/>
      <c r="C393" s="75"/>
      <c r="D393" s="75"/>
      <c r="E393" s="74"/>
      <c r="F393" s="181"/>
      <c r="G393" s="69"/>
      <c r="AB393" s="150">
        <f t="shared" si="72"/>
        <v>0</v>
      </c>
      <c r="AC393" s="150">
        <f t="shared" si="73"/>
        <v>0</v>
      </c>
      <c r="AD393" s="98" t="str">
        <f t="shared" si="82"/>
        <v>0000000000</v>
      </c>
      <c r="AE393" s="151">
        <f t="shared" si="75"/>
        <v>0</v>
      </c>
      <c r="AF393" s="98" t="str">
        <f t="shared" si="76"/>
        <v>00</v>
      </c>
      <c r="AG393" s="98" t="str">
        <f t="shared" si="83"/>
        <v>000000000000</v>
      </c>
      <c r="AH393" s="161" t="str">
        <f t="shared" si="77"/>
        <v xml:space="preserve">                    </v>
      </c>
      <c r="AI393" s="154">
        <f t="shared" si="78"/>
        <v>0</v>
      </c>
      <c r="AJ393" s="155">
        <f t="shared" si="79"/>
        <v>0</v>
      </c>
      <c r="AP393" s="63" t="str">
        <f t="shared" si="80"/>
        <v/>
      </c>
      <c r="AQ393" s="63" t="str">
        <f t="shared" si="74"/>
        <v xml:space="preserve">                    </v>
      </c>
      <c r="AR393" s="63"/>
      <c r="AS393" s="63"/>
      <c r="AT393" s="63"/>
      <c r="AU393" s="63"/>
      <c r="AV393" s="63"/>
      <c r="AW393" s="63"/>
      <c r="AX393" s="63"/>
      <c r="AY393" s="63"/>
      <c r="AZ393" s="63"/>
      <c r="BA393" s="63"/>
      <c r="BB393" s="63"/>
      <c r="BC393" s="63"/>
      <c r="BD393" s="63"/>
      <c r="BE393" s="63"/>
      <c r="BF393" s="63"/>
      <c r="BG393" s="63"/>
      <c r="BH393" s="63"/>
      <c r="BI393" s="63"/>
      <c r="BJ393" s="63"/>
      <c r="BK393" s="63"/>
      <c r="BL393" s="63"/>
      <c r="BM393" s="63"/>
      <c r="BN393" s="63"/>
      <c r="BO393" s="63"/>
      <c r="BP393" s="63"/>
      <c r="BQ393" s="63"/>
      <c r="BR393" s="63"/>
      <c r="BS393" s="63"/>
      <c r="BT393" s="63"/>
      <c r="BU393" s="63"/>
      <c r="BV393" s="63"/>
      <c r="BW393" s="63"/>
    </row>
    <row r="394" spans="1:75" x14ac:dyDescent="0.2">
      <c r="A394" s="63" t="str">
        <f t="shared" si="81"/>
        <v/>
      </c>
      <c r="B394" s="182"/>
      <c r="C394" s="75"/>
      <c r="D394" s="75"/>
      <c r="E394" s="74"/>
      <c r="F394" s="181"/>
      <c r="G394" s="69"/>
      <c r="AB394" s="150">
        <f t="shared" si="72"/>
        <v>0</v>
      </c>
      <c r="AC394" s="150">
        <f t="shared" si="73"/>
        <v>0</v>
      </c>
      <c r="AD394" s="98" t="str">
        <f t="shared" si="82"/>
        <v>0000000000</v>
      </c>
      <c r="AE394" s="151">
        <f t="shared" si="75"/>
        <v>0</v>
      </c>
      <c r="AF394" s="98" t="str">
        <f t="shared" si="76"/>
        <v>00</v>
      </c>
      <c r="AG394" s="98" t="str">
        <f t="shared" si="83"/>
        <v>000000000000</v>
      </c>
      <c r="AH394" s="161" t="str">
        <f t="shared" si="77"/>
        <v xml:space="preserve">                    </v>
      </c>
      <c r="AI394" s="154">
        <f t="shared" si="78"/>
        <v>0</v>
      </c>
      <c r="AJ394" s="155">
        <f t="shared" si="79"/>
        <v>0</v>
      </c>
      <c r="AP394" s="63" t="str">
        <f t="shared" si="80"/>
        <v/>
      </c>
      <c r="AQ394" s="63" t="str">
        <f t="shared" si="74"/>
        <v xml:space="preserve">                    </v>
      </c>
      <c r="AR394" s="63"/>
      <c r="AS394" s="63"/>
      <c r="AT394" s="63"/>
      <c r="AU394" s="63"/>
      <c r="AV394" s="63"/>
      <c r="AW394" s="63"/>
      <c r="AX394" s="63"/>
      <c r="AY394" s="63"/>
      <c r="AZ394" s="63"/>
      <c r="BA394" s="63"/>
      <c r="BB394" s="63"/>
      <c r="BC394" s="63"/>
      <c r="BD394" s="63"/>
      <c r="BE394" s="63"/>
      <c r="BF394" s="63"/>
      <c r="BG394" s="63"/>
      <c r="BH394" s="63"/>
      <c r="BI394" s="63"/>
      <c r="BJ394" s="63"/>
      <c r="BK394" s="63"/>
      <c r="BL394" s="63"/>
      <c r="BM394" s="63"/>
      <c r="BN394" s="63"/>
      <c r="BO394" s="63"/>
      <c r="BP394" s="63"/>
      <c r="BQ394" s="63"/>
      <c r="BR394" s="63"/>
      <c r="BS394" s="63"/>
      <c r="BT394" s="63"/>
      <c r="BU394" s="63"/>
      <c r="BV394" s="63"/>
      <c r="BW394" s="63"/>
    </row>
    <row r="395" spans="1:75" x14ac:dyDescent="0.2">
      <c r="A395" s="63" t="str">
        <f t="shared" si="81"/>
        <v/>
      </c>
      <c r="B395" s="182"/>
      <c r="C395" s="75"/>
      <c r="D395" s="75"/>
      <c r="E395" s="74"/>
      <c r="F395" s="181"/>
      <c r="G395" s="69"/>
      <c r="AB395" s="150">
        <f t="shared" si="72"/>
        <v>0</v>
      </c>
      <c r="AC395" s="150">
        <f t="shared" si="73"/>
        <v>0</v>
      </c>
      <c r="AD395" s="98" t="str">
        <f t="shared" si="82"/>
        <v>0000000000</v>
      </c>
      <c r="AE395" s="151">
        <f t="shared" si="75"/>
        <v>0</v>
      </c>
      <c r="AF395" s="98" t="str">
        <f t="shared" si="76"/>
        <v>00</v>
      </c>
      <c r="AG395" s="98" t="str">
        <f t="shared" si="83"/>
        <v>000000000000</v>
      </c>
      <c r="AH395" s="161" t="str">
        <f t="shared" si="77"/>
        <v xml:space="preserve">                    </v>
      </c>
      <c r="AI395" s="154">
        <f t="shared" si="78"/>
        <v>0</v>
      </c>
      <c r="AJ395" s="155">
        <f t="shared" si="79"/>
        <v>0</v>
      </c>
      <c r="AP395" s="63" t="str">
        <f t="shared" si="80"/>
        <v/>
      </c>
      <c r="AQ395" s="63" t="str">
        <f t="shared" si="74"/>
        <v xml:space="preserve">                    </v>
      </c>
      <c r="AR395" s="63"/>
      <c r="AS395" s="63"/>
      <c r="AT395" s="63"/>
      <c r="AU395" s="63"/>
      <c r="AV395" s="63"/>
      <c r="AW395" s="63"/>
      <c r="AX395" s="63"/>
      <c r="AY395" s="63"/>
      <c r="AZ395" s="63"/>
      <c r="BA395" s="63"/>
      <c r="BB395" s="63"/>
      <c r="BC395" s="63"/>
      <c r="BD395" s="63"/>
      <c r="BE395" s="63"/>
      <c r="BF395" s="63"/>
      <c r="BG395" s="63"/>
      <c r="BH395" s="63"/>
      <c r="BI395" s="63"/>
      <c r="BJ395" s="63"/>
      <c r="BK395" s="63"/>
      <c r="BL395" s="63"/>
      <c r="BM395" s="63"/>
      <c r="BN395" s="63"/>
      <c r="BO395" s="63"/>
      <c r="BP395" s="63"/>
      <c r="BQ395" s="63"/>
      <c r="BR395" s="63"/>
      <c r="BS395" s="63"/>
      <c r="BT395" s="63"/>
      <c r="BU395" s="63"/>
      <c r="BV395" s="63"/>
      <c r="BW395" s="63"/>
    </row>
    <row r="396" spans="1:75" x14ac:dyDescent="0.2">
      <c r="A396" s="63" t="str">
        <f t="shared" si="81"/>
        <v/>
      </c>
      <c r="B396" s="182"/>
      <c r="C396" s="75"/>
      <c r="D396" s="75"/>
      <c r="E396" s="74"/>
      <c r="F396" s="181"/>
      <c r="G396" s="69"/>
      <c r="AB396" s="150">
        <f t="shared" si="72"/>
        <v>0</v>
      </c>
      <c r="AC396" s="150">
        <f t="shared" si="73"/>
        <v>0</v>
      </c>
      <c r="AD396" s="98" t="str">
        <f t="shared" si="82"/>
        <v>0000000000</v>
      </c>
      <c r="AE396" s="151">
        <f t="shared" si="75"/>
        <v>0</v>
      </c>
      <c r="AF396" s="98" t="str">
        <f t="shared" si="76"/>
        <v>00</v>
      </c>
      <c r="AG396" s="98" t="str">
        <f t="shared" si="83"/>
        <v>000000000000</v>
      </c>
      <c r="AH396" s="161" t="str">
        <f t="shared" si="77"/>
        <v xml:space="preserve">                    </v>
      </c>
      <c r="AI396" s="154">
        <f t="shared" si="78"/>
        <v>0</v>
      </c>
      <c r="AJ396" s="155">
        <f t="shared" si="79"/>
        <v>0</v>
      </c>
      <c r="AP396" s="63" t="str">
        <f t="shared" si="80"/>
        <v/>
      </c>
      <c r="AQ396" s="63" t="str">
        <f t="shared" si="74"/>
        <v xml:space="preserve">                    </v>
      </c>
      <c r="AR396" s="63"/>
      <c r="AS396" s="63"/>
      <c r="AT396" s="63"/>
      <c r="AU396" s="63"/>
      <c r="AV396" s="63"/>
      <c r="AW396" s="63"/>
      <c r="AX396" s="63"/>
      <c r="AY396" s="63"/>
      <c r="AZ396" s="63"/>
      <c r="BA396" s="63"/>
      <c r="BB396" s="63"/>
      <c r="BC396" s="63"/>
      <c r="BD396" s="63"/>
      <c r="BE396" s="63"/>
      <c r="BF396" s="63"/>
      <c r="BG396" s="63"/>
      <c r="BH396" s="63"/>
      <c r="BI396" s="63"/>
      <c r="BJ396" s="63"/>
      <c r="BK396" s="63"/>
      <c r="BL396" s="63"/>
      <c r="BM396" s="63"/>
      <c r="BN396" s="63"/>
      <c r="BO396" s="63"/>
      <c r="BP396" s="63"/>
      <c r="BQ396" s="63"/>
      <c r="BR396" s="63"/>
      <c r="BS396" s="63"/>
      <c r="BT396" s="63"/>
      <c r="BU396" s="63"/>
      <c r="BV396" s="63"/>
      <c r="BW396" s="63"/>
    </row>
    <row r="397" spans="1:75" x14ac:dyDescent="0.2">
      <c r="A397" s="63" t="str">
        <f t="shared" si="81"/>
        <v/>
      </c>
      <c r="B397" s="182"/>
      <c r="C397" s="75"/>
      <c r="D397" s="75"/>
      <c r="E397" s="74"/>
      <c r="F397" s="181"/>
      <c r="G397" s="69"/>
      <c r="AB397" s="150">
        <f t="shared" si="72"/>
        <v>0</v>
      </c>
      <c r="AC397" s="150">
        <f t="shared" si="73"/>
        <v>0</v>
      </c>
      <c r="AD397" s="98" t="str">
        <f t="shared" si="82"/>
        <v>0000000000</v>
      </c>
      <c r="AE397" s="151">
        <f t="shared" si="75"/>
        <v>0</v>
      </c>
      <c r="AF397" s="98" t="str">
        <f t="shared" si="76"/>
        <v>00</v>
      </c>
      <c r="AG397" s="98" t="str">
        <f t="shared" si="83"/>
        <v>000000000000</v>
      </c>
      <c r="AH397" s="161" t="str">
        <f t="shared" si="77"/>
        <v xml:space="preserve">                    </v>
      </c>
      <c r="AI397" s="154">
        <f t="shared" si="78"/>
        <v>0</v>
      </c>
      <c r="AJ397" s="155">
        <f t="shared" si="79"/>
        <v>0</v>
      </c>
      <c r="AP397" s="63" t="str">
        <f t="shared" si="80"/>
        <v/>
      </c>
      <c r="AQ397" s="63" t="str">
        <f t="shared" si="74"/>
        <v xml:space="preserve">                    </v>
      </c>
      <c r="AR397" s="63"/>
      <c r="AS397" s="63"/>
      <c r="AT397" s="63"/>
      <c r="AU397" s="63"/>
      <c r="AV397" s="63"/>
      <c r="AW397" s="63"/>
      <c r="AX397" s="63"/>
      <c r="AY397" s="63"/>
      <c r="AZ397" s="63"/>
      <c r="BA397" s="63"/>
      <c r="BB397" s="63"/>
      <c r="BC397" s="63"/>
      <c r="BD397" s="63"/>
      <c r="BE397" s="63"/>
      <c r="BF397" s="63"/>
      <c r="BG397" s="63"/>
      <c r="BH397" s="63"/>
      <c r="BI397" s="63"/>
      <c r="BJ397" s="63"/>
      <c r="BK397" s="63"/>
      <c r="BL397" s="63"/>
      <c r="BM397" s="63"/>
      <c r="BN397" s="63"/>
      <c r="BO397" s="63"/>
      <c r="BP397" s="63"/>
      <c r="BQ397" s="63"/>
      <c r="BR397" s="63"/>
      <c r="BS397" s="63"/>
      <c r="BT397" s="63"/>
      <c r="BU397" s="63"/>
      <c r="BV397" s="63"/>
      <c r="BW397" s="63"/>
    </row>
    <row r="398" spans="1:75" x14ac:dyDescent="0.2">
      <c r="A398" s="63" t="str">
        <f t="shared" si="81"/>
        <v/>
      </c>
      <c r="B398" s="182"/>
      <c r="C398" s="75"/>
      <c r="D398" s="75"/>
      <c r="E398" s="74"/>
      <c r="F398" s="181"/>
      <c r="G398" s="69"/>
      <c r="AB398" s="150">
        <f t="shared" si="72"/>
        <v>0</v>
      </c>
      <c r="AC398" s="150">
        <f t="shared" si="73"/>
        <v>0</v>
      </c>
      <c r="AD398" s="98" t="str">
        <f t="shared" si="82"/>
        <v>0000000000</v>
      </c>
      <c r="AE398" s="151">
        <f t="shared" si="75"/>
        <v>0</v>
      </c>
      <c r="AF398" s="98" t="str">
        <f t="shared" si="76"/>
        <v>00</v>
      </c>
      <c r="AG398" s="98" t="str">
        <f t="shared" si="83"/>
        <v>000000000000</v>
      </c>
      <c r="AH398" s="161" t="str">
        <f t="shared" si="77"/>
        <v xml:space="preserve">                    </v>
      </c>
      <c r="AI398" s="154">
        <f t="shared" si="78"/>
        <v>0</v>
      </c>
      <c r="AJ398" s="155">
        <f t="shared" si="79"/>
        <v>0</v>
      </c>
      <c r="AP398" s="63" t="str">
        <f t="shared" si="80"/>
        <v/>
      </c>
      <c r="AQ398" s="63" t="str">
        <f t="shared" si="74"/>
        <v xml:space="preserve">                    </v>
      </c>
      <c r="AR398" s="63"/>
      <c r="AS398" s="63"/>
      <c r="AT398" s="63"/>
      <c r="AU398" s="63"/>
      <c r="AV398" s="63"/>
      <c r="AW398" s="63"/>
      <c r="AX398" s="63"/>
      <c r="AY398" s="63"/>
      <c r="AZ398" s="63"/>
      <c r="BA398" s="63"/>
      <c r="BB398" s="63"/>
      <c r="BC398" s="63"/>
      <c r="BD398" s="63"/>
      <c r="BE398" s="63"/>
      <c r="BF398" s="63"/>
      <c r="BG398" s="63"/>
      <c r="BH398" s="63"/>
      <c r="BI398" s="63"/>
      <c r="BJ398" s="63"/>
      <c r="BK398" s="63"/>
      <c r="BL398" s="63"/>
      <c r="BM398" s="63"/>
      <c r="BN398" s="63"/>
      <c r="BO398" s="63"/>
      <c r="BP398" s="63"/>
      <c r="BQ398" s="63"/>
      <c r="BR398" s="63"/>
      <c r="BS398" s="63"/>
      <c r="BT398" s="63"/>
      <c r="BU398" s="63"/>
      <c r="BV398" s="63"/>
      <c r="BW398" s="63"/>
    </row>
    <row r="399" spans="1:75" x14ac:dyDescent="0.2">
      <c r="A399" s="63" t="str">
        <f t="shared" si="81"/>
        <v/>
      </c>
      <c r="B399" s="182"/>
      <c r="C399" s="75"/>
      <c r="D399" s="75"/>
      <c r="E399" s="74"/>
      <c r="F399" s="181"/>
      <c r="G399" s="69"/>
      <c r="AB399" s="150">
        <f t="shared" si="72"/>
        <v>0</v>
      </c>
      <c r="AC399" s="150">
        <f t="shared" si="73"/>
        <v>0</v>
      </c>
      <c r="AD399" s="98" t="str">
        <f t="shared" si="82"/>
        <v>0000000000</v>
      </c>
      <c r="AE399" s="151">
        <f t="shared" si="75"/>
        <v>0</v>
      </c>
      <c r="AF399" s="98" t="str">
        <f t="shared" si="76"/>
        <v>00</v>
      </c>
      <c r="AG399" s="98" t="str">
        <f t="shared" si="83"/>
        <v>000000000000</v>
      </c>
      <c r="AH399" s="161" t="str">
        <f t="shared" si="77"/>
        <v xml:space="preserve">                    </v>
      </c>
      <c r="AI399" s="154">
        <f t="shared" si="78"/>
        <v>0</v>
      </c>
      <c r="AJ399" s="155">
        <f t="shared" si="79"/>
        <v>0</v>
      </c>
      <c r="AP399" s="63" t="str">
        <f t="shared" si="80"/>
        <v/>
      </c>
      <c r="AQ399" s="63" t="str">
        <f t="shared" si="74"/>
        <v xml:space="preserve">                    </v>
      </c>
      <c r="AR399" s="63"/>
      <c r="AS399" s="63"/>
      <c r="AT399" s="63"/>
      <c r="AU399" s="63"/>
      <c r="AV399" s="63"/>
      <c r="AW399" s="63"/>
      <c r="AX399" s="63"/>
      <c r="AY399" s="63"/>
      <c r="AZ399" s="63"/>
      <c r="BA399" s="63"/>
      <c r="BB399" s="63"/>
      <c r="BC399" s="63"/>
      <c r="BD399" s="63"/>
      <c r="BE399" s="63"/>
      <c r="BF399" s="63"/>
      <c r="BG399" s="63"/>
      <c r="BH399" s="63"/>
      <c r="BI399" s="63"/>
      <c r="BJ399" s="63"/>
      <c r="BK399" s="63"/>
      <c r="BL399" s="63"/>
      <c r="BM399" s="63"/>
      <c r="BN399" s="63"/>
      <c r="BO399" s="63"/>
      <c r="BP399" s="63"/>
      <c r="BQ399" s="63"/>
      <c r="BR399" s="63"/>
      <c r="BS399" s="63"/>
      <c r="BT399" s="63"/>
      <c r="BU399" s="63"/>
      <c r="BV399" s="63"/>
      <c r="BW399" s="63"/>
    </row>
    <row r="400" spans="1:75" x14ac:dyDescent="0.2">
      <c r="A400" s="63" t="str">
        <f t="shared" si="81"/>
        <v/>
      </c>
      <c r="B400" s="182"/>
      <c r="C400" s="75"/>
      <c r="D400" s="75"/>
      <c r="E400" s="74"/>
      <c r="F400" s="181"/>
      <c r="G400" s="69"/>
      <c r="AB400" s="150">
        <f t="shared" si="72"/>
        <v>0</v>
      </c>
      <c r="AC400" s="150">
        <f t="shared" si="73"/>
        <v>0</v>
      </c>
      <c r="AD400" s="98" t="str">
        <f t="shared" si="82"/>
        <v>0000000000</v>
      </c>
      <c r="AE400" s="151">
        <f t="shared" si="75"/>
        <v>0</v>
      </c>
      <c r="AF400" s="98" t="str">
        <f t="shared" si="76"/>
        <v>00</v>
      </c>
      <c r="AG400" s="98" t="str">
        <f t="shared" si="83"/>
        <v>000000000000</v>
      </c>
      <c r="AH400" s="161" t="str">
        <f t="shared" si="77"/>
        <v xml:space="preserve">                    </v>
      </c>
      <c r="AI400" s="154">
        <f t="shared" si="78"/>
        <v>0</v>
      </c>
      <c r="AJ400" s="155">
        <f t="shared" si="79"/>
        <v>0</v>
      </c>
      <c r="AP400" s="63" t="str">
        <f t="shared" si="80"/>
        <v/>
      </c>
      <c r="AQ400" s="63" t="str">
        <f t="shared" si="74"/>
        <v xml:space="preserve">                    </v>
      </c>
      <c r="AR400" s="63"/>
      <c r="AS400" s="63"/>
      <c r="AT400" s="63"/>
      <c r="AU400" s="63"/>
      <c r="AV400" s="63"/>
      <c r="AW400" s="63"/>
      <c r="AX400" s="63"/>
      <c r="AY400" s="63"/>
      <c r="AZ400" s="63"/>
      <c r="BA400" s="63"/>
      <c r="BB400" s="63"/>
      <c r="BC400" s="63"/>
      <c r="BD400" s="63"/>
      <c r="BE400" s="63"/>
      <c r="BF400" s="63"/>
      <c r="BG400" s="63"/>
      <c r="BH400" s="63"/>
      <c r="BI400" s="63"/>
      <c r="BJ400" s="63"/>
      <c r="BK400" s="63"/>
      <c r="BL400" s="63"/>
      <c r="BM400" s="63"/>
      <c r="BN400" s="63"/>
      <c r="BO400" s="63"/>
      <c r="BP400" s="63"/>
      <c r="BQ400" s="63"/>
      <c r="BR400" s="63"/>
      <c r="BS400" s="63"/>
      <c r="BT400" s="63"/>
      <c r="BU400" s="63"/>
      <c r="BV400" s="63"/>
      <c r="BW400" s="63"/>
    </row>
    <row r="401" spans="1:75" x14ac:dyDescent="0.2">
      <c r="A401" s="63" t="str">
        <f t="shared" si="81"/>
        <v/>
      </c>
      <c r="B401" s="182"/>
      <c r="C401" s="75"/>
      <c r="D401" s="75"/>
      <c r="E401" s="74"/>
      <c r="F401" s="181"/>
      <c r="G401" s="69"/>
      <c r="AB401" s="150">
        <f t="shared" si="72"/>
        <v>0</v>
      </c>
      <c r="AC401" s="150">
        <f t="shared" si="73"/>
        <v>0</v>
      </c>
      <c r="AD401" s="98" t="str">
        <f t="shared" si="82"/>
        <v>0000000000</v>
      </c>
      <c r="AE401" s="151">
        <f t="shared" si="75"/>
        <v>0</v>
      </c>
      <c r="AF401" s="98" t="str">
        <f t="shared" si="76"/>
        <v>00</v>
      </c>
      <c r="AG401" s="98" t="str">
        <f t="shared" si="83"/>
        <v>000000000000</v>
      </c>
      <c r="AH401" s="161" t="str">
        <f t="shared" si="77"/>
        <v xml:space="preserve">                    </v>
      </c>
      <c r="AI401" s="154">
        <f t="shared" si="78"/>
        <v>0</v>
      </c>
      <c r="AJ401" s="155">
        <f t="shared" si="79"/>
        <v>0</v>
      </c>
      <c r="AP401" s="63" t="str">
        <f t="shared" si="80"/>
        <v/>
      </c>
      <c r="AQ401" s="63" t="str">
        <f t="shared" si="74"/>
        <v xml:space="preserve">                    </v>
      </c>
      <c r="AR401" s="63"/>
      <c r="AS401" s="63"/>
      <c r="AT401" s="63"/>
      <c r="AU401" s="63"/>
      <c r="AV401" s="63"/>
      <c r="AW401" s="63"/>
      <c r="AX401" s="63"/>
      <c r="AY401" s="63"/>
      <c r="AZ401" s="63"/>
      <c r="BA401" s="63"/>
      <c r="BB401" s="63"/>
      <c r="BC401" s="63"/>
      <c r="BD401" s="63"/>
      <c r="BE401" s="63"/>
      <c r="BF401" s="63"/>
      <c r="BG401" s="63"/>
      <c r="BH401" s="63"/>
      <c r="BI401" s="63"/>
      <c r="BJ401" s="63"/>
      <c r="BK401" s="63"/>
      <c r="BL401" s="63"/>
      <c r="BM401" s="63"/>
      <c r="BN401" s="63"/>
      <c r="BO401" s="63"/>
      <c r="BP401" s="63"/>
      <c r="BQ401" s="63"/>
      <c r="BR401" s="63"/>
      <c r="BS401" s="63"/>
      <c r="BT401" s="63"/>
      <c r="BU401" s="63"/>
      <c r="BV401" s="63"/>
      <c r="BW401" s="63"/>
    </row>
    <row r="402" spans="1:75" x14ac:dyDescent="0.2">
      <c r="A402" s="63" t="str">
        <f t="shared" si="81"/>
        <v/>
      </c>
      <c r="B402" s="182"/>
      <c r="C402" s="75"/>
      <c r="D402" s="75"/>
      <c r="E402" s="74"/>
      <c r="F402" s="181"/>
      <c r="G402" s="69"/>
      <c r="AB402" s="150">
        <f t="shared" si="72"/>
        <v>0</v>
      </c>
      <c r="AC402" s="150">
        <f t="shared" si="73"/>
        <v>0</v>
      </c>
      <c r="AD402" s="98" t="str">
        <f t="shared" si="82"/>
        <v>0000000000</v>
      </c>
      <c r="AE402" s="151">
        <f t="shared" si="75"/>
        <v>0</v>
      </c>
      <c r="AF402" s="98" t="str">
        <f t="shared" si="76"/>
        <v>00</v>
      </c>
      <c r="AG402" s="98" t="str">
        <f t="shared" si="83"/>
        <v>000000000000</v>
      </c>
      <c r="AH402" s="161" t="str">
        <f t="shared" si="77"/>
        <v xml:space="preserve">                    </v>
      </c>
      <c r="AI402" s="154">
        <f t="shared" si="78"/>
        <v>0</v>
      </c>
      <c r="AJ402" s="155">
        <f t="shared" si="79"/>
        <v>0</v>
      </c>
      <c r="AP402" s="63" t="str">
        <f t="shared" si="80"/>
        <v/>
      </c>
      <c r="AQ402" s="63" t="str">
        <f t="shared" si="74"/>
        <v xml:space="preserve">                    </v>
      </c>
      <c r="AR402" s="63"/>
      <c r="AS402" s="63"/>
      <c r="AT402" s="63"/>
      <c r="AU402" s="63"/>
      <c r="AV402" s="63"/>
      <c r="AW402" s="63"/>
      <c r="AX402" s="63"/>
      <c r="AY402" s="63"/>
      <c r="AZ402" s="63"/>
      <c r="BA402" s="63"/>
      <c r="BB402" s="63"/>
      <c r="BC402" s="63"/>
      <c r="BD402" s="63"/>
      <c r="BE402" s="63"/>
      <c r="BF402" s="63"/>
      <c r="BG402" s="63"/>
      <c r="BH402" s="63"/>
      <c r="BI402" s="63"/>
      <c r="BJ402" s="63"/>
      <c r="BK402" s="63"/>
      <c r="BL402" s="63"/>
      <c r="BM402" s="63"/>
      <c r="BN402" s="63"/>
      <c r="BO402" s="63"/>
      <c r="BP402" s="63"/>
      <c r="BQ402" s="63"/>
      <c r="BR402" s="63"/>
      <c r="BS402" s="63"/>
      <c r="BT402" s="63"/>
      <c r="BU402" s="63"/>
      <c r="BV402" s="63"/>
      <c r="BW402" s="63"/>
    </row>
    <row r="403" spans="1:75" x14ac:dyDescent="0.2">
      <c r="A403" s="63" t="str">
        <f t="shared" si="81"/>
        <v/>
      </c>
      <c r="B403" s="182"/>
      <c r="C403" s="75"/>
      <c r="D403" s="75"/>
      <c r="E403" s="74"/>
      <c r="F403" s="181"/>
      <c r="G403" s="69"/>
      <c r="AB403" s="150">
        <f t="shared" si="72"/>
        <v>0</v>
      </c>
      <c r="AC403" s="150">
        <f t="shared" si="73"/>
        <v>0</v>
      </c>
      <c r="AD403" s="98" t="str">
        <f t="shared" si="82"/>
        <v>0000000000</v>
      </c>
      <c r="AE403" s="151">
        <f t="shared" si="75"/>
        <v>0</v>
      </c>
      <c r="AF403" s="98" t="str">
        <f t="shared" si="76"/>
        <v>00</v>
      </c>
      <c r="AG403" s="98" t="str">
        <f t="shared" si="83"/>
        <v>000000000000</v>
      </c>
      <c r="AH403" s="161" t="str">
        <f t="shared" si="77"/>
        <v xml:space="preserve">                    </v>
      </c>
      <c r="AI403" s="154">
        <f t="shared" si="78"/>
        <v>0</v>
      </c>
      <c r="AJ403" s="155">
        <f t="shared" si="79"/>
        <v>0</v>
      </c>
      <c r="AP403" s="63" t="str">
        <f t="shared" si="80"/>
        <v/>
      </c>
      <c r="AQ403" s="63" t="str">
        <f t="shared" si="74"/>
        <v xml:space="preserve">                    </v>
      </c>
      <c r="AR403" s="63"/>
      <c r="AS403" s="63"/>
      <c r="AT403" s="63"/>
      <c r="AU403" s="63"/>
      <c r="AV403" s="63"/>
      <c r="AW403" s="63"/>
      <c r="AX403" s="63"/>
      <c r="AY403" s="63"/>
      <c r="AZ403" s="63"/>
      <c r="BA403" s="63"/>
      <c r="BB403" s="63"/>
      <c r="BC403" s="63"/>
      <c r="BD403" s="63"/>
      <c r="BE403" s="63"/>
      <c r="BF403" s="63"/>
      <c r="BG403" s="63"/>
      <c r="BH403" s="63"/>
      <c r="BI403" s="63"/>
      <c r="BJ403" s="63"/>
      <c r="BK403" s="63"/>
      <c r="BL403" s="63"/>
      <c r="BM403" s="63"/>
      <c r="BN403" s="63"/>
      <c r="BO403" s="63"/>
      <c r="BP403" s="63"/>
      <c r="BQ403" s="63"/>
      <c r="BR403" s="63"/>
      <c r="BS403" s="63"/>
      <c r="BT403" s="63"/>
      <c r="BU403" s="63"/>
      <c r="BV403" s="63"/>
      <c r="BW403" s="63"/>
    </row>
    <row r="404" spans="1:75" x14ac:dyDescent="0.2">
      <c r="A404" s="63" t="str">
        <f t="shared" si="81"/>
        <v/>
      </c>
      <c r="B404" s="182"/>
      <c r="C404" s="75"/>
      <c r="D404" s="75"/>
      <c r="E404" s="74"/>
      <c r="F404" s="181"/>
      <c r="G404" s="69"/>
      <c r="AB404" s="150">
        <f t="shared" si="72"/>
        <v>0</v>
      </c>
      <c r="AC404" s="150">
        <f t="shared" si="73"/>
        <v>0</v>
      </c>
      <c r="AD404" s="98" t="str">
        <f t="shared" si="82"/>
        <v>0000000000</v>
      </c>
      <c r="AE404" s="151">
        <f t="shared" si="75"/>
        <v>0</v>
      </c>
      <c r="AF404" s="98" t="str">
        <f t="shared" si="76"/>
        <v>00</v>
      </c>
      <c r="AG404" s="98" t="str">
        <f t="shared" si="83"/>
        <v>000000000000</v>
      </c>
      <c r="AH404" s="161" t="str">
        <f t="shared" si="77"/>
        <v xml:space="preserve">                    </v>
      </c>
      <c r="AI404" s="154">
        <f t="shared" si="78"/>
        <v>0</v>
      </c>
      <c r="AJ404" s="155">
        <f t="shared" si="79"/>
        <v>0</v>
      </c>
      <c r="AP404" s="63" t="str">
        <f t="shared" si="80"/>
        <v/>
      </c>
      <c r="AQ404" s="63" t="str">
        <f t="shared" si="74"/>
        <v xml:space="preserve">                    </v>
      </c>
      <c r="AR404" s="63"/>
      <c r="AS404" s="63"/>
      <c r="AT404" s="63"/>
      <c r="AU404" s="63"/>
      <c r="AV404" s="63"/>
      <c r="AW404" s="63"/>
      <c r="AX404" s="63"/>
      <c r="AY404" s="63"/>
      <c r="AZ404" s="63"/>
      <c r="BA404" s="63"/>
      <c r="BB404" s="63"/>
      <c r="BC404" s="63"/>
      <c r="BD404" s="63"/>
      <c r="BE404" s="63"/>
      <c r="BF404" s="63"/>
      <c r="BG404" s="63"/>
      <c r="BH404" s="63"/>
      <c r="BI404" s="63"/>
      <c r="BJ404" s="63"/>
      <c r="BK404" s="63"/>
      <c r="BL404" s="63"/>
      <c r="BM404" s="63"/>
      <c r="BN404" s="63"/>
      <c r="BO404" s="63"/>
      <c r="BP404" s="63"/>
      <c r="BQ404" s="63"/>
      <c r="BR404" s="63"/>
      <c r="BS404" s="63"/>
      <c r="BT404" s="63"/>
      <c r="BU404" s="63"/>
      <c r="BV404" s="63"/>
      <c r="BW404" s="63"/>
    </row>
    <row r="405" spans="1:75" x14ac:dyDescent="0.2">
      <c r="A405" s="63" t="str">
        <f t="shared" si="81"/>
        <v/>
      </c>
      <c r="B405" s="182"/>
      <c r="C405" s="75"/>
      <c r="D405" s="75"/>
      <c r="E405" s="74"/>
      <c r="F405" s="181"/>
      <c r="G405" s="69"/>
      <c r="AB405" s="150">
        <f t="shared" si="72"/>
        <v>0</v>
      </c>
      <c r="AC405" s="150">
        <f t="shared" si="73"/>
        <v>0</v>
      </c>
      <c r="AD405" s="98" t="str">
        <f t="shared" si="82"/>
        <v>0000000000</v>
      </c>
      <c r="AE405" s="151">
        <f t="shared" si="75"/>
        <v>0</v>
      </c>
      <c r="AF405" s="98" t="str">
        <f t="shared" si="76"/>
        <v>00</v>
      </c>
      <c r="AG405" s="98" t="str">
        <f t="shared" si="83"/>
        <v>000000000000</v>
      </c>
      <c r="AH405" s="161" t="str">
        <f t="shared" si="77"/>
        <v xml:space="preserve">                    </v>
      </c>
      <c r="AI405" s="154">
        <f t="shared" si="78"/>
        <v>0</v>
      </c>
      <c r="AJ405" s="155">
        <f t="shared" si="79"/>
        <v>0</v>
      </c>
      <c r="AP405" s="63" t="str">
        <f t="shared" si="80"/>
        <v/>
      </c>
      <c r="AQ405" s="63" t="str">
        <f t="shared" si="74"/>
        <v xml:space="preserve">                    </v>
      </c>
      <c r="AR405" s="63"/>
      <c r="AS405" s="63"/>
      <c r="AT405" s="63"/>
      <c r="AU405" s="63"/>
      <c r="AV405" s="63"/>
      <c r="AW405" s="63"/>
      <c r="AX405" s="63"/>
      <c r="AY405" s="63"/>
      <c r="AZ405" s="63"/>
      <c r="BA405" s="63"/>
      <c r="BB405" s="63"/>
      <c r="BC405" s="63"/>
      <c r="BD405" s="63"/>
      <c r="BE405" s="63"/>
      <c r="BF405" s="63"/>
      <c r="BG405" s="63"/>
      <c r="BH405" s="63"/>
      <c r="BI405" s="63"/>
      <c r="BJ405" s="63"/>
      <c r="BK405" s="63"/>
      <c r="BL405" s="63"/>
      <c r="BM405" s="63"/>
      <c r="BN405" s="63"/>
      <c r="BO405" s="63"/>
      <c r="BP405" s="63"/>
      <c r="BQ405" s="63"/>
      <c r="BR405" s="63"/>
      <c r="BS405" s="63"/>
      <c r="BT405" s="63"/>
      <c r="BU405" s="63"/>
      <c r="BV405" s="63"/>
      <c r="BW405" s="63"/>
    </row>
    <row r="406" spans="1:75" x14ac:dyDescent="0.2">
      <c r="A406" s="63" t="str">
        <f t="shared" si="81"/>
        <v/>
      </c>
      <c r="B406" s="182"/>
      <c r="C406" s="75"/>
      <c r="D406" s="75"/>
      <c r="E406" s="74"/>
      <c r="F406" s="181"/>
      <c r="G406" s="69"/>
      <c r="AB406" s="150">
        <f t="shared" si="72"/>
        <v>0</v>
      </c>
      <c r="AC406" s="150">
        <f t="shared" si="73"/>
        <v>0</v>
      </c>
      <c r="AD406" s="98" t="str">
        <f t="shared" si="82"/>
        <v>0000000000</v>
      </c>
      <c r="AE406" s="151">
        <f t="shared" si="75"/>
        <v>0</v>
      </c>
      <c r="AF406" s="98" t="str">
        <f t="shared" si="76"/>
        <v>00</v>
      </c>
      <c r="AG406" s="98" t="str">
        <f t="shared" si="83"/>
        <v>000000000000</v>
      </c>
      <c r="AH406" s="161" t="str">
        <f t="shared" si="77"/>
        <v xml:space="preserve">                    </v>
      </c>
      <c r="AI406" s="154">
        <f t="shared" si="78"/>
        <v>0</v>
      </c>
      <c r="AJ406" s="155">
        <f t="shared" si="79"/>
        <v>0</v>
      </c>
      <c r="AP406" s="63" t="str">
        <f t="shared" si="80"/>
        <v/>
      </c>
      <c r="AQ406" s="63" t="str">
        <f t="shared" si="74"/>
        <v xml:space="preserve">                    </v>
      </c>
      <c r="AR406" s="63"/>
      <c r="AS406" s="63"/>
      <c r="AT406" s="63"/>
      <c r="AU406" s="63"/>
      <c r="AV406" s="63"/>
      <c r="AW406" s="63"/>
      <c r="AX406" s="63"/>
      <c r="AY406" s="63"/>
      <c r="AZ406" s="63"/>
      <c r="BA406" s="63"/>
      <c r="BB406" s="63"/>
      <c r="BC406" s="63"/>
      <c r="BD406" s="63"/>
      <c r="BE406" s="63"/>
      <c r="BF406" s="63"/>
      <c r="BG406" s="63"/>
      <c r="BH406" s="63"/>
      <c r="BI406" s="63"/>
      <c r="BJ406" s="63"/>
      <c r="BK406" s="63"/>
      <c r="BL406" s="63"/>
      <c r="BM406" s="63"/>
      <c r="BN406" s="63"/>
      <c r="BO406" s="63"/>
      <c r="BP406" s="63"/>
      <c r="BQ406" s="63"/>
      <c r="BR406" s="63"/>
      <c r="BS406" s="63"/>
      <c r="BT406" s="63"/>
      <c r="BU406" s="63"/>
      <c r="BV406" s="63"/>
      <c r="BW406" s="63"/>
    </row>
    <row r="407" spans="1:75" x14ac:dyDescent="0.2">
      <c r="A407" s="63" t="str">
        <f t="shared" si="81"/>
        <v/>
      </c>
      <c r="B407" s="182"/>
      <c r="C407" s="75"/>
      <c r="D407" s="75"/>
      <c r="E407" s="74"/>
      <c r="F407" s="181"/>
      <c r="G407" s="69"/>
      <c r="AB407" s="150">
        <f t="shared" si="72"/>
        <v>0</v>
      </c>
      <c r="AC407" s="150">
        <f t="shared" si="73"/>
        <v>0</v>
      </c>
      <c r="AD407" s="98" t="str">
        <f t="shared" si="82"/>
        <v>0000000000</v>
      </c>
      <c r="AE407" s="151">
        <f t="shared" si="75"/>
        <v>0</v>
      </c>
      <c r="AF407" s="98" t="str">
        <f t="shared" si="76"/>
        <v>00</v>
      </c>
      <c r="AG407" s="98" t="str">
        <f t="shared" si="83"/>
        <v>000000000000</v>
      </c>
      <c r="AH407" s="161" t="str">
        <f t="shared" si="77"/>
        <v xml:space="preserve">                    </v>
      </c>
      <c r="AI407" s="154">
        <f t="shared" si="78"/>
        <v>0</v>
      </c>
      <c r="AJ407" s="155">
        <f t="shared" si="79"/>
        <v>0</v>
      </c>
      <c r="AP407" s="63" t="str">
        <f t="shared" si="80"/>
        <v/>
      </c>
      <c r="AQ407" s="63" t="str">
        <f t="shared" si="74"/>
        <v xml:space="preserve">                    </v>
      </c>
      <c r="AR407" s="63"/>
      <c r="AS407" s="63"/>
      <c r="AT407" s="63"/>
      <c r="AU407" s="63"/>
      <c r="AV407" s="63"/>
      <c r="AW407" s="63"/>
      <c r="AX407" s="63"/>
      <c r="AY407" s="63"/>
      <c r="AZ407" s="63"/>
      <c r="BA407" s="63"/>
      <c r="BB407" s="63"/>
      <c r="BC407" s="63"/>
      <c r="BD407" s="63"/>
      <c r="BE407" s="63"/>
      <c r="BF407" s="63"/>
      <c r="BG407" s="63"/>
      <c r="BH407" s="63"/>
      <c r="BI407" s="63"/>
      <c r="BJ407" s="63"/>
      <c r="BK407" s="63"/>
      <c r="BL407" s="63"/>
      <c r="BM407" s="63"/>
      <c r="BN407" s="63"/>
      <c r="BO407" s="63"/>
      <c r="BP407" s="63"/>
      <c r="BQ407" s="63"/>
      <c r="BR407" s="63"/>
      <c r="BS407" s="63"/>
      <c r="BT407" s="63"/>
      <c r="BU407" s="63"/>
      <c r="BV407" s="63"/>
      <c r="BW407" s="63"/>
    </row>
    <row r="408" spans="1:75" x14ac:dyDescent="0.2">
      <c r="A408" s="63" t="str">
        <f t="shared" si="81"/>
        <v/>
      </c>
      <c r="B408" s="182"/>
      <c r="C408" s="75"/>
      <c r="D408" s="75"/>
      <c r="E408" s="74"/>
      <c r="F408" s="181"/>
      <c r="G408" s="69"/>
      <c r="AB408" s="150">
        <f t="shared" si="72"/>
        <v>0</v>
      </c>
      <c r="AC408" s="150">
        <f t="shared" si="73"/>
        <v>0</v>
      </c>
      <c r="AD408" s="98" t="str">
        <f t="shared" si="82"/>
        <v>0000000000</v>
      </c>
      <c r="AE408" s="151">
        <f t="shared" si="75"/>
        <v>0</v>
      </c>
      <c r="AF408" s="98" t="str">
        <f t="shared" si="76"/>
        <v>00</v>
      </c>
      <c r="AG408" s="98" t="str">
        <f t="shared" si="83"/>
        <v>000000000000</v>
      </c>
      <c r="AH408" s="161" t="str">
        <f t="shared" si="77"/>
        <v xml:space="preserve">                    </v>
      </c>
      <c r="AI408" s="154">
        <f t="shared" si="78"/>
        <v>0</v>
      </c>
      <c r="AJ408" s="155">
        <f t="shared" si="79"/>
        <v>0</v>
      </c>
      <c r="AP408" s="63" t="str">
        <f t="shared" si="80"/>
        <v/>
      </c>
      <c r="AQ408" s="63" t="str">
        <f t="shared" si="74"/>
        <v xml:space="preserve">                    </v>
      </c>
      <c r="AR408" s="63"/>
      <c r="AS408" s="63"/>
      <c r="AT408" s="63"/>
      <c r="AU408" s="63"/>
      <c r="AV408" s="63"/>
      <c r="AW408" s="63"/>
      <c r="AX408" s="63"/>
      <c r="AY408" s="63"/>
      <c r="AZ408" s="63"/>
      <c r="BA408" s="63"/>
      <c r="BB408" s="63"/>
      <c r="BC408" s="63"/>
      <c r="BD408" s="63"/>
      <c r="BE408" s="63"/>
      <c r="BF408" s="63"/>
      <c r="BG408" s="63"/>
      <c r="BH408" s="63"/>
      <c r="BI408" s="63"/>
      <c r="BJ408" s="63"/>
      <c r="BK408" s="63"/>
      <c r="BL408" s="63"/>
      <c r="BM408" s="63"/>
      <c r="BN408" s="63"/>
      <c r="BO408" s="63"/>
      <c r="BP408" s="63"/>
      <c r="BQ408" s="63"/>
      <c r="BR408" s="63"/>
      <c r="BS408" s="63"/>
      <c r="BT408" s="63"/>
      <c r="BU408" s="63"/>
      <c r="BV408" s="63"/>
      <c r="BW408" s="63"/>
    </row>
    <row r="409" spans="1:75" x14ac:dyDescent="0.2">
      <c r="A409" s="63" t="str">
        <f t="shared" si="81"/>
        <v/>
      </c>
      <c r="B409" s="182"/>
      <c r="C409" s="75"/>
      <c r="D409" s="75"/>
      <c r="E409" s="74"/>
      <c r="F409" s="181"/>
      <c r="G409" s="69"/>
      <c r="AB409" s="150">
        <f t="shared" si="72"/>
        <v>0</v>
      </c>
      <c r="AC409" s="150">
        <f t="shared" si="73"/>
        <v>0</v>
      </c>
      <c r="AD409" s="98" t="str">
        <f t="shared" si="82"/>
        <v>0000000000</v>
      </c>
      <c r="AE409" s="151">
        <f t="shared" si="75"/>
        <v>0</v>
      </c>
      <c r="AF409" s="98" t="str">
        <f t="shared" si="76"/>
        <v>00</v>
      </c>
      <c r="AG409" s="98" t="str">
        <f t="shared" si="83"/>
        <v>000000000000</v>
      </c>
      <c r="AH409" s="161" t="str">
        <f t="shared" si="77"/>
        <v xml:space="preserve">                    </v>
      </c>
      <c r="AI409" s="154">
        <f t="shared" si="78"/>
        <v>0</v>
      </c>
      <c r="AJ409" s="155">
        <f t="shared" si="79"/>
        <v>0</v>
      </c>
      <c r="AP409" s="63" t="str">
        <f t="shared" si="80"/>
        <v/>
      </c>
      <c r="AQ409" s="63" t="str">
        <f t="shared" si="74"/>
        <v xml:space="preserve">                    </v>
      </c>
      <c r="AR409" s="63"/>
      <c r="AS409" s="63"/>
      <c r="AT409" s="63"/>
      <c r="AU409" s="63"/>
      <c r="AV409" s="63"/>
      <c r="AW409" s="63"/>
      <c r="AX409" s="63"/>
      <c r="AY409" s="63"/>
      <c r="AZ409" s="63"/>
      <c r="BA409" s="63"/>
      <c r="BB409" s="63"/>
      <c r="BC409" s="63"/>
      <c r="BD409" s="63"/>
      <c r="BE409" s="63"/>
      <c r="BF409" s="63"/>
      <c r="BG409" s="63"/>
      <c r="BH409" s="63"/>
      <c r="BI409" s="63"/>
      <c r="BJ409" s="63"/>
      <c r="BK409" s="63"/>
      <c r="BL409" s="63"/>
      <c r="BM409" s="63"/>
      <c r="BN409" s="63"/>
      <c r="BO409" s="63"/>
      <c r="BP409" s="63"/>
      <c r="BQ409" s="63"/>
      <c r="BR409" s="63"/>
      <c r="BS409" s="63"/>
      <c r="BT409" s="63"/>
      <c r="BU409" s="63"/>
      <c r="BV409" s="63"/>
      <c r="BW409" s="63"/>
    </row>
    <row r="410" spans="1:75" x14ac:dyDescent="0.2">
      <c r="A410" s="63" t="str">
        <f t="shared" si="81"/>
        <v/>
      </c>
      <c r="B410" s="182"/>
      <c r="C410" s="75"/>
      <c r="D410" s="75"/>
      <c r="E410" s="74"/>
      <c r="F410" s="181"/>
      <c r="G410" s="69"/>
      <c r="AB410" s="150">
        <f t="shared" si="72"/>
        <v>0</v>
      </c>
      <c r="AC410" s="150">
        <f t="shared" si="73"/>
        <v>0</v>
      </c>
      <c r="AD410" s="98" t="str">
        <f t="shared" si="82"/>
        <v>0000000000</v>
      </c>
      <c r="AE410" s="151">
        <f t="shared" si="75"/>
        <v>0</v>
      </c>
      <c r="AF410" s="98" t="str">
        <f t="shared" si="76"/>
        <v>00</v>
      </c>
      <c r="AG410" s="98" t="str">
        <f t="shared" si="83"/>
        <v>000000000000</v>
      </c>
      <c r="AH410" s="161" t="str">
        <f t="shared" si="77"/>
        <v xml:space="preserve">                    </v>
      </c>
      <c r="AI410" s="154">
        <f t="shared" si="78"/>
        <v>0</v>
      </c>
      <c r="AJ410" s="155">
        <f t="shared" si="79"/>
        <v>0</v>
      </c>
      <c r="AP410" s="63" t="str">
        <f t="shared" si="80"/>
        <v/>
      </c>
      <c r="AQ410" s="63" t="str">
        <f t="shared" si="74"/>
        <v xml:space="preserve">                    </v>
      </c>
      <c r="AR410" s="63"/>
      <c r="AS410" s="63"/>
      <c r="AT410" s="63"/>
      <c r="AU410" s="63"/>
      <c r="AV410" s="63"/>
      <c r="AW410" s="63"/>
      <c r="AX410" s="63"/>
      <c r="AY410" s="63"/>
      <c r="AZ410" s="63"/>
      <c r="BA410" s="63"/>
      <c r="BB410" s="63"/>
      <c r="BC410" s="63"/>
      <c r="BD410" s="63"/>
      <c r="BE410" s="63"/>
      <c r="BF410" s="63"/>
      <c r="BG410" s="63"/>
      <c r="BH410" s="63"/>
      <c r="BI410" s="63"/>
      <c r="BJ410" s="63"/>
      <c r="BK410" s="63"/>
      <c r="BL410" s="63"/>
      <c r="BM410" s="63"/>
      <c r="BN410" s="63"/>
      <c r="BO410" s="63"/>
      <c r="BP410" s="63"/>
      <c r="BQ410" s="63"/>
      <c r="BR410" s="63"/>
      <c r="BS410" s="63"/>
      <c r="BT410" s="63"/>
      <c r="BU410" s="63"/>
      <c r="BV410" s="63"/>
      <c r="BW410" s="63"/>
    </row>
    <row r="411" spans="1:75" x14ac:dyDescent="0.2">
      <c r="A411" s="63" t="str">
        <f t="shared" si="81"/>
        <v/>
      </c>
      <c r="B411" s="182"/>
      <c r="C411" s="75"/>
      <c r="D411" s="75"/>
      <c r="E411" s="74"/>
      <c r="F411" s="181"/>
      <c r="G411" s="69"/>
      <c r="AB411" s="150">
        <f t="shared" si="72"/>
        <v>0</v>
      </c>
      <c r="AC411" s="150">
        <f t="shared" si="73"/>
        <v>0</v>
      </c>
      <c r="AD411" s="98" t="str">
        <f t="shared" si="82"/>
        <v>0000000000</v>
      </c>
      <c r="AE411" s="151">
        <f t="shared" si="75"/>
        <v>0</v>
      </c>
      <c r="AF411" s="98" t="str">
        <f t="shared" si="76"/>
        <v>00</v>
      </c>
      <c r="AG411" s="98" t="str">
        <f t="shared" si="83"/>
        <v>000000000000</v>
      </c>
      <c r="AH411" s="161" t="str">
        <f t="shared" si="77"/>
        <v xml:space="preserve">                    </v>
      </c>
      <c r="AI411" s="154">
        <f t="shared" si="78"/>
        <v>0</v>
      </c>
      <c r="AJ411" s="155">
        <f t="shared" si="79"/>
        <v>0</v>
      </c>
      <c r="AP411" s="63" t="str">
        <f t="shared" si="80"/>
        <v/>
      </c>
      <c r="AQ411" s="63" t="str">
        <f t="shared" si="74"/>
        <v xml:space="preserve">                    </v>
      </c>
      <c r="AR411" s="63"/>
      <c r="AS411" s="63"/>
      <c r="AT411" s="63"/>
      <c r="AU411" s="63"/>
      <c r="AV411" s="63"/>
      <c r="AW411" s="63"/>
      <c r="AX411" s="63"/>
      <c r="AY411" s="63"/>
      <c r="AZ411" s="63"/>
      <c r="BA411" s="63"/>
      <c r="BB411" s="63"/>
      <c r="BC411" s="63"/>
      <c r="BD411" s="63"/>
      <c r="BE411" s="63"/>
      <c r="BF411" s="63"/>
      <c r="BG411" s="63"/>
      <c r="BH411" s="63"/>
      <c r="BI411" s="63"/>
      <c r="BJ411" s="63"/>
      <c r="BK411" s="63"/>
      <c r="BL411" s="63"/>
      <c r="BM411" s="63"/>
      <c r="BN411" s="63"/>
      <c r="BO411" s="63"/>
      <c r="BP411" s="63"/>
      <c r="BQ411" s="63"/>
      <c r="BR411" s="63"/>
      <c r="BS411" s="63"/>
      <c r="BT411" s="63"/>
      <c r="BU411" s="63"/>
      <c r="BV411" s="63"/>
      <c r="BW411" s="63"/>
    </row>
    <row r="412" spans="1:75" x14ac:dyDescent="0.2">
      <c r="A412" s="63" t="str">
        <f t="shared" si="81"/>
        <v/>
      </c>
      <c r="B412" s="182"/>
      <c r="C412" s="75"/>
      <c r="D412" s="75"/>
      <c r="E412" s="74"/>
      <c r="F412" s="181"/>
      <c r="G412" s="69"/>
      <c r="AB412" s="150">
        <f t="shared" si="72"/>
        <v>0</v>
      </c>
      <c r="AC412" s="150">
        <f t="shared" si="73"/>
        <v>0</v>
      </c>
      <c r="AD412" s="98" t="str">
        <f t="shared" si="82"/>
        <v>0000000000</v>
      </c>
      <c r="AE412" s="151">
        <f t="shared" si="75"/>
        <v>0</v>
      </c>
      <c r="AF412" s="98" t="str">
        <f t="shared" si="76"/>
        <v>00</v>
      </c>
      <c r="AG412" s="98" t="str">
        <f t="shared" si="83"/>
        <v>000000000000</v>
      </c>
      <c r="AH412" s="161" t="str">
        <f t="shared" si="77"/>
        <v xml:space="preserve">                    </v>
      </c>
      <c r="AI412" s="154">
        <f t="shared" si="78"/>
        <v>0</v>
      </c>
      <c r="AJ412" s="155">
        <f t="shared" si="79"/>
        <v>0</v>
      </c>
      <c r="AP412" s="63" t="str">
        <f t="shared" si="80"/>
        <v/>
      </c>
      <c r="AQ412" s="63" t="str">
        <f t="shared" si="74"/>
        <v xml:space="preserve">                    </v>
      </c>
      <c r="AR412" s="63"/>
      <c r="AS412" s="63"/>
      <c r="AT412" s="63"/>
      <c r="AU412" s="63"/>
      <c r="AV412" s="63"/>
      <c r="AW412" s="63"/>
      <c r="AX412" s="63"/>
      <c r="AY412" s="63"/>
      <c r="AZ412" s="63"/>
      <c r="BA412" s="63"/>
      <c r="BB412" s="63"/>
      <c r="BC412" s="63"/>
      <c r="BD412" s="63"/>
      <c r="BE412" s="63"/>
      <c r="BF412" s="63"/>
      <c r="BG412" s="63"/>
      <c r="BH412" s="63"/>
      <c r="BI412" s="63"/>
      <c r="BJ412" s="63"/>
      <c r="BK412" s="63"/>
      <c r="BL412" s="63"/>
      <c r="BM412" s="63"/>
      <c r="BN412" s="63"/>
      <c r="BO412" s="63"/>
      <c r="BP412" s="63"/>
      <c r="BQ412" s="63"/>
      <c r="BR412" s="63"/>
      <c r="BS412" s="63"/>
      <c r="BT412" s="63"/>
      <c r="BU412" s="63"/>
      <c r="BV412" s="63"/>
      <c r="BW412" s="63"/>
    </row>
    <row r="413" spans="1:75" x14ac:dyDescent="0.2">
      <c r="A413" s="63" t="str">
        <f t="shared" si="81"/>
        <v/>
      </c>
      <c r="B413" s="182"/>
      <c r="C413" s="75"/>
      <c r="D413" s="75"/>
      <c r="E413" s="74"/>
      <c r="F413" s="181"/>
      <c r="G413" s="69"/>
      <c r="AB413" s="150">
        <f t="shared" si="72"/>
        <v>0</v>
      </c>
      <c r="AC413" s="150">
        <f t="shared" si="73"/>
        <v>0</v>
      </c>
      <c r="AD413" s="98" t="str">
        <f t="shared" si="82"/>
        <v>0000000000</v>
      </c>
      <c r="AE413" s="151">
        <f t="shared" si="75"/>
        <v>0</v>
      </c>
      <c r="AF413" s="98" t="str">
        <f t="shared" si="76"/>
        <v>00</v>
      </c>
      <c r="AG413" s="98" t="str">
        <f t="shared" si="83"/>
        <v>000000000000</v>
      </c>
      <c r="AH413" s="161" t="str">
        <f t="shared" si="77"/>
        <v xml:space="preserve">                    </v>
      </c>
      <c r="AI413" s="154">
        <f t="shared" si="78"/>
        <v>0</v>
      </c>
      <c r="AJ413" s="155">
        <f t="shared" si="79"/>
        <v>0</v>
      </c>
      <c r="AP413" s="63" t="str">
        <f t="shared" si="80"/>
        <v/>
      </c>
      <c r="AQ413" s="63" t="str">
        <f t="shared" si="74"/>
        <v xml:space="preserve">                    </v>
      </c>
      <c r="AR413" s="63"/>
      <c r="AS413" s="63"/>
      <c r="AT413" s="63"/>
      <c r="AU413" s="63"/>
      <c r="AV413" s="63"/>
      <c r="AW413" s="63"/>
      <c r="AX413" s="63"/>
      <c r="AY413" s="63"/>
      <c r="AZ413" s="63"/>
      <c r="BA413" s="63"/>
      <c r="BB413" s="63"/>
      <c r="BC413" s="63"/>
      <c r="BD413" s="63"/>
      <c r="BE413" s="63"/>
      <c r="BF413" s="63"/>
      <c r="BG413" s="63"/>
      <c r="BH413" s="63"/>
      <c r="BI413" s="63"/>
      <c r="BJ413" s="63"/>
      <c r="BK413" s="63"/>
      <c r="BL413" s="63"/>
      <c r="BM413" s="63"/>
      <c r="BN413" s="63"/>
      <c r="BO413" s="63"/>
      <c r="BP413" s="63"/>
      <c r="BQ413" s="63"/>
      <c r="BR413" s="63"/>
      <c r="BS413" s="63"/>
      <c r="BT413" s="63"/>
      <c r="BU413" s="63"/>
      <c r="BV413" s="63"/>
      <c r="BW413" s="63"/>
    </row>
    <row r="414" spans="1:75" x14ac:dyDescent="0.2">
      <c r="A414" s="63" t="str">
        <f t="shared" si="81"/>
        <v/>
      </c>
      <c r="B414" s="182"/>
      <c r="C414" s="75"/>
      <c r="D414" s="75"/>
      <c r="E414" s="74"/>
      <c r="F414" s="181"/>
      <c r="G414" s="69"/>
      <c r="AB414" s="150">
        <f t="shared" si="72"/>
        <v>0</v>
      </c>
      <c r="AC414" s="150">
        <f t="shared" si="73"/>
        <v>0</v>
      </c>
      <c r="AD414" s="98" t="str">
        <f t="shared" si="82"/>
        <v>0000000000</v>
      </c>
      <c r="AE414" s="151">
        <f t="shared" si="75"/>
        <v>0</v>
      </c>
      <c r="AF414" s="98" t="str">
        <f t="shared" si="76"/>
        <v>00</v>
      </c>
      <c r="AG414" s="98" t="str">
        <f t="shared" si="83"/>
        <v>000000000000</v>
      </c>
      <c r="AH414" s="161" t="str">
        <f t="shared" si="77"/>
        <v xml:space="preserve">                    </v>
      </c>
      <c r="AI414" s="154">
        <f t="shared" si="78"/>
        <v>0</v>
      </c>
      <c r="AJ414" s="155">
        <f t="shared" si="79"/>
        <v>0</v>
      </c>
      <c r="AP414" s="63" t="str">
        <f t="shared" si="80"/>
        <v/>
      </c>
      <c r="AQ414" s="63" t="str">
        <f t="shared" si="74"/>
        <v xml:space="preserve">                    </v>
      </c>
      <c r="AR414" s="63"/>
      <c r="AS414" s="63"/>
      <c r="AT414" s="63"/>
      <c r="AU414" s="63"/>
      <c r="AV414" s="63"/>
      <c r="AW414" s="63"/>
      <c r="AX414" s="63"/>
      <c r="AY414" s="63"/>
      <c r="AZ414" s="63"/>
      <c r="BA414" s="63"/>
      <c r="BB414" s="63"/>
      <c r="BC414" s="63"/>
      <c r="BD414" s="63"/>
      <c r="BE414" s="63"/>
      <c r="BF414" s="63"/>
      <c r="BG414" s="63"/>
      <c r="BH414" s="63"/>
      <c r="BI414" s="63"/>
      <c r="BJ414" s="63"/>
      <c r="BK414" s="63"/>
      <c r="BL414" s="63"/>
      <c r="BM414" s="63"/>
      <c r="BN414" s="63"/>
      <c r="BO414" s="63"/>
      <c r="BP414" s="63"/>
      <c r="BQ414" s="63"/>
      <c r="BR414" s="63"/>
      <c r="BS414" s="63"/>
      <c r="BT414" s="63"/>
      <c r="BU414" s="63"/>
      <c r="BV414" s="63"/>
      <c r="BW414" s="63"/>
    </row>
    <row r="415" spans="1:75" x14ac:dyDescent="0.2">
      <c r="A415" s="63" t="str">
        <f t="shared" si="81"/>
        <v/>
      </c>
      <c r="B415" s="182"/>
      <c r="C415" s="75"/>
      <c r="D415" s="75"/>
      <c r="E415" s="74"/>
      <c r="F415" s="181"/>
      <c r="G415" s="69"/>
      <c r="AB415" s="150">
        <f t="shared" si="72"/>
        <v>0</v>
      </c>
      <c r="AC415" s="150">
        <f t="shared" si="73"/>
        <v>0</v>
      </c>
      <c r="AD415" s="98" t="str">
        <f t="shared" si="82"/>
        <v>0000000000</v>
      </c>
      <c r="AE415" s="151">
        <f t="shared" si="75"/>
        <v>0</v>
      </c>
      <c r="AF415" s="98" t="str">
        <f t="shared" si="76"/>
        <v>00</v>
      </c>
      <c r="AG415" s="98" t="str">
        <f t="shared" si="83"/>
        <v>000000000000</v>
      </c>
      <c r="AH415" s="161" t="str">
        <f t="shared" si="77"/>
        <v xml:space="preserve">                    </v>
      </c>
      <c r="AI415" s="154">
        <f t="shared" si="78"/>
        <v>0</v>
      </c>
      <c r="AJ415" s="155">
        <f t="shared" si="79"/>
        <v>0</v>
      </c>
      <c r="AP415" s="63" t="str">
        <f t="shared" si="80"/>
        <v/>
      </c>
      <c r="AQ415" s="63" t="str">
        <f t="shared" si="74"/>
        <v xml:space="preserve">                    </v>
      </c>
      <c r="AR415" s="63"/>
      <c r="AS415" s="63"/>
      <c r="AT415" s="63"/>
      <c r="AU415" s="63"/>
      <c r="AV415" s="63"/>
      <c r="AW415" s="63"/>
      <c r="AX415" s="63"/>
      <c r="AY415" s="63"/>
      <c r="AZ415" s="63"/>
      <c r="BA415" s="63"/>
      <c r="BB415" s="63"/>
      <c r="BC415" s="63"/>
      <c r="BD415" s="63"/>
      <c r="BE415" s="63"/>
      <c r="BF415" s="63"/>
      <c r="BG415" s="63"/>
      <c r="BH415" s="63"/>
      <c r="BI415" s="63"/>
      <c r="BJ415" s="63"/>
      <c r="BK415" s="63"/>
      <c r="BL415" s="63"/>
      <c r="BM415" s="63"/>
      <c r="BN415" s="63"/>
      <c r="BO415" s="63"/>
      <c r="BP415" s="63"/>
      <c r="BQ415" s="63"/>
      <c r="BR415" s="63"/>
      <c r="BS415" s="63"/>
      <c r="BT415" s="63"/>
      <c r="BU415" s="63"/>
      <c r="BV415" s="63"/>
      <c r="BW415" s="63"/>
    </row>
    <row r="416" spans="1:75" x14ac:dyDescent="0.2">
      <c r="A416" s="63" t="str">
        <f t="shared" si="81"/>
        <v/>
      </c>
      <c r="B416" s="182"/>
      <c r="C416" s="75"/>
      <c r="D416" s="75"/>
      <c r="E416" s="74"/>
      <c r="F416" s="181"/>
      <c r="G416" s="69"/>
      <c r="AB416" s="150">
        <f t="shared" si="72"/>
        <v>0</v>
      </c>
      <c r="AC416" s="150">
        <f t="shared" si="73"/>
        <v>0</v>
      </c>
      <c r="AD416" s="98" t="str">
        <f t="shared" si="82"/>
        <v>0000000000</v>
      </c>
      <c r="AE416" s="151">
        <f t="shared" si="75"/>
        <v>0</v>
      </c>
      <c r="AF416" s="98" t="str">
        <f t="shared" si="76"/>
        <v>00</v>
      </c>
      <c r="AG416" s="98" t="str">
        <f t="shared" si="83"/>
        <v>000000000000</v>
      </c>
      <c r="AH416" s="161" t="str">
        <f t="shared" si="77"/>
        <v xml:space="preserve">                    </v>
      </c>
      <c r="AI416" s="154">
        <f t="shared" si="78"/>
        <v>0</v>
      </c>
      <c r="AJ416" s="155">
        <f t="shared" si="79"/>
        <v>0</v>
      </c>
      <c r="AP416" s="63" t="str">
        <f t="shared" si="80"/>
        <v/>
      </c>
      <c r="AQ416" s="63" t="str">
        <f t="shared" si="74"/>
        <v xml:space="preserve">                    </v>
      </c>
      <c r="AR416" s="63"/>
      <c r="AS416" s="63"/>
      <c r="AT416" s="63"/>
      <c r="AU416" s="63"/>
      <c r="AV416" s="63"/>
      <c r="AW416" s="63"/>
      <c r="AX416" s="63"/>
      <c r="AY416" s="63"/>
      <c r="AZ416" s="63"/>
      <c r="BA416" s="63"/>
      <c r="BB416" s="63"/>
      <c r="BC416" s="63"/>
      <c r="BD416" s="63"/>
      <c r="BE416" s="63"/>
      <c r="BF416" s="63"/>
      <c r="BG416" s="63"/>
      <c r="BH416" s="63"/>
      <c r="BI416" s="63"/>
      <c r="BJ416" s="63"/>
      <c r="BK416" s="63"/>
      <c r="BL416" s="63"/>
      <c r="BM416" s="63"/>
      <c r="BN416" s="63"/>
      <c r="BO416" s="63"/>
      <c r="BP416" s="63"/>
      <c r="BQ416" s="63"/>
      <c r="BR416" s="63"/>
      <c r="BS416" s="63"/>
      <c r="BT416" s="63"/>
      <c r="BU416" s="63"/>
      <c r="BV416" s="63"/>
      <c r="BW416" s="63"/>
    </row>
    <row r="417" spans="1:75" x14ac:dyDescent="0.2">
      <c r="A417" s="63" t="str">
        <f t="shared" si="81"/>
        <v/>
      </c>
      <c r="B417" s="182"/>
      <c r="C417" s="75"/>
      <c r="D417" s="75"/>
      <c r="E417" s="74"/>
      <c r="F417" s="181"/>
      <c r="G417" s="69"/>
      <c r="AB417" s="150">
        <f t="shared" si="72"/>
        <v>0</v>
      </c>
      <c r="AC417" s="150">
        <f t="shared" si="73"/>
        <v>0</v>
      </c>
      <c r="AD417" s="98" t="str">
        <f t="shared" si="82"/>
        <v>0000000000</v>
      </c>
      <c r="AE417" s="151">
        <f t="shared" si="75"/>
        <v>0</v>
      </c>
      <c r="AF417" s="98" t="str">
        <f t="shared" si="76"/>
        <v>00</v>
      </c>
      <c r="AG417" s="98" t="str">
        <f t="shared" si="83"/>
        <v>000000000000</v>
      </c>
      <c r="AH417" s="161" t="str">
        <f t="shared" si="77"/>
        <v xml:space="preserve">                    </v>
      </c>
      <c r="AI417" s="154">
        <f t="shared" si="78"/>
        <v>0</v>
      </c>
      <c r="AJ417" s="155">
        <f t="shared" si="79"/>
        <v>0</v>
      </c>
      <c r="AP417" s="63" t="str">
        <f t="shared" si="80"/>
        <v/>
      </c>
      <c r="AQ417" s="63" t="str">
        <f t="shared" si="74"/>
        <v xml:space="preserve">                    </v>
      </c>
      <c r="AR417" s="63"/>
      <c r="AS417" s="63"/>
      <c r="AT417" s="63"/>
      <c r="AU417" s="63"/>
      <c r="AV417" s="63"/>
      <c r="AW417" s="63"/>
      <c r="AX417" s="63"/>
      <c r="AY417" s="63"/>
      <c r="AZ417" s="63"/>
      <c r="BA417" s="63"/>
      <c r="BB417" s="63"/>
      <c r="BC417" s="63"/>
      <c r="BD417" s="63"/>
      <c r="BE417" s="63"/>
      <c r="BF417" s="63"/>
      <c r="BG417" s="63"/>
      <c r="BH417" s="63"/>
      <c r="BI417" s="63"/>
      <c r="BJ417" s="63"/>
      <c r="BK417" s="63"/>
      <c r="BL417" s="63"/>
      <c r="BM417" s="63"/>
      <c r="BN417" s="63"/>
      <c r="BO417" s="63"/>
      <c r="BP417" s="63"/>
      <c r="BQ417" s="63"/>
      <c r="BR417" s="63"/>
      <c r="BS417" s="63"/>
      <c r="BT417" s="63"/>
      <c r="BU417" s="63"/>
      <c r="BV417" s="63"/>
      <c r="BW417" s="63"/>
    </row>
    <row r="418" spans="1:75" x14ac:dyDescent="0.2">
      <c r="A418" s="63" t="str">
        <f t="shared" si="81"/>
        <v/>
      </c>
      <c r="B418" s="182"/>
      <c r="C418" s="75"/>
      <c r="D418" s="75"/>
      <c r="E418" s="74"/>
      <c r="F418" s="181"/>
      <c r="G418" s="69"/>
      <c r="AB418" s="150">
        <f t="shared" si="72"/>
        <v>0</v>
      </c>
      <c r="AC418" s="150">
        <f t="shared" si="73"/>
        <v>0</v>
      </c>
      <c r="AD418" s="98" t="str">
        <f t="shared" si="82"/>
        <v>0000000000</v>
      </c>
      <c r="AE418" s="151">
        <f t="shared" si="75"/>
        <v>0</v>
      </c>
      <c r="AF418" s="98" t="str">
        <f t="shared" si="76"/>
        <v>00</v>
      </c>
      <c r="AG418" s="98" t="str">
        <f t="shared" si="83"/>
        <v>000000000000</v>
      </c>
      <c r="AH418" s="161" t="str">
        <f t="shared" si="77"/>
        <v xml:space="preserve">                    </v>
      </c>
      <c r="AI418" s="154">
        <f t="shared" si="78"/>
        <v>0</v>
      </c>
      <c r="AJ418" s="155">
        <f t="shared" si="79"/>
        <v>0</v>
      </c>
      <c r="AP418" s="63" t="str">
        <f t="shared" si="80"/>
        <v/>
      </c>
      <c r="AQ418" s="63" t="str">
        <f t="shared" si="74"/>
        <v xml:space="preserve">                    </v>
      </c>
      <c r="AR418" s="63"/>
      <c r="AS418" s="63"/>
      <c r="AT418" s="63"/>
      <c r="AU418" s="63"/>
      <c r="AV418" s="63"/>
      <c r="AW418" s="63"/>
      <c r="AX418" s="63"/>
      <c r="AY418" s="63"/>
      <c r="AZ418" s="63"/>
      <c r="BA418" s="63"/>
      <c r="BB418" s="63"/>
      <c r="BC418" s="63"/>
      <c r="BD418" s="63"/>
      <c r="BE418" s="63"/>
      <c r="BF418" s="63"/>
      <c r="BG418" s="63"/>
      <c r="BH418" s="63"/>
      <c r="BI418" s="63"/>
      <c r="BJ418" s="63"/>
      <c r="BK418" s="63"/>
      <c r="BL418" s="63"/>
      <c r="BM418" s="63"/>
      <c r="BN418" s="63"/>
      <c r="BO418" s="63"/>
      <c r="BP418" s="63"/>
      <c r="BQ418" s="63"/>
      <c r="BR418" s="63"/>
      <c r="BS418" s="63"/>
      <c r="BT418" s="63"/>
      <c r="BU418" s="63"/>
      <c r="BV418" s="63"/>
      <c r="BW418" s="63"/>
    </row>
    <row r="419" spans="1:75" x14ac:dyDescent="0.2">
      <c r="A419" s="63" t="str">
        <f t="shared" si="81"/>
        <v/>
      </c>
      <c r="B419" s="182"/>
      <c r="C419" s="75"/>
      <c r="D419" s="75"/>
      <c r="E419" s="74"/>
      <c r="F419" s="181"/>
      <c r="G419" s="69"/>
      <c r="AB419" s="150">
        <f t="shared" si="72"/>
        <v>0</v>
      </c>
      <c r="AC419" s="150">
        <f t="shared" si="73"/>
        <v>0</v>
      </c>
      <c r="AD419" s="98" t="str">
        <f t="shared" si="82"/>
        <v>0000000000</v>
      </c>
      <c r="AE419" s="151">
        <f t="shared" si="75"/>
        <v>0</v>
      </c>
      <c r="AF419" s="98" t="str">
        <f t="shared" si="76"/>
        <v>00</v>
      </c>
      <c r="AG419" s="98" t="str">
        <f t="shared" si="83"/>
        <v>000000000000</v>
      </c>
      <c r="AH419" s="161" t="str">
        <f t="shared" si="77"/>
        <v xml:space="preserve">                    </v>
      </c>
      <c r="AI419" s="154">
        <f t="shared" si="78"/>
        <v>0</v>
      </c>
      <c r="AJ419" s="155">
        <f t="shared" si="79"/>
        <v>0</v>
      </c>
      <c r="AP419" s="63" t="str">
        <f t="shared" si="80"/>
        <v/>
      </c>
      <c r="AQ419" s="63" t="str">
        <f t="shared" si="74"/>
        <v xml:space="preserve">                    </v>
      </c>
      <c r="AR419" s="63"/>
      <c r="AS419" s="63"/>
      <c r="AT419" s="63"/>
      <c r="AU419" s="63"/>
      <c r="AV419" s="63"/>
      <c r="AW419" s="63"/>
      <c r="AX419" s="63"/>
      <c r="AY419" s="63"/>
      <c r="AZ419" s="63"/>
      <c r="BA419" s="63"/>
      <c r="BB419" s="63"/>
      <c r="BC419" s="63"/>
      <c r="BD419" s="63"/>
      <c r="BE419" s="63"/>
      <c r="BF419" s="63"/>
      <c r="BG419" s="63"/>
      <c r="BH419" s="63"/>
      <c r="BI419" s="63"/>
      <c r="BJ419" s="63"/>
      <c r="BK419" s="63"/>
      <c r="BL419" s="63"/>
      <c r="BM419" s="63"/>
      <c r="BN419" s="63"/>
      <c r="BO419" s="63"/>
      <c r="BP419" s="63"/>
      <c r="BQ419" s="63"/>
      <c r="BR419" s="63"/>
      <c r="BS419" s="63"/>
      <c r="BT419" s="63"/>
      <c r="BU419" s="63"/>
      <c r="BV419" s="63"/>
      <c r="BW419" s="63"/>
    </row>
    <row r="420" spans="1:75" x14ac:dyDescent="0.2">
      <c r="A420" s="63" t="str">
        <f t="shared" si="81"/>
        <v/>
      </c>
      <c r="B420" s="182"/>
      <c r="C420" s="75"/>
      <c r="D420" s="75"/>
      <c r="E420" s="74"/>
      <c r="F420" s="181"/>
      <c r="G420" s="69"/>
      <c r="AB420" s="150">
        <f t="shared" si="72"/>
        <v>0</v>
      </c>
      <c r="AC420" s="150">
        <f t="shared" si="73"/>
        <v>0</v>
      </c>
      <c r="AD420" s="98" t="str">
        <f t="shared" si="82"/>
        <v>0000000000</v>
      </c>
      <c r="AE420" s="151">
        <f t="shared" si="75"/>
        <v>0</v>
      </c>
      <c r="AF420" s="98" t="str">
        <f t="shared" si="76"/>
        <v>00</v>
      </c>
      <c r="AG420" s="98" t="str">
        <f t="shared" si="83"/>
        <v>000000000000</v>
      </c>
      <c r="AH420" s="161" t="str">
        <f t="shared" si="77"/>
        <v xml:space="preserve">                    </v>
      </c>
      <c r="AI420" s="154">
        <f t="shared" si="78"/>
        <v>0</v>
      </c>
      <c r="AJ420" s="155">
        <f t="shared" si="79"/>
        <v>0</v>
      </c>
      <c r="AP420" s="63" t="str">
        <f t="shared" si="80"/>
        <v/>
      </c>
      <c r="AQ420" s="63" t="str">
        <f t="shared" si="74"/>
        <v xml:space="preserve">                    </v>
      </c>
      <c r="AR420" s="63"/>
      <c r="AS420" s="63"/>
      <c r="AT420" s="63"/>
      <c r="AU420" s="63"/>
      <c r="AV420" s="63"/>
      <c r="AW420" s="63"/>
      <c r="AX420" s="63"/>
      <c r="AY420" s="63"/>
      <c r="AZ420" s="63"/>
      <c r="BA420" s="63"/>
      <c r="BB420" s="63"/>
      <c r="BC420" s="63"/>
      <c r="BD420" s="63"/>
      <c r="BE420" s="63"/>
      <c r="BF420" s="63"/>
      <c r="BG420" s="63"/>
      <c r="BH420" s="63"/>
      <c r="BI420" s="63"/>
      <c r="BJ420" s="63"/>
      <c r="BK420" s="63"/>
      <c r="BL420" s="63"/>
      <c r="BM420" s="63"/>
      <c r="BN420" s="63"/>
      <c r="BO420" s="63"/>
      <c r="BP420" s="63"/>
      <c r="BQ420" s="63"/>
      <c r="BR420" s="63"/>
      <c r="BS420" s="63"/>
      <c r="BT420" s="63"/>
      <c r="BU420" s="63"/>
      <c r="BV420" s="63"/>
      <c r="BW420" s="63"/>
    </row>
    <row r="421" spans="1:75" x14ac:dyDescent="0.2">
      <c r="A421" s="63" t="str">
        <f t="shared" si="81"/>
        <v/>
      </c>
      <c r="B421" s="182"/>
      <c r="C421" s="75"/>
      <c r="D421" s="75"/>
      <c r="E421" s="74"/>
      <c r="F421" s="181"/>
      <c r="G421" s="69"/>
      <c r="AB421" s="150">
        <f t="shared" si="72"/>
        <v>0</v>
      </c>
      <c r="AC421" s="150">
        <f t="shared" si="73"/>
        <v>0</v>
      </c>
      <c r="AD421" s="98" t="str">
        <f t="shared" si="82"/>
        <v>0000000000</v>
      </c>
      <c r="AE421" s="151">
        <f t="shared" si="75"/>
        <v>0</v>
      </c>
      <c r="AF421" s="98" t="str">
        <f t="shared" si="76"/>
        <v>00</v>
      </c>
      <c r="AG421" s="98" t="str">
        <f t="shared" si="83"/>
        <v>000000000000</v>
      </c>
      <c r="AH421" s="161" t="str">
        <f t="shared" si="77"/>
        <v xml:space="preserve">                    </v>
      </c>
      <c r="AI421" s="154">
        <f t="shared" si="78"/>
        <v>0</v>
      </c>
      <c r="AJ421" s="155">
        <f t="shared" si="79"/>
        <v>0</v>
      </c>
      <c r="AP421" s="63" t="str">
        <f t="shared" si="80"/>
        <v/>
      </c>
      <c r="AQ421" s="63" t="str">
        <f t="shared" si="74"/>
        <v xml:space="preserve">                    </v>
      </c>
      <c r="AR421" s="63"/>
      <c r="AS421" s="63"/>
      <c r="AT421" s="63"/>
      <c r="AU421" s="63"/>
      <c r="AV421" s="63"/>
      <c r="AW421" s="63"/>
      <c r="AX421" s="63"/>
      <c r="AY421" s="63"/>
      <c r="AZ421" s="63"/>
      <c r="BA421" s="63"/>
      <c r="BB421" s="63"/>
      <c r="BC421" s="63"/>
      <c r="BD421" s="63"/>
      <c r="BE421" s="63"/>
      <c r="BF421" s="63"/>
      <c r="BG421" s="63"/>
      <c r="BH421" s="63"/>
      <c r="BI421" s="63"/>
      <c r="BJ421" s="63"/>
      <c r="BK421" s="63"/>
      <c r="BL421" s="63"/>
      <c r="BM421" s="63"/>
      <c r="BN421" s="63"/>
      <c r="BO421" s="63"/>
      <c r="BP421" s="63"/>
      <c r="BQ421" s="63"/>
      <c r="BR421" s="63"/>
      <c r="BS421" s="63"/>
      <c r="BT421" s="63"/>
      <c r="BU421" s="63"/>
      <c r="BV421" s="63"/>
      <c r="BW421" s="63"/>
    </row>
    <row r="422" spans="1:75" x14ac:dyDescent="0.2">
      <c r="A422" s="63" t="str">
        <f t="shared" si="81"/>
        <v/>
      </c>
      <c r="B422" s="182"/>
      <c r="C422" s="75"/>
      <c r="D422" s="75"/>
      <c r="E422" s="74"/>
      <c r="F422" s="181"/>
      <c r="G422" s="69"/>
      <c r="AB422" s="150">
        <f t="shared" si="72"/>
        <v>0</v>
      </c>
      <c r="AC422" s="150">
        <f t="shared" si="73"/>
        <v>0</v>
      </c>
      <c r="AD422" s="98" t="str">
        <f t="shared" si="82"/>
        <v>0000000000</v>
      </c>
      <c r="AE422" s="151">
        <f t="shared" si="75"/>
        <v>0</v>
      </c>
      <c r="AF422" s="98" t="str">
        <f t="shared" si="76"/>
        <v>00</v>
      </c>
      <c r="AG422" s="98" t="str">
        <f t="shared" si="83"/>
        <v>000000000000</v>
      </c>
      <c r="AH422" s="161" t="str">
        <f t="shared" si="77"/>
        <v xml:space="preserve">                    </v>
      </c>
      <c r="AI422" s="154">
        <f t="shared" si="78"/>
        <v>0</v>
      </c>
      <c r="AJ422" s="155">
        <f t="shared" si="79"/>
        <v>0</v>
      </c>
      <c r="AP422" s="63" t="str">
        <f t="shared" si="80"/>
        <v/>
      </c>
      <c r="AQ422" s="63" t="str">
        <f t="shared" si="74"/>
        <v xml:space="preserve">                    </v>
      </c>
      <c r="AR422" s="63"/>
      <c r="AS422" s="63"/>
      <c r="AT422" s="63"/>
      <c r="AU422" s="63"/>
      <c r="AV422" s="63"/>
      <c r="AW422" s="63"/>
      <c r="AX422" s="63"/>
      <c r="AY422" s="63"/>
      <c r="AZ422" s="63"/>
      <c r="BA422" s="63"/>
      <c r="BB422" s="63"/>
      <c r="BC422" s="63"/>
      <c r="BD422" s="63"/>
      <c r="BE422" s="63"/>
      <c r="BF422" s="63"/>
      <c r="BG422" s="63"/>
      <c r="BH422" s="63"/>
      <c r="BI422" s="63"/>
      <c r="BJ422" s="63"/>
      <c r="BK422" s="63"/>
      <c r="BL422" s="63"/>
      <c r="BM422" s="63"/>
      <c r="BN422" s="63"/>
      <c r="BO422" s="63"/>
      <c r="BP422" s="63"/>
      <c r="BQ422" s="63"/>
      <c r="BR422" s="63"/>
      <c r="BS422" s="63"/>
      <c r="BT422" s="63"/>
      <c r="BU422" s="63"/>
      <c r="BV422" s="63"/>
      <c r="BW422" s="63"/>
    </row>
    <row r="423" spans="1:75" x14ac:dyDescent="0.2">
      <c r="A423" s="63" t="str">
        <f t="shared" si="81"/>
        <v/>
      </c>
      <c r="B423" s="182"/>
      <c r="C423" s="75"/>
      <c r="D423" s="75"/>
      <c r="E423" s="74"/>
      <c r="F423" s="181"/>
      <c r="G423" s="69"/>
      <c r="AB423" s="150">
        <f t="shared" si="72"/>
        <v>0</v>
      </c>
      <c r="AC423" s="150">
        <f t="shared" si="73"/>
        <v>0</v>
      </c>
      <c r="AD423" s="98" t="str">
        <f t="shared" si="82"/>
        <v>0000000000</v>
      </c>
      <c r="AE423" s="151">
        <f t="shared" si="75"/>
        <v>0</v>
      </c>
      <c r="AF423" s="98" t="str">
        <f t="shared" si="76"/>
        <v>00</v>
      </c>
      <c r="AG423" s="98" t="str">
        <f t="shared" si="83"/>
        <v>000000000000</v>
      </c>
      <c r="AH423" s="161" t="str">
        <f t="shared" si="77"/>
        <v xml:space="preserve">                    </v>
      </c>
      <c r="AI423" s="154">
        <f t="shared" si="78"/>
        <v>0</v>
      </c>
      <c r="AJ423" s="155">
        <f t="shared" si="79"/>
        <v>0</v>
      </c>
      <c r="AP423" s="63" t="str">
        <f t="shared" si="80"/>
        <v/>
      </c>
      <c r="AQ423" s="63" t="str">
        <f t="shared" si="74"/>
        <v xml:space="preserve">                    </v>
      </c>
      <c r="AR423" s="63"/>
      <c r="AS423" s="63"/>
      <c r="AT423" s="63"/>
      <c r="AU423" s="63"/>
      <c r="AV423" s="63"/>
      <c r="AW423" s="63"/>
      <c r="AX423" s="63"/>
      <c r="AY423" s="63"/>
      <c r="AZ423" s="63"/>
      <c r="BA423" s="63"/>
      <c r="BB423" s="63"/>
      <c r="BC423" s="63"/>
      <c r="BD423" s="63"/>
      <c r="BE423" s="63"/>
      <c r="BF423" s="63"/>
      <c r="BG423" s="63"/>
      <c r="BH423" s="63"/>
      <c r="BI423" s="63"/>
      <c r="BJ423" s="63"/>
      <c r="BK423" s="63"/>
      <c r="BL423" s="63"/>
      <c r="BM423" s="63"/>
      <c r="BN423" s="63"/>
      <c r="BO423" s="63"/>
      <c r="BP423" s="63"/>
      <c r="BQ423" s="63"/>
      <c r="BR423" s="63"/>
      <c r="BS423" s="63"/>
      <c r="BT423" s="63"/>
      <c r="BU423" s="63"/>
      <c r="BV423" s="63"/>
      <c r="BW423" s="63"/>
    </row>
    <row r="424" spans="1:75" x14ac:dyDescent="0.2">
      <c r="A424" s="63" t="str">
        <f t="shared" si="81"/>
        <v/>
      </c>
      <c r="B424" s="182"/>
      <c r="C424" s="75"/>
      <c r="D424" s="75"/>
      <c r="E424" s="74"/>
      <c r="F424" s="181"/>
      <c r="G424" s="69"/>
      <c r="AB424" s="150">
        <f t="shared" si="72"/>
        <v>0</v>
      </c>
      <c r="AC424" s="150">
        <f t="shared" si="73"/>
        <v>0</v>
      </c>
      <c r="AD424" s="98" t="str">
        <f t="shared" si="82"/>
        <v>0000000000</v>
      </c>
      <c r="AE424" s="151">
        <f t="shared" si="75"/>
        <v>0</v>
      </c>
      <c r="AF424" s="98" t="str">
        <f t="shared" si="76"/>
        <v>00</v>
      </c>
      <c r="AG424" s="98" t="str">
        <f t="shared" si="83"/>
        <v>000000000000</v>
      </c>
      <c r="AH424" s="161" t="str">
        <f t="shared" si="77"/>
        <v xml:space="preserve">                    </v>
      </c>
      <c r="AI424" s="154">
        <f t="shared" si="78"/>
        <v>0</v>
      </c>
      <c r="AJ424" s="155">
        <f t="shared" si="79"/>
        <v>0</v>
      </c>
      <c r="AP424" s="63" t="str">
        <f t="shared" si="80"/>
        <v/>
      </c>
      <c r="AQ424" s="63" t="str">
        <f t="shared" si="74"/>
        <v xml:space="preserve">                    </v>
      </c>
      <c r="AR424" s="63"/>
      <c r="AS424" s="63"/>
      <c r="AT424" s="63"/>
      <c r="AU424" s="63"/>
      <c r="AV424" s="63"/>
      <c r="AW424" s="63"/>
      <c r="AX424" s="63"/>
      <c r="AY424" s="63"/>
      <c r="AZ424" s="63"/>
      <c r="BA424" s="63"/>
      <c r="BB424" s="63"/>
      <c r="BC424" s="63"/>
      <c r="BD424" s="63"/>
      <c r="BE424" s="63"/>
      <c r="BF424" s="63"/>
      <c r="BG424" s="63"/>
      <c r="BH424" s="63"/>
      <c r="BI424" s="63"/>
      <c r="BJ424" s="63"/>
      <c r="BK424" s="63"/>
      <c r="BL424" s="63"/>
      <c r="BM424" s="63"/>
      <c r="BN424" s="63"/>
      <c r="BO424" s="63"/>
      <c r="BP424" s="63"/>
      <c r="BQ424" s="63"/>
      <c r="BR424" s="63"/>
      <c r="BS424" s="63"/>
      <c r="BT424" s="63"/>
      <c r="BU424" s="63"/>
      <c r="BV424" s="63"/>
      <c r="BW424" s="63"/>
    </row>
    <row r="425" spans="1:75" x14ac:dyDescent="0.2">
      <c r="A425" s="63" t="str">
        <f t="shared" si="81"/>
        <v/>
      </c>
      <c r="B425" s="182"/>
      <c r="C425" s="75"/>
      <c r="D425" s="75"/>
      <c r="E425" s="74"/>
      <c r="F425" s="181"/>
      <c r="G425" s="69"/>
      <c r="AB425" s="150">
        <f t="shared" si="72"/>
        <v>0</v>
      </c>
      <c r="AC425" s="150">
        <f t="shared" si="73"/>
        <v>0</v>
      </c>
      <c r="AD425" s="98" t="str">
        <f t="shared" si="82"/>
        <v>0000000000</v>
      </c>
      <c r="AE425" s="151">
        <f t="shared" si="75"/>
        <v>0</v>
      </c>
      <c r="AF425" s="98" t="str">
        <f t="shared" si="76"/>
        <v>00</v>
      </c>
      <c r="AG425" s="98" t="str">
        <f t="shared" si="83"/>
        <v>000000000000</v>
      </c>
      <c r="AH425" s="161" t="str">
        <f t="shared" si="77"/>
        <v xml:space="preserve">                    </v>
      </c>
      <c r="AI425" s="154">
        <f t="shared" si="78"/>
        <v>0</v>
      </c>
      <c r="AJ425" s="155">
        <f t="shared" si="79"/>
        <v>0</v>
      </c>
      <c r="AP425" s="63" t="str">
        <f t="shared" si="80"/>
        <v/>
      </c>
      <c r="AQ425" s="63" t="str">
        <f t="shared" si="74"/>
        <v xml:space="preserve">                    </v>
      </c>
      <c r="AR425" s="63"/>
      <c r="AS425" s="63"/>
      <c r="AT425" s="63"/>
      <c r="AU425" s="63"/>
      <c r="AV425" s="63"/>
      <c r="AW425" s="63"/>
      <c r="AX425" s="63"/>
      <c r="AY425" s="63"/>
      <c r="AZ425" s="63"/>
      <c r="BA425" s="63"/>
      <c r="BB425" s="63"/>
      <c r="BC425" s="63"/>
      <c r="BD425" s="63"/>
      <c r="BE425" s="63"/>
      <c r="BF425" s="63"/>
      <c r="BG425" s="63"/>
      <c r="BH425" s="63"/>
      <c r="BI425" s="63"/>
      <c r="BJ425" s="63"/>
      <c r="BK425" s="63"/>
      <c r="BL425" s="63"/>
      <c r="BM425" s="63"/>
      <c r="BN425" s="63"/>
      <c r="BO425" s="63"/>
      <c r="BP425" s="63"/>
      <c r="BQ425" s="63"/>
      <c r="BR425" s="63"/>
      <c r="BS425" s="63"/>
      <c r="BT425" s="63"/>
      <c r="BU425" s="63"/>
      <c r="BV425" s="63"/>
      <c r="BW425" s="63"/>
    </row>
    <row r="426" spans="1:75" x14ac:dyDescent="0.2">
      <c r="A426" s="63" t="str">
        <f t="shared" si="81"/>
        <v/>
      </c>
      <c r="B426" s="182"/>
      <c r="C426" s="75"/>
      <c r="D426" s="75"/>
      <c r="E426" s="74"/>
      <c r="F426" s="181"/>
      <c r="G426" s="69"/>
      <c r="AB426" s="150">
        <f t="shared" si="72"/>
        <v>0</v>
      </c>
      <c r="AC426" s="150">
        <f t="shared" si="73"/>
        <v>0</v>
      </c>
      <c r="AD426" s="98" t="str">
        <f t="shared" si="82"/>
        <v>0000000000</v>
      </c>
      <c r="AE426" s="151">
        <f t="shared" si="75"/>
        <v>0</v>
      </c>
      <c r="AF426" s="98" t="str">
        <f t="shared" si="76"/>
        <v>00</v>
      </c>
      <c r="AG426" s="98" t="str">
        <f t="shared" si="83"/>
        <v>000000000000</v>
      </c>
      <c r="AH426" s="161" t="str">
        <f t="shared" si="77"/>
        <v xml:space="preserve">                    </v>
      </c>
      <c r="AI426" s="154">
        <f t="shared" si="78"/>
        <v>0</v>
      </c>
      <c r="AJ426" s="155">
        <f t="shared" si="79"/>
        <v>0</v>
      </c>
      <c r="AP426" s="63" t="str">
        <f t="shared" si="80"/>
        <v/>
      </c>
      <c r="AQ426" s="63" t="str">
        <f t="shared" si="74"/>
        <v xml:space="preserve">                    </v>
      </c>
      <c r="AR426" s="63"/>
      <c r="AS426" s="63"/>
      <c r="AT426" s="63"/>
      <c r="AU426" s="63"/>
      <c r="AV426" s="63"/>
      <c r="AW426" s="63"/>
      <c r="AX426" s="63"/>
      <c r="AY426" s="63"/>
      <c r="AZ426" s="63"/>
      <c r="BA426" s="63"/>
      <c r="BB426" s="63"/>
      <c r="BC426" s="63"/>
      <c r="BD426" s="63"/>
      <c r="BE426" s="63"/>
      <c r="BF426" s="63"/>
      <c r="BG426" s="63"/>
      <c r="BH426" s="63"/>
      <c r="BI426" s="63"/>
      <c r="BJ426" s="63"/>
      <c r="BK426" s="63"/>
      <c r="BL426" s="63"/>
      <c r="BM426" s="63"/>
      <c r="BN426" s="63"/>
      <c r="BO426" s="63"/>
      <c r="BP426" s="63"/>
      <c r="BQ426" s="63"/>
      <c r="BR426" s="63"/>
      <c r="BS426" s="63"/>
      <c r="BT426" s="63"/>
      <c r="BU426" s="63"/>
      <c r="BV426" s="63"/>
      <c r="BW426" s="63"/>
    </row>
    <row r="427" spans="1:75" x14ac:dyDescent="0.2">
      <c r="A427" s="63" t="str">
        <f t="shared" si="81"/>
        <v/>
      </c>
      <c r="B427" s="182"/>
      <c r="C427" s="75"/>
      <c r="D427" s="75"/>
      <c r="E427" s="74"/>
      <c r="F427" s="181"/>
      <c r="G427" s="69"/>
      <c r="AB427" s="150">
        <f t="shared" si="72"/>
        <v>0</v>
      </c>
      <c r="AC427" s="150">
        <f t="shared" si="73"/>
        <v>0</v>
      </c>
      <c r="AD427" s="98" t="str">
        <f t="shared" si="82"/>
        <v>0000000000</v>
      </c>
      <c r="AE427" s="151">
        <f t="shared" si="75"/>
        <v>0</v>
      </c>
      <c r="AF427" s="98" t="str">
        <f t="shared" si="76"/>
        <v>00</v>
      </c>
      <c r="AG427" s="98" t="str">
        <f t="shared" si="83"/>
        <v>000000000000</v>
      </c>
      <c r="AH427" s="161" t="str">
        <f t="shared" si="77"/>
        <v xml:space="preserve">                    </v>
      </c>
      <c r="AI427" s="154">
        <f t="shared" si="78"/>
        <v>0</v>
      </c>
      <c r="AJ427" s="155">
        <f t="shared" si="79"/>
        <v>0</v>
      </c>
      <c r="AP427" s="63" t="str">
        <f t="shared" si="80"/>
        <v/>
      </c>
      <c r="AQ427" s="63" t="str">
        <f t="shared" si="74"/>
        <v xml:space="preserve">                    </v>
      </c>
      <c r="AR427" s="63"/>
      <c r="AS427" s="63"/>
      <c r="AT427" s="63"/>
      <c r="AU427" s="63"/>
      <c r="AV427" s="63"/>
      <c r="AW427" s="63"/>
      <c r="AX427" s="63"/>
      <c r="AY427" s="63"/>
      <c r="AZ427" s="63"/>
      <c r="BA427" s="63"/>
      <c r="BB427" s="63"/>
      <c r="BC427" s="63"/>
      <c r="BD427" s="63"/>
      <c r="BE427" s="63"/>
      <c r="BF427" s="63"/>
      <c r="BG427" s="63"/>
      <c r="BH427" s="63"/>
      <c r="BI427" s="63"/>
      <c r="BJ427" s="63"/>
      <c r="BK427" s="63"/>
      <c r="BL427" s="63"/>
      <c r="BM427" s="63"/>
      <c r="BN427" s="63"/>
      <c r="BO427" s="63"/>
      <c r="BP427" s="63"/>
      <c r="BQ427" s="63"/>
      <c r="BR427" s="63"/>
      <c r="BS427" s="63"/>
      <c r="BT427" s="63"/>
      <c r="BU427" s="63"/>
      <c r="BV427" s="63"/>
      <c r="BW427" s="63"/>
    </row>
    <row r="428" spans="1:75" x14ac:dyDescent="0.2">
      <c r="A428" s="63" t="str">
        <f t="shared" si="81"/>
        <v/>
      </c>
      <c r="B428" s="182"/>
      <c r="C428" s="75"/>
      <c r="D428" s="75"/>
      <c r="E428" s="74"/>
      <c r="F428" s="181"/>
      <c r="G428" s="69"/>
      <c r="AB428" s="150">
        <f t="shared" si="72"/>
        <v>0</v>
      </c>
      <c r="AC428" s="150">
        <f t="shared" si="73"/>
        <v>0</v>
      </c>
      <c r="AD428" s="98" t="str">
        <f t="shared" si="82"/>
        <v>0000000000</v>
      </c>
      <c r="AE428" s="151">
        <f t="shared" si="75"/>
        <v>0</v>
      </c>
      <c r="AF428" s="98" t="str">
        <f t="shared" si="76"/>
        <v>00</v>
      </c>
      <c r="AG428" s="98" t="str">
        <f t="shared" si="83"/>
        <v>000000000000</v>
      </c>
      <c r="AH428" s="161" t="str">
        <f t="shared" si="77"/>
        <v xml:space="preserve">                    </v>
      </c>
      <c r="AI428" s="154">
        <f t="shared" si="78"/>
        <v>0</v>
      </c>
      <c r="AJ428" s="155">
        <f t="shared" si="79"/>
        <v>0</v>
      </c>
      <c r="AP428" s="63" t="str">
        <f t="shared" si="80"/>
        <v/>
      </c>
      <c r="AQ428" s="63" t="str">
        <f t="shared" si="74"/>
        <v xml:space="preserve">                    </v>
      </c>
      <c r="AR428" s="63"/>
      <c r="AS428" s="63"/>
      <c r="AT428" s="63"/>
      <c r="AU428" s="63"/>
      <c r="AV428" s="63"/>
      <c r="AW428" s="63"/>
      <c r="AX428" s="63"/>
      <c r="AY428" s="63"/>
      <c r="AZ428" s="63"/>
      <c r="BA428" s="63"/>
      <c r="BB428" s="63"/>
      <c r="BC428" s="63"/>
      <c r="BD428" s="63"/>
      <c r="BE428" s="63"/>
      <c r="BF428" s="63"/>
      <c r="BG428" s="63"/>
      <c r="BH428" s="63"/>
      <c r="BI428" s="63"/>
      <c r="BJ428" s="63"/>
      <c r="BK428" s="63"/>
      <c r="BL428" s="63"/>
      <c r="BM428" s="63"/>
      <c r="BN428" s="63"/>
      <c r="BO428" s="63"/>
      <c r="BP428" s="63"/>
      <c r="BQ428" s="63"/>
      <c r="BR428" s="63"/>
      <c r="BS428" s="63"/>
      <c r="BT428" s="63"/>
      <c r="BU428" s="63"/>
      <c r="BV428" s="63"/>
      <c r="BW428" s="63"/>
    </row>
    <row r="429" spans="1:75" x14ac:dyDescent="0.2">
      <c r="A429" s="63" t="str">
        <f t="shared" si="81"/>
        <v/>
      </c>
      <c r="B429" s="182"/>
      <c r="C429" s="75"/>
      <c r="D429" s="75"/>
      <c r="E429" s="74"/>
      <c r="F429" s="181"/>
      <c r="G429" s="69"/>
      <c r="AB429" s="150">
        <f t="shared" si="72"/>
        <v>0</v>
      </c>
      <c r="AC429" s="150">
        <f t="shared" si="73"/>
        <v>0</v>
      </c>
      <c r="AD429" s="98" t="str">
        <f t="shared" si="82"/>
        <v>0000000000</v>
      </c>
      <c r="AE429" s="151">
        <f t="shared" si="75"/>
        <v>0</v>
      </c>
      <c r="AF429" s="98" t="str">
        <f t="shared" si="76"/>
        <v>00</v>
      </c>
      <c r="AG429" s="98" t="str">
        <f t="shared" si="83"/>
        <v>000000000000</v>
      </c>
      <c r="AH429" s="161" t="str">
        <f t="shared" si="77"/>
        <v xml:space="preserve">                    </v>
      </c>
      <c r="AI429" s="154">
        <f t="shared" si="78"/>
        <v>0</v>
      </c>
      <c r="AJ429" s="155">
        <f t="shared" si="79"/>
        <v>0</v>
      </c>
      <c r="AP429" s="63" t="str">
        <f t="shared" si="80"/>
        <v/>
      </c>
      <c r="AQ429" s="63" t="str">
        <f t="shared" si="74"/>
        <v xml:space="preserve">                    </v>
      </c>
      <c r="AR429" s="63"/>
      <c r="AS429" s="63"/>
      <c r="AT429" s="63"/>
      <c r="AU429" s="63"/>
      <c r="AV429" s="63"/>
      <c r="AW429" s="63"/>
      <c r="AX429" s="63"/>
      <c r="AY429" s="63"/>
      <c r="AZ429" s="63"/>
      <c r="BA429" s="63"/>
      <c r="BB429" s="63"/>
      <c r="BC429" s="63"/>
      <c r="BD429" s="63"/>
      <c r="BE429" s="63"/>
      <c r="BF429" s="63"/>
      <c r="BG429" s="63"/>
      <c r="BH429" s="63"/>
      <c r="BI429" s="63"/>
      <c r="BJ429" s="63"/>
      <c r="BK429" s="63"/>
      <c r="BL429" s="63"/>
      <c r="BM429" s="63"/>
      <c r="BN429" s="63"/>
      <c r="BO429" s="63"/>
      <c r="BP429" s="63"/>
      <c r="BQ429" s="63"/>
      <c r="BR429" s="63"/>
      <c r="BS429" s="63"/>
      <c r="BT429" s="63"/>
      <c r="BU429" s="63"/>
      <c r="BV429" s="63"/>
      <c r="BW429" s="63"/>
    </row>
    <row r="430" spans="1:75" x14ac:dyDescent="0.2">
      <c r="A430" s="63" t="str">
        <f t="shared" si="81"/>
        <v/>
      </c>
      <c r="B430" s="182"/>
      <c r="C430" s="75"/>
      <c r="D430" s="75"/>
      <c r="E430" s="74"/>
      <c r="F430" s="181"/>
      <c r="G430" s="69"/>
      <c r="AB430" s="150">
        <f t="shared" si="72"/>
        <v>0</v>
      </c>
      <c r="AC430" s="150">
        <f t="shared" si="73"/>
        <v>0</v>
      </c>
      <c r="AD430" s="98" t="str">
        <f t="shared" si="82"/>
        <v>0000000000</v>
      </c>
      <c r="AE430" s="151">
        <f t="shared" si="75"/>
        <v>0</v>
      </c>
      <c r="AF430" s="98" t="str">
        <f t="shared" si="76"/>
        <v>00</v>
      </c>
      <c r="AG430" s="98" t="str">
        <f t="shared" si="83"/>
        <v>000000000000</v>
      </c>
      <c r="AH430" s="161" t="str">
        <f t="shared" si="77"/>
        <v xml:space="preserve">                    </v>
      </c>
      <c r="AI430" s="154">
        <f t="shared" si="78"/>
        <v>0</v>
      </c>
      <c r="AJ430" s="155">
        <f t="shared" si="79"/>
        <v>0</v>
      </c>
      <c r="AP430" s="63" t="str">
        <f t="shared" si="80"/>
        <v/>
      </c>
      <c r="AQ430" s="63" t="str">
        <f t="shared" si="74"/>
        <v xml:space="preserve">                    </v>
      </c>
      <c r="AR430" s="63"/>
      <c r="AS430" s="63"/>
      <c r="AT430" s="63"/>
      <c r="AU430" s="63"/>
      <c r="AV430" s="63"/>
      <c r="AW430" s="63"/>
      <c r="AX430" s="63"/>
      <c r="AY430" s="63"/>
      <c r="AZ430" s="63"/>
      <c r="BA430" s="63"/>
      <c r="BB430" s="63"/>
      <c r="BC430" s="63"/>
      <c r="BD430" s="63"/>
      <c r="BE430" s="63"/>
      <c r="BF430" s="63"/>
      <c r="BG430" s="63"/>
      <c r="BH430" s="63"/>
      <c r="BI430" s="63"/>
      <c r="BJ430" s="63"/>
      <c r="BK430" s="63"/>
      <c r="BL430" s="63"/>
      <c r="BM430" s="63"/>
      <c r="BN430" s="63"/>
      <c r="BO430" s="63"/>
      <c r="BP430" s="63"/>
      <c r="BQ430" s="63"/>
      <c r="BR430" s="63"/>
      <c r="BS430" s="63"/>
      <c r="BT430" s="63"/>
      <c r="BU430" s="63"/>
      <c r="BV430" s="63"/>
      <c r="BW430" s="63"/>
    </row>
    <row r="431" spans="1:75" x14ac:dyDescent="0.2">
      <c r="A431" s="63" t="str">
        <f t="shared" si="81"/>
        <v/>
      </c>
      <c r="B431" s="182"/>
      <c r="C431" s="75"/>
      <c r="D431" s="75"/>
      <c r="E431" s="74"/>
      <c r="F431" s="181"/>
      <c r="G431" s="69"/>
      <c r="AB431" s="150">
        <f t="shared" si="72"/>
        <v>0</v>
      </c>
      <c r="AC431" s="150">
        <f t="shared" si="73"/>
        <v>0</v>
      </c>
      <c r="AD431" s="98" t="str">
        <f t="shared" si="82"/>
        <v>0000000000</v>
      </c>
      <c r="AE431" s="151">
        <f t="shared" si="75"/>
        <v>0</v>
      </c>
      <c r="AF431" s="98" t="str">
        <f t="shared" si="76"/>
        <v>00</v>
      </c>
      <c r="AG431" s="98" t="str">
        <f t="shared" si="83"/>
        <v>000000000000</v>
      </c>
      <c r="AH431" s="161" t="str">
        <f t="shared" si="77"/>
        <v xml:space="preserve">                    </v>
      </c>
      <c r="AI431" s="154">
        <f t="shared" si="78"/>
        <v>0</v>
      </c>
      <c r="AJ431" s="155">
        <f t="shared" si="79"/>
        <v>0</v>
      </c>
      <c r="AP431" s="63" t="str">
        <f t="shared" si="80"/>
        <v/>
      </c>
      <c r="AQ431" s="63" t="str">
        <f t="shared" si="74"/>
        <v xml:space="preserve">                    </v>
      </c>
      <c r="AR431" s="63"/>
      <c r="AS431" s="63"/>
      <c r="AT431" s="63"/>
      <c r="AU431" s="63"/>
      <c r="AV431" s="63"/>
      <c r="AW431" s="63"/>
      <c r="AX431" s="63"/>
      <c r="AY431" s="63"/>
      <c r="AZ431" s="63"/>
      <c r="BA431" s="63"/>
      <c r="BB431" s="63"/>
      <c r="BC431" s="63"/>
      <c r="BD431" s="63"/>
      <c r="BE431" s="63"/>
      <c r="BF431" s="63"/>
      <c r="BG431" s="63"/>
      <c r="BH431" s="63"/>
      <c r="BI431" s="63"/>
      <c r="BJ431" s="63"/>
      <c r="BK431" s="63"/>
      <c r="BL431" s="63"/>
      <c r="BM431" s="63"/>
      <c r="BN431" s="63"/>
      <c r="BO431" s="63"/>
      <c r="BP431" s="63"/>
      <c r="BQ431" s="63"/>
      <c r="BR431" s="63"/>
      <c r="BS431" s="63"/>
      <c r="BT431" s="63"/>
      <c r="BU431" s="63"/>
      <c r="BV431" s="63"/>
      <c r="BW431" s="63"/>
    </row>
    <row r="432" spans="1:75" x14ac:dyDescent="0.2">
      <c r="A432" s="63" t="str">
        <f t="shared" si="81"/>
        <v/>
      </c>
      <c r="B432" s="182"/>
      <c r="C432" s="75"/>
      <c r="D432" s="75"/>
      <c r="E432" s="74"/>
      <c r="F432" s="181"/>
      <c r="G432" s="69"/>
      <c r="AB432" s="150">
        <f t="shared" si="72"/>
        <v>0</v>
      </c>
      <c r="AC432" s="150">
        <f t="shared" si="73"/>
        <v>0</v>
      </c>
      <c r="AD432" s="98" t="str">
        <f t="shared" si="82"/>
        <v>0000000000</v>
      </c>
      <c r="AE432" s="151">
        <f t="shared" si="75"/>
        <v>0</v>
      </c>
      <c r="AF432" s="98" t="str">
        <f t="shared" si="76"/>
        <v>00</v>
      </c>
      <c r="AG432" s="98" t="str">
        <f t="shared" si="83"/>
        <v>000000000000</v>
      </c>
      <c r="AH432" s="161" t="str">
        <f t="shared" si="77"/>
        <v xml:space="preserve">                    </v>
      </c>
      <c r="AI432" s="154">
        <f t="shared" si="78"/>
        <v>0</v>
      </c>
      <c r="AJ432" s="155">
        <f t="shared" si="79"/>
        <v>0</v>
      </c>
      <c r="AP432" s="63" t="str">
        <f t="shared" si="80"/>
        <v/>
      </c>
      <c r="AQ432" s="63" t="str">
        <f t="shared" si="74"/>
        <v xml:space="preserve">                    </v>
      </c>
      <c r="AR432" s="63"/>
      <c r="AS432" s="63"/>
      <c r="AT432" s="63"/>
      <c r="AU432" s="63"/>
      <c r="AV432" s="63"/>
      <c r="AW432" s="63"/>
      <c r="AX432" s="63"/>
      <c r="AY432" s="63"/>
      <c r="AZ432" s="63"/>
      <c r="BA432" s="63"/>
      <c r="BB432" s="63"/>
      <c r="BC432" s="63"/>
      <c r="BD432" s="63"/>
      <c r="BE432" s="63"/>
      <c r="BF432" s="63"/>
      <c r="BG432" s="63"/>
      <c r="BH432" s="63"/>
      <c r="BI432" s="63"/>
      <c r="BJ432" s="63"/>
      <c r="BK432" s="63"/>
      <c r="BL432" s="63"/>
      <c r="BM432" s="63"/>
      <c r="BN432" s="63"/>
      <c r="BO432" s="63"/>
      <c r="BP432" s="63"/>
      <c r="BQ432" s="63"/>
      <c r="BR432" s="63"/>
      <c r="BS432" s="63"/>
      <c r="BT432" s="63"/>
      <c r="BU432" s="63"/>
      <c r="BV432" s="63"/>
      <c r="BW432" s="63"/>
    </row>
    <row r="433" spans="1:75" x14ac:dyDescent="0.2">
      <c r="A433" s="63" t="str">
        <f t="shared" si="81"/>
        <v/>
      </c>
      <c r="B433" s="182"/>
      <c r="C433" s="75"/>
      <c r="D433" s="75"/>
      <c r="E433" s="74"/>
      <c r="F433" s="181"/>
      <c r="G433" s="69"/>
      <c r="AB433" s="150">
        <f t="shared" si="72"/>
        <v>0</v>
      </c>
      <c r="AC433" s="150">
        <f t="shared" si="73"/>
        <v>0</v>
      </c>
      <c r="AD433" s="98" t="str">
        <f t="shared" si="82"/>
        <v>0000000000</v>
      </c>
      <c r="AE433" s="151">
        <f t="shared" si="75"/>
        <v>0</v>
      </c>
      <c r="AF433" s="98" t="str">
        <f t="shared" si="76"/>
        <v>00</v>
      </c>
      <c r="AG433" s="98" t="str">
        <f t="shared" si="83"/>
        <v>000000000000</v>
      </c>
      <c r="AH433" s="161" t="str">
        <f t="shared" si="77"/>
        <v xml:space="preserve">                    </v>
      </c>
      <c r="AI433" s="154">
        <f t="shared" si="78"/>
        <v>0</v>
      </c>
      <c r="AJ433" s="155">
        <f t="shared" si="79"/>
        <v>0</v>
      </c>
      <c r="AP433" s="63" t="str">
        <f t="shared" si="80"/>
        <v/>
      </c>
      <c r="AQ433" s="63" t="str">
        <f t="shared" si="74"/>
        <v xml:space="preserve">                    </v>
      </c>
      <c r="AR433" s="63"/>
      <c r="AS433" s="63"/>
      <c r="AT433" s="63"/>
      <c r="AU433" s="63"/>
      <c r="AV433" s="63"/>
      <c r="AW433" s="63"/>
      <c r="AX433" s="63"/>
      <c r="AY433" s="63"/>
      <c r="AZ433" s="63"/>
      <c r="BA433" s="63"/>
      <c r="BB433" s="63"/>
      <c r="BC433" s="63"/>
      <c r="BD433" s="63"/>
      <c r="BE433" s="63"/>
      <c r="BF433" s="63"/>
      <c r="BG433" s="63"/>
      <c r="BH433" s="63"/>
      <c r="BI433" s="63"/>
      <c r="BJ433" s="63"/>
      <c r="BK433" s="63"/>
      <c r="BL433" s="63"/>
      <c r="BM433" s="63"/>
      <c r="BN433" s="63"/>
      <c r="BO433" s="63"/>
      <c r="BP433" s="63"/>
      <c r="BQ433" s="63"/>
      <c r="BR433" s="63"/>
      <c r="BS433" s="63"/>
      <c r="BT433" s="63"/>
      <c r="BU433" s="63"/>
      <c r="BV433" s="63"/>
      <c r="BW433" s="63"/>
    </row>
    <row r="434" spans="1:75" x14ac:dyDescent="0.2">
      <c r="A434" s="63" t="str">
        <f t="shared" si="81"/>
        <v/>
      </c>
      <c r="B434" s="182"/>
      <c r="C434" s="75"/>
      <c r="D434" s="75"/>
      <c r="E434" s="74"/>
      <c r="F434" s="181"/>
      <c r="G434" s="69"/>
      <c r="AB434" s="150">
        <f t="shared" si="72"/>
        <v>0</v>
      </c>
      <c r="AC434" s="150">
        <f t="shared" si="73"/>
        <v>0</v>
      </c>
      <c r="AD434" s="98" t="str">
        <f t="shared" si="82"/>
        <v>0000000000</v>
      </c>
      <c r="AE434" s="151">
        <f t="shared" si="75"/>
        <v>0</v>
      </c>
      <c r="AF434" s="98" t="str">
        <f t="shared" si="76"/>
        <v>00</v>
      </c>
      <c r="AG434" s="98" t="str">
        <f t="shared" si="83"/>
        <v>000000000000</v>
      </c>
      <c r="AH434" s="161" t="str">
        <f t="shared" si="77"/>
        <v xml:space="preserve">                    </v>
      </c>
      <c r="AI434" s="154">
        <f t="shared" si="78"/>
        <v>0</v>
      </c>
      <c r="AJ434" s="155">
        <f t="shared" si="79"/>
        <v>0</v>
      </c>
      <c r="AP434" s="63" t="str">
        <f t="shared" si="80"/>
        <v/>
      </c>
      <c r="AQ434" s="63" t="str">
        <f t="shared" si="74"/>
        <v xml:space="preserve">                    </v>
      </c>
      <c r="AR434" s="63"/>
      <c r="AS434" s="63"/>
      <c r="AT434" s="63"/>
      <c r="AU434" s="63"/>
      <c r="AV434" s="63"/>
      <c r="AW434" s="63"/>
      <c r="AX434" s="63"/>
      <c r="AY434" s="63"/>
      <c r="AZ434" s="63"/>
      <c r="BA434" s="63"/>
      <c r="BB434" s="63"/>
      <c r="BC434" s="63"/>
      <c r="BD434" s="63"/>
      <c r="BE434" s="63"/>
      <c r="BF434" s="63"/>
      <c r="BG434" s="63"/>
      <c r="BH434" s="63"/>
      <c r="BI434" s="63"/>
      <c r="BJ434" s="63"/>
      <c r="BK434" s="63"/>
      <c r="BL434" s="63"/>
      <c r="BM434" s="63"/>
      <c r="BN434" s="63"/>
      <c r="BO434" s="63"/>
      <c r="BP434" s="63"/>
      <c r="BQ434" s="63"/>
      <c r="BR434" s="63"/>
      <c r="BS434" s="63"/>
      <c r="BT434" s="63"/>
      <c r="BU434" s="63"/>
      <c r="BV434" s="63"/>
      <c r="BW434" s="63"/>
    </row>
    <row r="435" spans="1:75" x14ac:dyDescent="0.2">
      <c r="A435" s="63" t="str">
        <f t="shared" si="81"/>
        <v/>
      </c>
      <c r="B435" s="182"/>
      <c r="C435" s="75"/>
      <c r="D435" s="75"/>
      <c r="E435" s="74"/>
      <c r="F435" s="181"/>
      <c r="G435" s="69"/>
      <c r="AB435" s="150">
        <f t="shared" si="72"/>
        <v>0</v>
      </c>
      <c r="AC435" s="150">
        <f t="shared" si="73"/>
        <v>0</v>
      </c>
      <c r="AD435" s="98" t="str">
        <f t="shared" si="82"/>
        <v>0000000000</v>
      </c>
      <c r="AE435" s="151">
        <f t="shared" si="75"/>
        <v>0</v>
      </c>
      <c r="AF435" s="98" t="str">
        <f t="shared" si="76"/>
        <v>00</v>
      </c>
      <c r="AG435" s="98" t="str">
        <f t="shared" si="83"/>
        <v>000000000000</v>
      </c>
      <c r="AH435" s="161" t="str">
        <f t="shared" si="77"/>
        <v xml:space="preserve">                    </v>
      </c>
      <c r="AI435" s="154">
        <f t="shared" si="78"/>
        <v>0</v>
      </c>
      <c r="AJ435" s="155">
        <f t="shared" si="79"/>
        <v>0</v>
      </c>
      <c r="AP435" s="63" t="str">
        <f t="shared" si="80"/>
        <v/>
      </c>
      <c r="AQ435" s="63" t="str">
        <f t="shared" si="74"/>
        <v xml:space="preserve">                    </v>
      </c>
      <c r="AR435" s="63"/>
      <c r="AS435" s="63"/>
      <c r="AT435" s="63"/>
      <c r="AU435" s="63"/>
      <c r="AV435" s="63"/>
      <c r="AW435" s="63"/>
      <c r="AX435" s="63"/>
      <c r="AY435" s="63"/>
      <c r="AZ435" s="63"/>
      <c r="BA435" s="63"/>
      <c r="BB435" s="63"/>
      <c r="BC435" s="63"/>
      <c r="BD435" s="63"/>
      <c r="BE435" s="63"/>
      <c r="BF435" s="63"/>
      <c r="BG435" s="63"/>
      <c r="BH435" s="63"/>
      <c r="BI435" s="63"/>
      <c r="BJ435" s="63"/>
      <c r="BK435" s="63"/>
      <c r="BL435" s="63"/>
      <c r="BM435" s="63"/>
      <c r="BN435" s="63"/>
      <c r="BO435" s="63"/>
      <c r="BP435" s="63"/>
      <c r="BQ435" s="63"/>
      <c r="BR435" s="63"/>
      <c r="BS435" s="63"/>
      <c r="BT435" s="63"/>
      <c r="BU435" s="63"/>
      <c r="BV435" s="63"/>
      <c r="BW435" s="63"/>
    </row>
    <row r="436" spans="1:75" x14ac:dyDescent="0.2">
      <c r="A436" s="63" t="str">
        <f t="shared" si="81"/>
        <v/>
      </c>
      <c r="B436" s="182"/>
      <c r="C436" s="75"/>
      <c r="D436" s="75"/>
      <c r="E436" s="74"/>
      <c r="F436" s="181"/>
      <c r="G436" s="69"/>
      <c r="AB436" s="150">
        <f t="shared" si="72"/>
        <v>0</v>
      </c>
      <c r="AC436" s="150">
        <f t="shared" si="73"/>
        <v>0</v>
      </c>
      <c r="AD436" s="98" t="str">
        <f t="shared" si="82"/>
        <v>0000000000</v>
      </c>
      <c r="AE436" s="151">
        <f t="shared" si="75"/>
        <v>0</v>
      </c>
      <c r="AF436" s="98" t="str">
        <f t="shared" si="76"/>
        <v>00</v>
      </c>
      <c r="AG436" s="98" t="str">
        <f t="shared" si="83"/>
        <v>000000000000</v>
      </c>
      <c r="AH436" s="161" t="str">
        <f t="shared" si="77"/>
        <v xml:space="preserve">                    </v>
      </c>
      <c r="AI436" s="154">
        <f t="shared" si="78"/>
        <v>0</v>
      </c>
      <c r="AJ436" s="155">
        <f t="shared" si="79"/>
        <v>0</v>
      </c>
      <c r="AP436" s="63" t="str">
        <f t="shared" si="80"/>
        <v/>
      </c>
      <c r="AQ436" s="63" t="str">
        <f t="shared" si="74"/>
        <v xml:space="preserve">                    </v>
      </c>
      <c r="AR436" s="63"/>
      <c r="AS436" s="63"/>
      <c r="AT436" s="63"/>
      <c r="AU436" s="63"/>
      <c r="AV436" s="63"/>
      <c r="AW436" s="63"/>
      <c r="AX436" s="63"/>
      <c r="AY436" s="63"/>
      <c r="AZ436" s="63"/>
      <c r="BA436" s="63"/>
      <c r="BB436" s="63"/>
      <c r="BC436" s="63"/>
      <c r="BD436" s="63"/>
      <c r="BE436" s="63"/>
      <c r="BF436" s="63"/>
      <c r="BG436" s="63"/>
      <c r="BH436" s="63"/>
      <c r="BI436" s="63"/>
      <c r="BJ436" s="63"/>
      <c r="BK436" s="63"/>
      <c r="BL436" s="63"/>
      <c r="BM436" s="63"/>
      <c r="BN436" s="63"/>
      <c r="BO436" s="63"/>
      <c r="BP436" s="63"/>
      <c r="BQ436" s="63"/>
      <c r="BR436" s="63"/>
      <c r="BS436" s="63"/>
      <c r="BT436" s="63"/>
      <c r="BU436" s="63"/>
      <c r="BV436" s="63"/>
      <c r="BW436" s="63"/>
    </row>
    <row r="437" spans="1:75" x14ac:dyDescent="0.2">
      <c r="A437" s="63" t="str">
        <f t="shared" si="81"/>
        <v/>
      </c>
      <c r="B437" s="182"/>
      <c r="C437" s="75"/>
      <c r="D437" s="75"/>
      <c r="E437" s="74"/>
      <c r="F437" s="181"/>
      <c r="G437" s="69"/>
      <c r="AB437" s="150">
        <f t="shared" si="72"/>
        <v>0</v>
      </c>
      <c r="AC437" s="150">
        <f t="shared" si="73"/>
        <v>0</v>
      </c>
      <c r="AD437" s="98" t="str">
        <f t="shared" si="82"/>
        <v>0000000000</v>
      </c>
      <c r="AE437" s="151">
        <f t="shared" si="75"/>
        <v>0</v>
      </c>
      <c r="AF437" s="98" t="str">
        <f t="shared" si="76"/>
        <v>00</v>
      </c>
      <c r="AG437" s="98" t="str">
        <f t="shared" si="83"/>
        <v>000000000000</v>
      </c>
      <c r="AH437" s="161" t="str">
        <f t="shared" si="77"/>
        <v xml:space="preserve">                    </v>
      </c>
      <c r="AI437" s="154">
        <f t="shared" si="78"/>
        <v>0</v>
      </c>
      <c r="AJ437" s="155">
        <f t="shared" si="79"/>
        <v>0</v>
      </c>
      <c r="AP437" s="63" t="str">
        <f t="shared" si="80"/>
        <v/>
      </c>
      <c r="AQ437" s="63" t="str">
        <f t="shared" si="74"/>
        <v xml:space="preserve">                    </v>
      </c>
      <c r="AR437" s="63"/>
      <c r="AS437" s="63"/>
      <c r="AT437" s="63"/>
      <c r="AU437" s="63"/>
      <c r="AV437" s="63"/>
      <c r="AW437" s="63"/>
      <c r="AX437" s="63"/>
      <c r="AY437" s="63"/>
      <c r="AZ437" s="63"/>
      <c r="BA437" s="63"/>
      <c r="BB437" s="63"/>
      <c r="BC437" s="63"/>
      <c r="BD437" s="63"/>
      <c r="BE437" s="63"/>
      <c r="BF437" s="63"/>
      <c r="BG437" s="63"/>
      <c r="BH437" s="63"/>
      <c r="BI437" s="63"/>
      <c r="BJ437" s="63"/>
      <c r="BK437" s="63"/>
      <c r="BL437" s="63"/>
      <c r="BM437" s="63"/>
      <c r="BN437" s="63"/>
      <c r="BO437" s="63"/>
      <c r="BP437" s="63"/>
      <c r="BQ437" s="63"/>
      <c r="BR437" s="63"/>
      <c r="BS437" s="63"/>
      <c r="BT437" s="63"/>
      <c r="BU437" s="63"/>
      <c r="BV437" s="63"/>
      <c r="BW437" s="63"/>
    </row>
    <row r="438" spans="1:75" x14ac:dyDescent="0.2">
      <c r="A438" s="63" t="str">
        <f t="shared" si="81"/>
        <v/>
      </c>
      <c r="B438" s="182"/>
      <c r="C438" s="75"/>
      <c r="D438" s="75"/>
      <c r="E438" s="74"/>
      <c r="F438" s="181"/>
      <c r="G438" s="69"/>
      <c r="AB438" s="150">
        <f t="shared" si="72"/>
        <v>0</v>
      </c>
      <c r="AC438" s="150">
        <f t="shared" si="73"/>
        <v>0</v>
      </c>
      <c r="AD438" s="98" t="str">
        <f t="shared" si="82"/>
        <v>0000000000</v>
      </c>
      <c r="AE438" s="151">
        <f t="shared" si="75"/>
        <v>0</v>
      </c>
      <c r="AF438" s="98" t="str">
        <f t="shared" si="76"/>
        <v>00</v>
      </c>
      <c r="AG438" s="98" t="str">
        <f t="shared" si="83"/>
        <v>000000000000</v>
      </c>
      <c r="AH438" s="161" t="str">
        <f t="shared" si="77"/>
        <v xml:space="preserve">                    </v>
      </c>
      <c r="AI438" s="154">
        <f t="shared" si="78"/>
        <v>0</v>
      </c>
      <c r="AJ438" s="155">
        <f t="shared" si="79"/>
        <v>0</v>
      </c>
      <c r="AP438" s="63" t="str">
        <f t="shared" si="80"/>
        <v/>
      </c>
      <c r="AQ438" s="63" t="str">
        <f t="shared" si="74"/>
        <v xml:space="preserve">                    </v>
      </c>
      <c r="AR438" s="63"/>
      <c r="AS438" s="63"/>
      <c r="AT438" s="63"/>
      <c r="AU438" s="63"/>
      <c r="AV438" s="63"/>
      <c r="AW438" s="63"/>
      <c r="AX438" s="63"/>
      <c r="AY438" s="63"/>
      <c r="AZ438" s="63"/>
      <c r="BA438" s="63"/>
      <c r="BB438" s="63"/>
      <c r="BC438" s="63"/>
      <c r="BD438" s="63"/>
      <c r="BE438" s="63"/>
      <c r="BF438" s="63"/>
      <c r="BG438" s="63"/>
      <c r="BH438" s="63"/>
      <c r="BI438" s="63"/>
      <c r="BJ438" s="63"/>
      <c r="BK438" s="63"/>
      <c r="BL438" s="63"/>
      <c r="BM438" s="63"/>
      <c r="BN438" s="63"/>
      <c r="BO438" s="63"/>
      <c r="BP438" s="63"/>
      <c r="BQ438" s="63"/>
      <c r="BR438" s="63"/>
      <c r="BS438" s="63"/>
      <c r="BT438" s="63"/>
      <c r="BU438" s="63"/>
      <c r="BV438" s="63"/>
      <c r="BW438" s="63"/>
    </row>
    <row r="439" spans="1:75" x14ac:dyDescent="0.2">
      <c r="A439" s="63" t="str">
        <f t="shared" si="81"/>
        <v/>
      </c>
      <c r="B439" s="182"/>
      <c r="C439" s="75"/>
      <c r="D439" s="75"/>
      <c r="E439" s="74"/>
      <c r="F439" s="181"/>
      <c r="G439" s="69"/>
      <c r="AB439" s="150">
        <f t="shared" si="72"/>
        <v>0</v>
      </c>
      <c r="AC439" s="150">
        <f t="shared" si="73"/>
        <v>0</v>
      </c>
      <c r="AD439" s="98" t="str">
        <f t="shared" si="82"/>
        <v>0000000000</v>
      </c>
      <c r="AE439" s="151">
        <f t="shared" si="75"/>
        <v>0</v>
      </c>
      <c r="AF439" s="98" t="str">
        <f t="shared" si="76"/>
        <v>00</v>
      </c>
      <c r="AG439" s="98" t="str">
        <f t="shared" si="83"/>
        <v>000000000000</v>
      </c>
      <c r="AH439" s="161" t="str">
        <f t="shared" si="77"/>
        <v xml:space="preserve">                    </v>
      </c>
      <c r="AI439" s="154">
        <f t="shared" si="78"/>
        <v>0</v>
      </c>
      <c r="AJ439" s="155">
        <f t="shared" si="79"/>
        <v>0</v>
      </c>
      <c r="AP439" s="63" t="str">
        <f t="shared" si="80"/>
        <v/>
      </c>
      <c r="AQ439" s="63" t="str">
        <f t="shared" si="74"/>
        <v xml:space="preserve">                    </v>
      </c>
      <c r="AR439" s="63"/>
      <c r="AS439" s="63"/>
      <c r="AT439" s="63"/>
      <c r="AU439" s="63"/>
      <c r="AV439" s="63"/>
      <c r="AW439" s="63"/>
      <c r="AX439" s="63"/>
      <c r="AY439" s="63"/>
      <c r="AZ439" s="63"/>
      <c r="BA439" s="63"/>
      <c r="BB439" s="63"/>
      <c r="BC439" s="63"/>
      <c r="BD439" s="63"/>
      <c r="BE439" s="63"/>
      <c r="BF439" s="63"/>
      <c r="BG439" s="63"/>
      <c r="BH439" s="63"/>
      <c r="BI439" s="63"/>
      <c r="BJ439" s="63"/>
      <c r="BK439" s="63"/>
      <c r="BL439" s="63"/>
      <c r="BM439" s="63"/>
      <c r="BN439" s="63"/>
      <c r="BO439" s="63"/>
      <c r="BP439" s="63"/>
      <c r="BQ439" s="63"/>
      <c r="BR439" s="63"/>
      <c r="BS439" s="63"/>
      <c r="BT439" s="63"/>
      <c r="BU439" s="63"/>
      <c r="BV439" s="63"/>
      <c r="BW439" s="63"/>
    </row>
    <row r="440" spans="1:75" x14ac:dyDescent="0.2">
      <c r="A440" s="63" t="str">
        <f t="shared" si="81"/>
        <v/>
      </c>
      <c r="B440" s="182"/>
      <c r="C440" s="75"/>
      <c r="D440" s="75"/>
      <c r="E440" s="74"/>
      <c r="F440" s="181"/>
      <c r="G440" s="69"/>
      <c r="AB440" s="150">
        <f t="shared" si="72"/>
        <v>0</v>
      </c>
      <c r="AC440" s="150">
        <f t="shared" si="73"/>
        <v>0</v>
      </c>
      <c r="AD440" s="98" t="str">
        <f t="shared" si="82"/>
        <v>0000000000</v>
      </c>
      <c r="AE440" s="151">
        <f t="shared" si="75"/>
        <v>0</v>
      </c>
      <c r="AF440" s="98" t="str">
        <f t="shared" si="76"/>
        <v>00</v>
      </c>
      <c r="AG440" s="98" t="str">
        <f t="shared" si="83"/>
        <v>000000000000</v>
      </c>
      <c r="AH440" s="161" t="str">
        <f t="shared" si="77"/>
        <v xml:space="preserve">                    </v>
      </c>
      <c r="AI440" s="154">
        <f t="shared" si="78"/>
        <v>0</v>
      </c>
      <c r="AJ440" s="155">
        <f t="shared" si="79"/>
        <v>0</v>
      </c>
      <c r="AP440" s="63" t="str">
        <f t="shared" si="80"/>
        <v/>
      </c>
      <c r="AQ440" s="63" t="str">
        <f t="shared" si="74"/>
        <v xml:space="preserve">                    </v>
      </c>
      <c r="AR440" s="63"/>
      <c r="AS440" s="63"/>
      <c r="AT440" s="63"/>
      <c r="AU440" s="63"/>
      <c r="AV440" s="63"/>
      <c r="AW440" s="63"/>
      <c r="AX440" s="63"/>
      <c r="AY440" s="63"/>
      <c r="AZ440" s="63"/>
      <c r="BA440" s="63"/>
      <c r="BB440" s="63"/>
      <c r="BC440" s="63"/>
      <c r="BD440" s="63"/>
      <c r="BE440" s="63"/>
      <c r="BF440" s="63"/>
      <c r="BG440" s="63"/>
      <c r="BH440" s="63"/>
      <c r="BI440" s="63"/>
      <c r="BJ440" s="63"/>
      <c r="BK440" s="63"/>
      <c r="BL440" s="63"/>
      <c r="BM440" s="63"/>
      <c r="BN440" s="63"/>
      <c r="BO440" s="63"/>
      <c r="BP440" s="63"/>
      <c r="BQ440" s="63"/>
      <c r="BR440" s="63"/>
      <c r="BS440" s="63"/>
      <c r="BT440" s="63"/>
      <c r="BU440" s="63"/>
      <c r="BV440" s="63"/>
      <c r="BW440" s="63"/>
    </row>
    <row r="441" spans="1:75" x14ac:dyDescent="0.2">
      <c r="A441" s="63" t="str">
        <f t="shared" si="81"/>
        <v/>
      </c>
      <c r="B441" s="182"/>
      <c r="C441" s="75"/>
      <c r="D441" s="75"/>
      <c r="E441" s="74"/>
      <c r="F441" s="181"/>
      <c r="G441" s="69"/>
      <c r="AB441" s="150">
        <f t="shared" si="72"/>
        <v>0</v>
      </c>
      <c r="AC441" s="150">
        <f t="shared" si="73"/>
        <v>0</v>
      </c>
      <c r="AD441" s="98" t="str">
        <f t="shared" si="82"/>
        <v>0000000000</v>
      </c>
      <c r="AE441" s="151">
        <f t="shared" si="75"/>
        <v>0</v>
      </c>
      <c r="AF441" s="98" t="str">
        <f t="shared" si="76"/>
        <v>00</v>
      </c>
      <c r="AG441" s="98" t="str">
        <f t="shared" si="83"/>
        <v>000000000000</v>
      </c>
      <c r="AH441" s="161" t="str">
        <f t="shared" si="77"/>
        <v xml:space="preserve">                    </v>
      </c>
      <c r="AI441" s="154">
        <f t="shared" si="78"/>
        <v>0</v>
      </c>
      <c r="AJ441" s="155">
        <f t="shared" si="79"/>
        <v>0</v>
      </c>
      <c r="AP441" s="63" t="str">
        <f t="shared" si="80"/>
        <v/>
      </c>
      <c r="AQ441" s="63" t="str">
        <f t="shared" si="74"/>
        <v xml:space="preserve">                    </v>
      </c>
      <c r="AR441" s="63"/>
      <c r="AS441" s="63"/>
      <c r="AT441" s="63"/>
      <c r="AU441" s="63"/>
      <c r="AV441" s="63"/>
      <c r="AW441" s="63"/>
      <c r="AX441" s="63"/>
      <c r="AY441" s="63"/>
      <c r="AZ441" s="63"/>
      <c r="BA441" s="63"/>
      <c r="BB441" s="63"/>
      <c r="BC441" s="63"/>
      <c r="BD441" s="63"/>
      <c r="BE441" s="63"/>
      <c r="BF441" s="63"/>
      <c r="BG441" s="63"/>
      <c r="BH441" s="63"/>
      <c r="BI441" s="63"/>
      <c r="BJ441" s="63"/>
      <c r="BK441" s="63"/>
      <c r="BL441" s="63"/>
      <c r="BM441" s="63"/>
      <c r="BN441" s="63"/>
      <c r="BO441" s="63"/>
      <c r="BP441" s="63"/>
      <c r="BQ441" s="63"/>
      <c r="BR441" s="63"/>
      <c r="BS441" s="63"/>
      <c r="BT441" s="63"/>
      <c r="BU441" s="63"/>
      <c r="BV441" s="63"/>
      <c r="BW441" s="63"/>
    </row>
    <row r="442" spans="1:75" x14ac:dyDescent="0.2">
      <c r="A442" s="63" t="str">
        <f t="shared" si="81"/>
        <v/>
      </c>
      <c r="B442" s="182"/>
      <c r="C442" s="75"/>
      <c r="D442" s="75"/>
      <c r="E442" s="74"/>
      <c r="F442" s="181"/>
      <c r="G442" s="69"/>
      <c r="AB442" s="150">
        <f t="shared" si="72"/>
        <v>0</v>
      </c>
      <c r="AC442" s="150">
        <f t="shared" si="73"/>
        <v>0</v>
      </c>
      <c r="AD442" s="98" t="str">
        <f t="shared" si="82"/>
        <v>0000000000</v>
      </c>
      <c r="AE442" s="151">
        <f t="shared" si="75"/>
        <v>0</v>
      </c>
      <c r="AF442" s="98" t="str">
        <f t="shared" si="76"/>
        <v>00</v>
      </c>
      <c r="AG442" s="98" t="str">
        <f t="shared" si="83"/>
        <v>000000000000</v>
      </c>
      <c r="AH442" s="161" t="str">
        <f t="shared" si="77"/>
        <v xml:space="preserve">                    </v>
      </c>
      <c r="AI442" s="154">
        <f t="shared" si="78"/>
        <v>0</v>
      </c>
      <c r="AJ442" s="155">
        <f t="shared" si="79"/>
        <v>0</v>
      </c>
      <c r="AP442" s="63" t="str">
        <f t="shared" si="80"/>
        <v/>
      </c>
      <c r="AQ442" s="63" t="str">
        <f t="shared" si="74"/>
        <v xml:space="preserve">                    </v>
      </c>
      <c r="AR442" s="63"/>
      <c r="AS442" s="63"/>
      <c r="AT442" s="63"/>
      <c r="AU442" s="63"/>
      <c r="AV442" s="63"/>
      <c r="AW442" s="63"/>
      <c r="AX442" s="63"/>
      <c r="AY442" s="63"/>
      <c r="AZ442" s="63"/>
      <c r="BA442" s="63"/>
      <c r="BB442" s="63"/>
      <c r="BC442" s="63"/>
      <c r="BD442" s="63"/>
      <c r="BE442" s="63"/>
      <c r="BF442" s="63"/>
      <c r="BG442" s="63"/>
      <c r="BH442" s="63"/>
      <c r="BI442" s="63"/>
      <c r="BJ442" s="63"/>
      <c r="BK442" s="63"/>
      <c r="BL442" s="63"/>
      <c r="BM442" s="63"/>
      <c r="BN442" s="63"/>
      <c r="BO442" s="63"/>
      <c r="BP442" s="63"/>
      <c r="BQ442" s="63"/>
      <c r="BR442" s="63"/>
      <c r="BS442" s="63"/>
      <c r="BT442" s="63"/>
      <c r="BU442" s="63"/>
      <c r="BV442" s="63"/>
      <c r="BW442" s="63"/>
    </row>
    <row r="443" spans="1:75" x14ac:dyDescent="0.2">
      <c r="A443" s="63" t="str">
        <f t="shared" si="81"/>
        <v/>
      </c>
      <c r="B443" s="182"/>
      <c r="C443" s="75"/>
      <c r="D443" s="75"/>
      <c r="E443" s="74"/>
      <c r="F443" s="181"/>
      <c r="G443" s="69"/>
      <c r="AB443" s="150">
        <f t="shared" si="72"/>
        <v>0</v>
      </c>
      <c r="AC443" s="150">
        <f t="shared" si="73"/>
        <v>0</v>
      </c>
      <c r="AD443" s="98" t="str">
        <f t="shared" si="82"/>
        <v>0000000000</v>
      </c>
      <c r="AE443" s="151">
        <f t="shared" si="75"/>
        <v>0</v>
      </c>
      <c r="AF443" s="98" t="str">
        <f t="shared" si="76"/>
        <v>00</v>
      </c>
      <c r="AG443" s="98" t="str">
        <f t="shared" si="83"/>
        <v>000000000000</v>
      </c>
      <c r="AH443" s="161" t="str">
        <f t="shared" si="77"/>
        <v xml:space="preserve">                    </v>
      </c>
      <c r="AI443" s="154">
        <f t="shared" si="78"/>
        <v>0</v>
      </c>
      <c r="AJ443" s="155">
        <f t="shared" si="79"/>
        <v>0</v>
      </c>
      <c r="AP443" s="63" t="str">
        <f t="shared" si="80"/>
        <v/>
      </c>
      <c r="AQ443" s="63" t="str">
        <f t="shared" si="74"/>
        <v xml:space="preserve">                    </v>
      </c>
      <c r="AR443" s="63"/>
      <c r="AS443" s="63"/>
      <c r="AT443" s="63"/>
      <c r="AU443" s="63"/>
      <c r="AV443" s="63"/>
      <c r="AW443" s="63"/>
      <c r="AX443" s="63"/>
      <c r="AY443" s="63"/>
      <c r="AZ443" s="63"/>
      <c r="BA443" s="63"/>
      <c r="BB443" s="63"/>
      <c r="BC443" s="63"/>
      <c r="BD443" s="63"/>
      <c r="BE443" s="63"/>
      <c r="BF443" s="63"/>
      <c r="BG443" s="63"/>
      <c r="BH443" s="63"/>
      <c r="BI443" s="63"/>
      <c r="BJ443" s="63"/>
      <c r="BK443" s="63"/>
      <c r="BL443" s="63"/>
      <c r="BM443" s="63"/>
      <c r="BN443" s="63"/>
      <c r="BO443" s="63"/>
      <c r="BP443" s="63"/>
      <c r="BQ443" s="63"/>
      <c r="BR443" s="63"/>
      <c r="BS443" s="63"/>
      <c r="BT443" s="63"/>
      <c r="BU443" s="63"/>
      <c r="BV443" s="63"/>
      <c r="BW443" s="63"/>
    </row>
    <row r="444" spans="1:75" x14ac:dyDescent="0.2">
      <c r="A444" s="63" t="str">
        <f t="shared" si="81"/>
        <v/>
      </c>
      <c r="B444" s="182"/>
      <c r="C444" s="75"/>
      <c r="D444" s="75"/>
      <c r="E444" s="74"/>
      <c r="F444" s="181"/>
      <c r="G444" s="69"/>
      <c r="AB444" s="150">
        <f t="shared" si="72"/>
        <v>0</v>
      </c>
      <c r="AC444" s="150">
        <f t="shared" si="73"/>
        <v>0</v>
      </c>
      <c r="AD444" s="98" t="str">
        <f t="shared" si="82"/>
        <v>0000000000</v>
      </c>
      <c r="AE444" s="151">
        <f t="shared" si="75"/>
        <v>0</v>
      </c>
      <c r="AF444" s="98" t="str">
        <f t="shared" si="76"/>
        <v>00</v>
      </c>
      <c r="AG444" s="98" t="str">
        <f t="shared" si="83"/>
        <v>000000000000</v>
      </c>
      <c r="AH444" s="161" t="str">
        <f t="shared" si="77"/>
        <v xml:space="preserve">                    </v>
      </c>
      <c r="AI444" s="154">
        <f t="shared" si="78"/>
        <v>0</v>
      </c>
      <c r="AJ444" s="155">
        <f t="shared" si="79"/>
        <v>0</v>
      </c>
      <c r="AP444" s="63" t="str">
        <f t="shared" si="80"/>
        <v/>
      </c>
      <c r="AQ444" s="63" t="str">
        <f t="shared" si="74"/>
        <v xml:space="preserve">                    </v>
      </c>
      <c r="AR444" s="63"/>
      <c r="AS444" s="63"/>
      <c r="AT444" s="63"/>
      <c r="AU444" s="63"/>
      <c r="AV444" s="63"/>
      <c r="AW444" s="63"/>
      <c r="AX444" s="63"/>
      <c r="AY444" s="63"/>
      <c r="AZ444" s="63"/>
      <c r="BA444" s="63"/>
      <c r="BB444" s="63"/>
      <c r="BC444" s="63"/>
      <c r="BD444" s="63"/>
      <c r="BE444" s="63"/>
      <c r="BF444" s="63"/>
      <c r="BG444" s="63"/>
      <c r="BH444" s="63"/>
      <c r="BI444" s="63"/>
      <c r="BJ444" s="63"/>
      <c r="BK444" s="63"/>
      <c r="BL444" s="63"/>
      <c r="BM444" s="63"/>
      <c r="BN444" s="63"/>
      <c r="BO444" s="63"/>
      <c r="BP444" s="63"/>
      <c r="BQ444" s="63"/>
      <c r="BR444" s="63"/>
      <c r="BS444" s="63"/>
      <c r="BT444" s="63"/>
      <c r="BU444" s="63"/>
      <c r="BV444" s="63"/>
      <c r="BW444" s="63"/>
    </row>
    <row r="445" spans="1:75" x14ac:dyDescent="0.2">
      <c r="A445" s="63" t="str">
        <f t="shared" si="81"/>
        <v/>
      </c>
      <c r="B445" s="182"/>
      <c r="C445" s="75"/>
      <c r="D445" s="75"/>
      <c r="E445" s="74"/>
      <c r="F445" s="181"/>
      <c r="G445" s="69"/>
      <c r="AB445" s="150">
        <f t="shared" si="72"/>
        <v>0</v>
      </c>
      <c r="AC445" s="150">
        <f t="shared" si="73"/>
        <v>0</v>
      </c>
      <c r="AD445" s="98" t="str">
        <f t="shared" si="82"/>
        <v>0000000000</v>
      </c>
      <c r="AE445" s="151">
        <f t="shared" si="75"/>
        <v>0</v>
      </c>
      <c r="AF445" s="98" t="str">
        <f t="shared" si="76"/>
        <v>00</v>
      </c>
      <c r="AG445" s="98" t="str">
        <f t="shared" si="83"/>
        <v>000000000000</v>
      </c>
      <c r="AH445" s="161" t="str">
        <f t="shared" si="77"/>
        <v xml:space="preserve">                    </v>
      </c>
      <c r="AI445" s="154">
        <f t="shared" si="78"/>
        <v>0</v>
      </c>
      <c r="AJ445" s="155">
        <f t="shared" si="79"/>
        <v>0</v>
      </c>
      <c r="AP445" s="63" t="str">
        <f t="shared" si="80"/>
        <v/>
      </c>
      <c r="AQ445" s="63" t="str">
        <f t="shared" si="74"/>
        <v xml:space="preserve">                    </v>
      </c>
      <c r="AR445" s="63"/>
      <c r="AS445" s="63"/>
      <c r="AT445" s="63"/>
      <c r="AU445" s="63"/>
      <c r="AV445" s="63"/>
      <c r="AW445" s="63"/>
      <c r="AX445" s="63"/>
      <c r="AY445" s="63"/>
      <c r="AZ445" s="63"/>
      <c r="BA445" s="63"/>
      <c r="BB445" s="63"/>
      <c r="BC445" s="63"/>
      <c r="BD445" s="63"/>
      <c r="BE445" s="63"/>
      <c r="BF445" s="63"/>
      <c r="BG445" s="63"/>
      <c r="BH445" s="63"/>
      <c r="BI445" s="63"/>
      <c r="BJ445" s="63"/>
      <c r="BK445" s="63"/>
      <c r="BL445" s="63"/>
      <c r="BM445" s="63"/>
      <c r="BN445" s="63"/>
      <c r="BO445" s="63"/>
      <c r="BP445" s="63"/>
      <c r="BQ445" s="63"/>
      <c r="BR445" s="63"/>
      <c r="BS445" s="63"/>
      <c r="BT445" s="63"/>
      <c r="BU445" s="63"/>
      <c r="BV445" s="63"/>
      <c r="BW445" s="63"/>
    </row>
    <row r="446" spans="1:75" x14ac:dyDescent="0.2">
      <c r="A446" s="63" t="str">
        <f t="shared" si="81"/>
        <v/>
      </c>
      <c r="B446" s="182"/>
      <c r="C446" s="75"/>
      <c r="D446" s="75"/>
      <c r="E446" s="74"/>
      <c r="F446" s="181"/>
      <c r="G446" s="69"/>
      <c r="AB446" s="150">
        <f t="shared" si="72"/>
        <v>0</v>
      </c>
      <c r="AC446" s="150">
        <f t="shared" si="73"/>
        <v>0</v>
      </c>
      <c r="AD446" s="98" t="str">
        <f t="shared" si="82"/>
        <v>0000000000</v>
      </c>
      <c r="AE446" s="151">
        <f t="shared" si="75"/>
        <v>0</v>
      </c>
      <c r="AF446" s="98" t="str">
        <f t="shared" si="76"/>
        <v>00</v>
      </c>
      <c r="AG446" s="98" t="str">
        <f t="shared" si="83"/>
        <v>000000000000</v>
      </c>
      <c r="AH446" s="161" t="str">
        <f t="shared" si="77"/>
        <v xml:space="preserve">                    </v>
      </c>
      <c r="AI446" s="154">
        <f t="shared" si="78"/>
        <v>0</v>
      </c>
      <c r="AJ446" s="155">
        <f t="shared" si="79"/>
        <v>0</v>
      </c>
      <c r="AP446" s="63" t="str">
        <f t="shared" si="80"/>
        <v/>
      </c>
      <c r="AQ446" s="63" t="str">
        <f t="shared" si="74"/>
        <v xml:space="preserve">                    </v>
      </c>
      <c r="AR446" s="63"/>
      <c r="AS446" s="63"/>
      <c r="AT446" s="63"/>
      <c r="AU446" s="63"/>
      <c r="AV446" s="63"/>
      <c r="AW446" s="63"/>
      <c r="AX446" s="63"/>
      <c r="AY446" s="63"/>
      <c r="AZ446" s="63"/>
      <c r="BA446" s="63"/>
      <c r="BB446" s="63"/>
      <c r="BC446" s="63"/>
      <c r="BD446" s="63"/>
      <c r="BE446" s="63"/>
      <c r="BF446" s="63"/>
      <c r="BG446" s="63"/>
      <c r="BH446" s="63"/>
      <c r="BI446" s="63"/>
      <c r="BJ446" s="63"/>
      <c r="BK446" s="63"/>
      <c r="BL446" s="63"/>
      <c r="BM446" s="63"/>
      <c r="BN446" s="63"/>
      <c r="BO446" s="63"/>
      <c r="BP446" s="63"/>
      <c r="BQ446" s="63"/>
      <c r="BR446" s="63"/>
      <c r="BS446" s="63"/>
      <c r="BT446" s="63"/>
      <c r="BU446" s="63"/>
      <c r="BV446" s="63"/>
      <c r="BW446" s="63"/>
    </row>
    <row r="447" spans="1:75" x14ac:dyDescent="0.2">
      <c r="A447" s="63" t="str">
        <f t="shared" si="81"/>
        <v/>
      </c>
      <c r="B447" s="182"/>
      <c r="C447" s="75"/>
      <c r="D447" s="75"/>
      <c r="E447" s="74"/>
      <c r="F447" s="181"/>
      <c r="G447" s="69"/>
      <c r="AB447" s="150">
        <f t="shared" si="72"/>
        <v>0</v>
      </c>
      <c r="AC447" s="150">
        <f t="shared" si="73"/>
        <v>0</v>
      </c>
      <c r="AD447" s="98" t="str">
        <f t="shared" si="82"/>
        <v>0000000000</v>
      </c>
      <c r="AE447" s="151">
        <f t="shared" si="75"/>
        <v>0</v>
      </c>
      <c r="AF447" s="98" t="str">
        <f t="shared" si="76"/>
        <v>00</v>
      </c>
      <c r="AG447" s="98" t="str">
        <f t="shared" si="83"/>
        <v>000000000000</v>
      </c>
      <c r="AH447" s="161" t="str">
        <f t="shared" si="77"/>
        <v xml:space="preserve">                    </v>
      </c>
      <c r="AI447" s="154">
        <f t="shared" si="78"/>
        <v>0</v>
      </c>
      <c r="AJ447" s="155">
        <f t="shared" si="79"/>
        <v>0</v>
      </c>
      <c r="AP447" s="63" t="str">
        <f t="shared" si="80"/>
        <v/>
      </c>
      <c r="AQ447" s="63" t="str">
        <f t="shared" si="74"/>
        <v xml:space="preserve">                    </v>
      </c>
      <c r="AR447" s="63"/>
      <c r="AS447" s="63"/>
      <c r="AT447" s="63"/>
      <c r="AU447" s="63"/>
      <c r="AV447" s="63"/>
      <c r="AW447" s="63"/>
      <c r="AX447" s="63"/>
      <c r="AY447" s="63"/>
      <c r="AZ447" s="63"/>
      <c r="BA447" s="63"/>
      <c r="BB447" s="63"/>
      <c r="BC447" s="63"/>
      <c r="BD447" s="63"/>
      <c r="BE447" s="63"/>
      <c r="BF447" s="63"/>
      <c r="BG447" s="63"/>
      <c r="BH447" s="63"/>
      <c r="BI447" s="63"/>
      <c r="BJ447" s="63"/>
      <c r="BK447" s="63"/>
      <c r="BL447" s="63"/>
      <c r="BM447" s="63"/>
      <c r="BN447" s="63"/>
      <c r="BO447" s="63"/>
      <c r="BP447" s="63"/>
      <c r="BQ447" s="63"/>
      <c r="BR447" s="63"/>
      <c r="BS447" s="63"/>
      <c r="BT447" s="63"/>
      <c r="BU447" s="63"/>
      <c r="BV447" s="63"/>
      <c r="BW447" s="63"/>
    </row>
    <row r="448" spans="1:75" x14ac:dyDescent="0.2">
      <c r="A448" s="63" t="str">
        <f t="shared" si="81"/>
        <v/>
      </c>
      <c r="B448" s="182"/>
      <c r="C448" s="75"/>
      <c r="D448" s="75"/>
      <c r="E448" s="74"/>
      <c r="F448" s="181"/>
      <c r="G448" s="69"/>
      <c r="AB448" s="150">
        <f t="shared" si="72"/>
        <v>0</v>
      </c>
      <c r="AC448" s="150">
        <f t="shared" si="73"/>
        <v>0</v>
      </c>
      <c r="AD448" s="98" t="str">
        <f t="shared" si="82"/>
        <v>0000000000</v>
      </c>
      <c r="AE448" s="151">
        <f t="shared" si="75"/>
        <v>0</v>
      </c>
      <c r="AF448" s="98" t="str">
        <f t="shared" si="76"/>
        <v>00</v>
      </c>
      <c r="AG448" s="98" t="str">
        <f t="shared" si="83"/>
        <v>000000000000</v>
      </c>
      <c r="AH448" s="161" t="str">
        <f t="shared" si="77"/>
        <v xml:space="preserve">                    </v>
      </c>
      <c r="AI448" s="154">
        <f t="shared" si="78"/>
        <v>0</v>
      </c>
      <c r="AJ448" s="155">
        <f t="shared" si="79"/>
        <v>0</v>
      </c>
      <c r="AP448" s="63" t="str">
        <f t="shared" si="80"/>
        <v/>
      </c>
      <c r="AQ448" s="63" t="str">
        <f t="shared" si="74"/>
        <v xml:space="preserve">                    </v>
      </c>
      <c r="AR448" s="63"/>
      <c r="AS448" s="63"/>
      <c r="AT448" s="63"/>
      <c r="AU448" s="63"/>
      <c r="AV448" s="63"/>
      <c r="AW448" s="63"/>
      <c r="AX448" s="63"/>
      <c r="AY448" s="63"/>
      <c r="AZ448" s="63"/>
      <c r="BA448" s="63"/>
      <c r="BB448" s="63"/>
      <c r="BC448" s="63"/>
      <c r="BD448" s="63"/>
      <c r="BE448" s="63"/>
      <c r="BF448" s="63"/>
      <c r="BG448" s="63"/>
      <c r="BH448" s="63"/>
      <c r="BI448" s="63"/>
      <c r="BJ448" s="63"/>
      <c r="BK448" s="63"/>
      <c r="BL448" s="63"/>
      <c r="BM448" s="63"/>
      <c r="BN448" s="63"/>
      <c r="BO448" s="63"/>
      <c r="BP448" s="63"/>
      <c r="BQ448" s="63"/>
      <c r="BR448" s="63"/>
      <c r="BS448" s="63"/>
      <c r="BT448" s="63"/>
      <c r="BU448" s="63"/>
      <c r="BV448" s="63"/>
      <c r="BW448" s="63"/>
    </row>
    <row r="449" spans="1:75" x14ac:dyDescent="0.2">
      <c r="A449" s="63" t="str">
        <f t="shared" si="81"/>
        <v/>
      </c>
      <c r="B449" s="182"/>
      <c r="C449" s="75"/>
      <c r="D449" s="75"/>
      <c r="E449" s="74"/>
      <c r="F449" s="181"/>
      <c r="G449" s="69"/>
      <c r="AB449" s="150">
        <f t="shared" si="72"/>
        <v>0</v>
      </c>
      <c r="AC449" s="150">
        <f t="shared" si="73"/>
        <v>0</v>
      </c>
      <c r="AD449" s="98" t="str">
        <f t="shared" si="82"/>
        <v>0000000000</v>
      </c>
      <c r="AE449" s="151">
        <f t="shared" si="75"/>
        <v>0</v>
      </c>
      <c r="AF449" s="98" t="str">
        <f t="shared" si="76"/>
        <v>00</v>
      </c>
      <c r="AG449" s="98" t="str">
        <f t="shared" si="83"/>
        <v>000000000000</v>
      </c>
      <c r="AH449" s="161" t="str">
        <f t="shared" si="77"/>
        <v xml:space="preserve">                    </v>
      </c>
      <c r="AI449" s="154">
        <f t="shared" si="78"/>
        <v>0</v>
      </c>
      <c r="AJ449" s="155">
        <f t="shared" si="79"/>
        <v>0</v>
      </c>
      <c r="AP449" s="63" t="str">
        <f t="shared" si="80"/>
        <v/>
      </c>
      <c r="AQ449" s="63" t="str">
        <f t="shared" si="74"/>
        <v xml:space="preserve">                    </v>
      </c>
      <c r="AR449" s="63"/>
      <c r="AS449" s="63"/>
      <c r="AT449" s="63"/>
      <c r="AU449" s="63"/>
      <c r="AV449" s="63"/>
      <c r="AW449" s="63"/>
      <c r="AX449" s="63"/>
      <c r="AY449" s="63"/>
      <c r="AZ449" s="63"/>
      <c r="BA449" s="63"/>
      <c r="BB449" s="63"/>
      <c r="BC449" s="63"/>
      <c r="BD449" s="63"/>
      <c r="BE449" s="63"/>
      <c r="BF449" s="63"/>
      <c r="BG449" s="63"/>
      <c r="BH449" s="63"/>
      <c r="BI449" s="63"/>
      <c r="BJ449" s="63"/>
      <c r="BK449" s="63"/>
      <c r="BL449" s="63"/>
      <c r="BM449" s="63"/>
      <c r="BN449" s="63"/>
      <c r="BO449" s="63"/>
      <c r="BP449" s="63"/>
      <c r="BQ449" s="63"/>
      <c r="BR449" s="63"/>
      <c r="BS449" s="63"/>
      <c r="BT449" s="63"/>
      <c r="BU449" s="63"/>
      <c r="BV449" s="63"/>
      <c r="BW449" s="63"/>
    </row>
    <row r="450" spans="1:75" x14ac:dyDescent="0.2">
      <c r="A450" s="63" t="str">
        <f t="shared" si="81"/>
        <v/>
      </c>
      <c r="B450" s="182"/>
      <c r="C450" s="75"/>
      <c r="D450" s="75"/>
      <c r="E450" s="74"/>
      <c r="F450" s="181"/>
      <c r="G450" s="69"/>
      <c r="AB450" s="150">
        <f t="shared" si="72"/>
        <v>0</v>
      </c>
      <c r="AC450" s="150">
        <f t="shared" si="73"/>
        <v>0</v>
      </c>
      <c r="AD450" s="98" t="str">
        <f t="shared" si="82"/>
        <v>0000000000</v>
      </c>
      <c r="AE450" s="151">
        <f t="shared" si="75"/>
        <v>0</v>
      </c>
      <c r="AF450" s="98" t="str">
        <f t="shared" si="76"/>
        <v>00</v>
      </c>
      <c r="AG450" s="98" t="str">
        <f t="shared" si="83"/>
        <v>000000000000</v>
      </c>
      <c r="AH450" s="161" t="str">
        <f t="shared" si="77"/>
        <v xml:space="preserve">                    </v>
      </c>
      <c r="AI450" s="154">
        <f t="shared" si="78"/>
        <v>0</v>
      </c>
      <c r="AJ450" s="155">
        <f t="shared" si="79"/>
        <v>0</v>
      </c>
      <c r="AP450" s="63" t="str">
        <f t="shared" si="80"/>
        <v/>
      </c>
      <c r="AQ450" s="63" t="str">
        <f t="shared" si="74"/>
        <v xml:space="preserve">                    </v>
      </c>
      <c r="AR450" s="63"/>
      <c r="AS450" s="63"/>
      <c r="AT450" s="63"/>
      <c r="AU450" s="63"/>
      <c r="AV450" s="63"/>
      <c r="AW450" s="63"/>
      <c r="AX450" s="63"/>
      <c r="AY450" s="63"/>
      <c r="AZ450" s="63"/>
      <c r="BA450" s="63"/>
      <c r="BB450" s="63"/>
      <c r="BC450" s="63"/>
      <c r="BD450" s="63"/>
      <c r="BE450" s="63"/>
      <c r="BF450" s="63"/>
      <c r="BG450" s="63"/>
      <c r="BH450" s="63"/>
      <c r="BI450" s="63"/>
      <c r="BJ450" s="63"/>
      <c r="BK450" s="63"/>
      <c r="BL450" s="63"/>
      <c r="BM450" s="63"/>
      <c r="BN450" s="63"/>
      <c r="BO450" s="63"/>
      <c r="BP450" s="63"/>
      <c r="BQ450" s="63"/>
      <c r="BR450" s="63"/>
      <c r="BS450" s="63"/>
      <c r="BT450" s="63"/>
      <c r="BU450" s="63"/>
      <c r="BV450" s="63"/>
      <c r="BW450" s="63"/>
    </row>
    <row r="451" spans="1:75" x14ac:dyDescent="0.2">
      <c r="A451" s="63" t="str">
        <f t="shared" si="81"/>
        <v/>
      </c>
      <c r="B451" s="182"/>
      <c r="C451" s="75"/>
      <c r="D451" s="75"/>
      <c r="E451" s="74"/>
      <c r="F451" s="181"/>
      <c r="G451" s="69"/>
      <c r="AB451" s="150">
        <f t="shared" ref="AB451:AB514" si="84">INT(F451)</f>
        <v>0</v>
      </c>
      <c r="AC451" s="150">
        <f t="shared" ref="AC451:AC514" si="85">F451-AB451</f>
        <v>0</v>
      </c>
      <c r="AD451" s="98" t="str">
        <f t="shared" si="82"/>
        <v>0000000000</v>
      </c>
      <c r="AE451" s="151">
        <f t="shared" si="75"/>
        <v>0</v>
      </c>
      <c r="AF451" s="98" t="str">
        <f t="shared" si="76"/>
        <v>00</v>
      </c>
      <c r="AG451" s="98" t="str">
        <f t="shared" si="83"/>
        <v>000000000000</v>
      </c>
      <c r="AH451" s="161" t="str">
        <f t="shared" si="77"/>
        <v xml:space="preserve">                    </v>
      </c>
      <c r="AI451" s="154">
        <f t="shared" si="78"/>
        <v>0</v>
      </c>
      <c r="AJ451" s="155">
        <f t="shared" si="79"/>
        <v>0</v>
      </c>
      <c r="AP451" s="63" t="str">
        <f t="shared" si="80"/>
        <v/>
      </c>
      <c r="AQ451" s="63" t="str">
        <f t="shared" ref="AQ451:AQ514" si="86">CONCATENATE(D451,REPT(" ",20-LEN(D451)))</f>
        <v xml:space="preserve">                    </v>
      </c>
      <c r="AR451" s="63"/>
      <c r="AS451" s="63"/>
      <c r="AT451" s="63"/>
      <c r="AU451" s="63"/>
      <c r="AV451" s="63"/>
      <c r="AW451" s="63"/>
      <c r="AX451" s="63"/>
      <c r="AY451" s="63"/>
      <c r="AZ451" s="63"/>
      <c r="BA451" s="63"/>
      <c r="BB451" s="63"/>
      <c r="BC451" s="63"/>
      <c r="BD451" s="63"/>
      <c r="BE451" s="63"/>
      <c r="BF451" s="63"/>
      <c r="BG451" s="63"/>
      <c r="BH451" s="63"/>
      <c r="BI451" s="63"/>
      <c r="BJ451" s="63"/>
      <c r="BK451" s="63"/>
      <c r="BL451" s="63"/>
      <c r="BM451" s="63"/>
      <c r="BN451" s="63"/>
      <c r="BO451" s="63"/>
      <c r="BP451" s="63"/>
      <c r="BQ451" s="63"/>
      <c r="BR451" s="63"/>
      <c r="BS451" s="63"/>
      <c r="BT451" s="63"/>
      <c r="BU451" s="63"/>
      <c r="BV451" s="63"/>
      <c r="BW451" s="63"/>
    </row>
    <row r="452" spans="1:75" x14ac:dyDescent="0.2">
      <c r="A452" s="63" t="str">
        <f t="shared" si="81"/>
        <v/>
      </c>
      <c r="B452" s="182"/>
      <c r="C452" s="75"/>
      <c r="D452" s="75"/>
      <c r="E452" s="74"/>
      <c r="F452" s="181"/>
      <c r="G452" s="69"/>
      <c r="AB452" s="150">
        <f t="shared" si="84"/>
        <v>0</v>
      </c>
      <c r="AC452" s="150">
        <f t="shared" si="85"/>
        <v>0</v>
      </c>
      <c r="AD452" s="98" t="str">
        <f t="shared" si="82"/>
        <v>0000000000</v>
      </c>
      <c r="AE452" s="151">
        <f t="shared" ref="AE452:AE515" si="87">AC452*100</f>
        <v>0</v>
      </c>
      <c r="AF452" s="98" t="str">
        <f t="shared" ref="AF452:AF515" si="88">TEXT(AE452,"00")</f>
        <v>00</v>
      </c>
      <c r="AG452" s="98" t="str">
        <f t="shared" si="83"/>
        <v>000000000000</v>
      </c>
      <c r="AH452" s="161" t="str">
        <f t="shared" ref="AH452:AH515" si="89">CONCATENATE(C452,REPT(" ",20-LEN(C452)))</f>
        <v xml:space="preserve">                    </v>
      </c>
      <c r="AI452" s="154">
        <f t="shared" ref="AI452:AI515" si="90">IF(E452&lt;&gt;"",IF(E452=$E$3,0,1),0)</f>
        <v>0</v>
      </c>
      <c r="AJ452" s="155">
        <f t="shared" ref="AJ452:AJ515" si="91">IF(AI452=1,IF($E$3=1,F452*$H$14,F452/$H$14),F452)</f>
        <v>0</v>
      </c>
      <c r="AP452" s="63" t="str">
        <f t="shared" ref="AP452:AP515" si="92">IF(B453&lt;&gt;"",CONCATENATE("000",B453,"0",E453,"2","    00000000",AG453,"            ",AQ453,AH453,"                                                                                               "),"")</f>
        <v/>
      </c>
      <c r="AQ452" s="63" t="str">
        <f t="shared" si="86"/>
        <v xml:space="preserve">                    </v>
      </c>
      <c r="AR452" s="63"/>
      <c r="AS452" s="63"/>
      <c r="AT452" s="63"/>
      <c r="AU452" s="63"/>
      <c r="AV452" s="63"/>
      <c r="AW452" s="63"/>
      <c r="AX452" s="63"/>
      <c r="AY452" s="63"/>
      <c r="AZ452" s="63"/>
      <c r="BA452" s="63"/>
      <c r="BB452" s="63"/>
      <c r="BC452" s="63"/>
      <c r="BD452" s="63"/>
      <c r="BE452" s="63"/>
      <c r="BF452" s="63"/>
      <c r="BG452" s="63"/>
      <c r="BH452" s="63"/>
      <c r="BI452" s="63"/>
      <c r="BJ452" s="63"/>
      <c r="BK452" s="63"/>
      <c r="BL452" s="63"/>
      <c r="BM452" s="63"/>
      <c r="BN452" s="63"/>
      <c r="BO452" s="63"/>
      <c r="BP452" s="63"/>
      <c r="BQ452" s="63"/>
      <c r="BR452" s="63"/>
      <c r="BS452" s="63"/>
      <c r="BT452" s="63"/>
      <c r="BU452" s="63"/>
      <c r="BV452" s="63"/>
      <c r="BW452" s="63"/>
    </row>
    <row r="453" spans="1:75" x14ac:dyDescent="0.2">
      <c r="A453" s="63" t="str">
        <f t="shared" si="81"/>
        <v/>
      </c>
      <c r="B453" s="182"/>
      <c r="C453" s="75"/>
      <c r="D453" s="75"/>
      <c r="E453" s="74"/>
      <c r="F453" s="181"/>
      <c r="G453" s="69"/>
      <c r="AB453" s="150">
        <f t="shared" si="84"/>
        <v>0</v>
      </c>
      <c r="AC453" s="150">
        <f t="shared" si="85"/>
        <v>0</v>
      </c>
      <c r="AD453" s="98" t="str">
        <f t="shared" si="82"/>
        <v>0000000000</v>
      </c>
      <c r="AE453" s="151">
        <f t="shared" si="87"/>
        <v>0</v>
      </c>
      <c r="AF453" s="98" t="str">
        <f t="shared" si="88"/>
        <v>00</v>
      </c>
      <c r="AG453" s="98" t="str">
        <f t="shared" si="83"/>
        <v>000000000000</v>
      </c>
      <c r="AH453" s="161" t="str">
        <f t="shared" si="89"/>
        <v xml:space="preserve">                    </v>
      </c>
      <c r="AI453" s="154">
        <f t="shared" si="90"/>
        <v>0</v>
      </c>
      <c r="AJ453" s="155">
        <f t="shared" si="91"/>
        <v>0</v>
      </c>
      <c r="AP453" s="63" t="str">
        <f t="shared" si="92"/>
        <v/>
      </c>
      <c r="AQ453" s="63" t="str">
        <f t="shared" si="86"/>
        <v xml:space="preserve">                    </v>
      </c>
      <c r="AR453" s="63"/>
      <c r="AS453" s="63"/>
      <c r="AT453" s="63"/>
      <c r="AU453" s="63"/>
      <c r="AV453" s="63"/>
      <c r="AW453" s="63"/>
      <c r="AX453" s="63"/>
      <c r="AY453" s="63"/>
      <c r="AZ453" s="63"/>
      <c r="BA453" s="63"/>
      <c r="BB453" s="63"/>
      <c r="BC453" s="63"/>
      <c r="BD453" s="63"/>
      <c r="BE453" s="63"/>
      <c r="BF453" s="63"/>
      <c r="BG453" s="63"/>
      <c r="BH453" s="63"/>
      <c r="BI453" s="63"/>
      <c r="BJ453" s="63"/>
      <c r="BK453" s="63"/>
      <c r="BL453" s="63"/>
      <c r="BM453" s="63"/>
      <c r="BN453" s="63"/>
      <c r="BO453" s="63"/>
      <c r="BP453" s="63"/>
      <c r="BQ453" s="63"/>
      <c r="BR453" s="63"/>
      <c r="BS453" s="63"/>
      <c r="BT453" s="63"/>
      <c r="BU453" s="63"/>
      <c r="BV453" s="63"/>
      <c r="BW453" s="63"/>
    </row>
    <row r="454" spans="1:75" x14ac:dyDescent="0.2">
      <c r="A454" s="63" t="str">
        <f t="shared" ref="A454:A517" si="93">IF(B454&lt;&gt;"",A453+1,"")</f>
        <v/>
      </c>
      <c r="B454" s="182"/>
      <c r="C454" s="75"/>
      <c r="D454" s="75"/>
      <c r="E454" s="74"/>
      <c r="F454" s="181"/>
      <c r="G454" s="69"/>
      <c r="AB454" s="150">
        <f t="shared" si="84"/>
        <v>0</v>
      </c>
      <c r="AC454" s="150">
        <f t="shared" si="85"/>
        <v>0</v>
      </c>
      <c r="AD454" s="98" t="str">
        <f t="shared" si="82"/>
        <v>0000000000</v>
      </c>
      <c r="AE454" s="151">
        <f t="shared" si="87"/>
        <v>0</v>
      </c>
      <c r="AF454" s="98" t="str">
        <f t="shared" si="88"/>
        <v>00</v>
      </c>
      <c r="AG454" s="98" t="str">
        <f t="shared" si="83"/>
        <v>000000000000</v>
      </c>
      <c r="AH454" s="161" t="str">
        <f t="shared" si="89"/>
        <v xml:space="preserve">                    </v>
      </c>
      <c r="AI454" s="154">
        <f t="shared" si="90"/>
        <v>0</v>
      </c>
      <c r="AJ454" s="155">
        <f t="shared" si="91"/>
        <v>0</v>
      </c>
      <c r="AP454" s="63" t="str">
        <f t="shared" si="92"/>
        <v/>
      </c>
      <c r="AQ454" s="63" t="str">
        <f t="shared" si="86"/>
        <v xml:space="preserve">                    </v>
      </c>
      <c r="AR454" s="63"/>
      <c r="AS454" s="63"/>
      <c r="AT454" s="63"/>
      <c r="AU454" s="63"/>
      <c r="AV454" s="63"/>
      <c r="AW454" s="63"/>
      <c r="AX454" s="63"/>
      <c r="AY454" s="63"/>
      <c r="AZ454" s="63"/>
      <c r="BA454" s="63"/>
      <c r="BB454" s="63"/>
      <c r="BC454" s="63"/>
      <c r="BD454" s="63"/>
      <c r="BE454" s="63"/>
      <c r="BF454" s="63"/>
      <c r="BG454" s="63"/>
      <c r="BH454" s="63"/>
      <c r="BI454" s="63"/>
      <c r="BJ454" s="63"/>
      <c r="BK454" s="63"/>
      <c r="BL454" s="63"/>
      <c r="BM454" s="63"/>
      <c r="BN454" s="63"/>
      <c r="BO454" s="63"/>
      <c r="BP454" s="63"/>
      <c r="BQ454" s="63"/>
      <c r="BR454" s="63"/>
      <c r="BS454" s="63"/>
      <c r="BT454" s="63"/>
      <c r="BU454" s="63"/>
      <c r="BV454" s="63"/>
      <c r="BW454" s="63"/>
    </row>
    <row r="455" spans="1:75" x14ac:dyDescent="0.2">
      <c r="A455" s="63" t="str">
        <f t="shared" si="93"/>
        <v/>
      </c>
      <c r="B455" s="182"/>
      <c r="C455" s="75"/>
      <c r="D455" s="75"/>
      <c r="E455" s="74"/>
      <c r="F455" s="181"/>
      <c r="G455" s="69"/>
      <c r="AB455" s="150">
        <f t="shared" si="84"/>
        <v>0</v>
      </c>
      <c r="AC455" s="150">
        <f t="shared" si="85"/>
        <v>0</v>
      </c>
      <c r="AD455" s="98" t="str">
        <f t="shared" si="82"/>
        <v>0000000000</v>
      </c>
      <c r="AE455" s="151">
        <f t="shared" si="87"/>
        <v>0</v>
      </c>
      <c r="AF455" s="98" t="str">
        <f t="shared" si="88"/>
        <v>00</v>
      </c>
      <c r="AG455" s="98" t="str">
        <f t="shared" si="83"/>
        <v>000000000000</v>
      </c>
      <c r="AH455" s="161" t="str">
        <f t="shared" si="89"/>
        <v xml:space="preserve">                    </v>
      </c>
      <c r="AI455" s="154">
        <f t="shared" si="90"/>
        <v>0</v>
      </c>
      <c r="AJ455" s="155">
        <f t="shared" si="91"/>
        <v>0</v>
      </c>
      <c r="AP455" s="63" t="str">
        <f t="shared" si="92"/>
        <v/>
      </c>
      <c r="AQ455" s="63" t="str">
        <f t="shared" si="86"/>
        <v xml:space="preserve">                    </v>
      </c>
      <c r="AR455" s="63"/>
      <c r="AS455" s="63"/>
      <c r="AT455" s="63"/>
      <c r="AU455" s="63"/>
      <c r="AV455" s="63"/>
      <c r="AW455" s="63"/>
      <c r="AX455" s="63"/>
      <c r="AY455" s="63"/>
      <c r="AZ455" s="63"/>
      <c r="BA455" s="63"/>
      <c r="BB455" s="63"/>
      <c r="BC455" s="63"/>
      <c r="BD455" s="63"/>
      <c r="BE455" s="63"/>
      <c r="BF455" s="63"/>
      <c r="BG455" s="63"/>
      <c r="BH455" s="63"/>
      <c r="BI455" s="63"/>
      <c r="BJ455" s="63"/>
      <c r="BK455" s="63"/>
      <c r="BL455" s="63"/>
      <c r="BM455" s="63"/>
      <c r="BN455" s="63"/>
      <c r="BO455" s="63"/>
      <c r="BP455" s="63"/>
      <c r="BQ455" s="63"/>
      <c r="BR455" s="63"/>
      <c r="BS455" s="63"/>
      <c r="BT455" s="63"/>
      <c r="BU455" s="63"/>
      <c r="BV455" s="63"/>
      <c r="BW455" s="63"/>
    </row>
    <row r="456" spans="1:75" x14ac:dyDescent="0.2">
      <c r="A456" s="63" t="str">
        <f t="shared" si="93"/>
        <v/>
      </c>
      <c r="B456" s="182"/>
      <c r="C456" s="75"/>
      <c r="D456" s="75"/>
      <c r="E456" s="74"/>
      <c r="F456" s="181"/>
      <c r="G456" s="69"/>
      <c r="AB456" s="150">
        <f t="shared" si="84"/>
        <v>0</v>
      </c>
      <c r="AC456" s="150">
        <f t="shared" si="85"/>
        <v>0</v>
      </c>
      <c r="AD456" s="98" t="str">
        <f t="shared" ref="AD456:AD519" si="94">TEXT(AB456,"0000000000")</f>
        <v>0000000000</v>
      </c>
      <c r="AE456" s="151">
        <f t="shared" si="87"/>
        <v>0</v>
      </c>
      <c r="AF456" s="98" t="str">
        <f t="shared" si="88"/>
        <v>00</v>
      </c>
      <c r="AG456" s="98" t="str">
        <f t="shared" ref="AG456:AG519" si="95">CONCATENATE(AD456,AF456)</f>
        <v>000000000000</v>
      </c>
      <c r="AH456" s="161" t="str">
        <f t="shared" si="89"/>
        <v xml:space="preserve">                    </v>
      </c>
      <c r="AI456" s="154">
        <f t="shared" si="90"/>
        <v>0</v>
      </c>
      <c r="AJ456" s="155">
        <f t="shared" si="91"/>
        <v>0</v>
      </c>
      <c r="AP456" s="63" t="str">
        <f t="shared" si="92"/>
        <v/>
      </c>
      <c r="AQ456" s="63" t="str">
        <f t="shared" si="86"/>
        <v xml:space="preserve">                    </v>
      </c>
      <c r="AR456" s="63"/>
      <c r="AS456" s="63"/>
      <c r="AT456" s="63"/>
      <c r="AU456" s="63"/>
      <c r="AV456" s="63"/>
      <c r="AW456" s="63"/>
      <c r="AX456" s="63"/>
      <c r="AY456" s="63"/>
      <c r="AZ456" s="63"/>
      <c r="BA456" s="63"/>
      <c r="BB456" s="63"/>
      <c r="BC456" s="63"/>
      <c r="BD456" s="63"/>
      <c r="BE456" s="63"/>
      <c r="BF456" s="63"/>
      <c r="BG456" s="63"/>
      <c r="BH456" s="63"/>
      <c r="BI456" s="63"/>
      <c r="BJ456" s="63"/>
      <c r="BK456" s="63"/>
      <c r="BL456" s="63"/>
      <c r="BM456" s="63"/>
      <c r="BN456" s="63"/>
      <c r="BO456" s="63"/>
      <c r="BP456" s="63"/>
      <c r="BQ456" s="63"/>
      <c r="BR456" s="63"/>
      <c r="BS456" s="63"/>
      <c r="BT456" s="63"/>
      <c r="BU456" s="63"/>
      <c r="BV456" s="63"/>
      <c r="BW456" s="63"/>
    </row>
    <row r="457" spans="1:75" x14ac:dyDescent="0.2">
      <c r="A457" s="63" t="str">
        <f t="shared" si="93"/>
        <v/>
      </c>
      <c r="B457" s="182"/>
      <c r="C457" s="75"/>
      <c r="D457" s="75"/>
      <c r="E457" s="74"/>
      <c r="F457" s="181"/>
      <c r="G457" s="69"/>
      <c r="AB457" s="150">
        <f t="shared" si="84"/>
        <v>0</v>
      </c>
      <c r="AC457" s="150">
        <f t="shared" si="85"/>
        <v>0</v>
      </c>
      <c r="AD457" s="98" t="str">
        <f t="shared" si="94"/>
        <v>0000000000</v>
      </c>
      <c r="AE457" s="151">
        <f t="shared" si="87"/>
        <v>0</v>
      </c>
      <c r="AF457" s="98" t="str">
        <f t="shared" si="88"/>
        <v>00</v>
      </c>
      <c r="AG457" s="98" t="str">
        <f t="shared" si="95"/>
        <v>000000000000</v>
      </c>
      <c r="AH457" s="161" t="str">
        <f t="shared" si="89"/>
        <v xml:space="preserve">                    </v>
      </c>
      <c r="AI457" s="154">
        <f t="shared" si="90"/>
        <v>0</v>
      </c>
      <c r="AJ457" s="155">
        <f t="shared" si="91"/>
        <v>0</v>
      </c>
      <c r="AP457" s="63" t="str">
        <f t="shared" si="92"/>
        <v/>
      </c>
      <c r="AQ457" s="63" t="str">
        <f t="shared" si="86"/>
        <v xml:space="preserve">                    </v>
      </c>
      <c r="AR457" s="63"/>
      <c r="AS457" s="63"/>
      <c r="AT457" s="63"/>
      <c r="AU457" s="63"/>
      <c r="AV457" s="63"/>
      <c r="AW457" s="63"/>
      <c r="AX457" s="63"/>
      <c r="AY457" s="63"/>
      <c r="AZ457" s="63"/>
      <c r="BA457" s="63"/>
      <c r="BB457" s="63"/>
      <c r="BC457" s="63"/>
      <c r="BD457" s="63"/>
      <c r="BE457" s="63"/>
      <c r="BF457" s="63"/>
      <c r="BG457" s="63"/>
      <c r="BH457" s="63"/>
      <c r="BI457" s="63"/>
      <c r="BJ457" s="63"/>
      <c r="BK457" s="63"/>
      <c r="BL457" s="63"/>
      <c r="BM457" s="63"/>
      <c r="BN457" s="63"/>
      <c r="BO457" s="63"/>
      <c r="BP457" s="63"/>
      <c r="BQ457" s="63"/>
      <c r="BR457" s="63"/>
      <c r="BS457" s="63"/>
      <c r="BT457" s="63"/>
      <c r="BU457" s="63"/>
      <c r="BV457" s="63"/>
      <c r="BW457" s="63"/>
    </row>
    <row r="458" spans="1:75" x14ac:dyDescent="0.2">
      <c r="A458" s="63" t="str">
        <f t="shared" si="93"/>
        <v/>
      </c>
      <c r="B458" s="182"/>
      <c r="C458" s="75"/>
      <c r="D458" s="75"/>
      <c r="E458" s="74"/>
      <c r="F458" s="181"/>
      <c r="G458" s="69"/>
      <c r="AB458" s="150">
        <f t="shared" si="84"/>
        <v>0</v>
      </c>
      <c r="AC458" s="150">
        <f t="shared" si="85"/>
        <v>0</v>
      </c>
      <c r="AD458" s="98" t="str">
        <f t="shared" si="94"/>
        <v>0000000000</v>
      </c>
      <c r="AE458" s="151">
        <f t="shared" si="87"/>
        <v>0</v>
      </c>
      <c r="AF458" s="98" t="str">
        <f t="shared" si="88"/>
        <v>00</v>
      </c>
      <c r="AG458" s="98" t="str">
        <f t="shared" si="95"/>
        <v>000000000000</v>
      </c>
      <c r="AH458" s="161" t="str">
        <f t="shared" si="89"/>
        <v xml:space="preserve">                    </v>
      </c>
      <c r="AI458" s="154">
        <f t="shared" si="90"/>
        <v>0</v>
      </c>
      <c r="AJ458" s="155">
        <f t="shared" si="91"/>
        <v>0</v>
      </c>
      <c r="AP458" s="63" t="str">
        <f t="shared" si="92"/>
        <v/>
      </c>
      <c r="AQ458" s="63" t="str">
        <f t="shared" si="86"/>
        <v xml:space="preserve">                    </v>
      </c>
      <c r="AR458" s="63"/>
      <c r="AS458" s="63"/>
      <c r="AT458" s="63"/>
      <c r="AU458" s="63"/>
      <c r="AV458" s="63"/>
      <c r="AW458" s="63"/>
      <c r="AX458" s="63"/>
      <c r="AY458" s="63"/>
      <c r="AZ458" s="63"/>
      <c r="BA458" s="63"/>
      <c r="BB458" s="63"/>
      <c r="BC458" s="63"/>
      <c r="BD458" s="63"/>
      <c r="BE458" s="63"/>
      <c r="BF458" s="63"/>
      <c r="BG458" s="63"/>
      <c r="BH458" s="63"/>
      <c r="BI458" s="63"/>
      <c r="BJ458" s="63"/>
      <c r="BK458" s="63"/>
      <c r="BL458" s="63"/>
      <c r="BM458" s="63"/>
      <c r="BN458" s="63"/>
      <c r="BO458" s="63"/>
      <c r="BP458" s="63"/>
      <c r="BQ458" s="63"/>
      <c r="BR458" s="63"/>
      <c r="BS458" s="63"/>
      <c r="BT458" s="63"/>
      <c r="BU458" s="63"/>
      <c r="BV458" s="63"/>
      <c r="BW458" s="63"/>
    </row>
    <row r="459" spans="1:75" x14ac:dyDescent="0.2">
      <c r="A459" s="63" t="str">
        <f t="shared" si="93"/>
        <v/>
      </c>
      <c r="B459" s="182"/>
      <c r="C459" s="75"/>
      <c r="D459" s="75"/>
      <c r="E459" s="74"/>
      <c r="F459" s="181"/>
      <c r="G459" s="69"/>
      <c r="AB459" s="150">
        <f t="shared" si="84"/>
        <v>0</v>
      </c>
      <c r="AC459" s="150">
        <f t="shared" si="85"/>
        <v>0</v>
      </c>
      <c r="AD459" s="98" t="str">
        <f t="shared" si="94"/>
        <v>0000000000</v>
      </c>
      <c r="AE459" s="151">
        <f t="shared" si="87"/>
        <v>0</v>
      </c>
      <c r="AF459" s="98" t="str">
        <f t="shared" si="88"/>
        <v>00</v>
      </c>
      <c r="AG459" s="98" t="str">
        <f t="shared" si="95"/>
        <v>000000000000</v>
      </c>
      <c r="AH459" s="161" t="str">
        <f t="shared" si="89"/>
        <v xml:space="preserve">                    </v>
      </c>
      <c r="AI459" s="154">
        <f t="shared" si="90"/>
        <v>0</v>
      </c>
      <c r="AJ459" s="155">
        <f t="shared" si="91"/>
        <v>0</v>
      </c>
      <c r="AP459" s="63" t="str">
        <f t="shared" si="92"/>
        <v/>
      </c>
      <c r="AQ459" s="63" t="str">
        <f t="shared" si="86"/>
        <v xml:space="preserve">                    </v>
      </c>
      <c r="AR459" s="63"/>
      <c r="AS459" s="63"/>
      <c r="AT459" s="63"/>
      <c r="AU459" s="63"/>
      <c r="AV459" s="63"/>
      <c r="AW459" s="63"/>
      <c r="AX459" s="63"/>
      <c r="AY459" s="63"/>
      <c r="AZ459" s="63"/>
      <c r="BA459" s="63"/>
      <c r="BB459" s="63"/>
      <c r="BC459" s="63"/>
      <c r="BD459" s="63"/>
      <c r="BE459" s="63"/>
      <c r="BF459" s="63"/>
      <c r="BG459" s="63"/>
      <c r="BH459" s="63"/>
      <c r="BI459" s="63"/>
      <c r="BJ459" s="63"/>
      <c r="BK459" s="63"/>
      <c r="BL459" s="63"/>
      <c r="BM459" s="63"/>
      <c r="BN459" s="63"/>
      <c r="BO459" s="63"/>
      <c r="BP459" s="63"/>
      <c r="BQ459" s="63"/>
      <c r="BR459" s="63"/>
      <c r="BS459" s="63"/>
      <c r="BT459" s="63"/>
      <c r="BU459" s="63"/>
      <c r="BV459" s="63"/>
      <c r="BW459" s="63"/>
    </row>
    <row r="460" spans="1:75" x14ac:dyDescent="0.2">
      <c r="A460" s="63" t="str">
        <f t="shared" si="93"/>
        <v/>
      </c>
      <c r="B460" s="182"/>
      <c r="C460" s="75"/>
      <c r="D460" s="75"/>
      <c r="E460" s="74"/>
      <c r="F460" s="181"/>
      <c r="G460" s="69"/>
      <c r="AB460" s="150">
        <f t="shared" si="84"/>
        <v>0</v>
      </c>
      <c r="AC460" s="150">
        <f t="shared" si="85"/>
        <v>0</v>
      </c>
      <c r="AD460" s="98" t="str">
        <f t="shared" si="94"/>
        <v>0000000000</v>
      </c>
      <c r="AE460" s="151">
        <f t="shared" si="87"/>
        <v>0</v>
      </c>
      <c r="AF460" s="98" t="str">
        <f t="shared" si="88"/>
        <v>00</v>
      </c>
      <c r="AG460" s="98" t="str">
        <f t="shared" si="95"/>
        <v>000000000000</v>
      </c>
      <c r="AH460" s="161" t="str">
        <f t="shared" si="89"/>
        <v xml:space="preserve">                    </v>
      </c>
      <c r="AI460" s="154">
        <f t="shared" si="90"/>
        <v>0</v>
      </c>
      <c r="AJ460" s="155">
        <f t="shared" si="91"/>
        <v>0</v>
      </c>
      <c r="AP460" s="63" t="str">
        <f t="shared" si="92"/>
        <v/>
      </c>
      <c r="AQ460" s="63" t="str">
        <f t="shared" si="86"/>
        <v xml:space="preserve">                    </v>
      </c>
      <c r="AR460" s="63"/>
      <c r="AS460" s="63"/>
      <c r="AT460" s="63"/>
      <c r="AU460" s="63"/>
      <c r="AV460" s="63"/>
      <c r="AW460" s="63"/>
      <c r="AX460" s="63"/>
      <c r="AY460" s="63"/>
      <c r="AZ460" s="63"/>
      <c r="BA460" s="63"/>
      <c r="BB460" s="63"/>
      <c r="BC460" s="63"/>
      <c r="BD460" s="63"/>
      <c r="BE460" s="63"/>
      <c r="BF460" s="63"/>
      <c r="BG460" s="63"/>
      <c r="BH460" s="63"/>
      <c r="BI460" s="63"/>
      <c r="BJ460" s="63"/>
      <c r="BK460" s="63"/>
      <c r="BL460" s="63"/>
      <c r="BM460" s="63"/>
      <c r="BN460" s="63"/>
      <c r="BO460" s="63"/>
      <c r="BP460" s="63"/>
      <c r="BQ460" s="63"/>
      <c r="BR460" s="63"/>
      <c r="BS460" s="63"/>
      <c r="BT460" s="63"/>
      <c r="BU460" s="63"/>
      <c r="BV460" s="63"/>
      <c r="BW460" s="63"/>
    </row>
    <row r="461" spans="1:75" x14ac:dyDescent="0.2">
      <c r="A461" s="63" t="str">
        <f t="shared" si="93"/>
        <v/>
      </c>
      <c r="B461" s="182"/>
      <c r="C461" s="75"/>
      <c r="D461" s="75"/>
      <c r="E461" s="74"/>
      <c r="F461" s="181"/>
      <c r="G461" s="69"/>
      <c r="AB461" s="150">
        <f t="shared" si="84"/>
        <v>0</v>
      </c>
      <c r="AC461" s="150">
        <f t="shared" si="85"/>
        <v>0</v>
      </c>
      <c r="AD461" s="98" t="str">
        <f t="shared" si="94"/>
        <v>0000000000</v>
      </c>
      <c r="AE461" s="151">
        <f t="shared" si="87"/>
        <v>0</v>
      </c>
      <c r="AF461" s="98" t="str">
        <f t="shared" si="88"/>
        <v>00</v>
      </c>
      <c r="AG461" s="98" t="str">
        <f t="shared" si="95"/>
        <v>000000000000</v>
      </c>
      <c r="AH461" s="161" t="str">
        <f t="shared" si="89"/>
        <v xml:space="preserve">                    </v>
      </c>
      <c r="AI461" s="154">
        <f t="shared" si="90"/>
        <v>0</v>
      </c>
      <c r="AJ461" s="155">
        <f t="shared" si="91"/>
        <v>0</v>
      </c>
      <c r="AP461" s="63" t="str">
        <f t="shared" si="92"/>
        <v/>
      </c>
      <c r="AQ461" s="63" t="str">
        <f t="shared" si="86"/>
        <v xml:space="preserve">                    </v>
      </c>
      <c r="AR461" s="63"/>
      <c r="AS461" s="63"/>
      <c r="AT461" s="63"/>
      <c r="AU461" s="63"/>
      <c r="AV461" s="63"/>
      <c r="AW461" s="63"/>
      <c r="AX461" s="63"/>
      <c r="AY461" s="63"/>
      <c r="AZ461" s="63"/>
      <c r="BA461" s="63"/>
      <c r="BB461" s="63"/>
      <c r="BC461" s="63"/>
      <c r="BD461" s="63"/>
      <c r="BE461" s="63"/>
      <c r="BF461" s="63"/>
      <c r="BG461" s="63"/>
      <c r="BH461" s="63"/>
      <c r="BI461" s="63"/>
      <c r="BJ461" s="63"/>
      <c r="BK461" s="63"/>
      <c r="BL461" s="63"/>
      <c r="BM461" s="63"/>
      <c r="BN461" s="63"/>
      <c r="BO461" s="63"/>
      <c r="BP461" s="63"/>
      <c r="BQ461" s="63"/>
      <c r="BR461" s="63"/>
      <c r="BS461" s="63"/>
      <c r="BT461" s="63"/>
      <c r="BU461" s="63"/>
      <c r="BV461" s="63"/>
      <c r="BW461" s="63"/>
    </row>
    <row r="462" spans="1:75" x14ac:dyDescent="0.2">
      <c r="A462" s="63" t="str">
        <f t="shared" si="93"/>
        <v/>
      </c>
      <c r="B462" s="182"/>
      <c r="C462" s="75"/>
      <c r="D462" s="75"/>
      <c r="E462" s="74"/>
      <c r="F462" s="181"/>
      <c r="G462" s="69"/>
      <c r="AB462" s="150">
        <f t="shared" si="84"/>
        <v>0</v>
      </c>
      <c r="AC462" s="150">
        <f t="shared" si="85"/>
        <v>0</v>
      </c>
      <c r="AD462" s="98" t="str">
        <f t="shared" si="94"/>
        <v>0000000000</v>
      </c>
      <c r="AE462" s="151">
        <f t="shared" si="87"/>
        <v>0</v>
      </c>
      <c r="AF462" s="98" t="str">
        <f t="shared" si="88"/>
        <v>00</v>
      </c>
      <c r="AG462" s="98" t="str">
        <f t="shared" si="95"/>
        <v>000000000000</v>
      </c>
      <c r="AH462" s="161" t="str">
        <f t="shared" si="89"/>
        <v xml:space="preserve">                    </v>
      </c>
      <c r="AI462" s="154">
        <f t="shared" si="90"/>
        <v>0</v>
      </c>
      <c r="AJ462" s="155">
        <f t="shared" si="91"/>
        <v>0</v>
      </c>
      <c r="AP462" s="63" t="str">
        <f t="shared" si="92"/>
        <v/>
      </c>
      <c r="AQ462" s="63" t="str">
        <f t="shared" si="86"/>
        <v xml:space="preserve">                    </v>
      </c>
      <c r="AR462" s="63"/>
      <c r="AS462" s="63"/>
      <c r="AT462" s="63"/>
      <c r="AU462" s="63"/>
      <c r="AV462" s="63"/>
      <c r="AW462" s="63"/>
      <c r="AX462" s="63"/>
      <c r="AY462" s="63"/>
      <c r="AZ462" s="63"/>
      <c r="BA462" s="63"/>
      <c r="BB462" s="63"/>
      <c r="BC462" s="63"/>
      <c r="BD462" s="63"/>
      <c r="BE462" s="63"/>
      <c r="BF462" s="63"/>
      <c r="BG462" s="63"/>
      <c r="BH462" s="63"/>
      <c r="BI462" s="63"/>
      <c r="BJ462" s="63"/>
      <c r="BK462" s="63"/>
      <c r="BL462" s="63"/>
      <c r="BM462" s="63"/>
      <c r="BN462" s="63"/>
      <c r="BO462" s="63"/>
      <c r="BP462" s="63"/>
      <c r="BQ462" s="63"/>
      <c r="BR462" s="63"/>
      <c r="BS462" s="63"/>
      <c r="BT462" s="63"/>
      <c r="BU462" s="63"/>
      <c r="BV462" s="63"/>
      <c r="BW462" s="63"/>
    </row>
    <row r="463" spans="1:75" x14ac:dyDescent="0.2">
      <c r="A463" s="63" t="str">
        <f t="shared" si="93"/>
        <v/>
      </c>
      <c r="B463" s="182"/>
      <c r="C463" s="75"/>
      <c r="D463" s="75"/>
      <c r="E463" s="74"/>
      <c r="F463" s="181"/>
      <c r="G463" s="69"/>
      <c r="AB463" s="150">
        <f t="shared" si="84"/>
        <v>0</v>
      </c>
      <c r="AC463" s="150">
        <f t="shared" si="85"/>
        <v>0</v>
      </c>
      <c r="AD463" s="98" t="str">
        <f t="shared" si="94"/>
        <v>0000000000</v>
      </c>
      <c r="AE463" s="151">
        <f t="shared" si="87"/>
        <v>0</v>
      </c>
      <c r="AF463" s="98" t="str">
        <f t="shared" si="88"/>
        <v>00</v>
      </c>
      <c r="AG463" s="98" t="str">
        <f t="shared" si="95"/>
        <v>000000000000</v>
      </c>
      <c r="AH463" s="161" t="str">
        <f t="shared" si="89"/>
        <v xml:space="preserve">                    </v>
      </c>
      <c r="AI463" s="154">
        <f t="shared" si="90"/>
        <v>0</v>
      </c>
      <c r="AJ463" s="155">
        <f t="shared" si="91"/>
        <v>0</v>
      </c>
      <c r="AP463" s="63" t="str">
        <f t="shared" si="92"/>
        <v/>
      </c>
      <c r="AQ463" s="63" t="str">
        <f t="shared" si="86"/>
        <v xml:space="preserve">                    </v>
      </c>
      <c r="AR463" s="63"/>
      <c r="AS463" s="63"/>
      <c r="AT463" s="63"/>
      <c r="AU463" s="63"/>
      <c r="AV463" s="63"/>
      <c r="AW463" s="63"/>
      <c r="AX463" s="63"/>
      <c r="AY463" s="63"/>
      <c r="AZ463" s="63"/>
      <c r="BA463" s="63"/>
      <c r="BB463" s="63"/>
      <c r="BC463" s="63"/>
      <c r="BD463" s="63"/>
      <c r="BE463" s="63"/>
      <c r="BF463" s="63"/>
      <c r="BG463" s="63"/>
      <c r="BH463" s="63"/>
      <c r="BI463" s="63"/>
      <c r="BJ463" s="63"/>
      <c r="BK463" s="63"/>
      <c r="BL463" s="63"/>
      <c r="BM463" s="63"/>
      <c r="BN463" s="63"/>
      <c r="BO463" s="63"/>
      <c r="BP463" s="63"/>
      <c r="BQ463" s="63"/>
      <c r="BR463" s="63"/>
      <c r="BS463" s="63"/>
      <c r="BT463" s="63"/>
      <c r="BU463" s="63"/>
      <c r="BV463" s="63"/>
      <c r="BW463" s="63"/>
    </row>
    <row r="464" spans="1:75" x14ac:dyDescent="0.2">
      <c r="A464" s="63" t="str">
        <f t="shared" si="93"/>
        <v/>
      </c>
      <c r="B464" s="182"/>
      <c r="C464" s="75"/>
      <c r="D464" s="75"/>
      <c r="E464" s="74"/>
      <c r="F464" s="181"/>
      <c r="G464" s="69"/>
      <c r="AB464" s="150">
        <f t="shared" si="84"/>
        <v>0</v>
      </c>
      <c r="AC464" s="150">
        <f t="shared" si="85"/>
        <v>0</v>
      </c>
      <c r="AD464" s="98" t="str">
        <f t="shared" si="94"/>
        <v>0000000000</v>
      </c>
      <c r="AE464" s="151">
        <f t="shared" si="87"/>
        <v>0</v>
      </c>
      <c r="AF464" s="98" t="str">
        <f t="shared" si="88"/>
        <v>00</v>
      </c>
      <c r="AG464" s="98" t="str">
        <f t="shared" si="95"/>
        <v>000000000000</v>
      </c>
      <c r="AH464" s="161" t="str">
        <f t="shared" si="89"/>
        <v xml:space="preserve">                    </v>
      </c>
      <c r="AI464" s="154">
        <f t="shared" si="90"/>
        <v>0</v>
      </c>
      <c r="AJ464" s="155">
        <f t="shared" si="91"/>
        <v>0</v>
      </c>
      <c r="AP464" s="63" t="str">
        <f t="shared" si="92"/>
        <v/>
      </c>
      <c r="AQ464" s="63" t="str">
        <f t="shared" si="86"/>
        <v xml:space="preserve">                    </v>
      </c>
      <c r="AR464" s="63"/>
      <c r="AS464" s="63"/>
      <c r="AT464" s="63"/>
      <c r="AU464" s="63"/>
      <c r="AV464" s="63"/>
      <c r="AW464" s="63"/>
      <c r="AX464" s="63"/>
      <c r="AY464" s="63"/>
      <c r="AZ464" s="63"/>
      <c r="BA464" s="63"/>
      <c r="BB464" s="63"/>
      <c r="BC464" s="63"/>
      <c r="BD464" s="63"/>
      <c r="BE464" s="63"/>
      <c r="BF464" s="63"/>
      <c r="BG464" s="63"/>
      <c r="BH464" s="63"/>
      <c r="BI464" s="63"/>
      <c r="BJ464" s="63"/>
      <c r="BK464" s="63"/>
      <c r="BL464" s="63"/>
      <c r="BM464" s="63"/>
      <c r="BN464" s="63"/>
      <c r="BO464" s="63"/>
      <c r="BP464" s="63"/>
      <c r="BQ464" s="63"/>
      <c r="BR464" s="63"/>
      <c r="BS464" s="63"/>
      <c r="BT464" s="63"/>
      <c r="BU464" s="63"/>
      <c r="BV464" s="63"/>
      <c r="BW464" s="63"/>
    </row>
    <row r="465" spans="1:75" x14ac:dyDescent="0.2">
      <c r="A465" s="63" t="str">
        <f t="shared" si="93"/>
        <v/>
      </c>
      <c r="B465" s="182"/>
      <c r="C465" s="75"/>
      <c r="D465" s="75"/>
      <c r="E465" s="74"/>
      <c r="F465" s="181"/>
      <c r="G465" s="69"/>
      <c r="AB465" s="150">
        <f t="shared" si="84"/>
        <v>0</v>
      </c>
      <c r="AC465" s="150">
        <f t="shared" si="85"/>
        <v>0</v>
      </c>
      <c r="AD465" s="98" t="str">
        <f t="shared" si="94"/>
        <v>0000000000</v>
      </c>
      <c r="AE465" s="151">
        <f t="shared" si="87"/>
        <v>0</v>
      </c>
      <c r="AF465" s="98" t="str">
        <f t="shared" si="88"/>
        <v>00</v>
      </c>
      <c r="AG465" s="98" t="str">
        <f t="shared" si="95"/>
        <v>000000000000</v>
      </c>
      <c r="AH465" s="161" t="str">
        <f t="shared" si="89"/>
        <v xml:space="preserve">                    </v>
      </c>
      <c r="AI465" s="154">
        <f t="shared" si="90"/>
        <v>0</v>
      </c>
      <c r="AJ465" s="155">
        <f t="shared" si="91"/>
        <v>0</v>
      </c>
      <c r="AP465" s="63" t="str">
        <f t="shared" si="92"/>
        <v/>
      </c>
      <c r="AQ465" s="63" t="str">
        <f t="shared" si="86"/>
        <v xml:space="preserve">                    </v>
      </c>
      <c r="AR465" s="63"/>
      <c r="AS465" s="63"/>
      <c r="AT465" s="63"/>
      <c r="AU465" s="63"/>
      <c r="AV465" s="63"/>
      <c r="AW465" s="63"/>
      <c r="AX465" s="63"/>
      <c r="AY465" s="63"/>
      <c r="AZ465" s="63"/>
      <c r="BA465" s="63"/>
      <c r="BB465" s="63"/>
      <c r="BC465" s="63"/>
      <c r="BD465" s="63"/>
      <c r="BE465" s="63"/>
      <c r="BF465" s="63"/>
      <c r="BG465" s="63"/>
      <c r="BH465" s="63"/>
      <c r="BI465" s="63"/>
      <c r="BJ465" s="63"/>
      <c r="BK465" s="63"/>
      <c r="BL465" s="63"/>
      <c r="BM465" s="63"/>
      <c r="BN465" s="63"/>
      <c r="BO465" s="63"/>
      <c r="BP465" s="63"/>
      <c r="BQ465" s="63"/>
      <c r="BR465" s="63"/>
      <c r="BS465" s="63"/>
      <c r="BT465" s="63"/>
      <c r="BU465" s="63"/>
      <c r="BV465" s="63"/>
      <c r="BW465" s="63"/>
    </row>
    <row r="466" spans="1:75" x14ac:dyDescent="0.2">
      <c r="A466" s="63" t="str">
        <f t="shared" si="93"/>
        <v/>
      </c>
      <c r="B466" s="182"/>
      <c r="C466" s="75"/>
      <c r="D466" s="75"/>
      <c r="E466" s="74"/>
      <c r="F466" s="181"/>
      <c r="G466" s="69"/>
      <c r="AB466" s="150">
        <f t="shared" si="84"/>
        <v>0</v>
      </c>
      <c r="AC466" s="150">
        <f t="shared" si="85"/>
        <v>0</v>
      </c>
      <c r="AD466" s="98" t="str">
        <f t="shared" si="94"/>
        <v>0000000000</v>
      </c>
      <c r="AE466" s="151">
        <f t="shared" si="87"/>
        <v>0</v>
      </c>
      <c r="AF466" s="98" t="str">
        <f t="shared" si="88"/>
        <v>00</v>
      </c>
      <c r="AG466" s="98" t="str">
        <f t="shared" si="95"/>
        <v>000000000000</v>
      </c>
      <c r="AH466" s="161" t="str">
        <f t="shared" si="89"/>
        <v xml:space="preserve">                    </v>
      </c>
      <c r="AI466" s="154">
        <f t="shared" si="90"/>
        <v>0</v>
      </c>
      <c r="AJ466" s="155">
        <f t="shared" si="91"/>
        <v>0</v>
      </c>
      <c r="AP466" s="63" t="str">
        <f t="shared" si="92"/>
        <v/>
      </c>
      <c r="AQ466" s="63" t="str">
        <f t="shared" si="86"/>
        <v xml:space="preserve">                    </v>
      </c>
      <c r="AR466" s="63"/>
      <c r="AS466" s="63"/>
      <c r="AT466" s="63"/>
      <c r="AU466" s="63"/>
      <c r="AV466" s="63"/>
      <c r="AW466" s="63"/>
      <c r="AX466" s="63"/>
      <c r="AY466" s="63"/>
      <c r="AZ466" s="63"/>
      <c r="BA466" s="63"/>
      <c r="BB466" s="63"/>
      <c r="BC466" s="63"/>
      <c r="BD466" s="63"/>
      <c r="BE466" s="63"/>
      <c r="BF466" s="63"/>
      <c r="BG466" s="63"/>
      <c r="BH466" s="63"/>
      <c r="BI466" s="63"/>
      <c r="BJ466" s="63"/>
      <c r="BK466" s="63"/>
      <c r="BL466" s="63"/>
      <c r="BM466" s="63"/>
      <c r="BN466" s="63"/>
      <c r="BO466" s="63"/>
      <c r="BP466" s="63"/>
      <c r="BQ466" s="63"/>
      <c r="BR466" s="63"/>
      <c r="BS466" s="63"/>
      <c r="BT466" s="63"/>
      <c r="BU466" s="63"/>
      <c r="BV466" s="63"/>
      <c r="BW466" s="63"/>
    </row>
    <row r="467" spans="1:75" x14ac:dyDescent="0.2">
      <c r="A467" s="63" t="str">
        <f t="shared" si="93"/>
        <v/>
      </c>
      <c r="B467" s="182"/>
      <c r="C467" s="75"/>
      <c r="D467" s="75"/>
      <c r="E467" s="74"/>
      <c r="F467" s="181"/>
      <c r="G467" s="69"/>
      <c r="AB467" s="150">
        <f t="shared" si="84"/>
        <v>0</v>
      </c>
      <c r="AC467" s="150">
        <f t="shared" si="85"/>
        <v>0</v>
      </c>
      <c r="AD467" s="98" t="str">
        <f t="shared" si="94"/>
        <v>0000000000</v>
      </c>
      <c r="AE467" s="151">
        <f t="shared" si="87"/>
        <v>0</v>
      </c>
      <c r="AF467" s="98" t="str">
        <f t="shared" si="88"/>
        <v>00</v>
      </c>
      <c r="AG467" s="98" t="str">
        <f t="shared" si="95"/>
        <v>000000000000</v>
      </c>
      <c r="AH467" s="161" t="str">
        <f t="shared" si="89"/>
        <v xml:space="preserve">                    </v>
      </c>
      <c r="AI467" s="154">
        <f t="shared" si="90"/>
        <v>0</v>
      </c>
      <c r="AJ467" s="155">
        <f t="shared" si="91"/>
        <v>0</v>
      </c>
      <c r="AP467" s="63" t="str">
        <f t="shared" si="92"/>
        <v/>
      </c>
      <c r="AQ467" s="63" t="str">
        <f t="shared" si="86"/>
        <v xml:space="preserve">                    </v>
      </c>
      <c r="AR467" s="63"/>
      <c r="AS467" s="63"/>
      <c r="AT467" s="63"/>
      <c r="AU467" s="63"/>
      <c r="AV467" s="63"/>
      <c r="AW467" s="63"/>
      <c r="AX467" s="63"/>
      <c r="AY467" s="63"/>
      <c r="AZ467" s="63"/>
      <c r="BA467" s="63"/>
      <c r="BB467" s="63"/>
      <c r="BC467" s="63"/>
      <c r="BD467" s="63"/>
      <c r="BE467" s="63"/>
      <c r="BF467" s="63"/>
      <c r="BG467" s="63"/>
      <c r="BH467" s="63"/>
      <c r="BI467" s="63"/>
      <c r="BJ467" s="63"/>
      <c r="BK467" s="63"/>
      <c r="BL467" s="63"/>
      <c r="BM467" s="63"/>
      <c r="BN467" s="63"/>
      <c r="BO467" s="63"/>
      <c r="BP467" s="63"/>
      <c r="BQ467" s="63"/>
      <c r="BR467" s="63"/>
      <c r="BS467" s="63"/>
      <c r="BT467" s="63"/>
      <c r="BU467" s="63"/>
      <c r="BV467" s="63"/>
      <c r="BW467" s="63"/>
    </row>
    <row r="468" spans="1:75" x14ac:dyDescent="0.2">
      <c r="A468" s="63" t="str">
        <f t="shared" si="93"/>
        <v/>
      </c>
      <c r="B468" s="182"/>
      <c r="C468" s="75"/>
      <c r="D468" s="75"/>
      <c r="E468" s="74"/>
      <c r="F468" s="181"/>
      <c r="G468" s="69"/>
      <c r="AB468" s="150">
        <f t="shared" si="84"/>
        <v>0</v>
      </c>
      <c r="AC468" s="150">
        <f t="shared" si="85"/>
        <v>0</v>
      </c>
      <c r="AD468" s="98" t="str">
        <f t="shared" si="94"/>
        <v>0000000000</v>
      </c>
      <c r="AE468" s="151">
        <f t="shared" si="87"/>
        <v>0</v>
      </c>
      <c r="AF468" s="98" t="str">
        <f t="shared" si="88"/>
        <v>00</v>
      </c>
      <c r="AG468" s="98" t="str">
        <f t="shared" si="95"/>
        <v>000000000000</v>
      </c>
      <c r="AH468" s="161" t="str">
        <f t="shared" si="89"/>
        <v xml:space="preserve">                    </v>
      </c>
      <c r="AI468" s="154">
        <f t="shared" si="90"/>
        <v>0</v>
      </c>
      <c r="AJ468" s="155">
        <f t="shared" si="91"/>
        <v>0</v>
      </c>
      <c r="AP468" s="63" t="str">
        <f t="shared" si="92"/>
        <v/>
      </c>
      <c r="AQ468" s="63" t="str">
        <f t="shared" si="86"/>
        <v xml:space="preserve">                    </v>
      </c>
      <c r="AR468" s="63"/>
      <c r="AS468" s="63"/>
      <c r="AT468" s="63"/>
      <c r="AU468" s="63"/>
      <c r="AV468" s="63"/>
      <c r="AW468" s="63"/>
      <c r="AX468" s="63"/>
      <c r="AY468" s="63"/>
      <c r="AZ468" s="63"/>
      <c r="BA468" s="63"/>
      <c r="BB468" s="63"/>
      <c r="BC468" s="63"/>
      <c r="BD468" s="63"/>
      <c r="BE468" s="63"/>
      <c r="BF468" s="63"/>
      <c r="BG468" s="63"/>
      <c r="BH468" s="63"/>
      <c r="BI468" s="63"/>
      <c r="BJ468" s="63"/>
      <c r="BK468" s="63"/>
      <c r="BL468" s="63"/>
      <c r="BM468" s="63"/>
      <c r="BN468" s="63"/>
      <c r="BO468" s="63"/>
      <c r="BP468" s="63"/>
      <c r="BQ468" s="63"/>
      <c r="BR468" s="63"/>
      <c r="BS468" s="63"/>
      <c r="BT468" s="63"/>
      <c r="BU468" s="63"/>
      <c r="BV468" s="63"/>
      <c r="BW468" s="63"/>
    </row>
    <row r="469" spans="1:75" x14ac:dyDescent="0.2">
      <c r="A469" s="63" t="str">
        <f t="shared" si="93"/>
        <v/>
      </c>
      <c r="B469" s="182"/>
      <c r="C469" s="75"/>
      <c r="D469" s="75"/>
      <c r="E469" s="74"/>
      <c r="F469" s="181"/>
      <c r="G469" s="69"/>
      <c r="AB469" s="150">
        <f t="shared" si="84"/>
        <v>0</v>
      </c>
      <c r="AC469" s="150">
        <f t="shared" si="85"/>
        <v>0</v>
      </c>
      <c r="AD469" s="98" t="str">
        <f t="shared" si="94"/>
        <v>0000000000</v>
      </c>
      <c r="AE469" s="151">
        <f t="shared" si="87"/>
        <v>0</v>
      </c>
      <c r="AF469" s="98" t="str">
        <f t="shared" si="88"/>
        <v>00</v>
      </c>
      <c r="AG469" s="98" t="str">
        <f t="shared" si="95"/>
        <v>000000000000</v>
      </c>
      <c r="AH469" s="161" t="str">
        <f t="shared" si="89"/>
        <v xml:space="preserve">                    </v>
      </c>
      <c r="AI469" s="154">
        <f t="shared" si="90"/>
        <v>0</v>
      </c>
      <c r="AJ469" s="155">
        <f t="shared" si="91"/>
        <v>0</v>
      </c>
      <c r="AP469" s="63" t="str">
        <f t="shared" si="92"/>
        <v/>
      </c>
      <c r="AQ469" s="63" t="str">
        <f t="shared" si="86"/>
        <v xml:space="preserve">                    </v>
      </c>
      <c r="AR469" s="63"/>
      <c r="AS469" s="63"/>
      <c r="AT469" s="63"/>
      <c r="AU469" s="63"/>
      <c r="AV469" s="63"/>
      <c r="AW469" s="63"/>
      <c r="AX469" s="63"/>
      <c r="AY469" s="63"/>
      <c r="AZ469" s="63"/>
      <c r="BA469" s="63"/>
      <c r="BB469" s="63"/>
      <c r="BC469" s="63"/>
      <c r="BD469" s="63"/>
      <c r="BE469" s="63"/>
      <c r="BF469" s="63"/>
      <c r="BG469" s="63"/>
      <c r="BH469" s="63"/>
      <c r="BI469" s="63"/>
      <c r="BJ469" s="63"/>
      <c r="BK469" s="63"/>
      <c r="BL469" s="63"/>
      <c r="BM469" s="63"/>
      <c r="BN469" s="63"/>
      <c r="BO469" s="63"/>
      <c r="BP469" s="63"/>
      <c r="BQ469" s="63"/>
      <c r="BR469" s="63"/>
      <c r="BS469" s="63"/>
      <c r="BT469" s="63"/>
      <c r="BU469" s="63"/>
      <c r="BV469" s="63"/>
      <c r="BW469" s="63"/>
    </row>
    <row r="470" spans="1:75" x14ac:dyDescent="0.2">
      <c r="A470" s="63" t="str">
        <f t="shared" si="93"/>
        <v/>
      </c>
      <c r="B470" s="182"/>
      <c r="C470" s="75"/>
      <c r="D470" s="75"/>
      <c r="E470" s="74"/>
      <c r="F470" s="181"/>
      <c r="G470" s="69"/>
      <c r="AB470" s="150">
        <f t="shared" si="84"/>
        <v>0</v>
      </c>
      <c r="AC470" s="150">
        <f t="shared" si="85"/>
        <v>0</v>
      </c>
      <c r="AD470" s="98" t="str">
        <f t="shared" si="94"/>
        <v>0000000000</v>
      </c>
      <c r="AE470" s="151">
        <f t="shared" si="87"/>
        <v>0</v>
      </c>
      <c r="AF470" s="98" t="str">
        <f t="shared" si="88"/>
        <v>00</v>
      </c>
      <c r="AG470" s="98" t="str">
        <f t="shared" si="95"/>
        <v>000000000000</v>
      </c>
      <c r="AH470" s="161" t="str">
        <f t="shared" si="89"/>
        <v xml:space="preserve">                    </v>
      </c>
      <c r="AI470" s="154">
        <f t="shared" si="90"/>
        <v>0</v>
      </c>
      <c r="AJ470" s="155">
        <f t="shared" si="91"/>
        <v>0</v>
      </c>
      <c r="AP470" s="63" t="str">
        <f t="shared" si="92"/>
        <v/>
      </c>
      <c r="AQ470" s="63" t="str">
        <f t="shared" si="86"/>
        <v xml:space="preserve">                    </v>
      </c>
      <c r="AR470" s="63"/>
      <c r="AS470" s="63"/>
      <c r="AT470" s="63"/>
      <c r="AU470" s="63"/>
      <c r="AV470" s="63"/>
      <c r="AW470" s="63"/>
      <c r="AX470" s="63"/>
      <c r="AY470" s="63"/>
      <c r="AZ470" s="63"/>
      <c r="BA470" s="63"/>
      <c r="BB470" s="63"/>
      <c r="BC470" s="63"/>
      <c r="BD470" s="63"/>
      <c r="BE470" s="63"/>
      <c r="BF470" s="63"/>
      <c r="BG470" s="63"/>
      <c r="BH470" s="63"/>
      <c r="BI470" s="63"/>
      <c r="BJ470" s="63"/>
      <c r="BK470" s="63"/>
      <c r="BL470" s="63"/>
      <c r="BM470" s="63"/>
      <c r="BN470" s="63"/>
      <c r="BO470" s="63"/>
      <c r="BP470" s="63"/>
      <c r="BQ470" s="63"/>
      <c r="BR470" s="63"/>
      <c r="BS470" s="63"/>
      <c r="BT470" s="63"/>
      <c r="BU470" s="63"/>
      <c r="BV470" s="63"/>
      <c r="BW470" s="63"/>
    </row>
    <row r="471" spans="1:75" x14ac:dyDescent="0.2">
      <c r="A471" s="63" t="str">
        <f t="shared" si="93"/>
        <v/>
      </c>
      <c r="B471" s="182"/>
      <c r="C471" s="75"/>
      <c r="D471" s="75"/>
      <c r="E471" s="74"/>
      <c r="F471" s="181"/>
      <c r="G471" s="69"/>
      <c r="AB471" s="150">
        <f t="shared" si="84"/>
        <v>0</v>
      </c>
      <c r="AC471" s="150">
        <f t="shared" si="85"/>
        <v>0</v>
      </c>
      <c r="AD471" s="98" t="str">
        <f t="shared" si="94"/>
        <v>0000000000</v>
      </c>
      <c r="AE471" s="151">
        <f t="shared" si="87"/>
        <v>0</v>
      </c>
      <c r="AF471" s="98" t="str">
        <f t="shared" si="88"/>
        <v>00</v>
      </c>
      <c r="AG471" s="98" t="str">
        <f t="shared" si="95"/>
        <v>000000000000</v>
      </c>
      <c r="AH471" s="161" t="str">
        <f t="shared" si="89"/>
        <v xml:space="preserve">                    </v>
      </c>
      <c r="AI471" s="154">
        <f t="shared" si="90"/>
        <v>0</v>
      </c>
      <c r="AJ471" s="155">
        <f t="shared" si="91"/>
        <v>0</v>
      </c>
      <c r="AP471" s="63" t="str">
        <f t="shared" si="92"/>
        <v/>
      </c>
      <c r="AQ471" s="63" t="str">
        <f t="shared" si="86"/>
        <v xml:space="preserve">                    </v>
      </c>
      <c r="AR471" s="63"/>
      <c r="AS471" s="63"/>
      <c r="AT471" s="63"/>
      <c r="AU471" s="63"/>
      <c r="AV471" s="63"/>
      <c r="AW471" s="63"/>
      <c r="AX471" s="63"/>
      <c r="AY471" s="63"/>
      <c r="AZ471" s="63"/>
      <c r="BA471" s="63"/>
      <c r="BB471" s="63"/>
      <c r="BC471" s="63"/>
      <c r="BD471" s="63"/>
      <c r="BE471" s="63"/>
      <c r="BF471" s="63"/>
      <c r="BG471" s="63"/>
      <c r="BH471" s="63"/>
      <c r="BI471" s="63"/>
      <c r="BJ471" s="63"/>
      <c r="BK471" s="63"/>
      <c r="BL471" s="63"/>
      <c r="BM471" s="63"/>
      <c r="BN471" s="63"/>
      <c r="BO471" s="63"/>
      <c r="BP471" s="63"/>
      <c r="BQ471" s="63"/>
      <c r="BR471" s="63"/>
      <c r="BS471" s="63"/>
      <c r="BT471" s="63"/>
      <c r="BU471" s="63"/>
      <c r="BV471" s="63"/>
      <c r="BW471" s="63"/>
    </row>
    <row r="472" spans="1:75" x14ac:dyDescent="0.2">
      <c r="A472" s="63" t="str">
        <f t="shared" si="93"/>
        <v/>
      </c>
      <c r="B472" s="182"/>
      <c r="C472" s="75"/>
      <c r="D472" s="75"/>
      <c r="E472" s="74"/>
      <c r="F472" s="181"/>
      <c r="G472" s="69"/>
      <c r="AB472" s="150">
        <f t="shared" si="84"/>
        <v>0</v>
      </c>
      <c r="AC472" s="150">
        <f t="shared" si="85"/>
        <v>0</v>
      </c>
      <c r="AD472" s="98" t="str">
        <f t="shared" si="94"/>
        <v>0000000000</v>
      </c>
      <c r="AE472" s="151">
        <f t="shared" si="87"/>
        <v>0</v>
      </c>
      <c r="AF472" s="98" t="str">
        <f t="shared" si="88"/>
        <v>00</v>
      </c>
      <c r="AG472" s="98" t="str">
        <f t="shared" si="95"/>
        <v>000000000000</v>
      </c>
      <c r="AH472" s="161" t="str">
        <f t="shared" si="89"/>
        <v xml:space="preserve">                    </v>
      </c>
      <c r="AI472" s="154">
        <f t="shared" si="90"/>
        <v>0</v>
      </c>
      <c r="AJ472" s="155">
        <f t="shared" si="91"/>
        <v>0</v>
      </c>
      <c r="AP472" s="63" t="str">
        <f t="shared" si="92"/>
        <v/>
      </c>
      <c r="AQ472" s="63" t="str">
        <f t="shared" si="86"/>
        <v xml:space="preserve">                    </v>
      </c>
      <c r="AR472" s="63"/>
      <c r="AS472" s="63"/>
      <c r="AT472" s="63"/>
      <c r="AU472" s="63"/>
      <c r="AV472" s="63"/>
      <c r="AW472" s="63"/>
      <c r="AX472" s="63"/>
      <c r="AY472" s="63"/>
      <c r="AZ472" s="63"/>
      <c r="BA472" s="63"/>
      <c r="BB472" s="63"/>
      <c r="BC472" s="63"/>
      <c r="BD472" s="63"/>
      <c r="BE472" s="63"/>
      <c r="BF472" s="63"/>
      <c r="BG472" s="63"/>
      <c r="BH472" s="63"/>
      <c r="BI472" s="63"/>
      <c r="BJ472" s="63"/>
      <c r="BK472" s="63"/>
      <c r="BL472" s="63"/>
      <c r="BM472" s="63"/>
      <c r="BN472" s="63"/>
      <c r="BO472" s="63"/>
      <c r="BP472" s="63"/>
      <c r="BQ472" s="63"/>
      <c r="BR472" s="63"/>
      <c r="BS472" s="63"/>
      <c r="BT472" s="63"/>
      <c r="BU472" s="63"/>
      <c r="BV472" s="63"/>
      <c r="BW472" s="63"/>
    </row>
    <row r="473" spans="1:75" x14ac:dyDescent="0.2">
      <c r="A473" s="63" t="str">
        <f t="shared" si="93"/>
        <v/>
      </c>
      <c r="B473" s="182"/>
      <c r="C473" s="75"/>
      <c r="D473" s="75"/>
      <c r="E473" s="74"/>
      <c r="F473" s="181"/>
      <c r="G473" s="69"/>
      <c r="AB473" s="150">
        <f t="shared" si="84"/>
        <v>0</v>
      </c>
      <c r="AC473" s="150">
        <f t="shared" si="85"/>
        <v>0</v>
      </c>
      <c r="AD473" s="98" t="str">
        <f t="shared" si="94"/>
        <v>0000000000</v>
      </c>
      <c r="AE473" s="151">
        <f t="shared" si="87"/>
        <v>0</v>
      </c>
      <c r="AF473" s="98" t="str">
        <f t="shared" si="88"/>
        <v>00</v>
      </c>
      <c r="AG473" s="98" t="str">
        <f t="shared" si="95"/>
        <v>000000000000</v>
      </c>
      <c r="AH473" s="161" t="str">
        <f t="shared" si="89"/>
        <v xml:space="preserve">                    </v>
      </c>
      <c r="AI473" s="154">
        <f t="shared" si="90"/>
        <v>0</v>
      </c>
      <c r="AJ473" s="155">
        <f t="shared" si="91"/>
        <v>0</v>
      </c>
      <c r="AP473" s="63" t="str">
        <f t="shared" si="92"/>
        <v/>
      </c>
      <c r="AQ473" s="63" t="str">
        <f t="shared" si="86"/>
        <v xml:space="preserve">                    </v>
      </c>
      <c r="AR473" s="63"/>
      <c r="AS473" s="63"/>
      <c r="AT473" s="63"/>
      <c r="AU473" s="63"/>
      <c r="AV473" s="63"/>
      <c r="AW473" s="63"/>
      <c r="AX473" s="63"/>
      <c r="AY473" s="63"/>
      <c r="AZ473" s="63"/>
      <c r="BA473" s="63"/>
      <c r="BB473" s="63"/>
      <c r="BC473" s="63"/>
      <c r="BD473" s="63"/>
      <c r="BE473" s="63"/>
      <c r="BF473" s="63"/>
      <c r="BG473" s="63"/>
      <c r="BH473" s="63"/>
      <c r="BI473" s="63"/>
      <c r="BJ473" s="63"/>
      <c r="BK473" s="63"/>
      <c r="BL473" s="63"/>
      <c r="BM473" s="63"/>
      <c r="BN473" s="63"/>
      <c r="BO473" s="63"/>
      <c r="BP473" s="63"/>
      <c r="BQ473" s="63"/>
      <c r="BR473" s="63"/>
      <c r="BS473" s="63"/>
      <c r="BT473" s="63"/>
      <c r="BU473" s="63"/>
      <c r="BV473" s="63"/>
      <c r="BW473" s="63"/>
    </row>
    <row r="474" spans="1:75" x14ac:dyDescent="0.2">
      <c r="A474" s="63" t="str">
        <f t="shared" si="93"/>
        <v/>
      </c>
      <c r="B474" s="182"/>
      <c r="C474" s="75"/>
      <c r="D474" s="75"/>
      <c r="E474" s="74"/>
      <c r="F474" s="181"/>
      <c r="G474" s="69"/>
      <c r="AB474" s="150">
        <f t="shared" si="84"/>
        <v>0</v>
      </c>
      <c r="AC474" s="150">
        <f t="shared" si="85"/>
        <v>0</v>
      </c>
      <c r="AD474" s="98" t="str">
        <f t="shared" si="94"/>
        <v>0000000000</v>
      </c>
      <c r="AE474" s="151">
        <f t="shared" si="87"/>
        <v>0</v>
      </c>
      <c r="AF474" s="98" t="str">
        <f t="shared" si="88"/>
        <v>00</v>
      </c>
      <c r="AG474" s="98" t="str">
        <f t="shared" si="95"/>
        <v>000000000000</v>
      </c>
      <c r="AH474" s="161" t="str">
        <f t="shared" si="89"/>
        <v xml:space="preserve">                    </v>
      </c>
      <c r="AI474" s="154">
        <f t="shared" si="90"/>
        <v>0</v>
      </c>
      <c r="AJ474" s="155">
        <f t="shared" si="91"/>
        <v>0</v>
      </c>
      <c r="AP474" s="63" t="str">
        <f t="shared" si="92"/>
        <v/>
      </c>
      <c r="AQ474" s="63" t="str">
        <f t="shared" si="86"/>
        <v xml:space="preserve">                    </v>
      </c>
      <c r="AR474" s="63"/>
      <c r="AS474" s="63"/>
      <c r="AT474" s="63"/>
      <c r="AU474" s="63"/>
      <c r="AV474" s="63"/>
      <c r="AW474" s="63"/>
      <c r="AX474" s="63"/>
      <c r="AY474" s="63"/>
      <c r="AZ474" s="63"/>
      <c r="BA474" s="63"/>
      <c r="BB474" s="63"/>
      <c r="BC474" s="63"/>
      <c r="BD474" s="63"/>
      <c r="BE474" s="63"/>
      <c r="BF474" s="63"/>
      <c r="BG474" s="63"/>
      <c r="BH474" s="63"/>
      <c r="BI474" s="63"/>
      <c r="BJ474" s="63"/>
      <c r="BK474" s="63"/>
      <c r="BL474" s="63"/>
      <c r="BM474" s="63"/>
      <c r="BN474" s="63"/>
      <c r="BO474" s="63"/>
      <c r="BP474" s="63"/>
      <c r="BQ474" s="63"/>
      <c r="BR474" s="63"/>
      <c r="BS474" s="63"/>
      <c r="BT474" s="63"/>
      <c r="BU474" s="63"/>
      <c r="BV474" s="63"/>
      <c r="BW474" s="63"/>
    </row>
    <row r="475" spans="1:75" x14ac:dyDescent="0.2">
      <c r="A475" s="63" t="str">
        <f t="shared" si="93"/>
        <v/>
      </c>
      <c r="B475" s="182"/>
      <c r="C475" s="75"/>
      <c r="D475" s="75"/>
      <c r="E475" s="74"/>
      <c r="F475" s="181"/>
      <c r="G475" s="69"/>
      <c r="AB475" s="150">
        <f t="shared" si="84"/>
        <v>0</v>
      </c>
      <c r="AC475" s="150">
        <f t="shared" si="85"/>
        <v>0</v>
      </c>
      <c r="AD475" s="98" t="str">
        <f t="shared" si="94"/>
        <v>0000000000</v>
      </c>
      <c r="AE475" s="151">
        <f t="shared" si="87"/>
        <v>0</v>
      </c>
      <c r="AF475" s="98" t="str">
        <f t="shared" si="88"/>
        <v>00</v>
      </c>
      <c r="AG475" s="98" t="str">
        <f t="shared" si="95"/>
        <v>000000000000</v>
      </c>
      <c r="AH475" s="161" t="str">
        <f t="shared" si="89"/>
        <v xml:space="preserve">                    </v>
      </c>
      <c r="AI475" s="154">
        <f t="shared" si="90"/>
        <v>0</v>
      </c>
      <c r="AJ475" s="155">
        <f t="shared" si="91"/>
        <v>0</v>
      </c>
      <c r="AP475" s="63" t="str">
        <f t="shared" si="92"/>
        <v/>
      </c>
      <c r="AQ475" s="63" t="str">
        <f t="shared" si="86"/>
        <v xml:space="preserve">                    </v>
      </c>
      <c r="AR475" s="63"/>
      <c r="AS475" s="63"/>
      <c r="AT475" s="63"/>
      <c r="AU475" s="63"/>
      <c r="AV475" s="63"/>
      <c r="AW475" s="63"/>
      <c r="AX475" s="63"/>
      <c r="AY475" s="63"/>
      <c r="AZ475" s="63"/>
      <c r="BA475" s="63"/>
      <c r="BB475" s="63"/>
      <c r="BC475" s="63"/>
      <c r="BD475" s="63"/>
      <c r="BE475" s="63"/>
      <c r="BF475" s="63"/>
      <c r="BG475" s="63"/>
      <c r="BH475" s="63"/>
      <c r="BI475" s="63"/>
      <c r="BJ475" s="63"/>
      <c r="BK475" s="63"/>
      <c r="BL475" s="63"/>
      <c r="BM475" s="63"/>
      <c r="BN475" s="63"/>
      <c r="BO475" s="63"/>
      <c r="BP475" s="63"/>
      <c r="BQ475" s="63"/>
      <c r="BR475" s="63"/>
      <c r="BS475" s="63"/>
      <c r="BT475" s="63"/>
      <c r="BU475" s="63"/>
      <c r="BV475" s="63"/>
      <c r="BW475" s="63"/>
    </row>
    <row r="476" spans="1:75" x14ac:dyDescent="0.2">
      <c r="A476" s="63" t="str">
        <f t="shared" si="93"/>
        <v/>
      </c>
      <c r="B476" s="182"/>
      <c r="C476" s="75"/>
      <c r="D476" s="75"/>
      <c r="E476" s="74"/>
      <c r="F476" s="181"/>
      <c r="G476" s="69"/>
      <c r="AB476" s="150">
        <f t="shared" si="84"/>
        <v>0</v>
      </c>
      <c r="AC476" s="150">
        <f t="shared" si="85"/>
        <v>0</v>
      </c>
      <c r="AD476" s="98" t="str">
        <f t="shared" si="94"/>
        <v>0000000000</v>
      </c>
      <c r="AE476" s="151">
        <f t="shared" si="87"/>
        <v>0</v>
      </c>
      <c r="AF476" s="98" t="str">
        <f t="shared" si="88"/>
        <v>00</v>
      </c>
      <c r="AG476" s="98" t="str">
        <f t="shared" si="95"/>
        <v>000000000000</v>
      </c>
      <c r="AH476" s="161" t="str">
        <f t="shared" si="89"/>
        <v xml:space="preserve">                    </v>
      </c>
      <c r="AI476" s="154">
        <f t="shared" si="90"/>
        <v>0</v>
      </c>
      <c r="AJ476" s="155">
        <f t="shared" si="91"/>
        <v>0</v>
      </c>
      <c r="AP476" s="63" t="str">
        <f t="shared" si="92"/>
        <v/>
      </c>
      <c r="AQ476" s="63" t="str">
        <f t="shared" si="86"/>
        <v xml:space="preserve">                    </v>
      </c>
      <c r="AR476" s="63"/>
      <c r="AS476" s="63"/>
      <c r="AT476" s="63"/>
      <c r="AU476" s="63"/>
      <c r="AV476" s="63"/>
      <c r="AW476" s="63"/>
      <c r="AX476" s="63"/>
      <c r="AY476" s="63"/>
      <c r="AZ476" s="63"/>
      <c r="BA476" s="63"/>
      <c r="BB476" s="63"/>
      <c r="BC476" s="63"/>
      <c r="BD476" s="63"/>
      <c r="BE476" s="63"/>
      <c r="BF476" s="63"/>
      <c r="BG476" s="63"/>
      <c r="BH476" s="63"/>
      <c r="BI476" s="63"/>
      <c r="BJ476" s="63"/>
      <c r="BK476" s="63"/>
      <c r="BL476" s="63"/>
      <c r="BM476" s="63"/>
      <c r="BN476" s="63"/>
      <c r="BO476" s="63"/>
      <c r="BP476" s="63"/>
      <c r="BQ476" s="63"/>
      <c r="BR476" s="63"/>
      <c r="BS476" s="63"/>
      <c r="BT476" s="63"/>
      <c r="BU476" s="63"/>
      <c r="BV476" s="63"/>
      <c r="BW476" s="63"/>
    </row>
    <row r="477" spans="1:75" x14ac:dyDescent="0.2">
      <c r="A477" s="63" t="str">
        <f t="shared" si="93"/>
        <v/>
      </c>
      <c r="B477" s="182"/>
      <c r="C477" s="75"/>
      <c r="D477" s="75"/>
      <c r="E477" s="74"/>
      <c r="F477" s="181"/>
      <c r="G477" s="69"/>
      <c r="AB477" s="150">
        <f t="shared" si="84"/>
        <v>0</v>
      </c>
      <c r="AC477" s="150">
        <f t="shared" si="85"/>
        <v>0</v>
      </c>
      <c r="AD477" s="98" t="str">
        <f t="shared" si="94"/>
        <v>0000000000</v>
      </c>
      <c r="AE477" s="151">
        <f t="shared" si="87"/>
        <v>0</v>
      </c>
      <c r="AF477" s="98" t="str">
        <f t="shared" si="88"/>
        <v>00</v>
      </c>
      <c r="AG477" s="98" t="str">
        <f t="shared" si="95"/>
        <v>000000000000</v>
      </c>
      <c r="AH477" s="161" t="str">
        <f t="shared" si="89"/>
        <v xml:space="preserve">                    </v>
      </c>
      <c r="AI477" s="154">
        <f t="shared" si="90"/>
        <v>0</v>
      </c>
      <c r="AJ477" s="155">
        <f t="shared" si="91"/>
        <v>0</v>
      </c>
      <c r="AP477" s="63" t="str">
        <f t="shared" si="92"/>
        <v/>
      </c>
      <c r="AQ477" s="63" t="str">
        <f t="shared" si="86"/>
        <v xml:space="preserve">                    </v>
      </c>
      <c r="AR477" s="63"/>
      <c r="AS477" s="63"/>
      <c r="AT477" s="63"/>
      <c r="AU477" s="63"/>
      <c r="AV477" s="63"/>
      <c r="AW477" s="63"/>
      <c r="AX477" s="63"/>
      <c r="AY477" s="63"/>
      <c r="AZ477" s="63"/>
      <c r="BA477" s="63"/>
      <c r="BB477" s="63"/>
      <c r="BC477" s="63"/>
      <c r="BD477" s="63"/>
      <c r="BE477" s="63"/>
      <c r="BF477" s="63"/>
      <c r="BG477" s="63"/>
      <c r="BH477" s="63"/>
      <c r="BI477" s="63"/>
      <c r="BJ477" s="63"/>
      <c r="BK477" s="63"/>
      <c r="BL477" s="63"/>
      <c r="BM477" s="63"/>
      <c r="BN477" s="63"/>
      <c r="BO477" s="63"/>
      <c r="BP477" s="63"/>
      <c r="BQ477" s="63"/>
      <c r="BR477" s="63"/>
      <c r="BS477" s="63"/>
      <c r="BT477" s="63"/>
      <c r="BU477" s="63"/>
      <c r="BV477" s="63"/>
      <c r="BW477" s="63"/>
    </row>
    <row r="478" spans="1:75" x14ac:dyDescent="0.2">
      <c r="A478" s="63" t="str">
        <f t="shared" si="93"/>
        <v/>
      </c>
      <c r="B478" s="182"/>
      <c r="C478" s="75"/>
      <c r="D478" s="75"/>
      <c r="E478" s="74"/>
      <c r="F478" s="181"/>
      <c r="G478" s="69"/>
      <c r="AB478" s="150">
        <f t="shared" si="84"/>
        <v>0</v>
      </c>
      <c r="AC478" s="150">
        <f t="shared" si="85"/>
        <v>0</v>
      </c>
      <c r="AD478" s="98" t="str">
        <f t="shared" si="94"/>
        <v>0000000000</v>
      </c>
      <c r="AE478" s="151">
        <f t="shared" si="87"/>
        <v>0</v>
      </c>
      <c r="AF478" s="98" t="str">
        <f t="shared" si="88"/>
        <v>00</v>
      </c>
      <c r="AG478" s="98" t="str">
        <f t="shared" si="95"/>
        <v>000000000000</v>
      </c>
      <c r="AH478" s="161" t="str">
        <f t="shared" si="89"/>
        <v xml:space="preserve">                    </v>
      </c>
      <c r="AI478" s="154">
        <f t="shared" si="90"/>
        <v>0</v>
      </c>
      <c r="AJ478" s="155">
        <f t="shared" si="91"/>
        <v>0</v>
      </c>
      <c r="AP478" s="63" t="str">
        <f t="shared" si="92"/>
        <v/>
      </c>
      <c r="AQ478" s="63" t="str">
        <f t="shared" si="86"/>
        <v xml:space="preserve">                    </v>
      </c>
      <c r="AR478" s="63"/>
      <c r="AS478" s="63"/>
      <c r="AT478" s="63"/>
      <c r="AU478" s="63"/>
      <c r="AV478" s="63"/>
      <c r="AW478" s="63"/>
      <c r="AX478" s="63"/>
      <c r="AY478" s="63"/>
      <c r="AZ478" s="63"/>
      <c r="BA478" s="63"/>
      <c r="BB478" s="63"/>
      <c r="BC478" s="63"/>
      <c r="BD478" s="63"/>
      <c r="BE478" s="63"/>
      <c r="BF478" s="63"/>
      <c r="BG478" s="63"/>
      <c r="BH478" s="63"/>
      <c r="BI478" s="63"/>
      <c r="BJ478" s="63"/>
      <c r="BK478" s="63"/>
      <c r="BL478" s="63"/>
      <c r="BM478" s="63"/>
      <c r="BN478" s="63"/>
      <c r="BO478" s="63"/>
      <c r="BP478" s="63"/>
      <c r="BQ478" s="63"/>
      <c r="BR478" s="63"/>
      <c r="BS478" s="63"/>
      <c r="BT478" s="63"/>
      <c r="BU478" s="63"/>
      <c r="BV478" s="63"/>
      <c r="BW478" s="63"/>
    </row>
    <row r="479" spans="1:75" x14ac:dyDescent="0.2">
      <c r="A479" s="63" t="str">
        <f t="shared" si="93"/>
        <v/>
      </c>
      <c r="B479" s="182"/>
      <c r="C479" s="75"/>
      <c r="D479" s="75"/>
      <c r="E479" s="74"/>
      <c r="F479" s="181"/>
      <c r="G479" s="69"/>
      <c r="AB479" s="150">
        <f t="shared" si="84"/>
        <v>0</v>
      </c>
      <c r="AC479" s="150">
        <f t="shared" si="85"/>
        <v>0</v>
      </c>
      <c r="AD479" s="98" t="str">
        <f t="shared" si="94"/>
        <v>0000000000</v>
      </c>
      <c r="AE479" s="151">
        <f t="shared" si="87"/>
        <v>0</v>
      </c>
      <c r="AF479" s="98" t="str">
        <f t="shared" si="88"/>
        <v>00</v>
      </c>
      <c r="AG479" s="98" t="str">
        <f t="shared" si="95"/>
        <v>000000000000</v>
      </c>
      <c r="AH479" s="161" t="str">
        <f t="shared" si="89"/>
        <v xml:space="preserve">                    </v>
      </c>
      <c r="AI479" s="154">
        <f t="shared" si="90"/>
        <v>0</v>
      </c>
      <c r="AJ479" s="155">
        <f t="shared" si="91"/>
        <v>0</v>
      </c>
      <c r="AP479" s="63" t="str">
        <f t="shared" si="92"/>
        <v/>
      </c>
      <c r="AQ479" s="63" t="str">
        <f t="shared" si="86"/>
        <v xml:space="preserve">                    </v>
      </c>
      <c r="AR479" s="63"/>
      <c r="AS479" s="63"/>
      <c r="AT479" s="63"/>
      <c r="AU479" s="63"/>
      <c r="AV479" s="63"/>
      <c r="AW479" s="63"/>
      <c r="AX479" s="63"/>
      <c r="AY479" s="63"/>
      <c r="AZ479" s="63"/>
      <c r="BA479" s="63"/>
      <c r="BB479" s="63"/>
      <c r="BC479" s="63"/>
      <c r="BD479" s="63"/>
      <c r="BE479" s="63"/>
      <c r="BF479" s="63"/>
      <c r="BG479" s="63"/>
      <c r="BH479" s="63"/>
      <c r="BI479" s="63"/>
      <c r="BJ479" s="63"/>
      <c r="BK479" s="63"/>
      <c r="BL479" s="63"/>
      <c r="BM479" s="63"/>
      <c r="BN479" s="63"/>
      <c r="BO479" s="63"/>
      <c r="BP479" s="63"/>
      <c r="BQ479" s="63"/>
      <c r="BR479" s="63"/>
      <c r="BS479" s="63"/>
      <c r="BT479" s="63"/>
      <c r="BU479" s="63"/>
      <c r="BV479" s="63"/>
      <c r="BW479" s="63"/>
    </row>
    <row r="480" spans="1:75" x14ac:dyDescent="0.2">
      <c r="A480" s="63" t="str">
        <f t="shared" si="93"/>
        <v/>
      </c>
      <c r="B480" s="182"/>
      <c r="C480" s="75"/>
      <c r="D480" s="75"/>
      <c r="E480" s="74"/>
      <c r="F480" s="181"/>
      <c r="G480" s="69"/>
      <c r="AB480" s="150">
        <f t="shared" si="84"/>
        <v>0</v>
      </c>
      <c r="AC480" s="150">
        <f t="shared" si="85"/>
        <v>0</v>
      </c>
      <c r="AD480" s="98" t="str">
        <f t="shared" si="94"/>
        <v>0000000000</v>
      </c>
      <c r="AE480" s="151">
        <f t="shared" si="87"/>
        <v>0</v>
      </c>
      <c r="AF480" s="98" t="str">
        <f t="shared" si="88"/>
        <v>00</v>
      </c>
      <c r="AG480" s="98" t="str">
        <f t="shared" si="95"/>
        <v>000000000000</v>
      </c>
      <c r="AH480" s="161" t="str">
        <f t="shared" si="89"/>
        <v xml:space="preserve">                    </v>
      </c>
      <c r="AI480" s="154">
        <f t="shared" si="90"/>
        <v>0</v>
      </c>
      <c r="AJ480" s="155">
        <f t="shared" si="91"/>
        <v>0</v>
      </c>
      <c r="AP480" s="63" t="str">
        <f t="shared" si="92"/>
        <v/>
      </c>
      <c r="AQ480" s="63" t="str">
        <f t="shared" si="86"/>
        <v xml:space="preserve">                    </v>
      </c>
      <c r="AR480" s="63"/>
      <c r="AS480" s="63"/>
      <c r="AT480" s="63"/>
      <c r="AU480" s="63"/>
      <c r="AV480" s="63"/>
      <c r="AW480" s="63"/>
      <c r="AX480" s="63"/>
      <c r="AY480" s="63"/>
      <c r="AZ480" s="63"/>
      <c r="BA480" s="63"/>
      <c r="BB480" s="63"/>
      <c r="BC480" s="63"/>
      <c r="BD480" s="63"/>
      <c r="BE480" s="63"/>
      <c r="BF480" s="63"/>
      <c r="BG480" s="63"/>
      <c r="BH480" s="63"/>
      <c r="BI480" s="63"/>
      <c r="BJ480" s="63"/>
      <c r="BK480" s="63"/>
      <c r="BL480" s="63"/>
      <c r="BM480" s="63"/>
      <c r="BN480" s="63"/>
      <c r="BO480" s="63"/>
      <c r="BP480" s="63"/>
      <c r="BQ480" s="63"/>
      <c r="BR480" s="63"/>
      <c r="BS480" s="63"/>
      <c r="BT480" s="63"/>
      <c r="BU480" s="63"/>
      <c r="BV480" s="63"/>
      <c r="BW480" s="63"/>
    </row>
    <row r="481" spans="1:75" x14ac:dyDescent="0.2">
      <c r="A481" s="63" t="str">
        <f t="shared" si="93"/>
        <v/>
      </c>
      <c r="B481" s="182"/>
      <c r="C481" s="75"/>
      <c r="D481" s="75"/>
      <c r="E481" s="74"/>
      <c r="F481" s="181"/>
      <c r="G481" s="69"/>
      <c r="AB481" s="150">
        <f t="shared" si="84"/>
        <v>0</v>
      </c>
      <c r="AC481" s="150">
        <f t="shared" si="85"/>
        <v>0</v>
      </c>
      <c r="AD481" s="98" t="str">
        <f t="shared" si="94"/>
        <v>0000000000</v>
      </c>
      <c r="AE481" s="151">
        <f t="shared" si="87"/>
        <v>0</v>
      </c>
      <c r="AF481" s="98" t="str">
        <f t="shared" si="88"/>
        <v>00</v>
      </c>
      <c r="AG481" s="98" t="str">
        <f t="shared" si="95"/>
        <v>000000000000</v>
      </c>
      <c r="AH481" s="161" t="str">
        <f t="shared" si="89"/>
        <v xml:space="preserve">                    </v>
      </c>
      <c r="AI481" s="154">
        <f t="shared" si="90"/>
        <v>0</v>
      </c>
      <c r="AJ481" s="155">
        <f t="shared" si="91"/>
        <v>0</v>
      </c>
      <c r="AP481" s="63" t="str">
        <f t="shared" si="92"/>
        <v/>
      </c>
      <c r="AQ481" s="63" t="str">
        <f t="shared" si="86"/>
        <v xml:space="preserve">                    </v>
      </c>
      <c r="AR481" s="63"/>
      <c r="AS481" s="63"/>
      <c r="AT481" s="63"/>
      <c r="AU481" s="63"/>
      <c r="AV481" s="63"/>
      <c r="AW481" s="63"/>
      <c r="AX481" s="63"/>
      <c r="AY481" s="63"/>
      <c r="AZ481" s="63"/>
      <c r="BA481" s="63"/>
      <c r="BB481" s="63"/>
      <c r="BC481" s="63"/>
      <c r="BD481" s="63"/>
      <c r="BE481" s="63"/>
      <c r="BF481" s="63"/>
      <c r="BG481" s="63"/>
      <c r="BH481" s="63"/>
      <c r="BI481" s="63"/>
      <c r="BJ481" s="63"/>
      <c r="BK481" s="63"/>
      <c r="BL481" s="63"/>
      <c r="BM481" s="63"/>
      <c r="BN481" s="63"/>
      <c r="BO481" s="63"/>
      <c r="BP481" s="63"/>
      <c r="BQ481" s="63"/>
      <c r="BR481" s="63"/>
      <c r="BS481" s="63"/>
      <c r="BT481" s="63"/>
      <c r="BU481" s="63"/>
      <c r="BV481" s="63"/>
      <c r="BW481" s="63"/>
    </row>
    <row r="482" spans="1:75" x14ac:dyDescent="0.2">
      <c r="A482" s="63" t="str">
        <f t="shared" si="93"/>
        <v/>
      </c>
      <c r="B482" s="182"/>
      <c r="C482" s="75"/>
      <c r="D482" s="75"/>
      <c r="E482" s="74"/>
      <c r="F482" s="181"/>
      <c r="G482" s="69"/>
      <c r="AB482" s="150">
        <f t="shared" si="84"/>
        <v>0</v>
      </c>
      <c r="AC482" s="150">
        <f t="shared" si="85"/>
        <v>0</v>
      </c>
      <c r="AD482" s="98" t="str">
        <f t="shared" si="94"/>
        <v>0000000000</v>
      </c>
      <c r="AE482" s="151">
        <f t="shared" si="87"/>
        <v>0</v>
      </c>
      <c r="AF482" s="98" t="str">
        <f t="shared" si="88"/>
        <v>00</v>
      </c>
      <c r="AG482" s="98" t="str">
        <f t="shared" si="95"/>
        <v>000000000000</v>
      </c>
      <c r="AH482" s="161" t="str">
        <f t="shared" si="89"/>
        <v xml:space="preserve">                    </v>
      </c>
      <c r="AI482" s="154">
        <f t="shared" si="90"/>
        <v>0</v>
      </c>
      <c r="AJ482" s="155">
        <f t="shared" si="91"/>
        <v>0</v>
      </c>
      <c r="AP482" s="63" t="str">
        <f t="shared" si="92"/>
        <v/>
      </c>
      <c r="AQ482" s="63" t="str">
        <f t="shared" si="86"/>
        <v xml:space="preserve">                    </v>
      </c>
      <c r="AR482" s="63"/>
      <c r="AS482" s="63"/>
      <c r="AT482" s="63"/>
      <c r="AU482" s="63"/>
      <c r="AV482" s="63"/>
      <c r="AW482" s="63"/>
      <c r="AX482" s="63"/>
      <c r="AY482" s="63"/>
      <c r="AZ482" s="63"/>
      <c r="BA482" s="63"/>
      <c r="BB482" s="63"/>
      <c r="BC482" s="63"/>
      <c r="BD482" s="63"/>
      <c r="BE482" s="63"/>
      <c r="BF482" s="63"/>
      <c r="BG482" s="63"/>
      <c r="BH482" s="63"/>
      <c r="BI482" s="63"/>
      <c r="BJ482" s="63"/>
      <c r="BK482" s="63"/>
      <c r="BL482" s="63"/>
      <c r="BM482" s="63"/>
      <c r="BN482" s="63"/>
      <c r="BO482" s="63"/>
      <c r="BP482" s="63"/>
      <c r="BQ482" s="63"/>
      <c r="BR482" s="63"/>
      <c r="BS482" s="63"/>
      <c r="BT482" s="63"/>
      <c r="BU482" s="63"/>
      <c r="BV482" s="63"/>
      <c r="BW482" s="63"/>
    </row>
    <row r="483" spans="1:75" x14ac:dyDescent="0.2">
      <c r="A483" s="63" t="str">
        <f t="shared" si="93"/>
        <v/>
      </c>
      <c r="B483" s="182"/>
      <c r="C483" s="75"/>
      <c r="D483" s="75"/>
      <c r="E483" s="74"/>
      <c r="F483" s="181"/>
      <c r="G483" s="69"/>
      <c r="AB483" s="150">
        <f t="shared" si="84"/>
        <v>0</v>
      </c>
      <c r="AC483" s="150">
        <f t="shared" si="85"/>
        <v>0</v>
      </c>
      <c r="AD483" s="98" t="str">
        <f t="shared" si="94"/>
        <v>0000000000</v>
      </c>
      <c r="AE483" s="151">
        <f t="shared" si="87"/>
        <v>0</v>
      </c>
      <c r="AF483" s="98" t="str">
        <f t="shared" si="88"/>
        <v>00</v>
      </c>
      <c r="AG483" s="98" t="str">
        <f t="shared" si="95"/>
        <v>000000000000</v>
      </c>
      <c r="AH483" s="161" t="str">
        <f t="shared" si="89"/>
        <v xml:space="preserve">                    </v>
      </c>
      <c r="AI483" s="154">
        <f t="shared" si="90"/>
        <v>0</v>
      </c>
      <c r="AJ483" s="155">
        <f t="shared" si="91"/>
        <v>0</v>
      </c>
      <c r="AP483" s="63" t="str">
        <f t="shared" si="92"/>
        <v/>
      </c>
      <c r="AQ483" s="63" t="str">
        <f t="shared" si="86"/>
        <v xml:space="preserve">                    </v>
      </c>
      <c r="AR483" s="63"/>
      <c r="AS483" s="63"/>
      <c r="AT483" s="63"/>
      <c r="AU483" s="63"/>
      <c r="AV483" s="63"/>
      <c r="AW483" s="63"/>
      <c r="AX483" s="63"/>
      <c r="AY483" s="63"/>
      <c r="AZ483" s="63"/>
      <c r="BA483" s="63"/>
      <c r="BB483" s="63"/>
      <c r="BC483" s="63"/>
      <c r="BD483" s="63"/>
      <c r="BE483" s="63"/>
      <c r="BF483" s="63"/>
      <c r="BG483" s="63"/>
      <c r="BH483" s="63"/>
      <c r="BI483" s="63"/>
      <c r="BJ483" s="63"/>
      <c r="BK483" s="63"/>
      <c r="BL483" s="63"/>
      <c r="BM483" s="63"/>
      <c r="BN483" s="63"/>
      <c r="BO483" s="63"/>
      <c r="BP483" s="63"/>
      <c r="BQ483" s="63"/>
      <c r="BR483" s="63"/>
      <c r="BS483" s="63"/>
      <c r="BT483" s="63"/>
      <c r="BU483" s="63"/>
      <c r="BV483" s="63"/>
      <c r="BW483" s="63"/>
    </row>
    <row r="484" spans="1:75" x14ac:dyDescent="0.2">
      <c r="A484" s="63" t="str">
        <f t="shared" si="93"/>
        <v/>
      </c>
      <c r="B484" s="182"/>
      <c r="C484" s="75"/>
      <c r="D484" s="75"/>
      <c r="E484" s="74"/>
      <c r="F484" s="181"/>
      <c r="G484" s="69"/>
      <c r="AB484" s="150">
        <f t="shared" si="84"/>
        <v>0</v>
      </c>
      <c r="AC484" s="150">
        <f t="shared" si="85"/>
        <v>0</v>
      </c>
      <c r="AD484" s="98" t="str">
        <f t="shared" si="94"/>
        <v>0000000000</v>
      </c>
      <c r="AE484" s="151">
        <f t="shared" si="87"/>
        <v>0</v>
      </c>
      <c r="AF484" s="98" t="str">
        <f t="shared" si="88"/>
        <v>00</v>
      </c>
      <c r="AG484" s="98" t="str">
        <f t="shared" si="95"/>
        <v>000000000000</v>
      </c>
      <c r="AH484" s="161" t="str">
        <f t="shared" si="89"/>
        <v xml:space="preserve">                    </v>
      </c>
      <c r="AI484" s="154">
        <f t="shared" si="90"/>
        <v>0</v>
      </c>
      <c r="AJ484" s="155">
        <f t="shared" si="91"/>
        <v>0</v>
      </c>
      <c r="AP484" s="63" t="str">
        <f t="shared" si="92"/>
        <v/>
      </c>
      <c r="AQ484" s="63" t="str">
        <f t="shared" si="86"/>
        <v xml:space="preserve">                    </v>
      </c>
      <c r="AR484" s="63"/>
      <c r="AS484" s="63"/>
      <c r="AT484" s="63"/>
      <c r="AU484" s="63"/>
      <c r="AV484" s="63"/>
      <c r="AW484" s="63"/>
      <c r="AX484" s="63"/>
      <c r="AY484" s="63"/>
      <c r="AZ484" s="63"/>
      <c r="BA484" s="63"/>
      <c r="BB484" s="63"/>
      <c r="BC484" s="63"/>
      <c r="BD484" s="63"/>
      <c r="BE484" s="63"/>
      <c r="BF484" s="63"/>
      <c r="BG484" s="63"/>
      <c r="BH484" s="63"/>
      <c r="BI484" s="63"/>
      <c r="BJ484" s="63"/>
      <c r="BK484" s="63"/>
      <c r="BL484" s="63"/>
      <c r="BM484" s="63"/>
      <c r="BN484" s="63"/>
      <c r="BO484" s="63"/>
      <c r="BP484" s="63"/>
      <c r="BQ484" s="63"/>
      <c r="BR484" s="63"/>
      <c r="BS484" s="63"/>
      <c r="BT484" s="63"/>
      <c r="BU484" s="63"/>
      <c r="BV484" s="63"/>
      <c r="BW484" s="63"/>
    </row>
    <row r="485" spans="1:75" x14ac:dyDescent="0.2">
      <c r="A485" s="63" t="str">
        <f t="shared" si="93"/>
        <v/>
      </c>
      <c r="B485" s="182"/>
      <c r="C485" s="75"/>
      <c r="D485" s="75"/>
      <c r="E485" s="74"/>
      <c r="F485" s="181"/>
      <c r="G485" s="69"/>
      <c r="AB485" s="150">
        <f t="shared" si="84"/>
        <v>0</v>
      </c>
      <c r="AC485" s="150">
        <f t="shared" si="85"/>
        <v>0</v>
      </c>
      <c r="AD485" s="98" t="str">
        <f t="shared" si="94"/>
        <v>0000000000</v>
      </c>
      <c r="AE485" s="151">
        <f t="shared" si="87"/>
        <v>0</v>
      </c>
      <c r="AF485" s="98" t="str">
        <f t="shared" si="88"/>
        <v>00</v>
      </c>
      <c r="AG485" s="98" t="str">
        <f t="shared" si="95"/>
        <v>000000000000</v>
      </c>
      <c r="AH485" s="161" t="str">
        <f t="shared" si="89"/>
        <v xml:space="preserve">                    </v>
      </c>
      <c r="AI485" s="154">
        <f t="shared" si="90"/>
        <v>0</v>
      </c>
      <c r="AJ485" s="155">
        <f t="shared" si="91"/>
        <v>0</v>
      </c>
      <c r="AP485" s="63" t="str">
        <f t="shared" si="92"/>
        <v/>
      </c>
      <c r="AQ485" s="63" t="str">
        <f t="shared" si="86"/>
        <v xml:space="preserve">                    </v>
      </c>
      <c r="AR485" s="63"/>
      <c r="AS485" s="63"/>
      <c r="AT485" s="63"/>
      <c r="AU485" s="63"/>
      <c r="AV485" s="63"/>
      <c r="AW485" s="63"/>
      <c r="AX485" s="63"/>
      <c r="AY485" s="63"/>
      <c r="AZ485" s="63"/>
      <c r="BA485" s="63"/>
      <c r="BB485" s="63"/>
      <c r="BC485" s="63"/>
      <c r="BD485" s="63"/>
      <c r="BE485" s="63"/>
      <c r="BF485" s="63"/>
      <c r="BG485" s="63"/>
      <c r="BH485" s="63"/>
      <c r="BI485" s="63"/>
      <c r="BJ485" s="63"/>
      <c r="BK485" s="63"/>
      <c r="BL485" s="63"/>
      <c r="BM485" s="63"/>
      <c r="BN485" s="63"/>
      <c r="BO485" s="63"/>
      <c r="BP485" s="63"/>
      <c r="BQ485" s="63"/>
      <c r="BR485" s="63"/>
      <c r="BS485" s="63"/>
      <c r="BT485" s="63"/>
      <c r="BU485" s="63"/>
      <c r="BV485" s="63"/>
      <c r="BW485" s="63"/>
    </row>
    <row r="486" spans="1:75" x14ac:dyDescent="0.2">
      <c r="A486" s="63" t="str">
        <f t="shared" si="93"/>
        <v/>
      </c>
      <c r="B486" s="182"/>
      <c r="C486" s="75"/>
      <c r="D486" s="75"/>
      <c r="E486" s="74"/>
      <c r="F486" s="181"/>
      <c r="G486" s="69"/>
      <c r="AB486" s="150">
        <f t="shared" si="84"/>
        <v>0</v>
      </c>
      <c r="AC486" s="150">
        <f t="shared" si="85"/>
        <v>0</v>
      </c>
      <c r="AD486" s="98" t="str">
        <f t="shared" si="94"/>
        <v>0000000000</v>
      </c>
      <c r="AE486" s="151">
        <f t="shared" si="87"/>
        <v>0</v>
      </c>
      <c r="AF486" s="98" t="str">
        <f t="shared" si="88"/>
        <v>00</v>
      </c>
      <c r="AG486" s="98" t="str">
        <f t="shared" si="95"/>
        <v>000000000000</v>
      </c>
      <c r="AH486" s="161" t="str">
        <f t="shared" si="89"/>
        <v xml:space="preserve">                    </v>
      </c>
      <c r="AI486" s="154">
        <f t="shared" si="90"/>
        <v>0</v>
      </c>
      <c r="AJ486" s="155">
        <f t="shared" si="91"/>
        <v>0</v>
      </c>
      <c r="AP486" s="63" t="str">
        <f t="shared" si="92"/>
        <v/>
      </c>
      <c r="AQ486" s="63" t="str">
        <f t="shared" si="86"/>
        <v xml:space="preserve">                    </v>
      </c>
      <c r="AR486" s="63"/>
      <c r="AS486" s="63"/>
      <c r="AT486" s="63"/>
      <c r="AU486" s="63"/>
      <c r="AV486" s="63"/>
      <c r="AW486" s="63"/>
      <c r="AX486" s="63"/>
      <c r="AY486" s="63"/>
      <c r="AZ486" s="63"/>
      <c r="BA486" s="63"/>
      <c r="BB486" s="63"/>
      <c r="BC486" s="63"/>
      <c r="BD486" s="63"/>
      <c r="BE486" s="63"/>
      <c r="BF486" s="63"/>
      <c r="BG486" s="63"/>
      <c r="BH486" s="63"/>
      <c r="BI486" s="63"/>
      <c r="BJ486" s="63"/>
      <c r="BK486" s="63"/>
      <c r="BL486" s="63"/>
      <c r="BM486" s="63"/>
      <c r="BN486" s="63"/>
      <c r="BO486" s="63"/>
      <c r="BP486" s="63"/>
      <c r="BQ486" s="63"/>
      <c r="BR486" s="63"/>
      <c r="BS486" s="63"/>
      <c r="BT486" s="63"/>
      <c r="BU486" s="63"/>
      <c r="BV486" s="63"/>
      <c r="BW486" s="63"/>
    </row>
    <row r="487" spans="1:75" x14ac:dyDescent="0.2">
      <c r="A487" s="63" t="str">
        <f t="shared" si="93"/>
        <v/>
      </c>
      <c r="B487" s="182"/>
      <c r="C487" s="75"/>
      <c r="D487" s="75"/>
      <c r="E487" s="74"/>
      <c r="F487" s="181"/>
      <c r="G487" s="69"/>
      <c r="AB487" s="150">
        <f t="shared" si="84"/>
        <v>0</v>
      </c>
      <c r="AC487" s="150">
        <f t="shared" si="85"/>
        <v>0</v>
      </c>
      <c r="AD487" s="98" t="str">
        <f t="shared" si="94"/>
        <v>0000000000</v>
      </c>
      <c r="AE487" s="151">
        <f t="shared" si="87"/>
        <v>0</v>
      </c>
      <c r="AF487" s="98" t="str">
        <f t="shared" si="88"/>
        <v>00</v>
      </c>
      <c r="AG487" s="98" t="str">
        <f t="shared" si="95"/>
        <v>000000000000</v>
      </c>
      <c r="AH487" s="161" t="str">
        <f t="shared" si="89"/>
        <v xml:space="preserve">                    </v>
      </c>
      <c r="AI487" s="154">
        <f t="shared" si="90"/>
        <v>0</v>
      </c>
      <c r="AJ487" s="155">
        <f t="shared" si="91"/>
        <v>0</v>
      </c>
      <c r="AP487" s="63" t="str">
        <f t="shared" si="92"/>
        <v/>
      </c>
      <c r="AQ487" s="63" t="str">
        <f t="shared" si="86"/>
        <v xml:space="preserve">                    </v>
      </c>
      <c r="AR487" s="63"/>
      <c r="AS487" s="63"/>
      <c r="AT487" s="63"/>
      <c r="AU487" s="63"/>
      <c r="AV487" s="63"/>
      <c r="AW487" s="63"/>
      <c r="AX487" s="63"/>
      <c r="AY487" s="63"/>
      <c r="AZ487" s="63"/>
      <c r="BA487" s="63"/>
      <c r="BB487" s="63"/>
      <c r="BC487" s="63"/>
      <c r="BD487" s="63"/>
      <c r="BE487" s="63"/>
      <c r="BF487" s="63"/>
      <c r="BG487" s="63"/>
      <c r="BH487" s="63"/>
      <c r="BI487" s="63"/>
      <c r="BJ487" s="63"/>
      <c r="BK487" s="63"/>
      <c r="BL487" s="63"/>
      <c r="BM487" s="63"/>
      <c r="BN487" s="63"/>
      <c r="BO487" s="63"/>
      <c r="BP487" s="63"/>
      <c r="BQ487" s="63"/>
      <c r="BR487" s="63"/>
      <c r="BS487" s="63"/>
      <c r="BT487" s="63"/>
      <c r="BU487" s="63"/>
      <c r="BV487" s="63"/>
      <c r="BW487" s="63"/>
    </row>
    <row r="488" spans="1:75" x14ac:dyDescent="0.2">
      <c r="A488" s="63" t="str">
        <f t="shared" si="93"/>
        <v/>
      </c>
      <c r="B488" s="182"/>
      <c r="C488" s="75"/>
      <c r="D488" s="75"/>
      <c r="E488" s="74"/>
      <c r="F488" s="181"/>
      <c r="G488" s="69"/>
      <c r="AB488" s="150">
        <f t="shared" si="84"/>
        <v>0</v>
      </c>
      <c r="AC488" s="150">
        <f t="shared" si="85"/>
        <v>0</v>
      </c>
      <c r="AD488" s="98" t="str">
        <f t="shared" si="94"/>
        <v>0000000000</v>
      </c>
      <c r="AE488" s="151">
        <f t="shared" si="87"/>
        <v>0</v>
      </c>
      <c r="AF488" s="98" t="str">
        <f t="shared" si="88"/>
        <v>00</v>
      </c>
      <c r="AG488" s="98" t="str">
        <f t="shared" si="95"/>
        <v>000000000000</v>
      </c>
      <c r="AH488" s="161" t="str">
        <f t="shared" si="89"/>
        <v xml:space="preserve">                    </v>
      </c>
      <c r="AI488" s="154">
        <f t="shared" si="90"/>
        <v>0</v>
      </c>
      <c r="AJ488" s="155">
        <f t="shared" si="91"/>
        <v>0</v>
      </c>
      <c r="AP488" s="63" t="str">
        <f t="shared" si="92"/>
        <v/>
      </c>
      <c r="AQ488" s="63" t="str">
        <f t="shared" si="86"/>
        <v xml:space="preserve">                    </v>
      </c>
      <c r="AR488" s="63"/>
      <c r="AS488" s="63"/>
      <c r="AT488" s="63"/>
      <c r="AU488" s="63"/>
      <c r="AV488" s="63"/>
      <c r="AW488" s="63"/>
      <c r="AX488" s="63"/>
      <c r="AY488" s="63"/>
      <c r="AZ488" s="63"/>
      <c r="BA488" s="63"/>
      <c r="BB488" s="63"/>
      <c r="BC488" s="63"/>
      <c r="BD488" s="63"/>
      <c r="BE488" s="63"/>
      <c r="BF488" s="63"/>
      <c r="BG488" s="63"/>
      <c r="BH488" s="63"/>
      <c r="BI488" s="63"/>
      <c r="BJ488" s="63"/>
      <c r="BK488" s="63"/>
      <c r="BL488" s="63"/>
      <c r="BM488" s="63"/>
      <c r="BN488" s="63"/>
      <c r="BO488" s="63"/>
      <c r="BP488" s="63"/>
      <c r="BQ488" s="63"/>
      <c r="BR488" s="63"/>
      <c r="BS488" s="63"/>
      <c r="BT488" s="63"/>
      <c r="BU488" s="63"/>
      <c r="BV488" s="63"/>
      <c r="BW488" s="63"/>
    </row>
    <row r="489" spans="1:75" x14ac:dyDescent="0.2">
      <c r="A489" s="63" t="str">
        <f t="shared" si="93"/>
        <v/>
      </c>
      <c r="B489" s="182"/>
      <c r="C489" s="75"/>
      <c r="D489" s="75"/>
      <c r="E489" s="74"/>
      <c r="F489" s="181"/>
      <c r="G489" s="69"/>
      <c r="AB489" s="150">
        <f t="shared" si="84"/>
        <v>0</v>
      </c>
      <c r="AC489" s="150">
        <f t="shared" si="85"/>
        <v>0</v>
      </c>
      <c r="AD489" s="98" t="str">
        <f t="shared" si="94"/>
        <v>0000000000</v>
      </c>
      <c r="AE489" s="151">
        <f t="shared" si="87"/>
        <v>0</v>
      </c>
      <c r="AF489" s="98" t="str">
        <f t="shared" si="88"/>
        <v>00</v>
      </c>
      <c r="AG489" s="98" t="str">
        <f t="shared" si="95"/>
        <v>000000000000</v>
      </c>
      <c r="AH489" s="161" t="str">
        <f t="shared" si="89"/>
        <v xml:space="preserve">                    </v>
      </c>
      <c r="AI489" s="154">
        <f t="shared" si="90"/>
        <v>0</v>
      </c>
      <c r="AJ489" s="155">
        <f t="shared" si="91"/>
        <v>0</v>
      </c>
      <c r="AP489" s="63" t="str">
        <f t="shared" si="92"/>
        <v/>
      </c>
      <c r="AQ489" s="63" t="str">
        <f t="shared" si="86"/>
        <v xml:space="preserve">                    </v>
      </c>
      <c r="AR489" s="63"/>
      <c r="AS489" s="63"/>
      <c r="AT489" s="63"/>
      <c r="AU489" s="63"/>
      <c r="AV489" s="63"/>
      <c r="AW489" s="63"/>
      <c r="AX489" s="63"/>
      <c r="AY489" s="63"/>
      <c r="AZ489" s="63"/>
      <c r="BA489" s="63"/>
      <c r="BB489" s="63"/>
      <c r="BC489" s="63"/>
      <c r="BD489" s="63"/>
      <c r="BE489" s="63"/>
      <c r="BF489" s="63"/>
      <c r="BG489" s="63"/>
      <c r="BH489" s="63"/>
      <c r="BI489" s="63"/>
      <c r="BJ489" s="63"/>
      <c r="BK489" s="63"/>
      <c r="BL489" s="63"/>
      <c r="BM489" s="63"/>
      <c r="BN489" s="63"/>
      <c r="BO489" s="63"/>
      <c r="BP489" s="63"/>
      <c r="BQ489" s="63"/>
      <c r="BR489" s="63"/>
      <c r="BS489" s="63"/>
      <c r="BT489" s="63"/>
      <c r="BU489" s="63"/>
      <c r="BV489" s="63"/>
      <c r="BW489" s="63"/>
    </row>
    <row r="490" spans="1:75" x14ac:dyDescent="0.2">
      <c r="A490" s="63" t="str">
        <f t="shared" si="93"/>
        <v/>
      </c>
      <c r="B490" s="182"/>
      <c r="C490" s="75"/>
      <c r="D490" s="75"/>
      <c r="E490" s="74"/>
      <c r="F490" s="181"/>
      <c r="G490" s="69"/>
      <c r="AB490" s="150">
        <f t="shared" si="84"/>
        <v>0</v>
      </c>
      <c r="AC490" s="150">
        <f t="shared" si="85"/>
        <v>0</v>
      </c>
      <c r="AD490" s="98" t="str">
        <f t="shared" si="94"/>
        <v>0000000000</v>
      </c>
      <c r="AE490" s="151">
        <f t="shared" si="87"/>
        <v>0</v>
      </c>
      <c r="AF490" s="98" t="str">
        <f t="shared" si="88"/>
        <v>00</v>
      </c>
      <c r="AG490" s="98" t="str">
        <f t="shared" si="95"/>
        <v>000000000000</v>
      </c>
      <c r="AH490" s="161" t="str">
        <f t="shared" si="89"/>
        <v xml:space="preserve">                    </v>
      </c>
      <c r="AI490" s="154">
        <f t="shared" si="90"/>
        <v>0</v>
      </c>
      <c r="AJ490" s="155">
        <f t="shared" si="91"/>
        <v>0</v>
      </c>
      <c r="AP490" s="63" t="str">
        <f t="shared" si="92"/>
        <v/>
      </c>
      <c r="AQ490" s="63" t="str">
        <f t="shared" si="86"/>
        <v xml:space="preserve">                    </v>
      </c>
      <c r="AR490" s="63"/>
      <c r="AS490" s="63"/>
      <c r="AT490" s="63"/>
      <c r="AU490" s="63"/>
      <c r="AV490" s="63"/>
      <c r="AW490" s="63"/>
      <c r="AX490" s="63"/>
      <c r="AY490" s="63"/>
      <c r="AZ490" s="63"/>
      <c r="BA490" s="63"/>
      <c r="BB490" s="63"/>
      <c r="BC490" s="63"/>
      <c r="BD490" s="63"/>
      <c r="BE490" s="63"/>
      <c r="BF490" s="63"/>
      <c r="BG490" s="63"/>
      <c r="BH490" s="63"/>
      <c r="BI490" s="63"/>
      <c r="BJ490" s="63"/>
      <c r="BK490" s="63"/>
      <c r="BL490" s="63"/>
      <c r="BM490" s="63"/>
      <c r="BN490" s="63"/>
      <c r="BO490" s="63"/>
      <c r="BP490" s="63"/>
      <c r="BQ490" s="63"/>
      <c r="BR490" s="63"/>
      <c r="BS490" s="63"/>
      <c r="BT490" s="63"/>
      <c r="BU490" s="63"/>
      <c r="BV490" s="63"/>
      <c r="BW490" s="63"/>
    </row>
    <row r="491" spans="1:75" x14ac:dyDescent="0.2">
      <c r="A491" s="63" t="str">
        <f t="shared" si="93"/>
        <v/>
      </c>
      <c r="B491" s="182"/>
      <c r="C491" s="75"/>
      <c r="D491" s="75"/>
      <c r="E491" s="74"/>
      <c r="F491" s="181"/>
      <c r="G491" s="69"/>
      <c r="AB491" s="150">
        <f t="shared" si="84"/>
        <v>0</v>
      </c>
      <c r="AC491" s="150">
        <f t="shared" si="85"/>
        <v>0</v>
      </c>
      <c r="AD491" s="98" t="str">
        <f t="shared" si="94"/>
        <v>0000000000</v>
      </c>
      <c r="AE491" s="151">
        <f t="shared" si="87"/>
        <v>0</v>
      </c>
      <c r="AF491" s="98" t="str">
        <f t="shared" si="88"/>
        <v>00</v>
      </c>
      <c r="AG491" s="98" t="str">
        <f t="shared" si="95"/>
        <v>000000000000</v>
      </c>
      <c r="AH491" s="161" t="str">
        <f t="shared" si="89"/>
        <v xml:space="preserve">                    </v>
      </c>
      <c r="AI491" s="154">
        <f t="shared" si="90"/>
        <v>0</v>
      </c>
      <c r="AJ491" s="155">
        <f t="shared" si="91"/>
        <v>0</v>
      </c>
      <c r="AP491" s="63" t="str">
        <f t="shared" si="92"/>
        <v/>
      </c>
      <c r="AQ491" s="63" t="str">
        <f t="shared" si="86"/>
        <v xml:space="preserve">                    </v>
      </c>
      <c r="AR491" s="63"/>
      <c r="AS491" s="63"/>
      <c r="AT491" s="63"/>
      <c r="AU491" s="63"/>
      <c r="AV491" s="63"/>
      <c r="AW491" s="63"/>
      <c r="AX491" s="63"/>
      <c r="AY491" s="63"/>
      <c r="AZ491" s="63"/>
      <c r="BA491" s="63"/>
      <c r="BB491" s="63"/>
      <c r="BC491" s="63"/>
      <c r="BD491" s="63"/>
      <c r="BE491" s="63"/>
      <c r="BF491" s="63"/>
      <c r="BG491" s="63"/>
      <c r="BH491" s="63"/>
      <c r="BI491" s="63"/>
      <c r="BJ491" s="63"/>
      <c r="BK491" s="63"/>
      <c r="BL491" s="63"/>
      <c r="BM491" s="63"/>
      <c r="BN491" s="63"/>
      <c r="BO491" s="63"/>
      <c r="BP491" s="63"/>
      <c r="BQ491" s="63"/>
      <c r="BR491" s="63"/>
      <c r="BS491" s="63"/>
      <c r="BT491" s="63"/>
      <c r="BU491" s="63"/>
      <c r="BV491" s="63"/>
      <c r="BW491" s="63"/>
    </row>
    <row r="492" spans="1:75" x14ac:dyDescent="0.2">
      <c r="A492" s="63" t="str">
        <f t="shared" si="93"/>
        <v/>
      </c>
      <c r="B492" s="182"/>
      <c r="C492" s="75"/>
      <c r="D492" s="75"/>
      <c r="E492" s="74"/>
      <c r="F492" s="181"/>
      <c r="G492" s="69"/>
      <c r="AB492" s="150">
        <f t="shared" si="84"/>
        <v>0</v>
      </c>
      <c r="AC492" s="150">
        <f t="shared" si="85"/>
        <v>0</v>
      </c>
      <c r="AD492" s="98" t="str">
        <f t="shared" si="94"/>
        <v>0000000000</v>
      </c>
      <c r="AE492" s="151">
        <f t="shared" si="87"/>
        <v>0</v>
      </c>
      <c r="AF492" s="98" t="str">
        <f t="shared" si="88"/>
        <v>00</v>
      </c>
      <c r="AG492" s="98" t="str">
        <f t="shared" si="95"/>
        <v>000000000000</v>
      </c>
      <c r="AH492" s="161" t="str">
        <f t="shared" si="89"/>
        <v xml:space="preserve">                    </v>
      </c>
      <c r="AI492" s="154">
        <f t="shared" si="90"/>
        <v>0</v>
      </c>
      <c r="AJ492" s="155">
        <f t="shared" si="91"/>
        <v>0</v>
      </c>
      <c r="AP492" s="63" t="str">
        <f t="shared" si="92"/>
        <v/>
      </c>
      <c r="AQ492" s="63" t="str">
        <f t="shared" si="86"/>
        <v xml:space="preserve">                    </v>
      </c>
      <c r="AR492" s="63"/>
      <c r="AS492" s="63"/>
      <c r="AT492" s="63"/>
      <c r="AU492" s="63"/>
      <c r="AV492" s="63"/>
      <c r="AW492" s="63"/>
      <c r="AX492" s="63"/>
      <c r="AY492" s="63"/>
      <c r="AZ492" s="63"/>
      <c r="BA492" s="63"/>
      <c r="BB492" s="63"/>
      <c r="BC492" s="63"/>
      <c r="BD492" s="63"/>
      <c r="BE492" s="63"/>
      <c r="BF492" s="63"/>
      <c r="BG492" s="63"/>
      <c r="BH492" s="63"/>
      <c r="BI492" s="63"/>
      <c r="BJ492" s="63"/>
      <c r="BK492" s="63"/>
      <c r="BL492" s="63"/>
      <c r="BM492" s="63"/>
      <c r="BN492" s="63"/>
      <c r="BO492" s="63"/>
      <c r="BP492" s="63"/>
      <c r="BQ492" s="63"/>
      <c r="BR492" s="63"/>
      <c r="BS492" s="63"/>
      <c r="BT492" s="63"/>
      <c r="BU492" s="63"/>
      <c r="BV492" s="63"/>
      <c r="BW492" s="63"/>
    </row>
    <row r="493" spans="1:75" x14ac:dyDescent="0.2">
      <c r="A493" s="63" t="str">
        <f t="shared" si="93"/>
        <v/>
      </c>
      <c r="B493" s="182"/>
      <c r="C493" s="75"/>
      <c r="D493" s="75"/>
      <c r="E493" s="74"/>
      <c r="F493" s="181"/>
      <c r="G493" s="69"/>
      <c r="AB493" s="150">
        <f t="shared" si="84"/>
        <v>0</v>
      </c>
      <c r="AC493" s="150">
        <f t="shared" si="85"/>
        <v>0</v>
      </c>
      <c r="AD493" s="98" t="str">
        <f t="shared" si="94"/>
        <v>0000000000</v>
      </c>
      <c r="AE493" s="151">
        <f t="shared" si="87"/>
        <v>0</v>
      </c>
      <c r="AF493" s="98" t="str">
        <f t="shared" si="88"/>
        <v>00</v>
      </c>
      <c r="AG493" s="98" t="str">
        <f t="shared" si="95"/>
        <v>000000000000</v>
      </c>
      <c r="AH493" s="161" t="str">
        <f t="shared" si="89"/>
        <v xml:space="preserve">                    </v>
      </c>
      <c r="AI493" s="154">
        <f t="shared" si="90"/>
        <v>0</v>
      </c>
      <c r="AJ493" s="155">
        <f t="shared" si="91"/>
        <v>0</v>
      </c>
      <c r="AP493" s="63" t="str">
        <f t="shared" si="92"/>
        <v/>
      </c>
      <c r="AQ493" s="63" t="str">
        <f t="shared" si="86"/>
        <v xml:space="preserve">                    </v>
      </c>
      <c r="AR493" s="63"/>
      <c r="AS493" s="63"/>
      <c r="AT493" s="63"/>
      <c r="AU493" s="63"/>
      <c r="AV493" s="63"/>
      <c r="AW493" s="63"/>
      <c r="AX493" s="63"/>
      <c r="AY493" s="63"/>
      <c r="AZ493" s="63"/>
      <c r="BA493" s="63"/>
      <c r="BB493" s="63"/>
      <c r="BC493" s="63"/>
      <c r="BD493" s="63"/>
      <c r="BE493" s="63"/>
      <c r="BF493" s="63"/>
      <c r="BG493" s="63"/>
      <c r="BH493" s="63"/>
      <c r="BI493" s="63"/>
      <c r="BJ493" s="63"/>
      <c r="BK493" s="63"/>
      <c r="BL493" s="63"/>
      <c r="BM493" s="63"/>
      <c r="BN493" s="63"/>
      <c r="BO493" s="63"/>
      <c r="BP493" s="63"/>
      <c r="BQ493" s="63"/>
      <c r="BR493" s="63"/>
      <c r="BS493" s="63"/>
      <c r="BT493" s="63"/>
      <c r="BU493" s="63"/>
      <c r="BV493" s="63"/>
      <c r="BW493" s="63"/>
    </row>
    <row r="494" spans="1:75" x14ac:dyDescent="0.2">
      <c r="A494" s="63" t="str">
        <f t="shared" si="93"/>
        <v/>
      </c>
      <c r="B494" s="182"/>
      <c r="C494" s="75"/>
      <c r="D494" s="75"/>
      <c r="E494" s="74"/>
      <c r="F494" s="181"/>
      <c r="G494" s="69"/>
      <c r="AB494" s="150">
        <f t="shared" si="84"/>
        <v>0</v>
      </c>
      <c r="AC494" s="150">
        <f t="shared" si="85"/>
        <v>0</v>
      </c>
      <c r="AD494" s="98" t="str">
        <f t="shared" si="94"/>
        <v>0000000000</v>
      </c>
      <c r="AE494" s="151">
        <f t="shared" si="87"/>
        <v>0</v>
      </c>
      <c r="AF494" s="98" t="str">
        <f t="shared" si="88"/>
        <v>00</v>
      </c>
      <c r="AG494" s="98" t="str">
        <f t="shared" si="95"/>
        <v>000000000000</v>
      </c>
      <c r="AH494" s="161" t="str">
        <f t="shared" si="89"/>
        <v xml:space="preserve">                    </v>
      </c>
      <c r="AI494" s="154">
        <f t="shared" si="90"/>
        <v>0</v>
      </c>
      <c r="AJ494" s="155">
        <f t="shared" si="91"/>
        <v>0</v>
      </c>
      <c r="AP494" s="63" t="str">
        <f t="shared" si="92"/>
        <v/>
      </c>
      <c r="AQ494" s="63" t="str">
        <f t="shared" si="86"/>
        <v xml:space="preserve">                    </v>
      </c>
      <c r="AR494" s="63"/>
      <c r="AS494" s="63"/>
      <c r="AT494" s="63"/>
      <c r="AU494" s="63"/>
      <c r="AV494" s="63"/>
      <c r="AW494" s="63"/>
      <c r="AX494" s="63"/>
      <c r="AY494" s="63"/>
      <c r="AZ494" s="63"/>
      <c r="BA494" s="63"/>
      <c r="BB494" s="63"/>
      <c r="BC494" s="63"/>
      <c r="BD494" s="63"/>
      <c r="BE494" s="63"/>
      <c r="BF494" s="63"/>
      <c r="BG494" s="63"/>
      <c r="BH494" s="63"/>
      <c r="BI494" s="63"/>
      <c r="BJ494" s="63"/>
      <c r="BK494" s="63"/>
      <c r="BL494" s="63"/>
      <c r="BM494" s="63"/>
      <c r="BN494" s="63"/>
      <c r="BO494" s="63"/>
      <c r="BP494" s="63"/>
      <c r="BQ494" s="63"/>
      <c r="BR494" s="63"/>
      <c r="BS494" s="63"/>
      <c r="BT494" s="63"/>
      <c r="BU494" s="63"/>
      <c r="BV494" s="63"/>
      <c r="BW494" s="63"/>
    </row>
    <row r="495" spans="1:75" x14ac:dyDescent="0.2">
      <c r="A495" s="63" t="str">
        <f t="shared" si="93"/>
        <v/>
      </c>
      <c r="B495" s="182"/>
      <c r="C495" s="75"/>
      <c r="D495" s="75"/>
      <c r="E495" s="74"/>
      <c r="F495" s="181"/>
      <c r="G495" s="69"/>
      <c r="AB495" s="150">
        <f t="shared" si="84"/>
        <v>0</v>
      </c>
      <c r="AC495" s="150">
        <f t="shared" si="85"/>
        <v>0</v>
      </c>
      <c r="AD495" s="98" t="str">
        <f t="shared" si="94"/>
        <v>0000000000</v>
      </c>
      <c r="AE495" s="151">
        <f t="shared" si="87"/>
        <v>0</v>
      </c>
      <c r="AF495" s="98" t="str">
        <f t="shared" si="88"/>
        <v>00</v>
      </c>
      <c r="AG495" s="98" t="str">
        <f t="shared" si="95"/>
        <v>000000000000</v>
      </c>
      <c r="AH495" s="161" t="str">
        <f t="shared" si="89"/>
        <v xml:space="preserve">                    </v>
      </c>
      <c r="AI495" s="154">
        <f t="shared" si="90"/>
        <v>0</v>
      </c>
      <c r="AJ495" s="155">
        <f t="shared" si="91"/>
        <v>0</v>
      </c>
      <c r="AP495" s="63" t="str">
        <f t="shared" si="92"/>
        <v/>
      </c>
      <c r="AQ495" s="63" t="str">
        <f t="shared" si="86"/>
        <v xml:space="preserve">                    </v>
      </c>
      <c r="AR495" s="63"/>
      <c r="AS495" s="63"/>
      <c r="AT495" s="63"/>
      <c r="AU495" s="63"/>
      <c r="AV495" s="63"/>
      <c r="AW495" s="63"/>
      <c r="AX495" s="63"/>
      <c r="AY495" s="63"/>
      <c r="AZ495" s="63"/>
      <c r="BA495" s="63"/>
      <c r="BB495" s="63"/>
      <c r="BC495" s="63"/>
      <c r="BD495" s="63"/>
      <c r="BE495" s="63"/>
      <c r="BF495" s="63"/>
      <c r="BG495" s="63"/>
      <c r="BH495" s="63"/>
      <c r="BI495" s="63"/>
      <c r="BJ495" s="63"/>
      <c r="BK495" s="63"/>
      <c r="BL495" s="63"/>
      <c r="BM495" s="63"/>
      <c r="BN495" s="63"/>
      <c r="BO495" s="63"/>
      <c r="BP495" s="63"/>
      <c r="BQ495" s="63"/>
      <c r="BR495" s="63"/>
      <c r="BS495" s="63"/>
      <c r="BT495" s="63"/>
      <c r="BU495" s="63"/>
      <c r="BV495" s="63"/>
      <c r="BW495" s="63"/>
    </row>
    <row r="496" spans="1:75" x14ac:dyDescent="0.2">
      <c r="A496" s="63" t="str">
        <f t="shared" si="93"/>
        <v/>
      </c>
      <c r="B496" s="182"/>
      <c r="C496" s="75"/>
      <c r="D496" s="75"/>
      <c r="E496" s="74"/>
      <c r="F496" s="181"/>
      <c r="G496" s="69"/>
      <c r="AB496" s="150">
        <f t="shared" si="84"/>
        <v>0</v>
      </c>
      <c r="AC496" s="150">
        <f t="shared" si="85"/>
        <v>0</v>
      </c>
      <c r="AD496" s="98" t="str">
        <f t="shared" si="94"/>
        <v>0000000000</v>
      </c>
      <c r="AE496" s="151">
        <f t="shared" si="87"/>
        <v>0</v>
      </c>
      <c r="AF496" s="98" t="str">
        <f t="shared" si="88"/>
        <v>00</v>
      </c>
      <c r="AG496" s="98" t="str">
        <f t="shared" si="95"/>
        <v>000000000000</v>
      </c>
      <c r="AH496" s="161" t="str">
        <f t="shared" si="89"/>
        <v xml:space="preserve">                    </v>
      </c>
      <c r="AI496" s="154">
        <f t="shared" si="90"/>
        <v>0</v>
      </c>
      <c r="AJ496" s="155">
        <f t="shared" si="91"/>
        <v>0</v>
      </c>
      <c r="AP496" s="63" t="str">
        <f t="shared" si="92"/>
        <v/>
      </c>
      <c r="AQ496" s="63" t="str">
        <f t="shared" si="86"/>
        <v xml:space="preserve">                    </v>
      </c>
      <c r="AR496" s="63"/>
      <c r="AS496" s="63"/>
      <c r="AT496" s="63"/>
      <c r="AU496" s="63"/>
      <c r="AV496" s="63"/>
      <c r="AW496" s="63"/>
      <c r="AX496" s="63"/>
      <c r="AY496" s="63"/>
      <c r="AZ496" s="63"/>
      <c r="BA496" s="63"/>
      <c r="BB496" s="63"/>
      <c r="BC496" s="63"/>
      <c r="BD496" s="63"/>
      <c r="BE496" s="63"/>
      <c r="BF496" s="63"/>
      <c r="BG496" s="63"/>
      <c r="BH496" s="63"/>
      <c r="BI496" s="63"/>
      <c r="BJ496" s="63"/>
      <c r="BK496" s="63"/>
      <c r="BL496" s="63"/>
      <c r="BM496" s="63"/>
      <c r="BN496" s="63"/>
      <c r="BO496" s="63"/>
      <c r="BP496" s="63"/>
      <c r="BQ496" s="63"/>
      <c r="BR496" s="63"/>
      <c r="BS496" s="63"/>
      <c r="BT496" s="63"/>
      <c r="BU496" s="63"/>
      <c r="BV496" s="63"/>
      <c r="BW496" s="63"/>
    </row>
    <row r="497" spans="1:75" x14ac:dyDescent="0.2">
      <c r="A497" s="63" t="str">
        <f t="shared" si="93"/>
        <v/>
      </c>
      <c r="B497" s="182"/>
      <c r="C497" s="75"/>
      <c r="D497" s="75"/>
      <c r="E497" s="74"/>
      <c r="F497" s="181"/>
      <c r="G497" s="69"/>
      <c r="AB497" s="150">
        <f t="shared" si="84"/>
        <v>0</v>
      </c>
      <c r="AC497" s="150">
        <f t="shared" si="85"/>
        <v>0</v>
      </c>
      <c r="AD497" s="98" t="str">
        <f t="shared" si="94"/>
        <v>0000000000</v>
      </c>
      <c r="AE497" s="151">
        <f t="shared" si="87"/>
        <v>0</v>
      </c>
      <c r="AF497" s="98" t="str">
        <f t="shared" si="88"/>
        <v>00</v>
      </c>
      <c r="AG497" s="98" t="str">
        <f t="shared" si="95"/>
        <v>000000000000</v>
      </c>
      <c r="AH497" s="161" t="str">
        <f t="shared" si="89"/>
        <v xml:space="preserve">                    </v>
      </c>
      <c r="AI497" s="154">
        <f t="shared" si="90"/>
        <v>0</v>
      </c>
      <c r="AJ497" s="155">
        <f t="shared" si="91"/>
        <v>0</v>
      </c>
      <c r="AP497" s="63" t="str">
        <f t="shared" si="92"/>
        <v/>
      </c>
      <c r="AQ497" s="63" t="str">
        <f t="shared" si="86"/>
        <v xml:space="preserve">                    </v>
      </c>
      <c r="AR497" s="63"/>
      <c r="AS497" s="63"/>
      <c r="AT497" s="63"/>
      <c r="AU497" s="63"/>
      <c r="AV497" s="63"/>
      <c r="AW497" s="63"/>
      <c r="AX497" s="63"/>
      <c r="AY497" s="63"/>
      <c r="AZ497" s="63"/>
      <c r="BA497" s="63"/>
      <c r="BB497" s="63"/>
      <c r="BC497" s="63"/>
      <c r="BD497" s="63"/>
      <c r="BE497" s="63"/>
      <c r="BF497" s="63"/>
      <c r="BG497" s="63"/>
      <c r="BH497" s="63"/>
      <c r="BI497" s="63"/>
      <c r="BJ497" s="63"/>
      <c r="BK497" s="63"/>
      <c r="BL497" s="63"/>
      <c r="BM497" s="63"/>
      <c r="BN497" s="63"/>
      <c r="BO497" s="63"/>
      <c r="BP497" s="63"/>
      <c r="BQ497" s="63"/>
      <c r="BR497" s="63"/>
      <c r="BS497" s="63"/>
      <c r="BT497" s="63"/>
      <c r="BU497" s="63"/>
      <c r="BV497" s="63"/>
      <c r="BW497" s="63"/>
    </row>
    <row r="498" spans="1:75" x14ac:dyDescent="0.2">
      <c r="A498" s="63" t="str">
        <f t="shared" si="93"/>
        <v/>
      </c>
      <c r="B498" s="182"/>
      <c r="C498" s="75"/>
      <c r="D498" s="75"/>
      <c r="E498" s="74"/>
      <c r="F498" s="181"/>
      <c r="G498" s="69"/>
      <c r="AB498" s="150">
        <f t="shared" si="84"/>
        <v>0</v>
      </c>
      <c r="AC498" s="150">
        <f t="shared" si="85"/>
        <v>0</v>
      </c>
      <c r="AD498" s="98" t="str">
        <f t="shared" si="94"/>
        <v>0000000000</v>
      </c>
      <c r="AE498" s="151">
        <f t="shared" si="87"/>
        <v>0</v>
      </c>
      <c r="AF498" s="98" t="str">
        <f t="shared" si="88"/>
        <v>00</v>
      </c>
      <c r="AG498" s="98" t="str">
        <f t="shared" si="95"/>
        <v>000000000000</v>
      </c>
      <c r="AH498" s="161" t="str">
        <f t="shared" si="89"/>
        <v xml:space="preserve">                    </v>
      </c>
      <c r="AI498" s="154">
        <f t="shared" si="90"/>
        <v>0</v>
      </c>
      <c r="AJ498" s="155">
        <f t="shared" si="91"/>
        <v>0</v>
      </c>
      <c r="AP498" s="63" t="str">
        <f t="shared" si="92"/>
        <v/>
      </c>
      <c r="AQ498" s="63" t="str">
        <f t="shared" si="86"/>
        <v xml:space="preserve">                    </v>
      </c>
      <c r="AR498" s="63"/>
      <c r="AS498" s="63"/>
      <c r="AT498" s="63"/>
      <c r="AU498" s="63"/>
      <c r="AV498" s="63"/>
      <c r="AW498" s="63"/>
      <c r="AX498" s="63"/>
      <c r="AY498" s="63"/>
      <c r="AZ498" s="63"/>
      <c r="BA498" s="63"/>
      <c r="BB498" s="63"/>
      <c r="BC498" s="63"/>
      <c r="BD498" s="63"/>
      <c r="BE498" s="63"/>
      <c r="BF498" s="63"/>
      <c r="BG498" s="63"/>
      <c r="BH498" s="63"/>
      <c r="BI498" s="63"/>
      <c r="BJ498" s="63"/>
      <c r="BK498" s="63"/>
      <c r="BL498" s="63"/>
      <c r="BM498" s="63"/>
      <c r="BN498" s="63"/>
      <c r="BO498" s="63"/>
      <c r="BP498" s="63"/>
      <c r="BQ498" s="63"/>
      <c r="BR498" s="63"/>
      <c r="BS498" s="63"/>
      <c r="BT498" s="63"/>
      <c r="BU498" s="63"/>
      <c r="BV498" s="63"/>
      <c r="BW498" s="63"/>
    </row>
    <row r="499" spans="1:75" x14ac:dyDescent="0.2">
      <c r="A499" s="63" t="str">
        <f t="shared" si="93"/>
        <v/>
      </c>
      <c r="B499" s="182"/>
      <c r="C499" s="75"/>
      <c r="D499" s="75"/>
      <c r="E499" s="74"/>
      <c r="F499" s="181"/>
      <c r="G499" s="69"/>
      <c r="AB499" s="150">
        <f t="shared" si="84"/>
        <v>0</v>
      </c>
      <c r="AC499" s="150">
        <f t="shared" si="85"/>
        <v>0</v>
      </c>
      <c r="AD499" s="98" t="str">
        <f t="shared" si="94"/>
        <v>0000000000</v>
      </c>
      <c r="AE499" s="151">
        <f t="shared" si="87"/>
        <v>0</v>
      </c>
      <c r="AF499" s="98" t="str">
        <f t="shared" si="88"/>
        <v>00</v>
      </c>
      <c r="AG499" s="98" t="str">
        <f t="shared" si="95"/>
        <v>000000000000</v>
      </c>
      <c r="AH499" s="161" t="str">
        <f t="shared" si="89"/>
        <v xml:space="preserve">                    </v>
      </c>
      <c r="AI499" s="154">
        <f t="shared" si="90"/>
        <v>0</v>
      </c>
      <c r="AJ499" s="155">
        <f t="shared" si="91"/>
        <v>0</v>
      </c>
      <c r="AP499" s="63" t="str">
        <f t="shared" si="92"/>
        <v/>
      </c>
      <c r="AQ499" s="63" t="str">
        <f t="shared" si="86"/>
        <v xml:space="preserve">                    </v>
      </c>
      <c r="AR499" s="63"/>
      <c r="AS499" s="63"/>
      <c r="AT499" s="63"/>
      <c r="AU499" s="63"/>
      <c r="AV499" s="63"/>
      <c r="AW499" s="63"/>
      <c r="AX499" s="63"/>
      <c r="AY499" s="63"/>
      <c r="AZ499" s="63"/>
      <c r="BA499" s="63"/>
      <c r="BB499" s="63"/>
      <c r="BC499" s="63"/>
      <c r="BD499" s="63"/>
      <c r="BE499" s="63"/>
      <c r="BF499" s="63"/>
      <c r="BG499" s="63"/>
      <c r="BH499" s="63"/>
      <c r="BI499" s="63"/>
      <c r="BJ499" s="63"/>
      <c r="BK499" s="63"/>
      <c r="BL499" s="63"/>
      <c r="BM499" s="63"/>
      <c r="BN499" s="63"/>
      <c r="BO499" s="63"/>
      <c r="BP499" s="63"/>
      <c r="BQ499" s="63"/>
      <c r="BR499" s="63"/>
      <c r="BS499" s="63"/>
      <c r="BT499" s="63"/>
      <c r="BU499" s="63"/>
      <c r="BV499" s="63"/>
      <c r="BW499" s="63"/>
    </row>
    <row r="500" spans="1:75" x14ac:dyDescent="0.2">
      <c r="A500" s="63" t="str">
        <f t="shared" si="93"/>
        <v/>
      </c>
      <c r="B500" s="182"/>
      <c r="C500" s="75"/>
      <c r="D500" s="75"/>
      <c r="E500" s="74"/>
      <c r="F500" s="181"/>
      <c r="G500" s="69"/>
      <c r="AB500" s="150">
        <f t="shared" si="84"/>
        <v>0</v>
      </c>
      <c r="AC500" s="150">
        <f t="shared" si="85"/>
        <v>0</v>
      </c>
      <c r="AD500" s="98" t="str">
        <f t="shared" si="94"/>
        <v>0000000000</v>
      </c>
      <c r="AE500" s="151">
        <f t="shared" si="87"/>
        <v>0</v>
      </c>
      <c r="AF500" s="98" t="str">
        <f t="shared" si="88"/>
        <v>00</v>
      </c>
      <c r="AG500" s="98" t="str">
        <f t="shared" si="95"/>
        <v>000000000000</v>
      </c>
      <c r="AH500" s="161" t="str">
        <f t="shared" si="89"/>
        <v xml:space="preserve">                    </v>
      </c>
      <c r="AI500" s="154">
        <f t="shared" si="90"/>
        <v>0</v>
      </c>
      <c r="AJ500" s="155">
        <f t="shared" si="91"/>
        <v>0</v>
      </c>
      <c r="AP500" s="63" t="str">
        <f t="shared" si="92"/>
        <v/>
      </c>
      <c r="AQ500" s="63" t="str">
        <f t="shared" si="86"/>
        <v xml:space="preserve">                    </v>
      </c>
      <c r="AR500" s="63"/>
      <c r="AS500" s="63"/>
      <c r="AT500" s="63"/>
      <c r="AU500" s="63"/>
      <c r="AV500" s="63"/>
      <c r="AW500" s="63"/>
      <c r="AX500" s="63"/>
      <c r="AY500" s="63"/>
      <c r="AZ500" s="63"/>
      <c r="BA500" s="63"/>
      <c r="BB500" s="63"/>
      <c r="BC500" s="63"/>
      <c r="BD500" s="63"/>
      <c r="BE500" s="63"/>
      <c r="BF500" s="63"/>
      <c r="BG500" s="63"/>
      <c r="BH500" s="63"/>
      <c r="BI500" s="63"/>
      <c r="BJ500" s="63"/>
      <c r="BK500" s="63"/>
      <c r="BL500" s="63"/>
      <c r="BM500" s="63"/>
      <c r="BN500" s="63"/>
      <c r="BO500" s="63"/>
      <c r="BP500" s="63"/>
      <c r="BQ500" s="63"/>
      <c r="BR500" s="63"/>
      <c r="BS500" s="63"/>
      <c r="BT500" s="63"/>
      <c r="BU500" s="63"/>
      <c r="BV500" s="63"/>
      <c r="BW500" s="63"/>
    </row>
    <row r="501" spans="1:75" x14ac:dyDescent="0.2">
      <c r="A501" s="63" t="str">
        <f t="shared" si="93"/>
        <v/>
      </c>
      <c r="B501" s="182"/>
      <c r="C501" s="75"/>
      <c r="D501" s="75"/>
      <c r="E501" s="74"/>
      <c r="F501" s="181"/>
      <c r="G501" s="69"/>
      <c r="AB501" s="150">
        <f t="shared" si="84"/>
        <v>0</v>
      </c>
      <c r="AC501" s="150">
        <f t="shared" si="85"/>
        <v>0</v>
      </c>
      <c r="AD501" s="98" t="str">
        <f t="shared" si="94"/>
        <v>0000000000</v>
      </c>
      <c r="AE501" s="151">
        <f t="shared" si="87"/>
        <v>0</v>
      </c>
      <c r="AF501" s="98" t="str">
        <f t="shared" si="88"/>
        <v>00</v>
      </c>
      <c r="AG501" s="98" t="str">
        <f t="shared" si="95"/>
        <v>000000000000</v>
      </c>
      <c r="AH501" s="161" t="str">
        <f t="shared" si="89"/>
        <v xml:space="preserve">                    </v>
      </c>
      <c r="AI501" s="154">
        <f t="shared" si="90"/>
        <v>0</v>
      </c>
      <c r="AJ501" s="155">
        <f t="shared" si="91"/>
        <v>0</v>
      </c>
      <c r="AP501" s="63" t="str">
        <f t="shared" si="92"/>
        <v/>
      </c>
      <c r="AQ501" s="63" t="str">
        <f t="shared" si="86"/>
        <v xml:space="preserve">                    </v>
      </c>
      <c r="AR501" s="63"/>
      <c r="AS501" s="63"/>
      <c r="AT501" s="63"/>
      <c r="AU501" s="63"/>
      <c r="AV501" s="63"/>
      <c r="AW501" s="63"/>
      <c r="AX501" s="63"/>
      <c r="AY501" s="63"/>
      <c r="AZ501" s="63"/>
      <c r="BA501" s="63"/>
      <c r="BB501" s="63"/>
      <c r="BC501" s="63"/>
      <c r="BD501" s="63"/>
      <c r="BE501" s="63"/>
      <c r="BF501" s="63"/>
      <c r="BG501" s="63"/>
      <c r="BH501" s="63"/>
      <c r="BI501" s="63"/>
      <c r="BJ501" s="63"/>
      <c r="BK501" s="63"/>
      <c r="BL501" s="63"/>
      <c r="BM501" s="63"/>
      <c r="BN501" s="63"/>
      <c r="BO501" s="63"/>
      <c r="BP501" s="63"/>
      <c r="BQ501" s="63"/>
      <c r="BR501" s="63"/>
      <c r="BS501" s="63"/>
      <c r="BT501" s="63"/>
      <c r="BU501" s="63"/>
      <c r="BV501" s="63"/>
      <c r="BW501" s="63"/>
    </row>
    <row r="502" spans="1:75" x14ac:dyDescent="0.2">
      <c r="A502" s="63" t="str">
        <f t="shared" si="93"/>
        <v/>
      </c>
      <c r="B502" s="182"/>
      <c r="C502" s="75"/>
      <c r="D502" s="75"/>
      <c r="E502" s="74"/>
      <c r="F502" s="181"/>
      <c r="G502" s="69"/>
      <c r="AB502" s="150">
        <f t="shared" si="84"/>
        <v>0</v>
      </c>
      <c r="AC502" s="150">
        <f t="shared" si="85"/>
        <v>0</v>
      </c>
      <c r="AD502" s="98" t="str">
        <f t="shared" si="94"/>
        <v>0000000000</v>
      </c>
      <c r="AE502" s="151">
        <f t="shared" si="87"/>
        <v>0</v>
      </c>
      <c r="AF502" s="98" t="str">
        <f t="shared" si="88"/>
        <v>00</v>
      </c>
      <c r="AG502" s="98" t="str">
        <f t="shared" si="95"/>
        <v>000000000000</v>
      </c>
      <c r="AH502" s="161" t="str">
        <f t="shared" si="89"/>
        <v xml:space="preserve">                    </v>
      </c>
      <c r="AI502" s="154">
        <f t="shared" si="90"/>
        <v>0</v>
      </c>
      <c r="AJ502" s="155">
        <f t="shared" si="91"/>
        <v>0</v>
      </c>
      <c r="AP502" s="63" t="str">
        <f t="shared" si="92"/>
        <v/>
      </c>
      <c r="AQ502" s="63" t="str">
        <f t="shared" si="86"/>
        <v xml:space="preserve">                    </v>
      </c>
      <c r="AR502" s="63"/>
      <c r="AS502" s="63"/>
      <c r="AT502" s="63"/>
      <c r="AU502" s="63"/>
      <c r="AV502" s="63"/>
      <c r="AW502" s="63"/>
      <c r="AX502" s="63"/>
      <c r="AY502" s="63"/>
      <c r="AZ502" s="63"/>
      <c r="BA502" s="63"/>
      <c r="BB502" s="63"/>
      <c r="BC502" s="63"/>
      <c r="BD502" s="63"/>
      <c r="BE502" s="63"/>
      <c r="BF502" s="63"/>
      <c r="BG502" s="63"/>
      <c r="BH502" s="63"/>
      <c r="BI502" s="63"/>
      <c r="BJ502" s="63"/>
      <c r="BK502" s="63"/>
      <c r="BL502" s="63"/>
      <c r="BM502" s="63"/>
      <c r="BN502" s="63"/>
      <c r="BO502" s="63"/>
      <c r="BP502" s="63"/>
      <c r="BQ502" s="63"/>
      <c r="BR502" s="63"/>
      <c r="BS502" s="63"/>
      <c r="BT502" s="63"/>
      <c r="BU502" s="63"/>
      <c r="BV502" s="63"/>
      <c r="BW502" s="63"/>
    </row>
    <row r="503" spans="1:75" x14ac:dyDescent="0.2">
      <c r="A503" s="63" t="str">
        <f t="shared" si="93"/>
        <v/>
      </c>
      <c r="B503" s="182"/>
      <c r="C503" s="75"/>
      <c r="D503" s="75"/>
      <c r="E503" s="74"/>
      <c r="F503" s="181"/>
      <c r="G503" s="69"/>
      <c r="AB503" s="150">
        <f t="shared" si="84"/>
        <v>0</v>
      </c>
      <c r="AC503" s="150">
        <f t="shared" si="85"/>
        <v>0</v>
      </c>
      <c r="AD503" s="98" t="str">
        <f t="shared" si="94"/>
        <v>0000000000</v>
      </c>
      <c r="AE503" s="151">
        <f t="shared" si="87"/>
        <v>0</v>
      </c>
      <c r="AF503" s="98" t="str">
        <f t="shared" si="88"/>
        <v>00</v>
      </c>
      <c r="AG503" s="98" t="str">
        <f t="shared" si="95"/>
        <v>000000000000</v>
      </c>
      <c r="AH503" s="161" t="str">
        <f t="shared" si="89"/>
        <v xml:space="preserve">                    </v>
      </c>
      <c r="AI503" s="154">
        <f t="shared" si="90"/>
        <v>0</v>
      </c>
      <c r="AJ503" s="155">
        <f t="shared" si="91"/>
        <v>0</v>
      </c>
      <c r="AP503" s="63" t="str">
        <f t="shared" si="92"/>
        <v/>
      </c>
      <c r="AQ503" s="63" t="str">
        <f t="shared" si="86"/>
        <v xml:space="preserve">                    </v>
      </c>
      <c r="AR503" s="63"/>
      <c r="AS503" s="63"/>
      <c r="AT503" s="63"/>
      <c r="AU503" s="63"/>
      <c r="AV503" s="63"/>
      <c r="AW503" s="63"/>
      <c r="AX503" s="63"/>
      <c r="AY503" s="63"/>
      <c r="AZ503" s="63"/>
      <c r="BA503" s="63"/>
      <c r="BB503" s="63"/>
      <c r="BC503" s="63"/>
      <c r="BD503" s="63"/>
      <c r="BE503" s="63"/>
      <c r="BF503" s="63"/>
      <c r="BG503" s="63"/>
      <c r="BH503" s="63"/>
      <c r="BI503" s="63"/>
      <c r="BJ503" s="63"/>
      <c r="BK503" s="63"/>
      <c r="BL503" s="63"/>
      <c r="BM503" s="63"/>
      <c r="BN503" s="63"/>
      <c r="BO503" s="63"/>
      <c r="BP503" s="63"/>
      <c r="BQ503" s="63"/>
      <c r="BR503" s="63"/>
      <c r="BS503" s="63"/>
      <c r="BT503" s="63"/>
      <c r="BU503" s="63"/>
      <c r="BV503" s="63"/>
      <c r="BW503" s="63"/>
    </row>
    <row r="504" spans="1:75" x14ac:dyDescent="0.2">
      <c r="A504" s="63" t="str">
        <f t="shared" si="93"/>
        <v/>
      </c>
      <c r="B504" s="182"/>
      <c r="C504" s="75"/>
      <c r="D504" s="75"/>
      <c r="E504" s="74"/>
      <c r="F504" s="181"/>
      <c r="G504" s="69"/>
      <c r="AB504" s="150">
        <f t="shared" si="84"/>
        <v>0</v>
      </c>
      <c r="AC504" s="150">
        <f t="shared" si="85"/>
        <v>0</v>
      </c>
      <c r="AD504" s="98" t="str">
        <f t="shared" si="94"/>
        <v>0000000000</v>
      </c>
      <c r="AE504" s="151">
        <f t="shared" si="87"/>
        <v>0</v>
      </c>
      <c r="AF504" s="98" t="str">
        <f t="shared" si="88"/>
        <v>00</v>
      </c>
      <c r="AG504" s="98" t="str">
        <f t="shared" si="95"/>
        <v>000000000000</v>
      </c>
      <c r="AH504" s="161" t="str">
        <f t="shared" si="89"/>
        <v xml:space="preserve">                    </v>
      </c>
      <c r="AI504" s="154">
        <f t="shared" si="90"/>
        <v>0</v>
      </c>
      <c r="AJ504" s="155">
        <f t="shared" si="91"/>
        <v>0</v>
      </c>
      <c r="AP504" s="63" t="str">
        <f t="shared" si="92"/>
        <v/>
      </c>
      <c r="AQ504" s="63" t="str">
        <f t="shared" si="86"/>
        <v xml:space="preserve">                    </v>
      </c>
      <c r="AR504" s="63"/>
      <c r="AS504" s="63"/>
      <c r="AT504" s="63"/>
      <c r="AU504" s="63"/>
      <c r="AV504" s="63"/>
      <c r="AW504" s="63"/>
      <c r="AX504" s="63"/>
      <c r="AY504" s="63"/>
      <c r="AZ504" s="63"/>
      <c r="BA504" s="63"/>
      <c r="BB504" s="63"/>
      <c r="BC504" s="63"/>
      <c r="BD504" s="63"/>
      <c r="BE504" s="63"/>
      <c r="BF504" s="63"/>
      <c r="BG504" s="63"/>
      <c r="BH504" s="63"/>
      <c r="BI504" s="63"/>
      <c r="BJ504" s="63"/>
      <c r="BK504" s="63"/>
      <c r="BL504" s="63"/>
      <c r="BM504" s="63"/>
      <c r="BN504" s="63"/>
      <c r="BO504" s="63"/>
      <c r="BP504" s="63"/>
      <c r="BQ504" s="63"/>
      <c r="BR504" s="63"/>
      <c r="BS504" s="63"/>
      <c r="BT504" s="63"/>
      <c r="BU504" s="63"/>
      <c r="BV504" s="63"/>
      <c r="BW504" s="63"/>
    </row>
    <row r="505" spans="1:75" x14ac:dyDescent="0.2">
      <c r="A505" s="63" t="str">
        <f t="shared" si="93"/>
        <v/>
      </c>
      <c r="B505" s="182"/>
      <c r="C505" s="75"/>
      <c r="D505" s="75"/>
      <c r="E505" s="74"/>
      <c r="F505" s="181"/>
      <c r="G505" s="69"/>
      <c r="AB505" s="150">
        <f t="shared" si="84"/>
        <v>0</v>
      </c>
      <c r="AC505" s="150">
        <f t="shared" si="85"/>
        <v>0</v>
      </c>
      <c r="AD505" s="98" t="str">
        <f t="shared" si="94"/>
        <v>0000000000</v>
      </c>
      <c r="AE505" s="151">
        <f t="shared" si="87"/>
        <v>0</v>
      </c>
      <c r="AF505" s="98" t="str">
        <f t="shared" si="88"/>
        <v>00</v>
      </c>
      <c r="AG505" s="98" t="str">
        <f t="shared" si="95"/>
        <v>000000000000</v>
      </c>
      <c r="AH505" s="161" t="str">
        <f t="shared" si="89"/>
        <v xml:space="preserve">                    </v>
      </c>
      <c r="AI505" s="154">
        <f t="shared" si="90"/>
        <v>0</v>
      </c>
      <c r="AJ505" s="155">
        <f t="shared" si="91"/>
        <v>0</v>
      </c>
      <c r="AP505" s="63" t="str">
        <f t="shared" si="92"/>
        <v/>
      </c>
      <c r="AQ505" s="63" t="str">
        <f t="shared" si="86"/>
        <v xml:space="preserve">                    </v>
      </c>
      <c r="AR505" s="63"/>
      <c r="AS505" s="63"/>
      <c r="AT505" s="63"/>
      <c r="AU505" s="63"/>
      <c r="AV505" s="63"/>
      <c r="AW505" s="63"/>
      <c r="AX505" s="63"/>
      <c r="AY505" s="63"/>
      <c r="AZ505" s="63"/>
      <c r="BA505" s="63"/>
      <c r="BB505" s="63"/>
      <c r="BC505" s="63"/>
      <c r="BD505" s="63"/>
      <c r="BE505" s="63"/>
      <c r="BF505" s="63"/>
      <c r="BG505" s="63"/>
      <c r="BH505" s="63"/>
      <c r="BI505" s="63"/>
      <c r="BJ505" s="63"/>
      <c r="BK505" s="63"/>
      <c r="BL505" s="63"/>
      <c r="BM505" s="63"/>
      <c r="BN505" s="63"/>
      <c r="BO505" s="63"/>
      <c r="BP505" s="63"/>
      <c r="BQ505" s="63"/>
      <c r="BR505" s="63"/>
      <c r="BS505" s="63"/>
      <c r="BT505" s="63"/>
      <c r="BU505" s="63"/>
      <c r="BV505" s="63"/>
      <c r="BW505" s="63"/>
    </row>
    <row r="506" spans="1:75" x14ac:dyDescent="0.2">
      <c r="A506" s="63" t="str">
        <f t="shared" si="93"/>
        <v/>
      </c>
      <c r="B506" s="182"/>
      <c r="C506" s="75"/>
      <c r="D506" s="75"/>
      <c r="E506" s="74"/>
      <c r="F506" s="181"/>
      <c r="G506" s="69"/>
      <c r="AB506" s="150">
        <f t="shared" si="84"/>
        <v>0</v>
      </c>
      <c r="AC506" s="150">
        <f t="shared" si="85"/>
        <v>0</v>
      </c>
      <c r="AD506" s="98" t="str">
        <f t="shared" si="94"/>
        <v>0000000000</v>
      </c>
      <c r="AE506" s="151">
        <f t="shared" si="87"/>
        <v>0</v>
      </c>
      <c r="AF506" s="98" t="str">
        <f t="shared" si="88"/>
        <v>00</v>
      </c>
      <c r="AG506" s="98" t="str">
        <f t="shared" si="95"/>
        <v>000000000000</v>
      </c>
      <c r="AH506" s="161" t="str">
        <f t="shared" si="89"/>
        <v xml:space="preserve">                    </v>
      </c>
      <c r="AI506" s="154">
        <f t="shared" si="90"/>
        <v>0</v>
      </c>
      <c r="AJ506" s="155">
        <f t="shared" si="91"/>
        <v>0</v>
      </c>
      <c r="AP506" s="63" t="str">
        <f t="shared" si="92"/>
        <v/>
      </c>
      <c r="AQ506" s="63" t="str">
        <f t="shared" si="86"/>
        <v xml:space="preserve">                    </v>
      </c>
      <c r="AR506" s="63"/>
      <c r="AS506" s="63"/>
      <c r="AT506" s="63"/>
      <c r="AU506" s="63"/>
      <c r="AV506" s="63"/>
      <c r="AW506" s="63"/>
      <c r="AX506" s="63"/>
      <c r="AY506" s="63"/>
      <c r="AZ506" s="63"/>
      <c r="BA506" s="63"/>
      <c r="BB506" s="63"/>
      <c r="BC506" s="63"/>
      <c r="BD506" s="63"/>
      <c r="BE506" s="63"/>
      <c r="BF506" s="63"/>
      <c r="BG506" s="63"/>
      <c r="BH506" s="63"/>
      <c r="BI506" s="63"/>
      <c r="BJ506" s="63"/>
      <c r="BK506" s="63"/>
      <c r="BL506" s="63"/>
      <c r="BM506" s="63"/>
      <c r="BN506" s="63"/>
      <c r="BO506" s="63"/>
      <c r="BP506" s="63"/>
      <c r="BQ506" s="63"/>
      <c r="BR506" s="63"/>
      <c r="BS506" s="63"/>
      <c r="BT506" s="63"/>
      <c r="BU506" s="63"/>
      <c r="BV506" s="63"/>
      <c r="BW506" s="63"/>
    </row>
    <row r="507" spans="1:75" x14ac:dyDescent="0.2">
      <c r="A507" s="63" t="str">
        <f t="shared" si="93"/>
        <v/>
      </c>
      <c r="B507" s="182"/>
      <c r="C507" s="75"/>
      <c r="D507" s="75"/>
      <c r="E507" s="74"/>
      <c r="F507" s="181"/>
      <c r="G507" s="69"/>
      <c r="AB507" s="150">
        <f t="shared" si="84"/>
        <v>0</v>
      </c>
      <c r="AC507" s="150">
        <f t="shared" si="85"/>
        <v>0</v>
      </c>
      <c r="AD507" s="98" t="str">
        <f t="shared" si="94"/>
        <v>0000000000</v>
      </c>
      <c r="AE507" s="151">
        <f t="shared" si="87"/>
        <v>0</v>
      </c>
      <c r="AF507" s="98" t="str">
        <f t="shared" si="88"/>
        <v>00</v>
      </c>
      <c r="AG507" s="98" t="str">
        <f t="shared" si="95"/>
        <v>000000000000</v>
      </c>
      <c r="AH507" s="161" t="str">
        <f t="shared" si="89"/>
        <v xml:space="preserve">                    </v>
      </c>
      <c r="AI507" s="154">
        <f t="shared" si="90"/>
        <v>0</v>
      </c>
      <c r="AJ507" s="155">
        <f t="shared" si="91"/>
        <v>0</v>
      </c>
      <c r="AP507" s="63" t="str">
        <f t="shared" si="92"/>
        <v/>
      </c>
      <c r="AQ507" s="63" t="str">
        <f t="shared" si="86"/>
        <v xml:space="preserve">                    </v>
      </c>
      <c r="AR507" s="63"/>
      <c r="AS507" s="63"/>
      <c r="AT507" s="63"/>
      <c r="AU507" s="63"/>
      <c r="AV507" s="63"/>
      <c r="AW507" s="63"/>
      <c r="AX507" s="63"/>
      <c r="AY507" s="63"/>
      <c r="AZ507" s="63"/>
      <c r="BA507" s="63"/>
      <c r="BB507" s="63"/>
      <c r="BC507" s="63"/>
      <c r="BD507" s="63"/>
      <c r="BE507" s="63"/>
      <c r="BF507" s="63"/>
      <c r="BG507" s="63"/>
      <c r="BH507" s="63"/>
      <c r="BI507" s="63"/>
      <c r="BJ507" s="63"/>
      <c r="BK507" s="63"/>
      <c r="BL507" s="63"/>
      <c r="BM507" s="63"/>
      <c r="BN507" s="63"/>
      <c r="BO507" s="63"/>
      <c r="BP507" s="63"/>
      <c r="BQ507" s="63"/>
      <c r="BR507" s="63"/>
      <c r="BS507" s="63"/>
      <c r="BT507" s="63"/>
      <c r="BU507" s="63"/>
      <c r="BV507" s="63"/>
      <c r="BW507" s="63"/>
    </row>
    <row r="508" spans="1:75" x14ac:dyDescent="0.2">
      <c r="A508" s="63" t="str">
        <f t="shared" si="93"/>
        <v/>
      </c>
      <c r="B508" s="182"/>
      <c r="C508" s="75"/>
      <c r="D508" s="75"/>
      <c r="E508" s="74"/>
      <c r="F508" s="181"/>
      <c r="G508" s="69"/>
      <c r="AB508" s="150">
        <f t="shared" si="84"/>
        <v>0</v>
      </c>
      <c r="AC508" s="150">
        <f t="shared" si="85"/>
        <v>0</v>
      </c>
      <c r="AD508" s="98" t="str">
        <f t="shared" si="94"/>
        <v>0000000000</v>
      </c>
      <c r="AE508" s="151">
        <f t="shared" si="87"/>
        <v>0</v>
      </c>
      <c r="AF508" s="98" t="str">
        <f t="shared" si="88"/>
        <v>00</v>
      </c>
      <c r="AG508" s="98" t="str">
        <f t="shared" si="95"/>
        <v>000000000000</v>
      </c>
      <c r="AH508" s="161" t="str">
        <f t="shared" si="89"/>
        <v xml:space="preserve">                    </v>
      </c>
      <c r="AI508" s="154">
        <f t="shared" si="90"/>
        <v>0</v>
      </c>
      <c r="AJ508" s="155">
        <f t="shared" si="91"/>
        <v>0</v>
      </c>
      <c r="AP508" s="63" t="str">
        <f t="shared" si="92"/>
        <v/>
      </c>
      <c r="AQ508" s="63" t="str">
        <f t="shared" si="86"/>
        <v xml:space="preserve">                    </v>
      </c>
      <c r="AR508" s="63"/>
      <c r="AS508" s="63"/>
      <c r="AT508" s="63"/>
      <c r="AU508" s="63"/>
      <c r="AV508" s="63"/>
      <c r="AW508" s="63"/>
      <c r="AX508" s="63"/>
      <c r="AY508" s="63"/>
      <c r="AZ508" s="63"/>
      <c r="BA508" s="63"/>
      <c r="BB508" s="63"/>
      <c r="BC508" s="63"/>
      <c r="BD508" s="63"/>
      <c r="BE508" s="63"/>
      <c r="BF508" s="63"/>
      <c r="BG508" s="63"/>
      <c r="BH508" s="63"/>
      <c r="BI508" s="63"/>
      <c r="BJ508" s="63"/>
      <c r="BK508" s="63"/>
      <c r="BL508" s="63"/>
      <c r="BM508" s="63"/>
      <c r="BN508" s="63"/>
      <c r="BO508" s="63"/>
      <c r="BP508" s="63"/>
      <c r="BQ508" s="63"/>
      <c r="BR508" s="63"/>
      <c r="BS508" s="63"/>
      <c r="BT508" s="63"/>
      <c r="BU508" s="63"/>
      <c r="BV508" s="63"/>
      <c r="BW508" s="63"/>
    </row>
    <row r="509" spans="1:75" x14ac:dyDescent="0.2">
      <c r="A509" s="63" t="str">
        <f t="shared" si="93"/>
        <v/>
      </c>
      <c r="B509" s="182"/>
      <c r="C509" s="75"/>
      <c r="D509" s="75"/>
      <c r="E509" s="74"/>
      <c r="F509" s="181"/>
      <c r="G509" s="69"/>
      <c r="AB509" s="150">
        <f t="shared" si="84"/>
        <v>0</v>
      </c>
      <c r="AC509" s="150">
        <f t="shared" si="85"/>
        <v>0</v>
      </c>
      <c r="AD509" s="98" t="str">
        <f t="shared" si="94"/>
        <v>0000000000</v>
      </c>
      <c r="AE509" s="151">
        <f t="shared" si="87"/>
        <v>0</v>
      </c>
      <c r="AF509" s="98" t="str">
        <f t="shared" si="88"/>
        <v>00</v>
      </c>
      <c r="AG509" s="98" t="str">
        <f t="shared" si="95"/>
        <v>000000000000</v>
      </c>
      <c r="AH509" s="161" t="str">
        <f t="shared" si="89"/>
        <v xml:space="preserve">                    </v>
      </c>
      <c r="AI509" s="154">
        <f t="shared" si="90"/>
        <v>0</v>
      </c>
      <c r="AJ509" s="155">
        <f t="shared" si="91"/>
        <v>0</v>
      </c>
      <c r="AP509" s="63" t="str">
        <f t="shared" si="92"/>
        <v/>
      </c>
      <c r="AQ509" s="63" t="str">
        <f t="shared" si="86"/>
        <v xml:space="preserve">                    </v>
      </c>
      <c r="AR509" s="63"/>
      <c r="AS509" s="63"/>
      <c r="AT509" s="63"/>
      <c r="AU509" s="63"/>
      <c r="AV509" s="63"/>
      <c r="AW509" s="63"/>
      <c r="AX509" s="63"/>
      <c r="AY509" s="63"/>
      <c r="AZ509" s="63"/>
      <c r="BA509" s="63"/>
      <c r="BB509" s="63"/>
      <c r="BC509" s="63"/>
      <c r="BD509" s="63"/>
      <c r="BE509" s="63"/>
      <c r="BF509" s="63"/>
      <c r="BG509" s="63"/>
      <c r="BH509" s="63"/>
      <c r="BI509" s="63"/>
      <c r="BJ509" s="63"/>
      <c r="BK509" s="63"/>
      <c r="BL509" s="63"/>
      <c r="BM509" s="63"/>
      <c r="BN509" s="63"/>
      <c r="BO509" s="63"/>
      <c r="BP509" s="63"/>
      <c r="BQ509" s="63"/>
      <c r="BR509" s="63"/>
      <c r="BS509" s="63"/>
      <c r="BT509" s="63"/>
      <c r="BU509" s="63"/>
      <c r="BV509" s="63"/>
      <c r="BW509" s="63"/>
    </row>
    <row r="510" spans="1:75" x14ac:dyDescent="0.2">
      <c r="A510" s="63" t="str">
        <f t="shared" si="93"/>
        <v/>
      </c>
      <c r="B510" s="182"/>
      <c r="C510" s="75"/>
      <c r="D510" s="75"/>
      <c r="E510" s="74"/>
      <c r="F510" s="181"/>
      <c r="G510" s="69"/>
      <c r="AB510" s="150">
        <f t="shared" si="84"/>
        <v>0</v>
      </c>
      <c r="AC510" s="150">
        <f t="shared" si="85"/>
        <v>0</v>
      </c>
      <c r="AD510" s="98" t="str">
        <f t="shared" si="94"/>
        <v>0000000000</v>
      </c>
      <c r="AE510" s="151">
        <f t="shared" si="87"/>
        <v>0</v>
      </c>
      <c r="AF510" s="98" t="str">
        <f t="shared" si="88"/>
        <v>00</v>
      </c>
      <c r="AG510" s="98" t="str">
        <f t="shared" si="95"/>
        <v>000000000000</v>
      </c>
      <c r="AH510" s="161" t="str">
        <f t="shared" si="89"/>
        <v xml:space="preserve">                    </v>
      </c>
      <c r="AI510" s="154">
        <f t="shared" si="90"/>
        <v>0</v>
      </c>
      <c r="AJ510" s="155">
        <f t="shared" si="91"/>
        <v>0</v>
      </c>
      <c r="AP510" s="63" t="str">
        <f t="shared" si="92"/>
        <v/>
      </c>
      <c r="AQ510" s="63" t="str">
        <f t="shared" si="86"/>
        <v xml:space="preserve">                    </v>
      </c>
      <c r="AR510" s="63"/>
      <c r="AS510" s="63"/>
      <c r="AT510" s="63"/>
      <c r="AU510" s="63"/>
      <c r="AV510" s="63"/>
      <c r="AW510" s="63"/>
      <c r="AX510" s="63"/>
      <c r="AY510" s="63"/>
      <c r="AZ510" s="63"/>
      <c r="BA510" s="63"/>
      <c r="BB510" s="63"/>
      <c r="BC510" s="63"/>
      <c r="BD510" s="63"/>
      <c r="BE510" s="63"/>
      <c r="BF510" s="63"/>
      <c r="BG510" s="63"/>
      <c r="BH510" s="63"/>
      <c r="BI510" s="63"/>
      <c r="BJ510" s="63"/>
      <c r="BK510" s="63"/>
      <c r="BL510" s="63"/>
      <c r="BM510" s="63"/>
      <c r="BN510" s="63"/>
      <c r="BO510" s="63"/>
      <c r="BP510" s="63"/>
      <c r="BQ510" s="63"/>
      <c r="BR510" s="63"/>
      <c r="BS510" s="63"/>
      <c r="BT510" s="63"/>
      <c r="BU510" s="63"/>
      <c r="BV510" s="63"/>
      <c r="BW510" s="63"/>
    </row>
    <row r="511" spans="1:75" x14ac:dyDescent="0.2">
      <c r="A511" s="63" t="str">
        <f t="shared" si="93"/>
        <v/>
      </c>
      <c r="B511" s="182"/>
      <c r="C511" s="75"/>
      <c r="D511" s="75"/>
      <c r="E511" s="74"/>
      <c r="F511" s="181"/>
      <c r="G511" s="69"/>
      <c r="AB511" s="150">
        <f t="shared" si="84"/>
        <v>0</v>
      </c>
      <c r="AC511" s="150">
        <f t="shared" si="85"/>
        <v>0</v>
      </c>
      <c r="AD511" s="98" t="str">
        <f t="shared" si="94"/>
        <v>0000000000</v>
      </c>
      <c r="AE511" s="151">
        <f t="shared" si="87"/>
        <v>0</v>
      </c>
      <c r="AF511" s="98" t="str">
        <f t="shared" si="88"/>
        <v>00</v>
      </c>
      <c r="AG511" s="98" t="str">
        <f t="shared" si="95"/>
        <v>000000000000</v>
      </c>
      <c r="AH511" s="161" t="str">
        <f t="shared" si="89"/>
        <v xml:space="preserve">                    </v>
      </c>
      <c r="AI511" s="154">
        <f t="shared" si="90"/>
        <v>0</v>
      </c>
      <c r="AJ511" s="155">
        <f t="shared" si="91"/>
        <v>0</v>
      </c>
      <c r="AP511" s="63" t="str">
        <f t="shared" si="92"/>
        <v/>
      </c>
      <c r="AQ511" s="63" t="str">
        <f t="shared" si="86"/>
        <v xml:space="preserve">                    </v>
      </c>
      <c r="AR511" s="63"/>
      <c r="AS511" s="63"/>
      <c r="AT511" s="63"/>
      <c r="AU511" s="63"/>
      <c r="AV511" s="63"/>
      <c r="AW511" s="63"/>
      <c r="AX511" s="63"/>
      <c r="AY511" s="63"/>
      <c r="AZ511" s="63"/>
      <c r="BA511" s="63"/>
      <c r="BB511" s="63"/>
      <c r="BC511" s="63"/>
      <c r="BD511" s="63"/>
      <c r="BE511" s="63"/>
      <c r="BF511" s="63"/>
      <c r="BG511" s="63"/>
      <c r="BH511" s="63"/>
      <c r="BI511" s="63"/>
      <c r="BJ511" s="63"/>
      <c r="BK511" s="63"/>
      <c r="BL511" s="63"/>
      <c r="BM511" s="63"/>
      <c r="BN511" s="63"/>
      <c r="BO511" s="63"/>
      <c r="BP511" s="63"/>
      <c r="BQ511" s="63"/>
      <c r="BR511" s="63"/>
      <c r="BS511" s="63"/>
      <c r="BT511" s="63"/>
      <c r="BU511" s="63"/>
      <c r="BV511" s="63"/>
      <c r="BW511" s="63"/>
    </row>
    <row r="512" spans="1:75" x14ac:dyDescent="0.2">
      <c r="A512" s="63" t="str">
        <f t="shared" si="93"/>
        <v/>
      </c>
      <c r="B512" s="182"/>
      <c r="C512" s="75"/>
      <c r="D512" s="75"/>
      <c r="E512" s="74"/>
      <c r="F512" s="181"/>
      <c r="G512" s="69"/>
      <c r="AB512" s="150">
        <f t="shared" si="84"/>
        <v>0</v>
      </c>
      <c r="AC512" s="150">
        <f t="shared" si="85"/>
        <v>0</v>
      </c>
      <c r="AD512" s="98" t="str">
        <f t="shared" si="94"/>
        <v>0000000000</v>
      </c>
      <c r="AE512" s="151">
        <f t="shared" si="87"/>
        <v>0</v>
      </c>
      <c r="AF512" s="98" t="str">
        <f t="shared" si="88"/>
        <v>00</v>
      </c>
      <c r="AG512" s="98" t="str">
        <f t="shared" si="95"/>
        <v>000000000000</v>
      </c>
      <c r="AH512" s="161" t="str">
        <f t="shared" si="89"/>
        <v xml:space="preserve">                    </v>
      </c>
      <c r="AI512" s="154">
        <f t="shared" si="90"/>
        <v>0</v>
      </c>
      <c r="AJ512" s="155">
        <f t="shared" si="91"/>
        <v>0</v>
      </c>
      <c r="AP512" s="63" t="str">
        <f t="shared" si="92"/>
        <v/>
      </c>
      <c r="AQ512" s="63" t="str">
        <f t="shared" si="86"/>
        <v xml:space="preserve">                    </v>
      </c>
      <c r="AR512" s="63"/>
      <c r="AS512" s="63"/>
      <c r="AT512" s="63"/>
      <c r="AU512" s="63"/>
      <c r="AV512" s="63"/>
      <c r="AW512" s="63"/>
      <c r="AX512" s="63"/>
      <c r="AY512" s="63"/>
      <c r="AZ512" s="63"/>
      <c r="BA512" s="63"/>
      <c r="BB512" s="63"/>
      <c r="BC512" s="63"/>
      <c r="BD512" s="63"/>
      <c r="BE512" s="63"/>
      <c r="BF512" s="63"/>
      <c r="BG512" s="63"/>
      <c r="BH512" s="63"/>
      <c r="BI512" s="63"/>
      <c r="BJ512" s="63"/>
      <c r="BK512" s="63"/>
      <c r="BL512" s="63"/>
      <c r="BM512" s="63"/>
      <c r="BN512" s="63"/>
      <c r="BO512" s="63"/>
      <c r="BP512" s="63"/>
      <c r="BQ512" s="63"/>
      <c r="BR512" s="63"/>
      <c r="BS512" s="63"/>
      <c r="BT512" s="63"/>
      <c r="BU512" s="63"/>
      <c r="BV512" s="63"/>
      <c r="BW512" s="63"/>
    </row>
    <row r="513" spans="1:75" x14ac:dyDescent="0.2">
      <c r="A513" s="63" t="str">
        <f t="shared" si="93"/>
        <v/>
      </c>
      <c r="B513" s="182"/>
      <c r="C513" s="75"/>
      <c r="D513" s="75"/>
      <c r="E513" s="74"/>
      <c r="F513" s="181"/>
      <c r="G513" s="69"/>
      <c r="AB513" s="150">
        <f t="shared" si="84"/>
        <v>0</v>
      </c>
      <c r="AC513" s="150">
        <f t="shared" si="85"/>
        <v>0</v>
      </c>
      <c r="AD513" s="98" t="str">
        <f t="shared" si="94"/>
        <v>0000000000</v>
      </c>
      <c r="AE513" s="151">
        <f t="shared" si="87"/>
        <v>0</v>
      </c>
      <c r="AF513" s="98" t="str">
        <f t="shared" si="88"/>
        <v>00</v>
      </c>
      <c r="AG513" s="98" t="str">
        <f t="shared" si="95"/>
        <v>000000000000</v>
      </c>
      <c r="AH513" s="161" t="str">
        <f t="shared" si="89"/>
        <v xml:space="preserve">                    </v>
      </c>
      <c r="AI513" s="154">
        <f t="shared" si="90"/>
        <v>0</v>
      </c>
      <c r="AJ513" s="155">
        <f t="shared" si="91"/>
        <v>0</v>
      </c>
      <c r="AP513" s="63" t="str">
        <f t="shared" si="92"/>
        <v/>
      </c>
      <c r="AQ513" s="63" t="str">
        <f t="shared" si="86"/>
        <v xml:space="preserve">                    </v>
      </c>
      <c r="AR513" s="63"/>
      <c r="AS513" s="63"/>
      <c r="AT513" s="63"/>
      <c r="AU513" s="63"/>
      <c r="AV513" s="63"/>
      <c r="AW513" s="63"/>
      <c r="AX513" s="63"/>
      <c r="AY513" s="63"/>
      <c r="AZ513" s="63"/>
      <c r="BA513" s="63"/>
      <c r="BB513" s="63"/>
      <c r="BC513" s="63"/>
      <c r="BD513" s="63"/>
      <c r="BE513" s="63"/>
      <c r="BF513" s="63"/>
      <c r="BG513" s="63"/>
      <c r="BH513" s="63"/>
      <c r="BI513" s="63"/>
      <c r="BJ513" s="63"/>
      <c r="BK513" s="63"/>
      <c r="BL513" s="63"/>
      <c r="BM513" s="63"/>
      <c r="BN513" s="63"/>
      <c r="BO513" s="63"/>
      <c r="BP513" s="63"/>
      <c r="BQ513" s="63"/>
      <c r="BR513" s="63"/>
      <c r="BS513" s="63"/>
      <c r="BT513" s="63"/>
      <c r="BU513" s="63"/>
      <c r="BV513" s="63"/>
      <c r="BW513" s="63"/>
    </row>
    <row r="514" spans="1:75" x14ac:dyDescent="0.2">
      <c r="A514" s="63" t="str">
        <f t="shared" si="93"/>
        <v/>
      </c>
      <c r="B514" s="182"/>
      <c r="C514" s="75"/>
      <c r="D514" s="75"/>
      <c r="E514" s="74"/>
      <c r="F514" s="181"/>
      <c r="G514" s="69"/>
      <c r="AB514" s="150">
        <f t="shared" si="84"/>
        <v>0</v>
      </c>
      <c r="AC514" s="150">
        <f t="shared" si="85"/>
        <v>0</v>
      </c>
      <c r="AD514" s="98" t="str">
        <f t="shared" si="94"/>
        <v>0000000000</v>
      </c>
      <c r="AE514" s="151">
        <f t="shared" si="87"/>
        <v>0</v>
      </c>
      <c r="AF514" s="98" t="str">
        <f t="shared" si="88"/>
        <v>00</v>
      </c>
      <c r="AG514" s="98" t="str">
        <f t="shared" si="95"/>
        <v>000000000000</v>
      </c>
      <c r="AH514" s="161" t="str">
        <f t="shared" si="89"/>
        <v xml:space="preserve">                    </v>
      </c>
      <c r="AI514" s="154">
        <f t="shared" si="90"/>
        <v>0</v>
      </c>
      <c r="AJ514" s="155">
        <f t="shared" si="91"/>
        <v>0</v>
      </c>
      <c r="AP514" s="63" t="str">
        <f t="shared" si="92"/>
        <v/>
      </c>
      <c r="AQ514" s="63" t="str">
        <f t="shared" si="86"/>
        <v xml:space="preserve">                    </v>
      </c>
      <c r="AR514" s="63"/>
      <c r="AS514" s="63"/>
      <c r="AT514" s="63"/>
      <c r="AU514" s="63"/>
      <c r="AV514" s="63"/>
      <c r="AW514" s="63"/>
      <c r="AX514" s="63"/>
      <c r="AY514" s="63"/>
      <c r="AZ514" s="63"/>
      <c r="BA514" s="63"/>
      <c r="BB514" s="63"/>
      <c r="BC514" s="63"/>
      <c r="BD514" s="63"/>
      <c r="BE514" s="63"/>
      <c r="BF514" s="63"/>
      <c r="BG514" s="63"/>
      <c r="BH514" s="63"/>
      <c r="BI514" s="63"/>
      <c r="BJ514" s="63"/>
      <c r="BK514" s="63"/>
      <c r="BL514" s="63"/>
      <c r="BM514" s="63"/>
      <c r="BN514" s="63"/>
      <c r="BO514" s="63"/>
      <c r="BP514" s="63"/>
      <c r="BQ514" s="63"/>
      <c r="BR514" s="63"/>
      <c r="BS514" s="63"/>
      <c r="BT514" s="63"/>
      <c r="BU514" s="63"/>
      <c r="BV514" s="63"/>
      <c r="BW514" s="63"/>
    </row>
    <row r="515" spans="1:75" x14ac:dyDescent="0.2">
      <c r="A515" s="63" t="str">
        <f t="shared" si="93"/>
        <v/>
      </c>
      <c r="B515" s="182"/>
      <c r="C515" s="75"/>
      <c r="D515" s="75"/>
      <c r="E515" s="74"/>
      <c r="F515" s="181"/>
      <c r="G515" s="69"/>
      <c r="AB515" s="150">
        <f t="shared" ref="AB515:AB578" si="96">INT(F515)</f>
        <v>0</v>
      </c>
      <c r="AC515" s="150">
        <f t="shared" ref="AC515:AC578" si="97">F515-AB515</f>
        <v>0</v>
      </c>
      <c r="AD515" s="98" t="str">
        <f t="shared" si="94"/>
        <v>0000000000</v>
      </c>
      <c r="AE515" s="151">
        <f t="shared" si="87"/>
        <v>0</v>
      </c>
      <c r="AF515" s="98" t="str">
        <f t="shared" si="88"/>
        <v>00</v>
      </c>
      <c r="AG515" s="98" t="str">
        <f t="shared" si="95"/>
        <v>000000000000</v>
      </c>
      <c r="AH515" s="161" t="str">
        <f t="shared" si="89"/>
        <v xml:space="preserve">                    </v>
      </c>
      <c r="AI515" s="154">
        <f t="shared" si="90"/>
        <v>0</v>
      </c>
      <c r="AJ515" s="155">
        <f t="shared" si="91"/>
        <v>0</v>
      </c>
      <c r="AP515" s="63" t="str">
        <f t="shared" si="92"/>
        <v/>
      </c>
      <c r="AQ515" s="63" t="str">
        <f t="shared" ref="AQ515:AQ578" si="98">CONCATENATE(D515,REPT(" ",20-LEN(D515)))</f>
        <v xml:space="preserve">                    </v>
      </c>
      <c r="AR515" s="63"/>
      <c r="AS515" s="63"/>
      <c r="AT515" s="63"/>
      <c r="AU515" s="63"/>
      <c r="AV515" s="63"/>
      <c r="AW515" s="63"/>
      <c r="AX515" s="63"/>
      <c r="AY515" s="63"/>
      <c r="AZ515" s="63"/>
      <c r="BA515" s="63"/>
      <c r="BB515" s="63"/>
      <c r="BC515" s="63"/>
      <c r="BD515" s="63"/>
      <c r="BE515" s="63"/>
      <c r="BF515" s="63"/>
      <c r="BG515" s="63"/>
      <c r="BH515" s="63"/>
      <c r="BI515" s="63"/>
      <c r="BJ515" s="63"/>
      <c r="BK515" s="63"/>
      <c r="BL515" s="63"/>
      <c r="BM515" s="63"/>
      <c r="BN515" s="63"/>
      <c r="BO515" s="63"/>
      <c r="BP515" s="63"/>
      <c r="BQ515" s="63"/>
      <c r="BR515" s="63"/>
      <c r="BS515" s="63"/>
      <c r="BT515" s="63"/>
      <c r="BU515" s="63"/>
      <c r="BV515" s="63"/>
      <c r="BW515" s="63"/>
    </row>
    <row r="516" spans="1:75" x14ac:dyDescent="0.2">
      <c r="A516" s="63" t="str">
        <f t="shared" si="93"/>
        <v/>
      </c>
      <c r="B516" s="182"/>
      <c r="C516" s="75"/>
      <c r="D516" s="75"/>
      <c r="E516" s="74"/>
      <c r="F516" s="181"/>
      <c r="G516" s="69"/>
      <c r="AB516" s="150">
        <f t="shared" si="96"/>
        <v>0</v>
      </c>
      <c r="AC516" s="150">
        <f t="shared" si="97"/>
        <v>0</v>
      </c>
      <c r="AD516" s="98" t="str">
        <f t="shared" si="94"/>
        <v>0000000000</v>
      </c>
      <c r="AE516" s="151">
        <f t="shared" ref="AE516:AE579" si="99">AC516*100</f>
        <v>0</v>
      </c>
      <c r="AF516" s="98" t="str">
        <f t="shared" ref="AF516:AF579" si="100">TEXT(AE516,"00")</f>
        <v>00</v>
      </c>
      <c r="AG516" s="98" t="str">
        <f t="shared" si="95"/>
        <v>000000000000</v>
      </c>
      <c r="AH516" s="161" t="str">
        <f t="shared" ref="AH516:AH579" si="101">CONCATENATE(C516,REPT(" ",20-LEN(C516)))</f>
        <v xml:space="preserve">                    </v>
      </c>
      <c r="AI516" s="154">
        <f t="shared" ref="AI516:AI579" si="102">IF(E516&lt;&gt;"",IF(E516=$E$3,0,1),0)</f>
        <v>0</v>
      </c>
      <c r="AJ516" s="155">
        <f t="shared" ref="AJ516:AJ579" si="103">IF(AI516=1,IF($E$3=1,F516*$H$14,F516/$H$14),F516)</f>
        <v>0</v>
      </c>
      <c r="AP516" s="63" t="str">
        <f t="shared" ref="AP516:AP579" si="104">IF(B517&lt;&gt;"",CONCATENATE("000",B517,"0",E517,"2","    00000000",AG517,"            ",AQ517,AH517,"                                                                                               "),"")</f>
        <v/>
      </c>
      <c r="AQ516" s="63" t="str">
        <f t="shared" si="98"/>
        <v xml:space="preserve">                    </v>
      </c>
      <c r="AR516" s="63"/>
      <c r="AS516" s="63"/>
      <c r="AT516" s="63"/>
      <c r="AU516" s="63"/>
      <c r="AV516" s="63"/>
      <c r="AW516" s="63"/>
      <c r="AX516" s="63"/>
      <c r="AY516" s="63"/>
      <c r="AZ516" s="63"/>
      <c r="BA516" s="63"/>
      <c r="BB516" s="63"/>
      <c r="BC516" s="63"/>
      <c r="BD516" s="63"/>
      <c r="BE516" s="63"/>
      <c r="BF516" s="63"/>
      <c r="BG516" s="63"/>
      <c r="BH516" s="63"/>
      <c r="BI516" s="63"/>
      <c r="BJ516" s="63"/>
      <c r="BK516" s="63"/>
      <c r="BL516" s="63"/>
      <c r="BM516" s="63"/>
      <c r="BN516" s="63"/>
      <c r="BO516" s="63"/>
      <c r="BP516" s="63"/>
      <c r="BQ516" s="63"/>
      <c r="BR516" s="63"/>
      <c r="BS516" s="63"/>
      <c r="BT516" s="63"/>
      <c r="BU516" s="63"/>
      <c r="BV516" s="63"/>
      <c r="BW516" s="63"/>
    </row>
    <row r="517" spans="1:75" x14ac:dyDescent="0.2">
      <c r="A517" s="63" t="str">
        <f t="shared" si="93"/>
        <v/>
      </c>
      <c r="B517" s="182"/>
      <c r="C517" s="75"/>
      <c r="D517" s="75"/>
      <c r="E517" s="74"/>
      <c r="F517" s="181"/>
      <c r="G517" s="69"/>
      <c r="AB517" s="150">
        <f t="shared" si="96"/>
        <v>0</v>
      </c>
      <c r="AC517" s="150">
        <f t="shared" si="97"/>
        <v>0</v>
      </c>
      <c r="AD517" s="98" t="str">
        <f t="shared" si="94"/>
        <v>0000000000</v>
      </c>
      <c r="AE517" s="151">
        <f t="shared" si="99"/>
        <v>0</v>
      </c>
      <c r="AF517" s="98" t="str">
        <f t="shared" si="100"/>
        <v>00</v>
      </c>
      <c r="AG517" s="98" t="str">
        <f t="shared" si="95"/>
        <v>000000000000</v>
      </c>
      <c r="AH517" s="161" t="str">
        <f t="shared" si="101"/>
        <v xml:space="preserve">                    </v>
      </c>
      <c r="AI517" s="154">
        <f t="shared" si="102"/>
        <v>0</v>
      </c>
      <c r="AJ517" s="155">
        <f t="shared" si="103"/>
        <v>0</v>
      </c>
      <c r="AP517" s="63" t="str">
        <f t="shared" si="104"/>
        <v/>
      </c>
      <c r="AQ517" s="63" t="str">
        <f t="shared" si="98"/>
        <v xml:space="preserve">                    </v>
      </c>
      <c r="AR517" s="63"/>
      <c r="AS517" s="63"/>
      <c r="AT517" s="63"/>
      <c r="AU517" s="63"/>
      <c r="AV517" s="63"/>
      <c r="AW517" s="63"/>
      <c r="AX517" s="63"/>
      <c r="AY517" s="63"/>
      <c r="AZ517" s="63"/>
      <c r="BA517" s="63"/>
      <c r="BB517" s="63"/>
      <c r="BC517" s="63"/>
      <c r="BD517" s="63"/>
      <c r="BE517" s="63"/>
      <c r="BF517" s="63"/>
      <c r="BG517" s="63"/>
      <c r="BH517" s="63"/>
      <c r="BI517" s="63"/>
      <c r="BJ517" s="63"/>
      <c r="BK517" s="63"/>
      <c r="BL517" s="63"/>
      <c r="BM517" s="63"/>
      <c r="BN517" s="63"/>
      <c r="BO517" s="63"/>
      <c r="BP517" s="63"/>
      <c r="BQ517" s="63"/>
      <c r="BR517" s="63"/>
      <c r="BS517" s="63"/>
      <c r="BT517" s="63"/>
      <c r="BU517" s="63"/>
      <c r="BV517" s="63"/>
      <c r="BW517" s="63"/>
    </row>
    <row r="518" spans="1:75" x14ac:dyDescent="0.2">
      <c r="A518" s="63" t="str">
        <f t="shared" ref="A518:A581" si="105">IF(B518&lt;&gt;"",A517+1,"")</f>
        <v/>
      </c>
      <c r="B518" s="182"/>
      <c r="C518" s="75"/>
      <c r="D518" s="75"/>
      <c r="E518" s="74"/>
      <c r="F518" s="181"/>
      <c r="G518" s="69"/>
      <c r="AB518" s="150">
        <f t="shared" si="96"/>
        <v>0</v>
      </c>
      <c r="AC518" s="150">
        <f t="shared" si="97"/>
        <v>0</v>
      </c>
      <c r="AD518" s="98" t="str">
        <f t="shared" si="94"/>
        <v>0000000000</v>
      </c>
      <c r="AE518" s="151">
        <f t="shared" si="99"/>
        <v>0</v>
      </c>
      <c r="AF518" s="98" t="str">
        <f t="shared" si="100"/>
        <v>00</v>
      </c>
      <c r="AG518" s="98" t="str">
        <f t="shared" si="95"/>
        <v>000000000000</v>
      </c>
      <c r="AH518" s="161" t="str">
        <f t="shared" si="101"/>
        <v xml:space="preserve">                    </v>
      </c>
      <c r="AI518" s="154">
        <f t="shared" si="102"/>
        <v>0</v>
      </c>
      <c r="AJ518" s="155">
        <f t="shared" si="103"/>
        <v>0</v>
      </c>
      <c r="AP518" s="63" t="str">
        <f t="shared" si="104"/>
        <v/>
      </c>
      <c r="AQ518" s="63" t="str">
        <f t="shared" si="98"/>
        <v xml:space="preserve">                    </v>
      </c>
      <c r="AR518" s="63"/>
      <c r="AS518" s="63"/>
      <c r="AT518" s="63"/>
      <c r="AU518" s="63"/>
      <c r="AV518" s="63"/>
      <c r="AW518" s="63"/>
      <c r="AX518" s="63"/>
      <c r="AY518" s="63"/>
      <c r="AZ518" s="63"/>
      <c r="BA518" s="63"/>
      <c r="BB518" s="63"/>
      <c r="BC518" s="63"/>
      <c r="BD518" s="63"/>
      <c r="BE518" s="63"/>
      <c r="BF518" s="63"/>
      <c r="BG518" s="63"/>
      <c r="BH518" s="63"/>
      <c r="BI518" s="63"/>
      <c r="BJ518" s="63"/>
      <c r="BK518" s="63"/>
      <c r="BL518" s="63"/>
      <c r="BM518" s="63"/>
      <c r="BN518" s="63"/>
      <c r="BO518" s="63"/>
      <c r="BP518" s="63"/>
      <c r="BQ518" s="63"/>
      <c r="BR518" s="63"/>
      <c r="BS518" s="63"/>
      <c r="BT518" s="63"/>
      <c r="BU518" s="63"/>
      <c r="BV518" s="63"/>
      <c r="BW518" s="63"/>
    </row>
    <row r="519" spans="1:75" x14ac:dyDescent="0.2">
      <c r="A519" s="63" t="str">
        <f t="shared" si="105"/>
        <v/>
      </c>
      <c r="B519" s="182"/>
      <c r="C519" s="75"/>
      <c r="D519" s="75"/>
      <c r="E519" s="74"/>
      <c r="F519" s="181"/>
      <c r="G519" s="69"/>
      <c r="AB519" s="150">
        <f t="shared" si="96"/>
        <v>0</v>
      </c>
      <c r="AC519" s="150">
        <f t="shared" si="97"/>
        <v>0</v>
      </c>
      <c r="AD519" s="98" t="str">
        <f t="shared" si="94"/>
        <v>0000000000</v>
      </c>
      <c r="AE519" s="151">
        <f t="shared" si="99"/>
        <v>0</v>
      </c>
      <c r="AF519" s="98" t="str">
        <f t="shared" si="100"/>
        <v>00</v>
      </c>
      <c r="AG519" s="98" t="str">
        <f t="shared" si="95"/>
        <v>000000000000</v>
      </c>
      <c r="AH519" s="161" t="str">
        <f t="shared" si="101"/>
        <v xml:space="preserve">                    </v>
      </c>
      <c r="AI519" s="154">
        <f t="shared" si="102"/>
        <v>0</v>
      </c>
      <c r="AJ519" s="155">
        <f t="shared" si="103"/>
        <v>0</v>
      </c>
      <c r="AP519" s="63" t="str">
        <f t="shared" si="104"/>
        <v/>
      </c>
      <c r="AQ519" s="63" t="str">
        <f t="shared" si="98"/>
        <v xml:space="preserve">                    </v>
      </c>
      <c r="AR519" s="63"/>
      <c r="AS519" s="63"/>
      <c r="AT519" s="63"/>
      <c r="AU519" s="63"/>
      <c r="AV519" s="63"/>
      <c r="AW519" s="63"/>
      <c r="AX519" s="63"/>
      <c r="AY519" s="63"/>
      <c r="AZ519" s="63"/>
      <c r="BA519" s="63"/>
      <c r="BB519" s="63"/>
      <c r="BC519" s="63"/>
      <c r="BD519" s="63"/>
      <c r="BE519" s="63"/>
      <c r="BF519" s="63"/>
      <c r="BG519" s="63"/>
      <c r="BH519" s="63"/>
      <c r="BI519" s="63"/>
      <c r="BJ519" s="63"/>
      <c r="BK519" s="63"/>
      <c r="BL519" s="63"/>
      <c r="BM519" s="63"/>
      <c r="BN519" s="63"/>
      <c r="BO519" s="63"/>
      <c r="BP519" s="63"/>
      <c r="BQ519" s="63"/>
      <c r="BR519" s="63"/>
      <c r="BS519" s="63"/>
      <c r="BT519" s="63"/>
      <c r="BU519" s="63"/>
      <c r="BV519" s="63"/>
      <c r="BW519" s="63"/>
    </row>
    <row r="520" spans="1:75" x14ac:dyDescent="0.2">
      <c r="A520" s="63" t="str">
        <f t="shared" si="105"/>
        <v/>
      </c>
      <c r="B520" s="182"/>
      <c r="C520" s="75"/>
      <c r="D520" s="75"/>
      <c r="E520" s="74"/>
      <c r="F520" s="181"/>
      <c r="G520" s="69"/>
      <c r="AB520" s="150">
        <f t="shared" si="96"/>
        <v>0</v>
      </c>
      <c r="AC520" s="150">
        <f t="shared" si="97"/>
        <v>0</v>
      </c>
      <c r="AD520" s="98" t="str">
        <f t="shared" ref="AD520:AD583" si="106">TEXT(AB520,"0000000000")</f>
        <v>0000000000</v>
      </c>
      <c r="AE520" s="151">
        <f t="shared" si="99"/>
        <v>0</v>
      </c>
      <c r="AF520" s="98" t="str">
        <f t="shared" si="100"/>
        <v>00</v>
      </c>
      <c r="AG520" s="98" t="str">
        <f t="shared" ref="AG520:AG583" si="107">CONCATENATE(AD520,AF520)</f>
        <v>000000000000</v>
      </c>
      <c r="AH520" s="161" t="str">
        <f t="shared" si="101"/>
        <v xml:space="preserve">                    </v>
      </c>
      <c r="AI520" s="154">
        <f t="shared" si="102"/>
        <v>0</v>
      </c>
      <c r="AJ520" s="155">
        <f t="shared" si="103"/>
        <v>0</v>
      </c>
      <c r="AP520" s="63" t="str">
        <f t="shared" si="104"/>
        <v/>
      </c>
      <c r="AQ520" s="63" t="str">
        <f t="shared" si="98"/>
        <v xml:space="preserve">                    </v>
      </c>
      <c r="AR520" s="63"/>
      <c r="AS520" s="63"/>
      <c r="AT520" s="63"/>
      <c r="AU520" s="63"/>
      <c r="AV520" s="63"/>
      <c r="AW520" s="63"/>
      <c r="AX520" s="63"/>
      <c r="AY520" s="63"/>
      <c r="AZ520" s="63"/>
      <c r="BA520" s="63"/>
      <c r="BB520" s="63"/>
      <c r="BC520" s="63"/>
      <c r="BD520" s="63"/>
      <c r="BE520" s="63"/>
      <c r="BF520" s="63"/>
      <c r="BG520" s="63"/>
      <c r="BH520" s="63"/>
      <c r="BI520" s="63"/>
      <c r="BJ520" s="63"/>
      <c r="BK520" s="63"/>
      <c r="BL520" s="63"/>
      <c r="BM520" s="63"/>
      <c r="BN520" s="63"/>
      <c r="BO520" s="63"/>
      <c r="BP520" s="63"/>
      <c r="BQ520" s="63"/>
      <c r="BR520" s="63"/>
      <c r="BS520" s="63"/>
      <c r="BT520" s="63"/>
      <c r="BU520" s="63"/>
      <c r="BV520" s="63"/>
      <c r="BW520" s="63"/>
    </row>
    <row r="521" spans="1:75" x14ac:dyDescent="0.2">
      <c r="A521" s="63" t="str">
        <f t="shared" si="105"/>
        <v/>
      </c>
      <c r="B521" s="182"/>
      <c r="C521" s="75"/>
      <c r="D521" s="75"/>
      <c r="E521" s="74"/>
      <c r="F521" s="181"/>
      <c r="G521" s="69"/>
      <c r="AB521" s="150">
        <f t="shared" si="96"/>
        <v>0</v>
      </c>
      <c r="AC521" s="150">
        <f t="shared" si="97"/>
        <v>0</v>
      </c>
      <c r="AD521" s="98" t="str">
        <f t="shared" si="106"/>
        <v>0000000000</v>
      </c>
      <c r="AE521" s="151">
        <f t="shared" si="99"/>
        <v>0</v>
      </c>
      <c r="AF521" s="98" t="str">
        <f t="shared" si="100"/>
        <v>00</v>
      </c>
      <c r="AG521" s="98" t="str">
        <f t="shared" si="107"/>
        <v>000000000000</v>
      </c>
      <c r="AH521" s="161" t="str">
        <f t="shared" si="101"/>
        <v xml:space="preserve">                    </v>
      </c>
      <c r="AI521" s="154">
        <f t="shared" si="102"/>
        <v>0</v>
      </c>
      <c r="AJ521" s="155">
        <f t="shared" si="103"/>
        <v>0</v>
      </c>
      <c r="AP521" s="63" t="str">
        <f t="shared" si="104"/>
        <v/>
      </c>
      <c r="AQ521" s="63" t="str">
        <f t="shared" si="98"/>
        <v xml:space="preserve">                    </v>
      </c>
      <c r="AR521" s="63"/>
      <c r="AS521" s="63"/>
      <c r="AT521" s="63"/>
      <c r="AU521" s="63"/>
      <c r="AV521" s="63"/>
      <c r="AW521" s="63"/>
      <c r="AX521" s="63"/>
      <c r="AY521" s="63"/>
      <c r="AZ521" s="63"/>
      <c r="BA521" s="63"/>
      <c r="BB521" s="63"/>
      <c r="BC521" s="63"/>
      <c r="BD521" s="63"/>
      <c r="BE521" s="63"/>
      <c r="BF521" s="63"/>
      <c r="BG521" s="63"/>
      <c r="BH521" s="63"/>
      <c r="BI521" s="63"/>
      <c r="BJ521" s="63"/>
      <c r="BK521" s="63"/>
      <c r="BL521" s="63"/>
      <c r="BM521" s="63"/>
      <c r="BN521" s="63"/>
      <c r="BO521" s="63"/>
      <c r="BP521" s="63"/>
      <c r="BQ521" s="63"/>
      <c r="BR521" s="63"/>
      <c r="BS521" s="63"/>
      <c r="BT521" s="63"/>
      <c r="BU521" s="63"/>
      <c r="BV521" s="63"/>
      <c r="BW521" s="63"/>
    </row>
    <row r="522" spans="1:75" x14ac:dyDescent="0.2">
      <c r="A522" s="63" t="str">
        <f t="shared" si="105"/>
        <v/>
      </c>
      <c r="B522" s="182"/>
      <c r="C522" s="75"/>
      <c r="D522" s="75"/>
      <c r="E522" s="74"/>
      <c r="F522" s="181"/>
      <c r="G522" s="69"/>
      <c r="AB522" s="150">
        <f t="shared" si="96"/>
        <v>0</v>
      </c>
      <c r="AC522" s="150">
        <f t="shared" si="97"/>
        <v>0</v>
      </c>
      <c r="AD522" s="98" t="str">
        <f t="shared" si="106"/>
        <v>0000000000</v>
      </c>
      <c r="AE522" s="151">
        <f t="shared" si="99"/>
        <v>0</v>
      </c>
      <c r="AF522" s="98" t="str">
        <f t="shared" si="100"/>
        <v>00</v>
      </c>
      <c r="AG522" s="98" t="str">
        <f t="shared" si="107"/>
        <v>000000000000</v>
      </c>
      <c r="AH522" s="161" t="str">
        <f t="shared" si="101"/>
        <v xml:space="preserve">                    </v>
      </c>
      <c r="AI522" s="154">
        <f t="shared" si="102"/>
        <v>0</v>
      </c>
      <c r="AJ522" s="155">
        <f t="shared" si="103"/>
        <v>0</v>
      </c>
      <c r="AP522" s="63" t="str">
        <f t="shared" si="104"/>
        <v/>
      </c>
      <c r="AQ522" s="63" t="str">
        <f t="shared" si="98"/>
        <v xml:space="preserve">                    </v>
      </c>
      <c r="AR522" s="63"/>
      <c r="AS522" s="63"/>
      <c r="AT522" s="63"/>
      <c r="AU522" s="63"/>
      <c r="AV522" s="63"/>
      <c r="AW522" s="63"/>
      <c r="AX522" s="63"/>
      <c r="AY522" s="63"/>
      <c r="AZ522" s="63"/>
      <c r="BA522" s="63"/>
      <c r="BB522" s="63"/>
      <c r="BC522" s="63"/>
      <c r="BD522" s="63"/>
      <c r="BE522" s="63"/>
      <c r="BF522" s="63"/>
      <c r="BG522" s="63"/>
      <c r="BH522" s="63"/>
      <c r="BI522" s="63"/>
      <c r="BJ522" s="63"/>
      <c r="BK522" s="63"/>
      <c r="BL522" s="63"/>
      <c r="BM522" s="63"/>
      <c r="BN522" s="63"/>
      <c r="BO522" s="63"/>
      <c r="BP522" s="63"/>
      <c r="BQ522" s="63"/>
      <c r="BR522" s="63"/>
      <c r="BS522" s="63"/>
      <c r="BT522" s="63"/>
      <c r="BU522" s="63"/>
      <c r="BV522" s="63"/>
      <c r="BW522" s="63"/>
    </row>
    <row r="523" spans="1:75" x14ac:dyDescent="0.2">
      <c r="A523" s="63" t="str">
        <f t="shared" si="105"/>
        <v/>
      </c>
      <c r="B523" s="182"/>
      <c r="C523" s="75"/>
      <c r="D523" s="75"/>
      <c r="E523" s="74"/>
      <c r="F523" s="181"/>
      <c r="G523" s="69"/>
      <c r="AB523" s="150">
        <f t="shared" si="96"/>
        <v>0</v>
      </c>
      <c r="AC523" s="150">
        <f t="shared" si="97"/>
        <v>0</v>
      </c>
      <c r="AD523" s="98" t="str">
        <f t="shared" si="106"/>
        <v>0000000000</v>
      </c>
      <c r="AE523" s="151">
        <f t="shared" si="99"/>
        <v>0</v>
      </c>
      <c r="AF523" s="98" t="str">
        <f t="shared" si="100"/>
        <v>00</v>
      </c>
      <c r="AG523" s="98" t="str">
        <f t="shared" si="107"/>
        <v>000000000000</v>
      </c>
      <c r="AH523" s="161" t="str">
        <f t="shared" si="101"/>
        <v xml:space="preserve">                    </v>
      </c>
      <c r="AI523" s="154">
        <f t="shared" si="102"/>
        <v>0</v>
      </c>
      <c r="AJ523" s="155">
        <f t="shared" si="103"/>
        <v>0</v>
      </c>
      <c r="AP523" s="63" t="str">
        <f t="shared" si="104"/>
        <v/>
      </c>
      <c r="AQ523" s="63" t="str">
        <f t="shared" si="98"/>
        <v xml:space="preserve">                    </v>
      </c>
      <c r="AR523" s="63"/>
      <c r="AS523" s="63"/>
      <c r="AT523" s="63"/>
      <c r="AU523" s="63"/>
      <c r="AV523" s="63"/>
      <c r="AW523" s="63"/>
      <c r="AX523" s="63"/>
      <c r="AY523" s="63"/>
      <c r="AZ523" s="63"/>
      <c r="BA523" s="63"/>
      <c r="BB523" s="63"/>
      <c r="BC523" s="63"/>
      <c r="BD523" s="63"/>
      <c r="BE523" s="63"/>
      <c r="BF523" s="63"/>
      <c r="BG523" s="63"/>
      <c r="BH523" s="63"/>
      <c r="BI523" s="63"/>
      <c r="BJ523" s="63"/>
      <c r="BK523" s="63"/>
      <c r="BL523" s="63"/>
      <c r="BM523" s="63"/>
      <c r="BN523" s="63"/>
      <c r="BO523" s="63"/>
      <c r="BP523" s="63"/>
      <c r="BQ523" s="63"/>
      <c r="BR523" s="63"/>
      <c r="BS523" s="63"/>
      <c r="BT523" s="63"/>
      <c r="BU523" s="63"/>
      <c r="BV523" s="63"/>
      <c r="BW523" s="63"/>
    </row>
    <row r="524" spans="1:75" x14ac:dyDescent="0.2">
      <c r="A524" s="63" t="str">
        <f t="shared" si="105"/>
        <v/>
      </c>
      <c r="B524" s="182"/>
      <c r="C524" s="75"/>
      <c r="D524" s="75"/>
      <c r="E524" s="74"/>
      <c r="F524" s="181"/>
      <c r="G524" s="69"/>
      <c r="AB524" s="150">
        <f t="shared" si="96"/>
        <v>0</v>
      </c>
      <c r="AC524" s="150">
        <f t="shared" si="97"/>
        <v>0</v>
      </c>
      <c r="AD524" s="98" t="str">
        <f t="shared" si="106"/>
        <v>0000000000</v>
      </c>
      <c r="AE524" s="151">
        <f t="shared" si="99"/>
        <v>0</v>
      </c>
      <c r="AF524" s="98" t="str">
        <f t="shared" si="100"/>
        <v>00</v>
      </c>
      <c r="AG524" s="98" t="str">
        <f t="shared" si="107"/>
        <v>000000000000</v>
      </c>
      <c r="AH524" s="161" t="str">
        <f t="shared" si="101"/>
        <v xml:space="preserve">                    </v>
      </c>
      <c r="AI524" s="154">
        <f t="shared" si="102"/>
        <v>0</v>
      </c>
      <c r="AJ524" s="155">
        <f t="shared" si="103"/>
        <v>0</v>
      </c>
      <c r="AP524" s="63" t="str">
        <f t="shared" si="104"/>
        <v/>
      </c>
      <c r="AQ524" s="63" t="str">
        <f t="shared" si="98"/>
        <v xml:space="preserve">                    </v>
      </c>
      <c r="AR524" s="63"/>
      <c r="AS524" s="63"/>
      <c r="AT524" s="63"/>
      <c r="AU524" s="63"/>
      <c r="AV524" s="63"/>
      <c r="AW524" s="63"/>
      <c r="AX524" s="63"/>
      <c r="AY524" s="63"/>
      <c r="AZ524" s="63"/>
      <c r="BA524" s="63"/>
      <c r="BB524" s="63"/>
      <c r="BC524" s="63"/>
      <c r="BD524" s="63"/>
      <c r="BE524" s="63"/>
      <c r="BF524" s="63"/>
      <c r="BG524" s="63"/>
      <c r="BH524" s="63"/>
      <c r="BI524" s="63"/>
      <c r="BJ524" s="63"/>
      <c r="BK524" s="63"/>
      <c r="BL524" s="63"/>
      <c r="BM524" s="63"/>
      <c r="BN524" s="63"/>
      <c r="BO524" s="63"/>
      <c r="BP524" s="63"/>
      <c r="BQ524" s="63"/>
      <c r="BR524" s="63"/>
      <c r="BS524" s="63"/>
      <c r="BT524" s="63"/>
      <c r="BU524" s="63"/>
      <c r="BV524" s="63"/>
      <c r="BW524" s="63"/>
    </row>
    <row r="525" spans="1:75" x14ac:dyDescent="0.2">
      <c r="A525" s="63" t="str">
        <f t="shared" si="105"/>
        <v/>
      </c>
      <c r="B525" s="182"/>
      <c r="C525" s="75"/>
      <c r="D525" s="75"/>
      <c r="E525" s="74"/>
      <c r="F525" s="181"/>
      <c r="G525" s="69"/>
      <c r="AB525" s="150">
        <f t="shared" si="96"/>
        <v>0</v>
      </c>
      <c r="AC525" s="150">
        <f t="shared" si="97"/>
        <v>0</v>
      </c>
      <c r="AD525" s="98" t="str">
        <f t="shared" si="106"/>
        <v>0000000000</v>
      </c>
      <c r="AE525" s="151">
        <f t="shared" si="99"/>
        <v>0</v>
      </c>
      <c r="AF525" s="98" t="str">
        <f t="shared" si="100"/>
        <v>00</v>
      </c>
      <c r="AG525" s="98" t="str">
        <f t="shared" si="107"/>
        <v>000000000000</v>
      </c>
      <c r="AH525" s="161" t="str">
        <f t="shared" si="101"/>
        <v xml:space="preserve">                    </v>
      </c>
      <c r="AI525" s="154">
        <f t="shared" si="102"/>
        <v>0</v>
      </c>
      <c r="AJ525" s="155">
        <f t="shared" si="103"/>
        <v>0</v>
      </c>
      <c r="AP525" s="63" t="str">
        <f t="shared" si="104"/>
        <v/>
      </c>
      <c r="AQ525" s="63" t="str">
        <f t="shared" si="98"/>
        <v xml:space="preserve">                    </v>
      </c>
      <c r="AR525" s="63"/>
      <c r="AS525" s="63"/>
      <c r="AT525" s="63"/>
      <c r="AU525" s="63"/>
      <c r="AV525" s="63"/>
      <c r="AW525" s="63"/>
      <c r="AX525" s="63"/>
      <c r="AY525" s="63"/>
      <c r="AZ525" s="63"/>
      <c r="BA525" s="63"/>
      <c r="BB525" s="63"/>
      <c r="BC525" s="63"/>
      <c r="BD525" s="63"/>
      <c r="BE525" s="63"/>
      <c r="BF525" s="63"/>
      <c r="BG525" s="63"/>
      <c r="BH525" s="63"/>
      <c r="BI525" s="63"/>
      <c r="BJ525" s="63"/>
      <c r="BK525" s="63"/>
      <c r="BL525" s="63"/>
      <c r="BM525" s="63"/>
      <c r="BN525" s="63"/>
      <c r="BO525" s="63"/>
      <c r="BP525" s="63"/>
      <c r="BQ525" s="63"/>
      <c r="BR525" s="63"/>
      <c r="BS525" s="63"/>
      <c r="BT525" s="63"/>
      <c r="BU525" s="63"/>
      <c r="BV525" s="63"/>
      <c r="BW525" s="63"/>
    </row>
    <row r="526" spans="1:75" x14ac:dyDescent="0.2">
      <c r="A526" s="63" t="str">
        <f t="shared" si="105"/>
        <v/>
      </c>
      <c r="B526" s="182"/>
      <c r="C526" s="75"/>
      <c r="D526" s="75"/>
      <c r="E526" s="74"/>
      <c r="F526" s="181"/>
      <c r="G526" s="69"/>
      <c r="AB526" s="150">
        <f t="shared" si="96"/>
        <v>0</v>
      </c>
      <c r="AC526" s="150">
        <f t="shared" si="97"/>
        <v>0</v>
      </c>
      <c r="AD526" s="98" t="str">
        <f t="shared" si="106"/>
        <v>0000000000</v>
      </c>
      <c r="AE526" s="151">
        <f t="shared" si="99"/>
        <v>0</v>
      </c>
      <c r="AF526" s="98" t="str">
        <f t="shared" si="100"/>
        <v>00</v>
      </c>
      <c r="AG526" s="98" t="str">
        <f t="shared" si="107"/>
        <v>000000000000</v>
      </c>
      <c r="AH526" s="161" t="str">
        <f t="shared" si="101"/>
        <v xml:space="preserve">                    </v>
      </c>
      <c r="AI526" s="154">
        <f t="shared" si="102"/>
        <v>0</v>
      </c>
      <c r="AJ526" s="155">
        <f t="shared" si="103"/>
        <v>0</v>
      </c>
      <c r="AP526" s="63" t="str">
        <f t="shared" si="104"/>
        <v/>
      </c>
      <c r="AQ526" s="63" t="str">
        <f t="shared" si="98"/>
        <v xml:space="preserve">                    </v>
      </c>
      <c r="AR526" s="63"/>
      <c r="AS526" s="63"/>
      <c r="AT526" s="63"/>
      <c r="AU526" s="63"/>
      <c r="AV526" s="63"/>
      <c r="AW526" s="63"/>
      <c r="AX526" s="63"/>
      <c r="AY526" s="63"/>
      <c r="AZ526" s="63"/>
      <c r="BA526" s="63"/>
      <c r="BB526" s="63"/>
      <c r="BC526" s="63"/>
      <c r="BD526" s="63"/>
      <c r="BE526" s="63"/>
      <c r="BF526" s="63"/>
      <c r="BG526" s="63"/>
      <c r="BH526" s="63"/>
      <c r="BI526" s="63"/>
      <c r="BJ526" s="63"/>
      <c r="BK526" s="63"/>
      <c r="BL526" s="63"/>
      <c r="BM526" s="63"/>
      <c r="BN526" s="63"/>
      <c r="BO526" s="63"/>
      <c r="BP526" s="63"/>
      <c r="BQ526" s="63"/>
      <c r="BR526" s="63"/>
      <c r="BS526" s="63"/>
      <c r="BT526" s="63"/>
      <c r="BU526" s="63"/>
      <c r="BV526" s="63"/>
      <c r="BW526" s="63"/>
    </row>
    <row r="527" spans="1:75" x14ac:dyDescent="0.2">
      <c r="A527" s="63" t="str">
        <f t="shared" si="105"/>
        <v/>
      </c>
      <c r="B527" s="182"/>
      <c r="C527" s="75"/>
      <c r="D527" s="75"/>
      <c r="E527" s="74"/>
      <c r="F527" s="181"/>
      <c r="G527" s="69"/>
      <c r="AB527" s="150">
        <f t="shared" si="96"/>
        <v>0</v>
      </c>
      <c r="AC527" s="150">
        <f t="shared" si="97"/>
        <v>0</v>
      </c>
      <c r="AD527" s="98" t="str">
        <f t="shared" si="106"/>
        <v>0000000000</v>
      </c>
      <c r="AE527" s="151">
        <f t="shared" si="99"/>
        <v>0</v>
      </c>
      <c r="AF527" s="98" t="str">
        <f t="shared" si="100"/>
        <v>00</v>
      </c>
      <c r="AG527" s="98" t="str">
        <f t="shared" si="107"/>
        <v>000000000000</v>
      </c>
      <c r="AH527" s="161" t="str">
        <f t="shared" si="101"/>
        <v xml:space="preserve">                    </v>
      </c>
      <c r="AI527" s="154">
        <f t="shared" si="102"/>
        <v>0</v>
      </c>
      <c r="AJ527" s="155">
        <f t="shared" si="103"/>
        <v>0</v>
      </c>
      <c r="AP527" s="63" t="str">
        <f t="shared" si="104"/>
        <v/>
      </c>
      <c r="AQ527" s="63" t="str">
        <f t="shared" si="98"/>
        <v xml:space="preserve">                    </v>
      </c>
      <c r="AR527" s="63"/>
      <c r="AS527" s="63"/>
      <c r="AT527" s="63"/>
      <c r="AU527" s="63"/>
      <c r="AV527" s="63"/>
      <c r="AW527" s="63"/>
      <c r="AX527" s="63"/>
      <c r="AY527" s="63"/>
      <c r="AZ527" s="63"/>
      <c r="BA527" s="63"/>
      <c r="BB527" s="63"/>
      <c r="BC527" s="63"/>
      <c r="BD527" s="63"/>
      <c r="BE527" s="63"/>
      <c r="BF527" s="63"/>
      <c r="BG527" s="63"/>
      <c r="BH527" s="63"/>
      <c r="BI527" s="63"/>
      <c r="BJ527" s="63"/>
      <c r="BK527" s="63"/>
      <c r="BL527" s="63"/>
      <c r="BM527" s="63"/>
      <c r="BN527" s="63"/>
      <c r="BO527" s="63"/>
      <c r="BP527" s="63"/>
      <c r="BQ527" s="63"/>
      <c r="BR527" s="63"/>
      <c r="BS527" s="63"/>
      <c r="BT527" s="63"/>
      <c r="BU527" s="63"/>
      <c r="BV527" s="63"/>
      <c r="BW527" s="63"/>
    </row>
    <row r="528" spans="1:75" x14ac:dyDescent="0.2">
      <c r="A528" s="63" t="str">
        <f t="shared" si="105"/>
        <v/>
      </c>
      <c r="B528" s="182"/>
      <c r="C528" s="75"/>
      <c r="D528" s="75"/>
      <c r="E528" s="74"/>
      <c r="F528" s="181"/>
      <c r="G528" s="69"/>
      <c r="AB528" s="150">
        <f t="shared" si="96"/>
        <v>0</v>
      </c>
      <c r="AC528" s="150">
        <f t="shared" si="97"/>
        <v>0</v>
      </c>
      <c r="AD528" s="98" t="str">
        <f t="shared" si="106"/>
        <v>0000000000</v>
      </c>
      <c r="AE528" s="151">
        <f t="shared" si="99"/>
        <v>0</v>
      </c>
      <c r="AF528" s="98" t="str">
        <f t="shared" si="100"/>
        <v>00</v>
      </c>
      <c r="AG528" s="98" t="str">
        <f t="shared" si="107"/>
        <v>000000000000</v>
      </c>
      <c r="AH528" s="161" t="str">
        <f t="shared" si="101"/>
        <v xml:space="preserve">                    </v>
      </c>
      <c r="AI528" s="154">
        <f t="shared" si="102"/>
        <v>0</v>
      </c>
      <c r="AJ528" s="155">
        <f t="shared" si="103"/>
        <v>0</v>
      </c>
      <c r="AP528" s="63" t="str">
        <f t="shared" si="104"/>
        <v/>
      </c>
      <c r="AQ528" s="63" t="str">
        <f t="shared" si="98"/>
        <v xml:space="preserve">                    </v>
      </c>
      <c r="AR528" s="63"/>
      <c r="AS528" s="63"/>
      <c r="AT528" s="63"/>
      <c r="AU528" s="63"/>
      <c r="AV528" s="63"/>
      <c r="AW528" s="63"/>
      <c r="AX528" s="63"/>
      <c r="AY528" s="63"/>
      <c r="AZ528" s="63"/>
      <c r="BA528" s="63"/>
      <c r="BB528" s="63"/>
      <c r="BC528" s="63"/>
      <c r="BD528" s="63"/>
      <c r="BE528" s="63"/>
      <c r="BF528" s="63"/>
      <c r="BG528" s="63"/>
      <c r="BH528" s="63"/>
      <c r="BI528" s="63"/>
      <c r="BJ528" s="63"/>
      <c r="BK528" s="63"/>
      <c r="BL528" s="63"/>
      <c r="BM528" s="63"/>
      <c r="BN528" s="63"/>
      <c r="BO528" s="63"/>
      <c r="BP528" s="63"/>
      <c r="BQ528" s="63"/>
      <c r="BR528" s="63"/>
      <c r="BS528" s="63"/>
      <c r="BT528" s="63"/>
      <c r="BU528" s="63"/>
      <c r="BV528" s="63"/>
      <c r="BW528" s="63"/>
    </row>
    <row r="529" spans="1:75" x14ac:dyDescent="0.2">
      <c r="A529" s="63" t="str">
        <f t="shared" si="105"/>
        <v/>
      </c>
      <c r="B529" s="182"/>
      <c r="C529" s="75"/>
      <c r="D529" s="75"/>
      <c r="E529" s="74"/>
      <c r="F529" s="181"/>
      <c r="G529" s="69"/>
      <c r="AB529" s="150">
        <f t="shared" si="96"/>
        <v>0</v>
      </c>
      <c r="AC529" s="150">
        <f t="shared" si="97"/>
        <v>0</v>
      </c>
      <c r="AD529" s="98" t="str">
        <f t="shared" si="106"/>
        <v>0000000000</v>
      </c>
      <c r="AE529" s="151">
        <f t="shared" si="99"/>
        <v>0</v>
      </c>
      <c r="AF529" s="98" t="str">
        <f t="shared" si="100"/>
        <v>00</v>
      </c>
      <c r="AG529" s="98" t="str">
        <f t="shared" si="107"/>
        <v>000000000000</v>
      </c>
      <c r="AH529" s="161" t="str">
        <f t="shared" si="101"/>
        <v xml:space="preserve">                    </v>
      </c>
      <c r="AI529" s="154">
        <f t="shared" si="102"/>
        <v>0</v>
      </c>
      <c r="AJ529" s="155">
        <f t="shared" si="103"/>
        <v>0</v>
      </c>
      <c r="AP529" s="63" t="str">
        <f t="shared" si="104"/>
        <v/>
      </c>
      <c r="AQ529" s="63" t="str">
        <f t="shared" si="98"/>
        <v xml:space="preserve">                    </v>
      </c>
      <c r="AR529" s="63"/>
      <c r="AS529" s="63"/>
      <c r="AT529" s="63"/>
      <c r="AU529" s="63"/>
      <c r="AV529" s="63"/>
      <c r="AW529" s="63"/>
      <c r="AX529" s="63"/>
      <c r="AY529" s="63"/>
      <c r="AZ529" s="63"/>
      <c r="BA529" s="63"/>
      <c r="BB529" s="63"/>
      <c r="BC529" s="63"/>
      <c r="BD529" s="63"/>
      <c r="BE529" s="63"/>
      <c r="BF529" s="63"/>
      <c r="BG529" s="63"/>
      <c r="BH529" s="63"/>
      <c r="BI529" s="63"/>
      <c r="BJ529" s="63"/>
      <c r="BK529" s="63"/>
      <c r="BL529" s="63"/>
      <c r="BM529" s="63"/>
      <c r="BN529" s="63"/>
      <c r="BO529" s="63"/>
      <c r="BP529" s="63"/>
      <c r="BQ529" s="63"/>
      <c r="BR529" s="63"/>
      <c r="BS529" s="63"/>
      <c r="BT529" s="63"/>
      <c r="BU529" s="63"/>
      <c r="BV529" s="63"/>
      <c r="BW529" s="63"/>
    </row>
    <row r="530" spans="1:75" x14ac:dyDescent="0.2">
      <c r="A530" s="63" t="str">
        <f t="shared" si="105"/>
        <v/>
      </c>
      <c r="B530" s="182"/>
      <c r="C530" s="75"/>
      <c r="D530" s="75"/>
      <c r="E530" s="74"/>
      <c r="F530" s="181"/>
      <c r="G530" s="69"/>
      <c r="AB530" s="150">
        <f t="shared" si="96"/>
        <v>0</v>
      </c>
      <c r="AC530" s="150">
        <f t="shared" si="97"/>
        <v>0</v>
      </c>
      <c r="AD530" s="98" t="str">
        <f t="shared" si="106"/>
        <v>0000000000</v>
      </c>
      <c r="AE530" s="151">
        <f t="shared" si="99"/>
        <v>0</v>
      </c>
      <c r="AF530" s="98" t="str">
        <f t="shared" si="100"/>
        <v>00</v>
      </c>
      <c r="AG530" s="98" t="str">
        <f t="shared" si="107"/>
        <v>000000000000</v>
      </c>
      <c r="AH530" s="161" t="str">
        <f t="shared" si="101"/>
        <v xml:space="preserve">                    </v>
      </c>
      <c r="AI530" s="154">
        <f t="shared" si="102"/>
        <v>0</v>
      </c>
      <c r="AJ530" s="155">
        <f t="shared" si="103"/>
        <v>0</v>
      </c>
      <c r="AP530" s="63" t="str">
        <f t="shared" si="104"/>
        <v/>
      </c>
      <c r="AQ530" s="63" t="str">
        <f t="shared" si="98"/>
        <v xml:space="preserve">                    </v>
      </c>
      <c r="AR530" s="63"/>
      <c r="AS530" s="63"/>
      <c r="AT530" s="63"/>
      <c r="AU530" s="63"/>
      <c r="AV530" s="63"/>
      <c r="AW530" s="63"/>
      <c r="AX530" s="63"/>
      <c r="AY530" s="63"/>
      <c r="AZ530" s="63"/>
      <c r="BA530" s="63"/>
      <c r="BB530" s="63"/>
      <c r="BC530" s="63"/>
      <c r="BD530" s="63"/>
      <c r="BE530" s="63"/>
      <c r="BF530" s="63"/>
      <c r="BG530" s="63"/>
      <c r="BH530" s="63"/>
      <c r="BI530" s="63"/>
      <c r="BJ530" s="63"/>
      <c r="BK530" s="63"/>
      <c r="BL530" s="63"/>
      <c r="BM530" s="63"/>
      <c r="BN530" s="63"/>
      <c r="BO530" s="63"/>
      <c r="BP530" s="63"/>
      <c r="BQ530" s="63"/>
      <c r="BR530" s="63"/>
      <c r="BS530" s="63"/>
      <c r="BT530" s="63"/>
      <c r="BU530" s="63"/>
      <c r="BV530" s="63"/>
      <c r="BW530" s="63"/>
    </row>
    <row r="531" spans="1:75" x14ac:dyDescent="0.2">
      <c r="A531" s="63" t="str">
        <f t="shared" si="105"/>
        <v/>
      </c>
      <c r="B531" s="182"/>
      <c r="C531" s="75"/>
      <c r="D531" s="75"/>
      <c r="E531" s="74"/>
      <c r="F531" s="181"/>
      <c r="G531" s="69"/>
      <c r="AB531" s="150">
        <f t="shared" si="96"/>
        <v>0</v>
      </c>
      <c r="AC531" s="150">
        <f t="shared" si="97"/>
        <v>0</v>
      </c>
      <c r="AD531" s="98" t="str">
        <f t="shared" si="106"/>
        <v>0000000000</v>
      </c>
      <c r="AE531" s="151">
        <f t="shared" si="99"/>
        <v>0</v>
      </c>
      <c r="AF531" s="98" t="str">
        <f t="shared" si="100"/>
        <v>00</v>
      </c>
      <c r="AG531" s="98" t="str">
        <f t="shared" si="107"/>
        <v>000000000000</v>
      </c>
      <c r="AH531" s="161" t="str">
        <f t="shared" si="101"/>
        <v xml:space="preserve">                    </v>
      </c>
      <c r="AI531" s="154">
        <f t="shared" si="102"/>
        <v>0</v>
      </c>
      <c r="AJ531" s="155">
        <f t="shared" si="103"/>
        <v>0</v>
      </c>
      <c r="AP531" s="63" t="str">
        <f t="shared" si="104"/>
        <v/>
      </c>
      <c r="AQ531" s="63" t="str">
        <f t="shared" si="98"/>
        <v xml:space="preserve">                    </v>
      </c>
      <c r="AR531" s="63"/>
      <c r="AS531" s="63"/>
      <c r="AT531" s="63"/>
      <c r="AU531" s="63"/>
      <c r="AV531" s="63"/>
      <c r="AW531" s="63"/>
      <c r="AX531" s="63"/>
      <c r="AY531" s="63"/>
      <c r="AZ531" s="63"/>
      <c r="BA531" s="63"/>
      <c r="BB531" s="63"/>
      <c r="BC531" s="63"/>
      <c r="BD531" s="63"/>
      <c r="BE531" s="63"/>
      <c r="BF531" s="63"/>
      <c r="BG531" s="63"/>
      <c r="BH531" s="63"/>
      <c r="BI531" s="63"/>
      <c r="BJ531" s="63"/>
      <c r="BK531" s="63"/>
      <c r="BL531" s="63"/>
      <c r="BM531" s="63"/>
      <c r="BN531" s="63"/>
      <c r="BO531" s="63"/>
      <c r="BP531" s="63"/>
      <c r="BQ531" s="63"/>
      <c r="BR531" s="63"/>
      <c r="BS531" s="63"/>
      <c r="BT531" s="63"/>
      <c r="BU531" s="63"/>
      <c r="BV531" s="63"/>
      <c r="BW531" s="63"/>
    </row>
    <row r="532" spans="1:75" x14ac:dyDescent="0.2">
      <c r="A532" s="63" t="str">
        <f t="shared" si="105"/>
        <v/>
      </c>
      <c r="B532" s="182"/>
      <c r="C532" s="75"/>
      <c r="D532" s="75"/>
      <c r="E532" s="74"/>
      <c r="F532" s="181"/>
      <c r="G532" s="69"/>
      <c r="AB532" s="150">
        <f t="shared" si="96"/>
        <v>0</v>
      </c>
      <c r="AC532" s="150">
        <f t="shared" si="97"/>
        <v>0</v>
      </c>
      <c r="AD532" s="98" t="str">
        <f t="shared" si="106"/>
        <v>0000000000</v>
      </c>
      <c r="AE532" s="151">
        <f t="shared" si="99"/>
        <v>0</v>
      </c>
      <c r="AF532" s="98" t="str">
        <f t="shared" si="100"/>
        <v>00</v>
      </c>
      <c r="AG532" s="98" t="str">
        <f t="shared" si="107"/>
        <v>000000000000</v>
      </c>
      <c r="AH532" s="161" t="str">
        <f t="shared" si="101"/>
        <v xml:space="preserve">                    </v>
      </c>
      <c r="AI532" s="154">
        <f t="shared" si="102"/>
        <v>0</v>
      </c>
      <c r="AJ532" s="155">
        <f t="shared" si="103"/>
        <v>0</v>
      </c>
      <c r="AP532" s="63" t="str">
        <f t="shared" si="104"/>
        <v/>
      </c>
      <c r="AQ532" s="63" t="str">
        <f t="shared" si="98"/>
        <v xml:space="preserve">                    </v>
      </c>
      <c r="AR532" s="63"/>
      <c r="AS532" s="63"/>
      <c r="AT532" s="63"/>
      <c r="AU532" s="63"/>
      <c r="AV532" s="63"/>
      <c r="AW532" s="63"/>
      <c r="AX532" s="63"/>
      <c r="AY532" s="63"/>
      <c r="AZ532" s="63"/>
      <c r="BA532" s="63"/>
      <c r="BB532" s="63"/>
      <c r="BC532" s="63"/>
      <c r="BD532" s="63"/>
      <c r="BE532" s="63"/>
      <c r="BF532" s="63"/>
      <c r="BG532" s="63"/>
      <c r="BH532" s="63"/>
      <c r="BI532" s="63"/>
      <c r="BJ532" s="63"/>
      <c r="BK532" s="63"/>
      <c r="BL532" s="63"/>
      <c r="BM532" s="63"/>
      <c r="BN532" s="63"/>
      <c r="BO532" s="63"/>
      <c r="BP532" s="63"/>
      <c r="BQ532" s="63"/>
      <c r="BR532" s="63"/>
      <c r="BS532" s="63"/>
      <c r="BT532" s="63"/>
      <c r="BU532" s="63"/>
      <c r="BV532" s="63"/>
      <c r="BW532" s="63"/>
    </row>
    <row r="533" spans="1:75" x14ac:dyDescent="0.2">
      <c r="A533" s="63" t="str">
        <f t="shared" si="105"/>
        <v/>
      </c>
      <c r="B533" s="182"/>
      <c r="C533" s="75"/>
      <c r="D533" s="75"/>
      <c r="E533" s="74"/>
      <c r="F533" s="181"/>
      <c r="G533" s="69"/>
      <c r="AB533" s="150">
        <f t="shared" si="96"/>
        <v>0</v>
      </c>
      <c r="AC533" s="150">
        <f t="shared" si="97"/>
        <v>0</v>
      </c>
      <c r="AD533" s="98" t="str">
        <f t="shared" si="106"/>
        <v>0000000000</v>
      </c>
      <c r="AE533" s="151">
        <f t="shared" si="99"/>
        <v>0</v>
      </c>
      <c r="AF533" s="98" t="str">
        <f t="shared" si="100"/>
        <v>00</v>
      </c>
      <c r="AG533" s="98" t="str">
        <f t="shared" si="107"/>
        <v>000000000000</v>
      </c>
      <c r="AH533" s="161" t="str">
        <f t="shared" si="101"/>
        <v xml:space="preserve">                    </v>
      </c>
      <c r="AI533" s="154">
        <f t="shared" si="102"/>
        <v>0</v>
      </c>
      <c r="AJ533" s="155">
        <f t="shared" si="103"/>
        <v>0</v>
      </c>
      <c r="AP533" s="63" t="str">
        <f t="shared" si="104"/>
        <v/>
      </c>
      <c r="AQ533" s="63" t="str">
        <f t="shared" si="98"/>
        <v xml:space="preserve">                    </v>
      </c>
      <c r="AR533" s="63"/>
      <c r="AS533" s="63"/>
      <c r="AT533" s="63"/>
      <c r="AU533" s="63"/>
      <c r="AV533" s="63"/>
      <c r="AW533" s="63"/>
      <c r="AX533" s="63"/>
      <c r="AY533" s="63"/>
      <c r="AZ533" s="63"/>
      <c r="BA533" s="63"/>
      <c r="BB533" s="63"/>
      <c r="BC533" s="63"/>
      <c r="BD533" s="63"/>
      <c r="BE533" s="63"/>
      <c r="BF533" s="63"/>
      <c r="BG533" s="63"/>
      <c r="BH533" s="63"/>
      <c r="BI533" s="63"/>
      <c r="BJ533" s="63"/>
      <c r="BK533" s="63"/>
      <c r="BL533" s="63"/>
      <c r="BM533" s="63"/>
      <c r="BN533" s="63"/>
      <c r="BO533" s="63"/>
      <c r="BP533" s="63"/>
      <c r="BQ533" s="63"/>
      <c r="BR533" s="63"/>
      <c r="BS533" s="63"/>
      <c r="BT533" s="63"/>
      <c r="BU533" s="63"/>
      <c r="BV533" s="63"/>
      <c r="BW533" s="63"/>
    </row>
    <row r="534" spans="1:75" x14ac:dyDescent="0.2">
      <c r="A534" s="63" t="str">
        <f t="shared" si="105"/>
        <v/>
      </c>
      <c r="B534" s="182"/>
      <c r="C534" s="75"/>
      <c r="D534" s="75"/>
      <c r="E534" s="74"/>
      <c r="F534" s="181"/>
      <c r="G534" s="69"/>
      <c r="AB534" s="150">
        <f t="shared" si="96"/>
        <v>0</v>
      </c>
      <c r="AC534" s="150">
        <f t="shared" si="97"/>
        <v>0</v>
      </c>
      <c r="AD534" s="98" t="str">
        <f t="shared" si="106"/>
        <v>0000000000</v>
      </c>
      <c r="AE534" s="151">
        <f t="shared" si="99"/>
        <v>0</v>
      </c>
      <c r="AF534" s="98" t="str">
        <f t="shared" si="100"/>
        <v>00</v>
      </c>
      <c r="AG534" s="98" t="str">
        <f t="shared" si="107"/>
        <v>000000000000</v>
      </c>
      <c r="AH534" s="161" t="str">
        <f t="shared" si="101"/>
        <v xml:space="preserve">                    </v>
      </c>
      <c r="AI534" s="154">
        <f t="shared" si="102"/>
        <v>0</v>
      </c>
      <c r="AJ534" s="155">
        <f t="shared" si="103"/>
        <v>0</v>
      </c>
      <c r="AP534" s="63" t="str">
        <f t="shared" si="104"/>
        <v/>
      </c>
      <c r="AQ534" s="63" t="str">
        <f t="shared" si="98"/>
        <v xml:space="preserve">                    </v>
      </c>
      <c r="AR534" s="63"/>
      <c r="AS534" s="63"/>
      <c r="AT534" s="63"/>
      <c r="AU534" s="63"/>
      <c r="AV534" s="63"/>
      <c r="AW534" s="63"/>
      <c r="AX534" s="63"/>
      <c r="AY534" s="63"/>
      <c r="AZ534" s="63"/>
      <c r="BA534" s="63"/>
      <c r="BB534" s="63"/>
      <c r="BC534" s="63"/>
      <c r="BD534" s="63"/>
      <c r="BE534" s="63"/>
      <c r="BF534" s="63"/>
      <c r="BG534" s="63"/>
      <c r="BH534" s="63"/>
      <c r="BI534" s="63"/>
      <c r="BJ534" s="63"/>
      <c r="BK534" s="63"/>
      <c r="BL534" s="63"/>
      <c r="BM534" s="63"/>
      <c r="BN534" s="63"/>
      <c r="BO534" s="63"/>
      <c r="BP534" s="63"/>
      <c r="BQ534" s="63"/>
      <c r="BR534" s="63"/>
      <c r="BS534" s="63"/>
      <c r="BT534" s="63"/>
      <c r="BU534" s="63"/>
      <c r="BV534" s="63"/>
      <c r="BW534" s="63"/>
    </row>
    <row r="535" spans="1:75" x14ac:dyDescent="0.2">
      <c r="A535" s="63" t="str">
        <f t="shared" si="105"/>
        <v/>
      </c>
      <c r="B535" s="182"/>
      <c r="C535" s="75"/>
      <c r="D535" s="75"/>
      <c r="E535" s="74"/>
      <c r="F535" s="181"/>
      <c r="G535" s="69"/>
      <c r="AB535" s="150">
        <f t="shared" si="96"/>
        <v>0</v>
      </c>
      <c r="AC535" s="150">
        <f t="shared" si="97"/>
        <v>0</v>
      </c>
      <c r="AD535" s="98" t="str">
        <f t="shared" si="106"/>
        <v>0000000000</v>
      </c>
      <c r="AE535" s="151">
        <f t="shared" si="99"/>
        <v>0</v>
      </c>
      <c r="AF535" s="98" t="str">
        <f t="shared" si="100"/>
        <v>00</v>
      </c>
      <c r="AG535" s="98" t="str">
        <f t="shared" si="107"/>
        <v>000000000000</v>
      </c>
      <c r="AH535" s="161" t="str">
        <f t="shared" si="101"/>
        <v xml:space="preserve">                    </v>
      </c>
      <c r="AI535" s="154">
        <f t="shared" si="102"/>
        <v>0</v>
      </c>
      <c r="AJ535" s="155">
        <f t="shared" si="103"/>
        <v>0</v>
      </c>
      <c r="AP535" s="63" t="str">
        <f t="shared" si="104"/>
        <v/>
      </c>
      <c r="AQ535" s="63" t="str">
        <f t="shared" si="98"/>
        <v xml:space="preserve">                    </v>
      </c>
      <c r="AR535" s="63"/>
      <c r="AS535" s="63"/>
      <c r="AT535" s="63"/>
      <c r="AU535" s="63"/>
      <c r="AV535" s="63"/>
      <c r="AW535" s="63"/>
      <c r="AX535" s="63"/>
      <c r="AY535" s="63"/>
      <c r="AZ535" s="63"/>
      <c r="BA535" s="63"/>
      <c r="BB535" s="63"/>
      <c r="BC535" s="63"/>
      <c r="BD535" s="63"/>
      <c r="BE535" s="63"/>
      <c r="BF535" s="63"/>
      <c r="BG535" s="63"/>
      <c r="BH535" s="63"/>
      <c r="BI535" s="63"/>
      <c r="BJ535" s="63"/>
      <c r="BK535" s="63"/>
      <c r="BL535" s="63"/>
      <c r="BM535" s="63"/>
      <c r="BN535" s="63"/>
      <c r="BO535" s="63"/>
      <c r="BP535" s="63"/>
      <c r="BQ535" s="63"/>
      <c r="BR535" s="63"/>
      <c r="BS535" s="63"/>
      <c r="BT535" s="63"/>
      <c r="BU535" s="63"/>
      <c r="BV535" s="63"/>
      <c r="BW535" s="63"/>
    </row>
    <row r="536" spans="1:75" x14ac:dyDescent="0.2">
      <c r="A536" s="63" t="str">
        <f t="shared" si="105"/>
        <v/>
      </c>
      <c r="B536" s="182"/>
      <c r="C536" s="75"/>
      <c r="D536" s="75"/>
      <c r="E536" s="74"/>
      <c r="F536" s="181"/>
      <c r="G536" s="69"/>
      <c r="AB536" s="150">
        <f t="shared" si="96"/>
        <v>0</v>
      </c>
      <c r="AC536" s="150">
        <f t="shared" si="97"/>
        <v>0</v>
      </c>
      <c r="AD536" s="98" t="str">
        <f t="shared" si="106"/>
        <v>0000000000</v>
      </c>
      <c r="AE536" s="151">
        <f t="shared" si="99"/>
        <v>0</v>
      </c>
      <c r="AF536" s="98" t="str">
        <f t="shared" si="100"/>
        <v>00</v>
      </c>
      <c r="AG536" s="98" t="str">
        <f t="shared" si="107"/>
        <v>000000000000</v>
      </c>
      <c r="AH536" s="161" t="str">
        <f t="shared" si="101"/>
        <v xml:space="preserve">                    </v>
      </c>
      <c r="AI536" s="154">
        <f t="shared" si="102"/>
        <v>0</v>
      </c>
      <c r="AJ536" s="155">
        <f t="shared" si="103"/>
        <v>0</v>
      </c>
      <c r="AP536" s="63" t="str">
        <f t="shared" si="104"/>
        <v/>
      </c>
      <c r="AQ536" s="63" t="str">
        <f t="shared" si="98"/>
        <v xml:space="preserve">                    </v>
      </c>
      <c r="AR536" s="63"/>
      <c r="AS536" s="63"/>
      <c r="AT536" s="63"/>
      <c r="AU536" s="63"/>
      <c r="AV536" s="63"/>
      <c r="AW536" s="63"/>
      <c r="AX536" s="63"/>
      <c r="AY536" s="63"/>
      <c r="AZ536" s="63"/>
      <c r="BA536" s="63"/>
      <c r="BB536" s="63"/>
      <c r="BC536" s="63"/>
      <c r="BD536" s="63"/>
      <c r="BE536" s="63"/>
      <c r="BF536" s="63"/>
      <c r="BG536" s="63"/>
      <c r="BH536" s="63"/>
      <c r="BI536" s="63"/>
      <c r="BJ536" s="63"/>
      <c r="BK536" s="63"/>
      <c r="BL536" s="63"/>
      <c r="BM536" s="63"/>
      <c r="BN536" s="63"/>
      <c r="BO536" s="63"/>
      <c r="BP536" s="63"/>
      <c r="BQ536" s="63"/>
      <c r="BR536" s="63"/>
      <c r="BS536" s="63"/>
      <c r="BT536" s="63"/>
      <c r="BU536" s="63"/>
      <c r="BV536" s="63"/>
      <c r="BW536" s="63"/>
    </row>
    <row r="537" spans="1:75" x14ac:dyDescent="0.2">
      <c r="A537" s="63" t="str">
        <f t="shared" si="105"/>
        <v/>
      </c>
      <c r="B537" s="182"/>
      <c r="C537" s="75"/>
      <c r="D537" s="75"/>
      <c r="E537" s="74"/>
      <c r="F537" s="181"/>
      <c r="G537" s="69"/>
      <c r="AB537" s="150">
        <f t="shared" si="96"/>
        <v>0</v>
      </c>
      <c r="AC537" s="150">
        <f t="shared" si="97"/>
        <v>0</v>
      </c>
      <c r="AD537" s="98" t="str">
        <f t="shared" si="106"/>
        <v>0000000000</v>
      </c>
      <c r="AE537" s="151">
        <f t="shared" si="99"/>
        <v>0</v>
      </c>
      <c r="AF537" s="98" t="str">
        <f t="shared" si="100"/>
        <v>00</v>
      </c>
      <c r="AG537" s="98" t="str">
        <f t="shared" si="107"/>
        <v>000000000000</v>
      </c>
      <c r="AH537" s="161" t="str">
        <f t="shared" si="101"/>
        <v xml:space="preserve">                    </v>
      </c>
      <c r="AI537" s="154">
        <f t="shared" si="102"/>
        <v>0</v>
      </c>
      <c r="AJ537" s="155">
        <f t="shared" si="103"/>
        <v>0</v>
      </c>
      <c r="AP537" s="63" t="str">
        <f t="shared" si="104"/>
        <v/>
      </c>
      <c r="AQ537" s="63" t="str">
        <f t="shared" si="98"/>
        <v xml:space="preserve">                    </v>
      </c>
      <c r="AR537" s="63"/>
      <c r="AS537" s="63"/>
      <c r="AT537" s="63"/>
      <c r="AU537" s="63"/>
      <c r="AV537" s="63"/>
      <c r="AW537" s="63"/>
      <c r="AX537" s="63"/>
      <c r="AY537" s="63"/>
      <c r="AZ537" s="63"/>
      <c r="BA537" s="63"/>
      <c r="BB537" s="63"/>
      <c r="BC537" s="63"/>
      <c r="BD537" s="63"/>
      <c r="BE537" s="63"/>
      <c r="BF537" s="63"/>
      <c r="BG537" s="63"/>
      <c r="BH537" s="63"/>
      <c r="BI537" s="63"/>
      <c r="BJ537" s="63"/>
      <c r="BK537" s="63"/>
      <c r="BL537" s="63"/>
      <c r="BM537" s="63"/>
      <c r="BN537" s="63"/>
      <c r="BO537" s="63"/>
      <c r="BP537" s="63"/>
      <c r="BQ537" s="63"/>
      <c r="BR537" s="63"/>
      <c r="BS537" s="63"/>
      <c r="BT537" s="63"/>
      <c r="BU537" s="63"/>
      <c r="BV537" s="63"/>
      <c r="BW537" s="63"/>
    </row>
    <row r="538" spans="1:75" x14ac:dyDescent="0.2">
      <c r="A538" s="63" t="str">
        <f t="shared" si="105"/>
        <v/>
      </c>
      <c r="B538" s="182"/>
      <c r="C538" s="75"/>
      <c r="D538" s="75"/>
      <c r="E538" s="74"/>
      <c r="F538" s="181"/>
      <c r="G538" s="69"/>
      <c r="AB538" s="150">
        <f t="shared" si="96"/>
        <v>0</v>
      </c>
      <c r="AC538" s="150">
        <f t="shared" si="97"/>
        <v>0</v>
      </c>
      <c r="AD538" s="98" t="str">
        <f t="shared" si="106"/>
        <v>0000000000</v>
      </c>
      <c r="AE538" s="151">
        <f t="shared" si="99"/>
        <v>0</v>
      </c>
      <c r="AF538" s="98" t="str">
        <f t="shared" si="100"/>
        <v>00</v>
      </c>
      <c r="AG538" s="98" t="str">
        <f t="shared" si="107"/>
        <v>000000000000</v>
      </c>
      <c r="AH538" s="161" t="str">
        <f t="shared" si="101"/>
        <v xml:space="preserve">                    </v>
      </c>
      <c r="AI538" s="154">
        <f t="shared" si="102"/>
        <v>0</v>
      </c>
      <c r="AJ538" s="155">
        <f t="shared" si="103"/>
        <v>0</v>
      </c>
      <c r="AP538" s="63" t="str">
        <f t="shared" si="104"/>
        <v/>
      </c>
      <c r="AQ538" s="63" t="str">
        <f t="shared" si="98"/>
        <v xml:space="preserve">                    </v>
      </c>
      <c r="AR538" s="63"/>
      <c r="AS538" s="63"/>
      <c r="AT538" s="63"/>
      <c r="AU538" s="63"/>
      <c r="AV538" s="63"/>
      <c r="AW538" s="63"/>
      <c r="AX538" s="63"/>
      <c r="AY538" s="63"/>
      <c r="AZ538" s="63"/>
      <c r="BA538" s="63"/>
      <c r="BB538" s="63"/>
      <c r="BC538" s="63"/>
      <c r="BD538" s="63"/>
      <c r="BE538" s="63"/>
      <c r="BF538" s="63"/>
      <c r="BG538" s="63"/>
      <c r="BH538" s="63"/>
      <c r="BI538" s="63"/>
      <c r="BJ538" s="63"/>
      <c r="BK538" s="63"/>
      <c r="BL538" s="63"/>
      <c r="BM538" s="63"/>
      <c r="BN538" s="63"/>
      <c r="BO538" s="63"/>
      <c r="BP538" s="63"/>
      <c r="BQ538" s="63"/>
      <c r="BR538" s="63"/>
      <c r="BS538" s="63"/>
      <c r="BT538" s="63"/>
      <c r="BU538" s="63"/>
      <c r="BV538" s="63"/>
      <c r="BW538" s="63"/>
    </row>
    <row r="539" spans="1:75" x14ac:dyDescent="0.2">
      <c r="A539" s="63" t="str">
        <f t="shared" si="105"/>
        <v/>
      </c>
      <c r="B539" s="182"/>
      <c r="C539" s="75"/>
      <c r="D539" s="75"/>
      <c r="E539" s="74"/>
      <c r="F539" s="181"/>
      <c r="G539" s="69"/>
      <c r="AB539" s="150">
        <f t="shared" si="96"/>
        <v>0</v>
      </c>
      <c r="AC539" s="150">
        <f t="shared" si="97"/>
        <v>0</v>
      </c>
      <c r="AD539" s="98" t="str">
        <f t="shared" si="106"/>
        <v>0000000000</v>
      </c>
      <c r="AE539" s="151">
        <f t="shared" si="99"/>
        <v>0</v>
      </c>
      <c r="AF539" s="98" t="str">
        <f t="shared" si="100"/>
        <v>00</v>
      </c>
      <c r="AG539" s="98" t="str">
        <f t="shared" si="107"/>
        <v>000000000000</v>
      </c>
      <c r="AH539" s="161" t="str">
        <f t="shared" si="101"/>
        <v xml:space="preserve">                    </v>
      </c>
      <c r="AI539" s="154">
        <f t="shared" si="102"/>
        <v>0</v>
      </c>
      <c r="AJ539" s="155">
        <f t="shared" si="103"/>
        <v>0</v>
      </c>
      <c r="AP539" s="63" t="str">
        <f t="shared" si="104"/>
        <v/>
      </c>
      <c r="AQ539" s="63" t="str">
        <f t="shared" si="98"/>
        <v xml:space="preserve">                    </v>
      </c>
      <c r="AR539" s="63"/>
      <c r="AS539" s="63"/>
      <c r="AT539" s="63"/>
      <c r="AU539" s="63"/>
      <c r="AV539" s="63"/>
      <c r="AW539" s="63"/>
      <c r="AX539" s="63"/>
      <c r="AY539" s="63"/>
      <c r="AZ539" s="63"/>
      <c r="BA539" s="63"/>
      <c r="BB539" s="63"/>
      <c r="BC539" s="63"/>
      <c r="BD539" s="63"/>
      <c r="BE539" s="63"/>
      <c r="BF539" s="63"/>
      <c r="BG539" s="63"/>
      <c r="BH539" s="63"/>
      <c r="BI539" s="63"/>
      <c r="BJ539" s="63"/>
      <c r="BK539" s="63"/>
      <c r="BL539" s="63"/>
      <c r="BM539" s="63"/>
      <c r="BN539" s="63"/>
      <c r="BO539" s="63"/>
      <c r="BP539" s="63"/>
      <c r="BQ539" s="63"/>
      <c r="BR539" s="63"/>
      <c r="BS539" s="63"/>
      <c r="BT539" s="63"/>
      <c r="BU539" s="63"/>
      <c r="BV539" s="63"/>
      <c r="BW539" s="63"/>
    </row>
    <row r="540" spans="1:75" x14ac:dyDescent="0.2">
      <c r="A540" s="63" t="str">
        <f t="shared" si="105"/>
        <v/>
      </c>
      <c r="B540" s="182"/>
      <c r="C540" s="75"/>
      <c r="D540" s="75"/>
      <c r="E540" s="74"/>
      <c r="F540" s="181"/>
      <c r="G540" s="69"/>
      <c r="AB540" s="150">
        <f t="shared" si="96"/>
        <v>0</v>
      </c>
      <c r="AC540" s="150">
        <f t="shared" si="97"/>
        <v>0</v>
      </c>
      <c r="AD540" s="98" t="str">
        <f t="shared" si="106"/>
        <v>0000000000</v>
      </c>
      <c r="AE540" s="151">
        <f t="shared" si="99"/>
        <v>0</v>
      </c>
      <c r="AF540" s="98" t="str">
        <f t="shared" si="100"/>
        <v>00</v>
      </c>
      <c r="AG540" s="98" t="str">
        <f t="shared" si="107"/>
        <v>000000000000</v>
      </c>
      <c r="AH540" s="161" t="str">
        <f t="shared" si="101"/>
        <v xml:space="preserve">                    </v>
      </c>
      <c r="AI540" s="154">
        <f t="shared" si="102"/>
        <v>0</v>
      </c>
      <c r="AJ540" s="155">
        <f t="shared" si="103"/>
        <v>0</v>
      </c>
      <c r="AP540" s="63" t="str">
        <f t="shared" si="104"/>
        <v/>
      </c>
      <c r="AQ540" s="63" t="str">
        <f t="shared" si="98"/>
        <v xml:space="preserve">                    </v>
      </c>
      <c r="AR540" s="63"/>
      <c r="AS540" s="63"/>
      <c r="AT540" s="63"/>
      <c r="AU540" s="63"/>
      <c r="AV540" s="63"/>
      <c r="AW540" s="63"/>
      <c r="AX540" s="63"/>
      <c r="AY540" s="63"/>
      <c r="AZ540" s="63"/>
      <c r="BA540" s="63"/>
      <c r="BB540" s="63"/>
      <c r="BC540" s="63"/>
      <c r="BD540" s="63"/>
      <c r="BE540" s="63"/>
      <c r="BF540" s="63"/>
      <c r="BG540" s="63"/>
      <c r="BH540" s="63"/>
      <c r="BI540" s="63"/>
      <c r="BJ540" s="63"/>
      <c r="BK540" s="63"/>
      <c r="BL540" s="63"/>
      <c r="BM540" s="63"/>
      <c r="BN540" s="63"/>
      <c r="BO540" s="63"/>
      <c r="BP540" s="63"/>
      <c r="BQ540" s="63"/>
      <c r="BR540" s="63"/>
      <c r="BS540" s="63"/>
      <c r="BT540" s="63"/>
      <c r="BU540" s="63"/>
      <c r="BV540" s="63"/>
      <c r="BW540" s="63"/>
    </row>
    <row r="541" spans="1:75" x14ac:dyDescent="0.2">
      <c r="A541" s="63" t="str">
        <f t="shared" si="105"/>
        <v/>
      </c>
      <c r="B541" s="182"/>
      <c r="C541" s="75"/>
      <c r="D541" s="75"/>
      <c r="E541" s="74"/>
      <c r="F541" s="181"/>
      <c r="G541" s="69"/>
      <c r="AB541" s="150">
        <f t="shared" si="96"/>
        <v>0</v>
      </c>
      <c r="AC541" s="150">
        <f t="shared" si="97"/>
        <v>0</v>
      </c>
      <c r="AD541" s="98" t="str">
        <f t="shared" si="106"/>
        <v>0000000000</v>
      </c>
      <c r="AE541" s="151">
        <f t="shared" si="99"/>
        <v>0</v>
      </c>
      <c r="AF541" s="98" t="str">
        <f t="shared" si="100"/>
        <v>00</v>
      </c>
      <c r="AG541" s="98" t="str">
        <f t="shared" si="107"/>
        <v>000000000000</v>
      </c>
      <c r="AH541" s="161" t="str">
        <f t="shared" si="101"/>
        <v xml:space="preserve">                    </v>
      </c>
      <c r="AI541" s="154">
        <f t="shared" si="102"/>
        <v>0</v>
      </c>
      <c r="AJ541" s="155">
        <f t="shared" si="103"/>
        <v>0</v>
      </c>
      <c r="AP541" s="63" t="str">
        <f t="shared" si="104"/>
        <v/>
      </c>
      <c r="AQ541" s="63" t="str">
        <f t="shared" si="98"/>
        <v xml:space="preserve">                    </v>
      </c>
      <c r="AR541" s="63"/>
      <c r="AS541" s="63"/>
      <c r="AT541" s="63"/>
      <c r="AU541" s="63"/>
      <c r="AV541" s="63"/>
      <c r="AW541" s="63"/>
      <c r="AX541" s="63"/>
      <c r="AY541" s="63"/>
      <c r="AZ541" s="63"/>
      <c r="BA541" s="63"/>
      <c r="BB541" s="63"/>
      <c r="BC541" s="63"/>
      <c r="BD541" s="63"/>
      <c r="BE541" s="63"/>
      <c r="BF541" s="63"/>
      <c r="BG541" s="63"/>
      <c r="BH541" s="63"/>
      <c r="BI541" s="63"/>
      <c r="BJ541" s="63"/>
      <c r="BK541" s="63"/>
      <c r="BL541" s="63"/>
      <c r="BM541" s="63"/>
      <c r="BN541" s="63"/>
      <c r="BO541" s="63"/>
      <c r="BP541" s="63"/>
      <c r="BQ541" s="63"/>
      <c r="BR541" s="63"/>
      <c r="BS541" s="63"/>
      <c r="BT541" s="63"/>
      <c r="BU541" s="63"/>
      <c r="BV541" s="63"/>
      <c r="BW541" s="63"/>
    </row>
    <row r="542" spans="1:75" x14ac:dyDescent="0.2">
      <c r="A542" s="63" t="str">
        <f t="shared" si="105"/>
        <v/>
      </c>
      <c r="B542" s="182"/>
      <c r="C542" s="75"/>
      <c r="D542" s="75"/>
      <c r="E542" s="74"/>
      <c r="F542" s="181"/>
      <c r="G542" s="69"/>
      <c r="AB542" s="150">
        <f t="shared" si="96"/>
        <v>0</v>
      </c>
      <c r="AC542" s="150">
        <f t="shared" si="97"/>
        <v>0</v>
      </c>
      <c r="AD542" s="98" t="str">
        <f t="shared" si="106"/>
        <v>0000000000</v>
      </c>
      <c r="AE542" s="151">
        <f t="shared" si="99"/>
        <v>0</v>
      </c>
      <c r="AF542" s="98" t="str">
        <f t="shared" si="100"/>
        <v>00</v>
      </c>
      <c r="AG542" s="98" t="str">
        <f t="shared" si="107"/>
        <v>000000000000</v>
      </c>
      <c r="AH542" s="161" t="str">
        <f t="shared" si="101"/>
        <v xml:space="preserve">                    </v>
      </c>
      <c r="AI542" s="154">
        <f t="shared" si="102"/>
        <v>0</v>
      </c>
      <c r="AJ542" s="155">
        <f t="shared" si="103"/>
        <v>0</v>
      </c>
      <c r="AP542" s="63" t="str">
        <f t="shared" si="104"/>
        <v/>
      </c>
      <c r="AQ542" s="63" t="str">
        <f t="shared" si="98"/>
        <v xml:space="preserve">                    </v>
      </c>
      <c r="AR542" s="63"/>
      <c r="AS542" s="63"/>
      <c r="AT542" s="63"/>
      <c r="AU542" s="63"/>
      <c r="AV542" s="63"/>
      <c r="AW542" s="63"/>
      <c r="AX542" s="63"/>
      <c r="AY542" s="63"/>
      <c r="AZ542" s="63"/>
      <c r="BA542" s="63"/>
      <c r="BB542" s="63"/>
      <c r="BC542" s="63"/>
      <c r="BD542" s="63"/>
      <c r="BE542" s="63"/>
      <c r="BF542" s="63"/>
      <c r="BG542" s="63"/>
      <c r="BH542" s="63"/>
      <c r="BI542" s="63"/>
      <c r="BJ542" s="63"/>
      <c r="BK542" s="63"/>
      <c r="BL542" s="63"/>
      <c r="BM542" s="63"/>
      <c r="BN542" s="63"/>
      <c r="BO542" s="63"/>
      <c r="BP542" s="63"/>
      <c r="BQ542" s="63"/>
      <c r="BR542" s="63"/>
      <c r="BS542" s="63"/>
      <c r="BT542" s="63"/>
      <c r="BU542" s="63"/>
      <c r="BV542" s="63"/>
      <c r="BW542" s="63"/>
    </row>
    <row r="543" spans="1:75" x14ac:dyDescent="0.2">
      <c r="A543" s="63" t="str">
        <f t="shared" si="105"/>
        <v/>
      </c>
      <c r="B543" s="182"/>
      <c r="C543" s="75"/>
      <c r="D543" s="75"/>
      <c r="E543" s="74"/>
      <c r="F543" s="181"/>
      <c r="G543" s="69"/>
      <c r="AB543" s="150">
        <f t="shared" si="96"/>
        <v>0</v>
      </c>
      <c r="AC543" s="150">
        <f t="shared" si="97"/>
        <v>0</v>
      </c>
      <c r="AD543" s="98" t="str">
        <f t="shared" si="106"/>
        <v>0000000000</v>
      </c>
      <c r="AE543" s="151">
        <f t="shared" si="99"/>
        <v>0</v>
      </c>
      <c r="AF543" s="98" t="str">
        <f t="shared" si="100"/>
        <v>00</v>
      </c>
      <c r="AG543" s="98" t="str">
        <f t="shared" si="107"/>
        <v>000000000000</v>
      </c>
      <c r="AH543" s="161" t="str">
        <f t="shared" si="101"/>
        <v xml:space="preserve">                    </v>
      </c>
      <c r="AI543" s="154">
        <f t="shared" si="102"/>
        <v>0</v>
      </c>
      <c r="AJ543" s="155">
        <f t="shared" si="103"/>
        <v>0</v>
      </c>
      <c r="AP543" s="63" t="str">
        <f t="shared" si="104"/>
        <v/>
      </c>
      <c r="AQ543" s="63" t="str">
        <f t="shared" si="98"/>
        <v xml:space="preserve">                    </v>
      </c>
      <c r="AR543" s="63"/>
      <c r="AS543" s="63"/>
      <c r="AT543" s="63"/>
      <c r="AU543" s="63"/>
      <c r="AV543" s="63"/>
      <c r="AW543" s="63"/>
      <c r="AX543" s="63"/>
      <c r="AY543" s="63"/>
      <c r="AZ543" s="63"/>
      <c r="BA543" s="63"/>
      <c r="BB543" s="63"/>
      <c r="BC543" s="63"/>
      <c r="BD543" s="63"/>
      <c r="BE543" s="63"/>
      <c r="BF543" s="63"/>
      <c r="BG543" s="63"/>
      <c r="BH543" s="63"/>
      <c r="BI543" s="63"/>
      <c r="BJ543" s="63"/>
      <c r="BK543" s="63"/>
      <c r="BL543" s="63"/>
      <c r="BM543" s="63"/>
      <c r="BN543" s="63"/>
      <c r="BO543" s="63"/>
      <c r="BP543" s="63"/>
      <c r="BQ543" s="63"/>
      <c r="BR543" s="63"/>
      <c r="BS543" s="63"/>
      <c r="BT543" s="63"/>
      <c r="BU543" s="63"/>
      <c r="BV543" s="63"/>
      <c r="BW543" s="63"/>
    </row>
    <row r="544" spans="1:75" x14ac:dyDescent="0.2">
      <c r="A544" s="63" t="str">
        <f t="shared" si="105"/>
        <v/>
      </c>
      <c r="B544" s="182"/>
      <c r="C544" s="75"/>
      <c r="D544" s="75"/>
      <c r="E544" s="74"/>
      <c r="F544" s="181"/>
      <c r="G544" s="69"/>
      <c r="AB544" s="150">
        <f t="shared" si="96"/>
        <v>0</v>
      </c>
      <c r="AC544" s="150">
        <f t="shared" si="97"/>
        <v>0</v>
      </c>
      <c r="AD544" s="98" t="str">
        <f t="shared" si="106"/>
        <v>0000000000</v>
      </c>
      <c r="AE544" s="151">
        <f t="shared" si="99"/>
        <v>0</v>
      </c>
      <c r="AF544" s="98" t="str">
        <f t="shared" si="100"/>
        <v>00</v>
      </c>
      <c r="AG544" s="98" t="str">
        <f t="shared" si="107"/>
        <v>000000000000</v>
      </c>
      <c r="AH544" s="161" t="str">
        <f t="shared" si="101"/>
        <v xml:space="preserve">                    </v>
      </c>
      <c r="AI544" s="154">
        <f t="shared" si="102"/>
        <v>0</v>
      </c>
      <c r="AJ544" s="155">
        <f t="shared" si="103"/>
        <v>0</v>
      </c>
      <c r="AP544" s="63" t="str">
        <f t="shared" si="104"/>
        <v/>
      </c>
      <c r="AQ544" s="63" t="str">
        <f t="shared" si="98"/>
        <v xml:space="preserve">                    </v>
      </c>
      <c r="AR544" s="63"/>
      <c r="AS544" s="63"/>
      <c r="AT544" s="63"/>
      <c r="AU544" s="63"/>
      <c r="AV544" s="63"/>
      <c r="AW544" s="63"/>
      <c r="AX544" s="63"/>
      <c r="AY544" s="63"/>
      <c r="AZ544" s="63"/>
      <c r="BA544" s="63"/>
      <c r="BB544" s="63"/>
      <c r="BC544" s="63"/>
      <c r="BD544" s="63"/>
      <c r="BE544" s="63"/>
      <c r="BF544" s="63"/>
      <c r="BG544" s="63"/>
      <c r="BH544" s="63"/>
      <c r="BI544" s="63"/>
      <c r="BJ544" s="63"/>
      <c r="BK544" s="63"/>
      <c r="BL544" s="63"/>
      <c r="BM544" s="63"/>
      <c r="BN544" s="63"/>
      <c r="BO544" s="63"/>
      <c r="BP544" s="63"/>
      <c r="BQ544" s="63"/>
      <c r="BR544" s="63"/>
      <c r="BS544" s="63"/>
      <c r="BT544" s="63"/>
      <c r="BU544" s="63"/>
      <c r="BV544" s="63"/>
      <c r="BW544" s="63"/>
    </row>
    <row r="545" spans="1:75" x14ac:dyDescent="0.2">
      <c r="A545" s="63" t="str">
        <f t="shared" si="105"/>
        <v/>
      </c>
      <c r="B545" s="182"/>
      <c r="C545" s="75"/>
      <c r="D545" s="75"/>
      <c r="E545" s="74"/>
      <c r="F545" s="181"/>
      <c r="G545" s="69"/>
      <c r="AB545" s="150">
        <f t="shared" si="96"/>
        <v>0</v>
      </c>
      <c r="AC545" s="150">
        <f t="shared" si="97"/>
        <v>0</v>
      </c>
      <c r="AD545" s="98" t="str">
        <f t="shared" si="106"/>
        <v>0000000000</v>
      </c>
      <c r="AE545" s="151">
        <f t="shared" si="99"/>
        <v>0</v>
      </c>
      <c r="AF545" s="98" t="str">
        <f t="shared" si="100"/>
        <v>00</v>
      </c>
      <c r="AG545" s="98" t="str">
        <f t="shared" si="107"/>
        <v>000000000000</v>
      </c>
      <c r="AH545" s="161" t="str">
        <f t="shared" si="101"/>
        <v xml:space="preserve">                    </v>
      </c>
      <c r="AI545" s="154">
        <f t="shared" si="102"/>
        <v>0</v>
      </c>
      <c r="AJ545" s="155">
        <f t="shared" si="103"/>
        <v>0</v>
      </c>
      <c r="AP545" s="63" t="str">
        <f t="shared" si="104"/>
        <v/>
      </c>
      <c r="AQ545" s="63" t="str">
        <f t="shared" si="98"/>
        <v xml:space="preserve">                    </v>
      </c>
      <c r="AR545" s="63"/>
      <c r="AS545" s="63"/>
      <c r="AT545" s="63"/>
      <c r="AU545" s="63"/>
      <c r="AV545" s="63"/>
      <c r="AW545" s="63"/>
      <c r="AX545" s="63"/>
      <c r="AY545" s="63"/>
      <c r="AZ545" s="63"/>
      <c r="BA545" s="63"/>
      <c r="BB545" s="63"/>
      <c r="BC545" s="63"/>
      <c r="BD545" s="63"/>
      <c r="BE545" s="63"/>
      <c r="BF545" s="63"/>
      <c r="BG545" s="63"/>
      <c r="BH545" s="63"/>
      <c r="BI545" s="63"/>
      <c r="BJ545" s="63"/>
      <c r="BK545" s="63"/>
      <c r="BL545" s="63"/>
      <c r="BM545" s="63"/>
      <c r="BN545" s="63"/>
      <c r="BO545" s="63"/>
      <c r="BP545" s="63"/>
      <c r="BQ545" s="63"/>
      <c r="BR545" s="63"/>
      <c r="BS545" s="63"/>
      <c r="BT545" s="63"/>
      <c r="BU545" s="63"/>
      <c r="BV545" s="63"/>
      <c r="BW545" s="63"/>
    </row>
    <row r="546" spans="1:75" x14ac:dyDescent="0.2">
      <c r="A546" s="63" t="str">
        <f t="shared" si="105"/>
        <v/>
      </c>
      <c r="B546" s="182"/>
      <c r="C546" s="75"/>
      <c r="D546" s="75"/>
      <c r="E546" s="74"/>
      <c r="F546" s="181"/>
      <c r="G546" s="69"/>
      <c r="AB546" s="150">
        <f t="shared" si="96"/>
        <v>0</v>
      </c>
      <c r="AC546" s="150">
        <f t="shared" si="97"/>
        <v>0</v>
      </c>
      <c r="AD546" s="98" t="str">
        <f t="shared" si="106"/>
        <v>0000000000</v>
      </c>
      <c r="AE546" s="151">
        <f t="shared" si="99"/>
        <v>0</v>
      </c>
      <c r="AF546" s="98" t="str">
        <f t="shared" si="100"/>
        <v>00</v>
      </c>
      <c r="AG546" s="98" t="str">
        <f t="shared" si="107"/>
        <v>000000000000</v>
      </c>
      <c r="AH546" s="161" t="str">
        <f t="shared" si="101"/>
        <v xml:space="preserve">                    </v>
      </c>
      <c r="AI546" s="154">
        <f t="shared" si="102"/>
        <v>0</v>
      </c>
      <c r="AJ546" s="155">
        <f t="shared" si="103"/>
        <v>0</v>
      </c>
      <c r="AP546" s="63" t="str">
        <f t="shared" si="104"/>
        <v/>
      </c>
      <c r="AQ546" s="63" t="str">
        <f t="shared" si="98"/>
        <v xml:space="preserve">                    </v>
      </c>
      <c r="AR546" s="63"/>
      <c r="AS546" s="63"/>
      <c r="AT546" s="63"/>
      <c r="AU546" s="63"/>
      <c r="AV546" s="63"/>
      <c r="AW546" s="63"/>
      <c r="AX546" s="63"/>
      <c r="AY546" s="63"/>
      <c r="AZ546" s="63"/>
      <c r="BA546" s="63"/>
      <c r="BB546" s="63"/>
      <c r="BC546" s="63"/>
      <c r="BD546" s="63"/>
      <c r="BE546" s="63"/>
      <c r="BF546" s="63"/>
      <c r="BG546" s="63"/>
      <c r="BH546" s="63"/>
      <c r="BI546" s="63"/>
      <c r="BJ546" s="63"/>
      <c r="BK546" s="63"/>
      <c r="BL546" s="63"/>
      <c r="BM546" s="63"/>
      <c r="BN546" s="63"/>
      <c r="BO546" s="63"/>
      <c r="BP546" s="63"/>
      <c r="BQ546" s="63"/>
      <c r="BR546" s="63"/>
      <c r="BS546" s="63"/>
      <c r="BT546" s="63"/>
      <c r="BU546" s="63"/>
      <c r="BV546" s="63"/>
      <c r="BW546" s="63"/>
    </row>
    <row r="547" spans="1:75" x14ac:dyDescent="0.2">
      <c r="A547" s="63" t="str">
        <f t="shared" si="105"/>
        <v/>
      </c>
      <c r="B547" s="182"/>
      <c r="C547" s="75"/>
      <c r="D547" s="75"/>
      <c r="E547" s="74"/>
      <c r="F547" s="181"/>
      <c r="G547" s="69"/>
      <c r="AB547" s="150">
        <f t="shared" si="96"/>
        <v>0</v>
      </c>
      <c r="AC547" s="150">
        <f t="shared" si="97"/>
        <v>0</v>
      </c>
      <c r="AD547" s="98" t="str">
        <f t="shared" si="106"/>
        <v>0000000000</v>
      </c>
      <c r="AE547" s="151">
        <f t="shared" si="99"/>
        <v>0</v>
      </c>
      <c r="AF547" s="98" t="str">
        <f t="shared" si="100"/>
        <v>00</v>
      </c>
      <c r="AG547" s="98" t="str">
        <f t="shared" si="107"/>
        <v>000000000000</v>
      </c>
      <c r="AH547" s="161" t="str">
        <f t="shared" si="101"/>
        <v xml:space="preserve">                    </v>
      </c>
      <c r="AI547" s="154">
        <f t="shared" si="102"/>
        <v>0</v>
      </c>
      <c r="AJ547" s="155">
        <f t="shared" si="103"/>
        <v>0</v>
      </c>
      <c r="AP547" s="63" t="str">
        <f t="shared" si="104"/>
        <v/>
      </c>
      <c r="AQ547" s="63" t="str">
        <f t="shared" si="98"/>
        <v xml:space="preserve">                    </v>
      </c>
      <c r="AR547" s="63"/>
      <c r="AS547" s="63"/>
      <c r="AT547" s="63"/>
      <c r="AU547" s="63"/>
      <c r="AV547" s="63"/>
      <c r="AW547" s="63"/>
      <c r="AX547" s="63"/>
      <c r="AY547" s="63"/>
      <c r="AZ547" s="63"/>
      <c r="BA547" s="63"/>
      <c r="BB547" s="63"/>
      <c r="BC547" s="63"/>
      <c r="BD547" s="63"/>
      <c r="BE547" s="63"/>
      <c r="BF547" s="63"/>
      <c r="BG547" s="63"/>
      <c r="BH547" s="63"/>
      <c r="BI547" s="63"/>
      <c r="BJ547" s="63"/>
      <c r="BK547" s="63"/>
      <c r="BL547" s="63"/>
      <c r="BM547" s="63"/>
      <c r="BN547" s="63"/>
      <c r="BO547" s="63"/>
      <c r="BP547" s="63"/>
      <c r="BQ547" s="63"/>
      <c r="BR547" s="63"/>
      <c r="BS547" s="63"/>
      <c r="BT547" s="63"/>
      <c r="BU547" s="63"/>
      <c r="BV547" s="63"/>
      <c r="BW547" s="63"/>
    </row>
    <row r="548" spans="1:75" x14ac:dyDescent="0.2">
      <c r="A548" s="63" t="str">
        <f t="shared" si="105"/>
        <v/>
      </c>
      <c r="B548" s="182"/>
      <c r="C548" s="75"/>
      <c r="D548" s="75"/>
      <c r="E548" s="74"/>
      <c r="F548" s="181"/>
      <c r="G548" s="69"/>
      <c r="AB548" s="150">
        <f t="shared" si="96"/>
        <v>0</v>
      </c>
      <c r="AC548" s="150">
        <f t="shared" si="97"/>
        <v>0</v>
      </c>
      <c r="AD548" s="98" t="str">
        <f t="shared" si="106"/>
        <v>0000000000</v>
      </c>
      <c r="AE548" s="151">
        <f t="shared" si="99"/>
        <v>0</v>
      </c>
      <c r="AF548" s="98" t="str">
        <f t="shared" si="100"/>
        <v>00</v>
      </c>
      <c r="AG548" s="98" t="str">
        <f t="shared" si="107"/>
        <v>000000000000</v>
      </c>
      <c r="AH548" s="161" t="str">
        <f t="shared" si="101"/>
        <v xml:space="preserve">                    </v>
      </c>
      <c r="AI548" s="154">
        <f t="shared" si="102"/>
        <v>0</v>
      </c>
      <c r="AJ548" s="155">
        <f t="shared" si="103"/>
        <v>0</v>
      </c>
      <c r="AP548" s="63" t="str">
        <f t="shared" si="104"/>
        <v/>
      </c>
      <c r="AQ548" s="63" t="str">
        <f t="shared" si="98"/>
        <v xml:space="preserve">                    </v>
      </c>
      <c r="AR548" s="63"/>
      <c r="AS548" s="63"/>
      <c r="AT548" s="63"/>
      <c r="AU548" s="63"/>
      <c r="AV548" s="63"/>
      <c r="AW548" s="63"/>
      <c r="AX548" s="63"/>
      <c r="AY548" s="63"/>
      <c r="AZ548" s="63"/>
      <c r="BA548" s="63"/>
      <c r="BB548" s="63"/>
      <c r="BC548" s="63"/>
      <c r="BD548" s="63"/>
      <c r="BE548" s="63"/>
      <c r="BF548" s="63"/>
      <c r="BG548" s="63"/>
      <c r="BH548" s="63"/>
      <c r="BI548" s="63"/>
      <c r="BJ548" s="63"/>
      <c r="BK548" s="63"/>
      <c r="BL548" s="63"/>
      <c r="BM548" s="63"/>
      <c r="BN548" s="63"/>
      <c r="BO548" s="63"/>
      <c r="BP548" s="63"/>
      <c r="BQ548" s="63"/>
      <c r="BR548" s="63"/>
      <c r="BS548" s="63"/>
      <c r="BT548" s="63"/>
      <c r="BU548" s="63"/>
      <c r="BV548" s="63"/>
      <c r="BW548" s="63"/>
    </row>
    <row r="549" spans="1:75" x14ac:dyDescent="0.2">
      <c r="A549" s="63" t="str">
        <f t="shared" si="105"/>
        <v/>
      </c>
      <c r="B549" s="182"/>
      <c r="C549" s="75"/>
      <c r="D549" s="75"/>
      <c r="E549" s="74"/>
      <c r="F549" s="181"/>
      <c r="G549" s="69"/>
      <c r="AB549" s="150">
        <f t="shared" si="96"/>
        <v>0</v>
      </c>
      <c r="AC549" s="150">
        <f t="shared" si="97"/>
        <v>0</v>
      </c>
      <c r="AD549" s="98" t="str">
        <f t="shared" si="106"/>
        <v>0000000000</v>
      </c>
      <c r="AE549" s="151">
        <f t="shared" si="99"/>
        <v>0</v>
      </c>
      <c r="AF549" s="98" t="str">
        <f t="shared" si="100"/>
        <v>00</v>
      </c>
      <c r="AG549" s="98" t="str">
        <f t="shared" si="107"/>
        <v>000000000000</v>
      </c>
      <c r="AH549" s="161" t="str">
        <f t="shared" si="101"/>
        <v xml:space="preserve">                    </v>
      </c>
      <c r="AI549" s="154">
        <f t="shared" si="102"/>
        <v>0</v>
      </c>
      <c r="AJ549" s="155">
        <f t="shared" si="103"/>
        <v>0</v>
      </c>
      <c r="AP549" s="63" t="str">
        <f t="shared" si="104"/>
        <v/>
      </c>
      <c r="AQ549" s="63" t="str">
        <f t="shared" si="98"/>
        <v xml:space="preserve">                    </v>
      </c>
      <c r="AR549" s="63"/>
      <c r="AS549" s="63"/>
      <c r="AT549" s="63"/>
      <c r="AU549" s="63"/>
      <c r="AV549" s="63"/>
      <c r="AW549" s="63"/>
      <c r="AX549" s="63"/>
      <c r="AY549" s="63"/>
      <c r="AZ549" s="63"/>
      <c r="BA549" s="63"/>
      <c r="BB549" s="63"/>
      <c r="BC549" s="63"/>
      <c r="BD549" s="63"/>
      <c r="BE549" s="63"/>
      <c r="BF549" s="63"/>
      <c r="BG549" s="63"/>
      <c r="BH549" s="63"/>
      <c r="BI549" s="63"/>
      <c r="BJ549" s="63"/>
      <c r="BK549" s="63"/>
      <c r="BL549" s="63"/>
      <c r="BM549" s="63"/>
      <c r="BN549" s="63"/>
      <c r="BO549" s="63"/>
      <c r="BP549" s="63"/>
      <c r="BQ549" s="63"/>
      <c r="BR549" s="63"/>
      <c r="BS549" s="63"/>
      <c r="BT549" s="63"/>
      <c r="BU549" s="63"/>
      <c r="BV549" s="63"/>
      <c r="BW549" s="63"/>
    </row>
    <row r="550" spans="1:75" x14ac:dyDescent="0.2">
      <c r="A550" s="63" t="str">
        <f t="shared" si="105"/>
        <v/>
      </c>
      <c r="B550" s="182"/>
      <c r="C550" s="75"/>
      <c r="D550" s="75"/>
      <c r="E550" s="74"/>
      <c r="F550" s="181"/>
      <c r="G550" s="69"/>
      <c r="AB550" s="150">
        <f t="shared" si="96"/>
        <v>0</v>
      </c>
      <c r="AC550" s="150">
        <f t="shared" si="97"/>
        <v>0</v>
      </c>
      <c r="AD550" s="98" t="str">
        <f t="shared" si="106"/>
        <v>0000000000</v>
      </c>
      <c r="AE550" s="151">
        <f t="shared" si="99"/>
        <v>0</v>
      </c>
      <c r="AF550" s="98" t="str">
        <f t="shared" si="100"/>
        <v>00</v>
      </c>
      <c r="AG550" s="98" t="str">
        <f t="shared" si="107"/>
        <v>000000000000</v>
      </c>
      <c r="AH550" s="161" t="str">
        <f t="shared" si="101"/>
        <v xml:space="preserve">                    </v>
      </c>
      <c r="AI550" s="154">
        <f t="shared" si="102"/>
        <v>0</v>
      </c>
      <c r="AJ550" s="155">
        <f t="shared" si="103"/>
        <v>0</v>
      </c>
      <c r="AP550" s="63" t="str">
        <f t="shared" si="104"/>
        <v/>
      </c>
      <c r="AQ550" s="63" t="str">
        <f t="shared" si="98"/>
        <v xml:space="preserve">                    </v>
      </c>
      <c r="AR550" s="63"/>
      <c r="AS550" s="63"/>
      <c r="AT550" s="63"/>
      <c r="AU550" s="63"/>
      <c r="AV550" s="63"/>
      <c r="AW550" s="63"/>
      <c r="AX550" s="63"/>
      <c r="AY550" s="63"/>
      <c r="AZ550" s="63"/>
      <c r="BA550" s="63"/>
      <c r="BB550" s="63"/>
      <c r="BC550" s="63"/>
      <c r="BD550" s="63"/>
      <c r="BE550" s="63"/>
      <c r="BF550" s="63"/>
      <c r="BG550" s="63"/>
      <c r="BH550" s="63"/>
      <c r="BI550" s="63"/>
      <c r="BJ550" s="63"/>
      <c r="BK550" s="63"/>
      <c r="BL550" s="63"/>
      <c r="BM550" s="63"/>
      <c r="BN550" s="63"/>
      <c r="BO550" s="63"/>
      <c r="BP550" s="63"/>
      <c r="BQ550" s="63"/>
      <c r="BR550" s="63"/>
      <c r="BS550" s="63"/>
      <c r="BT550" s="63"/>
      <c r="BU550" s="63"/>
      <c r="BV550" s="63"/>
      <c r="BW550" s="63"/>
    </row>
    <row r="551" spans="1:75" x14ac:dyDescent="0.2">
      <c r="A551" s="63" t="str">
        <f t="shared" si="105"/>
        <v/>
      </c>
      <c r="B551" s="182"/>
      <c r="C551" s="75"/>
      <c r="D551" s="75"/>
      <c r="E551" s="74"/>
      <c r="F551" s="181"/>
      <c r="G551" s="69"/>
      <c r="AB551" s="150">
        <f t="shared" si="96"/>
        <v>0</v>
      </c>
      <c r="AC551" s="150">
        <f t="shared" si="97"/>
        <v>0</v>
      </c>
      <c r="AD551" s="98" t="str">
        <f t="shared" si="106"/>
        <v>0000000000</v>
      </c>
      <c r="AE551" s="151">
        <f t="shared" si="99"/>
        <v>0</v>
      </c>
      <c r="AF551" s="98" t="str">
        <f t="shared" si="100"/>
        <v>00</v>
      </c>
      <c r="AG551" s="98" t="str">
        <f t="shared" si="107"/>
        <v>000000000000</v>
      </c>
      <c r="AH551" s="161" t="str">
        <f t="shared" si="101"/>
        <v xml:space="preserve">                    </v>
      </c>
      <c r="AI551" s="154">
        <f t="shared" si="102"/>
        <v>0</v>
      </c>
      <c r="AJ551" s="155">
        <f t="shared" si="103"/>
        <v>0</v>
      </c>
      <c r="AP551" s="63" t="str">
        <f t="shared" si="104"/>
        <v/>
      </c>
      <c r="AQ551" s="63" t="str">
        <f t="shared" si="98"/>
        <v xml:space="preserve">                    </v>
      </c>
      <c r="AR551" s="63"/>
      <c r="AS551" s="63"/>
      <c r="AT551" s="63"/>
      <c r="AU551" s="63"/>
      <c r="AV551" s="63"/>
      <c r="AW551" s="63"/>
      <c r="AX551" s="63"/>
      <c r="AY551" s="63"/>
      <c r="AZ551" s="63"/>
      <c r="BA551" s="63"/>
      <c r="BB551" s="63"/>
      <c r="BC551" s="63"/>
      <c r="BD551" s="63"/>
      <c r="BE551" s="63"/>
      <c r="BF551" s="63"/>
      <c r="BG551" s="63"/>
      <c r="BH551" s="63"/>
      <c r="BI551" s="63"/>
      <c r="BJ551" s="63"/>
      <c r="BK551" s="63"/>
      <c r="BL551" s="63"/>
      <c r="BM551" s="63"/>
      <c r="BN551" s="63"/>
      <c r="BO551" s="63"/>
      <c r="BP551" s="63"/>
      <c r="BQ551" s="63"/>
      <c r="BR551" s="63"/>
      <c r="BS551" s="63"/>
      <c r="BT551" s="63"/>
      <c r="BU551" s="63"/>
      <c r="BV551" s="63"/>
      <c r="BW551" s="63"/>
    </row>
    <row r="552" spans="1:75" x14ac:dyDescent="0.2">
      <c r="A552" s="63" t="str">
        <f t="shared" si="105"/>
        <v/>
      </c>
      <c r="B552" s="182"/>
      <c r="C552" s="75"/>
      <c r="D552" s="75"/>
      <c r="E552" s="74"/>
      <c r="F552" s="181"/>
      <c r="G552" s="69"/>
      <c r="AB552" s="150">
        <f t="shared" si="96"/>
        <v>0</v>
      </c>
      <c r="AC552" s="150">
        <f t="shared" si="97"/>
        <v>0</v>
      </c>
      <c r="AD552" s="98" t="str">
        <f t="shared" si="106"/>
        <v>0000000000</v>
      </c>
      <c r="AE552" s="151">
        <f t="shared" si="99"/>
        <v>0</v>
      </c>
      <c r="AF552" s="98" t="str">
        <f t="shared" si="100"/>
        <v>00</v>
      </c>
      <c r="AG552" s="98" t="str">
        <f t="shared" si="107"/>
        <v>000000000000</v>
      </c>
      <c r="AH552" s="161" t="str">
        <f t="shared" si="101"/>
        <v xml:space="preserve">                    </v>
      </c>
      <c r="AI552" s="154">
        <f t="shared" si="102"/>
        <v>0</v>
      </c>
      <c r="AJ552" s="155">
        <f t="shared" si="103"/>
        <v>0</v>
      </c>
      <c r="AP552" s="63" t="str">
        <f t="shared" si="104"/>
        <v/>
      </c>
      <c r="AQ552" s="63" t="str">
        <f t="shared" si="98"/>
        <v xml:space="preserve">                    </v>
      </c>
      <c r="AR552" s="63"/>
      <c r="AS552" s="63"/>
      <c r="AT552" s="63"/>
      <c r="AU552" s="63"/>
      <c r="AV552" s="63"/>
      <c r="AW552" s="63"/>
      <c r="AX552" s="63"/>
      <c r="AY552" s="63"/>
      <c r="AZ552" s="63"/>
      <c r="BA552" s="63"/>
      <c r="BB552" s="63"/>
      <c r="BC552" s="63"/>
      <c r="BD552" s="63"/>
      <c r="BE552" s="63"/>
      <c r="BF552" s="63"/>
      <c r="BG552" s="63"/>
      <c r="BH552" s="63"/>
      <c r="BI552" s="63"/>
      <c r="BJ552" s="63"/>
      <c r="BK552" s="63"/>
      <c r="BL552" s="63"/>
      <c r="BM552" s="63"/>
      <c r="BN552" s="63"/>
      <c r="BO552" s="63"/>
      <c r="BP552" s="63"/>
      <c r="BQ552" s="63"/>
      <c r="BR552" s="63"/>
      <c r="BS552" s="63"/>
      <c r="BT552" s="63"/>
      <c r="BU552" s="63"/>
      <c r="BV552" s="63"/>
      <c r="BW552" s="63"/>
    </row>
    <row r="553" spans="1:75" x14ac:dyDescent="0.2">
      <c r="A553" s="63" t="str">
        <f t="shared" si="105"/>
        <v/>
      </c>
      <c r="B553" s="182"/>
      <c r="C553" s="75"/>
      <c r="D553" s="75"/>
      <c r="E553" s="74"/>
      <c r="F553" s="181"/>
      <c r="G553" s="69"/>
      <c r="AB553" s="150">
        <f t="shared" si="96"/>
        <v>0</v>
      </c>
      <c r="AC553" s="150">
        <f t="shared" si="97"/>
        <v>0</v>
      </c>
      <c r="AD553" s="98" t="str">
        <f t="shared" si="106"/>
        <v>0000000000</v>
      </c>
      <c r="AE553" s="151">
        <f t="shared" si="99"/>
        <v>0</v>
      </c>
      <c r="AF553" s="98" t="str">
        <f t="shared" si="100"/>
        <v>00</v>
      </c>
      <c r="AG553" s="98" t="str">
        <f t="shared" si="107"/>
        <v>000000000000</v>
      </c>
      <c r="AH553" s="161" t="str">
        <f t="shared" si="101"/>
        <v xml:space="preserve">                    </v>
      </c>
      <c r="AI553" s="154">
        <f t="shared" si="102"/>
        <v>0</v>
      </c>
      <c r="AJ553" s="155">
        <f t="shared" si="103"/>
        <v>0</v>
      </c>
      <c r="AP553" s="63" t="str">
        <f t="shared" si="104"/>
        <v/>
      </c>
      <c r="AQ553" s="63" t="str">
        <f t="shared" si="98"/>
        <v xml:space="preserve">                    </v>
      </c>
      <c r="AR553" s="63"/>
      <c r="AS553" s="63"/>
      <c r="AT553" s="63"/>
      <c r="AU553" s="63"/>
      <c r="AV553" s="63"/>
      <c r="AW553" s="63"/>
      <c r="AX553" s="63"/>
      <c r="AY553" s="63"/>
      <c r="AZ553" s="63"/>
      <c r="BA553" s="63"/>
      <c r="BB553" s="63"/>
      <c r="BC553" s="63"/>
      <c r="BD553" s="63"/>
      <c r="BE553" s="63"/>
      <c r="BF553" s="63"/>
      <c r="BG553" s="63"/>
      <c r="BH553" s="63"/>
      <c r="BI553" s="63"/>
      <c r="BJ553" s="63"/>
      <c r="BK553" s="63"/>
      <c r="BL553" s="63"/>
      <c r="BM553" s="63"/>
      <c r="BN553" s="63"/>
      <c r="BO553" s="63"/>
      <c r="BP553" s="63"/>
      <c r="BQ553" s="63"/>
      <c r="BR553" s="63"/>
      <c r="BS553" s="63"/>
      <c r="BT553" s="63"/>
      <c r="BU553" s="63"/>
      <c r="BV553" s="63"/>
      <c r="BW553" s="63"/>
    </row>
    <row r="554" spans="1:75" x14ac:dyDescent="0.2">
      <c r="A554" s="63" t="str">
        <f t="shared" si="105"/>
        <v/>
      </c>
      <c r="B554" s="182"/>
      <c r="C554" s="75"/>
      <c r="D554" s="75"/>
      <c r="E554" s="74"/>
      <c r="F554" s="181"/>
      <c r="G554" s="69"/>
      <c r="AB554" s="150">
        <f t="shared" si="96"/>
        <v>0</v>
      </c>
      <c r="AC554" s="150">
        <f t="shared" si="97"/>
        <v>0</v>
      </c>
      <c r="AD554" s="98" t="str">
        <f t="shared" si="106"/>
        <v>0000000000</v>
      </c>
      <c r="AE554" s="151">
        <f t="shared" si="99"/>
        <v>0</v>
      </c>
      <c r="AF554" s="98" t="str">
        <f t="shared" si="100"/>
        <v>00</v>
      </c>
      <c r="AG554" s="98" t="str">
        <f t="shared" si="107"/>
        <v>000000000000</v>
      </c>
      <c r="AH554" s="161" t="str">
        <f t="shared" si="101"/>
        <v xml:space="preserve">                    </v>
      </c>
      <c r="AI554" s="154">
        <f t="shared" si="102"/>
        <v>0</v>
      </c>
      <c r="AJ554" s="155">
        <f t="shared" si="103"/>
        <v>0</v>
      </c>
      <c r="AP554" s="63" t="str">
        <f t="shared" si="104"/>
        <v/>
      </c>
      <c r="AQ554" s="63" t="str">
        <f t="shared" si="98"/>
        <v xml:space="preserve">                    </v>
      </c>
      <c r="AR554" s="63"/>
      <c r="AS554" s="63"/>
      <c r="AT554" s="63"/>
      <c r="AU554" s="63"/>
      <c r="AV554" s="63"/>
      <c r="AW554" s="63"/>
      <c r="AX554" s="63"/>
      <c r="AY554" s="63"/>
      <c r="AZ554" s="63"/>
      <c r="BA554" s="63"/>
      <c r="BB554" s="63"/>
      <c r="BC554" s="63"/>
      <c r="BD554" s="63"/>
      <c r="BE554" s="63"/>
      <c r="BF554" s="63"/>
      <c r="BG554" s="63"/>
      <c r="BH554" s="63"/>
      <c r="BI554" s="63"/>
      <c r="BJ554" s="63"/>
      <c r="BK554" s="63"/>
      <c r="BL554" s="63"/>
      <c r="BM554" s="63"/>
      <c r="BN554" s="63"/>
      <c r="BO554" s="63"/>
      <c r="BP554" s="63"/>
      <c r="BQ554" s="63"/>
      <c r="BR554" s="63"/>
      <c r="BS554" s="63"/>
      <c r="BT554" s="63"/>
      <c r="BU554" s="63"/>
      <c r="BV554" s="63"/>
      <c r="BW554" s="63"/>
    </row>
    <row r="555" spans="1:75" x14ac:dyDescent="0.2">
      <c r="A555" s="63" t="str">
        <f t="shared" si="105"/>
        <v/>
      </c>
      <c r="B555" s="182"/>
      <c r="C555" s="75"/>
      <c r="D555" s="75"/>
      <c r="E555" s="74"/>
      <c r="F555" s="181"/>
      <c r="G555" s="69"/>
      <c r="AB555" s="150">
        <f t="shared" si="96"/>
        <v>0</v>
      </c>
      <c r="AC555" s="150">
        <f t="shared" si="97"/>
        <v>0</v>
      </c>
      <c r="AD555" s="98" t="str">
        <f t="shared" si="106"/>
        <v>0000000000</v>
      </c>
      <c r="AE555" s="151">
        <f t="shared" si="99"/>
        <v>0</v>
      </c>
      <c r="AF555" s="98" t="str">
        <f t="shared" si="100"/>
        <v>00</v>
      </c>
      <c r="AG555" s="98" t="str">
        <f t="shared" si="107"/>
        <v>000000000000</v>
      </c>
      <c r="AH555" s="161" t="str">
        <f t="shared" si="101"/>
        <v xml:space="preserve">                    </v>
      </c>
      <c r="AI555" s="154">
        <f t="shared" si="102"/>
        <v>0</v>
      </c>
      <c r="AJ555" s="155">
        <f t="shared" si="103"/>
        <v>0</v>
      </c>
      <c r="AP555" s="63" t="str">
        <f t="shared" si="104"/>
        <v/>
      </c>
      <c r="AQ555" s="63" t="str">
        <f t="shared" si="98"/>
        <v xml:space="preserve">                    </v>
      </c>
      <c r="AR555" s="63"/>
      <c r="AS555" s="63"/>
      <c r="AT555" s="63"/>
      <c r="AU555" s="63"/>
      <c r="AV555" s="63"/>
      <c r="AW555" s="63"/>
      <c r="AX555" s="63"/>
      <c r="AY555" s="63"/>
      <c r="AZ555" s="63"/>
      <c r="BA555" s="63"/>
      <c r="BB555" s="63"/>
      <c r="BC555" s="63"/>
      <c r="BD555" s="63"/>
      <c r="BE555" s="63"/>
      <c r="BF555" s="63"/>
      <c r="BG555" s="63"/>
      <c r="BH555" s="63"/>
      <c r="BI555" s="63"/>
      <c r="BJ555" s="63"/>
      <c r="BK555" s="63"/>
      <c r="BL555" s="63"/>
      <c r="BM555" s="63"/>
      <c r="BN555" s="63"/>
      <c r="BO555" s="63"/>
      <c r="BP555" s="63"/>
      <c r="BQ555" s="63"/>
      <c r="BR555" s="63"/>
      <c r="BS555" s="63"/>
      <c r="BT555" s="63"/>
      <c r="BU555" s="63"/>
      <c r="BV555" s="63"/>
      <c r="BW555" s="63"/>
    </row>
    <row r="556" spans="1:75" x14ac:dyDescent="0.2">
      <c r="A556" s="63" t="str">
        <f t="shared" si="105"/>
        <v/>
      </c>
      <c r="B556" s="182"/>
      <c r="C556" s="75"/>
      <c r="D556" s="75"/>
      <c r="E556" s="74"/>
      <c r="F556" s="181"/>
      <c r="G556" s="69"/>
      <c r="AB556" s="150">
        <f t="shared" si="96"/>
        <v>0</v>
      </c>
      <c r="AC556" s="150">
        <f t="shared" si="97"/>
        <v>0</v>
      </c>
      <c r="AD556" s="98" t="str">
        <f t="shared" si="106"/>
        <v>0000000000</v>
      </c>
      <c r="AE556" s="151">
        <f t="shared" si="99"/>
        <v>0</v>
      </c>
      <c r="AF556" s="98" t="str">
        <f t="shared" si="100"/>
        <v>00</v>
      </c>
      <c r="AG556" s="98" t="str">
        <f t="shared" si="107"/>
        <v>000000000000</v>
      </c>
      <c r="AH556" s="161" t="str">
        <f t="shared" si="101"/>
        <v xml:space="preserve">                    </v>
      </c>
      <c r="AI556" s="154">
        <f t="shared" si="102"/>
        <v>0</v>
      </c>
      <c r="AJ556" s="155">
        <f t="shared" si="103"/>
        <v>0</v>
      </c>
      <c r="AP556" s="63" t="str">
        <f t="shared" si="104"/>
        <v/>
      </c>
      <c r="AQ556" s="63" t="str">
        <f t="shared" si="98"/>
        <v xml:space="preserve">                    </v>
      </c>
      <c r="AR556" s="63"/>
      <c r="AS556" s="63"/>
      <c r="AT556" s="63"/>
      <c r="AU556" s="63"/>
      <c r="AV556" s="63"/>
      <c r="AW556" s="63"/>
      <c r="AX556" s="63"/>
      <c r="AY556" s="63"/>
      <c r="AZ556" s="63"/>
      <c r="BA556" s="63"/>
      <c r="BB556" s="63"/>
      <c r="BC556" s="63"/>
      <c r="BD556" s="63"/>
      <c r="BE556" s="63"/>
      <c r="BF556" s="63"/>
      <c r="BG556" s="63"/>
      <c r="BH556" s="63"/>
      <c r="BI556" s="63"/>
      <c r="BJ556" s="63"/>
      <c r="BK556" s="63"/>
      <c r="BL556" s="63"/>
      <c r="BM556" s="63"/>
      <c r="BN556" s="63"/>
      <c r="BO556" s="63"/>
      <c r="BP556" s="63"/>
      <c r="BQ556" s="63"/>
      <c r="BR556" s="63"/>
      <c r="BS556" s="63"/>
      <c r="BT556" s="63"/>
      <c r="BU556" s="63"/>
      <c r="BV556" s="63"/>
      <c r="BW556" s="63"/>
    </row>
    <row r="557" spans="1:75" x14ac:dyDescent="0.2">
      <c r="A557" s="63" t="str">
        <f t="shared" si="105"/>
        <v/>
      </c>
      <c r="B557" s="182"/>
      <c r="C557" s="75"/>
      <c r="D557" s="75"/>
      <c r="E557" s="74"/>
      <c r="F557" s="181"/>
      <c r="G557" s="69"/>
      <c r="AB557" s="150">
        <f t="shared" si="96"/>
        <v>0</v>
      </c>
      <c r="AC557" s="150">
        <f t="shared" si="97"/>
        <v>0</v>
      </c>
      <c r="AD557" s="98" t="str">
        <f t="shared" si="106"/>
        <v>0000000000</v>
      </c>
      <c r="AE557" s="151">
        <f t="shared" si="99"/>
        <v>0</v>
      </c>
      <c r="AF557" s="98" t="str">
        <f t="shared" si="100"/>
        <v>00</v>
      </c>
      <c r="AG557" s="98" t="str">
        <f t="shared" si="107"/>
        <v>000000000000</v>
      </c>
      <c r="AH557" s="161" t="str">
        <f t="shared" si="101"/>
        <v xml:space="preserve">                    </v>
      </c>
      <c r="AI557" s="154">
        <f t="shared" si="102"/>
        <v>0</v>
      </c>
      <c r="AJ557" s="155">
        <f t="shared" si="103"/>
        <v>0</v>
      </c>
      <c r="AP557" s="63" t="str">
        <f t="shared" si="104"/>
        <v/>
      </c>
      <c r="AQ557" s="63" t="str">
        <f t="shared" si="98"/>
        <v xml:space="preserve">                    </v>
      </c>
      <c r="AR557" s="63"/>
      <c r="AS557" s="63"/>
      <c r="AT557" s="63"/>
      <c r="AU557" s="63"/>
      <c r="AV557" s="63"/>
      <c r="AW557" s="63"/>
      <c r="AX557" s="63"/>
      <c r="AY557" s="63"/>
      <c r="AZ557" s="63"/>
      <c r="BA557" s="63"/>
      <c r="BB557" s="63"/>
      <c r="BC557" s="63"/>
      <c r="BD557" s="63"/>
      <c r="BE557" s="63"/>
      <c r="BF557" s="63"/>
      <c r="BG557" s="63"/>
      <c r="BH557" s="63"/>
      <c r="BI557" s="63"/>
      <c r="BJ557" s="63"/>
      <c r="BK557" s="63"/>
      <c r="BL557" s="63"/>
      <c r="BM557" s="63"/>
      <c r="BN557" s="63"/>
      <c r="BO557" s="63"/>
      <c r="BP557" s="63"/>
      <c r="BQ557" s="63"/>
      <c r="BR557" s="63"/>
      <c r="BS557" s="63"/>
      <c r="BT557" s="63"/>
      <c r="BU557" s="63"/>
      <c r="BV557" s="63"/>
      <c r="BW557" s="63"/>
    </row>
    <row r="558" spans="1:75" x14ac:dyDescent="0.2">
      <c r="A558" s="63" t="str">
        <f t="shared" si="105"/>
        <v/>
      </c>
      <c r="B558" s="182"/>
      <c r="C558" s="75"/>
      <c r="D558" s="75"/>
      <c r="E558" s="74"/>
      <c r="F558" s="181"/>
      <c r="G558" s="69"/>
      <c r="AB558" s="150">
        <f t="shared" si="96"/>
        <v>0</v>
      </c>
      <c r="AC558" s="150">
        <f t="shared" si="97"/>
        <v>0</v>
      </c>
      <c r="AD558" s="98" t="str">
        <f t="shared" si="106"/>
        <v>0000000000</v>
      </c>
      <c r="AE558" s="151">
        <f t="shared" si="99"/>
        <v>0</v>
      </c>
      <c r="AF558" s="98" t="str">
        <f t="shared" si="100"/>
        <v>00</v>
      </c>
      <c r="AG558" s="98" t="str">
        <f t="shared" si="107"/>
        <v>000000000000</v>
      </c>
      <c r="AH558" s="161" t="str">
        <f t="shared" si="101"/>
        <v xml:space="preserve">                    </v>
      </c>
      <c r="AI558" s="154">
        <f t="shared" si="102"/>
        <v>0</v>
      </c>
      <c r="AJ558" s="155">
        <f t="shared" si="103"/>
        <v>0</v>
      </c>
      <c r="AP558" s="63" t="str">
        <f t="shared" si="104"/>
        <v/>
      </c>
      <c r="AQ558" s="63" t="str">
        <f t="shared" si="98"/>
        <v xml:space="preserve">                    </v>
      </c>
      <c r="AR558" s="63"/>
      <c r="AS558" s="63"/>
      <c r="AT558" s="63"/>
      <c r="AU558" s="63"/>
      <c r="AV558" s="63"/>
      <c r="AW558" s="63"/>
      <c r="AX558" s="63"/>
      <c r="AY558" s="63"/>
      <c r="AZ558" s="63"/>
      <c r="BA558" s="63"/>
      <c r="BB558" s="63"/>
      <c r="BC558" s="63"/>
      <c r="BD558" s="63"/>
      <c r="BE558" s="63"/>
      <c r="BF558" s="63"/>
      <c r="BG558" s="63"/>
      <c r="BH558" s="63"/>
      <c r="BI558" s="63"/>
      <c r="BJ558" s="63"/>
      <c r="BK558" s="63"/>
      <c r="BL558" s="63"/>
      <c r="BM558" s="63"/>
      <c r="BN558" s="63"/>
      <c r="BO558" s="63"/>
      <c r="BP558" s="63"/>
      <c r="BQ558" s="63"/>
      <c r="BR558" s="63"/>
      <c r="BS558" s="63"/>
      <c r="BT558" s="63"/>
      <c r="BU558" s="63"/>
      <c r="BV558" s="63"/>
      <c r="BW558" s="63"/>
    </row>
    <row r="559" spans="1:75" x14ac:dyDescent="0.2">
      <c r="A559" s="63" t="str">
        <f t="shared" si="105"/>
        <v/>
      </c>
      <c r="B559" s="182"/>
      <c r="C559" s="75"/>
      <c r="D559" s="75"/>
      <c r="E559" s="74"/>
      <c r="F559" s="181"/>
      <c r="G559" s="69"/>
      <c r="AB559" s="150">
        <f t="shared" si="96"/>
        <v>0</v>
      </c>
      <c r="AC559" s="150">
        <f t="shared" si="97"/>
        <v>0</v>
      </c>
      <c r="AD559" s="98" t="str">
        <f t="shared" si="106"/>
        <v>0000000000</v>
      </c>
      <c r="AE559" s="151">
        <f t="shared" si="99"/>
        <v>0</v>
      </c>
      <c r="AF559" s="98" t="str">
        <f t="shared" si="100"/>
        <v>00</v>
      </c>
      <c r="AG559" s="98" t="str">
        <f t="shared" si="107"/>
        <v>000000000000</v>
      </c>
      <c r="AH559" s="161" t="str">
        <f t="shared" si="101"/>
        <v xml:space="preserve">                    </v>
      </c>
      <c r="AI559" s="154">
        <f t="shared" si="102"/>
        <v>0</v>
      </c>
      <c r="AJ559" s="155">
        <f t="shared" si="103"/>
        <v>0</v>
      </c>
      <c r="AP559" s="63" t="str">
        <f t="shared" si="104"/>
        <v/>
      </c>
      <c r="AQ559" s="63" t="str">
        <f t="shared" si="98"/>
        <v xml:space="preserve">                    </v>
      </c>
      <c r="AR559" s="63"/>
      <c r="AS559" s="63"/>
      <c r="AT559" s="63"/>
      <c r="AU559" s="63"/>
      <c r="AV559" s="63"/>
      <c r="AW559" s="63"/>
      <c r="AX559" s="63"/>
      <c r="AY559" s="63"/>
      <c r="AZ559" s="63"/>
      <c r="BA559" s="63"/>
      <c r="BB559" s="63"/>
      <c r="BC559" s="63"/>
      <c r="BD559" s="63"/>
      <c r="BE559" s="63"/>
      <c r="BF559" s="63"/>
      <c r="BG559" s="63"/>
      <c r="BH559" s="63"/>
      <c r="BI559" s="63"/>
      <c r="BJ559" s="63"/>
      <c r="BK559" s="63"/>
      <c r="BL559" s="63"/>
      <c r="BM559" s="63"/>
      <c r="BN559" s="63"/>
      <c r="BO559" s="63"/>
      <c r="BP559" s="63"/>
      <c r="BQ559" s="63"/>
      <c r="BR559" s="63"/>
      <c r="BS559" s="63"/>
      <c r="BT559" s="63"/>
      <c r="BU559" s="63"/>
      <c r="BV559" s="63"/>
      <c r="BW559" s="63"/>
    </row>
    <row r="560" spans="1:75" x14ac:dyDescent="0.2">
      <c r="A560" s="63" t="str">
        <f t="shared" si="105"/>
        <v/>
      </c>
      <c r="B560" s="182"/>
      <c r="C560" s="75"/>
      <c r="D560" s="75"/>
      <c r="E560" s="74"/>
      <c r="F560" s="181"/>
      <c r="G560" s="69"/>
      <c r="AB560" s="150">
        <f t="shared" si="96"/>
        <v>0</v>
      </c>
      <c r="AC560" s="150">
        <f t="shared" si="97"/>
        <v>0</v>
      </c>
      <c r="AD560" s="98" t="str">
        <f t="shared" si="106"/>
        <v>0000000000</v>
      </c>
      <c r="AE560" s="151">
        <f t="shared" si="99"/>
        <v>0</v>
      </c>
      <c r="AF560" s="98" t="str">
        <f t="shared" si="100"/>
        <v>00</v>
      </c>
      <c r="AG560" s="98" t="str">
        <f t="shared" si="107"/>
        <v>000000000000</v>
      </c>
      <c r="AH560" s="161" t="str">
        <f t="shared" si="101"/>
        <v xml:space="preserve">                    </v>
      </c>
      <c r="AI560" s="154">
        <f t="shared" si="102"/>
        <v>0</v>
      </c>
      <c r="AJ560" s="155">
        <f t="shared" si="103"/>
        <v>0</v>
      </c>
      <c r="AP560" s="63" t="str">
        <f t="shared" si="104"/>
        <v/>
      </c>
      <c r="AQ560" s="63" t="str">
        <f t="shared" si="98"/>
        <v xml:space="preserve">                    </v>
      </c>
      <c r="AR560" s="63"/>
      <c r="AS560" s="63"/>
      <c r="AT560" s="63"/>
      <c r="AU560" s="63"/>
      <c r="AV560" s="63"/>
      <c r="AW560" s="63"/>
      <c r="AX560" s="63"/>
      <c r="AY560" s="63"/>
      <c r="AZ560" s="63"/>
      <c r="BA560" s="63"/>
      <c r="BB560" s="63"/>
      <c r="BC560" s="63"/>
      <c r="BD560" s="63"/>
      <c r="BE560" s="63"/>
      <c r="BF560" s="63"/>
      <c r="BG560" s="63"/>
      <c r="BH560" s="63"/>
      <c r="BI560" s="63"/>
      <c r="BJ560" s="63"/>
      <c r="BK560" s="63"/>
      <c r="BL560" s="63"/>
      <c r="BM560" s="63"/>
      <c r="BN560" s="63"/>
      <c r="BO560" s="63"/>
      <c r="BP560" s="63"/>
      <c r="BQ560" s="63"/>
      <c r="BR560" s="63"/>
      <c r="BS560" s="63"/>
      <c r="BT560" s="63"/>
      <c r="BU560" s="63"/>
      <c r="BV560" s="63"/>
      <c r="BW560" s="63"/>
    </row>
    <row r="561" spans="1:75" x14ac:dyDescent="0.2">
      <c r="A561" s="63" t="str">
        <f t="shared" si="105"/>
        <v/>
      </c>
      <c r="B561" s="182"/>
      <c r="C561" s="75"/>
      <c r="D561" s="75"/>
      <c r="E561" s="74"/>
      <c r="F561" s="181"/>
      <c r="G561" s="69"/>
      <c r="AB561" s="150">
        <f t="shared" si="96"/>
        <v>0</v>
      </c>
      <c r="AC561" s="150">
        <f t="shared" si="97"/>
        <v>0</v>
      </c>
      <c r="AD561" s="98" t="str">
        <f t="shared" si="106"/>
        <v>0000000000</v>
      </c>
      <c r="AE561" s="151">
        <f t="shared" si="99"/>
        <v>0</v>
      </c>
      <c r="AF561" s="98" t="str">
        <f t="shared" si="100"/>
        <v>00</v>
      </c>
      <c r="AG561" s="98" t="str">
        <f t="shared" si="107"/>
        <v>000000000000</v>
      </c>
      <c r="AH561" s="161" t="str">
        <f t="shared" si="101"/>
        <v xml:space="preserve">                    </v>
      </c>
      <c r="AI561" s="154">
        <f t="shared" si="102"/>
        <v>0</v>
      </c>
      <c r="AJ561" s="155">
        <f t="shared" si="103"/>
        <v>0</v>
      </c>
      <c r="AP561" s="63" t="str">
        <f t="shared" si="104"/>
        <v/>
      </c>
      <c r="AQ561" s="63" t="str">
        <f t="shared" si="98"/>
        <v xml:space="preserve">                    </v>
      </c>
      <c r="AR561" s="63"/>
      <c r="AS561" s="63"/>
      <c r="AT561" s="63"/>
      <c r="AU561" s="63"/>
      <c r="AV561" s="63"/>
      <c r="AW561" s="63"/>
      <c r="AX561" s="63"/>
      <c r="AY561" s="63"/>
      <c r="AZ561" s="63"/>
      <c r="BA561" s="63"/>
      <c r="BB561" s="63"/>
      <c r="BC561" s="63"/>
      <c r="BD561" s="63"/>
      <c r="BE561" s="63"/>
      <c r="BF561" s="63"/>
      <c r="BG561" s="63"/>
      <c r="BH561" s="63"/>
      <c r="BI561" s="63"/>
      <c r="BJ561" s="63"/>
      <c r="BK561" s="63"/>
      <c r="BL561" s="63"/>
      <c r="BM561" s="63"/>
      <c r="BN561" s="63"/>
      <c r="BO561" s="63"/>
      <c r="BP561" s="63"/>
      <c r="BQ561" s="63"/>
      <c r="BR561" s="63"/>
      <c r="BS561" s="63"/>
      <c r="BT561" s="63"/>
      <c r="BU561" s="63"/>
      <c r="BV561" s="63"/>
      <c r="BW561" s="63"/>
    </row>
    <row r="562" spans="1:75" x14ac:dyDescent="0.2">
      <c r="A562" s="63" t="str">
        <f t="shared" si="105"/>
        <v/>
      </c>
      <c r="B562" s="182"/>
      <c r="C562" s="75"/>
      <c r="D562" s="75"/>
      <c r="E562" s="74"/>
      <c r="F562" s="181"/>
      <c r="G562" s="69"/>
      <c r="AB562" s="150">
        <f t="shared" si="96"/>
        <v>0</v>
      </c>
      <c r="AC562" s="150">
        <f t="shared" si="97"/>
        <v>0</v>
      </c>
      <c r="AD562" s="98" t="str">
        <f t="shared" si="106"/>
        <v>0000000000</v>
      </c>
      <c r="AE562" s="151">
        <f t="shared" si="99"/>
        <v>0</v>
      </c>
      <c r="AF562" s="98" t="str">
        <f t="shared" si="100"/>
        <v>00</v>
      </c>
      <c r="AG562" s="98" t="str">
        <f t="shared" si="107"/>
        <v>000000000000</v>
      </c>
      <c r="AH562" s="161" t="str">
        <f t="shared" si="101"/>
        <v xml:space="preserve">                    </v>
      </c>
      <c r="AI562" s="154">
        <f t="shared" si="102"/>
        <v>0</v>
      </c>
      <c r="AJ562" s="155">
        <f t="shared" si="103"/>
        <v>0</v>
      </c>
      <c r="AP562" s="63" t="str">
        <f t="shared" si="104"/>
        <v/>
      </c>
      <c r="AQ562" s="63" t="str">
        <f t="shared" si="98"/>
        <v xml:space="preserve">                    </v>
      </c>
      <c r="AR562" s="63"/>
      <c r="AS562" s="63"/>
      <c r="AT562" s="63"/>
      <c r="AU562" s="63"/>
      <c r="AV562" s="63"/>
      <c r="AW562" s="63"/>
      <c r="AX562" s="63"/>
      <c r="AY562" s="63"/>
      <c r="AZ562" s="63"/>
      <c r="BA562" s="63"/>
      <c r="BB562" s="63"/>
      <c r="BC562" s="63"/>
      <c r="BD562" s="63"/>
      <c r="BE562" s="63"/>
      <c r="BF562" s="63"/>
      <c r="BG562" s="63"/>
      <c r="BH562" s="63"/>
      <c r="BI562" s="63"/>
      <c r="BJ562" s="63"/>
      <c r="BK562" s="63"/>
      <c r="BL562" s="63"/>
      <c r="BM562" s="63"/>
      <c r="BN562" s="63"/>
      <c r="BO562" s="63"/>
      <c r="BP562" s="63"/>
      <c r="BQ562" s="63"/>
      <c r="BR562" s="63"/>
      <c r="BS562" s="63"/>
      <c r="BT562" s="63"/>
      <c r="BU562" s="63"/>
      <c r="BV562" s="63"/>
      <c r="BW562" s="63"/>
    </row>
    <row r="563" spans="1:75" x14ac:dyDescent="0.2">
      <c r="A563" s="63" t="str">
        <f t="shared" si="105"/>
        <v/>
      </c>
      <c r="B563" s="182"/>
      <c r="C563" s="75"/>
      <c r="D563" s="75"/>
      <c r="E563" s="74"/>
      <c r="F563" s="181"/>
      <c r="G563" s="69"/>
      <c r="AB563" s="150">
        <f t="shared" si="96"/>
        <v>0</v>
      </c>
      <c r="AC563" s="150">
        <f t="shared" si="97"/>
        <v>0</v>
      </c>
      <c r="AD563" s="98" t="str">
        <f t="shared" si="106"/>
        <v>0000000000</v>
      </c>
      <c r="AE563" s="151">
        <f t="shared" si="99"/>
        <v>0</v>
      </c>
      <c r="AF563" s="98" t="str">
        <f t="shared" si="100"/>
        <v>00</v>
      </c>
      <c r="AG563" s="98" t="str">
        <f t="shared" si="107"/>
        <v>000000000000</v>
      </c>
      <c r="AH563" s="161" t="str">
        <f t="shared" si="101"/>
        <v xml:space="preserve">                    </v>
      </c>
      <c r="AI563" s="154">
        <f t="shared" si="102"/>
        <v>0</v>
      </c>
      <c r="AJ563" s="155">
        <f t="shared" si="103"/>
        <v>0</v>
      </c>
      <c r="AP563" s="63" t="str">
        <f t="shared" si="104"/>
        <v/>
      </c>
      <c r="AQ563" s="63" t="str">
        <f t="shared" si="98"/>
        <v xml:space="preserve">                    </v>
      </c>
      <c r="AR563" s="63"/>
      <c r="AS563" s="63"/>
      <c r="AT563" s="63"/>
      <c r="AU563" s="63"/>
      <c r="AV563" s="63"/>
      <c r="AW563" s="63"/>
      <c r="AX563" s="63"/>
      <c r="AY563" s="63"/>
      <c r="AZ563" s="63"/>
      <c r="BA563" s="63"/>
      <c r="BB563" s="63"/>
      <c r="BC563" s="63"/>
      <c r="BD563" s="63"/>
      <c r="BE563" s="63"/>
      <c r="BF563" s="63"/>
      <c r="BG563" s="63"/>
      <c r="BH563" s="63"/>
      <c r="BI563" s="63"/>
      <c r="BJ563" s="63"/>
      <c r="BK563" s="63"/>
      <c r="BL563" s="63"/>
      <c r="BM563" s="63"/>
      <c r="BN563" s="63"/>
      <c r="BO563" s="63"/>
      <c r="BP563" s="63"/>
      <c r="BQ563" s="63"/>
      <c r="BR563" s="63"/>
      <c r="BS563" s="63"/>
      <c r="BT563" s="63"/>
      <c r="BU563" s="63"/>
      <c r="BV563" s="63"/>
      <c r="BW563" s="63"/>
    </row>
    <row r="564" spans="1:75" x14ac:dyDescent="0.2">
      <c r="A564" s="63" t="str">
        <f t="shared" si="105"/>
        <v/>
      </c>
      <c r="B564" s="182"/>
      <c r="C564" s="75"/>
      <c r="D564" s="75"/>
      <c r="E564" s="74"/>
      <c r="F564" s="181"/>
      <c r="G564" s="69"/>
      <c r="AB564" s="150">
        <f t="shared" si="96"/>
        <v>0</v>
      </c>
      <c r="AC564" s="150">
        <f t="shared" si="97"/>
        <v>0</v>
      </c>
      <c r="AD564" s="98" t="str">
        <f t="shared" si="106"/>
        <v>0000000000</v>
      </c>
      <c r="AE564" s="151">
        <f t="shared" si="99"/>
        <v>0</v>
      </c>
      <c r="AF564" s="98" t="str">
        <f t="shared" si="100"/>
        <v>00</v>
      </c>
      <c r="AG564" s="98" t="str">
        <f t="shared" si="107"/>
        <v>000000000000</v>
      </c>
      <c r="AH564" s="161" t="str">
        <f t="shared" si="101"/>
        <v xml:space="preserve">                    </v>
      </c>
      <c r="AI564" s="154">
        <f t="shared" si="102"/>
        <v>0</v>
      </c>
      <c r="AJ564" s="155">
        <f t="shared" si="103"/>
        <v>0</v>
      </c>
      <c r="AP564" s="63" t="str">
        <f t="shared" si="104"/>
        <v/>
      </c>
      <c r="AQ564" s="63" t="str">
        <f t="shared" si="98"/>
        <v xml:space="preserve">                    </v>
      </c>
      <c r="AR564" s="63"/>
      <c r="AS564" s="63"/>
      <c r="AT564" s="63"/>
      <c r="AU564" s="63"/>
      <c r="AV564" s="63"/>
      <c r="AW564" s="63"/>
      <c r="AX564" s="63"/>
      <c r="AY564" s="63"/>
      <c r="AZ564" s="63"/>
      <c r="BA564" s="63"/>
      <c r="BB564" s="63"/>
      <c r="BC564" s="63"/>
      <c r="BD564" s="63"/>
      <c r="BE564" s="63"/>
      <c r="BF564" s="63"/>
      <c r="BG564" s="63"/>
      <c r="BH564" s="63"/>
      <c r="BI564" s="63"/>
      <c r="BJ564" s="63"/>
      <c r="BK564" s="63"/>
      <c r="BL564" s="63"/>
      <c r="BM564" s="63"/>
      <c r="BN564" s="63"/>
      <c r="BO564" s="63"/>
      <c r="BP564" s="63"/>
      <c r="BQ564" s="63"/>
      <c r="BR564" s="63"/>
      <c r="BS564" s="63"/>
      <c r="BT564" s="63"/>
      <c r="BU564" s="63"/>
      <c r="BV564" s="63"/>
      <c r="BW564" s="63"/>
    </row>
    <row r="565" spans="1:75" x14ac:dyDescent="0.2">
      <c r="A565" s="63" t="str">
        <f t="shared" si="105"/>
        <v/>
      </c>
      <c r="B565" s="182"/>
      <c r="C565" s="75"/>
      <c r="D565" s="75"/>
      <c r="E565" s="74"/>
      <c r="F565" s="181"/>
      <c r="G565" s="69"/>
      <c r="AB565" s="150">
        <f t="shared" si="96"/>
        <v>0</v>
      </c>
      <c r="AC565" s="150">
        <f t="shared" si="97"/>
        <v>0</v>
      </c>
      <c r="AD565" s="98" t="str">
        <f t="shared" si="106"/>
        <v>0000000000</v>
      </c>
      <c r="AE565" s="151">
        <f t="shared" si="99"/>
        <v>0</v>
      </c>
      <c r="AF565" s="98" t="str">
        <f t="shared" si="100"/>
        <v>00</v>
      </c>
      <c r="AG565" s="98" t="str">
        <f t="shared" si="107"/>
        <v>000000000000</v>
      </c>
      <c r="AH565" s="161" t="str">
        <f t="shared" si="101"/>
        <v xml:space="preserve">                    </v>
      </c>
      <c r="AI565" s="154">
        <f t="shared" si="102"/>
        <v>0</v>
      </c>
      <c r="AJ565" s="155">
        <f t="shared" si="103"/>
        <v>0</v>
      </c>
      <c r="AP565" s="63" t="str">
        <f t="shared" si="104"/>
        <v/>
      </c>
      <c r="AQ565" s="63" t="str">
        <f t="shared" si="98"/>
        <v xml:space="preserve">                    </v>
      </c>
      <c r="AR565" s="63"/>
      <c r="AS565" s="63"/>
      <c r="AT565" s="63"/>
      <c r="AU565" s="63"/>
      <c r="AV565" s="63"/>
      <c r="AW565" s="63"/>
      <c r="AX565" s="63"/>
      <c r="AY565" s="63"/>
      <c r="AZ565" s="63"/>
      <c r="BA565" s="63"/>
      <c r="BB565" s="63"/>
      <c r="BC565" s="63"/>
      <c r="BD565" s="63"/>
      <c r="BE565" s="63"/>
      <c r="BF565" s="63"/>
      <c r="BG565" s="63"/>
      <c r="BH565" s="63"/>
      <c r="BI565" s="63"/>
      <c r="BJ565" s="63"/>
      <c r="BK565" s="63"/>
      <c r="BL565" s="63"/>
      <c r="BM565" s="63"/>
      <c r="BN565" s="63"/>
      <c r="BO565" s="63"/>
      <c r="BP565" s="63"/>
      <c r="BQ565" s="63"/>
      <c r="BR565" s="63"/>
      <c r="BS565" s="63"/>
      <c r="BT565" s="63"/>
      <c r="BU565" s="63"/>
      <c r="BV565" s="63"/>
      <c r="BW565" s="63"/>
    </row>
    <row r="566" spans="1:75" x14ac:dyDescent="0.2">
      <c r="A566" s="63" t="str">
        <f t="shared" si="105"/>
        <v/>
      </c>
      <c r="B566" s="182"/>
      <c r="C566" s="75"/>
      <c r="D566" s="75"/>
      <c r="E566" s="74"/>
      <c r="F566" s="181"/>
      <c r="G566" s="69"/>
      <c r="AB566" s="150">
        <f t="shared" si="96"/>
        <v>0</v>
      </c>
      <c r="AC566" s="150">
        <f t="shared" si="97"/>
        <v>0</v>
      </c>
      <c r="AD566" s="98" t="str">
        <f t="shared" si="106"/>
        <v>0000000000</v>
      </c>
      <c r="AE566" s="151">
        <f t="shared" si="99"/>
        <v>0</v>
      </c>
      <c r="AF566" s="98" t="str">
        <f t="shared" si="100"/>
        <v>00</v>
      </c>
      <c r="AG566" s="98" t="str">
        <f t="shared" si="107"/>
        <v>000000000000</v>
      </c>
      <c r="AH566" s="161" t="str">
        <f t="shared" si="101"/>
        <v xml:space="preserve">                    </v>
      </c>
      <c r="AI566" s="154">
        <f t="shared" si="102"/>
        <v>0</v>
      </c>
      <c r="AJ566" s="155">
        <f t="shared" si="103"/>
        <v>0</v>
      </c>
      <c r="AP566" s="63" t="str">
        <f t="shared" si="104"/>
        <v/>
      </c>
      <c r="AQ566" s="63" t="str">
        <f t="shared" si="98"/>
        <v xml:space="preserve">                    </v>
      </c>
      <c r="AR566" s="63"/>
      <c r="AS566" s="63"/>
      <c r="AT566" s="63"/>
      <c r="AU566" s="63"/>
      <c r="AV566" s="63"/>
      <c r="AW566" s="63"/>
      <c r="AX566" s="63"/>
      <c r="AY566" s="63"/>
      <c r="AZ566" s="63"/>
      <c r="BA566" s="63"/>
      <c r="BB566" s="63"/>
      <c r="BC566" s="63"/>
      <c r="BD566" s="63"/>
      <c r="BE566" s="63"/>
      <c r="BF566" s="63"/>
      <c r="BG566" s="63"/>
      <c r="BH566" s="63"/>
      <c r="BI566" s="63"/>
      <c r="BJ566" s="63"/>
      <c r="BK566" s="63"/>
      <c r="BL566" s="63"/>
      <c r="BM566" s="63"/>
      <c r="BN566" s="63"/>
      <c r="BO566" s="63"/>
      <c r="BP566" s="63"/>
      <c r="BQ566" s="63"/>
      <c r="BR566" s="63"/>
      <c r="BS566" s="63"/>
      <c r="BT566" s="63"/>
      <c r="BU566" s="63"/>
      <c r="BV566" s="63"/>
      <c r="BW566" s="63"/>
    </row>
    <row r="567" spans="1:75" x14ac:dyDescent="0.2">
      <c r="A567" s="63" t="str">
        <f t="shared" si="105"/>
        <v/>
      </c>
      <c r="B567" s="182"/>
      <c r="C567" s="75"/>
      <c r="D567" s="75"/>
      <c r="E567" s="74"/>
      <c r="F567" s="181"/>
      <c r="G567" s="69"/>
      <c r="AB567" s="150">
        <f t="shared" si="96"/>
        <v>0</v>
      </c>
      <c r="AC567" s="150">
        <f t="shared" si="97"/>
        <v>0</v>
      </c>
      <c r="AD567" s="98" t="str">
        <f t="shared" si="106"/>
        <v>0000000000</v>
      </c>
      <c r="AE567" s="151">
        <f t="shared" si="99"/>
        <v>0</v>
      </c>
      <c r="AF567" s="98" t="str">
        <f t="shared" si="100"/>
        <v>00</v>
      </c>
      <c r="AG567" s="98" t="str">
        <f t="shared" si="107"/>
        <v>000000000000</v>
      </c>
      <c r="AH567" s="161" t="str">
        <f t="shared" si="101"/>
        <v xml:space="preserve">                    </v>
      </c>
      <c r="AI567" s="154">
        <f t="shared" si="102"/>
        <v>0</v>
      </c>
      <c r="AJ567" s="155">
        <f t="shared" si="103"/>
        <v>0</v>
      </c>
      <c r="AP567" s="63" t="str">
        <f t="shared" si="104"/>
        <v/>
      </c>
      <c r="AQ567" s="63" t="str">
        <f t="shared" si="98"/>
        <v xml:space="preserve">                    </v>
      </c>
      <c r="AR567" s="63"/>
      <c r="AS567" s="63"/>
      <c r="AT567" s="63"/>
      <c r="AU567" s="63"/>
      <c r="AV567" s="63"/>
      <c r="AW567" s="63"/>
      <c r="AX567" s="63"/>
      <c r="AY567" s="63"/>
      <c r="AZ567" s="63"/>
      <c r="BA567" s="63"/>
      <c r="BB567" s="63"/>
      <c r="BC567" s="63"/>
      <c r="BD567" s="63"/>
      <c r="BE567" s="63"/>
      <c r="BF567" s="63"/>
      <c r="BG567" s="63"/>
      <c r="BH567" s="63"/>
      <c r="BI567" s="63"/>
      <c r="BJ567" s="63"/>
      <c r="BK567" s="63"/>
      <c r="BL567" s="63"/>
      <c r="BM567" s="63"/>
      <c r="BN567" s="63"/>
      <c r="BO567" s="63"/>
      <c r="BP567" s="63"/>
      <c r="BQ567" s="63"/>
      <c r="BR567" s="63"/>
      <c r="BS567" s="63"/>
      <c r="BT567" s="63"/>
      <c r="BU567" s="63"/>
      <c r="BV567" s="63"/>
      <c r="BW567" s="63"/>
    </row>
    <row r="568" spans="1:75" x14ac:dyDescent="0.2">
      <c r="A568" s="63" t="str">
        <f t="shared" si="105"/>
        <v/>
      </c>
      <c r="B568" s="182"/>
      <c r="C568" s="75"/>
      <c r="D568" s="75"/>
      <c r="E568" s="74"/>
      <c r="F568" s="181"/>
      <c r="G568" s="69"/>
      <c r="AB568" s="150">
        <f t="shared" si="96"/>
        <v>0</v>
      </c>
      <c r="AC568" s="150">
        <f t="shared" si="97"/>
        <v>0</v>
      </c>
      <c r="AD568" s="98" t="str">
        <f t="shared" si="106"/>
        <v>0000000000</v>
      </c>
      <c r="AE568" s="151">
        <f t="shared" si="99"/>
        <v>0</v>
      </c>
      <c r="AF568" s="98" t="str">
        <f t="shared" si="100"/>
        <v>00</v>
      </c>
      <c r="AG568" s="98" t="str">
        <f t="shared" si="107"/>
        <v>000000000000</v>
      </c>
      <c r="AH568" s="161" t="str">
        <f t="shared" si="101"/>
        <v xml:space="preserve">                    </v>
      </c>
      <c r="AI568" s="154">
        <f t="shared" si="102"/>
        <v>0</v>
      </c>
      <c r="AJ568" s="155">
        <f t="shared" si="103"/>
        <v>0</v>
      </c>
      <c r="AP568" s="63" t="str">
        <f t="shared" si="104"/>
        <v/>
      </c>
      <c r="AQ568" s="63" t="str">
        <f t="shared" si="98"/>
        <v xml:space="preserve">                    </v>
      </c>
      <c r="AR568" s="63"/>
      <c r="AS568" s="63"/>
      <c r="AT568" s="63"/>
      <c r="AU568" s="63"/>
      <c r="AV568" s="63"/>
      <c r="AW568" s="63"/>
      <c r="AX568" s="63"/>
      <c r="AY568" s="63"/>
      <c r="AZ568" s="63"/>
      <c r="BA568" s="63"/>
      <c r="BB568" s="63"/>
      <c r="BC568" s="63"/>
      <c r="BD568" s="63"/>
      <c r="BE568" s="63"/>
      <c r="BF568" s="63"/>
      <c r="BG568" s="63"/>
      <c r="BH568" s="63"/>
      <c r="BI568" s="63"/>
      <c r="BJ568" s="63"/>
      <c r="BK568" s="63"/>
      <c r="BL568" s="63"/>
      <c r="BM568" s="63"/>
      <c r="BN568" s="63"/>
      <c r="BO568" s="63"/>
      <c r="BP568" s="63"/>
      <c r="BQ568" s="63"/>
      <c r="BR568" s="63"/>
      <c r="BS568" s="63"/>
      <c r="BT568" s="63"/>
      <c r="BU568" s="63"/>
      <c r="BV568" s="63"/>
      <c r="BW568" s="63"/>
    </row>
    <row r="569" spans="1:75" x14ac:dyDescent="0.2">
      <c r="A569" s="63" t="str">
        <f t="shared" si="105"/>
        <v/>
      </c>
      <c r="B569" s="182"/>
      <c r="C569" s="75"/>
      <c r="D569" s="75"/>
      <c r="E569" s="74"/>
      <c r="F569" s="181"/>
      <c r="G569" s="69"/>
      <c r="AB569" s="150">
        <f t="shared" si="96"/>
        <v>0</v>
      </c>
      <c r="AC569" s="150">
        <f t="shared" si="97"/>
        <v>0</v>
      </c>
      <c r="AD569" s="98" t="str">
        <f t="shared" si="106"/>
        <v>0000000000</v>
      </c>
      <c r="AE569" s="151">
        <f t="shared" si="99"/>
        <v>0</v>
      </c>
      <c r="AF569" s="98" t="str">
        <f t="shared" si="100"/>
        <v>00</v>
      </c>
      <c r="AG569" s="98" t="str">
        <f t="shared" si="107"/>
        <v>000000000000</v>
      </c>
      <c r="AH569" s="161" t="str">
        <f t="shared" si="101"/>
        <v xml:space="preserve">                    </v>
      </c>
      <c r="AI569" s="154">
        <f t="shared" si="102"/>
        <v>0</v>
      </c>
      <c r="AJ569" s="155">
        <f t="shared" si="103"/>
        <v>0</v>
      </c>
      <c r="AP569" s="63" t="str">
        <f t="shared" si="104"/>
        <v/>
      </c>
      <c r="AQ569" s="63" t="str">
        <f t="shared" si="98"/>
        <v xml:space="preserve">                    </v>
      </c>
      <c r="AR569" s="63"/>
      <c r="AS569" s="63"/>
      <c r="AT569" s="63"/>
      <c r="AU569" s="63"/>
      <c r="AV569" s="63"/>
      <c r="AW569" s="63"/>
      <c r="AX569" s="63"/>
      <c r="AY569" s="63"/>
      <c r="AZ569" s="63"/>
      <c r="BA569" s="63"/>
      <c r="BB569" s="63"/>
      <c r="BC569" s="63"/>
      <c r="BD569" s="63"/>
      <c r="BE569" s="63"/>
      <c r="BF569" s="63"/>
      <c r="BG569" s="63"/>
      <c r="BH569" s="63"/>
      <c r="BI569" s="63"/>
      <c r="BJ569" s="63"/>
      <c r="BK569" s="63"/>
      <c r="BL569" s="63"/>
      <c r="BM569" s="63"/>
      <c r="BN569" s="63"/>
      <c r="BO569" s="63"/>
      <c r="BP569" s="63"/>
      <c r="BQ569" s="63"/>
      <c r="BR569" s="63"/>
      <c r="BS569" s="63"/>
      <c r="BT569" s="63"/>
      <c r="BU569" s="63"/>
      <c r="BV569" s="63"/>
      <c r="BW569" s="63"/>
    </row>
    <row r="570" spans="1:75" x14ac:dyDescent="0.2">
      <c r="A570" s="63" t="str">
        <f t="shared" si="105"/>
        <v/>
      </c>
      <c r="B570" s="182"/>
      <c r="C570" s="75"/>
      <c r="D570" s="75"/>
      <c r="E570" s="74"/>
      <c r="F570" s="181"/>
      <c r="G570" s="69"/>
      <c r="AB570" s="150">
        <f t="shared" si="96"/>
        <v>0</v>
      </c>
      <c r="AC570" s="150">
        <f t="shared" si="97"/>
        <v>0</v>
      </c>
      <c r="AD570" s="98" t="str">
        <f t="shared" si="106"/>
        <v>0000000000</v>
      </c>
      <c r="AE570" s="151">
        <f t="shared" si="99"/>
        <v>0</v>
      </c>
      <c r="AF570" s="98" t="str">
        <f t="shared" si="100"/>
        <v>00</v>
      </c>
      <c r="AG570" s="98" t="str">
        <f t="shared" si="107"/>
        <v>000000000000</v>
      </c>
      <c r="AH570" s="161" t="str">
        <f t="shared" si="101"/>
        <v xml:space="preserve">                    </v>
      </c>
      <c r="AI570" s="154">
        <f t="shared" si="102"/>
        <v>0</v>
      </c>
      <c r="AJ570" s="155">
        <f t="shared" si="103"/>
        <v>0</v>
      </c>
      <c r="AP570" s="63" t="str">
        <f t="shared" si="104"/>
        <v/>
      </c>
      <c r="AQ570" s="63" t="str">
        <f t="shared" si="98"/>
        <v xml:space="preserve">                    </v>
      </c>
      <c r="AR570" s="63"/>
      <c r="AS570" s="63"/>
      <c r="AT570" s="63"/>
      <c r="AU570" s="63"/>
      <c r="AV570" s="63"/>
      <c r="AW570" s="63"/>
      <c r="AX570" s="63"/>
      <c r="AY570" s="63"/>
      <c r="AZ570" s="63"/>
      <c r="BA570" s="63"/>
      <c r="BB570" s="63"/>
      <c r="BC570" s="63"/>
      <c r="BD570" s="63"/>
      <c r="BE570" s="63"/>
      <c r="BF570" s="63"/>
      <c r="BG570" s="63"/>
      <c r="BH570" s="63"/>
      <c r="BI570" s="63"/>
      <c r="BJ570" s="63"/>
      <c r="BK570" s="63"/>
      <c r="BL570" s="63"/>
      <c r="BM570" s="63"/>
      <c r="BN570" s="63"/>
      <c r="BO570" s="63"/>
      <c r="BP570" s="63"/>
      <c r="BQ570" s="63"/>
      <c r="BR570" s="63"/>
      <c r="BS570" s="63"/>
      <c r="BT570" s="63"/>
      <c r="BU570" s="63"/>
      <c r="BV570" s="63"/>
      <c r="BW570" s="63"/>
    </row>
    <row r="571" spans="1:75" x14ac:dyDescent="0.2">
      <c r="A571" s="63" t="str">
        <f t="shared" si="105"/>
        <v/>
      </c>
      <c r="B571" s="182"/>
      <c r="C571" s="75"/>
      <c r="D571" s="75"/>
      <c r="E571" s="74"/>
      <c r="F571" s="181"/>
      <c r="G571" s="69"/>
      <c r="AB571" s="150">
        <f t="shared" si="96"/>
        <v>0</v>
      </c>
      <c r="AC571" s="150">
        <f t="shared" si="97"/>
        <v>0</v>
      </c>
      <c r="AD571" s="98" t="str">
        <f t="shared" si="106"/>
        <v>0000000000</v>
      </c>
      <c r="AE571" s="151">
        <f t="shared" si="99"/>
        <v>0</v>
      </c>
      <c r="AF571" s="98" t="str">
        <f t="shared" si="100"/>
        <v>00</v>
      </c>
      <c r="AG571" s="98" t="str">
        <f t="shared" si="107"/>
        <v>000000000000</v>
      </c>
      <c r="AH571" s="161" t="str">
        <f t="shared" si="101"/>
        <v xml:space="preserve">                    </v>
      </c>
      <c r="AI571" s="154">
        <f t="shared" si="102"/>
        <v>0</v>
      </c>
      <c r="AJ571" s="155">
        <f t="shared" si="103"/>
        <v>0</v>
      </c>
      <c r="AP571" s="63" t="str">
        <f t="shared" si="104"/>
        <v/>
      </c>
      <c r="AQ571" s="63" t="str">
        <f t="shared" si="98"/>
        <v xml:space="preserve">                    </v>
      </c>
      <c r="AR571" s="63"/>
      <c r="AS571" s="63"/>
      <c r="AT571" s="63"/>
      <c r="AU571" s="63"/>
      <c r="AV571" s="63"/>
      <c r="AW571" s="63"/>
      <c r="AX571" s="63"/>
      <c r="AY571" s="63"/>
      <c r="AZ571" s="63"/>
      <c r="BA571" s="63"/>
      <c r="BB571" s="63"/>
      <c r="BC571" s="63"/>
      <c r="BD571" s="63"/>
      <c r="BE571" s="63"/>
      <c r="BF571" s="63"/>
      <c r="BG571" s="63"/>
      <c r="BH571" s="63"/>
      <c r="BI571" s="63"/>
      <c r="BJ571" s="63"/>
      <c r="BK571" s="63"/>
      <c r="BL571" s="63"/>
      <c r="BM571" s="63"/>
      <c r="BN571" s="63"/>
      <c r="BO571" s="63"/>
      <c r="BP571" s="63"/>
      <c r="BQ571" s="63"/>
      <c r="BR571" s="63"/>
      <c r="BS571" s="63"/>
      <c r="BT571" s="63"/>
      <c r="BU571" s="63"/>
      <c r="BV571" s="63"/>
      <c r="BW571" s="63"/>
    </row>
    <row r="572" spans="1:75" x14ac:dyDescent="0.2">
      <c r="A572" s="63" t="str">
        <f t="shared" si="105"/>
        <v/>
      </c>
      <c r="B572" s="182"/>
      <c r="C572" s="75"/>
      <c r="D572" s="75"/>
      <c r="E572" s="74"/>
      <c r="F572" s="181"/>
      <c r="G572" s="69"/>
      <c r="AB572" s="150">
        <f t="shared" si="96"/>
        <v>0</v>
      </c>
      <c r="AC572" s="150">
        <f t="shared" si="97"/>
        <v>0</v>
      </c>
      <c r="AD572" s="98" t="str">
        <f t="shared" si="106"/>
        <v>0000000000</v>
      </c>
      <c r="AE572" s="151">
        <f t="shared" si="99"/>
        <v>0</v>
      </c>
      <c r="AF572" s="98" t="str">
        <f t="shared" si="100"/>
        <v>00</v>
      </c>
      <c r="AG572" s="98" t="str">
        <f t="shared" si="107"/>
        <v>000000000000</v>
      </c>
      <c r="AH572" s="161" t="str">
        <f t="shared" si="101"/>
        <v xml:space="preserve">                    </v>
      </c>
      <c r="AI572" s="154">
        <f t="shared" si="102"/>
        <v>0</v>
      </c>
      <c r="AJ572" s="155">
        <f t="shared" si="103"/>
        <v>0</v>
      </c>
      <c r="AP572" s="63" t="str">
        <f t="shared" si="104"/>
        <v/>
      </c>
      <c r="AQ572" s="63" t="str">
        <f t="shared" si="98"/>
        <v xml:space="preserve">                    </v>
      </c>
      <c r="AR572" s="63"/>
      <c r="AS572" s="63"/>
      <c r="AT572" s="63"/>
      <c r="AU572" s="63"/>
      <c r="AV572" s="63"/>
      <c r="AW572" s="63"/>
      <c r="AX572" s="63"/>
      <c r="AY572" s="63"/>
      <c r="AZ572" s="63"/>
      <c r="BA572" s="63"/>
      <c r="BB572" s="63"/>
      <c r="BC572" s="63"/>
      <c r="BD572" s="63"/>
      <c r="BE572" s="63"/>
      <c r="BF572" s="63"/>
      <c r="BG572" s="63"/>
      <c r="BH572" s="63"/>
      <c r="BI572" s="63"/>
      <c r="BJ572" s="63"/>
      <c r="BK572" s="63"/>
      <c r="BL572" s="63"/>
      <c r="BM572" s="63"/>
      <c r="BN572" s="63"/>
      <c r="BO572" s="63"/>
      <c r="BP572" s="63"/>
      <c r="BQ572" s="63"/>
      <c r="BR572" s="63"/>
      <c r="BS572" s="63"/>
      <c r="BT572" s="63"/>
      <c r="BU572" s="63"/>
      <c r="BV572" s="63"/>
      <c r="BW572" s="63"/>
    </row>
    <row r="573" spans="1:75" x14ac:dyDescent="0.2">
      <c r="A573" s="63" t="str">
        <f t="shared" si="105"/>
        <v/>
      </c>
      <c r="B573" s="182"/>
      <c r="C573" s="75"/>
      <c r="D573" s="75"/>
      <c r="E573" s="74"/>
      <c r="F573" s="181"/>
      <c r="G573" s="69"/>
      <c r="AB573" s="150">
        <f t="shared" si="96"/>
        <v>0</v>
      </c>
      <c r="AC573" s="150">
        <f t="shared" si="97"/>
        <v>0</v>
      </c>
      <c r="AD573" s="98" t="str">
        <f t="shared" si="106"/>
        <v>0000000000</v>
      </c>
      <c r="AE573" s="151">
        <f t="shared" si="99"/>
        <v>0</v>
      </c>
      <c r="AF573" s="98" t="str">
        <f t="shared" si="100"/>
        <v>00</v>
      </c>
      <c r="AG573" s="98" t="str">
        <f t="shared" si="107"/>
        <v>000000000000</v>
      </c>
      <c r="AH573" s="161" t="str">
        <f t="shared" si="101"/>
        <v xml:space="preserve">                    </v>
      </c>
      <c r="AI573" s="154">
        <f t="shared" si="102"/>
        <v>0</v>
      </c>
      <c r="AJ573" s="155">
        <f t="shared" si="103"/>
        <v>0</v>
      </c>
      <c r="AP573" s="63" t="str">
        <f t="shared" si="104"/>
        <v/>
      </c>
      <c r="AQ573" s="63" t="str">
        <f t="shared" si="98"/>
        <v xml:space="preserve">                    </v>
      </c>
      <c r="AR573" s="63"/>
      <c r="AS573" s="63"/>
      <c r="AT573" s="63"/>
      <c r="AU573" s="63"/>
      <c r="AV573" s="63"/>
      <c r="AW573" s="63"/>
      <c r="AX573" s="63"/>
      <c r="AY573" s="63"/>
      <c r="AZ573" s="63"/>
      <c r="BA573" s="63"/>
      <c r="BB573" s="63"/>
      <c r="BC573" s="63"/>
      <c r="BD573" s="63"/>
      <c r="BE573" s="63"/>
      <c r="BF573" s="63"/>
      <c r="BG573" s="63"/>
      <c r="BH573" s="63"/>
      <c r="BI573" s="63"/>
      <c r="BJ573" s="63"/>
      <c r="BK573" s="63"/>
      <c r="BL573" s="63"/>
      <c r="BM573" s="63"/>
      <c r="BN573" s="63"/>
      <c r="BO573" s="63"/>
      <c r="BP573" s="63"/>
      <c r="BQ573" s="63"/>
      <c r="BR573" s="63"/>
      <c r="BS573" s="63"/>
      <c r="BT573" s="63"/>
      <c r="BU573" s="63"/>
      <c r="BV573" s="63"/>
      <c r="BW573" s="63"/>
    </row>
    <row r="574" spans="1:75" x14ac:dyDescent="0.2">
      <c r="A574" s="63" t="str">
        <f t="shared" si="105"/>
        <v/>
      </c>
      <c r="B574" s="182"/>
      <c r="C574" s="75"/>
      <c r="D574" s="75"/>
      <c r="E574" s="74"/>
      <c r="F574" s="181"/>
      <c r="G574" s="69"/>
      <c r="AB574" s="150">
        <f t="shared" si="96"/>
        <v>0</v>
      </c>
      <c r="AC574" s="150">
        <f t="shared" si="97"/>
        <v>0</v>
      </c>
      <c r="AD574" s="98" t="str">
        <f t="shared" si="106"/>
        <v>0000000000</v>
      </c>
      <c r="AE574" s="151">
        <f t="shared" si="99"/>
        <v>0</v>
      </c>
      <c r="AF574" s="98" t="str">
        <f t="shared" si="100"/>
        <v>00</v>
      </c>
      <c r="AG574" s="98" t="str">
        <f t="shared" si="107"/>
        <v>000000000000</v>
      </c>
      <c r="AH574" s="161" t="str">
        <f t="shared" si="101"/>
        <v xml:space="preserve">                    </v>
      </c>
      <c r="AI574" s="154">
        <f t="shared" si="102"/>
        <v>0</v>
      </c>
      <c r="AJ574" s="155">
        <f t="shared" si="103"/>
        <v>0</v>
      </c>
      <c r="AP574" s="63" t="str">
        <f t="shared" si="104"/>
        <v/>
      </c>
      <c r="AQ574" s="63" t="str">
        <f t="shared" si="98"/>
        <v xml:space="preserve">                    </v>
      </c>
      <c r="AR574" s="63"/>
      <c r="AS574" s="63"/>
      <c r="AT574" s="63"/>
      <c r="AU574" s="63"/>
      <c r="AV574" s="63"/>
      <c r="AW574" s="63"/>
      <c r="AX574" s="63"/>
      <c r="AY574" s="63"/>
      <c r="AZ574" s="63"/>
      <c r="BA574" s="63"/>
      <c r="BB574" s="63"/>
      <c r="BC574" s="63"/>
      <c r="BD574" s="63"/>
      <c r="BE574" s="63"/>
      <c r="BF574" s="63"/>
      <c r="BG574" s="63"/>
      <c r="BH574" s="63"/>
      <c r="BI574" s="63"/>
      <c r="BJ574" s="63"/>
      <c r="BK574" s="63"/>
      <c r="BL574" s="63"/>
      <c r="BM574" s="63"/>
      <c r="BN574" s="63"/>
      <c r="BO574" s="63"/>
      <c r="BP574" s="63"/>
      <c r="BQ574" s="63"/>
      <c r="BR574" s="63"/>
      <c r="BS574" s="63"/>
      <c r="BT574" s="63"/>
      <c r="BU574" s="63"/>
      <c r="BV574" s="63"/>
      <c r="BW574" s="63"/>
    </row>
    <row r="575" spans="1:75" x14ac:dyDescent="0.2">
      <c r="A575" s="63" t="str">
        <f t="shared" si="105"/>
        <v/>
      </c>
      <c r="B575" s="182"/>
      <c r="C575" s="75"/>
      <c r="D575" s="75"/>
      <c r="E575" s="74"/>
      <c r="F575" s="181"/>
      <c r="G575" s="69"/>
      <c r="AB575" s="150">
        <f t="shared" si="96"/>
        <v>0</v>
      </c>
      <c r="AC575" s="150">
        <f t="shared" si="97"/>
        <v>0</v>
      </c>
      <c r="AD575" s="98" t="str">
        <f t="shared" si="106"/>
        <v>0000000000</v>
      </c>
      <c r="AE575" s="151">
        <f t="shared" si="99"/>
        <v>0</v>
      </c>
      <c r="AF575" s="98" t="str">
        <f t="shared" si="100"/>
        <v>00</v>
      </c>
      <c r="AG575" s="98" t="str">
        <f t="shared" si="107"/>
        <v>000000000000</v>
      </c>
      <c r="AH575" s="161" t="str">
        <f t="shared" si="101"/>
        <v xml:space="preserve">                    </v>
      </c>
      <c r="AI575" s="154">
        <f t="shared" si="102"/>
        <v>0</v>
      </c>
      <c r="AJ575" s="155">
        <f t="shared" si="103"/>
        <v>0</v>
      </c>
      <c r="AP575" s="63" t="str">
        <f t="shared" si="104"/>
        <v/>
      </c>
      <c r="AQ575" s="63" t="str">
        <f t="shared" si="98"/>
        <v xml:space="preserve">                    </v>
      </c>
      <c r="AR575" s="63"/>
      <c r="AS575" s="63"/>
      <c r="AT575" s="63"/>
      <c r="AU575" s="63"/>
      <c r="AV575" s="63"/>
      <c r="AW575" s="63"/>
      <c r="AX575" s="63"/>
      <c r="AY575" s="63"/>
      <c r="AZ575" s="63"/>
      <c r="BA575" s="63"/>
      <c r="BB575" s="63"/>
      <c r="BC575" s="63"/>
      <c r="BD575" s="63"/>
      <c r="BE575" s="63"/>
      <c r="BF575" s="63"/>
      <c r="BG575" s="63"/>
      <c r="BH575" s="63"/>
      <c r="BI575" s="63"/>
      <c r="BJ575" s="63"/>
      <c r="BK575" s="63"/>
      <c r="BL575" s="63"/>
      <c r="BM575" s="63"/>
      <c r="BN575" s="63"/>
      <c r="BO575" s="63"/>
      <c r="BP575" s="63"/>
      <c r="BQ575" s="63"/>
      <c r="BR575" s="63"/>
      <c r="BS575" s="63"/>
      <c r="BT575" s="63"/>
      <c r="BU575" s="63"/>
      <c r="BV575" s="63"/>
      <c r="BW575" s="63"/>
    </row>
    <row r="576" spans="1:75" x14ac:dyDescent="0.2">
      <c r="A576" s="63" t="str">
        <f t="shared" si="105"/>
        <v/>
      </c>
      <c r="B576" s="182"/>
      <c r="C576" s="75"/>
      <c r="D576" s="75"/>
      <c r="E576" s="74"/>
      <c r="F576" s="181"/>
      <c r="G576" s="69"/>
      <c r="AB576" s="150">
        <f t="shared" si="96"/>
        <v>0</v>
      </c>
      <c r="AC576" s="150">
        <f t="shared" si="97"/>
        <v>0</v>
      </c>
      <c r="AD576" s="98" t="str">
        <f t="shared" si="106"/>
        <v>0000000000</v>
      </c>
      <c r="AE576" s="151">
        <f t="shared" si="99"/>
        <v>0</v>
      </c>
      <c r="AF576" s="98" t="str">
        <f t="shared" si="100"/>
        <v>00</v>
      </c>
      <c r="AG576" s="98" t="str">
        <f t="shared" si="107"/>
        <v>000000000000</v>
      </c>
      <c r="AH576" s="161" t="str">
        <f t="shared" si="101"/>
        <v xml:space="preserve">                    </v>
      </c>
      <c r="AI576" s="154">
        <f t="shared" si="102"/>
        <v>0</v>
      </c>
      <c r="AJ576" s="155">
        <f t="shared" si="103"/>
        <v>0</v>
      </c>
      <c r="AP576" s="63" t="str">
        <f t="shared" si="104"/>
        <v/>
      </c>
      <c r="AQ576" s="63" t="str">
        <f t="shared" si="98"/>
        <v xml:space="preserve">                    </v>
      </c>
      <c r="AR576" s="63"/>
      <c r="AS576" s="63"/>
      <c r="AT576" s="63"/>
      <c r="AU576" s="63"/>
      <c r="AV576" s="63"/>
      <c r="AW576" s="63"/>
      <c r="AX576" s="63"/>
      <c r="AY576" s="63"/>
      <c r="AZ576" s="63"/>
      <c r="BA576" s="63"/>
      <c r="BB576" s="63"/>
      <c r="BC576" s="63"/>
      <c r="BD576" s="63"/>
      <c r="BE576" s="63"/>
      <c r="BF576" s="63"/>
      <c r="BG576" s="63"/>
      <c r="BH576" s="63"/>
      <c r="BI576" s="63"/>
      <c r="BJ576" s="63"/>
      <c r="BK576" s="63"/>
      <c r="BL576" s="63"/>
      <c r="BM576" s="63"/>
      <c r="BN576" s="63"/>
      <c r="BO576" s="63"/>
      <c r="BP576" s="63"/>
      <c r="BQ576" s="63"/>
      <c r="BR576" s="63"/>
      <c r="BS576" s="63"/>
      <c r="BT576" s="63"/>
      <c r="BU576" s="63"/>
      <c r="BV576" s="63"/>
      <c r="BW576" s="63"/>
    </row>
    <row r="577" spans="1:75" x14ac:dyDescent="0.2">
      <c r="A577" s="63" t="str">
        <f t="shared" si="105"/>
        <v/>
      </c>
      <c r="B577" s="182"/>
      <c r="C577" s="75"/>
      <c r="D577" s="75"/>
      <c r="E577" s="74"/>
      <c r="F577" s="181"/>
      <c r="G577" s="69"/>
      <c r="AB577" s="150">
        <f t="shared" si="96"/>
        <v>0</v>
      </c>
      <c r="AC577" s="150">
        <f t="shared" si="97"/>
        <v>0</v>
      </c>
      <c r="AD577" s="98" t="str">
        <f t="shared" si="106"/>
        <v>0000000000</v>
      </c>
      <c r="AE577" s="151">
        <f t="shared" si="99"/>
        <v>0</v>
      </c>
      <c r="AF577" s="98" t="str">
        <f t="shared" si="100"/>
        <v>00</v>
      </c>
      <c r="AG577" s="98" t="str">
        <f t="shared" si="107"/>
        <v>000000000000</v>
      </c>
      <c r="AH577" s="161" t="str">
        <f t="shared" si="101"/>
        <v xml:space="preserve">                    </v>
      </c>
      <c r="AI577" s="154">
        <f t="shared" si="102"/>
        <v>0</v>
      </c>
      <c r="AJ577" s="155">
        <f t="shared" si="103"/>
        <v>0</v>
      </c>
      <c r="AP577" s="63" t="str">
        <f t="shared" si="104"/>
        <v/>
      </c>
      <c r="AQ577" s="63" t="str">
        <f t="shared" si="98"/>
        <v xml:space="preserve">                    </v>
      </c>
      <c r="AR577" s="63"/>
      <c r="AS577" s="63"/>
      <c r="AT577" s="63"/>
      <c r="AU577" s="63"/>
      <c r="AV577" s="63"/>
      <c r="AW577" s="63"/>
      <c r="AX577" s="63"/>
      <c r="AY577" s="63"/>
      <c r="AZ577" s="63"/>
      <c r="BA577" s="63"/>
      <c r="BB577" s="63"/>
      <c r="BC577" s="63"/>
      <c r="BD577" s="63"/>
      <c r="BE577" s="63"/>
      <c r="BF577" s="63"/>
      <c r="BG577" s="63"/>
      <c r="BH577" s="63"/>
      <c r="BI577" s="63"/>
      <c r="BJ577" s="63"/>
      <c r="BK577" s="63"/>
      <c r="BL577" s="63"/>
      <c r="BM577" s="63"/>
      <c r="BN577" s="63"/>
      <c r="BO577" s="63"/>
      <c r="BP577" s="63"/>
      <c r="BQ577" s="63"/>
      <c r="BR577" s="63"/>
      <c r="BS577" s="63"/>
      <c r="BT577" s="63"/>
      <c r="BU577" s="63"/>
      <c r="BV577" s="63"/>
      <c r="BW577" s="63"/>
    </row>
    <row r="578" spans="1:75" x14ac:dyDescent="0.2">
      <c r="A578" s="63" t="str">
        <f t="shared" si="105"/>
        <v/>
      </c>
      <c r="B578" s="182"/>
      <c r="C578" s="75"/>
      <c r="D578" s="75"/>
      <c r="E578" s="74"/>
      <c r="F578" s="181"/>
      <c r="G578" s="69"/>
      <c r="AB578" s="150">
        <f t="shared" si="96"/>
        <v>0</v>
      </c>
      <c r="AC578" s="150">
        <f t="shared" si="97"/>
        <v>0</v>
      </c>
      <c r="AD578" s="98" t="str">
        <f t="shared" si="106"/>
        <v>0000000000</v>
      </c>
      <c r="AE578" s="151">
        <f t="shared" si="99"/>
        <v>0</v>
      </c>
      <c r="AF578" s="98" t="str">
        <f t="shared" si="100"/>
        <v>00</v>
      </c>
      <c r="AG578" s="98" t="str">
        <f t="shared" si="107"/>
        <v>000000000000</v>
      </c>
      <c r="AH578" s="161" t="str">
        <f t="shared" si="101"/>
        <v xml:space="preserve">                    </v>
      </c>
      <c r="AI578" s="154">
        <f t="shared" si="102"/>
        <v>0</v>
      </c>
      <c r="AJ578" s="155">
        <f t="shared" si="103"/>
        <v>0</v>
      </c>
      <c r="AP578" s="63" t="str">
        <f t="shared" si="104"/>
        <v/>
      </c>
      <c r="AQ578" s="63" t="str">
        <f t="shared" si="98"/>
        <v xml:space="preserve">                    </v>
      </c>
      <c r="AR578" s="63"/>
      <c r="AS578" s="63"/>
      <c r="AT578" s="63"/>
      <c r="AU578" s="63"/>
      <c r="AV578" s="63"/>
      <c r="AW578" s="63"/>
      <c r="AX578" s="63"/>
      <c r="AY578" s="63"/>
      <c r="AZ578" s="63"/>
      <c r="BA578" s="63"/>
      <c r="BB578" s="63"/>
      <c r="BC578" s="63"/>
      <c r="BD578" s="63"/>
      <c r="BE578" s="63"/>
      <c r="BF578" s="63"/>
      <c r="BG578" s="63"/>
      <c r="BH578" s="63"/>
      <c r="BI578" s="63"/>
      <c r="BJ578" s="63"/>
      <c r="BK578" s="63"/>
      <c r="BL578" s="63"/>
      <c r="BM578" s="63"/>
      <c r="BN578" s="63"/>
      <c r="BO578" s="63"/>
      <c r="BP578" s="63"/>
      <c r="BQ578" s="63"/>
      <c r="BR578" s="63"/>
      <c r="BS578" s="63"/>
      <c r="BT578" s="63"/>
      <c r="BU578" s="63"/>
      <c r="BV578" s="63"/>
      <c r="BW578" s="63"/>
    </row>
    <row r="579" spans="1:75" x14ac:dyDescent="0.2">
      <c r="A579" s="63" t="str">
        <f t="shared" si="105"/>
        <v/>
      </c>
      <c r="B579" s="182"/>
      <c r="C579" s="75"/>
      <c r="D579" s="75"/>
      <c r="E579" s="74"/>
      <c r="F579" s="181"/>
      <c r="G579" s="69"/>
      <c r="AB579" s="150">
        <f t="shared" ref="AB579:AB642" si="108">INT(F579)</f>
        <v>0</v>
      </c>
      <c r="AC579" s="150">
        <f t="shared" ref="AC579:AC642" si="109">F579-AB579</f>
        <v>0</v>
      </c>
      <c r="AD579" s="98" t="str">
        <f t="shared" si="106"/>
        <v>0000000000</v>
      </c>
      <c r="AE579" s="151">
        <f t="shared" si="99"/>
        <v>0</v>
      </c>
      <c r="AF579" s="98" t="str">
        <f t="shared" si="100"/>
        <v>00</v>
      </c>
      <c r="AG579" s="98" t="str">
        <f t="shared" si="107"/>
        <v>000000000000</v>
      </c>
      <c r="AH579" s="161" t="str">
        <f t="shared" si="101"/>
        <v xml:space="preserve">                    </v>
      </c>
      <c r="AI579" s="154">
        <f t="shared" si="102"/>
        <v>0</v>
      </c>
      <c r="AJ579" s="155">
        <f t="shared" si="103"/>
        <v>0</v>
      </c>
      <c r="AP579" s="63" t="str">
        <f t="shared" si="104"/>
        <v/>
      </c>
      <c r="AQ579" s="63" t="str">
        <f t="shared" ref="AQ579:AQ642" si="110">CONCATENATE(D579,REPT(" ",20-LEN(D579)))</f>
        <v xml:space="preserve">                    </v>
      </c>
      <c r="AR579" s="63"/>
      <c r="AS579" s="63"/>
      <c r="AT579" s="63"/>
      <c r="AU579" s="63"/>
      <c r="AV579" s="63"/>
      <c r="AW579" s="63"/>
      <c r="AX579" s="63"/>
      <c r="AY579" s="63"/>
      <c r="AZ579" s="63"/>
      <c r="BA579" s="63"/>
      <c r="BB579" s="63"/>
      <c r="BC579" s="63"/>
      <c r="BD579" s="63"/>
      <c r="BE579" s="63"/>
      <c r="BF579" s="63"/>
      <c r="BG579" s="63"/>
      <c r="BH579" s="63"/>
      <c r="BI579" s="63"/>
      <c r="BJ579" s="63"/>
      <c r="BK579" s="63"/>
      <c r="BL579" s="63"/>
      <c r="BM579" s="63"/>
      <c r="BN579" s="63"/>
      <c r="BO579" s="63"/>
      <c r="BP579" s="63"/>
      <c r="BQ579" s="63"/>
      <c r="BR579" s="63"/>
      <c r="BS579" s="63"/>
      <c r="BT579" s="63"/>
      <c r="BU579" s="63"/>
      <c r="BV579" s="63"/>
      <c r="BW579" s="63"/>
    </row>
    <row r="580" spans="1:75" x14ac:dyDescent="0.2">
      <c r="A580" s="63" t="str">
        <f t="shared" si="105"/>
        <v/>
      </c>
      <c r="B580" s="182"/>
      <c r="C580" s="75"/>
      <c r="D580" s="75"/>
      <c r="E580" s="74"/>
      <c r="F580" s="181"/>
      <c r="G580" s="69"/>
      <c r="AB580" s="150">
        <f t="shared" si="108"/>
        <v>0</v>
      </c>
      <c r="AC580" s="150">
        <f t="shared" si="109"/>
        <v>0</v>
      </c>
      <c r="AD580" s="98" t="str">
        <f t="shared" si="106"/>
        <v>0000000000</v>
      </c>
      <c r="AE580" s="151">
        <f t="shared" ref="AE580:AE643" si="111">AC580*100</f>
        <v>0</v>
      </c>
      <c r="AF580" s="98" t="str">
        <f t="shared" ref="AF580:AF643" si="112">TEXT(AE580,"00")</f>
        <v>00</v>
      </c>
      <c r="AG580" s="98" t="str">
        <f t="shared" si="107"/>
        <v>000000000000</v>
      </c>
      <c r="AH580" s="161" t="str">
        <f t="shared" ref="AH580:AH643" si="113">CONCATENATE(C580,REPT(" ",20-LEN(C580)))</f>
        <v xml:space="preserve">                    </v>
      </c>
      <c r="AI580" s="154">
        <f t="shared" ref="AI580:AI643" si="114">IF(E580&lt;&gt;"",IF(E580=$E$3,0,1),0)</f>
        <v>0</v>
      </c>
      <c r="AJ580" s="155">
        <f t="shared" ref="AJ580:AJ643" si="115">IF(AI580=1,IF($E$3=1,F580*$H$14,F580/$H$14),F580)</f>
        <v>0</v>
      </c>
      <c r="AP580" s="63" t="str">
        <f t="shared" ref="AP580:AP643" si="116">IF(B581&lt;&gt;"",CONCATENATE("000",B581,"0",E581,"2","    00000000",AG581,"            ",AQ581,AH581,"                                                                                               "),"")</f>
        <v/>
      </c>
      <c r="AQ580" s="63" t="str">
        <f t="shared" si="110"/>
        <v xml:space="preserve">                    </v>
      </c>
      <c r="AR580" s="63"/>
      <c r="AS580" s="63"/>
      <c r="AT580" s="63"/>
      <c r="AU580" s="63"/>
      <c r="AV580" s="63"/>
      <c r="AW580" s="63"/>
      <c r="AX580" s="63"/>
      <c r="AY580" s="63"/>
      <c r="AZ580" s="63"/>
      <c r="BA580" s="63"/>
      <c r="BB580" s="63"/>
      <c r="BC580" s="63"/>
      <c r="BD580" s="63"/>
      <c r="BE580" s="63"/>
      <c r="BF580" s="63"/>
      <c r="BG580" s="63"/>
      <c r="BH580" s="63"/>
      <c r="BI580" s="63"/>
      <c r="BJ580" s="63"/>
      <c r="BK580" s="63"/>
      <c r="BL580" s="63"/>
      <c r="BM580" s="63"/>
      <c r="BN580" s="63"/>
      <c r="BO580" s="63"/>
      <c r="BP580" s="63"/>
      <c r="BQ580" s="63"/>
      <c r="BR580" s="63"/>
      <c r="BS580" s="63"/>
      <c r="BT580" s="63"/>
      <c r="BU580" s="63"/>
      <c r="BV580" s="63"/>
      <c r="BW580" s="63"/>
    </row>
    <row r="581" spans="1:75" x14ac:dyDescent="0.2">
      <c r="A581" s="63" t="str">
        <f t="shared" si="105"/>
        <v/>
      </c>
      <c r="B581" s="182"/>
      <c r="C581" s="75"/>
      <c r="D581" s="75"/>
      <c r="E581" s="74"/>
      <c r="F581" s="181"/>
      <c r="G581" s="69"/>
      <c r="AB581" s="150">
        <f t="shared" si="108"/>
        <v>0</v>
      </c>
      <c r="AC581" s="150">
        <f t="shared" si="109"/>
        <v>0</v>
      </c>
      <c r="AD581" s="98" t="str">
        <f t="shared" si="106"/>
        <v>0000000000</v>
      </c>
      <c r="AE581" s="151">
        <f t="shared" si="111"/>
        <v>0</v>
      </c>
      <c r="AF581" s="98" t="str">
        <f t="shared" si="112"/>
        <v>00</v>
      </c>
      <c r="AG581" s="98" t="str">
        <f t="shared" si="107"/>
        <v>000000000000</v>
      </c>
      <c r="AH581" s="161" t="str">
        <f t="shared" si="113"/>
        <v xml:space="preserve">                    </v>
      </c>
      <c r="AI581" s="154">
        <f t="shared" si="114"/>
        <v>0</v>
      </c>
      <c r="AJ581" s="155">
        <f t="shared" si="115"/>
        <v>0</v>
      </c>
      <c r="AP581" s="63" t="str">
        <f t="shared" si="116"/>
        <v/>
      </c>
      <c r="AQ581" s="63" t="str">
        <f t="shared" si="110"/>
        <v xml:space="preserve">                    </v>
      </c>
      <c r="AR581" s="63"/>
      <c r="AS581" s="63"/>
      <c r="AT581" s="63"/>
      <c r="AU581" s="63"/>
      <c r="AV581" s="63"/>
      <c r="AW581" s="63"/>
      <c r="AX581" s="63"/>
      <c r="AY581" s="63"/>
      <c r="AZ581" s="63"/>
      <c r="BA581" s="63"/>
      <c r="BB581" s="63"/>
      <c r="BC581" s="63"/>
      <c r="BD581" s="63"/>
      <c r="BE581" s="63"/>
      <c r="BF581" s="63"/>
      <c r="BG581" s="63"/>
      <c r="BH581" s="63"/>
      <c r="BI581" s="63"/>
      <c r="BJ581" s="63"/>
      <c r="BK581" s="63"/>
      <c r="BL581" s="63"/>
      <c r="BM581" s="63"/>
      <c r="BN581" s="63"/>
      <c r="BO581" s="63"/>
      <c r="BP581" s="63"/>
      <c r="BQ581" s="63"/>
      <c r="BR581" s="63"/>
      <c r="BS581" s="63"/>
      <c r="BT581" s="63"/>
      <c r="BU581" s="63"/>
      <c r="BV581" s="63"/>
      <c r="BW581" s="63"/>
    </row>
    <row r="582" spans="1:75" x14ac:dyDescent="0.2">
      <c r="A582" s="63" t="str">
        <f t="shared" ref="A582:A645" si="117">IF(B582&lt;&gt;"",A581+1,"")</f>
        <v/>
      </c>
      <c r="B582" s="182"/>
      <c r="C582" s="75"/>
      <c r="D582" s="75"/>
      <c r="E582" s="74"/>
      <c r="F582" s="181"/>
      <c r="G582" s="69"/>
      <c r="AB582" s="150">
        <f t="shared" si="108"/>
        <v>0</v>
      </c>
      <c r="AC582" s="150">
        <f t="shared" si="109"/>
        <v>0</v>
      </c>
      <c r="AD582" s="98" t="str">
        <f t="shared" si="106"/>
        <v>0000000000</v>
      </c>
      <c r="AE582" s="151">
        <f t="shared" si="111"/>
        <v>0</v>
      </c>
      <c r="AF582" s="98" t="str">
        <f t="shared" si="112"/>
        <v>00</v>
      </c>
      <c r="AG582" s="98" t="str">
        <f t="shared" si="107"/>
        <v>000000000000</v>
      </c>
      <c r="AH582" s="161" t="str">
        <f t="shared" si="113"/>
        <v xml:space="preserve">                    </v>
      </c>
      <c r="AI582" s="154">
        <f t="shared" si="114"/>
        <v>0</v>
      </c>
      <c r="AJ582" s="155">
        <f t="shared" si="115"/>
        <v>0</v>
      </c>
      <c r="AP582" s="63" t="str">
        <f t="shared" si="116"/>
        <v/>
      </c>
      <c r="AQ582" s="63" t="str">
        <f t="shared" si="110"/>
        <v xml:space="preserve">                    </v>
      </c>
      <c r="AR582" s="63"/>
      <c r="AS582" s="63"/>
      <c r="AT582" s="63"/>
      <c r="AU582" s="63"/>
      <c r="AV582" s="63"/>
      <c r="AW582" s="63"/>
      <c r="AX582" s="63"/>
      <c r="AY582" s="63"/>
      <c r="AZ582" s="63"/>
      <c r="BA582" s="63"/>
      <c r="BB582" s="63"/>
      <c r="BC582" s="63"/>
      <c r="BD582" s="63"/>
      <c r="BE582" s="63"/>
      <c r="BF582" s="63"/>
      <c r="BG582" s="63"/>
      <c r="BH582" s="63"/>
      <c r="BI582" s="63"/>
      <c r="BJ582" s="63"/>
      <c r="BK582" s="63"/>
      <c r="BL582" s="63"/>
      <c r="BM582" s="63"/>
      <c r="BN582" s="63"/>
      <c r="BO582" s="63"/>
      <c r="BP582" s="63"/>
      <c r="BQ582" s="63"/>
      <c r="BR582" s="63"/>
      <c r="BS582" s="63"/>
      <c r="BT582" s="63"/>
      <c r="BU582" s="63"/>
      <c r="BV582" s="63"/>
      <c r="BW582" s="63"/>
    </row>
    <row r="583" spans="1:75" x14ac:dyDescent="0.2">
      <c r="A583" s="63" t="str">
        <f t="shared" si="117"/>
        <v/>
      </c>
      <c r="B583" s="182"/>
      <c r="C583" s="75"/>
      <c r="D583" s="75"/>
      <c r="E583" s="74"/>
      <c r="F583" s="181"/>
      <c r="G583" s="69"/>
      <c r="AB583" s="150">
        <f t="shared" si="108"/>
        <v>0</v>
      </c>
      <c r="AC583" s="150">
        <f t="shared" si="109"/>
        <v>0</v>
      </c>
      <c r="AD583" s="98" t="str">
        <f t="shared" si="106"/>
        <v>0000000000</v>
      </c>
      <c r="AE583" s="151">
        <f t="shared" si="111"/>
        <v>0</v>
      </c>
      <c r="AF583" s="98" t="str">
        <f t="shared" si="112"/>
        <v>00</v>
      </c>
      <c r="AG583" s="98" t="str">
        <f t="shared" si="107"/>
        <v>000000000000</v>
      </c>
      <c r="AH583" s="161" t="str">
        <f t="shared" si="113"/>
        <v xml:space="preserve">                    </v>
      </c>
      <c r="AI583" s="154">
        <f t="shared" si="114"/>
        <v>0</v>
      </c>
      <c r="AJ583" s="155">
        <f t="shared" si="115"/>
        <v>0</v>
      </c>
      <c r="AP583" s="63" t="str">
        <f t="shared" si="116"/>
        <v/>
      </c>
      <c r="AQ583" s="63" t="str">
        <f t="shared" si="110"/>
        <v xml:space="preserve">                    </v>
      </c>
      <c r="AR583" s="63"/>
      <c r="AS583" s="63"/>
      <c r="AT583" s="63"/>
      <c r="AU583" s="63"/>
      <c r="AV583" s="63"/>
      <c r="AW583" s="63"/>
      <c r="AX583" s="63"/>
      <c r="AY583" s="63"/>
      <c r="AZ583" s="63"/>
      <c r="BA583" s="63"/>
      <c r="BB583" s="63"/>
      <c r="BC583" s="63"/>
      <c r="BD583" s="63"/>
      <c r="BE583" s="63"/>
      <c r="BF583" s="63"/>
      <c r="BG583" s="63"/>
      <c r="BH583" s="63"/>
      <c r="BI583" s="63"/>
      <c r="BJ583" s="63"/>
      <c r="BK583" s="63"/>
      <c r="BL583" s="63"/>
      <c r="BM583" s="63"/>
      <c r="BN583" s="63"/>
      <c r="BO583" s="63"/>
      <c r="BP583" s="63"/>
      <c r="BQ583" s="63"/>
      <c r="BR583" s="63"/>
      <c r="BS583" s="63"/>
      <c r="BT583" s="63"/>
      <c r="BU583" s="63"/>
      <c r="BV583" s="63"/>
      <c r="BW583" s="63"/>
    </row>
    <row r="584" spans="1:75" x14ac:dyDescent="0.2">
      <c r="A584" s="63" t="str">
        <f t="shared" si="117"/>
        <v/>
      </c>
      <c r="B584" s="182"/>
      <c r="C584" s="75"/>
      <c r="D584" s="75"/>
      <c r="E584" s="74"/>
      <c r="F584" s="181"/>
      <c r="G584" s="69"/>
      <c r="AB584" s="150">
        <f t="shared" si="108"/>
        <v>0</v>
      </c>
      <c r="AC584" s="150">
        <f t="shared" si="109"/>
        <v>0</v>
      </c>
      <c r="AD584" s="98" t="str">
        <f t="shared" ref="AD584:AD647" si="118">TEXT(AB584,"0000000000")</f>
        <v>0000000000</v>
      </c>
      <c r="AE584" s="151">
        <f t="shared" si="111"/>
        <v>0</v>
      </c>
      <c r="AF584" s="98" t="str">
        <f t="shared" si="112"/>
        <v>00</v>
      </c>
      <c r="AG584" s="98" t="str">
        <f t="shared" ref="AG584:AG647" si="119">CONCATENATE(AD584,AF584)</f>
        <v>000000000000</v>
      </c>
      <c r="AH584" s="161" t="str">
        <f t="shared" si="113"/>
        <v xml:space="preserve">                    </v>
      </c>
      <c r="AI584" s="154">
        <f t="shared" si="114"/>
        <v>0</v>
      </c>
      <c r="AJ584" s="155">
        <f t="shared" si="115"/>
        <v>0</v>
      </c>
      <c r="AP584" s="63" t="str">
        <f t="shared" si="116"/>
        <v/>
      </c>
      <c r="AQ584" s="63" t="str">
        <f t="shared" si="110"/>
        <v xml:space="preserve">                    </v>
      </c>
      <c r="AR584" s="63"/>
      <c r="AS584" s="63"/>
      <c r="AT584" s="63"/>
      <c r="AU584" s="63"/>
      <c r="AV584" s="63"/>
      <c r="AW584" s="63"/>
      <c r="AX584" s="63"/>
      <c r="AY584" s="63"/>
      <c r="AZ584" s="63"/>
      <c r="BA584" s="63"/>
      <c r="BB584" s="63"/>
      <c r="BC584" s="63"/>
      <c r="BD584" s="63"/>
      <c r="BE584" s="63"/>
      <c r="BF584" s="63"/>
      <c r="BG584" s="63"/>
      <c r="BH584" s="63"/>
      <c r="BI584" s="63"/>
      <c r="BJ584" s="63"/>
      <c r="BK584" s="63"/>
      <c r="BL584" s="63"/>
      <c r="BM584" s="63"/>
      <c r="BN584" s="63"/>
      <c r="BO584" s="63"/>
      <c r="BP584" s="63"/>
      <c r="BQ584" s="63"/>
      <c r="BR584" s="63"/>
      <c r="BS584" s="63"/>
      <c r="BT584" s="63"/>
      <c r="BU584" s="63"/>
      <c r="BV584" s="63"/>
      <c r="BW584" s="63"/>
    </row>
    <row r="585" spans="1:75" x14ac:dyDescent="0.2">
      <c r="A585" s="63" t="str">
        <f t="shared" si="117"/>
        <v/>
      </c>
      <c r="B585" s="182"/>
      <c r="C585" s="75"/>
      <c r="D585" s="75"/>
      <c r="E585" s="74"/>
      <c r="F585" s="181"/>
      <c r="G585" s="69"/>
      <c r="AB585" s="150">
        <f t="shared" si="108"/>
        <v>0</v>
      </c>
      <c r="AC585" s="150">
        <f t="shared" si="109"/>
        <v>0</v>
      </c>
      <c r="AD585" s="98" t="str">
        <f t="shared" si="118"/>
        <v>0000000000</v>
      </c>
      <c r="AE585" s="151">
        <f t="shared" si="111"/>
        <v>0</v>
      </c>
      <c r="AF585" s="98" t="str">
        <f t="shared" si="112"/>
        <v>00</v>
      </c>
      <c r="AG585" s="98" t="str">
        <f t="shared" si="119"/>
        <v>000000000000</v>
      </c>
      <c r="AH585" s="161" t="str">
        <f t="shared" si="113"/>
        <v xml:space="preserve">                    </v>
      </c>
      <c r="AI585" s="154">
        <f t="shared" si="114"/>
        <v>0</v>
      </c>
      <c r="AJ585" s="155">
        <f t="shared" si="115"/>
        <v>0</v>
      </c>
      <c r="AP585" s="63" t="str">
        <f t="shared" si="116"/>
        <v/>
      </c>
      <c r="AQ585" s="63" t="str">
        <f t="shared" si="110"/>
        <v xml:space="preserve">                    </v>
      </c>
      <c r="AR585" s="63"/>
      <c r="AS585" s="63"/>
      <c r="AT585" s="63"/>
      <c r="AU585" s="63"/>
      <c r="AV585" s="63"/>
      <c r="AW585" s="63"/>
      <c r="AX585" s="63"/>
      <c r="AY585" s="63"/>
      <c r="AZ585" s="63"/>
      <c r="BA585" s="63"/>
      <c r="BB585" s="63"/>
      <c r="BC585" s="63"/>
      <c r="BD585" s="63"/>
      <c r="BE585" s="63"/>
      <c r="BF585" s="63"/>
      <c r="BG585" s="63"/>
      <c r="BH585" s="63"/>
      <c r="BI585" s="63"/>
      <c r="BJ585" s="63"/>
      <c r="BK585" s="63"/>
      <c r="BL585" s="63"/>
      <c r="BM585" s="63"/>
      <c r="BN585" s="63"/>
      <c r="BO585" s="63"/>
      <c r="BP585" s="63"/>
      <c r="BQ585" s="63"/>
      <c r="BR585" s="63"/>
      <c r="BS585" s="63"/>
      <c r="BT585" s="63"/>
      <c r="BU585" s="63"/>
      <c r="BV585" s="63"/>
      <c r="BW585" s="63"/>
    </row>
    <row r="586" spans="1:75" x14ac:dyDescent="0.2">
      <c r="A586" s="63" t="str">
        <f t="shared" si="117"/>
        <v/>
      </c>
      <c r="B586" s="182"/>
      <c r="C586" s="75"/>
      <c r="D586" s="75"/>
      <c r="E586" s="74"/>
      <c r="F586" s="181"/>
      <c r="G586" s="69"/>
      <c r="AB586" s="150">
        <f t="shared" si="108"/>
        <v>0</v>
      </c>
      <c r="AC586" s="150">
        <f t="shared" si="109"/>
        <v>0</v>
      </c>
      <c r="AD586" s="98" t="str">
        <f t="shared" si="118"/>
        <v>0000000000</v>
      </c>
      <c r="AE586" s="151">
        <f t="shared" si="111"/>
        <v>0</v>
      </c>
      <c r="AF586" s="98" t="str">
        <f t="shared" si="112"/>
        <v>00</v>
      </c>
      <c r="AG586" s="98" t="str">
        <f t="shared" si="119"/>
        <v>000000000000</v>
      </c>
      <c r="AH586" s="161" t="str">
        <f t="shared" si="113"/>
        <v xml:space="preserve">                    </v>
      </c>
      <c r="AI586" s="154">
        <f t="shared" si="114"/>
        <v>0</v>
      </c>
      <c r="AJ586" s="155">
        <f t="shared" si="115"/>
        <v>0</v>
      </c>
      <c r="AP586" s="63" t="str">
        <f t="shared" si="116"/>
        <v/>
      </c>
      <c r="AQ586" s="63" t="str">
        <f t="shared" si="110"/>
        <v xml:space="preserve">                    </v>
      </c>
      <c r="AR586" s="63"/>
      <c r="AS586" s="63"/>
      <c r="AT586" s="63"/>
      <c r="AU586" s="63"/>
      <c r="AV586" s="63"/>
      <c r="AW586" s="63"/>
      <c r="AX586" s="63"/>
      <c r="AY586" s="63"/>
      <c r="AZ586" s="63"/>
      <c r="BA586" s="63"/>
      <c r="BB586" s="63"/>
      <c r="BC586" s="63"/>
      <c r="BD586" s="63"/>
      <c r="BE586" s="63"/>
      <c r="BF586" s="63"/>
      <c r="BG586" s="63"/>
      <c r="BH586" s="63"/>
      <c r="BI586" s="63"/>
      <c r="BJ586" s="63"/>
      <c r="BK586" s="63"/>
      <c r="BL586" s="63"/>
      <c r="BM586" s="63"/>
      <c r="BN586" s="63"/>
      <c r="BO586" s="63"/>
      <c r="BP586" s="63"/>
      <c r="BQ586" s="63"/>
      <c r="BR586" s="63"/>
      <c r="BS586" s="63"/>
      <c r="BT586" s="63"/>
      <c r="BU586" s="63"/>
      <c r="BV586" s="63"/>
      <c r="BW586" s="63"/>
    </row>
    <row r="587" spans="1:75" x14ac:dyDescent="0.2">
      <c r="A587" s="63" t="str">
        <f t="shared" si="117"/>
        <v/>
      </c>
      <c r="B587" s="182"/>
      <c r="C587" s="75"/>
      <c r="D587" s="75"/>
      <c r="E587" s="74"/>
      <c r="F587" s="181"/>
      <c r="G587" s="69"/>
      <c r="AB587" s="150">
        <f t="shared" si="108"/>
        <v>0</v>
      </c>
      <c r="AC587" s="150">
        <f t="shared" si="109"/>
        <v>0</v>
      </c>
      <c r="AD587" s="98" t="str">
        <f t="shared" si="118"/>
        <v>0000000000</v>
      </c>
      <c r="AE587" s="151">
        <f t="shared" si="111"/>
        <v>0</v>
      </c>
      <c r="AF587" s="98" t="str">
        <f t="shared" si="112"/>
        <v>00</v>
      </c>
      <c r="AG587" s="98" t="str">
        <f t="shared" si="119"/>
        <v>000000000000</v>
      </c>
      <c r="AH587" s="161" t="str">
        <f t="shared" si="113"/>
        <v xml:space="preserve">                    </v>
      </c>
      <c r="AI587" s="154">
        <f t="shared" si="114"/>
        <v>0</v>
      </c>
      <c r="AJ587" s="155">
        <f t="shared" si="115"/>
        <v>0</v>
      </c>
      <c r="AP587" s="63" t="str">
        <f t="shared" si="116"/>
        <v/>
      </c>
      <c r="AQ587" s="63" t="str">
        <f t="shared" si="110"/>
        <v xml:space="preserve">                    </v>
      </c>
      <c r="AR587" s="63"/>
      <c r="AS587" s="63"/>
      <c r="AT587" s="63"/>
      <c r="AU587" s="63"/>
      <c r="AV587" s="63"/>
      <c r="AW587" s="63"/>
      <c r="AX587" s="63"/>
      <c r="AY587" s="63"/>
      <c r="AZ587" s="63"/>
      <c r="BA587" s="63"/>
      <c r="BB587" s="63"/>
      <c r="BC587" s="63"/>
      <c r="BD587" s="63"/>
      <c r="BE587" s="63"/>
      <c r="BF587" s="63"/>
      <c r="BG587" s="63"/>
      <c r="BH587" s="63"/>
      <c r="BI587" s="63"/>
      <c r="BJ587" s="63"/>
      <c r="BK587" s="63"/>
      <c r="BL587" s="63"/>
      <c r="BM587" s="63"/>
      <c r="BN587" s="63"/>
      <c r="BO587" s="63"/>
      <c r="BP587" s="63"/>
      <c r="BQ587" s="63"/>
      <c r="BR587" s="63"/>
      <c r="BS587" s="63"/>
      <c r="BT587" s="63"/>
      <c r="BU587" s="63"/>
      <c r="BV587" s="63"/>
      <c r="BW587" s="63"/>
    </row>
    <row r="588" spans="1:75" x14ac:dyDescent="0.2">
      <c r="A588" s="63" t="str">
        <f t="shared" si="117"/>
        <v/>
      </c>
      <c r="B588" s="182"/>
      <c r="C588" s="75"/>
      <c r="D588" s="75"/>
      <c r="E588" s="74"/>
      <c r="F588" s="181"/>
      <c r="G588" s="69"/>
      <c r="AB588" s="150">
        <f t="shared" si="108"/>
        <v>0</v>
      </c>
      <c r="AC588" s="150">
        <f t="shared" si="109"/>
        <v>0</v>
      </c>
      <c r="AD588" s="98" t="str">
        <f t="shared" si="118"/>
        <v>0000000000</v>
      </c>
      <c r="AE588" s="151">
        <f t="shared" si="111"/>
        <v>0</v>
      </c>
      <c r="AF588" s="98" t="str">
        <f t="shared" si="112"/>
        <v>00</v>
      </c>
      <c r="AG588" s="98" t="str">
        <f t="shared" si="119"/>
        <v>000000000000</v>
      </c>
      <c r="AH588" s="161" t="str">
        <f t="shared" si="113"/>
        <v xml:space="preserve">                    </v>
      </c>
      <c r="AI588" s="154">
        <f t="shared" si="114"/>
        <v>0</v>
      </c>
      <c r="AJ588" s="155">
        <f t="shared" si="115"/>
        <v>0</v>
      </c>
      <c r="AP588" s="63" t="str">
        <f t="shared" si="116"/>
        <v/>
      </c>
      <c r="AQ588" s="63" t="str">
        <f t="shared" si="110"/>
        <v xml:space="preserve">                    </v>
      </c>
      <c r="AR588" s="63"/>
      <c r="AS588" s="63"/>
      <c r="AT588" s="63"/>
      <c r="AU588" s="63"/>
      <c r="AV588" s="63"/>
      <c r="AW588" s="63"/>
      <c r="AX588" s="63"/>
      <c r="AY588" s="63"/>
      <c r="AZ588" s="63"/>
      <c r="BA588" s="63"/>
      <c r="BB588" s="63"/>
      <c r="BC588" s="63"/>
      <c r="BD588" s="63"/>
      <c r="BE588" s="63"/>
      <c r="BF588" s="63"/>
      <c r="BG588" s="63"/>
      <c r="BH588" s="63"/>
      <c r="BI588" s="63"/>
      <c r="BJ588" s="63"/>
      <c r="BK588" s="63"/>
      <c r="BL588" s="63"/>
      <c r="BM588" s="63"/>
      <c r="BN588" s="63"/>
      <c r="BO588" s="63"/>
      <c r="BP588" s="63"/>
      <c r="BQ588" s="63"/>
      <c r="BR588" s="63"/>
      <c r="BS588" s="63"/>
      <c r="BT588" s="63"/>
      <c r="BU588" s="63"/>
      <c r="BV588" s="63"/>
      <c r="BW588" s="63"/>
    </row>
    <row r="589" spans="1:75" x14ac:dyDescent="0.2">
      <c r="A589" s="63" t="str">
        <f t="shared" si="117"/>
        <v/>
      </c>
      <c r="B589" s="182"/>
      <c r="C589" s="75"/>
      <c r="D589" s="75"/>
      <c r="E589" s="74"/>
      <c r="F589" s="181"/>
      <c r="G589" s="69"/>
      <c r="AB589" s="150">
        <f t="shared" si="108"/>
        <v>0</v>
      </c>
      <c r="AC589" s="150">
        <f t="shared" si="109"/>
        <v>0</v>
      </c>
      <c r="AD589" s="98" t="str">
        <f t="shared" si="118"/>
        <v>0000000000</v>
      </c>
      <c r="AE589" s="151">
        <f t="shared" si="111"/>
        <v>0</v>
      </c>
      <c r="AF589" s="98" t="str">
        <f t="shared" si="112"/>
        <v>00</v>
      </c>
      <c r="AG589" s="98" t="str">
        <f t="shared" si="119"/>
        <v>000000000000</v>
      </c>
      <c r="AH589" s="161" t="str">
        <f t="shared" si="113"/>
        <v xml:space="preserve">                    </v>
      </c>
      <c r="AI589" s="154">
        <f t="shared" si="114"/>
        <v>0</v>
      </c>
      <c r="AJ589" s="155">
        <f t="shared" si="115"/>
        <v>0</v>
      </c>
      <c r="AP589" s="63" t="str">
        <f t="shared" si="116"/>
        <v/>
      </c>
      <c r="AQ589" s="63" t="str">
        <f t="shared" si="110"/>
        <v xml:space="preserve">                    </v>
      </c>
      <c r="AR589" s="63"/>
      <c r="AS589" s="63"/>
      <c r="AT589" s="63"/>
      <c r="AU589" s="63"/>
      <c r="AV589" s="63"/>
      <c r="AW589" s="63"/>
      <c r="AX589" s="63"/>
      <c r="AY589" s="63"/>
      <c r="AZ589" s="63"/>
      <c r="BA589" s="63"/>
      <c r="BB589" s="63"/>
      <c r="BC589" s="63"/>
      <c r="BD589" s="63"/>
      <c r="BE589" s="63"/>
      <c r="BF589" s="63"/>
      <c r="BG589" s="63"/>
      <c r="BH589" s="63"/>
      <c r="BI589" s="63"/>
      <c r="BJ589" s="63"/>
      <c r="BK589" s="63"/>
      <c r="BL589" s="63"/>
      <c r="BM589" s="63"/>
      <c r="BN589" s="63"/>
      <c r="BO589" s="63"/>
      <c r="BP589" s="63"/>
      <c r="BQ589" s="63"/>
      <c r="BR589" s="63"/>
      <c r="BS589" s="63"/>
      <c r="BT589" s="63"/>
      <c r="BU589" s="63"/>
      <c r="BV589" s="63"/>
      <c r="BW589" s="63"/>
    </row>
    <row r="590" spans="1:75" x14ac:dyDescent="0.2">
      <c r="A590" s="63" t="str">
        <f t="shared" si="117"/>
        <v/>
      </c>
      <c r="B590" s="182"/>
      <c r="C590" s="75"/>
      <c r="D590" s="75"/>
      <c r="E590" s="74"/>
      <c r="F590" s="181"/>
      <c r="G590" s="69"/>
      <c r="AB590" s="150">
        <f t="shared" si="108"/>
        <v>0</v>
      </c>
      <c r="AC590" s="150">
        <f t="shared" si="109"/>
        <v>0</v>
      </c>
      <c r="AD590" s="98" t="str">
        <f t="shared" si="118"/>
        <v>0000000000</v>
      </c>
      <c r="AE590" s="151">
        <f t="shared" si="111"/>
        <v>0</v>
      </c>
      <c r="AF590" s="98" t="str">
        <f t="shared" si="112"/>
        <v>00</v>
      </c>
      <c r="AG590" s="98" t="str">
        <f t="shared" si="119"/>
        <v>000000000000</v>
      </c>
      <c r="AH590" s="161" t="str">
        <f t="shared" si="113"/>
        <v xml:space="preserve">                    </v>
      </c>
      <c r="AI590" s="154">
        <f t="shared" si="114"/>
        <v>0</v>
      </c>
      <c r="AJ590" s="155">
        <f t="shared" si="115"/>
        <v>0</v>
      </c>
      <c r="AP590" s="63" t="str">
        <f t="shared" si="116"/>
        <v/>
      </c>
      <c r="AQ590" s="63" t="str">
        <f t="shared" si="110"/>
        <v xml:space="preserve">                    </v>
      </c>
      <c r="AR590" s="63"/>
      <c r="AS590" s="63"/>
      <c r="AT590" s="63"/>
      <c r="AU590" s="63"/>
      <c r="AV590" s="63"/>
      <c r="AW590" s="63"/>
      <c r="AX590" s="63"/>
      <c r="AY590" s="63"/>
      <c r="AZ590" s="63"/>
      <c r="BA590" s="63"/>
      <c r="BB590" s="63"/>
      <c r="BC590" s="63"/>
      <c r="BD590" s="63"/>
      <c r="BE590" s="63"/>
      <c r="BF590" s="63"/>
      <c r="BG590" s="63"/>
      <c r="BH590" s="63"/>
      <c r="BI590" s="63"/>
      <c r="BJ590" s="63"/>
      <c r="BK590" s="63"/>
      <c r="BL590" s="63"/>
      <c r="BM590" s="63"/>
      <c r="BN590" s="63"/>
      <c r="BO590" s="63"/>
      <c r="BP590" s="63"/>
      <c r="BQ590" s="63"/>
      <c r="BR590" s="63"/>
      <c r="BS590" s="63"/>
      <c r="BT590" s="63"/>
      <c r="BU590" s="63"/>
      <c r="BV590" s="63"/>
      <c r="BW590" s="63"/>
    </row>
    <row r="591" spans="1:75" x14ac:dyDescent="0.2">
      <c r="A591" s="63" t="str">
        <f t="shared" si="117"/>
        <v/>
      </c>
      <c r="B591" s="182"/>
      <c r="C591" s="75"/>
      <c r="D591" s="75"/>
      <c r="E591" s="74"/>
      <c r="F591" s="181"/>
      <c r="G591" s="69"/>
      <c r="AB591" s="150">
        <f t="shared" si="108"/>
        <v>0</v>
      </c>
      <c r="AC591" s="150">
        <f t="shared" si="109"/>
        <v>0</v>
      </c>
      <c r="AD591" s="98" t="str">
        <f t="shared" si="118"/>
        <v>0000000000</v>
      </c>
      <c r="AE591" s="151">
        <f t="shared" si="111"/>
        <v>0</v>
      </c>
      <c r="AF591" s="98" t="str">
        <f t="shared" si="112"/>
        <v>00</v>
      </c>
      <c r="AG591" s="98" t="str">
        <f t="shared" si="119"/>
        <v>000000000000</v>
      </c>
      <c r="AH591" s="161" t="str">
        <f t="shared" si="113"/>
        <v xml:space="preserve">                    </v>
      </c>
      <c r="AI591" s="154">
        <f t="shared" si="114"/>
        <v>0</v>
      </c>
      <c r="AJ591" s="155">
        <f t="shared" si="115"/>
        <v>0</v>
      </c>
      <c r="AP591" s="63" t="str">
        <f t="shared" si="116"/>
        <v/>
      </c>
      <c r="AQ591" s="63" t="str">
        <f t="shared" si="110"/>
        <v xml:space="preserve">                    </v>
      </c>
      <c r="AR591" s="63"/>
      <c r="AS591" s="63"/>
      <c r="AT591" s="63"/>
      <c r="AU591" s="63"/>
      <c r="AV591" s="63"/>
      <c r="AW591" s="63"/>
      <c r="AX591" s="63"/>
      <c r="AY591" s="63"/>
      <c r="AZ591" s="63"/>
      <c r="BA591" s="63"/>
      <c r="BB591" s="63"/>
      <c r="BC591" s="63"/>
      <c r="BD591" s="63"/>
      <c r="BE591" s="63"/>
      <c r="BF591" s="63"/>
      <c r="BG591" s="63"/>
      <c r="BH591" s="63"/>
      <c r="BI591" s="63"/>
      <c r="BJ591" s="63"/>
      <c r="BK591" s="63"/>
      <c r="BL591" s="63"/>
      <c r="BM591" s="63"/>
      <c r="BN591" s="63"/>
      <c r="BO591" s="63"/>
      <c r="BP591" s="63"/>
      <c r="BQ591" s="63"/>
      <c r="BR591" s="63"/>
      <c r="BS591" s="63"/>
      <c r="BT591" s="63"/>
      <c r="BU591" s="63"/>
      <c r="BV591" s="63"/>
      <c r="BW591" s="63"/>
    </row>
    <row r="592" spans="1:75" x14ac:dyDescent="0.2">
      <c r="A592" s="63" t="str">
        <f t="shared" si="117"/>
        <v/>
      </c>
      <c r="B592" s="182"/>
      <c r="C592" s="75"/>
      <c r="D592" s="75"/>
      <c r="E592" s="74"/>
      <c r="F592" s="181"/>
      <c r="G592" s="69"/>
      <c r="AB592" s="150">
        <f t="shared" si="108"/>
        <v>0</v>
      </c>
      <c r="AC592" s="150">
        <f t="shared" si="109"/>
        <v>0</v>
      </c>
      <c r="AD592" s="98" t="str">
        <f t="shared" si="118"/>
        <v>0000000000</v>
      </c>
      <c r="AE592" s="151">
        <f t="shared" si="111"/>
        <v>0</v>
      </c>
      <c r="AF592" s="98" t="str">
        <f t="shared" si="112"/>
        <v>00</v>
      </c>
      <c r="AG592" s="98" t="str">
        <f t="shared" si="119"/>
        <v>000000000000</v>
      </c>
      <c r="AH592" s="161" t="str">
        <f t="shared" si="113"/>
        <v xml:space="preserve">                    </v>
      </c>
      <c r="AI592" s="154">
        <f t="shared" si="114"/>
        <v>0</v>
      </c>
      <c r="AJ592" s="155">
        <f t="shared" si="115"/>
        <v>0</v>
      </c>
      <c r="AP592" s="63" t="str">
        <f t="shared" si="116"/>
        <v/>
      </c>
      <c r="AQ592" s="63" t="str">
        <f t="shared" si="110"/>
        <v xml:space="preserve">                    </v>
      </c>
      <c r="AR592" s="63"/>
      <c r="AS592" s="63"/>
      <c r="AT592" s="63"/>
      <c r="AU592" s="63"/>
      <c r="AV592" s="63"/>
      <c r="AW592" s="63"/>
      <c r="AX592" s="63"/>
      <c r="AY592" s="63"/>
      <c r="AZ592" s="63"/>
      <c r="BA592" s="63"/>
      <c r="BB592" s="63"/>
      <c r="BC592" s="63"/>
      <c r="BD592" s="63"/>
      <c r="BE592" s="63"/>
      <c r="BF592" s="63"/>
      <c r="BG592" s="63"/>
      <c r="BH592" s="63"/>
      <c r="BI592" s="63"/>
      <c r="BJ592" s="63"/>
      <c r="BK592" s="63"/>
      <c r="BL592" s="63"/>
      <c r="BM592" s="63"/>
      <c r="BN592" s="63"/>
      <c r="BO592" s="63"/>
      <c r="BP592" s="63"/>
      <c r="BQ592" s="63"/>
      <c r="BR592" s="63"/>
      <c r="BS592" s="63"/>
      <c r="BT592" s="63"/>
      <c r="BU592" s="63"/>
      <c r="BV592" s="63"/>
      <c r="BW592" s="63"/>
    </row>
    <row r="593" spans="1:75" x14ac:dyDescent="0.2">
      <c r="A593" s="63" t="str">
        <f t="shared" si="117"/>
        <v/>
      </c>
      <c r="B593" s="182"/>
      <c r="C593" s="75"/>
      <c r="D593" s="75"/>
      <c r="E593" s="74"/>
      <c r="F593" s="181"/>
      <c r="G593" s="69"/>
      <c r="AB593" s="150">
        <f t="shared" si="108"/>
        <v>0</v>
      </c>
      <c r="AC593" s="150">
        <f t="shared" si="109"/>
        <v>0</v>
      </c>
      <c r="AD593" s="98" t="str">
        <f t="shared" si="118"/>
        <v>0000000000</v>
      </c>
      <c r="AE593" s="151">
        <f t="shared" si="111"/>
        <v>0</v>
      </c>
      <c r="AF593" s="98" t="str">
        <f t="shared" si="112"/>
        <v>00</v>
      </c>
      <c r="AG593" s="98" t="str">
        <f t="shared" si="119"/>
        <v>000000000000</v>
      </c>
      <c r="AH593" s="161" t="str">
        <f t="shared" si="113"/>
        <v xml:space="preserve">                    </v>
      </c>
      <c r="AI593" s="154">
        <f t="shared" si="114"/>
        <v>0</v>
      </c>
      <c r="AJ593" s="155">
        <f t="shared" si="115"/>
        <v>0</v>
      </c>
      <c r="AP593" s="63" t="str">
        <f t="shared" si="116"/>
        <v/>
      </c>
      <c r="AQ593" s="63" t="str">
        <f t="shared" si="110"/>
        <v xml:space="preserve">                    </v>
      </c>
      <c r="AR593" s="63"/>
      <c r="AS593" s="63"/>
      <c r="AT593" s="63"/>
      <c r="AU593" s="63"/>
      <c r="AV593" s="63"/>
      <c r="AW593" s="63"/>
      <c r="AX593" s="63"/>
      <c r="AY593" s="63"/>
      <c r="AZ593" s="63"/>
      <c r="BA593" s="63"/>
      <c r="BB593" s="63"/>
      <c r="BC593" s="63"/>
      <c r="BD593" s="63"/>
      <c r="BE593" s="63"/>
      <c r="BF593" s="63"/>
      <c r="BG593" s="63"/>
      <c r="BH593" s="63"/>
      <c r="BI593" s="63"/>
      <c r="BJ593" s="63"/>
      <c r="BK593" s="63"/>
      <c r="BL593" s="63"/>
      <c r="BM593" s="63"/>
      <c r="BN593" s="63"/>
      <c r="BO593" s="63"/>
      <c r="BP593" s="63"/>
      <c r="BQ593" s="63"/>
      <c r="BR593" s="63"/>
      <c r="BS593" s="63"/>
      <c r="BT593" s="63"/>
      <c r="BU593" s="63"/>
      <c r="BV593" s="63"/>
      <c r="BW593" s="63"/>
    </row>
    <row r="594" spans="1:75" x14ac:dyDescent="0.2">
      <c r="A594" s="63" t="str">
        <f t="shared" si="117"/>
        <v/>
      </c>
      <c r="B594" s="182"/>
      <c r="C594" s="75"/>
      <c r="D594" s="75"/>
      <c r="E594" s="74"/>
      <c r="F594" s="181"/>
      <c r="G594" s="69"/>
      <c r="AB594" s="150">
        <f t="shared" si="108"/>
        <v>0</v>
      </c>
      <c r="AC594" s="150">
        <f t="shared" si="109"/>
        <v>0</v>
      </c>
      <c r="AD594" s="98" t="str">
        <f t="shared" si="118"/>
        <v>0000000000</v>
      </c>
      <c r="AE594" s="151">
        <f t="shared" si="111"/>
        <v>0</v>
      </c>
      <c r="AF594" s="98" t="str">
        <f t="shared" si="112"/>
        <v>00</v>
      </c>
      <c r="AG594" s="98" t="str">
        <f t="shared" si="119"/>
        <v>000000000000</v>
      </c>
      <c r="AH594" s="161" t="str">
        <f t="shared" si="113"/>
        <v xml:space="preserve">                    </v>
      </c>
      <c r="AI594" s="154">
        <f t="shared" si="114"/>
        <v>0</v>
      </c>
      <c r="AJ594" s="155">
        <f t="shared" si="115"/>
        <v>0</v>
      </c>
      <c r="AP594" s="63" t="str">
        <f t="shared" si="116"/>
        <v/>
      </c>
      <c r="AQ594" s="63" t="str">
        <f t="shared" si="110"/>
        <v xml:space="preserve">                    </v>
      </c>
      <c r="AR594" s="63"/>
      <c r="AS594" s="63"/>
      <c r="AT594" s="63"/>
      <c r="AU594" s="63"/>
      <c r="AV594" s="63"/>
      <c r="AW594" s="63"/>
      <c r="AX594" s="63"/>
      <c r="AY594" s="63"/>
      <c r="AZ594" s="63"/>
      <c r="BA594" s="63"/>
      <c r="BB594" s="63"/>
      <c r="BC594" s="63"/>
      <c r="BD594" s="63"/>
      <c r="BE594" s="63"/>
      <c r="BF594" s="63"/>
      <c r="BG594" s="63"/>
      <c r="BH594" s="63"/>
      <c r="BI594" s="63"/>
      <c r="BJ594" s="63"/>
      <c r="BK594" s="63"/>
      <c r="BL594" s="63"/>
      <c r="BM594" s="63"/>
      <c r="BN594" s="63"/>
      <c r="BO594" s="63"/>
      <c r="BP594" s="63"/>
      <c r="BQ594" s="63"/>
      <c r="BR594" s="63"/>
      <c r="BS594" s="63"/>
      <c r="BT594" s="63"/>
      <c r="BU594" s="63"/>
      <c r="BV594" s="63"/>
      <c r="BW594" s="63"/>
    </row>
    <row r="595" spans="1:75" x14ac:dyDescent="0.2">
      <c r="A595" s="63" t="str">
        <f t="shared" si="117"/>
        <v/>
      </c>
      <c r="B595" s="182"/>
      <c r="C595" s="75"/>
      <c r="D595" s="75"/>
      <c r="E595" s="74"/>
      <c r="F595" s="181"/>
      <c r="G595" s="69"/>
      <c r="AB595" s="150">
        <f t="shared" si="108"/>
        <v>0</v>
      </c>
      <c r="AC595" s="150">
        <f t="shared" si="109"/>
        <v>0</v>
      </c>
      <c r="AD595" s="98" t="str">
        <f t="shared" si="118"/>
        <v>0000000000</v>
      </c>
      <c r="AE595" s="151">
        <f t="shared" si="111"/>
        <v>0</v>
      </c>
      <c r="AF595" s="98" t="str">
        <f t="shared" si="112"/>
        <v>00</v>
      </c>
      <c r="AG595" s="98" t="str">
        <f t="shared" si="119"/>
        <v>000000000000</v>
      </c>
      <c r="AH595" s="161" t="str">
        <f t="shared" si="113"/>
        <v xml:space="preserve">                    </v>
      </c>
      <c r="AI595" s="154">
        <f t="shared" si="114"/>
        <v>0</v>
      </c>
      <c r="AJ595" s="155">
        <f t="shared" si="115"/>
        <v>0</v>
      </c>
      <c r="AP595" s="63" t="str">
        <f t="shared" si="116"/>
        <v/>
      </c>
      <c r="AQ595" s="63" t="str">
        <f t="shared" si="110"/>
        <v xml:space="preserve">                    </v>
      </c>
      <c r="AR595" s="63"/>
      <c r="AS595" s="63"/>
      <c r="AT595" s="63"/>
      <c r="AU595" s="63"/>
      <c r="AV595" s="63"/>
      <c r="AW595" s="63"/>
      <c r="AX595" s="63"/>
      <c r="AY595" s="63"/>
      <c r="AZ595" s="63"/>
      <c r="BA595" s="63"/>
      <c r="BB595" s="63"/>
      <c r="BC595" s="63"/>
      <c r="BD595" s="63"/>
      <c r="BE595" s="63"/>
      <c r="BF595" s="63"/>
      <c r="BG595" s="63"/>
      <c r="BH595" s="63"/>
      <c r="BI595" s="63"/>
      <c r="BJ595" s="63"/>
      <c r="BK595" s="63"/>
      <c r="BL595" s="63"/>
      <c r="BM595" s="63"/>
      <c r="BN595" s="63"/>
      <c r="BO595" s="63"/>
      <c r="BP595" s="63"/>
      <c r="BQ595" s="63"/>
      <c r="BR595" s="63"/>
      <c r="BS595" s="63"/>
      <c r="BT595" s="63"/>
      <c r="BU595" s="63"/>
      <c r="BV595" s="63"/>
      <c r="BW595" s="63"/>
    </row>
    <row r="596" spans="1:75" x14ac:dyDescent="0.2">
      <c r="A596" s="63" t="str">
        <f t="shared" si="117"/>
        <v/>
      </c>
      <c r="B596" s="182"/>
      <c r="C596" s="75"/>
      <c r="D596" s="75"/>
      <c r="E596" s="74"/>
      <c r="F596" s="181"/>
      <c r="G596" s="69"/>
      <c r="AB596" s="150">
        <f t="shared" si="108"/>
        <v>0</v>
      </c>
      <c r="AC596" s="150">
        <f t="shared" si="109"/>
        <v>0</v>
      </c>
      <c r="AD596" s="98" t="str">
        <f t="shared" si="118"/>
        <v>0000000000</v>
      </c>
      <c r="AE596" s="151">
        <f t="shared" si="111"/>
        <v>0</v>
      </c>
      <c r="AF596" s="98" t="str">
        <f t="shared" si="112"/>
        <v>00</v>
      </c>
      <c r="AG596" s="98" t="str">
        <f t="shared" si="119"/>
        <v>000000000000</v>
      </c>
      <c r="AH596" s="161" t="str">
        <f t="shared" si="113"/>
        <v xml:space="preserve">                    </v>
      </c>
      <c r="AI596" s="154">
        <f t="shared" si="114"/>
        <v>0</v>
      </c>
      <c r="AJ596" s="155">
        <f t="shared" si="115"/>
        <v>0</v>
      </c>
      <c r="AP596" s="63" t="str">
        <f t="shared" si="116"/>
        <v/>
      </c>
      <c r="AQ596" s="63" t="str">
        <f t="shared" si="110"/>
        <v xml:space="preserve">                    </v>
      </c>
      <c r="AR596" s="63"/>
      <c r="AS596" s="63"/>
      <c r="AT596" s="63"/>
      <c r="AU596" s="63"/>
      <c r="AV596" s="63"/>
      <c r="AW596" s="63"/>
      <c r="AX596" s="63"/>
      <c r="AY596" s="63"/>
      <c r="AZ596" s="63"/>
      <c r="BA596" s="63"/>
      <c r="BB596" s="63"/>
      <c r="BC596" s="63"/>
      <c r="BD596" s="63"/>
      <c r="BE596" s="63"/>
      <c r="BF596" s="63"/>
      <c r="BG596" s="63"/>
      <c r="BH596" s="63"/>
      <c r="BI596" s="63"/>
      <c r="BJ596" s="63"/>
      <c r="BK596" s="63"/>
      <c r="BL596" s="63"/>
      <c r="BM596" s="63"/>
      <c r="BN596" s="63"/>
      <c r="BO596" s="63"/>
      <c r="BP596" s="63"/>
      <c r="BQ596" s="63"/>
      <c r="BR596" s="63"/>
      <c r="BS596" s="63"/>
      <c r="BT596" s="63"/>
      <c r="BU596" s="63"/>
      <c r="BV596" s="63"/>
      <c r="BW596" s="63"/>
    </row>
    <row r="597" spans="1:75" x14ac:dyDescent="0.2">
      <c r="A597" s="63" t="str">
        <f t="shared" si="117"/>
        <v/>
      </c>
      <c r="B597" s="182"/>
      <c r="C597" s="75"/>
      <c r="D597" s="75"/>
      <c r="E597" s="74"/>
      <c r="F597" s="181"/>
      <c r="G597" s="69"/>
      <c r="AB597" s="150">
        <f t="shared" si="108"/>
        <v>0</v>
      </c>
      <c r="AC597" s="150">
        <f t="shared" si="109"/>
        <v>0</v>
      </c>
      <c r="AD597" s="98" t="str">
        <f t="shared" si="118"/>
        <v>0000000000</v>
      </c>
      <c r="AE597" s="151">
        <f t="shared" si="111"/>
        <v>0</v>
      </c>
      <c r="AF597" s="98" t="str">
        <f t="shared" si="112"/>
        <v>00</v>
      </c>
      <c r="AG597" s="98" t="str">
        <f t="shared" si="119"/>
        <v>000000000000</v>
      </c>
      <c r="AH597" s="161" t="str">
        <f t="shared" si="113"/>
        <v xml:space="preserve">                    </v>
      </c>
      <c r="AI597" s="154">
        <f t="shared" si="114"/>
        <v>0</v>
      </c>
      <c r="AJ597" s="155">
        <f t="shared" si="115"/>
        <v>0</v>
      </c>
      <c r="AP597" s="63" t="str">
        <f t="shared" si="116"/>
        <v/>
      </c>
      <c r="AQ597" s="63" t="str">
        <f t="shared" si="110"/>
        <v xml:space="preserve">                    </v>
      </c>
      <c r="AR597" s="63"/>
      <c r="AS597" s="63"/>
      <c r="AT597" s="63"/>
      <c r="AU597" s="63"/>
      <c r="AV597" s="63"/>
      <c r="AW597" s="63"/>
      <c r="AX597" s="63"/>
      <c r="AY597" s="63"/>
      <c r="AZ597" s="63"/>
      <c r="BA597" s="63"/>
      <c r="BB597" s="63"/>
      <c r="BC597" s="63"/>
      <c r="BD597" s="63"/>
      <c r="BE597" s="63"/>
      <c r="BF597" s="63"/>
      <c r="BG597" s="63"/>
      <c r="BH597" s="63"/>
      <c r="BI597" s="63"/>
      <c r="BJ597" s="63"/>
      <c r="BK597" s="63"/>
      <c r="BL597" s="63"/>
      <c r="BM597" s="63"/>
      <c r="BN597" s="63"/>
      <c r="BO597" s="63"/>
      <c r="BP597" s="63"/>
      <c r="BQ597" s="63"/>
      <c r="BR597" s="63"/>
      <c r="BS597" s="63"/>
      <c r="BT597" s="63"/>
      <c r="BU597" s="63"/>
      <c r="BV597" s="63"/>
      <c r="BW597" s="63"/>
    </row>
    <row r="598" spans="1:75" x14ac:dyDescent="0.2">
      <c r="A598" s="63" t="str">
        <f t="shared" si="117"/>
        <v/>
      </c>
      <c r="B598" s="182"/>
      <c r="C598" s="75"/>
      <c r="D598" s="75"/>
      <c r="E598" s="74"/>
      <c r="F598" s="181"/>
      <c r="G598" s="69"/>
      <c r="AB598" s="150">
        <f t="shared" si="108"/>
        <v>0</v>
      </c>
      <c r="AC598" s="150">
        <f t="shared" si="109"/>
        <v>0</v>
      </c>
      <c r="AD598" s="98" t="str">
        <f t="shared" si="118"/>
        <v>0000000000</v>
      </c>
      <c r="AE598" s="151">
        <f t="shared" si="111"/>
        <v>0</v>
      </c>
      <c r="AF598" s="98" t="str">
        <f t="shared" si="112"/>
        <v>00</v>
      </c>
      <c r="AG598" s="98" t="str">
        <f t="shared" si="119"/>
        <v>000000000000</v>
      </c>
      <c r="AH598" s="161" t="str">
        <f t="shared" si="113"/>
        <v xml:space="preserve">                    </v>
      </c>
      <c r="AI598" s="154">
        <f t="shared" si="114"/>
        <v>0</v>
      </c>
      <c r="AJ598" s="155">
        <f t="shared" si="115"/>
        <v>0</v>
      </c>
      <c r="AP598" s="63" t="str">
        <f t="shared" si="116"/>
        <v/>
      </c>
      <c r="AQ598" s="63" t="str">
        <f t="shared" si="110"/>
        <v xml:space="preserve">                    </v>
      </c>
      <c r="AR598" s="63"/>
      <c r="AS598" s="63"/>
      <c r="AT598" s="63"/>
      <c r="AU598" s="63"/>
      <c r="AV598" s="63"/>
      <c r="AW598" s="63"/>
      <c r="AX598" s="63"/>
      <c r="AY598" s="63"/>
      <c r="AZ598" s="63"/>
      <c r="BA598" s="63"/>
      <c r="BB598" s="63"/>
      <c r="BC598" s="63"/>
      <c r="BD598" s="63"/>
      <c r="BE598" s="63"/>
      <c r="BF598" s="63"/>
      <c r="BG598" s="63"/>
      <c r="BH598" s="63"/>
      <c r="BI598" s="63"/>
      <c r="BJ598" s="63"/>
      <c r="BK598" s="63"/>
      <c r="BL598" s="63"/>
      <c r="BM598" s="63"/>
      <c r="BN598" s="63"/>
      <c r="BO598" s="63"/>
      <c r="BP598" s="63"/>
      <c r="BQ598" s="63"/>
      <c r="BR598" s="63"/>
      <c r="BS598" s="63"/>
      <c r="BT598" s="63"/>
      <c r="BU598" s="63"/>
      <c r="BV598" s="63"/>
      <c r="BW598" s="63"/>
    </row>
    <row r="599" spans="1:75" x14ac:dyDescent="0.2">
      <c r="A599" s="63" t="str">
        <f t="shared" si="117"/>
        <v/>
      </c>
      <c r="B599" s="182"/>
      <c r="C599" s="75"/>
      <c r="D599" s="75"/>
      <c r="E599" s="74"/>
      <c r="F599" s="181"/>
      <c r="G599" s="69"/>
      <c r="AB599" s="150">
        <f t="shared" si="108"/>
        <v>0</v>
      </c>
      <c r="AC599" s="150">
        <f t="shared" si="109"/>
        <v>0</v>
      </c>
      <c r="AD599" s="98" t="str">
        <f t="shared" si="118"/>
        <v>0000000000</v>
      </c>
      <c r="AE599" s="151">
        <f t="shared" si="111"/>
        <v>0</v>
      </c>
      <c r="AF599" s="98" t="str">
        <f t="shared" si="112"/>
        <v>00</v>
      </c>
      <c r="AG599" s="98" t="str">
        <f t="shared" si="119"/>
        <v>000000000000</v>
      </c>
      <c r="AH599" s="161" t="str">
        <f t="shared" si="113"/>
        <v xml:space="preserve">                    </v>
      </c>
      <c r="AI599" s="154">
        <f t="shared" si="114"/>
        <v>0</v>
      </c>
      <c r="AJ599" s="155">
        <f t="shared" si="115"/>
        <v>0</v>
      </c>
      <c r="AP599" s="63" t="str">
        <f t="shared" si="116"/>
        <v/>
      </c>
      <c r="AQ599" s="63" t="str">
        <f t="shared" si="110"/>
        <v xml:space="preserve">                    </v>
      </c>
      <c r="AR599" s="63"/>
      <c r="AS599" s="63"/>
      <c r="AT599" s="63"/>
      <c r="AU599" s="63"/>
      <c r="AV599" s="63"/>
      <c r="AW599" s="63"/>
      <c r="AX599" s="63"/>
      <c r="AY599" s="63"/>
      <c r="AZ599" s="63"/>
      <c r="BA599" s="63"/>
      <c r="BB599" s="63"/>
      <c r="BC599" s="63"/>
      <c r="BD599" s="63"/>
      <c r="BE599" s="63"/>
      <c r="BF599" s="63"/>
      <c r="BG599" s="63"/>
      <c r="BH599" s="63"/>
      <c r="BI599" s="63"/>
      <c r="BJ599" s="63"/>
      <c r="BK599" s="63"/>
      <c r="BL599" s="63"/>
      <c r="BM599" s="63"/>
      <c r="BN599" s="63"/>
      <c r="BO599" s="63"/>
      <c r="BP599" s="63"/>
      <c r="BQ599" s="63"/>
      <c r="BR599" s="63"/>
      <c r="BS599" s="63"/>
      <c r="BT599" s="63"/>
      <c r="BU599" s="63"/>
      <c r="BV599" s="63"/>
      <c r="BW599" s="63"/>
    </row>
    <row r="600" spans="1:75" x14ac:dyDescent="0.2">
      <c r="A600" s="63" t="str">
        <f t="shared" si="117"/>
        <v/>
      </c>
      <c r="B600" s="182"/>
      <c r="C600" s="75"/>
      <c r="D600" s="75"/>
      <c r="E600" s="74"/>
      <c r="F600" s="181"/>
      <c r="G600" s="69"/>
      <c r="AB600" s="150">
        <f t="shared" si="108"/>
        <v>0</v>
      </c>
      <c r="AC600" s="150">
        <f t="shared" si="109"/>
        <v>0</v>
      </c>
      <c r="AD600" s="98" t="str">
        <f t="shared" si="118"/>
        <v>0000000000</v>
      </c>
      <c r="AE600" s="151">
        <f t="shared" si="111"/>
        <v>0</v>
      </c>
      <c r="AF600" s="98" t="str">
        <f t="shared" si="112"/>
        <v>00</v>
      </c>
      <c r="AG600" s="98" t="str">
        <f t="shared" si="119"/>
        <v>000000000000</v>
      </c>
      <c r="AH600" s="161" t="str">
        <f t="shared" si="113"/>
        <v xml:space="preserve">                    </v>
      </c>
      <c r="AI600" s="154">
        <f t="shared" si="114"/>
        <v>0</v>
      </c>
      <c r="AJ600" s="155">
        <f t="shared" si="115"/>
        <v>0</v>
      </c>
      <c r="AP600" s="63" t="str">
        <f t="shared" si="116"/>
        <v/>
      </c>
      <c r="AQ600" s="63" t="str">
        <f t="shared" si="110"/>
        <v xml:space="preserve">                    </v>
      </c>
      <c r="AR600" s="63"/>
      <c r="AS600" s="63"/>
      <c r="AT600" s="63"/>
      <c r="AU600" s="63"/>
      <c r="AV600" s="63"/>
      <c r="AW600" s="63"/>
      <c r="AX600" s="63"/>
      <c r="AY600" s="63"/>
      <c r="AZ600" s="63"/>
      <c r="BA600" s="63"/>
      <c r="BB600" s="63"/>
      <c r="BC600" s="63"/>
      <c r="BD600" s="63"/>
      <c r="BE600" s="63"/>
      <c r="BF600" s="63"/>
      <c r="BG600" s="63"/>
      <c r="BH600" s="63"/>
      <c r="BI600" s="63"/>
      <c r="BJ600" s="63"/>
      <c r="BK600" s="63"/>
      <c r="BL600" s="63"/>
      <c r="BM600" s="63"/>
      <c r="BN600" s="63"/>
      <c r="BO600" s="63"/>
      <c r="BP600" s="63"/>
      <c r="BQ600" s="63"/>
      <c r="BR600" s="63"/>
      <c r="BS600" s="63"/>
      <c r="BT600" s="63"/>
      <c r="BU600" s="63"/>
      <c r="BV600" s="63"/>
      <c r="BW600" s="63"/>
    </row>
    <row r="601" spans="1:75" x14ac:dyDescent="0.2">
      <c r="A601" s="63" t="str">
        <f t="shared" si="117"/>
        <v/>
      </c>
      <c r="B601" s="182"/>
      <c r="C601" s="75"/>
      <c r="D601" s="75"/>
      <c r="E601" s="74"/>
      <c r="F601" s="181"/>
      <c r="G601" s="69"/>
      <c r="AB601" s="150">
        <f t="shared" si="108"/>
        <v>0</v>
      </c>
      <c r="AC601" s="150">
        <f t="shared" si="109"/>
        <v>0</v>
      </c>
      <c r="AD601" s="98" t="str">
        <f t="shared" si="118"/>
        <v>0000000000</v>
      </c>
      <c r="AE601" s="151">
        <f t="shared" si="111"/>
        <v>0</v>
      </c>
      <c r="AF601" s="98" t="str">
        <f t="shared" si="112"/>
        <v>00</v>
      </c>
      <c r="AG601" s="98" t="str">
        <f t="shared" si="119"/>
        <v>000000000000</v>
      </c>
      <c r="AH601" s="161" t="str">
        <f t="shared" si="113"/>
        <v xml:space="preserve">                    </v>
      </c>
      <c r="AI601" s="154">
        <f t="shared" si="114"/>
        <v>0</v>
      </c>
      <c r="AJ601" s="155">
        <f t="shared" si="115"/>
        <v>0</v>
      </c>
      <c r="AP601" s="63" t="str">
        <f t="shared" si="116"/>
        <v/>
      </c>
      <c r="AQ601" s="63" t="str">
        <f t="shared" si="110"/>
        <v xml:space="preserve">                    </v>
      </c>
      <c r="AR601" s="63"/>
      <c r="AS601" s="63"/>
      <c r="AT601" s="63"/>
      <c r="AU601" s="63"/>
      <c r="AV601" s="63"/>
      <c r="AW601" s="63"/>
      <c r="AX601" s="63"/>
      <c r="AY601" s="63"/>
      <c r="AZ601" s="63"/>
      <c r="BA601" s="63"/>
      <c r="BB601" s="63"/>
      <c r="BC601" s="63"/>
      <c r="BD601" s="63"/>
      <c r="BE601" s="63"/>
      <c r="BF601" s="63"/>
      <c r="BG601" s="63"/>
      <c r="BH601" s="63"/>
      <c r="BI601" s="63"/>
      <c r="BJ601" s="63"/>
      <c r="BK601" s="63"/>
      <c r="BL601" s="63"/>
      <c r="BM601" s="63"/>
      <c r="BN601" s="63"/>
      <c r="BO601" s="63"/>
      <c r="BP601" s="63"/>
      <c r="BQ601" s="63"/>
      <c r="BR601" s="63"/>
      <c r="BS601" s="63"/>
      <c r="BT601" s="63"/>
      <c r="BU601" s="63"/>
      <c r="BV601" s="63"/>
      <c r="BW601" s="63"/>
    </row>
    <row r="602" spans="1:75" x14ac:dyDescent="0.2">
      <c r="A602" s="63" t="str">
        <f t="shared" si="117"/>
        <v/>
      </c>
      <c r="B602" s="182"/>
      <c r="C602" s="75"/>
      <c r="D602" s="75"/>
      <c r="E602" s="74"/>
      <c r="F602" s="181"/>
      <c r="G602" s="69"/>
      <c r="AB602" s="150">
        <f t="shared" si="108"/>
        <v>0</v>
      </c>
      <c r="AC602" s="150">
        <f t="shared" si="109"/>
        <v>0</v>
      </c>
      <c r="AD602" s="98" t="str">
        <f t="shared" si="118"/>
        <v>0000000000</v>
      </c>
      <c r="AE602" s="151">
        <f t="shared" si="111"/>
        <v>0</v>
      </c>
      <c r="AF602" s="98" t="str">
        <f t="shared" si="112"/>
        <v>00</v>
      </c>
      <c r="AG602" s="98" t="str">
        <f t="shared" si="119"/>
        <v>000000000000</v>
      </c>
      <c r="AH602" s="161" t="str">
        <f t="shared" si="113"/>
        <v xml:space="preserve">                    </v>
      </c>
      <c r="AI602" s="154">
        <f t="shared" si="114"/>
        <v>0</v>
      </c>
      <c r="AJ602" s="155">
        <f t="shared" si="115"/>
        <v>0</v>
      </c>
      <c r="AP602" s="63" t="str">
        <f t="shared" si="116"/>
        <v/>
      </c>
      <c r="AQ602" s="63" t="str">
        <f t="shared" si="110"/>
        <v xml:space="preserve">                    </v>
      </c>
      <c r="AR602" s="63"/>
      <c r="AS602" s="63"/>
      <c r="AT602" s="63"/>
      <c r="AU602" s="63"/>
      <c r="AV602" s="63"/>
      <c r="AW602" s="63"/>
      <c r="AX602" s="63"/>
      <c r="AY602" s="63"/>
      <c r="AZ602" s="63"/>
      <c r="BA602" s="63"/>
      <c r="BB602" s="63"/>
      <c r="BC602" s="63"/>
      <c r="BD602" s="63"/>
      <c r="BE602" s="63"/>
      <c r="BF602" s="63"/>
      <c r="BG602" s="63"/>
      <c r="BH602" s="63"/>
      <c r="BI602" s="63"/>
      <c r="BJ602" s="63"/>
      <c r="BK602" s="63"/>
      <c r="BL602" s="63"/>
      <c r="BM602" s="63"/>
      <c r="BN602" s="63"/>
      <c r="BO602" s="63"/>
      <c r="BP602" s="63"/>
      <c r="BQ602" s="63"/>
      <c r="BR602" s="63"/>
      <c r="BS602" s="63"/>
      <c r="BT602" s="63"/>
      <c r="BU602" s="63"/>
      <c r="BV602" s="63"/>
      <c r="BW602" s="63"/>
    </row>
    <row r="603" spans="1:75" x14ac:dyDescent="0.2">
      <c r="A603" s="63" t="str">
        <f t="shared" si="117"/>
        <v/>
      </c>
      <c r="B603" s="182"/>
      <c r="C603" s="75"/>
      <c r="D603" s="75"/>
      <c r="E603" s="74"/>
      <c r="F603" s="181"/>
      <c r="G603" s="69"/>
      <c r="AB603" s="150">
        <f t="shared" si="108"/>
        <v>0</v>
      </c>
      <c r="AC603" s="150">
        <f t="shared" si="109"/>
        <v>0</v>
      </c>
      <c r="AD603" s="98" t="str">
        <f t="shared" si="118"/>
        <v>0000000000</v>
      </c>
      <c r="AE603" s="151">
        <f t="shared" si="111"/>
        <v>0</v>
      </c>
      <c r="AF603" s="98" t="str">
        <f t="shared" si="112"/>
        <v>00</v>
      </c>
      <c r="AG603" s="98" t="str">
        <f t="shared" si="119"/>
        <v>000000000000</v>
      </c>
      <c r="AH603" s="161" t="str">
        <f t="shared" si="113"/>
        <v xml:space="preserve">                    </v>
      </c>
      <c r="AI603" s="154">
        <f t="shared" si="114"/>
        <v>0</v>
      </c>
      <c r="AJ603" s="155">
        <f t="shared" si="115"/>
        <v>0</v>
      </c>
      <c r="AP603" s="63" t="str">
        <f t="shared" si="116"/>
        <v/>
      </c>
      <c r="AQ603" s="63" t="str">
        <f t="shared" si="110"/>
        <v xml:space="preserve">                    </v>
      </c>
      <c r="AR603" s="63"/>
      <c r="AS603" s="63"/>
      <c r="AT603" s="63"/>
      <c r="AU603" s="63"/>
      <c r="AV603" s="63"/>
      <c r="AW603" s="63"/>
      <c r="AX603" s="63"/>
      <c r="AY603" s="63"/>
      <c r="AZ603" s="63"/>
      <c r="BA603" s="63"/>
      <c r="BB603" s="63"/>
      <c r="BC603" s="63"/>
      <c r="BD603" s="63"/>
      <c r="BE603" s="63"/>
      <c r="BF603" s="63"/>
      <c r="BG603" s="63"/>
      <c r="BH603" s="63"/>
      <c r="BI603" s="63"/>
      <c r="BJ603" s="63"/>
      <c r="BK603" s="63"/>
      <c r="BL603" s="63"/>
      <c r="BM603" s="63"/>
      <c r="BN603" s="63"/>
      <c r="BO603" s="63"/>
      <c r="BP603" s="63"/>
      <c r="BQ603" s="63"/>
      <c r="BR603" s="63"/>
      <c r="BS603" s="63"/>
      <c r="BT603" s="63"/>
      <c r="BU603" s="63"/>
      <c r="BV603" s="63"/>
      <c r="BW603" s="63"/>
    </row>
    <row r="604" spans="1:75" x14ac:dyDescent="0.2">
      <c r="A604" s="63" t="str">
        <f t="shared" si="117"/>
        <v/>
      </c>
      <c r="B604" s="182"/>
      <c r="C604" s="75"/>
      <c r="D604" s="75"/>
      <c r="E604" s="74"/>
      <c r="F604" s="181"/>
      <c r="G604" s="69"/>
      <c r="AB604" s="150">
        <f t="shared" si="108"/>
        <v>0</v>
      </c>
      <c r="AC604" s="150">
        <f t="shared" si="109"/>
        <v>0</v>
      </c>
      <c r="AD604" s="98" t="str">
        <f t="shared" si="118"/>
        <v>0000000000</v>
      </c>
      <c r="AE604" s="151">
        <f t="shared" si="111"/>
        <v>0</v>
      </c>
      <c r="AF604" s="98" t="str">
        <f t="shared" si="112"/>
        <v>00</v>
      </c>
      <c r="AG604" s="98" t="str">
        <f t="shared" si="119"/>
        <v>000000000000</v>
      </c>
      <c r="AH604" s="161" t="str">
        <f t="shared" si="113"/>
        <v xml:space="preserve">                    </v>
      </c>
      <c r="AI604" s="154">
        <f t="shared" si="114"/>
        <v>0</v>
      </c>
      <c r="AJ604" s="155">
        <f t="shared" si="115"/>
        <v>0</v>
      </c>
      <c r="AP604" s="63" t="str">
        <f t="shared" si="116"/>
        <v/>
      </c>
      <c r="AQ604" s="63" t="str">
        <f t="shared" si="110"/>
        <v xml:space="preserve">                    </v>
      </c>
      <c r="AR604" s="63"/>
      <c r="AS604" s="63"/>
      <c r="AT604" s="63"/>
      <c r="AU604" s="63"/>
      <c r="AV604" s="63"/>
      <c r="AW604" s="63"/>
      <c r="AX604" s="63"/>
      <c r="AY604" s="63"/>
      <c r="AZ604" s="63"/>
      <c r="BA604" s="63"/>
      <c r="BB604" s="63"/>
      <c r="BC604" s="63"/>
      <c r="BD604" s="63"/>
      <c r="BE604" s="63"/>
      <c r="BF604" s="63"/>
      <c r="BG604" s="63"/>
      <c r="BH604" s="63"/>
      <c r="BI604" s="63"/>
      <c r="BJ604" s="63"/>
      <c r="BK604" s="63"/>
      <c r="BL604" s="63"/>
      <c r="BM604" s="63"/>
      <c r="BN604" s="63"/>
      <c r="BO604" s="63"/>
      <c r="BP604" s="63"/>
      <c r="BQ604" s="63"/>
      <c r="BR604" s="63"/>
      <c r="BS604" s="63"/>
      <c r="BT604" s="63"/>
      <c r="BU604" s="63"/>
      <c r="BV604" s="63"/>
      <c r="BW604" s="63"/>
    </row>
    <row r="605" spans="1:75" x14ac:dyDescent="0.2">
      <c r="A605" s="63" t="str">
        <f t="shared" si="117"/>
        <v/>
      </c>
      <c r="B605" s="182"/>
      <c r="C605" s="75"/>
      <c r="D605" s="75"/>
      <c r="E605" s="74"/>
      <c r="F605" s="181"/>
      <c r="G605" s="69"/>
      <c r="AB605" s="150">
        <f t="shared" si="108"/>
        <v>0</v>
      </c>
      <c r="AC605" s="150">
        <f t="shared" si="109"/>
        <v>0</v>
      </c>
      <c r="AD605" s="98" t="str">
        <f t="shared" si="118"/>
        <v>0000000000</v>
      </c>
      <c r="AE605" s="151">
        <f t="shared" si="111"/>
        <v>0</v>
      </c>
      <c r="AF605" s="98" t="str">
        <f t="shared" si="112"/>
        <v>00</v>
      </c>
      <c r="AG605" s="98" t="str">
        <f t="shared" si="119"/>
        <v>000000000000</v>
      </c>
      <c r="AH605" s="161" t="str">
        <f t="shared" si="113"/>
        <v xml:space="preserve">                    </v>
      </c>
      <c r="AI605" s="154">
        <f t="shared" si="114"/>
        <v>0</v>
      </c>
      <c r="AJ605" s="155">
        <f t="shared" si="115"/>
        <v>0</v>
      </c>
      <c r="AP605" s="63" t="str">
        <f t="shared" si="116"/>
        <v/>
      </c>
      <c r="AQ605" s="63" t="str">
        <f t="shared" si="110"/>
        <v xml:space="preserve">                    </v>
      </c>
      <c r="AR605" s="63"/>
      <c r="AS605" s="63"/>
      <c r="AT605" s="63"/>
      <c r="AU605" s="63"/>
      <c r="AV605" s="63"/>
      <c r="AW605" s="63"/>
      <c r="AX605" s="63"/>
      <c r="AY605" s="63"/>
      <c r="AZ605" s="63"/>
      <c r="BA605" s="63"/>
      <c r="BB605" s="63"/>
      <c r="BC605" s="63"/>
      <c r="BD605" s="63"/>
      <c r="BE605" s="63"/>
      <c r="BF605" s="63"/>
      <c r="BG605" s="63"/>
      <c r="BH605" s="63"/>
      <c r="BI605" s="63"/>
      <c r="BJ605" s="63"/>
      <c r="BK605" s="63"/>
      <c r="BL605" s="63"/>
      <c r="BM605" s="63"/>
      <c r="BN605" s="63"/>
      <c r="BO605" s="63"/>
      <c r="BP605" s="63"/>
      <c r="BQ605" s="63"/>
      <c r="BR605" s="63"/>
      <c r="BS605" s="63"/>
      <c r="BT605" s="63"/>
      <c r="BU605" s="63"/>
      <c r="BV605" s="63"/>
      <c r="BW605" s="63"/>
    </row>
    <row r="606" spans="1:75" x14ac:dyDescent="0.2">
      <c r="A606" s="63" t="str">
        <f t="shared" si="117"/>
        <v/>
      </c>
      <c r="B606" s="182"/>
      <c r="C606" s="75"/>
      <c r="D606" s="75"/>
      <c r="E606" s="74"/>
      <c r="F606" s="181"/>
      <c r="G606" s="69"/>
      <c r="AB606" s="150">
        <f t="shared" si="108"/>
        <v>0</v>
      </c>
      <c r="AC606" s="150">
        <f t="shared" si="109"/>
        <v>0</v>
      </c>
      <c r="AD606" s="98" t="str">
        <f t="shared" si="118"/>
        <v>0000000000</v>
      </c>
      <c r="AE606" s="151">
        <f t="shared" si="111"/>
        <v>0</v>
      </c>
      <c r="AF606" s="98" t="str">
        <f t="shared" si="112"/>
        <v>00</v>
      </c>
      <c r="AG606" s="98" t="str">
        <f t="shared" si="119"/>
        <v>000000000000</v>
      </c>
      <c r="AH606" s="161" t="str">
        <f t="shared" si="113"/>
        <v xml:space="preserve">                    </v>
      </c>
      <c r="AI606" s="154">
        <f t="shared" si="114"/>
        <v>0</v>
      </c>
      <c r="AJ606" s="155">
        <f t="shared" si="115"/>
        <v>0</v>
      </c>
      <c r="AP606" s="63" t="str">
        <f t="shared" si="116"/>
        <v/>
      </c>
      <c r="AQ606" s="63" t="str">
        <f t="shared" si="110"/>
        <v xml:space="preserve">                    </v>
      </c>
      <c r="AR606" s="63"/>
      <c r="AS606" s="63"/>
      <c r="AT606" s="63"/>
      <c r="AU606" s="63"/>
      <c r="AV606" s="63"/>
      <c r="AW606" s="63"/>
      <c r="AX606" s="63"/>
      <c r="AY606" s="63"/>
      <c r="AZ606" s="63"/>
      <c r="BA606" s="63"/>
      <c r="BB606" s="63"/>
      <c r="BC606" s="63"/>
      <c r="BD606" s="63"/>
      <c r="BE606" s="63"/>
      <c r="BF606" s="63"/>
      <c r="BG606" s="63"/>
      <c r="BH606" s="63"/>
      <c r="BI606" s="63"/>
      <c r="BJ606" s="63"/>
      <c r="BK606" s="63"/>
      <c r="BL606" s="63"/>
      <c r="BM606" s="63"/>
      <c r="BN606" s="63"/>
      <c r="BO606" s="63"/>
      <c r="BP606" s="63"/>
      <c r="BQ606" s="63"/>
      <c r="BR606" s="63"/>
      <c r="BS606" s="63"/>
      <c r="BT606" s="63"/>
      <c r="BU606" s="63"/>
      <c r="BV606" s="63"/>
      <c r="BW606" s="63"/>
    </row>
    <row r="607" spans="1:75" x14ac:dyDescent="0.2">
      <c r="A607" s="63" t="str">
        <f t="shared" si="117"/>
        <v/>
      </c>
      <c r="B607" s="182"/>
      <c r="C607" s="75"/>
      <c r="D607" s="75"/>
      <c r="E607" s="74"/>
      <c r="F607" s="181"/>
      <c r="G607" s="69"/>
      <c r="AB607" s="150">
        <f t="shared" si="108"/>
        <v>0</v>
      </c>
      <c r="AC607" s="150">
        <f t="shared" si="109"/>
        <v>0</v>
      </c>
      <c r="AD607" s="98" t="str">
        <f t="shared" si="118"/>
        <v>0000000000</v>
      </c>
      <c r="AE607" s="151">
        <f t="shared" si="111"/>
        <v>0</v>
      </c>
      <c r="AF607" s="98" t="str">
        <f t="shared" si="112"/>
        <v>00</v>
      </c>
      <c r="AG607" s="98" t="str">
        <f t="shared" si="119"/>
        <v>000000000000</v>
      </c>
      <c r="AH607" s="161" t="str">
        <f t="shared" si="113"/>
        <v xml:space="preserve">                    </v>
      </c>
      <c r="AI607" s="154">
        <f t="shared" si="114"/>
        <v>0</v>
      </c>
      <c r="AJ607" s="155">
        <f t="shared" si="115"/>
        <v>0</v>
      </c>
      <c r="AP607" s="63" t="str">
        <f t="shared" si="116"/>
        <v/>
      </c>
      <c r="AQ607" s="63" t="str">
        <f t="shared" si="110"/>
        <v xml:space="preserve">                    </v>
      </c>
      <c r="AR607" s="63"/>
      <c r="AS607" s="63"/>
      <c r="AT607" s="63"/>
      <c r="AU607" s="63"/>
      <c r="AV607" s="63"/>
      <c r="AW607" s="63"/>
      <c r="AX607" s="63"/>
      <c r="AY607" s="63"/>
      <c r="AZ607" s="63"/>
      <c r="BA607" s="63"/>
      <c r="BB607" s="63"/>
      <c r="BC607" s="63"/>
      <c r="BD607" s="63"/>
      <c r="BE607" s="63"/>
      <c r="BF607" s="63"/>
      <c r="BG607" s="63"/>
      <c r="BH607" s="63"/>
      <c r="BI607" s="63"/>
      <c r="BJ607" s="63"/>
      <c r="BK607" s="63"/>
      <c r="BL607" s="63"/>
      <c r="BM607" s="63"/>
      <c r="BN607" s="63"/>
      <c r="BO607" s="63"/>
      <c r="BP607" s="63"/>
      <c r="BQ607" s="63"/>
      <c r="BR607" s="63"/>
      <c r="BS607" s="63"/>
      <c r="BT607" s="63"/>
      <c r="BU607" s="63"/>
      <c r="BV607" s="63"/>
      <c r="BW607" s="63"/>
    </row>
    <row r="608" spans="1:75" x14ac:dyDescent="0.2">
      <c r="A608" s="63" t="str">
        <f t="shared" si="117"/>
        <v/>
      </c>
      <c r="B608" s="182"/>
      <c r="C608" s="75"/>
      <c r="D608" s="75"/>
      <c r="E608" s="74"/>
      <c r="F608" s="181"/>
      <c r="G608" s="69"/>
      <c r="AB608" s="150">
        <f t="shared" si="108"/>
        <v>0</v>
      </c>
      <c r="AC608" s="150">
        <f t="shared" si="109"/>
        <v>0</v>
      </c>
      <c r="AD608" s="98" t="str">
        <f t="shared" si="118"/>
        <v>0000000000</v>
      </c>
      <c r="AE608" s="151">
        <f t="shared" si="111"/>
        <v>0</v>
      </c>
      <c r="AF608" s="98" t="str">
        <f t="shared" si="112"/>
        <v>00</v>
      </c>
      <c r="AG608" s="98" t="str">
        <f t="shared" si="119"/>
        <v>000000000000</v>
      </c>
      <c r="AH608" s="161" t="str">
        <f t="shared" si="113"/>
        <v xml:space="preserve">                    </v>
      </c>
      <c r="AI608" s="154">
        <f t="shared" si="114"/>
        <v>0</v>
      </c>
      <c r="AJ608" s="155">
        <f t="shared" si="115"/>
        <v>0</v>
      </c>
      <c r="AP608" s="63" t="str">
        <f t="shared" si="116"/>
        <v/>
      </c>
      <c r="AQ608" s="63" t="str">
        <f t="shared" si="110"/>
        <v xml:space="preserve">                    </v>
      </c>
      <c r="AR608" s="63"/>
      <c r="AS608" s="63"/>
      <c r="AT608" s="63"/>
      <c r="AU608" s="63"/>
      <c r="AV608" s="63"/>
      <c r="AW608" s="63"/>
      <c r="AX608" s="63"/>
      <c r="AY608" s="63"/>
      <c r="AZ608" s="63"/>
      <c r="BA608" s="63"/>
      <c r="BB608" s="63"/>
      <c r="BC608" s="63"/>
      <c r="BD608" s="63"/>
      <c r="BE608" s="63"/>
      <c r="BF608" s="63"/>
      <c r="BG608" s="63"/>
      <c r="BH608" s="63"/>
      <c r="BI608" s="63"/>
      <c r="BJ608" s="63"/>
      <c r="BK608" s="63"/>
      <c r="BL608" s="63"/>
      <c r="BM608" s="63"/>
      <c r="BN608" s="63"/>
      <c r="BO608" s="63"/>
      <c r="BP608" s="63"/>
      <c r="BQ608" s="63"/>
      <c r="BR608" s="63"/>
      <c r="BS608" s="63"/>
      <c r="BT608" s="63"/>
      <c r="BU608" s="63"/>
      <c r="BV608" s="63"/>
      <c r="BW608" s="63"/>
    </row>
    <row r="609" spans="1:75" x14ac:dyDescent="0.2">
      <c r="A609" s="63" t="str">
        <f t="shared" si="117"/>
        <v/>
      </c>
      <c r="B609" s="182"/>
      <c r="C609" s="75"/>
      <c r="D609" s="75"/>
      <c r="E609" s="74"/>
      <c r="F609" s="181"/>
      <c r="G609" s="69"/>
      <c r="AB609" s="150">
        <f t="shared" si="108"/>
        <v>0</v>
      </c>
      <c r="AC609" s="150">
        <f t="shared" si="109"/>
        <v>0</v>
      </c>
      <c r="AD609" s="98" t="str">
        <f t="shared" si="118"/>
        <v>0000000000</v>
      </c>
      <c r="AE609" s="151">
        <f t="shared" si="111"/>
        <v>0</v>
      </c>
      <c r="AF609" s="98" t="str">
        <f t="shared" si="112"/>
        <v>00</v>
      </c>
      <c r="AG609" s="98" t="str">
        <f t="shared" si="119"/>
        <v>000000000000</v>
      </c>
      <c r="AH609" s="161" t="str">
        <f t="shared" si="113"/>
        <v xml:space="preserve">                    </v>
      </c>
      <c r="AI609" s="154">
        <f t="shared" si="114"/>
        <v>0</v>
      </c>
      <c r="AJ609" s="155">
        <f t="shared" si="115"/>
        <v>0</v>
      </c>
      <c r="AP609" s="63" t="str">
        <f t="shared" si="116"/>
        <v/>
      </c>
      <c r="AQ609" s="63" t="str">
        <f t="shared" si="110"/>
        <v xml:space="preserve">                    </v>
      </c>
      <c r="AR609" s="63"/>
      <c r="AS609" s="63"/>
      <c r="AT609" s="63"/>
      <c r="AU609" s="63"/>
      <c r="AV609" s="63"/>
      <c r="AW609" s="63"/>
      <c r="AX609" s="63"/>
      <c r="AY609" s="63"/>
      <c r="AZ609" s="63"/>
      <c r="BA609" s="63"/>
      <c r="BB609" s="63"/>
      <c r="BC609" s="63"/>
      <c r="BD609" s="63"/>
      <c r="BE609" s="63"/>
      <c r="BF609" s="63"/>
      <c r="BG609" s="63"/>
      <c r="BH609" s="63"/>
      <c r="BI609" s="63"/>
      <c r="BJ609" s="63"/>
      <c r="BK609" s="63"/>
      <c r="BL609" s="63"/>
      <c r="BM609" s="63"/>
      <c r="BN609" s="63"/>
      <c r="BO609" s="63"/>
      <c r="BP609" s="63"/>
      <c r="BQ609" s="63"/>
      <c r="BR609" s="63"/>
      <c r="BS609" s="63"/>
      <c r="BT609" s="63"/>
      <c r="BU609" s="63"/>
      <c r="BV609" s="63"/>
      <c r="BW609" s="63"/>
    </row>
    <row r="610" spans="1:75" x14ac:dyDescent="0.2">
      <c r="A610" s="63" t="str">
        <f t="shared" si="117"/>
        <v/>
      </c>
      <c r="B610" s="182"/>
      <c r="C610" s="75"/>
      <c r="D610" s="75"/>
      <c r="E610" s="74"/>
      <c r="F610" s="181"/>
      <c r="G610" s="69"/>
      <c r="AB610" s="150">
        <f t="shared" si="108"/>
        <v>0</v>
      </c>
      <c r="AC610" s="150">
        <f t="shared" si="109"/>
        <v>0</v>
      </c>
      <c r="AD610" s="98" t="str">
        <f t="shared" si="118"/>
        <v>0000000000</v>
      </c>
      <c r="AE610" s="151">
        <f t="shared" si="111"/>
        <v>0</v>
      </c>
      <c r="AF610" s="98" t="str">
        <f t="shared" si="112"/>
        <v>00</v>
      </c>
      <c r="AG610" s="98" t="str">
        <f t="shared" si="119"/>
        <v>000000000000</v>
      </c>
      <c r="AH610" s="161" t="str">
        <f t="shared" si="113"/>
        <v xml:space="preserve">                    </v>
      </c>
      <c r="AI610" s="154">
        <f t="shared" si="114"/>
        <v>0</v>
      </c>
      <c r="AJ610" s="155">
        <f t="shared" si="115"/>
        <v>0</v>
      </c>
      <c r="AP610" s="63" t="str">
        <f t="shared" si="116"/>
        <v/>
      </c>
      <c r="AQ610" s="63" t="str">
        <f t="shared" si="110"/>
        <v xml:space="preserve">                    </v>
      </c>
      <c r="AR610" s="63"/>
      <c r="AS610" s="63"/>
      <c r="AT610" s="63"/>
      <c r="AU610" s="63"/>
      <c r="AV610" s="63"/>
      <c r="AW610" s="63"/>
      <c r="AX610" s="63"/>
      <c r="AY610" s="63"/>
      <c r="AZ610" s="63"/>
      <c r="BA610" s="63"/>
      <c r="BB610" s="63"/>
      <c r="BC610" s="63"/>
      <c r="BD610" s="63"/>
      <c r="BE610" s="63"/>
      <c r="BF610" s="63"/>
      <c r="BG610" s="63"/>
      <c r="BH610" s="63"/>
      <c r="BI610" s="63"/>
      <c r="BJ610" s="63"/>
      <c r="BK610" s="63"/>
      <c r="BL610" s="63"/>
      <c r="BM610" s="63"/>
      <c r="BN610" s="63"/>
      <c r="BO610" s="63"/>
      <c r="BP610" s="63"/>
      <c r="BQ610" s="63"/>
      <c r="BR610" s="63"/>
      <c r="BS610" s="63"/>
      <c r="BT610" s="63"/>
      <c r="BU610" s="63"/>
      <c r="BV610" s="63"/>
      <c r="BW610" s="63"/>
    </row>
    <row r="611" spans="1:75" x14ac:dyDescent="0.2">
      <c r="A611" s="63" t="str">
        <f t="shared" si="117"/>
        <v/>
      </c>
      <c r="B611" s="182"/>
      <c r="C611" s="75"/>
      <c r="D611" s="75"/>
      <c r="E611" s="74"/>
      <c r="F611" s="181"/>
      <c r="G611" s="69"/>
      <c r="AB611" s="150">
        <f t="shared" si="108"/>
        <v>0</v>
      </c>
      <c r="AC611" s="150">
        <f t="shared" si="109"/>
        <v>0</v>
      </c>
      <c r="AD611" s="98" t="str">
        <f t="shared" si="118"/>
        <v>0000000000</v>
      </c>
      <c r="AE611" s="151">
        <f t="shared" si="111"/>
        <v>0</v>
      </c>
      <c r="AF611" s="98" t="str">
        <f t="shared" si="112"/>
        <v>00</v>
      </c>
      <c r="AG611" s="98" t="str">
        <f t="shared" si="119"/>
        <v>000000000000</v>
      </c>
      <c r="AH611" s="161" t="str">
        <f t="shared" si="113"/>
        <v xml:space="preserve">                    </v>
      </c>
      <c r="AI611" s="154">
        <f t="shared" si="114"/>
        <v>0</v>
      </c>
      <c r="AJ611" s="155">
        <f t="shared" si="115"/>
        <v>0</v>
      </c>
      <c r="AP611" s="63" t="str">
        <f t="shared" si="116"/>
        <v/>
      </c>
      <c r="AQ611" s="63" t="str">
        <f t="shared" si="110"/>
        <v xml:space="preserve">                    </v>
      </c>
      <c r="AR611" s="63"/>
      <c r="AS611" s="63"/>
      <c r="AT611" s="63"/>
      <c r="AU611" s="63"/>
      <c r="AV611" s="63"/>
      <c r="AW611" s="63"/>
      <c r="AX611" s="63"/>
      <c r="AY611" s="63"/>
      <c r="AZ611" s="63"/>
      <c r="BA611" s="63"/>
      <c r="BB611" s="63"/>
      <c r="BC611" s="63"/>
      <c r="BD611" s="63"/>
      <c r="BE611" s="63"/>
      <c r="BF611" s="63"/>
      <c r="BG611" s="63"/>
      <c r="BH611" s="63"/>
      <c r="BI611" s="63"/>
      <c r="BJ611" s="63"/>
      <c r="BK611" s="63"/>
      <c r="BL611" s="63"/>
      <c r="BM611" s="63"/>
      <c r="BN611" s="63"/>
      <c r="BO611" s="63"/>
      <c r="BP611" s="63"/>
      <c r="BQ611" s="63"/>
      <c r="BR611" s="63"/>
      <c r="BS611" s="63"/>
      <c r="BT611" s="63"/>
      <c r="BU611" s="63"/>
      <c r="BV611" s="63"/>
      <c r="BW611" s="63"/>
    </row>
    <row r="612" spans="1:75" x14ac:dyDescent="0.2">
      <c r="A612" s="63" t="str">
        <f t="shared" si="117"/>
        <v/>
      </c>
      <c r="B612" s="182"/>
      <c r="C612" s="75"/>
      <c r="D612" s="75"/>
      <c r="E612" s="74"/>
      <c r="F612" s="181"/>
      <c r="G612" s="69"/>
      <c r="AB612" s="150">
        <f t="shared" si="108"/>
        <v>0</v>
      </c>
      <c r="AC612" s="150">
        <f t="shared" si="109"/>
        <v>0</v>
      </c>
      <c r="AD612" s="98" t="str">
        <f t="shared" si="118"/>
        <v>0000000000</v>
      </c>
      <c r="AE612" s="151">
        <f t="shared" si="111"/>
        <v>0</v>
      </c>
      <c r="AF612" s="98" t="str">
        <f t="shared" si="112"/>
        <v>00</v>
      </c>
      <c r="AG612" s="98" t="str">
        <f t="shared" si="119"/>
        <v>000000000000</v>
      </c>
      <c r="AH612" s="161" t="str">
        <f t="shared" si="113"/>
        <v xml:space="preserve">                    </v>
      </c>
      <c r="AI612" s="154">
        <f t="shared" si="114"/>
        <v>0</v>
      </c>
      <c r="AJ612" s="155">
        <f t="shared" si="115"/>
        <v>0</v>
      </c>
      <c r="AP612" s="63" t="str">
        <f t="shared" si="116"/>
        <v/>
      </c>
      <c r="AQ612" s="63" t="str">
        <f t="shared" si="110"/>
        <v xml:space="preserve">                    </v>
      </c>
      <c r="AR612" s="63"/>
      <c r="AS612" s="63"/>
      <c r="AT612" s="63"/>
      <c r="AU612" s="63"/>
      <c r="AV612" s="63"/>
      <c r="AW612" s="63"/>
      <c r="AX612" s="63"/>
      <c r="AY612" s="63"/>
      <c r="AZ612" s="63"/>
      <c r="BA612" s="63"/>
      <c r="BB612" s="63"/>
      <c r="BC612" s="63"/>
      <c r="BD612" s="63"/>
      <c r="BE612" s="63"/>
      <c r="BF612" s="63"/>
      <c r="BG612" s="63"/>
      <c r="BH612" s="63"/>
      <c r="BI612" s="63"/>
      <c r="BJ612" s="63"/>
      <c r="BK612" s="63"/>
      <c r="BL612" s="63"/>
      <c r="BM612" s="63"/>
      <c r="BN612" s="63"/>
      <c r="BO612" s="63"/>
      <c r="BP612" s="63"/>
      <c r="BQ612" s="63"/>
      <c r="BR612" s="63"/>
      <c r="BS612" s="63"/>
      <c r="BT612" s="63"/>
      <c r="BU612" s="63"/>
      <c r="BV612" s="63"/>
      <c r="BW612" s="63"/>
    </row>
    <row r="613" spans="1:75" x14ac:dyDescent="0.2">
      <c r="A613" s="63" t="str">
        <f t="shared" si="117"/>
        <v/>
      </c>
      <c r="B613" s="182"/>
      <c r="C613" s="75"/>
      <c r="D613" s="75"/>
      <c r="E613" s="74"/>
      <c r="F613" s="181"/>
      <c r="G613" s="69"/>
      <c r="AB613" s="150">
        <f t="shared" si="108"/>
        <v>0</v>
      </c>
      <c r="AC613" s="150">
        <f t="shared" si="109"/>
        <v>0</v>
      </c>
      <c r="AD613" s="98" t="str">
        <f t="shared" si="118"/>
        <v>0000000000</v>
      </c>
      <c r="AE613" s="151">
        <f t="shared" si="111"/>
        <v>0</v>
      </c>
      <c r="AF613" s="98" t="str">
        <f t="shared" si="112"/>
        <v>00</v>
      </c>
      <c r="AG613" s="98" t="str">
        <f t="shared" si="119"/>
        <v>000000000000</v>
      </c>
      <c r="AH613" s="161" t="str">
        <f t="shared" si="113"/>
        <v xml:space="preserve">                    </v>
      </c>
      <c r="AI613" s="154">
        <f t="shared" si="114"/>
        <v>0</v>
      </c>
      <c r="AJ613" s="155">
        <f t="shared" si="115"/>
        <v>0</v>
      </c>
      <c r="AP613" s="63" t="str">
        <f t="shared" si="116"/>
        <v/>
      </c>
      <c r="AQ613" s="63" t="str">
        <f t="shared" si="110"/>
        <v xml:space="preserve">                    </v>
      </c>
      <c r="AR613" s="63"/>
      <c r="AS613" s="63"/>
      <c r="AT613" s="63"/>
      <c r="AU613" s="63"/>
      <c r="AV613" s="63"/>
      <c r="AW613" s="63"/>
      <c r="AX613" s="63"/>
      <c r="AY613" s="63"/>
      <c r="AZ613" s="63"/>
      <c r="BA613" s="63"/>
      <c r="BB613" s="63"/>
      <c r="BC613" s="63"/>
      <c r="BD613" s="63"/>
      <c r="BE613" s="63"/>
      <c r="BF613" s="63"/>
      <c r="BG613" s="63"/>
      <c r="BH613" s="63"/>
      <c r="BI613" s="63"/>
      <c r="BJ613" s="63"/>
      <c r="BK613" s="63"/>
      <c r="BL613" s="63"/>
      <c r="BM613" s="63"/>
      <c r="BN613" s="63"/>
      <c r="BO613" s="63"/>
      <c r="BP613" s="63"/>
      <c r="BQ613" s="63"/>
      <c r="BR613" s="63"/>
      <c r="BS613" s="63"/>
      <c r="BT613" s="63"/>
      <c r="BU613" s="63"/>
      <c r="BV613" s="63"/>
      <c r="BW613" s="63"/>
    </row>
    <row r="614" spans="1:75" x14ac:dyDescent="0.2">
      <c r="A614" s="63" t="str">
        <f t="shared" si="117"/>
        <v/>
      </c>
      <c r="B614" s="182"/>
      <c r="C614" s="75"/>
      <c r="D614" s="75"/>
      <c r="E614" s="74"/>
      <c r="F614" s="181"/>
      <c r="G614" s="69"/>
      <c r="AB614" s="150">
        <f t="shared" si="108"/>
        <v>0</v>
      </c>
      <c r="AC614" s="150">
        <f t="shared" si="109"/>
        <v>0</v>
      </c>
      <c r="AD614" s="98" t="str">
        <f t="shared" si="118"/>
        <v>0000000000</v>
      </c>
      <c r="AE614" s="151">
        <f t="shared" si="111"/>
        <v>0</v>
      </c>
      <c r="AF614" s="98" t="str">
        <f t="shared" si="112"/>
        <v>00</v>
      </c>
      <c r="AG614" s="98" t="str">
        <f t="shared" si="119"/>
        <v>000000000000</v>
      </c>
      <c r="AH614" s="161" t="str">
        <f t="shared" si="113"/>
        <v xml:space="preserve">                    </v>
      </c>
      <c r="AI614" s="154">
        <f t="shared" si="114"/>
        <v>0</v>
      </c>
      <c r="AJ614" s="155">
        <f t="shared" si="115"/>
        <v>0</v>
      </c>
      <c r="AP614" s="63" t="str">
        <f t="shared" si="116"/>
        <v/>
      </c>
      <c r="AQ614" s="63" t="str">
        <f t="shared" si="110"/>
        <v xml:space="preserve">                    </v>
      </c>
      <c r="AR614" s="63"/>
      <c r="AS614" s="63"/>
      <c r="AT614" s="63"/>
      <c r="AU614" s="63"/>
      <c r="AV614" s="63"/>
      <c r="AW614" s="63"/>
      <c r="AX614" s="63"/>
      <c r="AY614" s="63"/>
      <c r="AZ614" s="63"/>
      <c r="BA614" s="63"/>
      <c r="BB614" s="63"/>
      <c r="BC614" s="63"/>
      <c r="BD614" s="63"/>
      <c r="BE614" s="63"/>
      <c r="BF614" s="63"/>
      <c r="BG614" s="63"/>
      <c r="BH614" s="63"/>
      <c r="BI614" s="63"/>
      <c r="BJ614" s="63"/>
      <c r="BK614" s="63"/>
      <c r="BL614" s="63"/>
      <c r="BM614" s="63"/>
      <c r="BN614" s="63"/>
      <c r="BO614" s="63"/>
      <c r="BP614" s="63"/>
      <c r="BQ614" s="63"/>
      <c r="BR614" s="63"/>
      <c r="BS614" s="63"/>
      <c r="BT614" s="63"/>
      <c r="BU614" s="63"/>
      <c r="BV614" s="63"/>
      <c r="BW614" s="63"/>
    </row>
    <row r="615" spans="1:75" x14ac:dyDescent="0.2">
      <c r="A615" s="63" t="str">
        <f t="shared" si="117"/>
        <v/>
      </c>
      <c r="B615" s="182"/>
      <c r="C615" s="75"/>
      <c r="D615" s="75"/>
      <c r="E615" s="74"/>
      <c r="F615" s="181"/>
      <c r="G615" s="69"/>
      <c r="AB615" s="150">
        <f t="shared" si="108"/>
        <v>0</v>
      </c>
      <c r="AC615" s="150">
        <f t="shared" si="109"/>
        <v>0</v>
      </c>
      <c r="AD615" s="98" t="str">
        <f t="shared" si="118"/>
        <v>0000000000</v>
      </c>
      <c r="AE615" s="151">
        <f t="shared" si="111"/>
        <v>0</v>
      </c>
      <c r="AF615" s="98" t="str">
        <f t="shared" si="112"/>
        <v>00</v>
      </c>
      <c r="AG615" s="98" t="str">
        <f t="shared" si="119"/>
        <v>000000000000</v>
      </c>
      <c r="AH615" s="161" t="str">
        <f t="shared" si="113"/>
        <v xml:space="preserve">                    </v>
      </c>
      <c r="AI615" s="154">
        <f t="shared" si="114"/>
        <v>0</v>
      </c>
      <c r="AJ615" s="155">
        <f t="shared" si="115"/>
        <v>0</v>
      </c>
      <c r="AP615" s="63" t="str">
        <f t="shared" si="116"/>
        <v/>
      </c>
      <c r="AQ615" s="63" t="str">
        <f t="shared" si="110"/>
        <v xml:space="preserve">                    </v>
      </c>
      <c r="AR615" s="63"/>
      <c r="AS615" s="63"/>
      <c r="AT615" s="63"/>
      <c r="AU615" s="63"/>
      <c r="AV615" s="63"/>
      <c r="AW615" s="63"/>
      <c r="AX615" s="63"/>
      <c r="AY615" s="63"/>
      <c r="AZ615" s="63"/>
      <c r="BA615" s="63"/>
      <c r="BB615" s="63"/>
      <c r="BC615" s="63"/>
      <c r="BD615" s="63"/>
      <c r="BE615" s="63"/>
      <c r="BF615" s="63"/>
      <c r="BG615" s="63"/>
      <c r="BH615" s="63"/>
      <c r="BI615" s="63"/>
      <c r="BJ615" s="63"/>
      <c r="BK615" s="63"/>
      <c r="BL615" s="63"/>
      <c r="BM615" s="63"/>
      <c r="BN615" s="63"/>
      <c r="BO615" s="63"/>
      <c r="BP615" s="63"/>
      <c r="BQ615" s="63"/>
      <c r="BR615" s="63"/>
      <c r="BS615" s="63"/>
      <c r="BT615" s="63"/>
      <c r="BU615" s="63"/>
      <c r="BV615" s="63"/>
      <c r="BW615" s="63"/>
    </row>
    <row r="616" spans="1:75" x14ac:dyDescent="0.2">
      <c r="A616" s="63" t="str">
        <f t="shared" si="117"/>
        <v/>
      </c>
      <c r="B616" s="182"/>
      <c r="C616" s="75"/>
      <c r="D616" s="75"/>
      <c r="E616" s="74"/>
      <c r="F616" s="181"/>
      <c r="G616" s="69"/>
      <c r="AB616" s="150">
        <f t="shared" si="108"/>
        <v>0</v>
      </c>
      <c r="AC616" s="150">
        <f t="shared" si="109"/>
        <v>0</v>
      </c>
      <c r="AD616" s="98" t="str">
        <f t="shared" si="118"/>
        <v>0000000000</v>
      </c>
      <c r="AE616" s="151">
        <f t="shared" si="111"/>
        <v>0</v>
      </c>
      <c r="AF616" s="98" t="str">
        <f t="shared" si="112"/>
        <v>00</v>
      </c>
      <c r="AG616" s="98" t="str">
        <f t="shared" si="119"/>
        <v>000000000000</v>
      </c>
      <c r="AH616" s="161" t="str">
        <f t="shared" si="113"/>
        <v xml:space="preserve">                    </v>
      </c>
      <c r="AI616" s="154">
        <f t="shared" si="114"/>
        <v>0</v>
      </c>
      <c r="AJ616" s="155">
        <f t="shared" si="115"/>
        <v>0</v>
      </c>
      <c r="AP616" s="63" t="str">
        <f t="shared" si="116"/>
        <v/>
      </c>
      <c r="AQ616" s="63" t="str">
        <f t="shared" si="110"/>
        <v xml:space="preserve">                    </v>
      </c>
      <c r="AR616" s="63"/>
      <c r="AS616" s="63"/>
      <c r="AT616" s="63"/>
      <c r="AU616" s="63"/>
      <c r="AV616" s="63"/>
      <c r="AW616" s="63"/>
      <c r="AX616" s="63"/>
      <c r="AY616" s="63"/>
      <c r="AZ616" s="63"/>
      <c r="BA616" s="63"/>
      <c r="BB616" s="63"/>
      <c r="BC616" s="63"/>
      <c r="BD616" s="63"/>
      <c r="BE616" s="63"/>
      <c r="BF616" s="63"/>
      <c r="BG616" s="63"/>
      <c r="BH616" s="63"/>
      <c r="BI616" s="63"/>
      <c r="BJ616" s="63"/>
      <c r="BK616" s="63"/>
      <c r="BL616" s="63"/>
      <c r="BM616" s="63"/>
      <c r="BN616" s="63"/>
      <c r="BO616" s="63"/>
      <c r="BP616" s="63"/>
      <c r="BQ616" s="63"/>
      <c r="BR616" s="63"/>
      <c r="BS616" s="63"/>
      <c r="BT616" s="63"/>
      <c r="BU616" s="63"/>
      <c r="BV616" s="63"/>
      <c r="BW616" s="63"/>
    </row>
    <row r="617" spans="1:75" x14ac:dyDescent="0.2">
      <c r="A617" s="63" t="str">
        <f t="shared" si="117"/>
        <v/>
      </c>
      <c r="B617" s="182"/>
      <c r="C617" s="75"/>
      <c r="D617" s="75"/>
      <c r="E617" s="74"/>
      <c r="F617" s="181"/>
      <c r="G617" s="69"/>
      <c r="AB617" s="150">
        <f t="shared" si="108"/>
        <v>0</v>
      </c>
      <c r="AC617" s="150">
        <f t="shared" si="109"/>
        <v>0</v>
      </c>
      <c r="AD617" s="98" t="str">
        <f t="shared" si="118"/>
        <v>0000000000</v>
      </c>
      <c r="AE617" s="151">
        <f t="shared" si="111"/>
        <v>0</v>
      </c>
      <c r="AF617" s="98" t="str">
        <f t="shared" si="112"/>
        <v>00</v>
      </c>
      <c r="AG617" s="98" t="str">
        <f t="shared" si="119"/>
        <v>000000000000</v>
      </c>
      <c r="AH617" s="161" t="str">
        <f t="shared" si="113"/>
        <v xml:space="preserve">                    </v>
      </c>
      <c r="AI617" s="154">
        <f t="shared" si="114"/>
        <v>0</v>
      </c>
      <c r="AJ617" s="155">
        <f t="shared" si="115"/>
        <v>0</v>
      </c>
      <c r="AP617" s="63" t="str">
        <f t="shared" si="116"/>
        <v/>
      </c>
      <c r="AQ617" s="63" t="str">
        <f t="shared" si="110"/>
        <v xml:space="preserve">                    </v>
      </c>
      <c r="AR617" s="63"/>
      <c r="AS617" s="63"/>
      <c r="AT617" s="63"/>
      <c r="AU617" s="63"/>
      <c r="AV617" s="63"/>
      <c r="AW617" s="63"/>
      <c r="AX617" s="63"/>
      <c r="AY617" s="63"/>
      <c r="AZ617" s="63"/>
      <c r="BA617" s="63"/>
      <c r="BB617" s="63"/>
      <c r="BC617" s="63"/>
      <c r="BD617" s="63"/>
      <c r="BE617" s="63"/>
      <c r="BF617" s="63"/>
      <c r="BG617" s="63"/>
      <c r="BH617" s="63"/>
      <c r="BI617" s="63"/>
      <c r="BJ617" s="63"/>
      <c r="BK617" s="63"/>
      <c r="BL617" s="63"/>
      <c r="BM617" s="63"/>
      <c r="BN617" s="63"/>
      <c r="BO617" s="63"/>
      <c r="BP617" s="63"/>
      <c r="BQ617" s="63"/>
      <c r="BR617" s="63"/>
      <c r="BS617" s="63"/>
      <c r="BT617" s="63"/>
      <c r="BU617" s="63"/>
      <c r="BV617" s="63"/>
      <c r="BW617" s="63"/>
    </row>
    <row r="618" spans="1:75" x14ac:dyDescent="0.2">
      <c r="A618" s="63" t="str">
        <f t="shared" si="117"/>
        <v/>
      </c>
      <c r="B618" s="182"/>
      <c r="C618" s="75"/>
      <c r="D618" s="75"/>
      <c r="E618" s="74"/>
      <c r="F618" s="181"/>
      <c r="G618" s="69"/>
      <c r="AB618" s="150">
        <f t="shared" si="108"/>
        <v>0</v>
      </c>
      <c r="AC618" s="150">
        <f t="shared" si="109"/>
        <v>0</v>
      </c>
      <c r="AD618" s="98" t="str">
        <f t="shared" si="118"/>
        <v>0000000000</v>
      </c>
      <c r="AE618" s="151">
        <f t="shared" si="111"/>
        <v>0</v>
      </c>
      <c r="AF618" s="98" t="str">
        <f t="shared" si="112"/>
        <v>00</v>
      </c>
      <c r="AG618" s="98" t="str">
        <f t="shared" si="119"/>
        <v>000000000000</v>
      </c>
      <c r="AH618" s="161" t="str">
        <f t="shared" si="113"/>
        <v xml:space="preserve">                    </v>
      </c>
      <c r="AI618" s="154">
        <f t="shared" si="114"/>
        <v>0</v>
      </c>
      <c r="AJ618" s="155">
        <f t="shared" si="115"/>
        <v>0</v>
      </c>
      <c r="AP618" s="63" t="str">
        <f t="shared" si="116"/>
        <v/>
      </c>
      <c r="AQ618" s="63" t="str">
        <f t="shared" si="110"/>
        <v xml:space="preserve">                    </v>
      </c>
      <c r="AR618" s="63"/>
      <c r="AS618" s="63"/>
      <c r="AT618" s="63"/>
      <c r="AU618" s="63"/>
      <c r="AV618" s="63"/>
      <c r="AW618" s="63"/>
      <c r="AX618" s="63"/>
      <c r="AY618" s="63"/>
      <c r="AZ618" s="63"/>
      <c r="BA618" s="63"/>
      <c r="BB618" s="63"/>
      <c r="BC618" s="63"/>
      <c r="BD618" s="63"/>
      <c r="BE618" s="63"/>
      <c r="BF618" s="63"/>
      <c r="BG618" s="63"/>
      <c r="BH618" s="63"/>
      <c r="BI618" s="63"/>
      <c r="BJ618" s="63"/>
      <c r="BK618" s="63"/>
      <c r="BL618" s="63"/>
      <c r="BM618" s="63"/>
      <c r="BN618" s="63"/>
      <c r="BO618" s="63"/>
      <c r="BP618" s="63"/>
      <c r="BQ618" s="63"/>
      <c r="BR618" s="63"/>
      <c r="BS618" s="63"/>
      <c r="BT618" s="63"/>
      <c r="BU618" s="63"/>
      <c r="BV618" s="63"/>
      <c r="BW618" s="63"/>
    </row>
    <row r="619" spans="1:75" x14ac:dyDescent="0.2">
      <c r="A619" s="63" t="str">
        <f t="shared" si="117"/>
        <v/>
      </c>
      <c r="B619" s="182"/>
      <c r="C619" s="75"/>
      <c r="D619" s="75"/>
      <c r="E619" s="74"/>
      <c r="F619" s="181"/>
      <c r="G619" s="69"/>
      <c r="AB619" s="150">
        <f t="shared" si="108"/>
        <v>0</v>
      </c>
      <c r="AC619" s="150">
        <f t="shared" si="109"/>
        <v>0</v>
      </c>
      <c r="AD619" s="98" t="str">
        <f t="shared" si="118"/>
        <v>0000000000</v>
      </c>
      <c r="AE619" s="151">
        <f t="shared" si="111"/>
        <v>0</v>
      </c>
      <c r="AF619" s="98" t="str">
        <f t="shared" si="112"/>
        <v>00</v>
      </c>
      <c r="AG619" s="98" t="str">
        <f t="shared" si="119"/>
        <v>000000000000</v>
      </c>
      <c r="AH619" s="161" t="str">
        <f t="shared" si="113"/>
        <v xml:space="preserve">                    </v>
      </c>
      <c r="AI619" s="154">
        <f t="shared" si="114"/>
        <v>0</v>
      </c>
      <c r="AJ619" s="155">
        <f t="shared" si="115"/>
        <v>0</v>
      </c>
      <c r="AP619" s="63" t="str">
        <f t="shared" si="116"/>
        <v/>
      </c>
      <c r="AQ619" s="63" t="str">
        <f t="shared" si="110"/>
        <v xml:space="preserve">                    </v>
      </c>
      <c r="AR619" s="63"/>
      <c r="AS619" s="63"/>
      <c r="AT619" s="63"/>
      <c r="AU619" s="63"/>
      <c r="AV619" s="63"/>
      <c r="AW619" s="63"/>
      <c r="AX619" s="63"/>
      <c r="AY619" s="63"/>
      <c r="AZ619" s="63"/>
      <c r="BA619" s="63"/>
      <c r="BB619" s="63"/>
      <c r="BC619" s="63"/>
      <c r="BD619" s="63"/>
      <c r="BE619" s="63"/>
      <c r="BF619" s="63"/>
      <c r="BG619" s="63"/>
      <c r="BH619" s="63"/>
      <c r="BI619" s="63"/>
      <c r="BJ619" s="63"/>
      <c r="BK619" s="63"/>
      <c r="BL619" s="63"/>
      <c r="BM619" s="63"/>
      <c r="BN619" s="63"/>
      <c r="BO619" s="63"/>
      <c r="BP619" s="63"/>
      <c r="BQ619" s="63"/>
      <c r="BR619" s="63"/>
      <c r="BS619" s="63"/>
      <c r="BT619" s="63"/>
      <c r="BU619" s="63"/>
      <c r="BV619" s="63"/>
      <c r="BW619" s="63"/>
    </row>
    <row r="620" spans="1:75" x14ac:dyDescent="0.2">
      <c r="A620" s="63" t="str">
        <f t="shared" si="117"/>
        <v/>
      </c>
      <c r="B620" s="182"/>
      <c r="C620" s="75"/>
      <c r="D620" s="75"/>
      <c r="E620" s="74"/>
      <c r="F620" s="181"/>
      <c r="G620" s="69"/>
      <c r="AB620" s="150">
        <f t="shared" si="108"/>
        <v>0</v>
      </c>
      <c r="AC620" s="150">
        <f t="shared" si="109"/>
        <v>0</v>
      </c>
      <c r="AD620" s="98" t="str">
        <f t="shared" si="118"/>
        <v>0000000000</v>
      </c>
      <c r="AE620" s="151">
        <f t="shared" si="111"/>
        <v>0</v>
      </c>
      <c r="AF620" s="98" t="str">
        <f t="shared" si="112"/>
        <v>00</v>
      </c>
      <c r="AG620" s="98" t="str">
        <f t="shared" si="119"/>
        <v>000000000000</v>
      </c>
      <c r="AH620" s="161" t="str">
        <f t="shared" si="113"/>
        <v xml:space="preserve">                    </v>
      </c>
      <c r="AI620" s="154">
        <f t="shared" si="114"/>
        <v>0</v>
      </c>
      <c r="AJ620" s="155">
        <f t="shared" si="115"/>
        <v>0</v>
      </c>
      <c r="AP620" s="63" t="str">
        <f t="shared" si="116"/>
        <v/>
      </c>
      <c r="AQ620" s="63" t="str">
        <f t="shared" si="110"/>
        <v xml:space="preserve">                    </v>
      </c>
      <c r="AR620" s="63"/>
      <c r="AS620" s="63"/>
      <c r="AT620" s="63"/>
      <c r="AU620" s="63"/>
      <c r="AV620" s="63"/>
      <c r="AW620" s="63"/>
      <c r="AX620" s="63"/>
      <c r="AY620" s="63"/>
      <c r="AZ620" s="63"/>
      <c r="BA620" s="63"/>
      <c r="BB620" s="63"/>
      <c r="BC620" s="63"/>
      <c r="BD620" s="63"/>
      <c r="BE620" s="63"/>
      <c r="BF620" s="63"/>
      <c r="BG620" s="63"/>
      <c r="BH620" s="63"/>
      <c r="BI620" s="63"/>
      <c r="BJ620" s="63"/>
      <c r="BK620" s="63"/>
      <c r="BL620" s="63"/>
      <c r="BM620" s="63"/>
      <c r="BN620" s="63"/>
      <c r="BO620" s="63"/>
      <c r="BP620" s="63"/>
      <c r="BQ620" s="63"/>
      <c r="BR620" s="63"/>
      <c r="BS620" s="63"/>
      <c r="BT620" s="63"/>
      <c r="BU620" s="63"/>
      <c r="BV620" s="63"/>
      <c r="BW620" s="63"/>
    </row>
    <row r="621" spans="1:75" x14ac:dyDescent="0.2">
      <c r="A621" s="63" t="str">
        <f t="shared" si="117"/>
        <v/>
      </c>
      <c r="B621" s="182"/>
      <c r="C621" s="75"/>
      <c r="D621" s="75"/>
      <c r="E621" s="74"/>
      <c r="F621" s="181"/>
      <c r="G621" s="69"/>
      <c r="AB621" s="150">
        <f t="shared" si="108"/>
        <v>0</v>
      </c>
      <c r="AC621" s="150">
        <f t="shared" si="109"/>
        <v>0</v>
      </c>
      <c r="AD621" s="98" t="str">
        <f t="shared" si="118"/>
        <v>0000000000</v>
      </c>
      <c r="AE621" s="151">
        <f t="shared" si="111"/>
        <v>0</v>
      </c>
      <c r="AF621" s="98" t="str">
        <f t="shared" si="112"/>
        <v>00</v>
      </c>
      <c r="AG621" s="98" t="str">
        <f t="shared" si="119"/>
        <v>000000000000</v>
      </c>
      <c r="AH621" s="161" t="str">
        <f t="shared" si="113"/>
        <v xml:space="preserve">                    </v>
      </c>
      <c r="AI621" s="154">
        <f t="shared" si="114"/>
        <v>0</v>
      </c>
      <c r="AJ621" s="155">
        <f t="shared" si="115"/>
        <v>0</v>
      </c>
      <c r="AP621" s="63" t="str">
        <f t="shared" si="116"/>
        <v/>
      </c>
      <c r="AQ621" s="63" t="str">
        <f t="shared" si="110"/>
        <v xml:space="preserve">                    </v>
      </c>
      <c r="AR621" s="63"/>
      <c r="AS621" s="63"/>
      <c r="AT621" s="63"/>
      <c r="AU621" s="63"/>
      <c r="AV621" s="63"/>
      <c r="AW621" s="63"/>
      <c r="AX621" s="63"/>
      <c r="AY621" s="63"/>
      <c r="AZ621" s="63"/>
      <c r="BA621" s="63"/>
      <c r="BB621" s="63"/>
      <c r="BC621" s="63"/>
      <c r="BD621" s="63"/>
      <c r="BE621" s="63"/>
      <c r="BF621" s="63"/>
      <c r="BG621" s="63"/>
      <c r="BH621" s="63"/>
      <c r="BI621" s="63"/>
      <c r="BJ621" s="63"/>
      <c r="BK621" s="63"/>
      <c r="BL621" s="63"/>
      <c r="BM621" s="63"/>
      <c r="BN621" s="63"/>
      <c r="BO621" s="63"/>
      <c r="BP621" s="63"/>
      <c r="BQ621" s="63"/>
      <c r="BR621" s="63"/>
      <c r="BS621" s="63"/>
      <c r="BT621" s="63"/>
      <c r="BU621" s="63"/>
      <c r="BV621" s="63"/>
      <c r="BW621" s="63"/>
    </row>
    <row r="622" spans="1:75" x14ac:dyDescent="0.2">
      <c r="A622" s="63" t="str">
        <f t="shared" si="117"/>
        <v/>
      </c>
      <c r="B622" s="182"/>
      <c r="C622" s="75"/>
      <c r="D622" s="75"/>
      <c r="E622" s="74"/>
      <c r="F622" s="181"/>
      <c r="G622" s="69"/>
      <c r="AB622" s="150">
        <f t="shared" si="108"/>
        <v>0</v>
      </c>
      <c r="AC622" s="150">
        <f t="shared" si="109"/>
        <v>0</v>
      </c>
      <c r="AD622" s="98" t="str">
        <f t="shared" si="118"/>
        <v>0000000000</v>
      </c>
      <c r="AE622" s="151">
        <f t="shared" si="111"/>
        <v>0</v>
      </c>
      <c r="AF622" s="98" t="str">
        <f t="shared" si="112"/>
        <v>00</v>
      </c>
      <c r="AG622" s="98" t="str">
        <f t="shared" si="119"/>
        <v>000000000000</v>
      </c>
      <c r="AH622" s="161" t="str">
        <f t="shared" si="113"/>
        <v xml:space="preserve">                    </v>
      </c>
      <c r="AI622" s="154">
        <f t="shared" si="114"/>
        <v>0</v>
      </c>
      <c r="AJ622" s="155">
        <f t="shared" si="115"/>
        <v>0</v>
      </c>
      <c r="AP622" s="63" t="str">
        <f t="shared" si="116"/>
        <v/>
      </c>
      <c r="AQ622" s="63" t="str">
        <f t="shared" si="110"/>
        <v xml:space="preserve">                    </v>
      </c>
      <c r="AR622" s="63"/>
      <c r="AS622" s="63"/>
      <c r="AT622" s="63"/>
      <c r="AU622" s="63"/>
      <c r="AV622" s="63"/>
      <c r="AW622" s="63"/>
      <c r="AX622" s="63"/>
      <c r="AY622" s="63"/>
      <c r="AZ622" s="63"/>
      <c r="BA622" s="63"/>
      <c r="BB622" s="63"/>
      <c r="BC622" s="63"/>
      <c r="BD622" s="63"/>
      <c r="BE622" s="63"/>
      <c r="BF622" s="63"/>
      <c r="BG622" s="63"/>
      <c r="BH622" s="63"/>
      <c r="BI622" s="63"/>
      <c r="BJ622" s="63"/>
      <c r="BK622" s="63"/>
      <c r="BL622" s="63"/>
      <c r="BM622" s="63"/>
      <c r="BN622" s="63"/>
      <c r="BO622" s="63"/>
      <c r="BP622" s="63"/>
      <c r="BQ622" s="63"/>
      <c r="BR622" s="63"/>
      <c r="BS622" s="63"/>
      <c r="BT622" s="63"/>
      <c r="BU622" s="63"/>
      <c r="BV622" s="63"/>
      <c r="BW622" s="63"/>
    </row>
    <row r="623" spans="1:75" x14ac:dyDescent="0.2">
      <c r="A623" s="63" t="str">
        <f t="shared" si="117"/>
        <v/>
      </c>
      <c r="B623" s="182"/>
      <c r="C623" s="75"/>
      <c r="D623" s="75"/>
      <c r="E623" s="74"/>
      <c r="F623" s="181"/>
      <c r="G623" s="69"/>
      <c r="AB623" s="150">
        <f t="shared" si="108"/>
        <v>0</v>
      </c>
      <c r="AC623" s="150">
        <f t="shared" si="109"/>
        <v>0</v>
      </c>
      <c r="AD623" s="98" t="str">
        <f t="shared" si="118"/>
        <v>0000000000</v>
      </c>
      <c r="AE623" s="151">
        <f t="shared" si="111"/>
        <v>0</v>
      </c>
      <c r="AF623" s="98" t="str">
        <f t="shared" si="112"/>
        <v>00</v>
      </c>
      <c r="AG623" s="98" t="str">
        <f t="shared" si="119"/>
        <v>000000000000</v>
      </c>
      <c r="AH623" s="161" t="str">
        <f t="shared" si="113"/>
        <v xml:space="preserve">                    </v>
      </c>
      <c r="AI623" s="154">
        <f t="shared" si="114"/>
        <v>0</v>
      </c>
      <c r="AJ623" s="155">
        <f t="shared" si="115"/>
        <v>0</v>
      </c>
      <c r="AP623" s="63" t="str">
        <f t="shared" si="116"/>
        <v/>
      </c>
      <c r="AQ623" s="63" t="str">
        <f t="shared" si="110"/>
        <v xml:space="preserve">                    </v>
      </c>
      <c r="AR623" s="63"/>
      <c r="AS623" s="63"/>
      <c r="AT623" s="63"/>
      <c r="AU623" s="63"/>
      <c r="AV623" s="63"/>
      <c r="AW623" s="63"/>
      <c r="AX623" s="63"/>
      <c r="AY623" s="63"/>
      <c r="AZ623" s="63"/>
      <c r="BA623" s="63"/>
      <c r="BB623" s="63"/>
      <c r="BC623" s="63"/>
      <c r="BD623" s="63"/>
      <c r="BE623" s="63"/>
      <c r="BF623" s="63"/>
      <c r="BG623" s="63"/>
      <c r="BH623" s="63"/>
      <c r="BI623" s="63"/>
      <c r="BJ623" s="63"/>
      <c r="BK623" s="63"/>
      <c r="BL623" s="63"/>
      <c r="BM623" s="63"/>
      <c r="BN623" s="63"/>
      <c r="BO623" s="63"/>
      <c r="BP623" s="63"/>
      <c r="BQ623" s="63"/>
      <c r="BR623" s="63"/>
      <c r="BS623" s="63"/>
      <c r="BT623" s="63"/>
      <c r="BU623" s="63"/>
      <c r="BV623" s="63"/>
      <c r="BW623" s="63"/>
    </row>
    <row r="624" spans="1:75" x14ac:dyDescent="0.2">
      <c r="A624" s="63" t="str">
        <f t="shared" si="117"/>
        <v/>
      </c>
      <c r="B624" s="182"/>
      <c r="C624" s="75"/>
      <c r="D624" s="75"/>
      <c r="E624" s="74"/>
      <c r="F624" s="181"/>
      <c r="G624" s="69"/>
      <c r="AB624" s="150">
        <f t="shared" si="108"/>
        <v>0</v>
      </c>
      <c r="AC624" s="150">
        <f t="shared" si="109"/>
        <v>0</v>
      </c>
      <c r="AD624" s="98" t="str">
        <f t="shared" si="118"/>
        <v>0000000000</v>
      </c>
      <c r="AE624" s="151">
        <f t="shared" si="111"/>
        <v>0</v>
      </c>
      <c r="AF624" s="98" t="str">
        <f t="shared" si="112"/>
        <v>00</v>
      </c>
      <c r="AG624" s="98" t="str">
        <f t="shared" si="119"/>
        <v>000000000000</v>
      </c>
      <c r="AH624" s="161" t="str">
        <f t="shared" si="113"/>
        <v xml:space="preserve">                    </v>
      </c>
      <c r="AI624" s="154">
        <f t="shared" si="114"/>
        <v>0</v>
      </c>
      <c r="AJ624" s="155">
        <f t="shared" si="115"/>
        <v>0</v>
      </c>
      <c r="AP624" s="63" t="str">
        <f t="shared" si="116"/>
        <v/>
      </c>
      <c r="AQ624" s="63" t="str">
        <f t="shared" si="110"/>
        <v xml:space="preserve">                    </v>
      </c>
      <c r="AR624" s="63"/>
      <c r="AS624" s="63"/>
      <c r="AT624" s="63"/>
      <c r="AU624" s="63"/>
      <c r="AV624" s="63"/>
      <c r="AW624" s="63"/>
      <c r="AX624" s="63"/>
      <c r="AY624" s="63"/>
      <c r="AZ624" s="63"/>
      <c r="BA624" s="63"/>
      <c r="BB624" s="63"/>
      <c r="BC624" s="63"/>
      <c r="BD624" s="63"/>
      <c r="BE624" s="63"/>
      <c r="BF624" s="63"/>
      <c r="BG624" s="63"/>
      <c r="BH624" s="63"/>
      <c r="BI624" s="63"/>
      <c r="BJ624" s="63"/>
      <c r="BK624" s="63"/>
      <c r="BL624" s="63"/>
      <c r="BM624" s="63"/>
      <c r="BN624" s="63"/>
      <c r="BO624" s="63"/>
      <c r="BP624" s="63"/>
      <c r="BQ624" s="63"/>
      <c r="BR624" s="63"/>
      <c r="BS624" s="63"/>
      <c r="BT624" s="63"/>
      <c r="BU624" s="63"/>
      <c r="BV624" s="63"/>
      <c r="BW624" s="63"/>
    </row>
    <row r="625" spans="1:75" x14ac:dyDescent="0.2">
      <c r="A625" s="63" t="str">
        <f t="shared" si="117"/>
        <v/>
      </c>
      <c r="B625" s="182"/>
      <c r="C625" s="75"/>
      <c r="D625" s="75"/>
      <c r="E625" s="74"/>
      <c r="F625" s="181"/>
      <c r="G625" s="69"/>
      <c r="AB625" s="150">
        <f t="shared" si="108"/>
        <v>0</v>
      </c>
      <c r="AC625" s="150">
        <f t="shared" si="109"/>
        <v>0</v>
      </c>
      <c r="AD625" s="98" t="str">
        <f t="shared" si="118"/>
        <v>0000000000</v>
      </c>
      <c r="AE625" s="151">
        <f t="shared" si="111"/>
        <v>0</v>
      </c>
      <c r="AF625" s="98" t="str">
        <f t="shared" si="112"/>
        <v>00</v>
      </c>
      <c r="AG625" s="98" t="str">
        <f t="shared" si="119"/>
        <v>000000000000</v>
      </c>
      <c r="AH625" s="161" t="str">
        <f t="shared" si="113"/>
        <v xml:space="preserve">                    </v>
      </c>
      <c r="AI625" s="154">
        <f t="shared" si="114"/>
        <v>0</v>
      </c>
      <c r="AJ625" s="155">
        <f t="shared" si="115"/>
        <v>0</v>
      </c>
      <c r="AP625" s="63" t="str">
        <f t="shared" si="116"/>
        <v/>
      </c>
      <c r="AQ625" s="63" t="str">
        <f t="shared" si="110"/>
        <v xml:space="preserve">                    </v>
      </c>
      <c r="AR625" s="63"/>
      <c r="AS625" s="63"/>
      <c r="AT625" s="63"/>
      <c r="AU625" s="63"/>
      <c r="AV625" s="63"/>
      <c r="AW625" s="63"/>
      <c r="AX625" s="63"/>
      <c r="AY625" s="63"/>
      <c r="AZ625" s="63"/>
      <c r="BA625" s="63"/>
      <c r="BB625" s="63"/>
      <c r="BC625" s="63"/>
      <c r="BD625" s="63"/>
      <c r="BE625" s="63"/>
      <c r="BF625" s="63"/>
      <c r="BG625" s="63"/>
      <c r="BH625" s="63"/>
      <c r="BI625" s="63"/>
      <c r="BJ625" s="63"/>
      <c r="BK625" s="63"/>
      <c r="BL625" s="63"/>
      <c r="BM625" s="63"/>
      <c r="BN625" s="63"/>
      <c r="BO625" s="63"/>
      <c r="BP625" s="63"/>
      <c r="BQ625" s="63"/>
      <c r="BR625" s="63"/>
      <c r="BS625" s="63"/>
      <c r="BT625" s="63"/>
      <c r="BU625" s="63"/>
      <c r="BV625" s="63"/>
      <c r="BW625" s="63"/>
    </row>
    <row r="626" spans="1:75" x14ac:dyDescent="0.2">
      <c r="A626" s="63" t="str">
        <f t="shared" si="117"/>
        <v/>
      </c>
      <c r="B626" s="182"/>
      <c r="C626" s="75"/>
      <c r="D626" s="75"/>
      <c r="E626" s="74"/>
      <c r="F626" s="181"/>
      <c r="G626" s="69"/>
      <c r="AB626" s="150">
        <f t="shared" si="108"/>
        <v>0</v>
      </c>
      <c r="AC626" s="150">
        <f t="shared" si="109"/>
        <v>0</v>
      </c>
      <c r="AD626" s="98" t="str">
        <f t="shared" si="118"/>
        <v>0000000000</v>
      </c>
      <c r="AE626" s="151">
        <f t="shared" si="111"/>
        <v>0</v>
      </c>
      <c r="AF626" s="98" t="str">
        <f t="shared" si="112"/>
        <v>00</v>
      </c>
      <c r="AG626" s="98" t="str">
        <f t="shared" si="119"/>
        <v>000000000000</v>
      </c>
      <c r="AH626" s="161" t="str">
        <f t="shared" si="113"/>
        <v xml:space="preserve">                    </v>
      </c>
      <c r="AI626" s="154">
        <f t="shared" si="114"/>
        <v>0</v>
      </c>
      <c r="AJ626" s="155">
        <f t="shared" si="115"/>
        <v>0</v>
      </c>
      <c r="AP626" s="63" t="str">
        <f t="shared" si="116"/>
        <v/>
      </c>
      <c r="AQ626" s="63" t="str">
        <f t="shared" si="110"/>
        <v xml:space="preserve">                    </v>
      </c>
      <c r="AR626" s="63"/>
      <c r="AS626" s="63"/>
      <c r="AT626" s="63"/>
      <c r="AU626" s="63"/>
      <c r="AV626" s="63"/>
      <c r="AW626" s="63"/>
      <c r="AX626" s="63"/>
      <c r="AY626" s="63"/>
      <c r="AZ626" s="63"/>
      <c r="BA626" s="63"/>
      <c r="BB626" s="63"/>
      <c r="BC626" s="63"/>
      <c r="BD626" s="63"/>
      <c r="BE626" s="63"/>
      <c r="BF626" s="63"/>
      <c r="BG626" s="63"/>
      <c r="BH626" s="63"/>
      <c r="BI626" s="63"/>
      <c r="BJ626" s="63"/>
      <c r="BK626" s="63"/>
      <c r="BL626" s="63"/>
      <c r="BM626" s="63"/>
      <c r="BN626" s="63"/>
      <c r="BO626" s="63"/>
      <c r="BP626" s="63"/>
      <c r="BQ626" s="63"/>
      <c r="BR626" s="63"/>
      <c r="BS626" s="63"/>
      <c r="BT626" s="63"/>
      <c r="BU626" s="63"/>
      <c r="BV626" s="63"/>
      <c r="BW626" s="63"/>
    </row>
    <row r="627" spans="1:75" x14ac:dyDescent="0.2">
      <c r="A627" s="63" t="str">
        <f t="shared" si="117"/>
        <v/>
      </c>
      <c r="B627" s="182"/>
      <c r="C627" s="75"/>
      <c r="D627" s="75"/>
      <c r="E627" s="74"/>
      <c r="F627" s="181"/>
      <c r="G627" s="69"/>
      <c r="AB627" s="150">
        <f t="shared" si="108"/>
        <v>0</v>
      </c>
      <c r="AC627" s="150">
        <f t="shared" si="109"/>
        <v>0</v>
      </c>
      <c r="AD627" s="98" t="str">
        <f t="shared" si="118"/>
        <v>0000000000</v>
      </c>
      <c r="AE627" s="151">
        <f t="shared" si="111"/>
        <v>0</v>
      </c>
      <c r="AF627" s="98" t="str">
        <f t="shared" si="112"/>
        <v>00</v>
      </c>
      <c r="AG627" s="98" t="str">
        <f t="shared" si="119"/>
        <v>000000000000</v>
      </c>
      <c r="AH627" s="161" t="str">
        <f t="shared" si="113"/>
        <v xml:space="preserve">                    </v>
      </c>
      <c r="AI627" s="154">
        <f t="shared" si="114"/>
        <v>0</v>
      </c>
      <c r="AJ627" s="155">
        <f t="shared" si="115"/>
        <v>0</v>
      </c>
      <c r="AP627" s="63" t="str">
        <f t="shared" si="116"/>
        <v/>
      </c>
      <c r="AQ627" s="63" t="str">
        <f t="shared" si="110"/>
        <v xml:space="preserve">                    </v>
      </c>
      <c r="AR627" s="63"/>
      <c r="AS627" s="63"/>
      <c r="AT627" s="63"/>
      <c r="AU627" s="63"/>
      <c r="AV627" s="63"/>
      <c r="AW627" s="63"/>
      <c r="AX627" s="63"/>
      <c r="AY627" s="63"/>
      <c r="AZ627" s="63"/>
      <c r="BA627" s="63"/>
      <c r="BB627" s="63"/>
      <c r="BC627" s="63"/>
      <c r="BD627" s="63"/>
      <c r="BE627" s="63"/>
      <c r="BF627" s="63"/>
      <c r="BG627" s="63"/>
      <c r="BH627" s="63"/>
      <c r="BI627" s="63"/>
      <c r="BJ627" s="63"/>
      <c r="BK627" s="63"/>
      <c r="BL627" s="63"/>
      <c r="BM627" s="63"/>
      <c r="BN627" s="63"/>
      <c r="BO627" s="63"/>
      <c r="BP627" s="63"/>
      <c r="BQ627" s="63"/>
      <c r="BR627" s="63"/>
      <c r="BS627" s="63"/>
      <c r="BT627" s="63"/>
      <c r="BU627" s="63"/>
      <c r="BV627" s="63"/>
      <c r="BW627" s="63"/>
    </row>
    <row r="628" spans="1:75" x14ac:dyDescent="0.2">
      <c r="A628" s="63" t="str">
        <f t="shared" si="117"/>
        <v/>
      </c>
      <c r="B628" s="182"/>
      <c r="C628" s="75"/>
      <c r="D628" s="75"/>
      <c r="E628" s="74"/>
      <c r="F628" s="181"/>
      <c r="G628" s="69"/>
      <c r="AB628" s="150">
        <f t="shared" si="108"/>
        <v>0</v>
      </c>
      <c r="AC628" s="150">
        <f t="shared" si="109"/>
        <v>0</v>
      </c>
      <c r="AD628" s="98" t="str">
        <f t="shared" si="118"/>
        <v>0000000000</v>
      </c>
      <c r="AE628" s="151">
        <f t="shared" si="111"/>
        <v>0</v>
      </c>
      <c r="AF628" s="98" t="str">
        <f t="shared" si="112"/>
        <v>00</v>
      </c>
      <c r="AG628" s="98" t="str">
        <f t="shared" si="119"/>
        <v>000000000000</v>
      </c>
      <c r="AH628" s="161" t="str">
        <f t="shared" si="113"/>
        <v xml:space="preserve">                    </v>
      </c>
      <c r="AI628" s="154">
        <f t="shared" si="114"/>
        <v>0</v>
      </c>
      <c r="AJ628" s="155">
        <f t="shared" si="115"/>
        <v>0</v>
      </c>
      <c r="AP628" s="63" t="str">
        <f t="shared" si="116"/>
        <v/>
      </c>
      <c r="AQ628" s="63" t="str">
        <f t="shared" si="110"/>
        <v xml:space="preserve">                    </v>
      </c>
      <c r="AR628" s="63"/>
      <c r="AS628" s="63"/>
      <c r="AT628" s="63"/>
      <c r="AU628" s="63"/>
      <c r="AV628" s="63"/>
      <c r="AW628" s="63"/>
      <c r="AX628" s="63"/>
      <c r="AY628" s="63"/>
      <c r="AZ628" s="63"/>
      <c r="BA628" s="63"/>
      <c r="BB628" s="63"/>
      <c r="BC628" s="63"/>
      <c r="BD628" s="63"/>
      <c r="BE628" s="63"/>
      <c r="BF628" s="63"/>
      <c r="BG628" s="63"/>
      <c r="BH628" s="63"/>
      <c r="BI628" s="63"/>
      <c r="BJ628" s="63"/>
      <c r="BK628" s="63"/>
      <c r="BL628" s="63"/>
      <c r="BM628" s="63"/>
      <c r="BN628" s="63"/>
      <c r="BO628" s="63"/>
      <c r="BP628" s="63"/>
      <c r="BQ628" s="63"/>
      <c r="BR628" s="63"/>
      <c r="BS628" s="63"/>
      <c r="BT628" s="63"/>
      <c r="BU628" s="63"/>
      <c r="BV628" s="63"/>
      <c r="BW628" s="63"/>
    </row>
    <row r="629" spans="1:75" x14ac:dyDescent="0.2">
      <c r="A629" s="63" t="str">
        <f t="shared" si="117"/>
        <v/>
      </c>
      <c r="B629" s="182"/>
      <c r="C629" s="75"/>
      <c r="D629" s="75"/>
      <c r="E629" s="74"/>
      <c r="F629" s="181"/>
      <c r="G629" s="69"/>
      <c r="AB629" s="150">
        <f t="shared" si="108"/>
        <v>0</v>
      </c>
      <c r="AC629" s="150">
        <f t="shared" si="109"/>
        <v>0</v>
      </c>
      <c r="AD629" s="98" t="str">
        <f t="shared" si="118"/>
        <v>0000000000</v>
      </c>
      <c r="AE629" s="151">
        <f t="shared" si="111"/>
        <v>0</v>
      </c>
      <c r="AF629" s="98" t="str">
        <f t="shared" si="112"/>
        <v>00</v>
      </c>
      <c r="AG629" s="98" t="str">
        <f t="shared" si="119"/>
        <v>000000000000</v>
      </c>
      <c r="AH629" s="161" t="str">
        <f t="shared" si="113"/>
        <v xml:space="preserve">                    </v>
      </c>
      <c r="AI629" s="154">
        <f t="shared" si="114"/>
        <v>0</v>
      </c>
      <c r="AJ629" s="155">
        <f t="shared" si="115"/>
        <v>0</v>
      </c>
      <c r="AP629" s="63" t="str">
        <f t="shared" si="116"/>
        <v/>
      </c>
      <c r="AQ629" s="63" t="str">
        <f t="shared" si="110"/>
        <v xml:space="preserve">                    </v>
      </c>
      <c r="AR629" s="63"/>
      <c r="AS629" s="63"/>
      <c r="AT629" s="63"/>
      <c r="AU629" s="63"/>
      <c r="AV629" s="63"/>
      <c r="AW629" s="63"/>
      <c r="AX629" s="63"/>
      <c r="AY629" s="63"/>
      <c r="AZ629" s="63"/>
      <c r="BA629" s="63"/>
      <c r="BB629" s="63"/>
      <c r="BC629" s="63"/>
      <c r="BD629" s="63"/>
      <c r="BE629" s="63"/>
      <c r="BF629" s="63"/>
      <c r="BG629" s="63"/>
      <c r="BH629" s="63"/>
      <c r="BI629" s="63"/>
      <c r="BJ629" s="63"/>
      <c r="BK629" s="63"/>
      <c r="BL629" s="63"/>
      <c r="BM629" s="63"/>
      <c r="BN629" s="63"/>
      <c r="BO629" s="63"/>
      <c r="BP629" s="63"/>
      <c r="BQ629" s="63"/>
      <c r="BR629" s="63"/>
      <c r="BS629" s="63"/>
      <c r="BT629" s="63"/>
      <c r="BU629" s="63"/>
      <c r="BV629" s="63"/>
      <c r="BW629" s="63"/>
    </row>
    <row r="630" spans="1:75" x14ac:dyDescent="0.2">
      <c r="A630" s="63" t="str">
        <f t="shared" si="117"/>
        <v/>
      </c>
      <c r="B630" s="182"/>
      <c r="C630" s="75"/>
      <c r="D630" s="75"/>
      <c r="E630" s="74"/>
      <c r="F630" s="181"/>
      <c r="G630" s="69"/>
      <c r="AB630" s="150">
        <f t="shared" si="108"/>
        <v>0</v>
      </c>
      <c r="AC630" s="150">
        <f t="shared" si="109"/>
        <v>0</v>
      </c>
      <c r="AD630" s="98" t="str">
        <f t="shared" si="118"/>
        <v>0000000000</v>
      </c>
      <c r="AE630" s="151">
        <f t="shared" si="111"/>
        <v>0</v>
      </c>
      <c r="AF630" s="98" t="str">
        <f t="shared" si="112"/>
        <v>00</v>
      </c>
      <c r="AG630" s="98" t="str">
        <f t="shared" si="119"/>
        <v>000000000000</v>
      </c>
      <c r="AH630" s="161" t="str">
        <f t="shared" si="113"/>
        <v xml:space="preserve">                    </v>
      </c>
      <c r="AI630" s="154">
        <f t="shared" si="114"/>
        <v>0</v>
      </c>
      <c r="AJ630" s="155">
        <f t="shared" si="115"/>
        <v>0</v>
      </c>
      <c r="AP630" s="63" t="str">
        <f t="shared" si="116"/>
        <v/>
      </c>
      <c r="AQ630" s="63" t="str">
        <f t="shared" si="110"/>
        <v xml:space="preserve">                    </v>
      </c>
      <c r="AR630" s="63"/>
      <c r="AS630" s="63"/>
      <c r="AT630" s="63"/>
      <c r="AU630" s="63"/>
      <c r="AV630" s="63"/>
      <c r="AW630" s="63"/>
      <c r="AX630" s="63"/>
      <c r="AY630" s="63"/>
      <c r="AZ630" s="63"/>
      <c r="BA630" s="63"/>
      <c r="BB630" s="63"/>
      <c r="BC630" s="63"/>
      <c r="BD630" s="63"/>
      <c r="BE630" s="63"/>
      <c r="BF630" s="63"/>
      <c r="BG630" s="63"/>
      <c r="BH630" s="63"/>
      <c r="BI630" s="63"/>
      <c r="BJ630" s="63"/>
      <c r="BK630" s="63"/>
      <c r="BL630" s="63"/>
      <c r="BM630" s="63"/>
      <c r="BN630" s="63"/>
      <c r="BO630" s="63"/>
      <c r="BP630" s="63"/>
      <c r="BQ630" s="63"/>
      <c r="BR630" s="63"/>
      <c r="BS630" s="63"/>
      <c r="BT630" s="63"/>
      <c r="BU630" s="63"/>
      <c r="BV630" s="63"/>
      <c r="BW630" s="63"/>
    </row>
    <row r="631" spans="1:75" x14ac:dyDescent="0.2">
      <c r="A631" s="63" t="str">
        <f t="shared" si="117"/>
        <v/>
      </c>
      <c r="B631" s="182"/>
      <c r="C631" s="75"/>
      <c r="D631" s="75"/>
      <c r="E631" s="74"/>
      <c r="F631" s="181"/>
      <c r="G631" s="69"/>
      <c r="AB631" s="150">
        <f t="shared" si="108"/>
        <v>0</v>
      </c>
      <c r="AC631" s="150">
        <f t="shared" si="109"/>
        <v>0</v>
      </c>
      <c r="AD631" s="98" t="str">
        <f t="shared" si="118"/>
        <v>0000000000</v>
      </c>
      <c r="AE631" s="151">
        <f t="shared" si="111"/>
        <v>0</v>
      </c>
      <c r="AF631" s="98" t="str">
        <f t="shared" si="112"/>
        <v>00</v>
      </c>
      <c r="AG631" s="98" t="str">
        <f t="shared" si="119"/>
        <v>000000000000</v>
      </c>
      <c r="AH631" s="161" t="str">
        <f t="shared" si="113"/>
        <v xml:space="preserve">                    </v>
      </c>
      <c r="AI631" s="154">
        <f t="shared" si="114"/>
        <v>0</v>
      </c>
      <c r="AJ631" s="155">
        <f t="shared" si="115"/>
        <v>0</v>
      </c>
      <c r="AP631" s="63" t="str">
        <f t="shared" si="116"/>
        <v/>
      </c>
      <c r="AQ631" s="63" t="str">
        <f t="shared" si="110"/>
        <v xml:space="preserve">                    </v>
      </c>
      <c r="AR631" s="63"/>
      <c r="AS631" s="63"/>
      <c r="AT631" s="63"/>
      <c r="AU631" s="63"/>
      <c r="AV631" s="63"/>
      <c r="AW631" s="63"/>
      <c r="AX631" s="63"/>
      <c r="AY631" s="63"/>
      <c r="AZ631" s="63"/>
      <c r="BA631" s="63"/>
      <c r="BB631" s="63"/>
      <c r="BC631" s="63"/>
      <c r="BD631" s="63"/>
      <c r="BE631" s="63"/>
      <c r="BF631" s="63"/>
      <c r="BG631" s="63"/>
      <c r="BH631" s="63"/>
      <c r="BI631" s="63"/>
      <c r="BJ631" s="63"/>
      <c r="BK631" s="63"/>
      <c r="BL631" s="63"/>
      <c r="BM631" s="63"/>
      <c r="BN631" s="63"/>
      <c r="BO631" s="63"/>
      <c r="BP631" s="63"/>
      <c r="BQ631" s="63"/>
      <c r="BR631" s="63"/>
      <c r="BS631" s="63"/>
      <c r="BT631" s="63"/>
      <c r="BU631" s="63"/>
      <c r="BV631" s="63"/>
      <c r="BW631" s="63"/>
    </row>
    <row r="632" spans="1:75" x14ac:dyDescent="0.2">
      <c r="A632" s="63" t="str">
        <f t="shared" si="117"/>
        <v/>
      </c>
      <c r="B632" s="182"/>
      <c r="C632" s="75"/>
      <c r="D632" s="75"/>
      <c r="E632" s="74"/>
      <c r="F632" s="181"/>
      <c r="G632" s="69"/>
      <c r="AB632" s="150">
        <f t="shared" si="108"/>
        <v>0</v>
      </c>
      <c r="AC632" s="150">
        <f t="shared" si="109"/>
        <v>0</v>
      </c>
      <c r="AD632" s="98" t="str">
        <f t="shared" si="118"/>
        <v>0000000000</v>
      </c>
      <c r="AE632" s="151">
        <f t="shared" si="111"/>
        <v>0</v>
      </c>
      <c r="AF632" s="98" t="str">
        <f t="shared" si="112"/>
        <v>00</v>
      </c>
      <c r="AG632" s="98" t="str">
        <f t="shared" si="119"/>
        <v>000000000000</v>
      </c>
      <c r="AH632" s="161" t="str">
        <f t="shared" si="113"/>
        <v xml:space="preserve">                    </v>
      </c>
      <c r="AI632" s="154">
        <f t="shared" si="114"/>
        <v>0</v>
      </c>
      <c r="AJ632" s="155">
        <f t="shared" si="115"/>
        <v>0</v>
      </c>
      <c r="AP632" s="63" t="str">
        <f t="shared" si="116"/>
        <v/>
      </c>
      <c r="AQ632" s="63" t="str">
        <f t="shared" si="110"/>
        <v xml:space="preserve">                    </v>
      </c>
      <c r="AR632" s="63"/>
      <c r="AS632" s="63"/>
      <c r="AT632" s="63"/>
      <c r="AU632" s="63"/>
      <c r="AV632" s="63"/>
      <c r="AW632" s="63"/>
      <c r="AX632" s="63"/>
      <c r="AY632" s="63"/>
      <c r="AZ632" s="63"/>
      <c r="BA632" s="63"/>
      <c r="BB632" s="63"/>
      <c r="BC632" s="63"/>
      <c r="BD632" s="63"/>
      <c r="BE632" s="63"/>
      <c r="BF632" s="63"/>
      <c r="BG632" s="63"/>
      <c r="BH632" s="63"/>
      <c r="BI632" s="63"/>
      <c r="BJ632" s="63"/>
      <c r="BK632" s="63"/>
      <c r="BL632" s="63"/>
      <c r="BM632" s="63"/>
      <c r="BN632" s="63"/>
      <c r="BO632" s="63"/>
      <c r="BP632" s="63"/>
      <c r="BQ632" s="63"/>
      <c r="BR632" s="63"/>
      <c r="BS632" s="63"/>
      <c r="BT632" s="63"/>
      <c r="BU632" s="63"/>
      <c r="BV632" s="63"/>
      <c r="BW632" s="63"/>
    </row>
    <row r="633" spans="1:75" x14ac:dyDescent="0.2">
      <c r="A633" s="63" t="str">
        <f t="shared" si="117"/>
        <v/>
      </c>
      <c r="B633" s="182"/>
      <c r="C633" s="75"/>
      <c r="D633" s="75"/>
      <c r="E633" s="74"/>
      <c r="F633" s="181"/>
      <c r="G633" s="69"/>
      <c r="AB633" s="150">
        <f t="shared" si="108"/>
        <v>0</v>
      </c>
      <c r="AC633" s="150">
        <f t="shared" si="109"/>
        <v>0</v>
      </c>
      <c r="AD633" s="98" t="str">
        <f t="shared" si="118"/>
        <v>0000000000</v>
      </c>
      <c r="AE633" s="151">
        <f t="shared" si="111"/>
        <v>0</v>
      </c>
      <c r="AF633" s="98" t="str">
        <f t="shared" si="112"/>
        <v>00</v>
      </c>
      <c r="AG633" s="98" t="str">
        <f t="shared" si="119"/>
        <v>000000000000</v>
      </c>
      <c r="AH633" s="161" t="str">
        <f t="shared" si="113"/>
        <v xml:space="preserve">                    </v>
      </c>
      <c r="AI633" s="154">
        <f t="shared" si="114"/>
        <v>0</v>
      </c>
      <c r="AJ633" s="155">
        <f t="shared" si="115"/>
        <v>0</v>
      </c>
      <c r="AP633" s="63" t="str">
        <f t="shared" si="116"/>
        <v/>
      </c>
      <c r="AQ633" s="63" t="str">
        <f t="shared" si="110"/>
        <v xml:space="preserve">                    </v>
      </c>
      <c r="AR633" s="63"/>
      <c r="AS633" s="63"/>
      <c r="AT633" s="63"/>
      <c r="AU633" s="63"/>
      <c r="AV633" s="63"/>
      <c r="AW633" s="63"/>
      <c r="AX633" s="63"/>
      <c r="AY633" s="63"/>
      <c r="AZ633" s="63"/>
      <c r="BA633" s="63"/>
      <c r="BB633" s="63"/>
      <c r="BC633" s="63"/>
      <c r="BD633" s="63"/>
      <c r="BE633" s="63"/>
      <c r="BF633" s="63"/>
      <c r="BG633" s="63"/>
      <c r="BH633" s="63"/>
      <c r="BI633" s="63"/>
      <c r="BJ633" s="63"/>
      <c r="BK633" s="63"/>
      <c r="BL633" s="63"/>
      <c r="BM633" s="63"/>
      <c r="BN633" s="63"/>
      <c r="BO633" s="63"/>
      <c r="BP633" s="63"/>
      <c r="BQ633" s="63"/>
      <c r="BR633" s="63"/>
      <c r="BS633" s="63"/>
      <c r="BT633" s="63"/>
      <c r="BU633" s="63"/>
      <c r="BV633" s="63"/>
      <c r="BW633" s="63"/>
    </row>
    <row r="634" spans="1:75" x14ac:dyDescent="0.2">
      <c r="A634" s="63" t="str">
        <f t="shared" si="117"/>
        <v/>
      </c>
      <c r="B634" s="182"/>
      <c r="C634" s="75"/>
      <c r="D634" s="75"/>
      <c r="E634" s="74"/>
      <c r="F634" s="181"/>
      <c r="G634" s="69"/>
      <c r="AB634" s="150">
        <f t="shared" si="108"/>
        <v>0</v>
      </c>
      <c r="AC634" s="150">
        <f t="shared" si="109"/>
        <v>0</v>
      </c>
      <c r="AD634" s="98" t="str">
        <f t="shared" si="118"/>
        <v>0000000000</v>
      </c>
      <c r="AE634" s="151">
        <f t="shared" si="111"/>
        <v>0</v>
      </c>
      <c r="AF634" s="98" t="str">
        <f t="shared" si="112"/>
        <v>00</v>
      </c>
      <c r="AG634" s="98" t="str">
        <f t="shared" si="119"/>
        <v>000000000000</v>
      </c>
      <c r="AH634" s="161" t="str">
        <f t="shared" si="113"/>
        <v xml:space="preserve">                    </v>
      </c>
      <c r="AI634" s="154">
        <f t="shared" si="114"/>
        <v>0</v>
      </c>
      <c r="AJ634" s="155">
        <f t="shared" si="115"/>
        <v>0</v>
      </c>
      <c r="AP634" s="63" t="str">
        <f t="shared" si="116"/>
        <v/>
      </c>
      <c r="AQ634" s="63" t="str">
        <f t="shared" si="110"/>
        <v xml:space="preserve">                    </v>
      </c>
      <c r="AR634" s="63"/>
      <c r="AS634" s="63"/>
      <c r="AT634" s="63"/>
      <c r="AU634" s="63"/>
      <c r="AV634" s="63"/>
      <c r="AW634" s="63"/>
      <c r="AX634" s="63"/>
      <c r="AY634" s="63"/>
      <c r="AZ634" s="63"/>
      <c r="BA634" s="63"/>
      <c r="BB634" s="63"/>
      <c r="BC634" s="63"/>
      <c r="BD634" s="63"/>
      <c r="BE634" s="63"/>
      <c r="BF634" s="63"/>
      <c r="BG634" s="63"/>
      <c r="BH634" s="63"/>
      <c r="BI634" s="63"/>
      <c r="BJ634" s="63"/>
      <c r="BK634" s="63"/>
      <c r="BL634" s="63"/>
      <c r="BM634" s="63"/>
      <c r="BN634" s="63"/>
      <c r="BO634" s="63"/>
      <c r="BP634" s="63"/>
      <c r="BQ634" s="63"/>
      <c r="BR634" s="63"/>
      <c r="BS634" s="63"/>
      <c r="BT634" s="63"/>
      <c r="BU634" s="63"/>
      <c r="BV634" s="63"/>
      <c r="BW634" s="63"/>
    </row>
    <row r="635" spans="1:75" x14ac:dyDescent="0.2">
      <c r="A635" s="63" t="str">
        <f t="shared" si="117"/>
        <v/>
      </c>
      <c r="B635" s="182"/>
      <c r="C635" s="75"/>
      <c r="D635" s="75"/>
      <c r="E635" s="74"/>
      <c r="F635" s="181"/>
      <c r="G635" s="69"/>
      <c r="AB635" s="150">
        <f t="shared" si="108"/>
        <v>0</v>
      </c>
      <c r="AC635" s="150">
        <f t="shared" si="109"/>
        <v>0</v>
      </c>
      <c r="AD635" s="98" t="str">
        <f t="shared" si="118"/>
        <v>0000000000</v>
      </c>
      <c r="AE635" s="151">
        <f t="shared" si="111"/>
        <v>0</v>
      </c>
      <c r="AF635" s="98" t="str">
        <f t="shared" si="112"/>
        <v>00</v>
      </c>
      <c r="AG635" s="98" t="str">
        <f t="shared" si="119"/>
        <v>000000000000</v>
      </c>
      <c r="AH635" s="161" t="str">
        <f t="shared" si="113"/>
        <v xml:space="preserve">                    </v>
      </c>
      <c r="AI635" s="154">
        <f t="shared" si="114"/>
        <v>0</v>
      </c>
      <c r="AJ635" s="155">
        <f t="shared" si="115"/>
        <v>0</v>
      </c>
      <c r="AP635" s="63" t="str">
        <f t="shared" si="116"/>
        <v/>
      </c>
      <c r="AQ635" s="63" t="str">
        <f t="shared" si="110"/>
        <v xml:space="preserve">                    </v>
      </c>
      <c r="AR635" s="63"/>
      <c r="AS635" s="63"/>
      <c r="AT635" s="63"/>
      <c r="AU635" s="63"/>
      <c r="AV635" s="63"/>
      <c r="AW635" s="63"/>
      <c r="AX635" s="63"/>
      <c r="AY635" s="63"/>
      <c r="AZ635" s="63"/>
      <c r="BA635" s="63"/>
      <c r="BB635" s="63"/>
      <c r="BC635" s="63"/>
      <c r="BD635" s="63"/>
      <c r="BE635" s="63"/>
      <c r="BF635" s="63"/>
      <c r="BG635" s="63"/>
      <c r="BH635" s="63"/>
      <c r="BI635" s="63"/>
      <c r="BJ635" s="63"/>
      <c r="BK635" s="63"/>
      <c r="BL635" s="63"/>
      <c r="BM635" s="63"/>
      <c r="BN635" s="63"/>
      <c r="BO635" s="63"/>
      <c r="BP635" s="63"/>
      <c r="BQ635" s="63"/>
      <c r="BR635" s="63"/>
      <c r="BS635" s="63"/>
      <c r="BT635" s="63"/>
      <c r="BU635" s="63"/>
      <c r="BV635" s="63"/>
      <c r="BW635" s="63"/>
    </row>
    <row r="636" spans="1:75" x14ac:dyDescent="0.2">
      <c r="A636" s="63" t="str">
        <f t="shared" si="117"/>
        <v/>
      </c>
      <c r="B636" s="182"/>
      <c r="C636" s="75"/>
      <c r="D636" s="75"/>
      <c r="E636" s="74"/>
      <c r="F636" s="181"/>
      <c r="G636" s="69"/>
      <c r="AB636" s="150">
        <f t="shared" si="108"/>
        <v>0</v>
      </c>
      <c r="AC636" s="150">
        <f t="shared" si="109"/>
        <v>0</v>
      </c>
      <c r="AD636" s="98" t="str">
        <f t="shared" si="118"/>
        <v>0000000000</v>
      </c>
      <c r="AE636" s="151">
        <f t="shared" si="111"/>
        <v>0</v>
      </c>
      <c r="AF636" s="98" t="str">
        <f t="shared" si="112"/>
        <v>00</v>
      </c>
      <c r="AG636" s="98" t="str">
        <f t="shared" si="119"/>
        <v>000000000000</v>
      </c>
      <c r="AH636" s="161" t="str">
        <f t="shared" si="113"/>
        <v xml:space="preserve">                    </v>
      </c>
      <c r="AI636" s="154">
        <f t="shared" si="114"/>
        <v>0</v>
      </c>
      <c r="AJ636" s="155">
        <f t="shared" si="115"/>
        <v>0</v>
      </c>
      <c r="AP636" s="63" t="str">
        <f t="shared" si="116"/>
        <v/>
      </c>
      <c r="AQ636" s="63" t="str">
        <f t="shared" si="110"/>
        <v xml:space="preserve">                    </v>
      </c>
      <c r="AR636" s="63"/>
      <c r="AS636" s="63"/>
      <c r="AT636" s="63"/>
      <c r="AU636" s="63"/>
      <c r="AV636" s="63"/>
      <c r="AW636" s="63"/>
      <c r="AX636" s="63"/>
      <c r="AY636" s="63"/>
      <c r="AZ636" s="63"/>
      <c r="BA636" s="63"/>
      <c r="BB636" s="63"/>
      <c r="BC636" s="63"/>
      <c r="BD636" s="63"/>
      <c r="BE636" s="63"/>
      <c r="BF636" s="63"/>
      <c r="BG636" s="63"/>
      <c r="BH636" s="63"/>
      <c r="BI636" s="63"/>
      <c r="BJ636" s="63"/>
      <c r="BK636" s="63"/>
      <c r="BL636" s="63"/>
      <c r="BM636" s="63"/>
      <c r="BN636" s="63"/>
      <c r="BO636" s="63"/>
      <c r="BP636" s="63"/>
      <c r="BQ636" s="63"/>
      <c r="BR636" s="63"/>
      <c r="BS636" s="63"/>
      <c r="BT636" s="63"/>
      <c r="BU636" s="63"/>
      <c r="BV636" s="63"/>
      <c r="BW636" s="63"/>
    </row>
    <row r="637" spans="1:75" x14ac:dyDescent="0.2">
      <c r="A637" s="63" t="str">
        <f t="shared" si="117"/>
        <v/>
      </c>
      <c r="B637" s="182"/>
      <c r="C637" s="75"/>
      <c r="D637" s="75"/>
      <c r="E637" s="74"/>
      <c r="F637" s="181"/>
      <c r="G637" s="69"/>
      <c r="AB637" s="150">
        <f t="shared" si="108"/>
        <v>0</v>
      </c>
      <c r="AC637" s="150">
        <f t="shared" si="109"/>
        <v>0</v>
      </c>
      <c r="AD637" s="98" t="str">
        <f t="shared" si="118"/>
        <v>0000000000</v>
      </c>
      <c r="AE637" s="151">
        <f t="shared" si="111"/>
        <v>0</v>
      </c>
      <c r="AF637" s="98" t="str">
        <f t="shared" si="112"/>
        <v>00</v>
      </c>
      <c r="AG637" s="98" t="str">
        <f t="shared" si="119"/>
        <v>000000000000</v>
      </c>
      <c r="AH637" s="161" t="str">
        <f t="shared" si="113"/>
        <v xml:space="preserve">                    </v>
      </c>
      <c r="AI637" s="154">
        <f t="shared" si="114"/>
        <v>0</v>
      </c>
      <c r="AJ637" s="155">
        <f t="shared" si="115"/>
        <v>0</v>
      </c>
      <c r="AP637" s="63" t="str">
        <f t="shared" si="116"/>
        <v/>
      </c>
      <c r="AQ637" s="63" t="str">
        <f t="shared" si="110"/>
        <v xml:space="preserve">                    </v>
      </c>
      <c r="AR637" s="63"/>
      <c r="AS637" s="63"/>
      <c r="AT637" s="63"/>
      <c r="AU637" s="63"/>
      <c r="AV637" s="63"/>
      <c r="AW637" s="63"/>
      <c r="AX637" s="63"/>
      <c r="AY637" s="63"/>
      <c r="AZ637" s="63"/>
      <c r="BA637" s="63"/>
      <c r="BB637" s="63"/>
      <c r="BC637" s="63"/>
      <c r="BD637" s="63"/>
      <c r="BE637" s="63"/>
      <c r="BF637" s="63"/>
      <c r="BG637" s="63"/>
      <c r="BH637" s="63"/>
      <c r="BI637" s="63"/>
      <c r="BJ637" s="63"/>
      <c r="BK637" s="63"/>
      <c r="BL637" s="63"/>
      <c r="BM637" s="63"/>
      <c r="BN637" s="63"/>
      <c r="BO637" s="63"/>
      <c r="BP637" s="63"/>
      <c r="BQ637" s="63"/>
      <c r="BR637" s="63"/>
      <c r="BS637" s="63"/>
      <c r="BT637" s="63"/>
      <c r="BU637" s="63"/>
      <c r="BV637" s="63"/>
      <c r="BW637" s="63"/>
    </row>
    <row r="638" spans="1:75" x14ac:dyDescent="0.2">
      <c r="A638" s="63" t="str">
        <f t="shared" si="117"/>
        <v/>
      </c>
      <c r="B638" s="182"/>
      <c r="C638" s="75"/>
      <c r="D638" s="75"/>
      <c r="E638" s="74"/>
      <c r="F638" s="181"/>
      <c r="G638" s="69"/>
      <c r="AB638" s="150">
        <f t="shared" si="108"/>
        <v>0</v>
      </c>
      <c r="AC638" s="150">
        <f t="shared" si="109"/>
        <v>0</v>
      </c>
      <c r="AD638" s="98" t="str">
        <f t="shared" si="118"/>
        <v>0000000000</v>
      </c>
      <c r="AE638" s="151">
        <f t="shared" si="111"/>
        <v>0</v>
      </c>
      <c r="AF638" s="98" t="str">
        <f t="shared" si="112"/>
        <v>00</v>
      </c>
      <c r="AG638" s="98" t="str">
        <f t="shared" si="119"/>
        <v>000000000000</v>
      </c>
      <c r="AH638" s="161" t="str">
        <f t="shared" si="113"/>
        <v xml:space="preserve">                    </v>
      </c>
      <c r="AI638" s="154">
        <f t="shared" si="114"/>
        <v>0</v>
      </c>
      <c r="AJ638" s="155">
        <f t="shared" si="115"/>
        <v>0</v>
      </c>
      <c r="AP638" s="63" t="str">
        <f t="shared" si="116"/>
        <v/>
      </c>
      <c r="AQ638" s="63" t="str">
        <f t="shared" si="110"/>
        <v xml:space="preserve">                    </v>
      </c>
      <c r="AR638" s="63"/>
      <c r="AS638" s="63"/>
      <c r="AT638" s="63"/>
      <c r="AU638" s="63"/>
      <c r="AV638" s="63"/>
      <c r="AW638" s="63"/>
      <c r="AX638" s="63"/>
      <c r="AY638" s="63"/>
      <c r="AZ638" s="63"/>
      <c r="BA638" s="63"/>
      <c r="BB638" s="63"/>
      <c r="BC638" s="63"/>
      <c r="BD638" s="63"/>
      <c r="BE638" s="63"/>
      <c r="BF638" s="63"/>
      <c r="BG638" s="63"/>
      <c r="BH638" s="63"/>
      <c r="BI638" s="63"/>
      <c r="BJ638" s="63"/>
      <c r="BK638" s="63"/>
      <c r="BL638" s="63"/>
      <c r="BM638" s="63"/>
      <c r="BN638" s="63"/>
      <c r="BO638" s="63"/>
      <c r="BP638" s="63"/>
      <c r="BQ638" s="63"/>
      <c r="BR638" s="63"/>
      <c r="BS638" s="63"/>
      <c r="BT638" s="63"/>
      <c r="BU638" s="63"/>
      <c r="BV638" s="63"/>
      <c r="BW638" s="63"/>
    </row>
    <row r="639" spans="1:75" x14ac:dyDescent="0.2">
      <c r="A639" s="63" t="str">
        <f t="shared" si="117"/>
        <v/>
      </c>
      <c r="B639" s="182"/>
      <c r="C639" s="75"/>
      <c r="D639" s="75"/>
      <c r="E639" s="74"/>
      <c r="F639" s="181"/>
      <c r="G639" s="69"/>
      <c r="AB639" s="150">
        <f t="shared" si="108"/>
        <v>0</v>
      </c>
      <c r="AC639" s="150">
        <f t="shared" si="109"/>
        <v>0</v>
      </c>
      <c r="AD639" s="98" t="str">
        <f t="shared" si="118"/>
        <v>0000000000</v>
      </c>
      <c r="AE639" s="151">
        <f t="shared" si="111"/>
        <v>0</v>
      </c>
      <c r="AF639" s="98" t="str">
        <f t="shared" si="112"/>
        <v>00</v>
      </c>
      <c r="AG639" s="98" t="str">
        <f t="shared" si="119"/>
        <v>000000000000</v>
      </c>
      <c r="AH639" s="161" t="str">
        <f t="shared" si="113"/>
        <v xml:space="preserve">                    </v>
      </c>
      <c r="AI639" s="154">
        <f t="shared" si="114"/>
        <v>0</v>
      </c>
      <c r="AJ639" s="155">
        <f t="shared" si="115"/>
        <v>0</v>
      </c>
      <c r="AP639" s="63" t="str">
        <f t="shared" si="116"/>
        <v/>
      </c>
      <c r="AQ639" s="63" t="str">
        <f t="shared" si="110"/>
        <v xml:space="preserve">                    </v>
      </c>
      <c r="AR639" s="63"/>
      <c r="AS639" s="63"/>
      <c r="AT639" s="63"/>
      <c r="AU639" s="63"/>
      <c r="AV639" s="63"/>
      <c r="AW639" s="63"/>
      <c r="AX639" s="63"/>
      <c r="AY639" s="63"/>
      <c r="AZ639" s="63"/>
      <c r="BA639" s="63"/>
      <c r="BB639" s="63"/>
      <c r="BC639" s="63"/>
      <c r="BD639" s="63"/>
      <c r="BE639" s="63"/>
      <c r="BF639" s="63"/>
      <c r="BG639" s="63"/>
      <c r="BH639" s="63"/>
      <c r="BI639" s="63"/>
      <c r="BJ639" s="63"/>
      <c r="BK639" s="63"/>
      <c r="BL639" s="63"/>
      <c r="BM639" s="63"/>
      <c r="BN639" s="63"/>
      <c r="BO639" s="63"/>
      <c r="BP639" s="63"/>
      <c r="BQ639" s="63"/>
      <c r="BR639" s="63"/>
      <c r="BS639" s="63"/>
      <c r="BT639" s="63"/>
      <c r="BU639" s="63"/>
      <c r="BV639" s="63"/>
      <c r="BW639" s="63"/>
    </row>
    <row r="640" spans="1:75" x14ac:dyDescent="0.2">
      <c r="A640" s="63" t="str">
        <f t="shared" si="117"/>
        <v/>
      </c>
      <c r="B640" s="182"/>
      <c r="C640" s="75"/>
      <c r="D640" s="75"/>
      <c r="E640" s="74"/>
      <c r="F640" s="181"/>
      <c r="G640" s="69"/>
      <c r="AB640" s="150">
        <f t="shared" si="108"/>
        <v>0</v>
      </c>
      <c r="AC640" s="150">
        <f t="shared" si="109"/>
        <v>0</v>
      </c>
      <c r="AD640" s="98" t="str">
        <f t="shared" si="118"/>
        <v>0000000000</v>
      </c>
      <c r="AE640" s="151">
        <f t="shared" si="111"/>
        <v>0</v>
      </c>
      <c r="AF640" s="98" t="str">
        <f t="shared" si="112"/>
        <v>00</v>
      </c>
      <c r="AG640" s="98" t="str">
        <f t="shared" si="119"/>
        <v>000000000000</v>
      </c>
      <c r="AH640" s="161" t="str">
        <f t="shared" si="113"/>
        <v xml:space="preserve">                    </v>
      </c>
      <c r="AI640" s="154">
        <f t="shared" si="114"/>
        <v>0</v>
      </c>
      <c r="AJ640" s="155">
        <f t="shared" si="115"/>
        <v>0</v>
      </c>
      <c r="AP640" s="63" t="str">
        <f t="shared" si="116"/>
        <v/>
      </c>
      <c r="AQ640" s="63" t="str">
        <f t="shared" si="110"/>
        <v xml:space="preserve">                    </v>
      </c>
      <c r="AR640" s="63"/>
      <c r="AS640" s="63"/>
      <c r="AT640" s="63"/>
      <c r="AU640" s="63"/>
      <c r="AV640" s="63"/>
      <c r="AW640" s="63"/>
      <c r="AX640" s="63"/>
      <c r="AY640" s="63"/>
      <c r="AZ640" s="63"/>
      <c r="BA640" s="63"/>
      <c r="BB640" s="63"/>
      <c r="BC640" s="63"/>
      <c r="BD640" s="63"/>
      <c r="BE640" s="63"/>
      <c r="BF640" s="63"/>
      <c r="BG640" s="63"/>
      <c r="BH640" s="63"/>
      <c r="BI640" s="63"/>
      <c r="BJ640" s="63"/>
      <c r="BK640" s="63"/>
      <c r="BL640" s="63"/>
      <c r="BM640" s="63"/>
      <c r="BN640" s="63"/>
      <c r="BO640" s="63"/>
      <c r="BP640" s="63"/>
      <c r="BQ640" s="63"/>
      <c r="BR640" s="63"/>
      <c r="BS640" s="63"/>
      <c r="BT640" s="63"/>
      <c r="BU640" s="63"/>
      <c r="BV640" s="63"/>
      <c r="BW640" s="63"/>
    </row>
    <row r="641" spans="1:75" x14ac:dyDescent="0.2">
      <c r="A641" s="63" t="str">
        <f t="shared" si="117"/>
        <v/>
      </c>
      <c r="B641" s="182"/>
      <c r="C641" s="75"/>
      <c r="D641" s="75"/>
      <c r="E641" s="74"/>
      <c r="F641" s="181"/>
      <c r="G641" s="69"/>
      <c r="AB641" s="150">
        <f t="shared" si="108"/>
        <v>0</v>
      </c>
      <c r="AC641" s="150">
        <f t="shared" si="109"/>
        <v>0</v>
      </c>
      <c r="AD641" s="98" t="str">
        <f t="shared" si="118"/>
        <v>0000000000</v>
      </c>
      <c r="AE641" s="151">
        <f t="shared" si="111"/>
        <v>0</v>
      </c>
      <c r="AF641" s="98" t="str">
        <f t="shared" si="112"/>
        <v>00</v>
      </c>
      <c r="AG641" s="98" t="str">
        <f t="shared" si="119"/>
        <v>000000000000</v>
      </c>
      <c r="AH641" s="161" t="str">
        <f t="shared" si="113"/>
        <v xml:space="preserve">                    </v>
      </c>
      <c r="AI641" s="154">
        <f t="shared" si="114"/>
        <v>0</v>
      </c>
      <c r="AJ641" s="155">
        <f t="shared" si="115"/>
        <v>0</v>
      </c>
      <c r="AP641" s="63" t="str">
        <f t="shared" si="116"/>
        <v/>
      </c>
      <c r="AQ641" s="63" t="str">
        <f t="shared" si="110"/>
        <v xml:space="preserve">                    </v>
      </c>
      <c r="AR641" s="63"/>
      <c r="AS641" s="63"/>
      <c r="AT641" s="63"/>
      <c r="AU641" s="63"/>
      <c r="AV641" s="63"/>
      <c r="AW641" s="63"/>
      <c r="AX641" s="63"/>
      <c r="AY641" s="63"/>
      <c r="AZ641" s="63"/>
      <c r="BA641" s="63"/>
      <c r="BB641" s="63"/>
      <c r="BC641" s="63"/>
      <c r="BD641" s="63"/>
      <c r="BE641" s="63"/>
      <c r="BF641" s="63"/>
      <c r="BG641" s="63"/>
      <c r="BH641" s="63"/>
      <c r="BI641" s="63"/>
      <c r="BJ641" s="63"/>
      <c r="BK641" s="63"/>
      <c r="BL641" s="63"/>
      <c r="BM641" s="63"/>
      <c r="BN641" s="63"/>
      <c r="BO641" s="63"/>
      <c r="BP641" s="63"/>
      <c r="BQ641" s="63"/>
      <c r="BR641" s="63"/>
      <c r="BS641" s="63"/>
      <c r="BT641" s="63"/>
      <c r="BU641" s="63"/>
      <c r="BV641" s="63"/>
      <c r="BW641" s="63"/>
    </row>
    <row r="642" spans="1:75" x14ac:dyDescent="0.2">
      <c r="A642" s="63" t="str">
        <f t="shared" si="117"/>
        <v/>
      </c>
      <c r="B642" s="182"/>
      <c r="C642" s="75"/>
      <c r="D642" s="75"/>
      <c r="E642" s="74"/>
      <c r="F642" s="181"/>
      <c r="G642" s="69"/>
      <c r="AB642" s="150">
        <f t="shared" si="108"/>
        <v>0</v>
      </c>
      <c r="AC642" s="150">
        <f t="shared" si="109"/>
        <v>0</v>
      </c>
      <c r="AD642" s="98" t="str">
        <f t="shared" si="118"/>
        <v>0000000000</v>
      </c>
      <c r="AE642" s="151">
        <f t="shared" si="111"/>
        <v>0</v>
      </c>
      <c r="AF642" s="98" t="str">
        <f t="shared" si="112"/>
        <v>00</v>
      </c>
      <c r="AG642" s="98" t="str">
        <f t="shared" si="119"/>
        <v>000000000000</v>
      </c>
      <c r="AH642" s="161" t="str">
        <f t="shared" si="113"/>
        <v xml:space="preserve">                    </v>
      </c>
      <c r="AI642" s="154">
        <f t="shared" si="114"/>
        <v>0</v>
      </c>
      <c r="AJ642" s="155">
        <f t="shared" si="115"/>
        <v>0</v>
      </c>
      <c r="AP642" s="63" t="str">
        <f t="shared" si="116"/>
        <v/>
      </c>
      <c r="AQ642" s="63" t="str">
        <f t="shared" si="110"/>
        <v xml:space="preserve">                    </v>
      </c>
      <c r="AR642" s="63"/>
      <c r="AS642" s="63"/>
      <c r="AT642" s="63"/>
      <c r="AU642" s="63"/>
      <c r="AV642" s="63"/>
      <c r="AW642" s="63"/>
      <c r="AX642" s="63"/>
      <c r="AY642" s="63"/>
      <c r="AZ642" s="63"/>
      <c r="BA642" s="63"/>
      <c r="BB642" s="63"/>
      <c r="BC642" s="63"/>
      <c r="BD642" s="63"/>
      <c r="BE642" s="63"/>
      <c r="BF642" s="63"/>
      <c r="BG642" s="63"/>
      <c r="BH642" s="63"/>
      <c r="BI642" s="63"/>
      <c r="BJ642" s="63"/>
      <c r="BK642" s="63"/>
      <c r="BL642" s="63"/>
      <c r="BM642" s="63"/>
      <c r="BN642" s="63"/>
      <c r="BO642" s="63"/>
      <c r="BP642" s="63"/>
      <c r="BQ642" s="63"/>
      <c r="BR642" s="63"/>
      <c r="BS642" s="63"/>
      <c r="BT642" s="63"/>
      <c r="BU642" s="63"/>
      <c r="BV642" s="63"/>
      <c r="BW642" s="63"/>
    </row>
    <row r="643" spans="1:75" x14ac:dyDescent="0.2">
      <c r="A643" s="63" t="str">
        <f t="shared" si="117"/>
        <v/>
      </c>
      <c r="B643" s="182"/>
      <c r="C643" s="75"/>
      <c r="D643" s="75"/>
      <c r="E643" s="74"/>
      <c r="F643" s="181"/>
      <c r="G643" s="69"/>
      <c r="AB643" s="150">
        <f t="shared" ref="AB643:AB706" si="120">INT(F643)</f>
        <v>0</v>
      </c>
      <c r="AC643" s="150">
        <f t="shared" ref="AC643:AC706" si="121">F643-AB643</f>
        <v>0</v>
      </c>
      <c r="AD643" s="98" t="str">
        <f t="shared" si="118"/>
        <v>0000000000</v>
      </c>
      <c r="AE643" s="151">
        <f t="shared" si="111"/>
        <v>0</v>
      </c>
      <c r="AF643" s="98" t="str">
        <f t="shared" si="112"/>
        <v>00</v>
      </c>
      <c r="AG643" s="98" t="str">
        <f t="shared" si="119"/>
        <v>000000000000</v>
      </c>
      <c r="AH643" s="161" t="str">
        <f t="shared" si="113"/>
        <v xml:space="preserve">                    </v>
      </c>
      <c r="AI643" s="154">
        <f t="shared" si="114"/>
        <v>0</v>
      </c>
      <c r="AJ643" s="155">
        <f t="shared" si="115"/>
        <v>0</v>
      </c>
      <c r="AP643" s="63" t="str">
        <f t="shared" si="116"/>
        <v/>
      </c>
      <c r="AQ643" s="63" t="str">
        <f t="shared" ref="AQ643:AQ706" si="122">CONCATENATE(D643,REPT(" ",20-LEN(D643)))</f>
        <v xml:space="preserve">                    </v>
      </c>
      <c r="AR643" s="63"/>
      <c r="AS643" s="63"/>
      <c r="AT643" s="63"/>
      <c r="AU643" s="63"/>
      <c r="AV643" s="63"/>
      <c r="AW643" s="63"/>
      <c r="AX643" s="63"/>
      <c r="AY643" s="63"/>
      <c r="AZ643" s="63"/>
      <c r="BA643" s="63"/>
      <c r="BB643" s="63"/>
      <c r="BC643" s="63"/>
      <c r="BD643" s="63"/>
      <c r="BE643" s="63"/>
      <c r="BF643" s="63"/>
      <c r="BG643" s="63"/>
      <c r="BH643" s="63"/>
      <c r="BI643" s="63"/>
      <c r="BJ643" s="63"/>
      <c r="BK643" s="63"/>
      <c r="BL643" s="63"/>
      <c r="BM643" s="63"/>
      <c r="BN643" s="63"/>
      <c r="BO643" s="63"/>
      <c r="BP643" s="63"/>
      <c r="BQ643" s="63"/>
      <c r="BR643" s="63"/>
      <c r="BS643" s="63"/>
      <c r="BT643" s="63"/>
      <c r="BU643" s="63"/>
      <c r="BV643" s="63"/>
      <c r="BW643" s="63"/>
    </row>
    <row r="644" spans="1:75" x14ac:dyDescent="0.2">
      <c r="A644" s="63" t="str">
        <f t="shared" si="117"/>
        <v/>
      </c>
      <c r="B644" s="182"/>
      <c r="C644" s="75"/>
      <c r="D644" s="75"/>
      <c r="E644" s="74"/>
      <c r="F644" s="181"/>
      <c r="G644" s="69"/>
      <c r="AB644" s="150">
        <f t="shared" si="120"/>
        <v>0</v>
      </c>
      <c r="AC644" s="150">
        <f t="shared" si="121"/>
        <v>0</v>
      </c>
      <c r="AD644" s="98" t="str">
        <f t="shared" si="118"/>
        <v>0000000000</v>
      </c>
      <c r="AE644" s="151">
        <f t="shared" ref="AE644:AE707" si="123">AC644*100</f>
        <v>0</v>
      </c>
      <c r="AF644" s="98" t="str">
        <f t="shared" ref="AF644:AF707" si="124">TEXT(AE644,"00")</f>
        <v>00</v>
      </c>
      <c r="AG644" s="98" t="str">
        <f t="shared" si="119"/>
        <v>000000000000</v>
      </c>
      <c r="AH644" s="161" t="str">
        <f t="shared" ref="AH644:AH707" si="125">CONCATENATE(C644,REPT(" ",20-LEN(C644)))</f>
        <v xml:space="preserve">                    </v>
      </c>
      <c r="AI644" s="154">
        <f t="shared" ref="AI644:AI707" si="126">IF(E644&lt;&gt;"",IF(E644=$E$3,0,1),0)</f>
        <v>0</v>
      </c>
      <c r="AJ644" s="155">
        <f t="shared" ref="AJ644:AJ707" si="127">IF(AI644=1,IF($E$3=1,F644*$H$14,F644/$H$14),F644)</f>
        <v>0</v>
      </c>
      <c r="AP644" s="63" t="str">
        <f t="shared" ref="AP644:AP707" si="128">IF(B645&lt;&gt;"",CONCATENATE("000",B645,"0",E645,"2","    00000000",AG645,"            ",AQ645,AH645,"                                                                                               "),"")</f>
        <v/>
      </c>
      <c r="AQ644" s="63" t="str">
        <f t="shared" si="122"/>
        <v xml:space="preserve">                    </v>
      </c>
      <c r="AR644" s="63"/>
      <c r="AS644" s="63"/>
      <c r="AT644" s="63"/>
      <c r="AU644" s="63"/>
      <c r="AV644" s="63"/>
      <c r="AW644" s="63"/>
      <c r="AX644" s="63"/>
      <c r="AY644" s="63"/>
      <c r="AZ644" s="63"/>
      <c r="BA644" s="63"/>
      <c r="BB644" s="63"/>
      <c r="BC644" s="63"/>
      <c r="BD644" s="63"/>
      <c r="BE644" s="63"/>
      <c r="BF644" s="63"/>
      <c r="BG644" s="63"/>
      <c r="BH644" s="63"/>
      <c r="BI644" s="63"/>
      <c r="BJ644" s="63"/>
      <c r="BK644" s="63"/>
      <c r="BL644" s="63"/>
      <c r="BM644" s="63"/>
      <c r="BN644" s="63"/>
      <c r="BO644" s="63"/>
      <c r="BP644" s="63"/>
      <c r="BQ644" s="63"/>
      <c r="BR644" s="63"/>
      <c r="BS644" s="63"/>
      <c r="BT644" s="63"/>
      <c r="BU644" s="63"/>
      <c r="BV644" s="63"/>
      <c r="BW644" s="63"/>
    </row>
    <row r="645" spans="1:75" x14ac:dyDescent="0.2">
      <c r="A645" s="63" t="str">
        <f t="shared" si="117"/>
        <v/>
      </c>
      <c r="B645" s="182"/>
      <c r="C645" s="75"/>
      <c r="D645" s="75"/>
      <c r="E645" s="74"/>
      <c r="F645" s="181"/>
      <c r="G645" s="69"/>
      <c r="AB645" s="150">
        <f t="shared" si="120"/>
        <v>0</v>
      </c>
      <c r="AC645" s="150">
        <f t="shared" si="121"/>
        <v>0</v>
      </c>
      <c r="AD645" s="98" t="str">
        <f t="shared" si="118"/>
        <v>0000000000</v>
      </c>
      <c r="AE645" s="151">
        <f t="shared" si="123"/>
        <v>0</v>
      </c>
      <c r="AF645" s="98" t="str">
        <f t="shared" si="124"/>
        <v>00</v>
      </c>
      <c r="AG645" s="98" t="str">
        <f t="shared" si="119"/>
        <v>000000000000</v>
      </c>
      <c r="AH645" s="161" t="str">
        <f t="shared" si="125"/>
        <v xml:space="preserve">                    </v>
      </c>
      <c r="AI645" s="154">
        <f t="shared" si="126"/>
        <v>0</v>
      </c>
      <c r="AJ645" s="155">
        <f t="shared" si="127"/>
        <v>0</v>
      </c>
      <c r="AP645" s="63" t="str">
        <f t="shared" si="128"/>
        <v/>
      </c>
      <c r="AQ645" s="63" t="str">
        <f t="shared" si="122"/>
        <v xml:space="preserve">                    </v>
      </c>
      <c r="AR645" s="63"/>
      <c r="AS645" s="63"/>
      <c r="AT645" s="63"/>
      <c r="AU645" s="63"/>
      <c r="AV645" s="63"/>
      <c r="AW645" s="63"/>
      <c r="AX645" s="63"/>
      <c r="AY645" s="63"/>
      <c r="AZ645" s="63"/>
      <c r="BA645" s="63"/>
      <c r="BB645" s="63"/>
      <c r="BC645" s="63"/>
      <c r="BD645" s="63"/>
      <c r="BE645" s="63"/>
      <c r="BF645" s="63"/>
      <c r="BG645" s="63"/>
      <c r="BH645" s="63"/>
      <c r="BI645" s="63"/>
      <c r="BJ645" s="63"/>
      <c r="BK645" s="63"/>
      <c r="BL645" s="63"/>
      <c r="BM645" s="63"/>
      <c r="BN645" s="63"/>
      <c r="BO645" s="63"/>
      <c r="BP645" s="63"/>
      <c r="BQ645" s="63"/>
      <c r="BR645" s="63"/>
      <c r="BS645" s="63"/>
      <c r="BT645" s="63"/>
      <c r="BU645" s="63"/>
      <c r="BV645" s="63"/>
      <c r="BW645" s="63"/>
    </row>
    <row r="646" spans="1:75" x14ac:dyDescent="0.2">
      <c r="A646" s="63" t="str">
        <f t="shared" ref="A646:A709" si="129">IF(B646&lt;&gt;"",A645+1,"")</f>
        <v/>
      </c>
      <c r="B646" s="182"/>
      <c r="C646" s="75"/>
      <c r="D646" s="75"/>
      <c r="E646" s="74"/>
      <c r="F646" s="181"/>
      <c r="G646" s="69"/>
      <c r="AB646" s="150">
        <f t="shared" si="120"/>
        <v>0</v>
      </c>
      <c r="AC646" s="150">
        <f t="shared" si="121"/>
        <v>0</v>
      </c>
      <c r="AD646" s="98" t="str">
        <f t="shared" si="118"/>
        <v>0000000000</v>
      </c>
      <c r="AE646" s="151">
        <f t="shared" si="123"/>
        <v>0</v>
      </c>
      <c r="AF646" s="98" t="str">
        <f t="shared" si="124"/>
        <v>00</v>
      </c>
      <c r="AG646" s="98" t="str">
        <f t="shared" si="119"/>
        <v>000000000000</v>
      </c>
      <c r="AH646" s="161" t="str">
        <f t="shared" si="125"/>
        <v xml:space="preserve">                    </v>
      </c>
      <c r="AI646" s="154">
        <f t="shared" si="126"/>
        <v>0</v>
      </c>
      <c r="AJ646" s="155">
        <f t="shared" si="127"/>
        <v>0</v>
      </c>
      <c r="AP646" s="63" t="str">
        <f t="shared" si="128"/>
        <v/>
      </c>
      <c r="AQ646" s="63" t="str">
        <f t="shared" si="122"/>
        <v xml:space="preserve">                    </v>
      </c>
      <c r="AR646" s="63"/>
      <c r="AS646" s="63"/>
      <c r="AT646" s="63"/>
      <c r="AU646" s="63"/>
      <c r="AV646" s="63"/>
      <c r="AW646" s="63"/>
      <c r="AX646" s="63"/>
      <c r="AY646" s="63"/>
      <c r="AZ646" s="63"/>
      <c r="BA646" s="63"/>
      <c r="BB646" s="63"/>
      <c r="BC646" s="63"/>
      <c r="BD646" s="63"/>
      <c r="BE646" s="63"/>
      <c r="BF646" s="63"/>
      <c r="BG646" s="63"/>
      <c r="BH646" s="63"/>
      <c r="BI646" s="63"/>
      <c r="BJ646" s="63"/>
      <c r="BK646" s="63"/>
      <c r="BL646" s="63"/>
      <c r="BM646" s="63"/>
      <c r="BN646" s="63"/>
      <c r="BO646" s="63"/>
      <c r="BP646" s="63"/>
      <c r="BQ646" s="63"/>
      <c r="BR646" s="63"/>
      <c r="BS646" s="63"/>
      <c r="BT646" s="63"/>
      <c r="BU646" s="63"/>
      <c r="BV646" s="63"/>
      <c r="BW646" s="63"/>
    </row>
    <row r="647" spans="1:75" x14ac:dyDescent="0.2">
      <c r="A647" s="63" t="str">
        <f t="shared" si="129"/>
        <v/>
      </c>
      <c r="B647" s="182"/>
      <c r="C647" s="75"/>
      <c r="D647" s="75"/>
      <c r="E647" s="74"/>
      <c r="F647" s="181"/>
      <c r="G647" s="69"/>
      <c r="AB647" s="150">
        <f t="shared" si="120"/>
        <v>0</v>
      </c>
      <c r="AC647" s="150">
        <f t="shared" si="121"/>
        <v>0</v>
      </c>
      <c r="AD647" s="98" t="str">
        <f t="shared" si="118"/>
        <v>0000000000</v>
      </c>
      <c r="AE647" s="151">
        <f t="shared" si="123"/>
        <v>0</v>
      </c>
      <c r="AF647" s="98" t="str">
        <f t="shared" si="124"/>
        <v>00</v>
      </c>
      <c r="AG647" s="98" t="str">
        <f t="shared" si="119"/>
        <v>000000000000</v>
      </c>
      <c r="AH647" s="161" t="str">
        <f t="shared" si="125"/>
        <v xml:space="preserve">                    </v>
      </c>
      <c r="AI647" s="154">
        <f t="shared" si="126"/>
        <v>0</v>
      </c>
      <c r="AJ647" s="155">
        <f t="shared" si="127"/>
        <v>0</v>
      </c>
      <c r="AP647" s="63" t="str">
        <f t="shared" si="128"/>
        <v/>
      </c>
      <c r="AQ647" s="63" t="str">
        <f t="shared" si="122"/>
        <v xml:space="preserve">                    </v>
      </c>
      <c r="AR647" s="63"/>
      <c r="AS647" s="63"/>
      <c r="AT647" s="63"/>
      <c r="AU647" s="63"/>
      <c r="AV647" s="63"/>
      <c r="AW647" s="63"/>
      <c r="AX647" s="63"/>
      <c r="AY647" s="63"/>
      <c r="AZ647" s="63"/>
      <c r="BA647" s="63"/>
      <c r="BB647" s="63"/>
      <c r="BC647" s="63"/>
      <c r="BD647" s="63"/>
      <c r="BE647" s="63"/>
      <c r="BF647" s="63"/>
      <c r="BG647" s="63"/>
      <c r="BH647" s="63"/>
      <c r="BI647" s="63"/>
      <c r="BJ647" s="63"/>
      <c r="BK647" s="63"/>
      <c r="BL647" s="63"/>
      <c r="BM647" s="63"/>
      <c r="BN647" s="63"/>
      <c r="BO647" s="63"/>
      <c r="BP647" s="63"/>
      <c r="BQ647" s="63"/>
      <c r="BR647" s="63"/>
      <c r="BS647" s="63"/>
      <c r="BT647" s="63"/>
      <c r="BU647" s="63"/>
      <c r="BV647" s="63"/>
      <c r="BW647" s="63"/>
    </row>
    <row r="648" spans="1:75" x14ac:dyDescent="0.2">
      <c r="A648" s="63" t="str">
        <f t="shared" si="129"/>
        <v/>
      </c>
      <c r="B648" s="182"/>
      <c r="C648" s="75"/>
      <c r="D648" s="75"/>
      <c r="E648" s="74"/>
      <c r="F648" s="181"/>
      <c r="G648" s="69"/>
      <c r="AB648" s="150">
        <f t="shared" si="120"/>
        <v>0</v>
      </c>
      <c r="AC648" s="150">
        <f t="shared" si="121"/>
        <v>0</v>
      </c>
      <c r="AD648" s="98" t="str">
        <f t="shared" ref="AD648:AD711" si="130">TEXT(AB648,"0000000000")</f>
        <v>0000000000</v>
      </c>
      <c r="AE648" s="151">
        <f t="shared" si="123"/>
        <v>0</v>
      </c>
      <c r="AF648" s="98" t="str">
        <f t="shared" si="124"/>
        <v>00</v>
      </c>
      <c r="AG648" s="98" t="str">
        <f t="shared" ref="AG648:AG711" si="131">CONCATENATE(AD648,AF648)</f>
        <v>000000000000</v>
      </c>
      <c r="AH648" s="161" t="str">
        <f t="shared" si="125"/>
        <v xml:space="preserve">                    </v>
      </c>
      <c r="AI648" s="154">
        <f t="shared" si="126"/>
        <v>0</v>
      </c>
      <c r="AJ648" s="155">
        <f t="shared" si="127"/>
        <v>0</v>
      </c>
      <c r="AP648" s="63" t="str">
        <f t="shared" si="128"/>
        <v/>
      </c>
      <c r="AQ648" s="63" t="str">
        <f t="shared" si="122"/>
        <v xml:space="preserve">                    </v>
      </c>
      <c r="AR648" s="63"/>
      <c r="AS648" s="63"/>
      <c r="AT648" s="63"/>
      <c r="AU648" s="63"/>
      <c r="AV648" s="63"/>
      <c r="AW648" s="63"/>
      <c r="AX648" s="63"/>
      <c r="AY648" s="63"/>
      <c r="AZ648" s="63"/>
      <c r="BA648" s="63"/>
      <c r="BB648" s="63"/>
      <c r="BC648" s="63"/>
      <c r="BD648" s="63"/>
      <c r="BE648" s="63"/>
      <c r="BF648" s="63"/>
      <c r="BG648" s="63"/>
      <c r="BH648" s="63"/>
      <c r="BI648" s="63"/>
      <c r="BJ648" s="63"/>
      <c r="BK648" s="63"/>
      <c r="BL648" s="63"/>
      <c r="BM648" s="63"/>
      <c r="BN648" s="63"/>
      <c r="BO648" s="63"/>
      <c r="BP648" s="63"/>
      <c r="BQ648" s="63"/>
      <c r="BR648" s="63"/>
      <c r="BS648" s="63"/>
      <c r="BT648" s="63"/>
      <c r="BU648" s="63"/>
      <c r="BV648" s="63"/>
      <c r="BW648" s="63"/>
    </row>
    <row r="649" spans="1:75" x14ac:dyDescent="0.2">
      <c r="A649" s="63" t="str">
        <f t="shared" si="129"/>
        <v/>
      </c>
      <c r="B649" s="182"/>
      <c r="C649" s="75"/>
      <c r="D649" s="75"/>
      <c r="E649" s="74"/>
      <c r="F649" s="181"/>
      <c r="G649" s="69"/>
      <c r="AB649" s="150">
        <f t="shared" si="120"/>
        <v>0</v>
      </c>
      <c r="AC649" s="150">
        <f t="shared" si="121"/>
        <v>0</v>
      </c>
      <c r="AD649" s="98" t="str">
        <f t="shared" si="130"/>
        <v>0000000000</v>
      </c>
      <c r="AE649" s="151">
        <f t="shared" si="123"/>
        <v>0</v>
      </c>
      <c r="AF649" s="98" t="str">
        <f t="shared" si="124"/>
        <v>00</v>
      </c>
      <c r="AG649" s="98" t="str">
        <f t="shared" si="131"/>
        <v>000000000000</v>
      </c>
      <c r="AH649" s="161" t="str">
        <f t="shared" si="125"/>
        <v xml:space="preserve">                    </v>
      </c>
      <c r="AI649" s="154">
        <f t="shared" si="126"/>
        <v>0</v>
      </c>
      <c r="AJ649" s="155">
        <f t="shared" si="127"/>
        <v>0</v>
      </c>
      <c r="AP649" s="63" t="str">
        <f t="shared" si="128"/>
        <v/>
      </c>
      <c r="AQ649" s="63" t="str">
        <f t="shared" si="122"/>
        <v xml:space="preserve">                    </v>
      </c>
      <c r="AR649" s="63"/>
      <c r="AS649" s="63"/>
      <c r="AT649" s="63"/>
      <c r="AU649" s="63"/>
      <c r="AV649" s="63"/>
      <c r="AW649" s="63"/>
      <c r="AX649" s="63"/>
      <c r="AY649" s="63"/>
      <c r="AZ649" s="63"/>
      <c r="BA649" s="63"/>
      <c r="BB649" s="63"/>
      <c r="BC649" s="63"/>
      <c r="BD649" s="63"/>
      <c r="BE649" s="63"/>
      <c r="BF649" s="63"/>
      <c r="BG649" s="63"/>
      <c r="BH649" s="63"/>
      <c r="BI649" s="63"/>
      <c r="BJ649" s="63"/>
      <c r="BK649" s="63"/>
      <c r="BL649" s="63"/>
      <c r="BM649" s="63"/>
      <c r="BN649" s="63"/>
      <c r="BO649" s="63"/>
      <c r="BP649" s="63"/>
      <c r="BQ649" s="63"/>
      <c r="BR649" s="63"/>
      <c r="BS649" s="63"/>
      <c r="BT649" s="63"/>
      <c r="BU649" s="63"/>
      <c r="BV649" s="63"/>
      <c r="BW649" s="63"/>
    </row>
    <row r="650" spans="1:75" x14ac:dyDescent="0.2">
      <c r="A650" s="63" t="str">
        <f t="shared" si="129"/>
        <v/>
      </c>
      <c r="B650" s="182"/>
      <c r="C650" s="75"/>
      <c r="D650" s="75"/>
      <c r="E650" s="74"/>
      <c r="F650" s="181"/>
      <c r="G650" s="69"/>
      <c r="AB650" s="150">
        <f t="shared" si="120"/>
        <v>0</v>
      </c>
      <c r="AC650" s="150">
        <f t="shared" si="121"/>
        <v>0</v>
      </c>
      <c r="AD650" s="98" t="str">
        <f t="shared" si="130"/>
        <v>0000000000</v>
      </c>
      <c r="AE650" s="151">
        <f t="shared" si="123"/>
        <v>0</v>
      </c>
      <c r="AF650" s="98" t="str">
        <f t="shared" si="124"/>
        <v>00</v>
      </c>
      <c r="AG650" s="98" t="str">
        <f t="shared" si="131"/>
        <v>000000000000</v>
      </c>
      <c r="AH650" s="161" t="str">
        <f t="shared" si="125"/>
        <v xml:space="preserve">                    </v>
      </c>
      <c r="AI650" s="154">
        <f t="shared" si="126"/>
        <v>0</v>
      </c>
      <c r="AJ650" s="155">
        <f t="shared" si="127"/>
        <v>0</v>
      </c>
      <c r="AP650" s="63" t="str">
        <f t="shared" si="128"/>
        <v/>
      </c>
      <c r="AQ650" s="63" t="str">
        <f t="shared" si="122"/>
        <v xml:space="preserve">                    </v>
      </c>
      <c r="AR650" s="63"/>
      <c r="AS650" s="63"/>
      <c r="AT650" s="63"/>
      <c r="AU650" s="63"/>
      <c r="AV650" s="63"/>
      <c r="AW650" s="63"/>
      <c r="AX650" s="63"/>
      <c r="AY650" s="63"/>
      <c r="AZ650" s="63"/>
      <c r="BA650" s="63"/>
      <c r="BB650" s="63"/>
      <c r="BC650" s="63"/>
      <c r="BD650" s="63"/>
      <c r="BE650" s="63"/>
      <c r="BF650" s="63"/>
      <c r="BG650" s="63"/>
      <c r="BH650" s="63"/>
      <c r="BI650" s="63"/>
      <c r="BJ650" s="63"/>
      <c r="BK650" s="63"/>
      <c r="BL650" s="63"/>
      <c r="BM650" s="63"/>
      <c r="BN650" s="63"/>
      <c r="BO650" s="63"/>
      <c r="BP650" s="63"/>
      <c r="BQ650" s="63"/>
      <c r="BR650" s="63"/>
      <c r="BS650" s="63"/>
      <c r="BT650" s="63"/>
      <c r="BU650" s="63"/>
      <c r="BV650" s="63"/>
      <c r="BW650" s="63"/>
    </row>
    <row r="651" spans="1:75" x14ac:dyDescent="0.2">
      <c r="A651" s="63" t="str">
        <f t="shared" si="129"/>
        <v/>
      </c>
      <c r="B651" s="182"/>
      <c r="C651" s="75"/>
      <c r="D651" s="75"/>
      <c r="E651" s="74"/>
      <c r="F651" s="181"/>
      <c r="G651" s="69"/>
      <c r="AB651" s="150">
        <f t="shared" si="120"/>
        <v>0</v>
      </c>
      <c r="AC651" s="150">
        <f t="shared" si="121"/>
        <v>0</v>
      </c>
      <c r="AD651" s="98" t="str">
        <f t="shared" si="130"/>
        <v>0000000000</v>
      </c>
      <c r="AE651" s="151">
        <f t="shared" si="123"/>
        <v>0</v>
      </c>
      <c r="AF651" s="98" t="str">
        <f t="shared" si="124"/>
        <v>00</v>
      </c>
      <c r="AG651" s="98" t="str">
        <f t="shared" si="131"/>
        <v>000000000000</v>
      </c>
      <c r="AH651" s="161" t="str">
        <f t="shared" si="125"/>
        <v xml:space="preserve">                    </v>
      </c>
      <c r="AI651" s="154">
        <f t="shared" si="126"/>
        <v>0</v>
      </c>
      <c r="AJ651" s="155">
        <f t="shared" si="127"/>
        <v>0</v>
      </c>
      <c r="AP651" s="63" t="str">
        <f t="shared" si="128"/>
        <v/>
      </c>
      <c r="AQ651" s="63" t="str">
        <f t="shared" si="122"/>
        <v xml:space="preserve">                    </v>
      </c>
      <c r="AR651" s="63"/>
      <c r="AS651" s="63"/>
      <c r="AT651" s="63"/>
      <c r="AU651" s="63"/>
      <c r="AV651" s="63"/>
      <c r="AW651" s="63"/>
      <c r="AX651" s="63"/>
      <c r="AY651" s="63"/>
      <c r="AZ651" s="63"/>
      <c r="BA651" s="63"/>
      <c r="BB651" s="63"/>
      <c r="BC651" s="63"/>
      <c r="BD651" s="63"/>
      <c r="BE651" s="63"/>
      <c r="BF651" s="63"/>
      <c r="BG651" s="63"/>
      <c r="BH651" s="63"/>
      <c r="BI651" s="63"/>
      <c r="BJ651" s="63"/>
      <c r="BK651" s="63"/>
      <c r="BL651" s="63"/>
      <c r="BM651" s="63"/>
      <c r="BN651" s="63"/>
      <c r="BO651" s="63"/>
      <c r="BP651" s="63"/>
      <c r="BQ651" s="63"/>
      <c r="BR651" s="63"/>
      <c r="BS651" s="63"/>
      <c r="BT651" s="63"/>
      <c r="BU651" s="63"/>
      <c r="BV651" s="63"/>
      <c r="BW651" s="63"/>
    </row>
    <row r="652" spans="1:75" x14ac:dyDescent="0.2">
      <c r="A652" s="63" t="str">
        <f t="shared" si="129"/>
        <v/>
      </c>
      <c r="B652" s="182"/>
      <c r="C652" s="75"/>
      <c r="D652" s="75"/>
      <c r="E652" s="74"/>
      <c r="F652" s="181"/>
      <c r="G652" s="69"/>
      <c r="AB652" s="150">
        <f t="shared" si="120"/>
        <v>0</v>
      </c>
      <c r="AC652" s="150">
        <f t="shared" si="121"/>
        <v>0</v>
      </c>
      <c r="AD652" s="98" t="str">
        <f t="shared" si="130"/>
        <v>0000000000</v>
      </c>
      <c r="AE652" s="151">
        <f t="shared" si="123"/>
        <v>0</v>
      </c>
      <c r="AF652" s="98" t="str">
        <f t="shared" si="124"/>
        <v>00</v>
      </c>
      <c r="AG652" s="98" t="str">
        <f t="shared" si="131"/>
        <v>000000000000</v>
      </c>
      <c r="AH652" s="161" t="str">
        <f t="shared" si="125"/>
        <v xml:space="preserve">                    </v>
      </c>
      <c r="AI652" s="154">
        <f t="shared" si="126"/>
        <v>0</v>
      </c>
      <c r="AJ652" s="155">
        <f t="shared" si="127"/>
        <v>0</v>
      </c>
      <c r="AP652" s="63" t="str">
        <f t="shared" si="128"/>
        <v/>
      </c>
      <c r="AQ652" s="63" t="str">
        <f t="shared" si="122"/>
        <v xml:space="preserve">                    </v>
      </c>
      <c r="AR652" s="63"/>
      <c r="AS652" s="63"/>
      <c r="AT652" s="63"/>
      <c r="AU652" s="63"/>
      <c r="AV652" s="63"/>
      <c r="AW652" s="63"/>
      <c r="AX652" s="63"/>
      <c r="AY652" s="63"/>
      <c r="AZ652" s="63"/>
      <c r="BA652" s="63"/>
      <c r="BB652" s="63"/>
      <c r="BC652" s="63"/>
      <c r="BD652" s="63"/>
      <c r="BE652" s="63"/>
      <c r="BF652" s="63"/>
      <c r="BG652" s="63"/>
      <c r="BH652" s="63"/>
      <c r="BI652" s="63"/>
      <c r="BJ652" s="63"/>
      <c r="BK652" s="63"/>
      <c r="BL652" s="63"/>
      <c r="BM652" s="63"/>
      <c r="BN652" s="63"/>
      <c r="BO652" s="63"/>
      <c r="BP652" s="63"/>
      <c r="BQ652" s="63"/>
      <c r="BR652" s="63"/>
      <c r="BS652" s="63"/>
      <c r="BT652" s="63"/>
      <c r="BU652" s="63"/>
      <c r="BV652" s="63"/>
      <c r="BW652" s="63"/>
    </row>
    <row r="653" spans="1:75" x14ac:dyDescent="0.2">
      <c r="A653" s="63" t="str">
        <f t="shared" si="129"/>
        <v/>
      </c>
      <c r="B653" s="182"/>
      <c r="C653" s="75"/>
      <c r="D653" s="75"/>
      <c r="E653" s="74"/>
      <c r="F653" s="181"/>
      <c r="G653" s="69"/>
      <c r="AB653" s="150">
        <f t="shared" si="120"/>
        <v>0</v>
      </c>
      <c r="AC653" s="150">
        <f t="shared" si="121"/>
        <v>0</v>
      </c>
      <c r="AD653" s="98" t="str">
        <f t="shared" si="130"/>
        <v>0000000000</v>
      </c>
      <c r="AE653" s="151">
        <f t="shared" si="123"/>
        <v>0</v>
      </c>
      <c r="AF653" s="98" t="str">
        <f t="shared" si="124"/>
        <v>00</v>
      </c>
      <c r="AG653" s="98" t="str">
        <f t="shared" si="131"/>
        <v>000000000000</v>
      </c>
      <c r="AH653" s="161" t="str">
        <f t="shared" si="125"/>
        <v xml:space="preserve">                    </v>
      </c>
      <c r="AI653" s="154">
        <f t="shared" si="126"/>
        <v>0</v>
      </c>
      <c r="AJ653" s="155">
        <f t="shared" si="127"/>
        <v>0</v>
      </c>
      <c r="AP653" s="63" t="str">
        <f t="shared" si="128"/>
        <v/>
      </c>
      <c r="AQ653" s="63" t="str">
        <f t="shared" si="122"/>
        <v xml:space="preserve">                    </v>
      </c>
      <c r="AR653" s="63"/>
      <c r="AS653" s="63"/>
      <c r="AT653" s="63"/>
      <c r="AU653" s="63"/>
      <c r="AV653" s="63"/>
      <c r="AW653" s="63"/>
      <c r="AX653" s="63"/>
      <c r="AY653" s="63"/>
      <c r="AZ653" s="63"/>
      <c r="BA653" s="63"/>
      <c r="BB653" s="63"/>
      <c r="BC653" s="63"/>
      <c r="BD653" s="63"/>
      <c r="BE653" s="63"/>
      <c r="BF653" s="63"/>
      <c r="BG653" s="63"/>
      <c r="BH653" s="63"/>
      <c r="BI653" s="63"/>
      <c r="BJ653" s="63"/>
      <c r="BK653" s="63"/>
      <c r="BL653" s="63"/>
      <c r="BM653" s="63"/>
      <c r="BN653" s="63"/>
      <c r="BO653" s="63"/>
      <c r="BP653" s="63"/>
      <c r="BQ653" s="63"/>
      <c r="BR653" s="63"/>
      <c r="BS653" s="63"/>
      <c r="BT653" s="63"/>
      <c r="BU653" s="63"/>
      <c r="BV653" s="63"/>
      <c r="BW653" s="63"/>
    </row>
    <row r="654" spans="1:75" x14ac:dyDescent="0.2">
      <c r="A654" s="63" t="str">
        <f t="shared" si="129"/>
        <v/>
      </c>
      <c r="B654" s="182"/>
      <c r="C654" s="75"/>
      <c r="D654" s="75"/>
      <c r="E654" s="74"/>
      <c r="F654" s="181"/>
      <c r="G654" s="69"/>
      <c r="AB654" s="150">
        <f t="shared" si="120"/>
        <v>0</v>
      </c>
      <c r="AC654" s="150">
        <f t="shared" si="121"/>
        <v>0</v>
      </c>
      <c r="AD654" s="98" t="str">
        <f t="shared" si="130"/>
        <v>0000000000</v>
      </c>
      <c r="AE654" s="151">
        <f t="shared" si="123"/>
        <v>0</v>
      </c>
      <c r="AF654" s="98" t="str">
        <f t="shared" si="124"/>
        <v>00</v>
      </c>
      <c r="AG654" s="98" t="str">
        <f t="shared" si="131"/>
        <v>000000000000</v>
      </c>
      <c r="AH654" s="161" t="str">
        <f t="shared" si="125"/>
        <v xml:space="preserve">                    </v>
      </c>
      <c r="AI654" s="154">
        <f t="shared" si="126"/>
        <v>0</v>
      </c>
      <c r="AJ654" s="155">
        <f t="shared" si="127"/>
        <v>0</v>
      </c>
      <c r="AP654" s="63" t="str">
        <f t="shared" si="128"/>
        <v/>
      </c>
      <c r="AQ654" s="63" t="str">
        <f t="shared" si="122"/>
        <v xml:space="preserve">                    </v>
      </c>
      <c r="AR654" s="63"/>
      <c r="AS654" s="63"/>
      <c r="AT654" s="63"/>
      <c r="AU654" s="63"/>
      <c r="AV654" s="63"/>
      <c r="AW654" s="63"/>
      <c r="AX654" s="63"/>
      <c r="AY654" s="63"/>
      <c r="AZ654" s="63"/>
      <c r="BA654" s="63"/>
      <c r="BB654" s="63"/>
      <c r="BC654" s="63"/>
      <c r="BD654" s="63"/>
      <c r="BE654" s="63"/>
      <c r="BF654" s="63"/>
      <c r="BG654" s="63"/>
      <c r="BH654" s="63"/>
      <c r="BI654" s="63"/>
      <c r="BJ654" s="63"/>
      <c r="BK654" s="63"/>
      <c r="BL654" s="63"/>
      <c r="BM654" s="63"/>
      <c r="BN654" s="63"/>
      <c r="BO654" s="63"/>
      <c r="BP654" s="63"/>
      <c r="BQ654" s="63"/>
      <c r="BR654" s="63"/>
      <c r="BS654" s="63"/>
      <c r="BT654" s="63"/>
      <c r="BU654" s="63"/>
      <c r="BV654" s="63"/>
      <c r="BW654" s="63"/>
    </row>
    <row r="655" spans="1:75" x14ac:dyDescent="0.2">
      <c r="A655" s="63" t="str">
        <f t="shared" si="129"/>
        <v/>
      </c>
      <c r="B655" s="182"/>
      <c r="C655" s="75"/>
      <c r="D655" s="75"/>
      <c r="E655" s="74"/>
      <c r="F655" s="181"/>
      <c r="G655" s="69"/>
      <c r="AB655" s="150">
        <f t="shared" si="120"/>
        <v>0</v>
      </c>
      <c r="AC655" s="150">
        <f t="shared" si="121"/>
        <v>0</v>
      </c>
      <c r="AD655" s="98" t="str">
        <f t="shared" si="130"/>
        <v>0000000000</v>
      </c>
      <c r="AE655" s="151">
        <f t="shared" si="123"/>
        <v>0</v>
      </c>
      <c r="AF655" s="98" t="str">
        <f t="shared" si="124"/>
        <v>00</v>
      </c>
      <c r="AG655" s="98" t="str">
        <f t="shared" si="131"/>
        <v>000000000000</v>
      </c>
      <c r="AH655" s="161" t="str">
        <f t="shared" si="125"/>
        <v xml:space="preserve">                    </v>
      </c>
      <c r="AI655" s="154">
        <f t="shared" si="126"/>
        <v>0</v>
      </c>
      <c r="AJ655" s="155">
        <f t="shared" si="127"/>
        <v>0</v>
      </c>
      <c r="AP655" s="63" t="str">
        <f t="shared" si="128"/>
        <v/>
      </c>
      <c r="AQ655" s="63" t="str">
        <f t="shared" si="122"/>
        <v xml:space="preserve">                    </v>
      </c>
      <c r="AR655" s="63"/>
      <c r="AS655" s="63"/>
      <c r="AT655" s="63"/>
      <c r="AU655" s="63"/>
      <c r="AV655" s="63"/>
      <c r="AW655" s="63"/>
      <c r="AX655" s="63"/>
      <c r="AY655" s="63"/>
      <c r="AZ655" s="63"/>
      <c r="BA655" s="63"/>
      <c r="BB655" s="63"/>
      <c r="BC655" s="63"/>
      <c r="BD655" s="63"/>
      <c r="BE655" s="63"/>
      <c r="BF655" s="63"/>
      <c r="BG655" s="63"/>
      <c r="BH655" s="63"/>
      <c r="BI655" s="63"/>
      <c r="BJ655" s="63"/>
      <c r="BK655" s="63"/>
      <c r="BL655" s="63"/>
      <c r="BM655" s="63"/>
      <c r="BN655" s="63"/>
      <c r="BO655" s="63"/>
      <c r="BP655" s="63"/>
      <c r="BQ655" s="63"/>
      <c r="BR655" s="63"/>
      <c r="BS655" s="63"/>
      <c r="BT655" s="63"/>
      <c r="BU655" s="63"/>
      <c r="BV655" s="63"/>
      <c r="BW655" s="63"/>
    </row>
    <row r="656" spans="1:75" x14ac:dyDescent="0.2">
      <c r="A656" s="63" t="str">
        <f t="shared" si="129"/>
        <v/>
      </c>
      <c r="B656" s="182"/>
      <c r="C656" s="75"/>
      <c r="D656" s="75"/>
      <c r="E656" s="74"/>
      <c r="F656" s="181"/>
      <c r="G656" s="69"/>
      <c r="AB656" s="150">
        <f t="shared" si="120"/>
        <v>0</v>
      </c>
      <c r="AC656" s="150">
        <f t="shared" si="121"/>
        <v>0</v>
      </c>
      <c r="AD656" s="98" t="str">
        <f t="shared" si="130"/>
        <v>0000000000</v>
      </c>
      <c r="AE656" s="151">
        <f t="shared" si="123"/>
        <v>0</v>
      </c>
      <c r="AF656" s="98" t="str">
        <f t="shared" si="124"/>
        <v>00</v>
      </c>
      <c r="AG656" s="98" t="str">
        <f t="shared" si="131"/>
        <v>000000000000</v>
      </c>
      <c r="AH656" s="161" t="str">
        <f t="shared" si="125"/>
        <v xml:space="preserve">                    </v>
      </c>
      <c r="AI656" s="154">
        <f t="shared" si="126"/>
        <v>0</v>
      </c>
      <c r="AJ656" s="155">
        <f t="shared" si="127"/>
        <v>0</v>
      </c>
      <c r="AP656" s="63" t="str">
        <f t="shared" si="128"/>
        <v/>
      </c>
      <c r="AQ656" s="63" t="str">
        <f t="shared" si="122"/>
        <v xml:space="preserve">                    </v>
      </c>
      <c r="AR656" s="63"/>
      <c r="AS656" s="63"/>
      <c r="AT656" s="63"/>
      <c r="AU656" s="63"/>
      <c r="AV656" s="63"/>
      <c r="AW656" s="63"/>
      <c r="AX656" s="63"/>
      <c r="AY656" s="63"/>
      <c r="AZ656" s="63"/>
      <c r="BA656" s="63"/>
      <c r="BB656" s="63"/>
      <c r="BC656" s="63"/>
      <c r="BD656" s="63"/>
      <c r="BE656" s="63"/>
      <c r="BF656" s="63"/>
      <c r="BG656" s="63"/>
      <c r="BH656" s="63"/>
      <c r="BI656" s="63"/>
      <c r="BJ656" s="63"/>
      <c r="BK656" s="63"/>
      <c r="BL656" s="63"/>
      <c r="BM656" s="63"/>
      <c r="BN656" s="63"/>
      <c r="BO656" s="63"/>
      <c r="BP656" s="63"/>
      <c r="BQ656" s="63"/>
      <c r="BR656" s="63"/>
      <c r="BS656" s="63"/>
      <c r="BT656" s="63"/>
      <c r="BU656" s="63"/>
      <c r="BV656" s="63"/>
      <c r="BW656" s="63"/>
    </row>
    <row r="657" spans="1:75" x14ac:dyDescent="0.2">
      <c r="A657" s="63" t="str">
        <f t="shared" si="129"/>
        <v/>
      </c>
      <c r="B657" s="182"/>
      <c r="C657" s="75"/>
      <c r="D657" s="75"/>
      <c r="E657" s="74"/>
      <c r="F657" s="181"/>
      <c r="G657" s="69"/>
      <c r="AB657" s="150">
        <f t="shared" si="120"/>
        <v>0</v>
      </c>
      <c r="AC657" s="150">
        <f t="shared" si="121"/>
        <v>0</v>
      </c>
      <c r="AD657" s="98" t="str">
        <f t="shared" si="130"/>
        <v>0000000000</v>
      </c>
      <c r="AE657" s="151">
        <f t="shared" si="123"/>
        <v>0</v>
      </c>
      <c r="AF657" s="98" t="str">
        <f t="shared" si="124"/>
        <v>00</v>
      </c>
      <c r="AG657" s="98" t="str">
        <f t="shared" si="131"/>
        <v>000000000000</v>
      </c>
      <c r="AH657" s="161" t="str">
        <f t="shared" si="125"/>
        <v xml:space="preserve">                    </v>
      </c>
      <c r="AI657" s="154">
        <f t="shared" si="126"/>
        <v>0</v>
      </c>
      <c r="AJ657" s="155">
        <f t="shared" si="127"/>
        <v>0</v>
      </c>
      <c r="AP657" s="63" t="str">
        <f t="shared" si="128"/>
        <v/>
      </c>
      <c r="AQ657" s="63" t="str">
        <f t="shared" si="122"/>
        <v xml:space="preserve">                    </v>
      </c>
      <c r="AR657" s="63"/>
      <c r="AS657" s="63"/>
      <c r="AT657" s="63"/>
      <c r="AU657" s="63"/>
      <c r="AV657" s="63"/>
      <c r="AW657" s="63"/>
      <c r="AX657" s="63"/>
      <c r="AY657" s="63"/>
      <c r="AZ657" s="63"/>
      <c r="BA657" s="63"/>
      <c r="BB657" s="63"/>
      <c r="BC657" s="63"/>
      <c r="BD657" s="63"/>
      <c r="BE657" s="63"/>
      <c r="BF657" s="63"/>
      <c r="BG657" s="63"/>
      <c r="BH657" s="63"/>
      <c r="BI657" s="63"/>
      <c r="BJ657" s="63"/>
      <c r="BK657" s="63"/>
      <c r="BL657" s="63"/>
      <c r="BM657" s="63"/>
      <c r="BN657" s="63"/>
      <c r="BO657" s="63"/>
      <c r="BP657" s="63"/>
      <c r="BQ657" s="63"/>
      <c r="BR657" s="63"/>
      <c r="BS657" s="63"/>
      <c r="BT657" s="63"/>
      <c r="BU657" s="63"/>
      <c r="BV657" s="63"/>
      <c r="BW657" s="63"/>
    </row>
    <row r="658" spans="1:75" x14ac:dyDescent="0.2">
      <c r="A658" s="63" t="str">
        <f t="shared" si="129"/>
        <v/>
      </c>
      <c r="B658" s="182"/>
      <c r="C658" s="75"/>
      <c r="D658" s="75"/>
      <c r="E658" s="74"/>
      <c r="F658" s="181"/>
      <c r="G658" s="69"/>
      <c r="AB658" s="150">
        <f t="shared" si="120"/>
        <v>0</v>
      </c>
      <c r="AC658" s="150">
        <f t="shared" si="121"/>
        <v>0</v>
      </c>
      <c r="AD658" s="98" t="str">
        <f t="shared" si="130"/>
        <v>0000000000</v>
      </c>
      <c r="AE658" s="151">
        <f t="shared" si="123"/>
        <v>0</v>
      </c>
      <c r="AF658" s="98" t="str">
        <f t="shared" si="124"/>
        <v>00</v>
      </c>
      <c r="AG658" s="98" t="str">
        <f t="shared" si="131"/>
        <v>000000000000</v>
      </c>
      <c r="AH658" s="161" t="str">
        <f t="shared" si="125"/>
        <v xml:space="preserve">                    </v>
      </c>
      <c r="AI658" s="154">
        <f t="shared" si="126"/>
        <v>0</v>
      </c>
      <c r="AJ658" s="155">
        <f t="shared" si="127"/>
        <v>0</v>
      </c>
      <c r="AP658" s="63" t="str">
        <f t="shared" si="128"/>
        <v/>
      </c>
      <c r="AQ658" s="63" t="str">
        <f t="shared" si="122"/>
        <v xml:space="preserve">                    </v>
      </c>
      <c r="AR658" s="63"/>
      <c r="AS658" s="63"/>
      <c r="AT658" s="63"/>
      <c r="AU658" s="63"/>
      <c r="AV658" s="63"/>
      <c r="AW658" s="63"/>
      <c r="AX658" s="63"/>
      <c r="AY658" s="63"/>
      <c r="AZ658" s="63"/>
      <c r="BA658" s="63"/>
      <c r="BB658" s="63"/>
      <c r="BC658" s="63"/>
      <c r="BD658" s="63"/>
      <c r="BE658" s="63"/>
      <c r="BF658" s="63"/>
      <c r="BG658" s="63"/>
      <c r="BH658" s="63"/>
      <c r="BI658" s="63"/>
      <c r="BJ658" s="63"/>
      <c r="BK658" s="63"/>
      <c r="BL658" s="63"/>
      <c r="BM658" s="63"/>
      <c r="BN658" s="63"/>
      <c r="BO658" s="63"/>
      <c r="BP658" s="63"/>
      <c r="BQ658" s="63"/>
      <c r="BR658" s="63"/>
      <c r="BS658" s="63"/>
      <c r="BT658" s="63"/>
      <c r="BU658" s="63"/>
      <c r="BV658" s="63"/>
      <c r="BW658" s="63"/>
    </row>
    <row r="659" spans="1:75" x14ac:dyDescent="0.2">
      <c r="A659" s="63" t="str">
        <f t="shared" si="129"/>
        <v/>
      </c>
      <c r="B659" s="182"/>
      <c r="C659" s="75"/>
      <c r="D659" s="75"/>
      <c r="E659" s="74"/>
      <c r="F659" s="181"/>
      <c r="G659" s="69"/>
      <c r="AB659" s="150">
        <f t="shared" si="120"/>
        <v>0</v>
      </c>
      <c r="AC659" s="150">
        <f t="shared" si="121"/>
        <v>0</v>
      </c>
      <c r="AD659" s="98" t="str">
        <f t="shared" si="130"/>
        <v>0000000000</v>
      </c>
      <c r="AE659" s="151">
        <f t="shared" si="123"/>
        <v>0</v>
      </c>
      <c r="AF659" s="98" t="str">
        <f t="shared" si="124"/>
        <v>00</v>
      </c>
      <c r="AG659" s="98" t="str">
        <f t="shared" si="131"/>
        <v>000000000000</v>
      </c>
      <c r="AH659" s="161" t="str">
        <f t="shared" si="125"/>
        <v xml:space="preserve">                    </v>
      </c>
      <c r="AI659" s="154">
        <f t="shared" si="126"/>
        <v>0</v>
      </c>
      <c r="AJ659" s="155">
        <f t="shared" si="127"/>
        <v>0</v>
      </c>
      <c r="AP659" s="63" t="str">
        <f t="shared" si="128"/>
        <v/>
      </c>
      <c r="AQ659" s="63" t="str">
        <f t="shared" si="122"/>
        <v xml:space="preserve">                    </v>
      </c>
      <c r="AR659" s="63"/>
      <c r="AS659" s="63"/>
      <c r="AT659" s="63"/>
      <c r="AU659" s="63"/>
      <c r="AV659" s="63"/>
      <c r="AW659" s="63"/>
      <c r="AX659" s="63"/>
      <c r="AY659" s="63"/>
      <c r="AZ659" s="63"/>
      <c r="BA659" s="63"/>
      <c r="BB659" s="63"/>
      <c r="BC659" s="63"/>
      <c r="BD659" s="63"/>
      <c r="BE659" s="63"/>
      <c r="BF659" s="63"/>
      <c r="BG659" s="63"/>
      <c r="BH659" s="63"/>
      <c r="BI659" s="63"/>
      <c r="BJ659" s="63"/>
      <c r="BK659" s="63"/>
      <c r="BL659" s="63"/>
      <c r="BM659" s="63"/>
      <c r="BN659" s="63"/>
      <c r="BO659" s="63"/>
      <c r="BP659" s="63"/>
      <c r="BQ659" s="63"/>
      <c r="BR659" s="63"/>
      <c r="BS659" s="63"/>
      <c r="BT659" s="63"/>
      <c r="BU659" s="63"/>
      <c r="BV659" s="63"/>
      <c r="BW659" s="63"/>
    </row>
    <row r="660" spans="1:75" x14ac:dyDescent="0.2">
      <c r="A660" s="63" t="str">
        <f t="shared" si="129"/>
        <v/>
      </c>
      <c r="B660" s="182"/>
      <c r="C660" s="75"/>
      <c r="D660" s="75"/>
      <c r="E660" s="74"/>
      <c r="F660" s="181"/>
      <c r="G660" s="69"/>
      <c r="AB660" s="150">
        <f t="shared" si="120"/>
        <v>0</v>
      </c>
      <c r="AC660" s="150">
        <f t="shared" si="121"/>
        <v>0</v>
      </c>
      <c r="AD660" s="98" t="str">
        <f t="shared" si="130"/>
        <v>0000000000</v>
      </c>
      <c r="AE660" s="151">
        <f t="shared" si="123"/>
        <v>0</v>
      </c>
      <c r="AF660" s="98" t="str">
        <f t="shared" si="124"/>
        <v>00</v>
      </c>
      <c r="AG660" s="98" t="str">
        <f t="shared" si="131"/>
        <v>000000000000</v>
      </c>
      <c r="AH660" s="161" t="str">
        <f t="shared" si="125"/>
        <v xml:space="preserve">                    </v>
      </c>
      <c r="AI660" s="154">
        <f t="shared" si="126"/>
        <v>0</v>
      </c>
      <c r="AJ660" s="155">
        <f t="shared" si="127"/>
        <v>0</v>
      </c>
      <c r="AP660" s="63" t="str">
        <f t="shared" si="128"/>
        <v/>
      </c>
      <c r="AQ660" s="63" t="str">
        <f t="shared" si="122"/>
        <v xml:space="preserve">                    </v>
      </c>
      <c r="AR660" s="63"/>
      <c r="AS660" s="63"/>
      <c r="AT660" s="63"/>
      <c r="AU660" s="63"/>
      <c r="AV660" s="63"/>
      <c r="AW660" s="63"/>
      <c r="AX660" s="63"/>
      <c r="AY660" s="63"/>
      <c r="AZ660" s="63"/>
      <c r="BA660" s="63"/>
      <c r="BB660" s="63"/>
      <c r="BC660" s="63"/>
      <c r="BD660" s="63"/>
      <c r="BE660" s="63"/>
      <c r="BF660" s="63"/>
      <c r="BG660" s="63"/>
      <c r="BH660" s="63"/>
      <c r="BI660" s="63"/>
      <c r="BJ660" s="63"/>
      <c r="BK660" s="63"/>
      <c r="BL660" s="63"/>
      <c r="BM660" s="63"/>
      <c r="BN660" s="63"/>
      <c r="BO660" s="63"/>
      <c r="BP660" s="63"/>
      <c r="BQ660" s="63"/>
      <c r="BR660" s="63"/>
      <c r="BS660" s="63"/>
      <c r="BT660" s="63"/>
      <c r="BU660" s="63"/>
      <c r="BV660" s="63"/>
      <c r="BW660" s="63"/>
    </row>
    <row r="661" spans="1:75" x14ac:dyDescent="0.2">
      <c r="A661" s="63" t="str">
        <f t="shared" si="129"/>
        <v/>
      </c>
      <c r="B661" s="182"/>
      <c r="C661" s="75"/>
      <c r="D661" s="75"/>
      <c r="E661" s="74"/>
      <c r="F661" s="181"/>
      <c r="G661" s="69"/>
      <c r="AB661" s="150">
        <f t="shared" si="120"/>
        <v>0</v>
      </c>
      <c r="AC661" s="150">
        <f t="shared" si="121"/>
        <v>0</v>
      </c>
      <c r="AD661" s="98" t="str">
        <f t="shared" si="130"/>
        <v>0000000000</v>
      </c>
      <c r="AE661" s="151">
        <f t="shared" si="123"/>
        <v>0</v>
      </c>
      <c r="AF661" s="98" t="str">
        <f t="shared" si="124"/>
        <v>00</v>
      </c>
      <c r="AG661" s="98" t="str">
        <f t="shared" si="131"/>
        <v>000000000000</v>
      </c>
      <c r="AH661" s="161" t="str">
        <f t="shared" si="125"/>
        <v xml:space="preserve">                    </v>
      </c>
      <c r="AI661" s="154">
        <f t="shared" si="126"/>
        <v>0</v>
      </c>
      <c r="AJ661" s="155">
        <f t="shared" si="127"/>
        <v>0</v>
      </c>
      <c r="AP661" s="63" t="str">
        <f t="shared" si="128"/>
        <v/>
      </c>
      <c r="AQ661" s="63" t="str">
        <f t="shared" si="122"/>
        <v xml:space="preserve">                    </v>
      </c>
      <c r="AR661" s="63"/>
      <c r="AS661" s="63"/>
      <c r="AT661" s="63"/>
      <c r="AU661" s="63"/>
      <c r="AV661" s="63"/>
      <c r="AW661" s="63"/>
      <c r="AX661" s="63"/>
      <c r="AY661" s="63"/>
      <c r="AZ661" s="63"/>
      <c r="BA661" s="63"/>
      <c r="BB661" s="63"/>
      <c r="BC661" s="63"/>
      <c r="BD661" s="63"/>
      <c r="BE661" s="63"/>
      <c r="BF661" s="63"/>
      <c r="BG661" s="63"/>
      <c r="BH661" s="63"/>
      <c r="BI661" s="63"/>
      <c r="BJ661" s="63"/>
      <c r="BK661" s="63"/>
      <c r="BL661" s="63"/>
      <c r="BM661" s="63"/>
      <c r="BN661" s="63"/>
      <c r="BO661" s="63"/>
      <c r="BP661" s="63"/>
      <c r="BQ661" s="63"/>
      <c r="BR661" s="63"/>
      <c r="BS661" s="63"/>
      <c r="BT661" s="63"/>
      <c r="BU661" s="63"/>
      <c r="BV661" s="63"/>
      <c r="BW661" s="63"/>
    </row>
    <row r="662" spans="1:75" x14ac:dyDescent="0.2">
      <c r="A662" s="63" t="str">
        <f t="shared" si="129"/>
        <v/>
      </c>
      <c r="B662" s="182"/>
      <c r="C662" s="75"/>
      <c r="D662" s="75"/>
      <c r="E662" s="74"/>
      <c r="F662" s="181"/>
      <c r="G662" s="69"/>
      <c r="AB662" s="150">
        <f t="shared" si="120"/>
        <v>0</v>
      </c>
      <c r="AC662" s="150">
        <f t="shared" si="121"/>
        <v>0</v>
      </c>
      <c r="AD662" s="98" t="str">
        <f t="shared" si="130"/>
        <v>0000000000</v>
      </c>
      <c r="AE662" s="151">
        <f t="shared" si="123"/>
        <v>0</v>
      </c>
      <c r="AF662" s="98" t="str">
        <f t="shared" si="124"/>
        <v>00</v>
      </c>
      <c r="AG662" s="98" t="str">
        <f t="shared" si="131"/>
        <v>000000000000</v>
      </c>
      <c r="AH662" s="161" t="str">
        <f t="shared" si="125"/>
        <v xml:space="preserve">                    </v>
      </c>
      <c r="AI662" s="154">
        <f t="shared" si="126"/>
        <v>0</v>
      </c>
      <c r="AJ662" s="155">
        <f t="shared" si="127"/>
        <v>0</v>
      </c>
      <c r="AP662" s="63" t="str">
        <f t="shared" si="128"/>
        <v/>
      </c>
      <c r="AQ662" s="63" t="str">
        <f t="shared" si="122"/>
        <v xml:space="preserve">                    </v>
      </c>
      <c r="AR662" s="63"/>
      <c r="AS662" s="63"/>
      <c r="AT662" s="63"/>
      <c r="AU662" s="63"/>
      <c r="AV662" s="63"/>
      <c r="AW662" s="63"/>
      <c r="AX662" s="63"/>
      <c r="AY662" s="63"/>
      <c r="AZ662" s="63"/>
      <c r="BA662" s="63"/>
      <c r="BB662" s="63"/>
      <c r="BC662" s="63"/>
      <c r="BD662" s="63"/>
      <c r="BE662" s="63"/>
      <c r="BF662" s="63"/>
      <c r="BG662" s="63"/>
      <c r="BH662" s="63"/>
      <c r="BI662" s="63"/>
      <c r="BJ662" s="63"/>
      <c r="BK662" s="63"/>
      <c r="BL662" s="63"/>
      <c r="BM662" s="63"/>
      <c r="BN662" s="63"/>
      <c r="BO662" s="63"/>
      <c r="BP662" s="63"/>
      <c r="BQ662" s="63"/>
      <c r="BR662" s="63"/>
      <c r="BS662" s="63"/>
      <c r="BT662" s="63"/>
      <c r="BU662" s="63"/>
      <c r="BV662" s="63"/>
      <c r="BW662" s="63"/>
    </row>
    <row r="663" spans="1:75" x14ac:dyDescent="0.2">
      <c r="A663" s="63" t="str">
        <f t="shared" si="129"/>
        <v/>
      </c>
      <c r="B663" s="182"/>
      <c r="C663" s="75"/>
      <c r="D663" s="75"/>
      <c r="E663" s="74"/>
      <c r="F663" s="181"/>
      <c r="G663" s="69"/>
      <c r="AB663" s="150">
        <f t="shared" si="120"/>
        <v>0</v>
      </c>
      <c r="AC663" s="150">
        <f t="shared" si="121"/>
        <v>0</v>
      </c>
      <c r="AD663" s="98" t="str">
        <f t="shared" si="130"/>
        <v>0000000000</v>
      </c>
      <c r="AE663" s="151">
        <f t="shared" si="123"/>
        <v>0</v>
      </c>
      <c r="AF663" s="98" t="str">
        <f t="shared" si="124"/>
        <v>00</v>
      </c>
      <c r="AG663" s="98" t="str">
        <f t="shared" si="131"/>
        <v>000000000000</v>
      </c>
      <c r="AH663" s="161" t="str">
        <f t="shared" si="125"/>
        <v xml:space="preserve">                    </v>
      </c>
      <c r="AI663" s="154">
        <f t="shared" si="126"/>
        <v>0</v>
      </c>
      <c r="AJ663" s="155">
        <f t="shared" si="127"/>
        <v>0</v>
      </c>
      <c r="AP663" s="63" t="str">
        <f t="shared" si="128"/>
        <v/>
      </c>
      <c r="AQ663" s="63" t="str">
        <f t="shared" si="122"/>
        <v xml:space="preserve">                    </v>
      </c>
      <c r="AR663" s="63"/>
      <c r="AS663" s="63"/>
      <c r="AT663" s="63"/>
      <c r="AU663" s="63"/>
      <c r="AV663" s="63"/>
      <c r="AW663" s="63"/>
      <c r="AX663" s="63"/>
      <c r="AY663" s="63"/>
      <c r="AZ663" s="63"/>
      <c r="BA663" s="63"/>
      <c r="BB663" s="63"/>
      <c r="BC663" s="63"/>
      <c r="BD663" s="63"/>
      <c r="BE663" s="63"/>
      <c r="BF663" s="63"/>
      <c r="BG663" s="63"/>
      <c r="BH663" s="63"/>
      <c r="BI663" s="63"/>
      <c r="BJ663" s="63"/>
      <c r="BK663" s="63"/>
      <c r="BL663" s="63"/>
      <c r="BM663" s="63"/>
      <c r="BN663" s="63"/>
      <c r="BO663" s="63"/>
      <c r="BP663" s="63"/>
      <c r="BQ663" s="63"/>
      <c r="BR663" s="63"/>
      <c r="BS663" s="63"/>
      <c r="BT663" s="63"/>
      <c r="BU663" s="63"/>
      <c r="BV663" s="63"/>
      <c r="BW663" s="63"/>
    </row>
    <row r="664" spans="1:75" x14ac:dyDescent="0.2">
      <c r="A664" s="63" t="str">
        <f t="shared" si="129"/>
        <v/>
      </c>
      <c r="B664" s="182"/>
      <c r="C664" s="75"/>
      <c r="D664" s="75"/>
      <c r="E664" s="74"/>
      <c r="F664" s="181"/>
      <c r="G664" s="69"/>
      <c r="AB664" s="150">
        <f t="shared" si="120"/>
        <v>0</v>
      </c>
      <c r="AC664" s="150">
        <f t="shared" si="121"/>
        <v>0</v>
      </c>
      <c r="AD664" s="98" t="str">
        <f t="shared" si="130"/>
        <v>0000000000</v>
      </c>
      <c r="AE664" s="151">
        <f t="shared" si="123"/>
        <v>0</v>
      </c>
      <c r="AF664" s="98" t="str">
        <f t="shared" si="124"/>
        <v>00</v>
      </c>
      <c r="AG664" s="98" t="str">
        <f t="shared" si="131"/>
        <v>000000000000</v>
      </c>
      <c r="AH664" s="161" t="str">
        <f t="shared" si="125"/>
        <v xml:space="preserve">                    </v>
      </c>
      <c r="AI664" s="154">
        <f t="shared" si="126"/>
        <v>0</v>
      </c>
      <c r="AJ664" s="155">
        <f t="shared" si="127"/>
        <v>0</v>
      </c>
      <c r="AP664" s="63" t="str">
        <f t="shared" si="128"/>
        <v/>
      </c>
      <c r="AQ664" s="63" t="str">
        <f t="shared" si="122"/>
        <v xml:space="preserve">                    </v>
      </c>
      <c r="AR664" s="63"/>
      <c r="AS664" s="63"/>
      <c r="AT664" s="63"/>
      <c r="AU664" s="63"/>
      <c r="AV664" s="63"/>
      <c r="AW664" s="63"/>
      <c r="AX664" s="63"/>
      <c r="AY664" s="63"/>
      <c r="AZ664" s="63"/>
      <c r="BA664" s="63"/>
      <c r="BB664" s="63"/>
      <c r="BC664" s="63"/>
      <c r="BD664" s="63"/>
      <c r="BE664" s="63"/>
      <c r="BF664" s="63"/>
      <c r="BG664" s="63"/>
      <c r="BH664" s="63"/>
      <c r="BI664" s="63"/>
      <c r="BJ664" s="63"/>
      <c r="BK664" s="63"/>
      <c r="BL664" s="63"/>
      <c r="BM664" s="63"/>
      <c r="BN664" s="63"/>
      <c r="BO664" s="63"/>
      <c r="BP664" s="63"/>
      <c r="BQ664" s="63"/>
      <c r="BR664" s="63"/>
      <c r="BS664" s="63"/>
      <c r="BT664" s="63"/>
      <c r="BU664" s="63"/>
      <c r="BV664" s="63"/>
      <c r="BW664" s="63"/>
    </row>
    <row r="665" spans="1:75" x14ac:dyDescent="0.2">
      <c r="A665" s="63" t="str">
        <f t="shared" si="129"/>
        <v/>
      </c>
      <c r="B665" s="182"/>
      <c r="C665" s="75"/>
      <c r="D665" s="75"/>
      <c r="E665" s="74"/>
      <c r="F665" s="181"/>
      <c r="G665" s="69"/>
      <c r="AB665" s="150">
        <f t="shared" si="120"/>
        <v>0</v>
      </c>
      <c r="AC665" s="150">
        <f t="shared" si="121"/>
        <v>0</v>
      </c>
      <c r="AD665" s="98" t="str">
        <f t="shared" si="130"/>
        <v>0000000000</v>
      </c>
      <c r="AE665" s="151">
        <f t="shared" si="123"/>
        <v>0</v>
      </c>
      <c r="AF665" s="98" t="str">
        <f t="shared" si="124"/>
        <v>00</v>
      </c>
      <c r="AG665" s="98" t="str">
        <f t="shared" si="131"/>
        <v>000000000000</v>
      </c>
      <c r="AH665" s="161" t="str">
        <f t="shared" si="125"/>
        <v xml:space="preserve">                    </v>
      </c>
      <c r="AI665" s="154">
        <f t="shared" si="126"/>
        <v>0</v>
      </c>
      <c r="AJ665" s="155">
        <f t="shared" si="127"/>
        <v>0</v>
      </c>
      <c r="AP665" s="63" t="str">
        <f t="shared" si="128"/>
        <v/>
      </c>
      <c r="AQ665" s="63" t="str">
        <f t="shared" si="122"/>
        <v xml:space="preserve">                    </v>
      </c>
      <c r="AR665" s="63"/>
      <c r="AS665" s="63"/>
      <c r="AT665" s="63"/>
      <c r="AU665" s="63"/>
      <c r="AV665" s="63"/>
      <c r="AW665" s="63"/>
      <c r="AX665" s="63"/>
      <c r="AY665" s="63"/>
      <c r="AZ665" s="63"/>
      <c r="BA665" s="63"/>
      <c r="BB665" s="63"/>
      <c r="BC665" s="63"/>
      <c r="BD665" s="63"/>
      <c r="BE665" s="63"/>
      <c r="BF665" s="63"/>
      <c r="BG665" s="63"/>
      <c r="BH665" s="63"/>
      <c r="BI665" s="63"/>
      <c r="BJ665" s="63"/>
      <c r="BK665" s="63"/>
      <c r="BL665" s="63"/>
      <c r="BM665" s="63"/>
      <c r="BN665" s="63"/>
      <c r="BO665" s="63"/>
      <c r="BP665" s="63"/>
      <c r="BQ665" s="63"/>
      <c r="BR665" s="63"/>
      <c r="BS665" s="63"/>
      <c r="BT665" s="63"/>
      <c r="BU665" s="63"/>
      <c r="BV665" s="63"/>
      <c r="BW665" s="63"/>
    </row>
    <row r="666" spans="1:75" x14ac:dyDescent="0.2">
      <c r="A666" s="63" t="str">
        <f t="shared" si="129"/>
        <v/>
      </c>
      <c r="B666" s="182"/>
      <c r="C666" s="75"/>
      <c r="D666" s="75"/>
      <c r="E666" s="74"/>
      <c r="F666" s="181"/>
      <c r="G666" s="69"/>
      <c r="AB666" s="150">
        <f t="shared" si="120"/>
        <v>0</v>
      </c>
      <c r="AC666" s="150">
        <f t="shared" si="121"/>
        <v>0</v>
      </c>
      <c r="AD666" s="98" t="str">
        <f t="shared" si="130"/>
        <v>0000000000</v>
      </c>
      <c r="AE666" s="151">
        <f t="shared" si="123"/>
        <v>0</v>
      </c>
      <c r="AF666" s="98" t="str">
        <f t="shared" si="124"/>
        <v>00</v>
      </c>
      <c r="AG666" s="98" t="str">
        <f t="shared" si="131"/>
        <v>000000000000</v>
      </c>
      <c r="AH666" s="161" t="str">
        <f t="shared" si="125"/>
        <v xml:space="preserve">                    </v>
      </c>
      <c r="AI666" s="154">
        <f t="shared" si="126"/>
        <v>0</v>
      </c>
      <c r="AJ666" s="155">
        <f t="shared" si="127"/>
        <v>0</v>
      </c>
      <c r="AP666" s="63" t="str">
        <f t="shared" si="128"/>
        <v/>
      </c>
      <c r="AQ666" s="63" t="str">
        <f t="shared" si="122"/>
        <v xml:space="preserve">                    </v>
      </c>
      <c r="AR666" s="63"/>
      <c r="AS666" s="63"/>
      <c r="AT666" s="63"/>
      <c r="AU666" s="63"/>
      <c r="AV666" s="63"/>
      <c r="AW666" s="63"/>
      <c r="AX666" s="63"/>
      <c r="AY666" s="63"/>
      <c r="AZ666" s="63"/>
      <c r="BA666" s="63"/>
      <c r="BB666" s="63"/>
      <c r="BC666" s="63"/>
      <c r="BD666" s="63"/>
      <c r="BE666" s="63"/>
      <c r="BF666" s="63"/>
      <c r="BG666" s="63"/>
      <c r="BH666" s="63"/>
      <c r="BI666" s="63"/>
      <c r="BJ666" s="63"/>
      <c r="BK666" s="63"/>
      <c r="BL666" s="63"/>
      <c r="BM666" s="63"/>
      <c r="BN666" s="63"/>
      <c r="BO666" s="63"/>
      <c r="BP666" s="63"/>
      <c r="BQ666" s="63"/>
      <c r="BR666" s="63"/>
      <c r="BS666" s="63"/>
      <c r="BT666" s="63"/>
      <c r="BU666" s="63"/>
      <c r="BV666" s="63"/>
      <c r="BW666" s="63"/>
    </row>
    <row r="667" spans="1:75" x14ac:dyDescent="0.2">
      <c r="A667" s="63" t="str">
        <f t="shared" si="129"/>
        <v/>
      </c>
      <c r="B667" s="182"/>
      <c r="C667" s="75"/>
      <c r="D667" s="75"/>
      <c r="E667" s="74"/>
      <c r="F667" s="181"/>
      <c r="G667" s="69"/>
      <c r="AB667" s="150">
        <f t="shared" si="120"/>
        <v>0</v>
      </c>
      <c r="AC667" s="150">
        <f t="shared" si="121"/>
        <v>0</v>
      </c>
      <c r="AD667" s="98" t="str">
        <f t="shared" si="130"/>
        <v>0000000000</v>
      </c>
      <c r="AE667" s="151">
        <f t="shared" si="123"/>
        <v>0</v>
      </c>
      <c r="AF667" s="98" t="str">
        <f t="shared" si="124"/>
        <v>00</v>
      </c>
      <c r="AG667" s="98" t="str">
        <f t="shared" si="131"/>
        <v>000000000000</v>
      </c>
      <c r="AH667" s="161" t="str">
        <f t="shared" si="125"/>
        <v xml:space="preserve">                    </v>
      </c>
      <c r="AI667" s="154">
        <f t="shared" si="126"/>
        <v>0</v>
      </c>
      <c r="AJ667" s="155">
        <f t="shared" si="127"/>
        <v>0</v>
      </c>
      <c r="AP667" s="63" t="str">
        <f t="shared" si="128"/>
        <v/>
      </c>
      <c r="AQ667" s="63" t="str">
        <f t="shared" si="122"/>
        <v xml:space="preserve">                    </v>
      </c>
      <c r="AR667" s="63"/>
      <c r="AS667" s="63"/>
      <c r="AT667" s="63"/>
      <c r="AU667" s="63"/>
      <c r="AV667" s="63"/>
      <c r="AW667" s="63"/>
      <c r="AX667" s="63"/>
      <c r="AY667" s="63"/>
      <c r="AZ667" s="63"/>
      <c r="BA667" s="63"/>
      <c r="BB667" s="63"/>
      <c r="BC667" s="63"/>
      <c r="BD667" s="63"/>
      <c r="BE667" s="63"/>
      <c r="BF667" s="63"/>
      <c r="BG667" s="63"/>
      <c r="BH667" s="63"/>
      <c r="BI667" s="63"/>
      <c r="BJ667" s="63"/>
      <c r="BK667" s="63"/>
      <c r="BL667" s="63"/>
      <c r="BM667" s="63"/>
      <c r="BN667" s="63"/>
      <c r="BO667" s="63"/>
      <c r="BP667" s="63"/>
      <c r="BQ667" s="63"/>
      <c r="BR667" s="63"/>
      <c r="BS667" s="63"/>
      <c r="BT667" s="63"/>
      <c r="BU667" s="63"/>
      <c r="BV667" s="63"/>
      <c r="BW667" s="63"/>
    </row>
    <row r="668" spans="1:75" x14ac:dyDescent="0.2">
      <c r="A668" s="63" t="str">
        <f t="shared" si="129"/>
        <v/>
      </c>
      <c r="B668" s="182"/>
      <c r="C668" s="75"/>
      <c r="D668" s="75"/>
      <c r="E668" s="74"/>
      <c r="F668" s="181"/>
      <c r="G668" s="69"/>
      <c r="AB668" s="150">
        <f t="shared" si="120"/>
        <v>0</v>
      </c>
      <c r="AC668" s="150">
        <f t="shared" si="121"/>
        <v>0</v>
      </c>
      <c r="AD668" s="98" t="str">
        <f t="shared" si="130"/>
        <v>0000000000</v>
      </c>
      <c r="AE668" s="151">
        <f t="shared" si="123"/>
        <v>0</v>
      </c>
      <c r="AF668" s="98" t="str">
        <f t="shared" si="124"/>
        <v>00</v>
      </c>
      <c r="AG668" s="98" t="str">
        <f t="shared" si="131"/>
        <v>000000000000</v>
      </c>
      <c r="AH668" s="161" t="str">
        <f t="shared" si="125"/>
        <v xml:space="preserve">                    </v>
      </c>
      <c r="AI668" s="154">
        <f t="shared" si="126"/>
        <v>0</v>
      </c>
      <c r="AJ668" s="155">
        <f t="shared" si="127"/>
        <v>0</v>
      </c>
      <c r="AP668" s="63" t="str">
        <f t="shared" si="128"/>
        <v/>
      </c>
      <c r="AQ668" s="63" t="str">
        <f t="shared" si="122"/>
        <v xml:space="preserve">                    </v>
      </c>
      <c r="AR668" s="63"/>
      <c r="AS668" s="63"/>
      <c r="AT668" s="63"/>
      <c r="AU668" s="63"/>
      <c r="AV668" s="63"/>
      <c r="AW668" s="63"/>
      <c r="AX668" s="63"/>
      <c r="AY668" s="63"/>
      <c r="AZ668" s="63"/>
      <c r="BA668" s="63"/>
      <c r="BB668" s="63"/>
      <c r="BC668" s="63"/>
      <c r="BD668" s="63"/>
      <c r="BE668" s="63"/>
      <c r="BF668" s="63"/>
      <c r="BG668" s="63"/>
      <c r="BH668" s="63"/>
      <c r="BI668" s="63"/>
      <c r="BJ668" s="63"/>
      <c r="BK668" s="63"/>
      <c r="BL668" s="63"/>
      <c r="BM668" s="63"/>
      <c r="BN668" s="63"/>
      <c r="BO668" s="63"/>
      <c r="BP668" s="63"/>
      <c r="BQ668" s="63"/>
      <c r="BR668" s="63"/>
      <c r="BS668" s="63"/>
      <c r="BT668" s="63"/>
      <c r="BU668" s="63"/>
      <c r="BV668" s="63"/>
      <c r="BW668" s="63"/>
    </row>
    <row r="669" spans="1:75" x14ac:dyDescent="0.2">
      <c r="A669" s="63" t="str">
        <f t="shared" si="129"/>
        <v/>
      </c>
      <c r="B669" s="182"/>
      <c r="C669" s="75"/>
      <c r="D669" s="75"/>
      <c r="E669" s="74"/>
      <c r="F669" s="181"/>
      <c r="G669" s="69"/>
      <c r="AB669" s="150">
        <f t="shared" si="120"/>
        <v>0</v>
      </c>
      <c r="AC669" s="150">
        <f t="shared" si="121"/>
        <v>0</v>
      </c>
      <c r="AD669" s="98" t="str">
        <f t="shared" si="130"/>
        <v>0000000000</v>
      </c>
      <c r="AE669" s="151">
        <f t="shared" si="123"/>
        <v>0</v>
      </c>
      <c r="AF669" s="98" t="str">
        <f t="shared" si="124"/>
        <v>00</v>
      </c>
      <c r="AG669" s="98" t="str">
        <f t="shared" si="131"/>
        <v>000000000000</v>
      </c>
      <c r="AH669" s="161" t="str">
        <f t="shared" si="125"/>
        <v xml:space="preserve">                    </v>
      </c>
      <c r="AI669" s="154">
        <f t="shared" si="126"/>
        <v>0</v>
      </c>
      <c r="AJ669" s="155">
        <f t="shared" si="127"/>
        <v>0</v>
      </c>
      <c r="AP669" s="63" t="str">
        <f t="shared" si="128"/>
        <v/>
      </c>
      <c r="AQ669" s="63" t="str">
        <f t="shared" si="122"/>
        <v xml:space="preserve">                    </v>
      </c>
      <c r="AR669" s="63"/>
      <c r="AS669" s="63"/>
      <c r="AT669" s="63"/>
      <c r="AU669" s="63"/>
      <c r="AV669" s="63"/>
      <c r="AW669" s="63"/>
      <c r="AX669" s="63"/>
      <c r="AY669" s="63"/>
      <c r="AZ669" s="63"/>
      <c r="BA669" s="63"/>
      <c r="BB669" s="63"/>
      <c r="BC669" s="63"/>
      <c r="BD669" s="63"/>
      <c r="BE669" s="63"/>
      <c r="BF669" s="63"/>
      <c r="BG669" s="63"/>
      <c r="BH669" s="63"/>
      <c r="BI669" s="63"/>
      <c r="BJ669" s="63"/>
      <c r="BK669" s="63"/>
      <c r="BL669" s="63"/>
      <c r="BM669" s="63"/>
      <c r="BN669" s="63"/>
      <c r="BO669" s="63"/>
      <c r="BP669" s="63"/>
      <c r="BQ669" s="63"/>
      <c r="BR669" s="63"/>
      <c r="BS669" s="63"/>
      <c r="BT669" s="63"/>
      <c r="BU669" s="63"/>
      <c r="BV669" s="63"/>
      <c r="BW669" s="63"/>
    </row>
    <row r="670" spans="1:75" x14ac:dyDescent="0.2">
      <c r="A670" s="63" t="str">
        <f t="shared" si="129"/>
        <v/>
      </c>
      <c r="B670" s="182"/>
      <c r="C670" s="75"/>
      <c r="D670" s="75"/>
      <c r="E670" s="74"/>
      <c r="F670" s="181"/>
      <c r="G670" s="69"/>
      <c r="AB670" s="150">
        <f t="shared" si="120"/>
        <v>0</v>
      </c>
      <c r="AC670" s="150">
        <f t="shared" si="121"/>
        <v>0</v>
      </c>
      <c r="AD670" s="98" t="str">
        <f t="shared" si="130"/>
        <v>0000000000</v>
      </c>
      <c r="AE670" s="151">
        <f t="shared" si="123"/>
        <v>0</v>
      </c>
      <c r="AF670" s="98" t="str">
        <f t="shared" si="124"/>
        <v>00</v>
      </c>
      <c r="AG670" s="98" t="str">
        <f t="shared" si="131"/>
        <v>000000000000</v>
      </c>
      <c r="AH670" s="161" t="str">
        <f t="shared" si="125"/>
        <v xml:space="preserve">                    </v>
      </c>
      <c r="AI670" s="154">
        <f t="shared" si="126"/>
        <v>0</v>
      </c>
      <c r="AJ670" s="155">
        <f t="shared" si="127"/>
        <v>0</v>
      </c>
      <c r="AP670" s="63" t="str">
        <f t="shared" si="128"/>
        <v/>
      </c>
      <c r="AQ670" s="63" t="str">
        <f t="shared" si="122"/>
        <v xml:space="preserve">                    </v>
      </c>
      <c r="AR670" s="63"/>
      <c r="AS670" s="63"/>
      <c r="AT670" s="63"/>
      <c r="AU670" s="63"/>
      <c r="AV670" s="63"/>
      <c r="AW670" s="63"/>
      <c r="AX670" s="63"/>
      <c r="AY670" s="63"/>
      <c r="AZ670" s="63"/>
      <c r="BA670" s="63"/>
      <c r="BB670" s="63"/>
      <c r="BC670" s="63"/>
      <c r="BD670" s="63"/>
      <c r="BE670" s="63"/>
      <c r="BF670" s="63"/>
      <c r="BG670" s="63"/>
      <c r="BH670" s="63"/>
      <c r="BI670" s="63"/>
      <c r="BJ670" s="63"/>
      <c r="BK670" s="63"/>
      <c r="BL670" s="63"/>
      <c r="BM670" s="63"/>
      <c r="BN670" s="63"/>
      <c r="BO670" s="63"/>
      <c r="BP670" s="63"/>
      <c r="BQ670" s="63"/>
      <c r="BR670" s="63"/>
      <c r="BS670" s="63"/>
      <c r="BT670" s="63"/>
      <c r="BU670" s="63"/>
      <c r="BV670" s="63"/>
      <c r="BW670" s="63"/>
    </row>
    <row r="671" spans="1:75" x14ac:dyDescent="0.2">
      <c r="A671" s="63" t="str">
        <f t="shared" si="129"/>
        <v/>
      </c>
      <c r="B671" s="182"/>
      <c r="C671" s="75"/>
      <c r="D671" s="75"/>
      <c r="E671" s="74"/>
      <c r="F671" s="181"/>
      <c r="G671" s="69"/>
      <c r="AB671" s="150">
        <f t="shared" si="120"/>
        <v>0</v>
      </c>
      <c r="AC671" s="150">
        <f t="shared" si="121"/>
        <v>0</v>
      </c>
      <c r="AD671" s="98" t="str">
        <f t="shared" si="130"/>
        <v>0000000000</v>
      </c>
      <c r="AE671" s="151">
        <f t="shared" si="123"/>
        <v>0</v>
      </c>
      <c r="AF671" s="98" t="str">
        <f t="shared" si="124"/>
        <v>00</v>
      </c>
      <c r="AG671" s="98" t="str">
        <f t="shared" si="131"/>
        <v>000000000000</v>
      </c>
      <c r="AH671" s="161" t="str">
        <f t="shared" si="125"/>
        <v xml:space="preserve">                    </v>
      </c>
      <c r="AI671" s="154">
        <f t="shared" si="126"/>
        <v>0</v>
      </c>
      <c r="AJ671" s="155">
        <f t="shared" si="127"/>
        <v>0</v>
      </c>
      <c r="AP671" s="63" t="str">
        <f t="shared" si="128"/>
        <v/>
      </c>
      <c r="AQ671" s="63" t="str">
        <f t="shared" si="122"/>
        <v xml:space="preserve">                    </v>
      </c>
      <c r="AR671" s="63"/>
      <c r="AS671" s="63"/>
      <c r="AT671" s="63"/>
      <c r="AU671" s="63"/>
      <c r="AV671" s="63"/>
      <c r="AW671" s="63"/>
      <c r="AX671" s="63"/>
      <c r="AY671" s="63"/>
      <c r="AZ671" s="63"/>
      <c r="BA671" s="63"/>
      <c r="BB671" s="63"/>
      <c r="BC671" s="63"/>
      <c r="BD671" s="63"/>
      <c r="BE671" s="63"/>
      <c r="BF671" s="63"/>
      <c r="BG671" s="63"/>
      <c r="BH671" s="63"/>
      <c r="BI671" s="63"/>
      <c r="BJ671" s="63"/>
      <c r="BK671" s="63"/>
      <c r="BL671" s="63"/>
      <c r="BM671" s="63"/>
      <c r="BN671" s="63"/>
      <c r="BO671" s="63"/>
      <c r="BP671" s="63"/>
      <c r="BQ671" s="63"/>
      <c r="BR671" s="63"/>
      <c r="BS671" s="63"/>
      <c r="BT671" s="63"/>
      <c r="BU671" s="63"/>
      <c r="BV671" s="63"/>
      <c r="BW671" s="63"/>
    </row>
    <row r="672" spans="1:75" x14ac:dyDescent="0.2">
      <c r="A672" s="63" t="str">
        <f t="shared" si="129"/>
        <v/>
      </c>
      <c r="B672" s="182"/>
      <c r="C672" s="75"/>
      <c r="D672" s="75"/>
      <c r="E672" s="74"/>
      <c r="F672" s="181"/>
      <c r="G672" s="69"/>
      <c r="AB672" s="150">
        <f t="shared" si="120"/>
        <v>0</v>
      </c>
      <c r="AC672" s="150">
        <f t="shared" si="121"/>
        <v>0</v>
      </c>
      <c r="AD672" s="98" t="str">
        <f t="shared" si="130"/>
        <v>0000000000</v>
      </c>
      <c r="AE672" s="151">
        <f t="shared" si="123"/>
        <v>0</v>
      </c>
      <c r="AF672" s="98" t="str">
        <f t="shared" si="124"/>
        <v>00</v>
      </c>
      <c r="AG672" s="98" t="str">
        <f t="shared" si="131"/>
        <v>000000000000</v>
      </c>
      <c r="AH672" s="161" t="str">
        <f t="shared" si="125"/>
        <v xml:space="preserve">                    </v>
      </c>
      <c r="AI672" s="154">
        <f t="shared" si="126"/>
        <v>0</v>
      </c>
      <c r="AJ672" s="155">
        <f t="shared" si="127"/>
        <v>0</v>
      </c>
      <c r="AP672" s="63" t="str">
        <f t="shared" si="128"/>
        <v/>
      </c>
      <c r="AQ672" s="63" t="str">
        <f t="shared" si="122"/>
        <v xml:space="preserve">                    </v>
      </c>
      <c r="AR672" s="63"/>
      <c r="AS672" s="63"/>
      <c r="AT672" s="63"/>
      <c r="AU672" s="63"/>
      <c r="AV672" s="63"/>
      <c r="AW672" s="63"/>
      <c r="AX672" s="63"/>
      <c r="AY672" s="63"/>
      <c r="AZ672" s="63"/>
      <c r="BA672" s="63"/>
      <c r="BB672" s="63"/>
      <c r="BC672" s="63"/>
      <c r="BD672" s="63"/>
      <c r="BE672" s="63"/>
      <c r="BF672" s="63"/>
      <c r="BG672" s="63"/>
      <c r="BH672" s="63"/>
      <c r="BI672" s="63"/>
      <c r="BJ672" s="63"/>
      <c r="BK672" s="63"/>
      <c r="BL672" s="63"/>
      <c r="BM672" s="63"/>
      <c r="BN672" s="63"/>
      <c r="BO672" s="63"/>
      <c r="BP672" s="63"/>
      <c r="BQ672" s="63"/>
      <c r="BR672" s="63"/>
      <c r="BS672" s="63"/>
      <c r="BT672" s="63"/>
      <c r="BU672" s="63"/>
      <c r="BV672" s="63"/>
      <c r="BW672" s="63"/>
    </row>
    <row r="673" spans="1:75" x14ac:dyDescent="0.2">
      <c r="A673" s="63" t="str">
        <f t="shared" si="129"/>
        <v/>
      </c>
      <c r="B673" s="182"/>
      <c r="C673" s="75"/>
      <c r="D673" s="75"/>
      <c r="E673" s="74"/>
      <c r="F673" s="181"/>
      <c r="G673" s="69"/>
      <c r="AB673" s="150">
        <f t="shared" si="120"/>
        <v>0</v>
      </c>
      <c r="AC673" s="150">
        <f t="shared" si="121"/>
        <v>0</v>
      </c>
      <c r="AD673" s="98" t="str">
        <f t="shared" si="130"/>
        <v>0000000000</v>
      </c>
      <c r="AE673" s="151">
        <f t="shared" si="123"/>
        <v>0</v>
      </c>
      <c r="AF673" s="98" t="str">
        <f t="shared" si="124"/>
        <v>00</v>
      </c>
      <c r="AG673" s="98" t="str">
        <f t="shared" si="131"/>
        <v>000000000000</v>
      </c>
      <c r="AH673" s="161" t="str">
        <f t="shared" si="125"/>
        <v xml:space="preserve">                    </v>
      </c>
      <c r="AI673" s="154">
        <f t="shared" si="126"/>
        <v>0</v>
      </c>
      <c r="AJ673" s="155">
        <f t="shared" si="127"/>
        <v>0</v>
      </c>
      <c r="AP673" s="63" t="str">
        <f t="shared" si="128"/>
        <v/>
      </c>
      <c r="AQ673" s="63" t="str">
        <f t="shared" si="122"/>
        <v xml:space="preserve">                    </v>
      </c>
      <c r="AR673" s="63"/>
      <c r="AS673" s="63"/>
      <c r="AT673" s="63"/>
      <c r="AU673" s="63"/>
      <c r="AV673" s="63"/>
      <c r="AW673" s="63"/>
      <c r="AX673" s="63"/>
      <c r="AY673" s="63"/>
      <c r="AZ673" s="63"/>
      <c r="BA673" s="63"/>
      <c r="BB673" s="63"/>
      <c r="BC673" s="63"/>
      <c r="BD673" s="63"/>
      <c r="BE673" s="63"/>
      <c r="BF673" s="63"/>
      <c r="BG673" s="63"/>
      <c r="BH673" s="63"/>
      <c r="BI673" s="63"/>
      <c r="BJ673" s="63"/>
      <c r="BK673" s="63"/>
      <c r="BL673" s="63"/>
      <c r="BM673" s="63"/>
      <c r="BN673" s="63"/>
      <c r="BO673" s="63"/>
      <c r="BP673" s="63"/>
      <c r="BQ673" s="63"/>
      <c r="BR673" s="63"/>
      <c r="BS673" s="63"/>
      <c r="BT673" s="63"/>
      <c r="BU673" s="63"/>
      <c r="BV673" s="63"/>
      <c r="BW673" s="63"/>
    </row>
    <row r="674" spans="1:75" x14ac:dyDescent="0.2">
      <c r="A674" s="63" t="str">
        <f t="shared" si="129"/>
        <v/>
      </c>
      <c r="B674" s="182"/>
      <c r="C674" s="75"/>
      <c r="D674" s="75"/>
      <c r="E674" s="74"/>
      <c r="F674" s="181"/>
      <c r="G674" s="69"/>
      <c r="AB674" s="150">
        <f t="shared" si="120"/>
        <v>0</v>
      </c>
      <c r="AC674" s="150">
        <f t="shared" si="121"/>
        <v>0</v>
      </c>
      <c r="AD674" s="98" t="str">
        <f t="shared" si="130"/>
        <v>0000000000</v>
      </c>
      <c r="AE674" s="151">
        <f t="shared" si="123"/>
        <v>0</v>
      </c>
      <c r="AF674" s="98" t="str">
        <f t="shared" si="124"/>
        <v>00</v>
      </c>
      <c r="AG674" s="98" t="str">
        <f t="shared" si="131"/>
        <v>000000000000</v>
      </c>
      <c r="AH674" s="161" t="str">
        <f t="shared" si="125"/>
        <v xml:space="preserve">                    </v>
      </c>
      <c r="AI674" s="154">
        <f t="shared" si="126"/>
        <v>0</v>
      </c>
      <c r="AJ674" s="155">
        <f t="shared" si="127"/>
        <v>0</v>
      </c>
      <c r="AP674" s="63" t="str">
        <f t="shared" si="128"/>
        <v/>
      </c>
      <c r="AQ674" s="63" t="str">
        <f t="shared" si="122"/>
        <v xml:space="preserve">                    </v>
      </c>
      <c r="AR674" s="63"/>
      <c r="AS674" s="63"/>
      <c r="AT674" s="63"/>
      <c r="AU674" s="63"/>
      <c r="AV674" s="63"/>
      <c r="AW674" s="63"/>
      <c r="AX674" s="63"/>
      <c r="AY674" s="63"/>
      <c r="AZ674" s="63"/>
      <c r="BA674" s="63"/>
      <c r="BB674" s="63"/>
      <c r="BC674" s="63"/>
      <c r="BD674" s="63"/>
      <c r="BE674" s="63"/>
      <c r="BF674" s="63"/>
      <c r="BG674" s="63"/>
      <c r="BH674" s="63"/>
      <c r="BI674" s="63"/>
      <c r="BJ674" s="63"/>
      <c r="BK674" s="63"/>
      <c r="BL674" s="63"/>
      <c r="BM674" s="63"/>
      <c r="BN674" s="63"/>
      <c r="BO674" s="63"/>
      <c r="BP674" s="63"/>
      <c r="BQ674" s="63"/>
      <c r="BR674" s="63"/>
      <c r="BS674" s="63"/>
      <c r="BT674" s="63"/>
      <c r="BU674" s="63"/>
      <c r="BV674" s="63"/>
      <c r="BW674" s="63"/>
    </row>
    <row r="675" spans="1:75" x14ac:dyDescent="0.2">
      <c r="A675" s="63" t="str">
        <f t="shared" si="129"/>
        <v/>
      </c>
      <c r="B675" s="182"/>
      <c r="C675" s="75"/>
      <c r="D675" s="75"/>
      <c r="E675" s="74"/>
      <c r="F675" s="181"/>
      <c r="G675" s="69"/>
      <c r="AB675" s="150">
        <f t="shared" si="120"/>
        <v>0</v>
      </c>
      <c r="AC675" s="150">
        <f t="shared" si="121"/>
        <v>0</v>
      </c>
      <c r="AD675" s="98" t="str">
        <f t="shared" si="130"/>
        <v>0000000000</v>
      </c>
      <c r="AE675" s="151">
        <f t="shared" si="123"/>
        <v>0</v>
      </c>
      <c r="AF675" s="98" t="str">
        <f t="shared" si="124"/>
        <v>00</v>
      </c>
      <c r="AG675" s="98" t="str">
        <f t="shared" si="131"/>
        <v>000000000000</v>
      </c>
      <c r="AH675" s="161" t="str">
        <f t="shared" si="125"/>
        <v xml:space="preserve">                    </v>
      </c>
      <c r="AI675" s="154">
        <f t="shared" si="126"/>
        <v>0</v>
      </c>
      <c r="AJ675" s="155">
        <f t="shared" si="127"/>
        <v>0</v>
      </c>
      <c r="AP675" s="63" t="str">
        <f t="shared" si="128"/>
        <v/>
      </c>
      <c r="AQ675" s="63" t="str">
        <f t="shared" si="122"/>
        <v xml:space="preserve">                    </v>
      </c>
      <c r="AR675" s="63"/>
      <c r="AS675" s="63"/>
      <c r="AT675" s="63"/>
      <c r="AU675" s="63"/>
      <c r="AV675" s="63"/>
      <c r="AW675" s="63"/>
      <c r="AX675" s="63"/>
      <c r="AY675" s="63"/>
      <c r="AZ675" s="63"/>
      <c r="BA675" s="63"/>
      <c r="BB675" s="63"/>
      <c r="BC675" s="63"/>
      <c r="BD675" s="63"/>
      <c r="BE675" s="63"/>
      <c r="BF675" s="63"/>
      <c r="BG675" s="63"/>
      <c r="BH675" s="63"/>
      <c r="BI675" s="63"/>
      <c r="BJ675" s="63"/>
      <c r="BK675" s="63"/>
      <c r="BL675" s="63"/>
      <c r="BM675" s="63"/>
      <c r="BN675" s="63"/>
      <c r="BO675" s="63"/>
      <c r="BP675" s="63"/>
      <c r="BQ675" s="63"/>
      <c r="BR675" s="63"/>
      <c r="BS675" s="63"/>
      <c r="BT675" s="63"/>
      <c r="BU675" s="63"/>
      <c r="BV675" s="63"/>
      <c r="BW675" s="63"/>
    </row>
    <row r="676" spans="1:75" x14ac:dyDescent="0.2">
      <c r="A676" s="63" t="str">
        <f t="shared" si="129"/>
        <v/>
      </c>
      <c r="B676" s="182"/>
      <c r="C676" s="75"/>
      <c r="D676" s="75"/>
      <c r="E676" s="74"/>
      <c r="F676" s="181"/>
      <c r="G676" s="69"/>
      <c r="AB676" s="150">
        <f t="shared" si="120"/>
        <v>0</v>
      </c>
      <c r="AC676" s="150">
        <f t="shared" si="121"/>
        <v>0</v>
      </c>
      <c r="AD676" s="98" t="str">
        <f t="shared" si="130"/>
        <v>0000000000</v>
      </c>
      <c r="AE676" s="151">
        <f t="shared" si="123"/>
        <v>0</v>
      </c>
      <c r="AF676" s="98" t="str">
        <f t="shared" si="124"/>
        <v>00</v>
      </c>
      <c r="AG676" s="98" t="str">
        <f t="shared" si="131"/>
        <v>000000000000</v>
      </c>
      <c r="AH676" s="161" t="str">
        <f t="shared" si="125"/>
        <v xml:space="preserve">                    </v>
      </c>
      <c r="AI676" s="154">
        <f t="shared" si="126"/>
        <v>0</v>
      </c>
      <c r="AJ676" s="155">
        <f t="shared" si="127"/>
        <v>0</v>
      </c>
      <c r="AP676" s="63" t="str">
        <f t="shared" si="128"/>
        <v/>
      </c>
      <c r="AQ676" s="63" t="str">
        <f t="shared" si="122"/>
        <v xml:space="preserve">                    </v>
      </c>
      <c r="AR676" s="63"/>
      <c r="AS676" s="63"/>
      <c r="AT676" s="63"/>
      <c r="AU676" s="63"/>
      <c r="AV676" s="63"/>
      <c r="AW676" s="63"/>
      <c r="AX676" s="63"/>
      <c r="AY676" s="63"/>
      <c r="AZ676" s="63"/>
      <c r="BA676" s="63"/>
      <c r="BB676" s="63"/>
      <c r="BC676" s="63"/>
      <c r="BD676" s="63"/>
      <c r="BE676" s="63"/>
      <c r="BF676" s="63"/>
      <c r="BG676" s="63"/>
      <c r="BH676" s="63"/>
      <c r="BI676" s="63"/>
      <c r="BJ676" s="63"/>
      <c r="BK676" s="63"/>
      <c r="BL676" s="63"/>
      <c r="BM676" s="63"/>
      <c r="BN676" s="63"/>
      <c r="BO676" s="63"/>
      <c r="BP676" s="63"/>
      <c r="BQ676" s="63"/>
      <c r="BR676" s="63"/>
      <c r="BS676" s="63"/>
      <c r="BT676" s="63"/>
      <c r="BU676" s="63"/>
      <c r="BV676" s="63"/>
      <c r="BW676" s="63"/>
    </row>
    <row r="677" spans="1:75" x14ac:dyDescent="0.2">
      <c r="A677" s="63" t="str">
        <f t="shared" si="129"/>
        <v/>
      </c>
      <c r="B677" s="182"/>
      <c r="C677" s="75"/>
      <c r="D677" s="75"/>
      <c r="E677" s="74"/>
      <c r="F677" s="181"/>
      <c r="G677" s="69"/>
      <c r="AB677" s="150">
        <f t="shared" si="120"/>
        <v>0</v>
      </c>
      <c r="AC677" s="150">
        <f t="shared" si="121"/>
        <v>0</v>
      </c>
      <c r="AD677" s="98" t="str">
        <f t="shared" si="130"/>
        <v>0000000000</v>
      </c>
      <c r="AE677" s="151">
        <f t="shared" si="123"/>
        <v>0</v>
      </c>
      <c r="AF677" s="98" t="str">
        <f t="shared" si="124"/>
        <v>00</v>
      </c>
      <c r="AG677" s="98" t="str">
        <f t="shared" si="131"/>
        <v>000000000000</v>
      </c>
      <c r="AH677" s="161" t="str">
        <f t="shared" si="125"/>
        <v xml:space="preserve">                    </v>
      </c>
      <c r="AI677" s="154">
        <f t="shared" si="126"/>
        <v>0</v>
      </c>
      <c r="AJ677" s="155">
        <f t="shared" si="127"/>
        <v>0</v>
      </c>
      <c r="AP677" s="63" t="str">
        <f t="shared" si="128"/>
        <v/>
      </c>
      <c r="AQ677" s="63" t="str">
        <f t="shared" si="122"/>
        <v xml:space="preserve">                    </v>
      </c>
      <c r="AR677" s="63"/>
      <c r="AS677" s="63"/>
      <c r="AT677" s="63"/>
      <c r="AU677" s="63"/>
      <c r="AV677" s="63"/>
      <c r="AW677" s="63"/>
      <c r="AX677" s="63"/>
      <c r="AY677" s="63"/>
      <c r="AZ677" s="63"/>
      <c r="BA677" s="63"/>
      <c r="BB677" s="63"/>
      <c r="BC677" s="63"/>
      <c r="BD677" s="63"/>
      <c r="BE677" s="63"/>
      <c r="BF677" s="63"/>
      <c r="BG677" s="63"/>
      <c r="BH677" s="63"/>
      <c r="BI677" s="63"/>
      <c r="BJ677" s="63"/>
      <c r="BK677" s="63"/>
      <c r="BL677" s="63"/>
      <c r="BM677" s="63"/>
      <c r="BN677" s="63"/>
      <c r="BO677" s="63"/>
      <c r="BP677" s="63"/>
      <c r="BQ677" s="63"/>
      <c r="BR677" s="63"/>
      <c r="BS677" s="63"/>
      <c r="BT677" s="63"/>
      <c r="BU677" s="63"/>
      <c r="BV677" s="63"/>
      <c r="BW677" s="63"/>
    </row>
    <row r="678" spans="1:75" x14ac:dyDescent="0.2">
      <c r="A678" s="63" t="str">
        <f t="shared" si="129"/>
        <v/>
      </c>
      <c r="B678" s="182"/>
      <c r="C678" s="75"/>
      <c r="D678" s="75"/>
      <c r="E678" s="74"/>
      <c r="F678" s="181"/>
      <c r="G678" s="69"/>
      <c r="AB678" s="150">
        <f t="shared" si="120"/>
        <v>0</v>
      </c>
      <c r="AC678" s="150">
        <f t="shared" si="121"/>
        <v>0</v>
      </c>
      <c r="AD678" s="98" t="str">
        <f t="shared" si="130"/>
        <v>0000000000</v>
      </c>
      <c r="AE678" s="151">
        <f t="shared" si="123"/>
        <v>0</v>
      </c>
      <c r="AF678" s="98" t="str">
        <f t="shared" si="124"/>
        <v>00</v>
      </c>
      <c r="AG678" s="98" t="str">
        <f t="shared" si="131"/>
        <v>000000000000</v>
      </c>
      <c r="AH678" s="161" t="str">
        <f t="shared" si="125"/>
        <v xml:space="preserve">                    </v>
      </c>
      <c r="AI678" s="154">
        <f t="shared" si="126"/>
        <v>0</v>
      </c>
      <c r="AJ678" s="155">
        <f t="shared" si="127"/>
        <v>0</v>
      </c>
      <c r="AP678" s="63" t="str">
        <f t="shared" si="128"/>
        <v/>
      </c>
      <c r="AQ678" s="63" t="str">
        <f t="shared" si="122"/>
        <v xml:space="preserve">                    </v>
      </c>
      <c r="AR678" s="63"/>
      <c r="AS678" s="63"/>
      <c r="AT678" s="63"/>
      <c r="AU678" s="63"/>
      <c r="AV678" s="63"/>
      <c r="AW678" s="63"/>
      <c r="AX678" s="63"/>
      <c r="AY678" s="63"/>
      <c r="AZ678" s="63"/>
      <c r="BA678" s="63"/>
      <c r="BB678" s="63"/>
      <c r="BC678" s="63"/>
      <c r="BD678" s="63"/>
      <c r="BE678" s="63"/>
      <c r="BF678" s="63"/>
      <c r="BG678" s="63"/>
      <c r="BH678" s="63"/>
      <c r="BI678" s="63"/>
      <c r="BJ678" s="63"/>
      <c r="BK678" s="63"/>
      <c r="BL678" s="63"/>
      <c r="BM678" s="63"/>
      <c r="BN678" s="63"/>
      <c r="BO678" s="63"/>
      <c r="BP678" s="63"/>
      <c r="BQ678" s="63"/>
      <c r="BR678" s="63"/>
      <c r="BS678" s="63"/>
      <c r="BT678" s="63"/>
      <c r="BU678" s="63"/>
      <c r="BV678" s="63"/>
      <c r="BW678" s="63"/>
    </row>
    <row r="679" spans="1:75" x14ac:dyDescent="0.2">
      <c r="A679" s="63" t="str">
        <f t="shared" si="129"/>
        <v/>
      </c>
      <c r="B679" s="182"/>
      <c r="C679" s="75"/>
      <c r="D679" s="75"/>
      <c r="E679" s="74"/>
      <c r="F679" s="181"/>
      <c r="G679" s="69"/>
      <c r="AB679" s="150">
        <f t="shared" si="120"/>
        <v>0</v>
      </c>
      <c r="AC679" s="150">
        <f t="shared" si="121"/>
        <v>0</v>
      </c>
      <c r="AD679" s="98" t="str">
        <f t="shared" si="130"/>
        <v>0000000000</v>
      </c>
      <c r="AE679" s="151">
        <f t="shared" si="123"/>
        <v>0</v>
      </c>
      <c r="AF679" s="98" t="str">
        <f t="shared" si="124"/>
        <v>00</v>
      </c>
      <c r="AG679" s="98" t="str">
        <f t="shared" si="131"/>
        <v>000000000000</v>
      </c>
      <c r="AH679" s="161" t="str">
        <f t="shared" si="125"/>
        <v xml:space="preserve">                    </v>
      </c>
      <c r="AI679" s="154">
        <f t="shared" si="126"/>
        <v>0</v>
      </c>
      <c r="AJ679" s="155">
        <f t="shared" si="127"/>
        <v>0</v>
      </c>
      <c r="AP679" s="63" t="str">
        <f t="shared" si="128"/>
        <v/>
      </c>
      <c r="AQ679" s="63" t="str">
        <f t="shared" si="122"/>
        <v xml:space="preserve">                    </v>
      </c>
      <c r="AR679" s="63"/>
      <c r="AS679" s="63"/>
      <c r="AT679" s="63"/>
      <c r="AU679" s="63"/>
      <c r="AV679" s="63"/>
      <c r="AW679" s="63"/>
      <c r="AX679" s="63"/>
      <c r="AY679" s="63"/>
      <c r="AZ679" s="63"/>
      <c r="BA679" s="63"/>
      <c r="BB679" s="63"/>
      <c r="BC679" s="63"/>
      <c r="BD679" s="63"/>
      <c r="BE679" s="63"/>
      <c r="BF679" s="63"/>
      <c r="BG679" s="63"/>
      <c r="BH679" s="63"/>
      <c r="BI679" s="63"/>
      <c r="BJ679" s="63"/>
      <c r="BK679" s="63"/>
      <c r="BL679" s="63"/>
      <c r="BM679" s="63"/>
      <c r="BN679" s="63"/>
      <c r="BO679" s="63"/>
      <c r="BP679" s="63"/>
      <c r="BQ679" s="63"/>
      <c r="BR679" s="63"/>
      <c r="BS679" s="63"/>
      <c r="BT679" s="63"/>
      <c r="BU679" s="63"/>
      <c r="BV679" s="63"/>
      <c r="BW679" s="63"/>
    </row>
    <row r="680" spans="1:75" x14ac:dyDescent="0.2">
      <c r="A680" s="63" t="str">
        <f t="shared" si="129"/>
        <v/>
      </c>
      <c r="B680" s="182"/>
      <c r="C680" s="75"/>
      <c r="D680" s="75"/>
      <c r="E680" s="74"/>
      <c r="F680" s="181"/>
      <c r="G680" s="69"/>
      <c r="AB680" s="150">
        <f t="shared" si="120"/>
        <v>0</v>
      </c>
      <c r="AC680" s="150">
        <f t="shared" si="121"/>
        <v>0</v>
      </c>
      <c r="AD680" s="98" t="str">
        <f t="shared" si="130"/>
        <v>0000000000</v>
      </c>
      <c r="AE680" s="151">
        <f t="shared" si="123"/>
        <v>0</v>
      </c>
      <c r="AF680" s="98" t="str">
        <f t="shared" si="124"/>
        <v>00</v>
      </c>
      <c r="AG680" s="98" t="str">
        <f t="shared" si="131"/>
        <v>000000000000</v>
      </c>
      <c r="AH680" s="161" t="str">
        <f t="shared" si="125"/>
        <v xml:space="preserve">                    </v>
      </c>
      <c r="AI680" s="154">
        <f t="shared" si="126"/>
        <v>0</v>
      </c>
      <c r="AJ680" s="155">
        <f t="shared" si="127"/>
        <v>0</v>
      </c>
      <c r="AP680" s="63" t="str">
        <f t="shared" si="128"/>
        <v/>
      </c>
      <c r="AQ680" s="63" t="str">
        <f t="shared" si="122"/>
        <v xml:space="preserve">                    </v>
      </c>
      <c r="AR680" s="63"/>
      <c r="AS680" s="63"/>
      <c r="AT680" s="63"/>
      <c r="AU680" s="63"/>
      <c r="AV680" s="63"/>
      <c r="AW680" s="63"/>
      <c r="AX680" s="63"/>
      <c r="AY680" s="63"/>
      <c r="AZ680" s="63"/>
      <c r="BA680" s="63"/>
      <c r="BB680" s="63"/>
      <c r="BC680" s="63"/>
      <c r="BD680" s="63"/>
      <c r="BE680" s="63"/>
      <c r="BF680" s="63"/>
      <c r="BG680" s="63"/>
      <c r="BH680" s="63"/>
      <c r="BI680" s="63"/>
      <c r="BJ680" s="63"/>
      <c r="BK680" s="63"/>
      <c r="BL680" s="63"/>
      <c r="BM680" s="63"/>
      <c r="BN680" s="63"/>
      <c r="BO680" s="63"/>
      <c r="BP680" s="63"/>
      <c r="BQ680" s="63"/>
      <c r="BR680" s="63"/>
      <c r="BS680" s="63"/>
      <c r="BT680" s="63"/>
      <c r="BU680" s="63"/>
      <c r="BV680" s="63"/>
      <c r="BW680" s="63"/>
    </row>
    <row r="681" spans="1:75" x14ac:dyDescent="0.2">
      <c r="A681" s="63" t="str">
        <f t="shared" si="129"/>
        <v/>
      </c>
      <c r="B681" s="182"/>
      <c r="C681" s="75"/>
      <c r="D681" s="75"/>
      <c r="E681" s="74"/>
      <c r="F681" s="181"/>
      <c r="G681" s="69"/>
      <c r="AB681" s="150">
        <f t="shared" si="120"/>
        <v>0</v>
      </c>
      <c r="AC681" s="150">
        <f t="shared" si="121"/>
        <v>0</v>
      </c>
      <c r="AD681" s="98" t="str">
        <f t="shared" si="130"/>
        <v>0000000000</v>
      </c>
      <c r="AE681" s="151">
        <f t="shared" si="123"/>
        <v>0</v>
      </c>
      <c r="AF681" s="98" t="str">
        <f t="shared" si="124"/>
        <v>00</v>
      </c>
      <c r="AG681" s="98" t="str">
        <f t="shared" si="131"/>
        <v>000000000000</v>
      </c>
      <c r="AH681" s="161" t="str">
        <f t="shared" si="125"/>
        <v xml:space="preserve">                    </v>
      </c>
      <c r="AI681" s="154">
        <f t="shared" si="126"/>
        <v>0</v>
      </c>
      <c r="AJ681" s="155">
        <f t="shared" si="127"/>
        <v>0</v>
      </c>
      <c r="AP681" s="63" t="str">
        <f t="shared" si="128"/>
        <v/>
      </c>
      <c r="AQ681" s="63" t="str">
        <f t="shared" si="122"/>
        <v xml:space="preserve">                    </v>
      </c>
      <c r="AR681" s="63"/>
      <c r="AS681" s="63"/>
      <c r="AT681" s="63"/>
      <c r="AU681" s="63"/>
      <c r="AV681" s="63"/>
      <c r="AW681" s="63"/>
      <c r="AX681" s="63"/>
      <c r="AY681" s="63"/>
      <c r="AZ681" s="63"/>
      <c r="BA681" s="63"/>
      <c r="BB681" s="63"/>
      <c r="BC681" s="63"/>
      <c r="BD681" s="63"/>
      <c r="BE681" s="63"/>
      <c r="BF681" s="63"/>
      <c r="BG681" s="63"/>
      <c r="BH681" s="63"/>
      <c r="BI681" s="63"/>
      <c r="BJ681" s="63"/>
      <c r="BK681" s="63"/>
      <c r="BL681" s="63"/>
      <c r="BM681" s="63"/>
      <c r="BN681" s="63"/>
      <c r="BO681" s="63"/>
      <c r="BP681" s="63"/>
      <c r="BQ681" s="63"/>
      <c r="BR681" s="63"/>
      <c r="BS681" s="63"/>
      <c r="BT681" s="63"/>
      <c r="BU681" s="63"/>
      <c r="BV681" s="63"/>
      <c r="BW681" s="63"/>
    </row>
    <row r="682" spans="1:75" x14ac:dyDescent="0.2">
      <c r="A682" s="63" t="str">
        <f t="shared" si="129"/>
        <v/>
      </c>
      <c r="B682" s="182"/>
      <c r="C682" s="75"/>
      <c r="D682" s="75"/>
      <c r="E682" s="74"/>
      <c r="F682" s="181"/>
      <c r="G682" s="69"/>
      <c r="AB682" s="150">
        <f t="shared" si="120"/>
        <v>0</v>
      </c>
      <c r="AC682" s="150">
        <f t="shared" si="121"/>
        <v>0</v>
      </c>
      <c r="AD682" s="98" t="str">
        <f t="shared" si="130"/>
        <v>0000000000</v>
      </c>
      <c r="AE682" s="151">
        <f t="shared" si="123"/>
        <v>0</v>
      </c>
      <c r="AF682" s="98" t="str">
        <f t="shared" si="124"/>
        <v>00</v>
      </c>
      <c r="AG682" s="98" t="str">
        <f t="shared" si="131"/>
        <v>000000000000</v>
      </c>
      <c r="AH682" s="161" t="str">
        <f t="shared" si="125"/>
        <v xml:space="preserve">                    </v>
      </c>
      <c r="AI682" s="154">
        <f t="shared" si="126"/>
        <v>0</v>
      </c>
      <c r="AJ682" s="155">
        <f t="shared" si="127"/>
        <v>0</v>
      </c>
      <c r="AP682" s="63" t="str">
        <f t="shared" si="128"/>
        <v/>
      </c>
      <c r="AQ682" s="63" t="str">
        <f t="shared" si="122"/>
        <v xml:space="preserve">                    </v>
      </c>
      <c r="AR682" s="63"/>
      <c r="AS682" s="63"/>
      <c r="AT682" s="63"/>
      <c r="AU682" s="63"/>
      <c r="AV682" s="63"/>
      <c r="AW682" s="63"/>
      <c r="AX682" s="63"/>
      <c r="AY682" s="63"/>
      <c r="AZ682" s="63"/>
      <c r="BA682" s="63"/>
      <c r="BB682" s="63"/>
      <c r="BC682" s="63"/>
      <c r="BD682" s="63"/>
      <c r="BE682" s="63"/>
      <c r="BF682" s="63"/>
      <c r="BG682" s="63"/>
      <c r="BH682" s="63"/>
      <c r="BI682" s="63"/>
      <c r="BJ682" s="63"/>
      <c r="BK682" s="63"/>
      <c r="BL682" s="63"/>
      <c r="BM682" s="63"/>
      <c r="BN682" s="63"/>
      <c r="BO682" s="63"/>
      <c r="BP682" s="63"/>
      <c r="BQ682" s="63"/>
      <c r="BR682" s="63"/>
      <c r="BS682" s="63"/>
      <c r="BT682" s="63"/>
      <c r="BU682" s="63"/>
      <c r="BV682" s="63"/>
      <c r="BW682" s="63"/>
    </row>
    <row r="683" spans="1:75" x14ac:dyDescent="0.2">
      <c r="A683" s="63" t="str">
        <f t="shared" si="129"/>
        <v/>
      </c>
      <c r="B683" s="182"/>
      <c r="C683" s="75"/>
      <c r="D683" s="75"/>
      <c r="E683" s="74"/>
      <c r="F683" s="181"/>
      <c r="G683" s="69"/>
      <c r="AB683" s="150">
        <f t="shared" si="120"/>
        <v>0</v>
      </c>
      <c r="AC683" s="150">
        <f t="shared" si="121"/>
        <v>0</v>
      </c>
      <c r="AD683" s="98" t="str">
        <f t="shared" si="130"/>
        <v>0000000000</v>
      </c>
      <c r="AE683" s="151">
        <f t="shared" si="123"/>
        <v>0</v>
      </c>
      <c r="AF683" s="98" t="str">
        <f t="shared" si="124"/>
        <v>00</v>
      </c>
      <c r="AG683" s="98" t="str">
        <f t="shared" si="131"/>
        <v>000000000000</v>
      </c>
      <c r="AH683" s="161" t="str">
        <f t="shared" si="125"/>
        <v xml:space="preserve">                    </v>
      </c>
      <c r="AI683" s="154">
        <f t="shared" si="126"/>
        <v>0</v>
      </c>
      <c r="AJ683" s="155">
        <f t="shared" si="127"/>
        <v>0</v>
      </c>
      <c r="AP683" s="63" t="str">
        <f t="shared" si="128"/>
        <v/>
      </c>
      <c r="AQ683" s="63" t="str">
        <f t="shared" si="122"/>
        <v xml:space="preserve">                    </v>
      </c>
      <c r="AR683" s="63"/>
      <c r="AS683" s="63"/>
      <c r="AT683" s="63"/>
      <c r="AU683" s="63"/>
      <c r="AV683" s="63"/>
      <c r="AW683" s="63"/>
      <c r="AX683" s="63"/>
      <c r="AY683" s="63"/>
      <c r="AZ683" s="63"/>
      <c r="BA683" s="63"/>
      <c r="BB683" s="63"/>
      <c r="BC683" s="63"/>
      <c r="BD683" s="63"/>
      <c r="BE683" s="63"/>
      <c r="BF683" s="63"/>
      <c r="BG683" s="63"/>
      <c r="BH683" s="63"/>
      <c r="BI683" s="63"/>
      <c r="BJ683" s="63"/>
      <c r="BK683" s="63"/>
      <c r="BL683" s="63"/>
      <c r="BM683" s="63"/>
      <c r="BN683" s="63"/>
      <c r="BO683" s="63"/>
      <c r="BP683" s="63"/>
      <c r="BQ683" s="63"/>
      <c r="BR683" s="63"/>
      <c r="BS683" s="63"/>
      <c r="BT683" s="63"/>
      <c r="BU683" s="63"/>
      <c r="BV683" s="63"/>
      <c r="BW683" s="63"/>
    </row>
    <row r="684" spans="1:75" x14ac:dyDescent="0.2">
      <c r="A684" s="63" t="str">
        <f t="shared" si="129"/>
        <v/>
      </c>
      <c r="B684" s="182"/>
      <c r="C684" s="75"/>
      <c r="D684" s="75"/>
      <c r="E684" s="74"/>
      <c r="F684" s="181"/>
      <c r="G684" s="69"/>
      <c r="AB684" s="150">
        <f t="shared" si="120"/>
        <v>0</v>
      </c>
      <c r="AC684" s="150">
        <f t="shared" si="121"/>
        <v>0</v>
      </c>
      <c r="AD684" s="98" t="str">
        <f t="shared" si="130"/>
        <v>0000000000</v>
      </c>
      <c r="AE684" s="151">
        <f t="shared" si="123"/>
        <v>0</v>
      </c>
      <c r="AF684" s="98" t="str">
        <f t="shared" si="124"/>
        <v>00</v>
      </c>
      <c r="AG684" s="98" t="str">
        <f t="shared" si="131"/>
        <v>000000000000</v>
      </c>
      <c r="AH684" s="161" t="str">
        <f t="shared" si="125"/>
        <v xml:space="preserve">                    </v>
      </c>
      <c r="AI684" s="154">
        <f t="shared" si="126"/>
        <v>0</v>
      </c>
      <c r="AJ684" s="155">
        <f t="shared" si="127"/>
        <v>0</v>
      </c>
      <c r="AP684" s="63" t="str">
        <f t="shared" si="128"/>
        <v/>
      </c>
      <c r="AQ684" s="63" t="str">
        <f t="shared" si="122"/>
        <v xml:space="preserve">                    </v>
      </c>
      <c r="AR684" s="63"/>
      <c r="AS684" s="63"/>
      <c r="AT684" s="63"/>
      <c r="AU684" s="63"/>
      <c r="AV684" s="63"/>
      <c r="AW684" s="63"/>
      <c r="AX684" s="63"/>
      <c r="AY684" s="63"/>
      <c r="AZ684" s="63"/>
      <c r="BA684" s="63"/>
      <c r="BB684" s="63"/>
      <c r="BC684" s="63"/>
      <c r="BD684" s="63"/>
      <c r="BE684" s="63"/>
      <c r="BF684" s="63"/>
      <c r="BG684" s="63"/>
      <c r="BH684" s="63"/>
      <c r="BI684" s="63"/>
      <c r="BJ684" s="63"/>
      <c r="BK684" s="63"/>
      <c r="BL684" s="63"/>
      <c r="BM684" s="63"/>
      <c r="BN684" s="63"/>
      <c r="BO684" s="63"/>
      <c r="BP684" s="63"/>
      <c r="BQ684" s="63"/>
      <c r="BR684" s="63"/>
      <c r="BS684" s="63"/>
      <c r="BT684" s="63"/>
      <c r="BU684" s="63"/>
      <c r="BV684" s="63"/>
      <c r="BW684" s="63"/>
    </row>
    <row r="685" spans="1:75" x14ac:dyDescent="0.2">
      <c r="A685" s="63" t="str">
        <f t="shared" si="129"/>
        <v/>
      </c>
      <c r="B685" s="182"/>
      <c r="C685" s="75"/>
      <c r="D685" s="75"/>
      <c r="E685" s="74"/>
      <c r="F685" s="181"/>
      <c r="G685" s="69"/>
      <c r="AB685" s="150">
        <f t="shared" si="120"/>
        <v>0</v>
      </c>
      <c r="AC685" s="150">
        <f t="shared" si="121"/>
        <v>0</v>
      </c>
      <c r="AD685" s="98" t="str">
        <f t="shared" si="130"/>
        <v>0000000000</v>
      </c>
      <c r="AE685" s="151">
        <f t="shared" si="123"/>
        <v>0</v>
      </c>
      <c r="AF685" s="98" t="str">
        <f t="shared" si="124"/>
        <v>00</v>
      </c>
      <c r="AG685" s="98" t="str">
        <f t="shared" si="131"/>
        <v>000000000000</v>
      </c>
      <c r="AH685" s="161" t="str">
        <f t="shared" si="125"/>
        <v xml:space="preserve">                    </v>
      </c>
      <c r="AI685" s="154">
        <f t="shared" si="126"/>
        <v>0</v>
      </c>
      <c r="AJ685" s="155">
        <f t="shared" si="127"/>
        <v>0</v>
      </c>
      <c r="AP685" s="63" t="str">
        <f t="shared" si="128"/>
        <v/>
      </c>
      <c r="AQ685" s="63" t="str">
        <f t="shared" si="122"/>
        <v xml:space="preserve">                    </v>
      </c>
      <c r="AR685" s="63"/>
      <c r="AS685" s="63"/>
      <c r="AT685" s="63"/>
      <c r="AU685" s="63"/>
      <c r="AV685" s="63"/>
      <c r="AW685" s="63"/>
      <c r="AX685" s="63"/>
      <c r="AY685" s="63"/>
      <c r="AZ685" s="63"/>
      <c r="BA685" s="63"/>
      <c r="BB685" s="63"/>
      <c r="BC685" s="63"/>
      <c r="BD685" s="63"/>
      <c r="BE685" s="63"/>
      <c r="BF685" s="63"/>
      <c r="BG685" s="63"/>
      <c r="BH685" s="63"/>
      <c r="BI685" s="63"/>
      <c r="BJ685" s="63"/>
      <c r="BK685" s="63"/>
      <c r="BL685" s="63"/>
      <c r="BM685" s="63"/>
      <c r="BN685" s="63"/>
      <c r="BO685" s="63"/>
      <c r="BP685" s="63"/>
      <c r="BQ685" s="63"/>
      <c r="BR685" s="63"/>
      <c r="BS685" s="63"/>
      <c r="BT685" s="63"/>
      <c r="BU685" s="63"/>
      <c r="BV685" s="63"/>
      <c r="BW685" s="63"/>
    </row>
    <row r="686" spans="1:75" x14ac:dyDescent="0.2">
      <c r="A686" s="63" t="str">
        <f t="shared" si="129"/>
        <v/>
      </c>
      <c r="B686" s="182"/>
      <c r="C686" s="75"/>
      <c r="D686" s="75"/>
      <c r="E686" s="74"/>
      <c r="F686" s="181"/>
      <c r="G686" s="69"/>
      <c r="AB686" s="150">
        <f t="shared" si="120"/>
        <v>0</v>
      </c>
      <c r="AC686" s="150">
        <f t="shared" si="121"/>
        <v>0</v>
      </c>
      <c r="AD686" s="98" t="str">
        <f t="shared" si="130"/>
        <v>0000000000</v>
      </c>
      <c r="AE686" s="151">
        <f t="shared" si="123"/>
        <v>0</v>
      </c>
      <c r="AF686" s="98" t="str">
        <f t="shared" si="124"/>
        <v>00</v>
      </c>
      <c r="AG686" s="98" t="str">
        <f t="shared" si="131"/>
        <v>000000000000</v>
      </c>
      <c r="AH686" s="161" t="str">
        <f t="shared" si="125"/>
        <v xml:space="preserve">                    </v>
      </c>
      <c r="AI686" s="154">
        <f t="shared" si="126"/>
        <v>0</v>
      </c>
      <c r="AJ686" s="155">
        <f t="shared" si="127"/>
        <v>0</v>
      </c>
      <c r="AP686" s="63" t="str">
        <f t="shared" si="128"/>
        <v/>
      </c>
      <c r="AQ686" s="63" t="str">
        <f t="shared" si="122"/>
        <v xml:space="preserve">                    </v>
      </c>
      <c r="AR686" s="63"/>
      <c r="AS686" s="63"/>
      <c r="AT686" s="63"/>
      <c r="AU686" s="63"/>
      <c r="AV686" s="63"/>
      <c r="AW686" s="63"/>
      <c r="AX686" s="63"/>
      <c r="AY686" s="63"/>
      <c r="AZ686" s="63"/>
      <c r="BA686" s="63"/>
      <c r="BB686" s="63"/>
      <c r="BC686" s="63"/>
      <c r="BD686" s="63"/>
      <c r="BE686" s="63"/>
      <c r="BF686" s="63"/>
      <c r="BG686" s="63"/>
      <c r="BH686" s="63"/>
      <c r="BI686" s="63"/>
      <c r="BJ686" s="63"/>
      <c r="BK686" s="63"/>
      <c r="BL686" s="63"/>
      <c r="BM686" s="63"/>
      <c r="BN686" s="63"/>
      <c r="BO686" s="63"/>
      <c r="BP686" s="63"/>
      <c r="BQ686" s="63"/>
      <c r="BR686" s="63"/>
      <c r="BS686" s="63"/>
      <c r="BT686" s="63"/>
      <c r="BU686" s="63"/>
      <c r="BV686" s="63"/>
      <c r="BW686" s="63"/>
    </row>
    <row r="687" spans="1:75" x14ac:dyDescent="0.2">
      <c r="A687" s="63" t="str">
        <f t="shared" si="129"/>
        <v/>
      </c>
      <c r="B687" s="182"/>
      <c r="C687" s="75"/>
      <c r="D687" s="75"/>
      <c r="E687" s="74"/>
      <c r="F687" s="181"/>
      <c r="G687" s="69"/>
      <c r="AB687" s="150">
        <f t="shared" si="120"/>
        <v>0</v>
      </c>
      <c r="AC687" s="150">
        <f t="shared" si="121"/>
        <v>0</v>
      </c>
      <c r="AD687" s="98" t="str">
        <f t="shared" si="130"/>
        <v>0000000000</v>
      </c>
      <c r="AE687" s="151">
        <f t="shared" si="123"/>
        <v>0</v>
      </c>
      <c r="AF687" s="98" t="str">
        <f t="shared" si="124"/>
        <v>00</v>
      </c>
      <c r="AG687" s="98" t="str">
        <f t="shared" si="131"/>
        <v>000000000000</v>
      </c>
      <c r="AH687" s="161" t="str">
        <f t="shared" si="125"/>
        <v xml:space="preserve">                    </v>
      </c>
      <c r="AI687" s="154">
        <f t="shared" si="126"/>
        <v>0</v>
      </c>
      <c r="AJ687" s="155">
        <f t="shared" si="127"/>
        <v>0</v>
      </c>
      <c r="AP687" s="63" t="str">
        <f t="shared" si="128"/>
        <v/>
      </c>
      <c r="AQ687" s="63" t="str">
        <f t="shared" si="122"/>
        <v xml:space="preserve">                    </v>
      </c>
      <c r="AR687" s="63"/>
      <c r="AS687" s="63"/>
      <c r="AT687" s="63"/>
      <c r="AU687" s="63"/>
      <c r="AV687" s="63"/>
      <c r="AW687" s="63"/>
      <c r="AX687" s="63"/>
      <c r="AY687" s="63"/>
      <c r="AZ687" s="63"/>
      <c r="BA687" s="63"/>
      <c r="BB687" s="63"/>
      <c r="BC687" s="63"/>
      <c r="BD687" s="63"/>
      <c r="BE687" s="63"/>
      <c r="BF687" s="63"/>
      <c r="BG687" s="63"/>
      <c r="BH687" s="63"/>
      <c r="BI687" s="63"/>
      <c r="BJ687" s="63"/>
      <c r="BK687" s="63"/>
      <c r="BL687" s="63"/>
      <c r="BM687" s="63"/>
      <c r="BN687" s="63"/>
      <c r="BO687" s="63"/>
      <c r="BP687" s="63"/>
      <c r="BQ687" s="63"/>
      <c r="BR687" s="63"/>
      <c r="BS687" s="63"/>
      <c r="BT687" s="63"/>
      <c r="BU687" s="63"/>
      <c r="BV687" s="63"/>
      <c r="BW687" s="63"/>
    </row>
    <row r="688" spans="1:75" x14ac:dyDescent="0.2">
      <c r="A688" s="63" t="str">
        <f t="shared" si="129"/>
        <v/>
      </c>
      <c r="B688" s="182"/>
      <c r="C688" s="75"/>
      <c r="D688" s="75"/>
      <c r="E688" s="74"/>
      <c r="F688" s="181"/>
      <c r="G688" s="69"/>
      <c r="AB688" s="150">
        <f t="shared" si="120"/>
        <v>0</v>
      </c>
      <c r="AC688" s="150">
        <f t="shared" si="121"/>
        <v>0</v>
      </c>
      <c r="AD688" s="98" t="str">
        <f t="shared" si="130"/>
        <v>0000000000</v>
      </c>
      <c r="AE688" s="151">
        <f t="shared" si="123"/>
        <v>0</v>
      </c>
      <c r="AF688" s="98" t="str">
        <f t="shared" si="124"/>
        <v>00</v>
      </c>
      <c r="AG688" s="98" t="str">
        <f t="shared" si="131"/>
        <v>000000000000</v>
      </c>
      <c r="AH688" s="161" t="str">
        <f t="shared" si="125"/>
        <v xml:space="preserve">                    </v>
      </c>
      <c r="AI688" s="154">
        <f t="shared" si="126"/>
        <v>0</v>
      </c>
      <c r="AJ688" s="155">
        <f t="shared" si="127"/>
        <v>0</v>
      </c>
      <c r="AP688" s="63" t="str">
        <f t="shared" si="128"/>
        <v/>
      </c>
      <c r="AQ688" s="63" t="str">
        <f t="shared" si="122"/>
        <v xml:space="preserve">                    </v>
      </c>
      <c r="AR688" s="63"/>
      <c r="AS688" s="63"/>
      <c r="AT688" s="63"/>
      <c r="AU688" s="63"/>
      <c r="AV688" s="63"/>
      <c r="AW688" s="63"/>
      <c r="AX688" s="63"/>
      <c r="AY688" s="63"/>
      <c r="AZ688" s="63"/>
      <c r="BA688" s="63"/>
      <c r="BB688" s="63"/>
      <c r="BC688" s="63"/>
      <c r="BD688" s="63"/>
      <c r="BE688" s="63"/>
      <c r="BF688" s="63"/>
      <c r="BG688" s="63"/>
      <c r="BH688" s="63"/>
      <c r="BI688" s="63"/>
      <c r="BJ688" s="63"/>
      <c r="BK688" s="63"/>
      <c r="BL688" s="63"/>
      <c r="BM688" s="63"/>
      <c r="BN688" s="63"/>
      <c r="BO688" s="63"/>
      <c r="BP688" s="63"/>
      <c r="BQ688" s="63"/>
      <c r="BR688" s="63"/>
      <c r="BS688" s="63"/>
      <c r="BT688" s="63"/>
      <c r="BU688" s="63"/>
      <c r="BV688" s="63"/>
      <c r="BW688" s="63"/>
    </row>
    <row r="689" spans="1:75" x14ac:dyDescent="0.2">
      <c r="A689" s="63" t="str">
        <f t="shared" si="129"/>
        <v/>
      </c>
      <c r="B689" s="182"/>
      <c r="C689" s="75"/>
      <c r="D689" s="75"/>
      <c r="E689" s="74"/>
      <c r="F689" s="181"/>
      <c r="G689" s="69"/>
      <c r="AB689" s="150">
        <f t="shared" si="120"/>
        <v>0</v>
      </c>
      <c r="AC689" s="150">
        <f t="shared" si="121"/>
        <v>0</v>
      </c>
      <c r="AD689" s="98" t="str">
        <f t="shared" si="130"/>
        <v>0000000000</v>
      </c>
      <c r="AE689" s="151">
        <f t="shared" si="123"/>
        <v>0</v>
      </c>
      <c r="AF689" s="98" t="str">
        <f t="shared" si="124"/>
        <v>00</v>
      </c>
      <c r="AG689" s="98" t="str">
        <f t="shared" si="131"/>
        <v>000000000000</v>
      </c>
      <c r="AH689" s="161" t="str">
        <f t="shared" si="125"/>
        <v xml:space="preserve">                    </v>
      </c>
      <c r="AI689" s="154">
        <f t="shared" si="126"/>
        <v>0</v>
      </c>
      <c r="AJ689" s="155">
        <f t="shared" si="127"/>
        <v>0</v>
      </c>
      <c r="AP689" s="63" t="str">
        <f t="shared" si="128"/>
        <v/>
      </c>
      <c r="AQ689" s="63" t="str">
        <f t="shared" si="122"/>
        <v xml:space="preserve">                    </v>
      </c>
      <c r="AR689" s="63"/>
      <c r="AS689" s="63"/>
      <c r="AT689" s="63"/>
      <c r="AU689" s="63"/>
      <c r="AV689" s="63"/>
      <c r="AW689" s="63"/>
      <c r="AX689" s="63"/>
      <c r="AY689" s="63"/>
      <c r="AZ689" s="63"/>
      <c r="BA689" s="63"/>
      <c r="BB689" s="63"/>
      <c r="BC689" s="63"/>
      <c r="BD689" s="63"/>
      <c r="BE689" s="63"/>
      <c r="BF689" s="63"/>
      <c r="BG689" s="63"/>
      <c r="BH689" s="63"/>
      <c r="BI689" s="63"/>
      <c r="BJ689" s="63"/>
      <c r="BK689" s="63"/>
      <c r="BL689" s="63"/>
      <c r="BM689" s="63"/>
      <c r="BN689" s="63"/>
      <c r="BO689" s="63"/>
      <c r="BP689" s="63"/>
      <c r="BQ689" s="63"/>
      <c r="BR689" s="63"/>
      <c r="BS689" s="63"/>
      <c r="BT689" s="63"/>
      <c r="BU689" s="63"/>
      <c r="BV689" s="63"/>
      <c r="BW689" s="63"/>
    </row>
    <row r="690" spans="1:75" x14ac:dyDescent="0.2">
      <c r="A690" s="63" t="str">
        <f t="shared" si="129"/>
        <v/>
      </c>
      <c r="B690" s="182"/>
      <c r="C690" s="75"/>
      <c r="D690" s="75"/>
      <c r="E690" s="74"/>
      <c r="F690" s="181"/>
      <c r="G690" s="69"/>
      <c r="AB690" s="150">
        <f t="shared" si="120"/>
        <v>0</v>
      </c>
      <c r="AC690" s="150">
        <f t="shared" si="121"/>
        <v>0</v>
      </c>
      <c r="AD690" s="98" t="str">
        <f t="shared" si="130"/>
        <v>0000000000</v>
      </c>
      <c r="AE690" s="151">
        <f t="shared" si="123"/>
        <v>0</v>
      </c>
      <c r="AF690" s="98" t="str">
        <f t="shared" si="124"/>
        <v>00</v>
      </c>
      <c r="AG690" s="98" t="str">
        <f t="shared" si="131"/>
        <v>000000000000</v>
      </c>
      <c r="AH690" s="161" t="str">
        <f t="shared" si="125"/>
        <v xml:space="preserve">                    </v>
      </c>
      <c r="AI690" s="154">
        <f t="shared" si="126"/>
        <v>0</v>
      </c>
      <c r="AJ690" s="155">
        <f t="shared" si="127"/>
        <v>0</v>
      </c>
      <c r="AP690" s="63" t="str">
        <f t="shared" si="128"/>
        <v/>
      </c>
      <c r="AQ690" s="63" t="str">
        <f t="shared" si="122"/>
        <v xml:space="preserve">                    </v>
      </c>
      <c r="AR690" s="63"/>
      <c r="AS690" s="63"/>
      <c r="AT690" s="63"/>
      <c r="AU690" s="63"/>
      <c r="AV690" s="63"/>
      <c r="AW690" s="63"/>
      <c r="AX690" s="63"/>
      <c r="AY690" s="63"/>
      <c r="AZ690" s="63"/>
      <c r="BA690" s="63"/>
      <c r="BB690" s="63"/>
      <c r="BC690" s="63"/>
      <c r="BD690" s="63"/>
      <c r="BE690" s="63"/>
      <c r="BF690" s="63"/>
      <c r="BG690" s="63"/>
      <c r="BH690" s="63"/>
      <c r="BI690" s="63"/>
      <c r="BJ690" s="63"/>
      <c r="BK690" s="63"/>
      <c r="BL690" s="63"/>
      <c r="BM690" s="63"/>
      <c r="BN690" s="63"/>
      <c r="BO690" s="63"/>
      <c r="BP690" s="63"/>
      <c r="BQ690" s="63"/>
      <c r="BR690" s="63"/>
      <c r="BS690" s="63"/>
      <c r="BT690" s="63"/>
      <c r="BU690" s="63"/>
      <c r="BV690" s="63"/>
      <c r="BW690" s="63"/>
    </row>
    <row r="691" spans="1:75" x14ac:dyDescent="0.2">
      <c r="A691" s="63" t="str">
        <f t="shared" si="129"/>
        <v/>
      </c>
      <c r="B691" s="182"/>
      <c r="C691" s="75"/>
      <c r="D691" s="75"/>
      <c r="E691" s="74"/>
      <c r="F691" s="181"/>
      <c r="G691" s="69"/>
      <c r="AB691" s="150">
        <f t="shared" si="120"/>
        <v>0</v>
      </c>
      <c r="AC691" s="150">
        <f t="shared" si="121"/>
        <v>0</v>
      </c>
      <c r="AD691" s="98" t="str">
        <f t="shared" si="130"/>
        <v>0000000000</v>
      </c>
      <c r="AE691" s="151">
        <f t="shared" si="123"/>
        <v>0</v>
      </c>
      <c r="AF691" s="98" t="str">
        <f t="shared" si="124"/>
        <v>00</v>
      </c>
      <c r="AG691" s="98" t="str">
        <f t="shared" si="131"/>
        <v>000000000000</v>
      </c>
      <c r="AH691" s="161" t="str">
        <f t="shared" si="125"/>
        <v xml:space="preserve">                    </v>
      </c>
      <c r="AI691" s="154">
        <f t="shared" si="126"/>
        <v>0</v>
      </c>
      <c r="AJ691" s="155">
        <f t="shared" si="127"/>
        <v>0</v>
      </c>
      <c r="AP691" s="63" t="str">
        <f t="shared" si="128"/>
        <v/>
      </c>
      <c r="AQ691" s="63" t="str">
        <f t="shared" si="122"/>
        <v xml:space="preserve">                    </v>
      </c>
      <c r="AR691" s="63"/>
      <c r="AS691" s="63"/>
      <c r="AT691" s="63"/>
      <c r="AU691" s="63"/>
      <c r="AV691" s="63"/>
      <c r="AW691" s="63"/>
      <c r="AX691" s="63"/>
      <c r="AY691" s="63"/>
      <c r="AZ691" s="63"/>
      <c r="BA691" s="63"/>
      <c r="BB691" s="63"/>
      <c r="BC691" s="63"/>
      <c r="BD691" s="63"/>
      <c r="BE691" s="63"/>
      <c r="BF691" s="63"/>
      <c r="BG691" s="63"/>
      <c r="BH691" s="63"/>
      <c r="BI691" s="63"/>
      <c r="BJ691" s="63"/>
      <c r="BK691" s="63"/>
      <c r="BL691" s="63"/>
      <c r="BM691" s="63"/>
      <c r="BN691" s="63"/>
      <c r="BO691" s="63"/>
      <c r="BP691" s="63"/>
      <c r="BQ691" s="63"/>
      <c r="BR691" s="63"/>
      <c r="BS691" s="63"/>
      <c r="BT691" s="63"/>
      <c r="BU691" s="63"/>
      <c r="BV691" s="63"/>
      <c r="BW691" s="63"/>
    </row>
    <row r="692" spans="1:75" x14ac:dyDescent="0.2">
      <c r="A692" s="63" t="str">
        <f t="shared" si="129"/>
        <v/>
      </c>
      <c r="B692" s="182"/>
      <c r="C692" s="75"/>
      <c r="D692" s="75"/>
      <c r="E692" s="74"/>
      <c r="F692" s="181"/>
      <c r="G692" s="69"/>
      <c r="AB692" s="150">
        <f t="shared" si="120"/>
        <v>0</v>
      </c>
      <c r="AC692" s="150">
        <f t="shared" si="121"/>
        <v>0</v>
      </c>
      <c r="AD692" s="98" t="str">
        <f t="shared" si="130"/>
        <v>0000000000</v>
      </c>
      <c r="AE692" s="151">
        <f t="shared" si="123"/>
        <v>0</v>
      </c>
      <c r="AF692" s="98" t="str">
        <f t="shared" si="124"/>
        <v>00</v>
      </c>
      <c r="AG692" s="98" t="str">
        <f t="shared" si="131"/>
        <v>000000000000</v>
      </c>
      <c r="AH692" s="161" t="str">
        <f t="shared" si="125"/>
        <v xml:space="preserve">                    </v>
      </c>
      <c r="AI692" s="154">
        <f t="shared" si="126"/>
        <v>0</v>
      </c>
      <c r="AJ692" s="155">
        <f t="shared" si="127"/>
        <v>0</v>
      </c>
      <c r="AP692" s="63" t="str">
        <f t="shared" si="128"/>
        <v/>
      </c>
      <c r="AQ692" s="63" t="str">
        <f t="shared" si="122"/>
        <v xml:space="preserve">                    </v>
      </c>
      <c r="AR692" s="63"/>
      <c r="AS692" s="63"/>
      <c r="AT692" s="63"/>
      <c r="AU692" s="63"/>
      <c r="AV692" s="63"/>
      <c r="AW692" s="63"/>
      <c r="AX692" s="63"/>
      <c r="AY692" s="63"/>
      <c r="AZ692" s="63"/>
      <c r="BA692" s="63"/>
      <c r="BB692" s="63"/>
      <c r="BC692" s="63"/>
      <c r="BD692" s="63"/>
      <c r="BE692" s="63"/>
      <c r="BF692" s="63"/>
      <c r="BG692" s="63"/>
      <c r="BH692" s="63"/>
      <c r="BI692" s="63"/>
      <c r="BJ692" s="63"/>
      <c r="BK692" s="63"/>
      <c r="BL692" s="63"/>
      <c r="BM692" s="63"/>
      <c r="BN692" s="63"/>
      <c r="BO692" s="63"/>
      <c r="BP692" s="63"/>
      <c r="BQ692" s="63"/>
      <c r="BR692" s="63"/>
      <c r="BS692" s="63"/>
      <c r="BT692" s="63"/>
      <c r="BU692" s="63"/>
      <c r="BV692" s="63"/>
      <c r="BW692" s="63"/>
    </row>
    <row r="693" spans="1:75" x14ac:dyDescent="0.2">
      <c r="A693" s="63" t="str">
        <f t="shared" si="129"/>
        <v/>
      </c>
      <c r="B693" s="182"/>
      <c r="C693" s="75"/>
      <c r="D693" s="75"/>
      <c r="E693" s="74"/>
      <c r="F693" s="181"/>
      <c r="G693" s="69"/>
      <c r="AB693" s="150">
        <f t="shared" si="120"/>
        <v>0</v>
      </c>
      <c r="AC693" s="150">
        <f t="shared" si="121"/>
        <v>0</v>
      </c>
      <c r="AD693" s="98" t="str">
        <f t="shared" si="130"/>
        <v>0000000000</v>
      </c>
      <c r="AE693" s="151">
        <f t="shared" si="123"/>
        <v>0</v>
      </c>
      <c r="AF693" s="98" t="str">
        <f t="shared" si="124"/>
        <v>00</v>
      </c>
      <c r="AG693" s="98" t="str">
        <f t="shared" si="131"/>
        <v>000000000000</v>
      </c>
      <c r="AH693" s="161" t="str">
        <f t="shared" si="125"/>
        <v xml:space="preserve">                    </v>
      </c>
      <c r="AI693" s="154">
        <f t="shared" si="126"/>
        <v>0</v>
      </c>
      <c r="AJ693" s="155">
        <f t="shared" si="127"/>
        <v>0</v>
      </c>
      <c r="AP693" s="63" t="str">
        <f t="shared" si="128"/>
        <v/>
      </c>
      <c r="AQ693" s="63" t="str">
        <f t="shared" si="122"/>
        <v xml:space="preserve">                    </v>
      </c>
      <c r="AR693" s="63"/>
      <c r="AS693" s="63"/>
      <c r="AT693" s="63"/>
      <c r="AU693" s="63"/>
      <c r="AV693" s="63"/>
      <c r="AW693" s="63"/>
      <c r="AX693" s="63"/>
      <c r="AY693" s="63"/>
      <c r="AZ693" s="63"/>
      <c r="BA693" s="63"/>
      <c r="BB693" s="63"/>
      <c r="BC693" s="63"/>
      <c r="BD693" s="63"/>
      <c r="BE693" s="63"/>
      <c r="BF693" s="63"/>
      <c r="BG693" s="63"/>
      <c r="BH693" s="63"/>
      <c r="BI693" s="63"/>
      <c r="BJ693" s="63"/>
      <c r="BK693" s="63"/>
      <c r="BL693" s="63"/>
      <c r="BM693" s="63"/>
      <c r="BN693" s="63"/>
      <c r="BO693" s="63"/>
      <c r="BP693" s="63"/>
      <c r="BQ693" s="63"/>
      <c r="BR693" s="63"/>
      <c r="BS693" s="63"/>
      <c r="BT693" s="63"/>
      <c r="BU693" s="63"/>
      <c r="BV693" s="63"/>
      <c r="BW693" s="63"/>
    </row>
    <row r="694" spans="1:75" x14ac:dyDescent="0.2">
      <c r="A694" s="63" t="str">
        <f t="shared" si="129"/>
        <v/>
      </c>
      <c r="B694" s="182"/>
      <c r="C694" s="75"/>
      <c r="D694" s="75"/>
      <c r="E694" s="74"/>
      <c r="F694" s="181"/>
      <c r="G694" s="69"/>
      <c r="AB694" s="150">
        <f t="shared" si="120"/>
        <v>0</v>
      </c>
      <c r="AC694" s="150">
        <f t="shared" si="121"/>
        <v>0</v>
      </c>
      <c r="AD694" s="98" t="str">
        <f t="shared" si="130"/>
        <v>0000000000</v>
      </c>
      <c r="AE694" s="151">
        <f t="shared" si="123"/>
        <v>0</v>
      </c>
      <c r="AF694" s="98" t="str">
        <f t="shared" si="124"/>
        <v>00</v>
      </c>
      <c r="AG694" s="98" t="str">
        <f t="shared" si="131"/>
        <v>000000000000</v>
      </c>
      <c r="AH694" s="161" t="str">
        <f t="shared" si="125"/>
        <v xml:space="preserve">                    </v>
      </c>
      <c r="AI694" s="154">
        <f t="shared" si="126"/>
        <v>0</v>
      </c>
      <c r="AJ694" s="155">
        <f t="shared" si="127"/>
        <v>0</v>
      </c>
      <c r="AP694" s="63" t="str">
        <f t="shared" si="128"/>
        <v/>
      </c>
      <c r="AQ694" s="63" t="str">
        <f t="shared" si="122"/>
        <v xml:space="preserve">                    </v>
      </c>
      <c r="AR694" s="63"/>
      <c r="AS694" s="63"/>
      <c r="AT694" s="63"/>
      <c r="AU694" s="63"/>
      <c r="AV694" s="63"/>
      <c r="AW694" s="63"/>
      <c r="AX694" s="63"/>
      <c r="AY694" s="63"/>
      <c r="AZ694" s="63"/>
      <c r="BA694" s="63"/>
      <c r="BB694" s="63"/>
      <c r="BC694" s="63"/>
      <c r="BD694" s="63"/>
      <c r="BE694" s="63"/>
      <c r="BF694" s="63"/>
      <c r="BG694" s="63"/>
      <c r="BH694" s="63"/>
      <c r="BI694" s="63"/>
      <c r="BJ694" s="63"/>
      <c r="BK694" s="63"/>
      <c r="BL694" s="63"/>
      <c r="BM694" s="63"/>
      <c r="BN694" s="63"/>
      <c r="BO694" s="63"/>
      <c r="BP694" s="63"/>
      <c r="BQ694" s="63"/>
      <c r="BR694" s="63"/>
      <c r="BS694" s="63"/>
      <c r="BT694" s="63"/>
      <c r="BU694" s="63"/>
      <c r="BV694" s="63"/>
      <c r="BW694" s="63"/>
    </row>
    <row r="695" spans="1:75" x14ac:dyDescent="0.2">
      <c r="A695" s="63" t="str">
        <f t="shared" si="129"/>
        <v/>
      </c>
      <c r="B695" s="182"/>
      <c r="C695" s="75"/>
      <c r="D695" s="75"/>
      <c r="E695" s="74"/>
      <c r="F695" s="181"/>
      <c r="G695" s="69"/>
      <c r="AB695" s="150">
        <f t="shared" si="120"/>
        <v>0</v>
      </c>
      <c r="AC695" s="150">
        <f t="shared" si="121"/>
        <v>0</v>
      </c>
      <c r="AD695" s="98" t="str">
        <f t="shared" si="130"/>
        <v>0000000000</v>
      </c>
      <c r="AE695" s="151">
        <f t="shared" si="123"/>
        <v>0</v>
      </c>
      <c r="AF695" s="98" t="str">
        <f t="shared" si="124"/>
        <v>00</v>
      </c>
      <c r="AG695" s="98" t="str">
        <f t="shared" si="131"/>
        <v>000000000000</v>
      </c>
      <c r="AH695" s="161" t="str">
        <f t="shared" si="125"/>
        <v xml:space="preserve">                    </v>
      </c>
      <c r="AI695" s="154">
        <f t="shared" si="126"/>
        <v>0</v>
      </c>
      <c r="AJ695" s="155">
        <f t="shared" si="127"/>
        <v>0</v>
      </c>
      <c r="AP695" s="63" t="str">
        <f t="shared" si="128"/>
        <v/>
      </c>
      <c r="AQ695" s="63" t="str">
        <f t="shared" si="122"/>
        <v xml:space="preserve">                    </v>
      </c>
      <c r="AR695" s="63"/>
      <c r="AS695" s="63"/>
      <c r="AT695" s="63"/>
      <c r="AU695" s="63"/>
      <c r="AV695" s="63"/>
      <c r="AW695" s="63"/>
      <c r="AX695" s="63"/>
      <c r="AY695" s="63"/>
      <c r="AZ695" s="63"/>
      <c r="BA695" s="63"/>
      <c r="BB695" s="63"/>
      <c r="BC695" s="63"/>
      <c r="BD695" s="63"/>
      <c r="BE695" s="63"/>
      <c r="BF695" s="63"/>
      <c r="BG695" s="63"/>
      <c r="BH695" s="63"/>
      <c r="BI695" s="63"/>
      <c r="BJ695" s="63"/>
      <c r="BK695" s="63"/>
      <c r="BL695" s="63"/>
      <c r="BM695" s="63"/>
      <c r="BN695" s="63"/>
      <c r="BO695" s="63"/>
      <c r="BP695" s="63"/>
      <c r="BQ695" s="63"/>
      <c r="BR695" s="63"/>
      <c r="BS695" s="63"/>
      <c r="BT695" s="63"/>
      <c r="BU695" s="63"/>
      <c r="BV695" s="63"/>
      <c r="BW695" s="63"/>
    </row>
    <row r="696" spans="1:75" x14ac:dyDescent="0.2">
      <c r="A696" s="63" t="str">
        <f t="shared" si="129"/>
        <v/>
      </c>
      <c r="B696" s="182"/>
      <c r="C696" s="75"/>
      <c r="D696" s="75"/>
      <c r="E696" s="74"/>
      <c r="F696" s="181"/>
      <c r="G696" s="69"/>
      <c r="AB696" s="150">
        <f t="shared" si="120"/>
        <v>0</v>
      </c>
      <c r="AC696" s="150">
        <f t="shared" si="121"/>
        <v>0</v>
      </c>
      <c r="AD696" s="98" t="str">
        <f t="shared" si="130"/>
        <v>0000000000</v>
      </c>
      <c r="AE696" s="151">
        <f t="shared" si="123"/>
        <v>0</v>
      </c>
      <c r="AF696" s="98" t="str">
        <f t="shared" si="124"/>
        <v>00</v>
      </c>
      <c r="AG696" s="98" t="str">
        <f t="shared" si="131"/>
        <v>000000000000</v>
      </c>
      <c r="AH696" s="161" t="str">
        <f t="shared" si="125"/>
        <v xml:space="preserve">                    </v>
      </c>
      <c r="AI696" s="154">
        <f t="shared" si="126"/>
        <v>0</v>
      </c>
      <c r="AJ696" s="155">
        <f t="shared" si="127"/>
        <v>0</v>
      </c>
      <c r="AP696" s="63" t="str">
        <f t="shared" si="128"/>
        <v/>
      </c>
      <c r="AQ696" s="63" t="str">
        <f t="shared" si="122"/>
        <v xml:space="preserve">                    </v>
      </c>
      <c r="AR696" s="63"/>
      <c r="AS696" s="63"/>
      <c r="AT696" s="63"/>
      <c r="AU696" s="63"/>
      <c r="AV696" s="63"/>
      <c r="AW696" s="63"/>
      <c r="AX696" s="63"/>
      <c r="AY696" s="63"/>
      <c r="AZ696" s="63"/>
      <c r="BA696" s="63"/>
      <c r="BB696" s="63"/>
      <c r="BC696" s="63"/>
      <c r="BD696" s="63"/>
      <c r="BE696" s="63"/>
      <c r="BF696" s="63"/>
      <c r="BG696" s="63"/>
      <c r="BH696" s="63"/>
      <c r="BI696" s="63"/>
      <c r="BJ696" s="63"/>
      <c r="BK696" s="63"/>
      <c r="BL696" s="63"/>
      <c r="BM696" s="63"/>
      <c r="BN696" s="63"/>
      <c r="BO696" s="63"/>
      <c r="BP696" s="63"/>
      <c r="BQ696" s="63"/>
      <c r="BR696" s="63"/>
      <c r="BS696" s="63"/>
      <c r="BT696" s="63"/>
      <c r="BU696" s="63"/>
      <c r="BV696" s="63"/>
      <c r="BW696" s="63"/>
    </row>
    <row r="697" spans="1:75" x14ac:dyDescent="0.2">
      <c r="A697" s="63" t="str">
        <f t="shared" si="129"/>
        <v/>
      </c>
      <c r="B697" s="182"/>
      <c r="C697" s="75"/>
      <c r="D697" s="75"/>
      <c r="E697" s="74"/>
      <c r="F697" s="181"/>
      <c r="G697" s="69"/>
      <c r="AB697" s="150">
        <f t="shared" si="120"/>
        <v>0</v>
      </c>
      <c r="AC697" s="150">
        <f t="shared" si="121"/>
        <v>0</v>
      </c>
      <c r="AD697" s="98" t="str">
        <f t="shared" si="130"/>
        <v>0000000000</v>
      </c>
      <c r="AE697" s="151">
        <f t="shared" si="123"/>
        <v>0</v>
      </c>
      <c r="AF697" s="98" t="str">
        <f t="shared" si="124"/>
        <v>00</v>
      </c>
      <c r="AG697" s="98" t="str">
        <f t="shared" si="131"/>
        <v>000000000000</v>
      </c>
      <c r="AH697" s="161" t="str">
        <f t="shared" si="125"/>
        <v xml:space="preserve">                    </v>
      </c>
      <c r="AI697" s="154">
        <f t="shared" si="126"/>
        <v>0</v>
      </c>
      <c r="AJ697" s="155">
        <f t="shared" si="127"/>
        <v>0</v>
      </c>
      <c r="AP697" s="63" t="str">
        <f t="shared" si="128"/>
        <v/>
      </c>
      <c r="AQ697" s="63" t="str">
        <f t="shared" si="122"/>
        <v xml:space="preserve">                    </v>
      </c>
      <c r="AR697" s="63"/>
      <c r="AS697" s="63"/>
      <c r="AT697" s="63"/>
      <c r="AU697" s="63"/>
      <c r="AV697" s="63"/>
      <c r="AW697" s="63"/>
      <c r="AX697" s="63"/>
      <c r="AY697" s="63"/>
      <c r="AZ697" s="63"/>
      <c r="BA697" s="63"/>
      <c r="BB697" s="63"/>
      <c r="BC697" s="63"/>
      <c r="BD697" s="63"/>
      <c r="BE697" s="63"/>
      <c r="BF697" s="63"/>
      <c r="BG697" s="63"/>
      <c r="BH697" s="63"/>
      <c r="BI697" s="63"/>
      <c r="BJ697" s="63"/>
      <c r="BK697" s="63"/>
      <c r="BL697" s="63"/>
      <c r="BM697" s="63"/>
      <c r="BN697" s="63"/>
      <c r="BO697" s="63"/>
      <c r="BP697" s="63"/>
      <c r="BQ697" s="63"/>
      <c r="BR697" s="63"/>
      <c r="BS697" s="63"/>
      <c r="BT697" s="63"/>
      <c r="BU697" s="63"/>
      <c r="BV697" s="63"/>
      <c r="BW697" s="63"/>
    </row>
    <row r="698" spans="1:75" x14ac:dyDescent="0.2">
      <c r="A698" s="63" t="str">
        <f t="shared" si="129"/>
        <v/>
      </c>
      <c r="B698" s="182"/>
      <c r="C698" s="75"/>
      <c r="D698" s="75"/>
      <c r="E698" s="74"/>
      <c r="F698" s="181"/>
      <c r="G698" s="69"/>
      <c r="AB698" s="150">
        <f t="shared" si="120"/>
        <v>0</v>
      </c>
      <c r="AC698" s="150">
        <f t="shared" si="121"/>
        <v>0</v>
      </c>
      <c r="AD698" s="98" t="str">
        <f t="shared" si="130"/>
        <v>0000000000</v>
      </c>
      <c r="AE698" s="151">
        <f t="shared" si="123"/>
        <v>0</v>
      </c>
      <c r="AF698" s="98" t="str">
        <f t="shared" si="124"/>
        <v>00</v>
      </c>
      <c r="AG698" s="98" t="str">
        <f t="shared" si="131"/>
        <v>000000000000</v>
      </c>
      <c r="AH698" s="161" t="str">
        <f t="shared" si="125"/>
        <v xml:space="preserve">                    </v>
      </c>
      <c r="AI698" s="154">
        <f t="shared" si="126"/>
        <v>0</v>
      </c>
      <c r="AJ698" s="155">
        <f t="shared" si="127"/>
        <v>0</v>
      </c>
      <c r="AP698" s="63" t="str">
        <f t="shared" si="128"/>
        <v/>
      </c>
      <c r="AQ698" s="63" t="str">
        <f t="shared" si="122"/>
        <v xml:space="preserve">                    </v>
      </c>
      <c r="AR698" s="63"/>
      <c r="AS698" s="63"/>
      <c r="AT698" s="63"/>
      <c r="AU698" s="63"/>
      <c r="AV698" s="63"/>
      <c r="AW698" s="63"/>
      <c r="AX698" s="63"/>
      <c r="AY698" s="63"/>
      <c r="AZ698" s="63"/>
      <c r="BA698" s="63"/>
      <c r="BB698" s="63"/>
      <c r="BC698" s="63"/>
      <c r="BD698" s="63"/>
      <c r="BE698" s="63"/>
      <c r="BF698" s="63"/>
      <c r="BG698" s="63"/>
      <c r="BH698" s="63"/>
      <c r="BI698" s="63"/>
      <c r="BJ698" s="63"/>
      <c r="BK698" s="63"/>
      <c r="BL698" s="63"/>
      <c r="BM698" s="63"/>
      <c r="BN698" s="63"/>
      <c r="BO698" s="63"/>
      <c r="BP698" s="63"/>
      <c r="BQ698" s="63"/>
      <c r="BR698" s="63"/>
      <c r="BS698" s="63"/>
      <c r="BT698" s="63"/>
      <c r="BU698" s="63"/>
      <c r="BV698" s="63"/>
      <c r="BW698" s="63"/>
    </row>
    <row r="699" spans="1:75" x14ac:dyDescent="0.2">
      <c r="A699" s="63" t="str">
        <f t="shared" si="129"/>
        <v/>
      </c>
      <c r="B699" s="182"/>
      <c r="C699" s="75"/>
      <c r="D699" s="75"/>
      <c r="E699" s="74"/>
      <c r="F699" s="181"/>
      <c r="G699" s="69"/>
      <c r="AB699" s="150">
        <f t="shared" si="120"/>
        <v>0</v>
      </c>
      <c r="AC699" s="150">
        <f t="shared" si="121"/>
        <v>0</v>
      </c>
      <c r="AD699" s="98" t="str">
        <f t="shared" si="130"/>
        <v>0000000000</v>
      </c>
      <c r="AE699" s="151">
        <f t="shared" si="123"/>
        <v>0</v>
      </c>
      <c r="AF699" s="98" t="str">
        <f t="shared" si="124"/>
        <v>00</v>
      </c>
      <c r="AG699" s="98" t="str">
        <f t="shared" si="131"/>
        <v>000000000000</v>
      </c>
      <c r="AH699" s="161" t="str">
        <f t="shared" si="125"/>
        <v xml:space="preserve">                    </v>
      </c>
      <c r="AI699" s="154">
        <f t="shared" si="126"/>
        <v>0</v>
      </c>
      <c r="AJ699" s="155">
        <f t="shared" si="127"/>
        <v>0</v>
      </c>
      <c r="AP699" s="63" t="str">
        <f t="shared" si="128"/>
        <v/>
      </c>
      <c r="AQ699" s="63" t="str">
        <f t="shared" si="122"/>
        <v xml:space="preserve">                    </v>
      </c>
      <c r="AR699" s="63"/>
      <c r="AS699" s="63"/>
      <c r="AT699" s="63"/>
      <c r="AU699" s="63"/>
      <c r="AV699" s="63"/>
      <c r="AW699" s="63"/>
      <c r="AX699" s="63"/>
      <c r="AY699" s="63"/>
      <c r="AZ699" s="63"/>
      <c r="BA699" s="63"/>
      <c r="BB699" s="63"/>
      <c r="BC699" s="63"/>
      <c r="BD699" s="63"/>
      <c r="BE699" s="63"/>
      <c r="BF699" s="63"/>
      <c r="BG699" s="63"/>
      <c r="BH699" s="63"/>
      <c r="BI699" s="63"/>
      <c r="BJ699" s="63"/>
      <c r="BK699" s="63"/>
      <c r="BL699" s="63"/>
      <c r="BM699" s="63"/>
      <c r="BN699" s="63"/>
      <c r="BO699" s="63"/>
      <c r="BP699" s="63"/>
      <c r="BQ699" s="63"/>
      <c r="BR699" s="63"/>
      <c r="BS699" s="63"/>
      <c r="BT699" s="63"/>
      <c r="BU699" s="63"/>
      <c r="BV699" s="63"/>
      <c r="BW699" s="63"/>
    </row>
    <row r="700" spans="1:75" x14ac:dyDescent="0.2">
      <c r="A700" s="63" t="str">
        <f t="shared" si="129"/>
        <v/>
      </c>
      <c r="B700" s="182"/>
      <c r="C700" s="75"/>
      <c r="D700" s="75"/>
      <c r="E700" s="74"/>
      <c r="F700" s="181"/>
      <c r="G700" s="69"/>
      <c r="AB700" s="150">
        <f t="shared" si="120"/>
        <v>0</v>
      </c>
      <c r="AC700" s="150">
        <f t="shared" si="121"/>
        <v>0</v>
      </c>
      <c r="AD700" s="98" t="str">
        <f t="shared" si="130"/>
        <v>0000000000</v>
      </c>
      <c r="AE700" s="151">
        <f t="shared" si="123"/>
        <v>0</v>
      </c>
      <c r="AF700" s="98" t="str">
        <f t="shared" si="124"/>
        <v>00</v>
      </c>
      <c r="AG700" s="98" t="str">
        <f t="shared" si="131"/>
        <v>000000000000</v>
      </c>
      <c r="AH700" s="161" t="str">
        <f t="shared" si="125"/>
        <v xml:space="preserve">                    </v>
      </c>
      <c r="AI700" s="154">
        <f t="shared" si="126"/>
        <v>0</v>
      </c>
      <c r="AJ700" s="155">
        <f t="shared" si="127"/>
        <v>0</v>
      </c>
      <c r="AP700" s="63" t="str">
        <f t="shared" si="128"/>
        <v/>
      </c>
      <c r="AQ700" s="63" t="str">
        <f t="shared" si="122"/>
        <v xml:space="preserve">                    </v>
      </c>
      <c r="AR700" s="63"/>
      <c r="AS700" s="63"/>
      <c r="AT700" s="63"/>
      <c r="AU700" s="63"/>
      <c r="AV700" s="63"/>
      <c r="AW700" s="63"/>
      <c r="AX700" s="63"/>
      <c r="AY700" s="63"/>
      <c r="AZ700" s="63"/>
      <c r="BA700" s="63"/>
      <c r="BB700" s="63"/>
      <c r="BC700" s="63"/>
      <c r="BD700" s="63"/>
      <c r="BE700" s="63"/>
      <c r="BF700" s="63"/>
      <c r="BG700" s="63"/>
      <c r="BH700" s="63"/>
      <c r="BI700" s="63"/>
      <c r="BJ700" s="63"/>
      <c r="BK700" s="63"/>
      <c r="BL700" s="63"/>
      <c r="BM700" s="63"/>
      <c r="BN700" s="63"/>
      <c r="BO700" s="63"/>
      <c r="BP700" s="63"/>
      <c r="BQ700" s="63"/>
      <c r="BR700" s="63"/>
      <c r="BS700" s="63"/>
      <c r="BT700" s="63"/>
      <c r="BU700" s="63"/>
      <c r="BV700" s="63"/>
      <c r="BW700" s="63"/>
    </row>
    <row r="701" spans="1:75" x14ac:dyDescent="0.2">
      <c r="A701" s="63" t="str">
        <f t="shared" si="129"/>
        <v/>
      </c>
      <c r="B701" s="182"/>
      <c r="C701" s="75"/>
      <c r="D701" s="75"/>
      <c r="E701" s="74"/>
      <c r="F701" s="181"/>
      <c r="G701" s="69"/>
      <c r="AB701" s="150">
        <f t="shared" si="120"/>
        <v>0</v>
      </c>
      <c r="AC701" s="150">
        <f t="shared" si="121"/>
        <v>0</v>
      </c>
      <c r="AD701" s="98" t="str">
        <f t="shared" si="130"/>
        <v>0000000000</v>
      </c>
      <c r="AE701" s="151">
        <f t="shared" si="123"/>
        <v>0</v>
      </c>
      <c r="AF701" s="98" t="str">
        <f t="shared" si="124"/>
        <v>00</v>
      </c>
      <c r="AG701" s="98" t="str">
        <f t="shared" si="131"/>
        <v>000000000000</v>
      </c>
      <c r="AH701" s="161" t="str">
        <f t="shared" si="125"/>
        <v xml:space="preserve">                    </v>
      </c>
      <c r="AI701" s="154">
        <f t="shared" si="126"/>
        <v>0</v>
      </c>
      <c r="AJ701" s="155">
        <f t="shared" si="127"/>
        <v>0</v>
      </c>
      <c r="AP701" s="63" t="str">
        <f t="shared" si="128"/>
        <v/>
      </c>
      <c r="AQ701" s="63" t="str">
        <f t="shared" si="122"/>
        <v xml:space="preserve">                    </v>
      </c>
      <c r="AR701" s="63"/>
      <c r="AS701" s="63"/>
      <c r="AT701" s="63"/>
      <c r="AU701" s="63"/>
      <c r="AV701" s="63"/>
      <c r="AW701" s="63"/>
      <c r="AX701" s="63"/>
      <c r="AY701" s="63"/>
      <c r="AZ701" s="63"/>
      <c r="BA701" s="63"/>
      <c r="BB701" s="63"/>
      <c r="BC701" s="63"/>
      <c r="BD701" s="63"/>
      <c r="BE701" s="63"/>
      <c r="BF701" s="63"/>
      <c r="BG701" s="63"/>
      <c r="BH701" s="63"/>
      <c r="BI701" s="63"/>
      <c r="BJ701" s="63"/>
      <c r="BK701" s="63"/>
      <c r="BL701" s="63"/>
      <c r="BM701" s="63"/>
      <c r="BN701" s="63"/>
      <c r="BO701" s="63"/>
      <c r="BP701" s="63"/>
      <c r="BQ701" s="63"/>
      <c r="BR701" s="63"/>
      <c r="BS701" s="63"/>
      <c r="BT701" s="63"/>
      <c r="BU701" s="63"/>
      <c r="BV701" s="63"/>
      <c r="BW701" s="63"/>
    </row>
    <row r="702" spans="1:75" x14ac:dyDescent="0.2">
      <c r="A702" s="63" t="str">
        <f t="shared" si="129"/>
        <v/>
      </c>
      <c r="B702" s="182"/>
      <c r="C702" s="75"/>
      <c r="D702" s="75"/>
      <c r="E702" s="74"/>
      <c r="F702" s="181"/>
      <c r="G702" s="69"/>
      <c r="AB702" s="150">
        <f t="shared" si="120"/>
        <v>0</v>
      </c>
      <c r="AC702" s="150">
        <f t="shared" si="121"/>
        <v>0</v>
      </c>
      <c r="AD702" s="98" t="str">
        <f t="shared" si="130"/>
        <v>0000000000</v>
      </c>
      <c r="AE702" s="151">
        <f t="shared" si="123"/>
        <v>0</v>
      </c>
      <c r="AF702" s="98" t="str">
        <f t="shared" si="124"/>
        <v>00</v>
      </c>
      <c r="AG702" s="98" t="str">
        <f t="shared" si="131"/>
        <v>000000000000</v>
      </c>
      <c r="AH702" s="161" t="str">
        <f t="shared" si="125"/>
        <v xml:space="preserve">                    </v>
      </c>
      <c r="AI702" s="154">
        <f t="shared" si="126"/>
        <v>0</v>
      </c>
      <c r="AJ702" s="155">
        <f t="shared" si="127"/>
        <v>0</v>
      </c>
      <c r="AP702" s="63" t="str">
        <f t="shared" si="128"/>
        <v/>
      </c>
      <c r="AQ702" s="63" t="str">
        <f t="shared" si="122"/>
        <v xml:space="preserve">                    </v>
      </c>
      <c r="AR702" s="63"/>
      <c r="AS702" s="63"/>
      <c r="AT702" s="63"/>
      <c r="AU702" s="63"/>
      <c r="AV702" s="63"/>
      <c r="AW702" s="63"/>
      <c r="AX702" s="63"/>
      <c r="AY702" s="63"/>
      <c r="AZ702" s="63"/>
      <c r="BA702" s="63"/>
      <c r="BB702" s="63"/>
      <c r="BC702" s="63"/>
      <c r="BD702" s="63"/>
      <c r="BE702" s="63"/>
      <c r="BF702" s="63"/>
      <c r="BG702" s="63"/>
      <c r="BH702" s="63"/>
      <c r="BI702" s="63"/>
      <c r="BJ702" s="63"/>
      <c r="BK702" s="63"/>
      <c r="BL702" s="63"/>
      <c r="BM702" s="63"/>
      <c r="BN702" s="63"/>
      <c r="BO702" s="63"/>
      <c r="BP702" s="63"/>
      <c r="BQ702" s="63"/>
      <c r="BR702" s="63"/>
      <c r="BS702" s="63"/>
      <c r="BT702" s="63"/>
      <c r="BU702" s="63"/>
      <c r="BV702" s="63"/>
      <c r="BW702" s="63"/>
    </row>
    <row r="703" spans="1:75" x14ac:dyDescent="0.2">
      <c r="A703" s="63" t="str">
        <f t="shared" si="129"/>
        <v/>
      </c>
      <c r="B703" s="182"/>
      <c r="C703" s="75"/>
      <c r="D703" s="75"/>
      <c r="E703" s="74"/>
      <c r="F703" s="181"/>
      <c r="G703" s="69"/>
      <c r="AB703" s="150">
        <f t="shared" si="120"/>
        <v>0</v>
      </c>
      <c r="AC703" s="150">
        <f t="shared" si="121"/>
        <v>0</v>
      </c>
      <c r="AD703" s="98" t="str">
        <f t="shared" si="130"/>
        <v>0000000000</v>
      </c>
      <c r="AE703" s="151">
        <f t="shared" si="123"/>
        <v>0</v>
      </c>
      <c r="AF703" s="98" t="str">
        <f t="shared" si="124"/>
        <v>00</v>
      </c>
      <c r="AG703" s="98" t="str">
        <f t="shared" si="131"/>
        <v>000000000000</v>
      </c>
      <c r="AH703" s="161" t="str">
        <f t="shared" si="125"/>
        <v xml:space="preserve">                    </v>
      </c>
      <c r="AI703" s="154">
        <f t="shared" si="126"/>
        <v>0</v>
      </c>
      <c r="AJ703" s="155">
        <f t="shared" si="127"/>
        <v>0</v>
      </c>
      <c r="AP703" s="63" t="str">
        <f t="shared" si="128"/>
        <v/>
      </c>
      <c r="AQ703" s="63" t="str">
        <f t="shared" si="122"/>
        <v xml:space="preserve">                    </v>
      </c>
      <c r="AR703" s="63"/>
      <c r="AS703" s="63"/>
      <c r="AT703" s="63"/>
      <c r="AU703" s="63"/>
      <c r="AV703" s="63"/>
      <c r="AW703" s="63"/>
      <c r="AX703" s="63"/>
      <c r="AY703" s="63"/>
      <c r="AZ703" s="63"/>
      <c r="BA703" s="63"/>
      <c r="BB703" s="63"/>
      <c r="BC703" s="63"/>
      <c r="BD703" s="63"/>
      <c r="BE703" s="63"/>
      <c r="BF703" s="63"/>
      <c r="BG703" s="63"/>
      <c r="BH703" s="63"/>
      <c r="BI703" s="63"/>
      <c r="BJ703" s="63"/>
      <c r="BK703" s="63"/>
      <c r="BL703" s="63"/>
      <c r="BM703" s="63"/>
      <c r="BN703" s="63"/>
      <c r="BO703" s="63"/>
      <c r="BP703" s="63"/>
      <c r="BQ703" s="63"/>
      <c r="BR703" s="63"/>
      <c r="BS703" s="63"/>
      <c r="BT703" s="63"/>
      <c r="BU703" s="63"/>
      <c r="BV703" s="63"/>
      <c r="BW703" s="63"/>
    </row>
    <row r="704" spans="1:75" x14ac:dyDescent="0.2">
      <c r="A704" s="63" t="str">
        <f t="shared" si="129"/>
        <v/>
      </c>
      <c r="B704" s="182"/>
      <c r="C704" s="75"/>
      <c r="D704" s="75"/>
      <c r="E704" s="74"/>
      <c r="F704" s="181"/>
      <c r="G704" s="69"/>
      <c r="AB704" s="150">
        <f t="shared" si="120"/>
        <v>0</v>
      </c>
      <c r="AC704" s="150">
        <f t="shared" si="121"/>
        <v>0</v>
      </c>
      <c r="AD704" s="98" t="str">
        <f t="shared" si="130"/>
        <v>0000000000</v>
      </c>
      <c r="AE704" s="151">
        <f t="shared" si="123"/>
        <v>0</v>
      </c>
      <c r="AF704" s="98" t="str">
        <f t="shared" si="124"/>
        <v>00</v>
      </c>
      <c r="AG704" s="98" t="str">
        <f t="shared" si="131"/>
        <v>000000000000</v>
      </c>
      <c r="AH704" s="161" t="str">
        <f t="shared" si="125"/>
        <v xml:space="preserve">                    </v>
      </c>
      <c r="AI704" s="154">
        <f t="shared" si="126"/>
        <v>0</v>
      </c>
      <c r="AJ704" s="155">
        <f t="shared" si="127"/>
        <v>0</v>
      </c>
      <c r="AP704" s="63" t="str">
        <f t="shared" si="128"/>
        <v/>
      </c>
      <c r="AQ704" s="63" t="str">
        <f t="shared" si="122"/>
        <v xml:space="preserve">                    </v>
      </c>
      <c r="AR704" s="63"/>
      <c r="AS704" s="63"/>
      <c r="AT704" s="63"/>
      <c r="AU704" s="63"/>
      <c r="AV704" s="63"/>
      <c r="AW704" s="63"/>
      <c r="AX704" s="63"/>
      <c r="AY704" s="63"/>
      <c r="AZ704" s="63"/>
      <c r="BA704" s="63"/>
      <c r="BB704" s="63"/>
      <c r="BC704" s="63"/>
      <c r="BD704" s="63"/>
      <c r="BE704" s="63"/>
      <c r="BF704" s="63"/>
      <c r="BG704" s="63"/>
      <c r="BH704" s="63"/>
      <c r="BI704" s="63"/>
      <c r="BJ704" s="63"/>
      <c r="BK704" s="63"/>
      <c r="BL704" s="63"/>
      <c r="BM704" s="63"/>
      <c r="BN704" s="63"/>
      <c r="BO704" s="63"/>
      <c r="BP704" s="63"/>
      <c r="BQ704" s="63"/>
      <c r="BR704" s="63"/>
      <c r="BS704" s="63"/>
      <c r="BT704" s="63"/>
      <c r="BU704" s="63"/>
      <c r="BV704" s="63"/>
      <c r="BW704" s="63"/>
    </row>
    <row r="705" spans="1:75" x14ac:dyDescent="0.2">
      <c r="A705" s="63" t="str">
        <f t="shared" si="129"/>
        <v/>
      </c>
      <c r="B705" s="182"/>
      <c r="C705" s="75"/>
      <c r="D705" s="75"/>
      <c r="E705" s="74"/>
      <c r="F705" s="181"/>
      <c r="G705" s="69"/>
      <c r="AB705" s="150">
        <f t="shared" si="120"/>
        <v>0</v>
      </c>
      <c r="AC705" s="150">
        <f t="shared" si="121"/>
        <v>0</v>
      </c>
      <c r="AD705" s="98" t="str">
        <f t="shared" si="130"/>
        <v>0000000000</v>
      </c>
      <c r="AE705" s="151">
        <f t="shared" si="123"/>
        <v>0</v>
      </c>
      <c r="AF705" s="98" t="str">
        <f t="shared" si="124"/>
        <v>00</v>
      </c>
      <c r="AG705" s="98" t="str">
        <f t="shared" si="131"/>
        <v>000000000000</v>
      </c>
      <c r="AH705" s="161" t="str">
        <f t="shared" si="125"/>
        <v xml:space="preserve">                    </v>
      </c>
      <c r="AI705" s="154">
        <f t="shared" si="126"/>
        <v>0</v>
      </c>
      <c r="AJ705" s="155">
        <f t="shared" si="127"/>
        <v>0</v>
      </c>
      <c r="AP705" s="63" t="str">
        <f t="shared" si="128"/>
        <v/>
      </c>
      <c r="AQ705" s="63" t="str">
        <f t="shared" si="122"/>
        <v xml:space="preserve">                    </v>
      </c>
      <c r="AR705" s="63"/>
      <c r="AS705" s="63"/>
      <c r="AT705" s="63"/>
      <c r="AU705" s="63"/>
      <c r="AV705" s="63"/>
      <c r="AW705" s="63"/>
      <c r="AX705" s="63"/>
      <c r="AY705" s="63"/>
      <c r="AZ705" s="63"/>
      <c r="BA705" s="63"/>
      <c r="BB705" s="63"/>
      <c r="BC705" s="63"/>
      <c r="BD705" s="63"/>
      <c r="BE705" s="63"/>
      <c r="BF705" s="63"/>
      <c r="BG705" s="63"/>
      <c r="BH705" s="63"/>
      <c r="BI705" s="63"/>
      <c r="BJ705" s="63"/>
      <c r="BK705" s="63"/>
      <c r="BL705" s="63"/>
      <c r="BM705" s="63"/>
      <c r="BN705" s="63"/>
      <c r="BO705" s="63"/>
      <c r="BP705" s="63"/>
      <c r="BQ705" s="63"/>
      <c r="BR705" s="63"/>
      <c r="BS705" s="63"/>
      <c r="BT705" s="63"/>
      <c r="BU705" s="63"/>
      <c r="BV705" s="63"/>
      <c r="BW705" s="63"/>
    </row>
    <row r="706" spans="1:75" x14ac:dyDescent="0.2">
      <c r="A706" s="63" t="str">
        <f t="shared" si="129"/>
        <v/>
      </c>
      <c r="B706" s="182"/>
      <c r="C706" s="75"/>
      <c r="D706" s="75"/>
      <c r="E706" s="74"/>
      <c r="F706" s="181"/>
      <c r="G706" s="69"/>
      <c r="AB706" s="150">
        <f t="shared" si="120"/>
        <v>0</v>
      </c>
      <c r="AC706" s="150">
        <f t="shared" si="121"/>
        <v>0</v>
      </c>
      <c r="AD706" s="98" t="str">
        <f t="shared" si="130"/>
        <v>0000000000</v>
      </c>
      <c r="AE706" s="151">
        <f t="shared" si="123"/>
        <v>0</v>
      </c>
      <c r="AF706" s="98" t="str">
        <f t="shared" si="124"/>
        <v>00</v>
      </c>
      <c r="AG706" s="98" t="str">
        <f t="shared" si="131"/>
        <v>000000000000</v>
      </c>
      <c r="AH706" s="161" t="str">
        <f t="shared" si="125"/>
        <v xml:space="preserve">                    </v>
      </c>
      <c r="AI706" s="154">
        <f t="shared" si="126"/>
        <v>0</v>
      </c>
      <c r="AJ706" s="155">
        <f t="shared" si="127"/>
        <v>0</v>
      </c>
      <c r="AP706" s="63" t="str">
        <f t="shared" si="128"/>
        <v/>
      </c>
      <c r="AQ706" s="63" t="str">
        <f t="shared" si="122"/>
        <v xml:space="preserve">                    </v>
      </c>
      <c r="AR706" s="63"/>
      <c r="AS706" s="63"/>
      <c r="AT706" s="63"/>
      <c r="AU706" s="63"/>
      <c r="AV706" s="63"/>
      <c r="AW706" s="63"/>
      <c r="AX706" s="63"/>
      <c r="AY706" s="63"/>
      <c r="AZ706" s="63"/>
      <c r="BA706" s="63"/>
      <c r="BB706" s="63"/>
      <c r="BC706" s="63"/>
      <c r="BD706" s="63"/>
      <c r="BE706" s="63"/>
      <c r="BF706" s="63"/>
      <c r="BG706" s="63"/>
      <c r="BH706" s="63"/>
      <c r="BI706" s="63"/>
      <c r="BJ706" s="63"/>
      <c r="BK706" s="63"/>
      <c r="BL706" s="63"/>
      <c r="BM706" s="63"/>
      <c r="BN706" s="63"/>
      <c r="BO706" s="63"/>
      <c r="BP706" s="63"/>
      <c r="BQ706" s="63"/>
      <c r="BR706" s="63"/>
      <c r="BS706" s="63"/>
      <c r="BT706" s="63"/>
      <c r="BU706" s="63"/>
      <c r="BV706" s="63"/>
      <c r="BW706" s="63"/>
    </row>
    <row r="707" spans="1:75" x14ac:dyDescent="0.2">
      <c r="A707" s="63" t="str">
        <f t="shared" si="129"/>
        <v/>
      </c>
      <c r="B707" s="182"/>
      <c r="C707" s="75"/>
      <c r="D707" s="75"/>
      <c r="E707" s="74"/>
      <c r="F707" s="181"/>
      <c r="G707" s="69"/>
      <c r="AB707" s="150">
        <f t="shared" ref="AB707:AB770" si="132">INT(F707)</f>
        <v>0</v>
      </c>
      <c r="AC707" s="150">
        <f t="shared" ref="AC707:AC770" si="133">F707-AB707</f>
        <v>0</v>
      </c>
      <c r="AD707" s="98" t="str">
        <f t="shared" si="130"/>
        <v>0000000000</v>
      </c>
      <c r="AE707" s="151">
        <f t="shared" si="123"/>
        <v>0</v>
      </c>
      <c r="AF707" s="98" t="str">
        <f t="shared" si="124"/>
        <v>00</v>
      </c>
      <c r="AG707" s="98" t="str">
        <f t="shared" si="131"/>
        <v>000000000000</v>
      </c>
      <c r="AH707" s="161" t="str">
        <f t="shared" si="125"/>
        <v xml:space="preserve">                    </v>
      </c>
      <c r="AI707" s="154">
        <f t="shared" si="126"/>
        <v>0</v>
      </c>
      <c r="AJ707" s="155">
        <f t="shared" si="127"/>
        <v>0</v>
      </c>
      <c r="AP707" s="63" t="str">
        <f t="shared" si="128"/>
        <v/>
      </c>
      <c r="AQ707" s="63" t="str">
        <f t="shared" ref="AQ707:AQ770" si="134">CONCATENATE(D707,REPT(" ",20-LEN(D707)))</f>
        <v xml:space="preserve">                    </v>
      </c>
      <c r="AR707" s="63"/>
      <c r="AS707" s="63"/>
      <c r="AT707" s="63"/>
      <c r="AU707" s="63"/>
      <c r="AV707" s="63"/>
      <c r="AW707" s="63"/>
      <c r="AX707" s="63"/>
      <c r="AY707" s="63"/>
      <c r="AZ707" s="63"/>
      <c r="BA707" s="63"/>
      <c r="BB707" s="63"/>
      <c r="BC707" s="63"/>
      <c r="BD707" s="63"/>
      <c r="BE707" s="63"/>
      <c r="BF707" s="63"/>
      <c r="BG707" s="63"/>
      <c r="BH707" s="63"/>
      <c r="BI707" s="63"/>
      <c r="BJ707" s="63"/>
      <c r="BK707" s="63"/>
      <c r="BL707" s="63"/>
      <c r="BM707" s="63"/>
      <c r="BN707" s="63"/>
      <c r="BO707" s="63"/>
      <c r="BP707" s="63"/>
      <c r="BQ707" s="63"/>
      <c r="BR707" s="63"/>
      <c r="BS707" s="63"/>
      <c r="BT707" s="63"/>
      <c r="BU707" s="63"/>
      <c r="BV707" s="63"/>
      <c r="BW707" s="63"/>
    </row>
    <row r="708" spans="1:75" x14ac:dyDescent="0.2">
      <c r="A708" s="63" t="str">
        <f t="shared" si="129"/>
        <v/>
      </c>
      <c r="B708" s="182"/>
      <c r="C708" s="75"/>
      <c r="D708" s="75"/>
      <c r="E708" s="74"/>
      <c r="F708" s="181"/>
      <c r="G708" s="69"/>
      <c r="AB708" s="150">
        <f t="shared" si="132"/>
        <v>0</v>
      </c>
      <c r="AC708" s="150">
        <f t="shared" si="133"/>
        <v>0</v>
      </c>
      <c r="AD708" s="98" t="str">
        <f t="shared" si="130"/>
        <v>0000000000</v>
      </c>
      <c r="AE708" s="151">
        <f t="shared" ref="AE708:AE771" si="135">AC708*100</f>
        <v>0</v>
      </c>
      <c r="AF708" s="98" t="str">
        <f t="shared" ref="AF708:AF771" si="136">TEXT(AE708,"00")</f>
        <v>00</v>
      </c>
      <c r="AG708" s="98" t="str">
        <f t="shared" si="131"/>
        <v>000000000000</v>
      </c>
      <c r="AH708" s="161" t="str">
        <f t="shared" ref="AH708:AH771" si="137">CONCATENATE(C708,REPT(" ",20-LEN(C708)))</f>
        <v xml:space="preserve">                    </v>
      </c>
      <c r="AI708" s="154">
        <f t="shared" ref="AI708:AI771" si="138">IF(E708&lt;&gt;"",IF(E708=$E$3,0,1),0)</f>
        <v>0</v>
      </c>
      <c r="AJ708" s="155">
        <f t="shared" ref="AJ708:AJ771" si="139">IF(AI708=1,IF($E$3=1,F708*$H$14,F708/$H$14),F708)</f>
        <v>0</v>
      </c>
      <c r="AP708" s="63" t="str">
        <f t="shared" ref="AP708:AP771" si="140">IF(B709&lt;&gt;"",CONCATENATE("000",B709,"0",E709,"2","    00000000",AG709,"            ",AQ709,AH709,"                                                                                               "),"")</f>
        <v/>
      </c>
      <c r="AQ708" s="63" t="str">
        <f t="shared" si="134"/>
        <v xml:space="preserve">                    </v>
      </c>
      <c r="AR708" s="63"/>
      <c r="AS708" s="63"/>
      <c r="AT708" s="63"/>
      <c r="AU708" s="63"/>
      <c r="AV708" s="63"/>
      <c r="AW708" s="63"/>
      <c r="AX708" s="63"/>
      <c r="AY708" s="63"/>
      <c r="AZ708" s="63"/>
      <c r="BA708" s="63"/>
      <c r="BB708" s="63"/>
      <c r="BC708" s="63"/>
      <c r="BD708" s="63"/>
      <c r="BE708" s="63"/>
      <c r="BF708" s="63"/>
      <c r="BG708" s="63"/>
      <c r="BH708" s="63"/>
      <c r="BI708" s="63"/>
      <c r="BJ708" s="63"/>
      <c r="BK708" s="63"/>
      <c r="BL708" s="63"/>
      <c r="BM708" s="63"/>
      <c r="BN708" s="63"/>
      <c r="BO708" s="63"/>
      <c r="BP708" s="63"/>
      <c r="BQ708" s="63"/>
      <c r="BR708" s="63"/>
      <c r="BS708" s="63"/>
      <c r="BT708" s="63"/>
      <c r="BU708" s="63"/>
      <c r="BV708" s="63"/>
      <c r="BW708" s="63"/>
    </row>
    <row r="709" spans="1:75" x14ac:dyDescent="0.2">
      <c r="A709" s="63" t="str">
        <f t="shared" si="129"/>
        <v/>
      </c>
      <c r="B709" s="182"/>
      <c r="C709" s="75"/>
      <c r="D709" s="75"/>
      <c r="E709" s="74"/>
      <c r="F709" s="181"/>
      <c r="G709" s="69"/>
      <c r="AB709" s="150">
        <f t="shared" si="132"/>
        <v>0</v>
      </c>
      <c r="AC709" s="150">
        <f t="shared" si="133"/>
        <v>0</v>
      </c>
      <c r="AD709" s="98" t="str">
        <f t="shared" si="130"/>
        <v>0000000000</v>
      </c>
      <c r="AE709" s="151">
        <f t="shared" si="135"/>
        <v>0</v>
      </c>
      <c r="AF709" s="98" t="str">
        <f t="shared" si="136"/>
        <v>00</v>
      </c>
      <c r="AG709" s="98" t="str">
        <f t="shared" si="131"/>
        <v>000000000000</v>
      </c>
      <c r="AH709" s="161" t="str">
        <f t="shared" si="137"/>
        <v xml:space="preserve">                    </v>
      </c>
      <c r="AI709" s="154">
        <f t="shared" si="138"/>
        <v>0</v>
      </c>
      <c r="AJ709" s="155">
        <f t="shared" si="139"/>
        <v>0</v>
      </c>
      <c r="AP709" s="63" t="str">
        <f t="shared" si="140"/>
        <v/>
      </c>
      <c r="AQ709" s="63" t="str">
        <f t="shared" si="134"/>
        <v xml:space="preserve">                    </v>
      </c>
      <c r="AR709" s="63"/>
      <c r="AS709" s="63"/>
      <c r="AT709" s="63"/>
      <c r="AU709" s="63"/>
      <c r="AV709" s="63"/>
      <c r="AW709" s="63"/>
      <c r="AX709" s="63"/>
      <c r="AY709" s="63"/>
      <c r="AZ709" s="63"/>
      <c r="BA709" s="63"/>
      <c r="BB709" s="63"/>
      <c r="BC709" s="63"/>
      <c r="BD709" s="63"/>
      <c r="BE709" s="63"/>
      <c r="BF709" s="63"/>
      <c r="BG709" s="63"/>
      <c r="BH709" s="63"/>
      <c r="BI709" s="63"/>
      <c r="BJ709" s="63"/>
      <c r="BK709" s="63"/>
      <c r="BL709" s="63"/>
      <c r="BM709" s="63"/>
      <c r="BN709" s="63"/>
      <c r="BO709" s="63"/>
      <c r="BP709" s="63"/>
      <c r="BQ709" s="63"/>
      <c r="BR709" s="63"/>
      <c r="BS709" s="63"/>
      <c r="BT709" s="63"/>
      <c r="BU709" s="63"/>
      <c r="BV709" s="63"/>
      <c r="BW709" s="63"/>
    </row>
    <row r="710" spans="1:75" x14ac:dyDescent="0.2">
      <c r="A710" s="63" t="str">
        <f t="shared" ref="A710:A773" si="141">IF(B710&lt;&gt;"",A709+1,"")</f>
        <v/>
      </c>
      <c r="B710" s="182"/>
      <c r="C710" s="75"/>
      <c r="D710" s="75"/>
      <c r="E710" s="74"/>
      <c r="F710" s="181"/>
      <c r="G710" s="69"/>
      <c r="AB710" s="150">
        <f t="shared" si="132"/>
        <v>0</v>
      </c>
      <c r="AC710" s="150">
        <f t="shared" si="133"/>
        <v>0</v>
      </c>
      <c r="AD710" s="98" t="str">
        <f t="shared" si="130"/>
        <v>0000000000</v>
      </c>
      <c r="AE710" s="151">
        <f t="shared" si="135"/>
        <v>0</v>
      </c>
      <c r="AF710" s="98" t="str">
        <f t="shared" si="136"/>
        <v>00</v>
      </c>
      <c r="AG710" s="98" t="str">
        <f t="shared" si="131"/>
        <v>000000000000</v>
      </c>
      <c r="AH710" s="161" t="str">
        <f t="shared" si="137"/>
        <v xml:space="preserve">                    </v>
      </c>
      <c r="AI710" s="154">
        <f t="shared" si="138"/>
        <v>0</v>
      </c>
      <c r="AJ710" s="155">
        <f t="shared" si="139"/>
        <v>0</v>
      </c>
      <c r="AP710" s="63" t="str">
        <f t="shared" si="140"/>
        <v/>
      </c>
      <c r="AQ710" s="63" t="str">
        <f t="shared" si="134"/>
        <v xml:space="preserve">                    </v>
      </c>
      <c r="AR710" s="63"/>
      <c r="AS710" s="63"/>
      <c r="AT710" s="63"/>
      <c r="AU710" s="63"/>
      <c r="AV710" s="63"/>
      <c r="AW710" s="63"/>
      <c r="AX710" s="63"/>
      <c r="AY710" s="63"/>
      <c r="AZ710" s="63"/>
      <c r="BA710" s="63"/>
      <c r="BB710" s="63"/>
      <c r="BC710" s="63"/>
      <c r="BD710" s="63"/>
      <c r="BE710" s="63"/>
      <c r="BF710" s="63"/>
      <c r="BG710" s="63"/>
      <c r="BH710" s="63"/>
      <c r="BI710" s="63"/>
      <c r="BJ710" s="63"/>
      <c r="BK710" s="63"/>
      <c r="BL710" s="63"/>
      <c r="BM710" s="63"/>
      <c r="BN710" s="63"/>
      <c r="BO710" s="63"/>
      <c r="BP710" s="63"/>
      <c r="BQ710" s="63"/>
      <c r="BR710" s="63"/>
      <c r="BS710" s="63"/>
      <c r="BT710" s="63"/>
      <c r="BU710" s="63"/>
      <c r="BV710" s="63"/>
      <c r="BW710" s="63"/>
    </row>
    <row r="711" spans="1:75" x14ac:dyDescent="0.2">
      <c r="A711" s="63" t="str">
        <f t="shared" si="141"/>
        <v/>
      </c>
      <c r="B711" s="182"/>
      <c r="C711" s="75"/>
      <c r="D711" s="75"/>
      <c r="E711" s="74"/>
      <c r="F711" s="181"/>
      <c r="G711" s="69"/>
      <c r="AB711" s="150">
        <f t="shared" si="132"/>
        <v>0</v>
      </c>
      <c r="AC711" s="150">
        <f t="shared" si="133"/>
        <v>0</v>
      </c>
      <c r="AD711" s="98" t="str">
        <f t="shared" si="130"/>
        <v>0000000000</v>
      </c>
      <c r="AE711" s="151">
        <f t="shared" si="135"/>
        <v>0</v>
      </c>
      <c r="AF711" s="98" t="str">
        <f t="shared" si="136"/>
        <v>00</v>
      </c>
      <c r="AG711" s="98" t="str">
        <f t="shared" si="131"/>
        <v>000000000000</v>
      </c>
      <c r="AH711" s="161" t="str">
        <f t="shared" si="137"/>
        <v xml:space="preserve">                    </v>
      </c>
      <c r="AI711" s="154">
        <f t="shared" si="138"/>
        <v>0</v>
      </c>
      <c r="AJ711" s="155">
        <f t="shared" si="139"/>
        <v>0</v>
      </c>
      <c r="AP711" s="63" t="str">
        <f t="shared" si="140"/>
        <v/>
      </c>
      <c r="AQ711" s="63" t="str">
        <f t="shared" si="134"/>
        <v xml:space="preserve">                    </v>
      </c>
      <c r="AR711" s="63"/>
      <c r="AS711" s="63"/>
      <c r="AT711" s="63"/>
      <c r="AU711" s="63"/>
      <c r="AV711" s="63"/>
      <c r="AW711" s="63"/>
      <c r="AX711" s="63"/>
      <c r="AY711" s="63"/>
      <c r="AZ711" s="63"/>
      <c r="BA711" s="63"/>
      <c r="BB711" s="63"/>
      <c r="BC711" s="63"/>
      <c r="BD711" s="63"/>
      <c r="BE711" s="63"/>
      <c r="BF711" s="63"/>
      <c r="BG711" s="63"/>
      <c r="BH711" s="63"/>
      <c r="BI711" s="63"/>
      <c r="BJ711" s="63"/>
      <c r="BK711" s="63"/>
      <c r="BL711" s="63"/>
      <c r="BM711" s="63"/>
      <c r="BN711" s="63"/>
      <c r="BO711" s="63"/>
      <c r="BP711" s="63"/>
      <c r="BQ711" s="63"/>
      <c r="BR711" s="63"/>
      <c r="BS711" s="63"/>
      <c r="BT711" s="63"/>
      <c r="BU711" s="63"/>
      <c r="BV711" s="63"/>
      <c r="BW711" s="63"/>
    </row>
    <row r="712" spans="1:75" x14ac:dyDescent="0.2">
      <c r="A712" s="63" t="str">
        <f t="shared" si="141"/>
        <v/>
      </c>
      <c r="B712" s="182"/>
      <c r="C712" s="75"/>
      <c r="D712" s="75"/>
      <c r="E712" s="74"/>
      <c r="F712" s="181"/>
      <c r="G712" s="69"/>
      <c r="AB712" s="150">
        <f t="shared" si="132"/>
        <v>0</v>
      </c>
      <c r="AC712" s="150">
        <f t="shared" si="133"/>
        <v>0</v>
      </c>
      <c r="AD712" s="98" t="str">
        <f t="shared" ref="AD712:AD775" si="142">TEXT(AB712,"0000000000")</f>
        <v>0000000000</v>
      </c>
      <c r="AE712" s="151">
        <f t="shared" si="135"/>
        <v>0</v>
      </c>
      <c r="AF712" s="98" t="str">
        <f t="shared" si="136"/>
        <v>00</v>
      </c>
      <c r="AG712" s="98" t="str">
        <f t="shared" ref="AG712:AG775" si="143">CONCATENATE(AD712,AF712)</f>
        <v>000000000000</v>
      </c>
      <c r="AH712" s="161" t="str">
        <f t="shared" si="137"/>
        <v xml:space="preserve">                    </v>
      </c>
      <c r="AI712" s="154">
        <f t="shared" si="138"/>
        <v>0</v>
      </c>
      <c r="AJ712" s="155">
        <f t="shared" si="139"/>
        <v>0</v>
      </c>
      <c r="AP712" s="63" t="str">
        <f t="shared" si="140"/>
        <v/>
      </c>
      <c r="AQ712" s="63" t="str">
        <f t="shared" si="134"/>
        <v xml:space="preserve">                    </v>
      </c>
      <c r="AR712" s="63"/>
      <c r="AS712" s="63"/>
      <c r="AT712" s="63"/>
      <c r="AU712" s="63"/>
      <c r="AV712" s="63"/>
      <c r="AW712" s="63"/>
      <c r="AX712" s="63"/>
      <c r="AY712" s="63"/>
      <c r="AZ712" s="63"/>
      <c r="BA712" s="63"/>
      <c r="BB712" s="63"/>
      <c r="BC712" s="63"/>
      <c r="BD712" s="63"/>
      <c r="BE712" s="63"/>
      <c r="BF712" s="63"/>
      <c r="BG712" s="63"/>
      <c r="BH712" s="63"/>
      <c r="BI712" s="63"/>
      <c r="BJ712" s="63"/>
      <c r="BK712" s="63"/>
      <c r="BL712" s="63"/>
      <c r="BM712" s="63"/>
      <c r="BN712" s="63"/>
      <c r="BO712" s="63"/>
      <c r="BP712" s="63"/>
      <c r="BQ712" s="63"/>
      <c r="BR712" s="63"/>
      <c r="BS712" s="63"/>
      <c r="BT712" s="63"/>
      <c r="BU712" s="63"/>
      <c r="BV712" s="63"/>
      <c r="BW712" s="63"/>
    </row>
    <row r="713" spans="1:75" x14ac:dyDescent="0.2">
      <c r="A713" s="63" t="str">
        <f t="shared" si="141"/>
        <v/>
      </c>
      <c r="B713" s="182"/>
      <c r="C713" s="75"/>
      <c r="D713" s="75"/>
      <c r="E713" s="74"/>
      <c r="F713" s="181"/>
      <c r="G713" s="69"/>
      <c r="AB713" s="150">
        <f t="shared" si="132"/>
        <v>0</v>
      </c>
      <c r="AC713" s="150">
        <f t="shared" si="133"/>
        <v>0</v>
      </c>
      <c r="AD713" s="98" t="str">
        <f t="shared" si="142"/>
        <v>0000000000</v>
      </c>
      <c r="AE713" s="151">
        <f t="shared" si="135"/>
        <v>0</v>
      </c>
      <c r="AF713" s="98" t="str">
        <f t="shared" si="136"/>
        <v>00</v>
      </c>
      <c r="AG713" s="98" t="str">
        <f t="shared" si="143"/>
        <v>000000000000</v>
      </c>
      <c r="AH713" s="161" t="str">
        <f t="shared" si="137"/>
        <v xml:space="preserve">                    </v>
      </c>
      <c r="AI713" s="154">
        <f t="shared" si="138"/>
        <v>0</v>
      </c>
      <c r="AJ713" s="155">
        <f t="shared" si="139"/>
        <v>0</v>
      </c>
      <c r="AP713" s="63" t="str">
        <f t="shared" si="140"/>
        <v/>
      </c>
      <c r="AQ713" s="63" t="str">
        <f t="shared" si="134"/>
        <v xml:space="preserve">                    </v>
      </c>
      <c r="AR713" s="63"/>
      <c r="AS713" s="63"/>
      <c r="AT713" s="63"/>
      <c r="AU713" s="63"/>
      <c r="AV713" s="63"/>
      <c r="AW713" s="63"/>
      <c r="AX713" s="63"/>
      <c r="AY713" s="63"/>
      <c r="AZ713" s="63"/>
      <c r="BA713" s="63"/>
      <c r="BB713" s="63"/>
      <c r="BC713" s="63"/>
      <c r="BD713" s="63"/>
      <c r="BE713" s="63"/>
      <c r="BF713" s="63"/>
      <c r="BG713" s="63"/>
      <c r="BH713" s="63"/>
      <c r="BI713" s="63"/>
      <c r="BJ713" s="63"/>
      <c r="BK713" s="63"/>
      <c r="BL713" s="63"/>
      <c r="BM713" s="63"/>
      <c r="BN713" s="63"/>
      <c r="BO713" s="63"/>
      <c r="BP713" s="63"/>
      <c r="BQ713" s="63"/>
      <c r="BR713" s="63"/>
      <c r="BS713" s="63"/>
      <c r="BT713" s="63"/>
      <c r="BU713" s="63"/>
      <c r="BV713" s="63"/>
      <c r="BW713" s="63"/>
    </row>
    <row r="714" spans="1:75" x14ac:dyDescent="0.2">
      <c r="A714" s="63" t="str">
        <f t="shared" si="141"/>
        <v/>
      </c>
      <c r="B714" s="182"/>
      <c r="C714" s="75"/>
      <c r="D714" s="75"/>
      <c r="E714" s="74"/>
      <c r="F714" s="181"/>
      <c r="G714" s="69"/>
      <c r="AB714" s="150">
        <f t="shared" si="132"/>
        <v>0</v>
      </c>
      <c r="AC714" s="150">
        <f t="shared" si="133"/>
        <v>0</v>
      </c>
      <c r="AD714" s="98" t="str">
        <f t="shared" si="142"/>
        <v>0000000000</v>
      </c>
      <c r="AE714" s="151">
        <f t="shared" si="135"/>
        <v>0</v>
      </c>
      <c r="AF714" s="98" t="str">
        <f t="shared" si="136"/>
        <v>00</v>
      </c>
      <c r="AG714" s="98" t="str">
        <f t="shared" si="143"/>
        <v>000000000000</v>
      </c>
      <c r="AH714" s="161" t="str">
        <f t="shared" si="137"/>
        <v xml:space="preserve">                    </v>
      </c>
      <c r="AI714" s="154">
        <f t="shared" si="138"/>
        <v>0</v>
      </c>
      <c r="AJ714" s="155">
        <f t="shared" si="139"/>
        <v>0</v>
      </c>
      <c r="AP714" s="63" t="str">
        <f t="shared" si="140"/>
        <v/>
      </c>
      <c r="AQ714" s="63" t="str">
        <f t="shared" si="134"/>
        <v xml:space="preserve">                    </v>
      </c>
      <c r="AR714" s="63"/>
      <c r="AS714" s="63"/>
      <c r="AT714" s="63"/>
      <c r="AU714" s="63"/>
      <c r="AV714" s="63"/>
      <c r="AW714" s="63"/>
      <c r="AX714" s="63"/>
      <c r="AY714" s="63"/>
      <c r="AZ714" s="63"/>
      <c r="BA714" s="63"/>
      <c r="BB714" s="63"/>
      <c r="BC714" s="63"/>
      <c r="BD714" s="63"/>
      <c r="BE714" s="63"/>
      <c r="BF714" s="63"/>
      <c r="BG714" s="63"/>
      <c r="BH714" s="63"/>
      <c r="BI714" s="63"/>
      <c r="BJ714" s="63"/>
      <c r="BK714" s="63"/>
      <c r="BL714" s="63"/>
      <c r="BM714" s="63"/>
      <c r="BN714" s="63"/>
      <c r="BO714" s="63"/>
      <c r="BP714" s="63"/>
      <c r="BQ714" s="63"/>
      <c r="BR714" s="63"/>
      <c r="BS714" s="63"/>
      <c r="BT714" s="63"/>
      <c r="BU714" s="63"/>
      <c r="BV714" s="63"/>
      <c r="BW714" s="63"/>
    </row>
    <row r="715" spans="1:75" x14ac:dyDescent="0.2">
      <c r="A715" s="63" t="str">
        <f t="shared" si="141"/>
        <v/>
      </c>
      <c r="B715" s="182"/>
      <c r="C715" s="75"/>
      <c r="D715" s="75"/>
      <c r="E715" s="74"/>
      <c r="F715" s="181"/>
      <c r="G715" s="69"/>
      <c r="AB715" s="150">
        <f t="shared" si="132"/>
        <v>0</v>
      </c>
      <c r="AC715" s="150">
        <f t="shared" si="133"/>
        <v>0</v>
      </c>
      <c r="AD715" s="98" t="str">
        <f t="shared" si="142"/>
        <v>0000000000</v>
      </c>
      <c r="AE715" s="151">
        <f t="shared" si="135"/>
        <v>0</v>
      </c>
      <c r="AF715" s="98" t="str">
        <f t="shared" si="136"/>
        <v>00</v>
      </c>
      <c r="AG715" s="98" t="str">
        <f t="shared" si="143"/>
        <v>000000000000</v>
      </c>
      <c r="AH715" s="161" t="str">
        <f t="shared" si="137"/>
        <v xml:space="preserve">                    </v>
      </c>
      <c r="AI715" s="154">
        <f t="shared" si="138"/>
        <v>0</v>
      </c>
      <c r="AJ715" s="155">
        <f t="shared" si="139"/>
        <v>0</v>
      </c>
      <c r="AP715" s="63" t="str">
        <f t="shared" si="140"/>
        <v/>
      </c>
      <c r="AQ715" s="63" t="str">
        <f t="shared" si="134"/>
        <v xml:space="preserve">                    </v>
      </c>
      <c r="AR715" s="63"/>
      <c r="AS715" s="63"/>
      <c r="AT715" s="63"/>
      <c r="AU715" s="63"/>
      <c r="AV715" s="63"/>
      <c r="AW715" s="63"/>
      <c r="AX715" s="63"/>
      <c r="AY715" s="63"/>
      <c r="AZ715" s="63"/>
      <c r="BA715" s="63"/>
      <c r="BB715" s="63"/>
      <c r="BC715" s="63"/>
      <c r="BD715" s="63"/>
      <c r="BE715" s="63"/>
      <c r="BF715" s="63"/>
      <c r="BG715" s="63"/>
      <c r="BH715" s="63"/>
      <c r="BI715" s="63"/>
      <c r="BJ715" s="63"/>
      <c r="BK715" s="63"/>
      <c r="BL715" s="63"/>
      <c r="BM715" s="63"/>
      <c r="BN715" s="63"/>
      <c r="BO715" s="63"/>
      <c r="BP715" s="63"/>
      <c r="BQ715" s="63"/>
      <c r="BR715" s="63"/>
      <c r="BS715" s="63"/>
      <c r="BT715" s="63"/>
      <c r="BU715" s="63"/>
      <c r="BV715" s="63"/>
      <c r="BW715" s="63"/>
    </row>
    <row r="716" spans="1:75" x14ac:dyDescent="0.2">
      <c r="A716" s="63" t="str">
        <f t="shared" si="141"/>
        <v/>
      </c>
      <c r="B716" s="182"/>
      <c r="C716" s="75"/>
      <c r="D716" s="75"/>
      <c r="E716" s="74"/>
      <c r="F716" s="181"/>
      <c r="G716" s="69"/>
      <c r="AB716" s="150">
        <f t="shared" si="132"/>
        <v>0</v>
      </c>
      <c r="AC716" s="150">
        <f t="shared" si="133"/>
        <v>0</v>
      </c>
      <c r="AD716" s="98" t="str">
        <f t="shared" si="142"/>
        <v>0000000000</v>
      </c>
      <c r="AE716" s="151">
        <f t="shared" si="135"/>
        <v>0</v>
      </c>
      <c r="AF716" s="98" t="str">
        <f t="shared" si="136"/>
        <v>00</v>
      </c>
      <c r="AG716" s="98" t="str">
        <f t="shared" si="143"/>
        <v>000000000000</v>
      </c>
      <c r="AH716" s="161" t="str">
        <f t="shared" si="137"/>
        <v xml:space="preserve">                    </v>
      </c>
      <c r="AI716" s="154">
        <f t="shared" si="138"/>
        <v>0</v>
      </c>
      <c r="AJ716" s="155">
        <f t="shared" si="139"/>
        <v>0</v>
      </c>
      <c r="AP716" s="63" t="str">
        <f t="shared" si="140"/>
        <v/>
      </c>
      <c r="AQ716" s="63" t="str">
        <f t="shared" si="134"/>
        <v xml:space="preserve">                    </v>
      </c>
      <c r="AR716" s="63"/>
      <c r="AS716" s="63"/>
      <c r="AT716" s="63"/>
      <c r="AU716" s="63"/>
      <c r="AV716" s="63"/>
      <c r="AW716" s="63"/>
      <c r="AX716" s="63"/>
      <c r="AY716" s="63"/>
      <c r="AZ716" s="63"/>
      <c r="BA716" s="63"/>
      <c r="BB716" s="63"/>
      <c r="BC716" s="63"/>
      <c r="BD716" s="63"/>
      <c r="BE716" s="63"/>
      <c r="BF716" s="63"/>
      <c r="BG716" s="63"/>
      <c r="BH716" s="63"/>
      <c r="BI716" s="63"/>
      <c r="BJ716" s="63"/>
      <c r="BK716" s="63"/>
      <c r="BL716" s="63"/>
      <c r="BM716" s="63"/>
      <c r="BN716" s="63"/>
      <c r="BO716" s="63"/>
      <c r="BP716" s="63"/>
      <c r="BQ716" s="63"/>
      <c r="BR716" s="63"/>
      <c r="BS716" s="63"/>
      <c r="BT716" s="63"/>
      <c r="BU716" s="63"/>
      <c r="BV716" s="63"/>
      <c r="BW716" s="63"/>
    </row>
    <row r="717" spans="1:75" x14ac:dyDescent="0.2">
      <c r="A717" s="63" t="str">
        <f t="shared" si="141"/>
        <v/>
      </c>
      <c r="B717" s="182"/>
      <c r="C717" s="75"/>
      <c r="D717" s="75"/>
      <c r="E717" s="74"/>
      <c r="F717" s="181"/>
      <c r="G717" s="69"/>
      <c r="AB717" s="150">
        <f t="shared" si="132"/>
        <v>0</v>
      </c>
      <c r="AC717" s="150">
        <f t="shared" si="133"/>
        <v>0</v>
      </c>
      <c r="AD717" s="98" t="str">
        <f t="shared" si="142"/>
        <v>0000000000</v>
      </c>
      <c r="AE717" s="151">
        <f t="shared" si="135"/>
        <v>0</v>
      </c>
      <c r="AF717" s="98" t="str">
        <f t="shared" si="136"/>
        <v>00</v>
      </c>
      <c r="AG717" s="98" t="str">
        <f t="shared" si="143"/>
        <v>000000000000</v>
      </c>
      <c r="AH717" s="161" t="str">
        <f t="shared" si="137"/>
        <v xml:space="preserve">                    </v>
      </c>
      <c r="AI717" s="154">
        <f t="shared" si="138"/>
        <v>0</v>
      </c>
      <c r="AJ717" s="155">
        <f t="shared" si="139"/>
        <v>0</v>
      </c>
      <c r="AP717" s="63" t="str">
        <f t="shared" si="140"/>
        <v/>
      </c>
      <c r="AQ717" s="63" t="str">
        <f t="shared" si="134"/>
        <v xml:space="preserve">                    </v>
      </c>
      <c r="AR717" s="63"/>
      <c r="AS717" s="63"/>
      <c r="AT717" s="63"/>
      <c r="AU717" s="63"/>
      <c r="AV717" s="63"/>
      <c r="AW717" s="63"/>
      <c r="AX717" s="63"/>
      <c r="AY717" s="63"/>
      <c r="AZ717" s="63"/>
      <c r="BA717" s="63"/>
      <c r="BB717" s="63"/>
      <c r="BC717" s="63"/>
      <c r="BD717" s="63"/>
      <c r="BE717" s="63"/>
      <c r="BF717" s="63"/>
      <c r="BG717" s="63"/>
      <c r="BH717" s="63"/>
      <c r="BI717" s="63"/>
      <c r="BJ717" s="63"/>
      <c r="BK717" s="63"/>
      <c r="BL717" s="63"/>
      <c r="BM717" s="63"/>
      <c r="BN717" s="63"/>
      <c r="BO717" s="63"/>
      <c r="BP717" s="63"/>
      <c r="BQ717" s="63"/>
      <c r="BR717" s="63"/>
      <c r="BS717" s="63"/>
      <c r="BT717" s="63"/>
      <c r="BU717" s="63"/>
      <c r="BV717" s="63"/>
      <c r="BW717" s="63"/>
    </row>
    <row r="718" spans="1:75" x14ac:dyDescent="0.2">
      <c r="A718" s="63" t="str">
        <f t="shared" si="141"/>
        <v/>
      </c>
      <c r="B718" s="182"/>
      <c r="C718" s="75"/>
      <c r="D718" s="75"/>
      <c r="E718" s="74"/>
      <c r="F718" s="181"/>
      <c r="G718" s="69"/>
      <c r="AB718" s="150">
        <f t="shared" si="132"/>
        <v>0</v>
      </c>
      <c r="AC718" s="150">
        <f t="shared" si="133"/>
        <v>0</v>
      </c>
      <c r="AD718" s="98" t="str">
        <f t="shared" si="142"/>
        <v>0000000000</v>
      </c>
      <c r="AE718" s="151">
        <f t="shared" si="135"/>
        <v>0</v>
      </c>
      <c r="AF718" s="98" t="str">
        <f t="shared" si="136"/>
        <v>00</v>
      </c>
      <c r="AG718" s="98" t="str">
        <f t="shared" si="143"/>
        <v>000000000000</v>
      </c>
      <c r="AH718" s="161" t="str">
        <f t="shared" si="137"/>
        <v xml:space="preserve">                    </v>
      </c>
      <c r="AI718" s="154">
        <f t="shared" si="138"/>
        <v>0</v>
      </c>
      <c r="AJ718" s="155">
        <f t="shared" si="139"/>
        <v>0</v>
      </c>
      <c r="AP718" s="63" t="str">
        <f t="shared" si="140"/>
        <v/>
      </c>
      <c r="AQ718" s="63" t="str">
        <f t="shared" si="134"/>
        <v xml:space="preserve">                    </v>
      </c>
      <c r="AR718" s="63"/>
      <c r="AS718" s="63"/>
      <c r="AT718" s="63"/>
      <c r="AU718" s="63"/>
      <c r="AV718" s="63"/>
      <c r="AW718" s="63"/>
      <c r="AX718" s="63"/>
      <c r="AY718" s="63"/>
      <c r="AZ718" s="63"/>
      <c r="BA718" s="63"/>
      <c r="BB718" s="63"/>
      <c r="BC718" s="63"/>
      <c r="BD718" s="63"/>
      <c r="BE718" s="63"/>
      <c r="BF718" s="63"/>
      <c r="BG718" s="63"/>
      <c r="BH718" s="63"/>
      <c r="BI718" s="63"/>
      <c r="BJ718" s="63"/>
      <c r="BK718" s="63"/>
      <c r="BL718" s="63"/>
      <c r="BM718" s="63"/>
      <c r="BN718" s="63"/>
      <c r="BO718" s="63"/>
      <c r="BP718" s="63"/>
      <c r="BQ718" s="63"/>
      <c r="BR718" s="63"/>
      <c r="BS718" s="63"/>
      <c r="BT718" s="63"/>
      <c r="BU718" s="63"/>
      <c r="BV718" s="63"/>
      <c r="BW718" s="63"/>
    </row>
    <row r="719" spans="1:75" x14ac:dyDescent="0.2">
      <c r="A719" s="63" t="str">
        <f t="shared" si="141"/>
        <v/>
      </c>
      <c r="B719" s="182"/>
      <c r="C719" s="75"/>
      <c r="D719" s="75"/>
      <c r="E719" s="74"/>
      <c r="F719" s="181"/>
      <c r="G719" s="69"/>
      <c r="AB719" s="150">
        <f t="shared" si="132"/>
        <v>0</v>
      </c>
      <c r="AC719" s="150">
        <f t="shared" si="133"/>
        <v>0</v>
      </c>
      <c r="AD719" s="98" t="str">
        <f t="shared" si="142"/>
        <v>0000000000</v>
      </c>
      <c r="AE719" s="151">
        <f t="shared" si="135"/>
        <v>0</v>
      </c>
      <c r="AF719" s="98" t="str">
        <f t="shared" si="136"/>
        <v>00</v>
      </c>
      <c r="AG719" s="98" t="str">
        <f t="shared" si="143"/>
        <v>000000000000</v>
      </c>
      <c r="AH719" s="161" t="str">
        <f t="shared" si="137"/>
        <v xml:space="preserve">                    </v>
      </c>
      <c r="AI719" s="154">
        <f t="shared" si="138"/>
        <v>0</v>
      </c>
      <c r="AJ719" s="155">
        <f t="shared" si="139"/>
        <v>0</v>
      </c>
      <c r="AP719" s="63" t="str">
        <f t="shared" si="140"/>
        <v/>
      </c>
      <c r="AQ719" s="63" t="str">
        <f t="shared" si="134"/>
        <v xml:space="preserve">                    </v>
      </c>
      <c r="AR719" s="63"/>
      <c r="AS719" s="63"/>
      <c r="AT719" s="63"/>
      <c r="AU719" s="63"/>
      <c r="AV719" s="63"/>
      <c r="AW719" s="63"/>
      <c r="AX719" s="63"/>
      <c r="AY719" s="63"/>
      <c r="AZ719" s="63"/>
      <c r="BA719" s="63"/>
      <c r="BB719" s="63"/>
      <c r="BC719" s="63"/>
      <c r="BD719" s="63"/>
      <c r="BE719" s="63"/>
      <c r="BF719" s="63"/>
      <c r="BG719" s="63"/>
      <c r="BH719" s="63"/>
      <c r="BI719" s="63"/>
      <c r="BJ719" s="63"/>
      <c r="BK719" s="63"/>
      <c r="BL719" s="63"/>
      <c r="BM719" s="63"/>
      <c r="BN719" s="63"/>
      <c r="BO719" s="63"/>
      <c r="BP719" s="63"/>
      <c r="BQ719" s="63"/>
      <c r="BR719" s="63"/>
      <c r="BS719" s="63"/>
      <c r="BT719" s="63"/>
      <c r="BU719" s="63"/>
      <c r="BV719" s="63"/>
      <c r="BW719" s="63"/>
    </row>
    <row r="720" spans="1:75" x14ac:dyDescent="0.2">
      <c r="A720" s="63" t="str">
        <f t="shared" si="141"/>
        <v/>
      </c>
      <c r="B720" s="182"/>
      <c r="C720" s="75"/>
      <c r="D720" s="75"/>
      <c r="E720" s="74"/>
      <c r="F720" s="181"/>
      <c r="G720" s="69"/>
      <c r="AB720" s="150">
        <f t="shared" si="132"/>
        <v>0</v>
      </c>
      <c r="AC720" s="150">
        <f t="shared" si="133"/>
        <v>0</v>
      </c>
      <c r="AD720" s="98" t="str">
        <f t="shared" si="142"/>
        <v>0000000000</v>
      </c>
      <c r="AE720" s="151">
        <f t="shared" si="135"/>
        <v>0</v>
      </c>
      <c r="AF720" s="98" t="str">
        <f t="shared" si="136"/>
        <v>00</v>
      </c>
      <c r="AG720" s="98" t="str">
        <f t="shared" si="143"/>
        <v>000000000000</v>
      </c>
      <c r="AH720" s="161" t="str">
        <f t="shared" si="137"/>
        <v xml:space="preserve">                    </v>
      </c>
      <c r="AI720" s="154">
        <f t="shared" si="138"/>
        <v>0</v>
      </c>
      <c r="AJ720" s="155">
        <f t="shared" si="139"/>
        <v>0</v>
      </c>
      <c r="AP720" s="63" t="str">
        <f t="shared" si="140"/>
        <v/>
      </c>
      <c r="AQ720" s="63" t="str">
        <f t="shared" si="134"/>
        <v xml:space="preserve">                    </v>
      </c>
      <c r="AR720" s="63"/>
      <c r="AS720" s="63"/>
      <c r="AT720" s="63"/>
      <c r="AU720" s="63"/>
      <c r="AV720" s="63"/>
      <c r="AW720" s="63"/>
      <c r="AX720" s="63"/>
      <c r="AY720" s="63"/>
      <c r="AZ720" s="63"/>
      <c r="BA720" s="63"/>
      <c r="BB720" s="63"/>
      <c r="BC720" s="63"/>
      <c r="BD720" s="63"/>
      <c r="BE720" s="63"/>
      <c r="BF720" s="63"/>
      <c r="BG720" s="63"/>
      <c r="BH720" s="63"/>
      <c r="BI720" s="63"/>
      <c r="BJ720" s="63"/>
      <c r="BK720" s="63"/>
      <c r="BL720" s="63"/>
      <c r="BM720" s="63"/>
      <c r="BN720" s="63"/>
      <c r="BO720" s="63"/>
      <c r="BP720" s="63"/>
      <c r="BQ720" s="63"/>
      <c r="BR720" s="63"/>
      <c r="BS720" s="63"/>
      <c r="BT720" s="63"/>
      <c r="BU720" s="63"/>
      <c r="BV720" s="63"/>
      <c r="BW720" s="63"/>
    </row>
    <row r="721" spans="1:75" x14ac:dyDescent="0.2">
      <c r="A721" s="63" t="str">
        <f t="shared" si="141"/>
        <v/>
      </c>
      <c r="B721" s="182"/>
      <c r="C721" s="75"/>
      <c r="D721" s="75"/>
      <c r="E721" s="74"/>
      <c r="F721" s="181"/>
      <c r="G721" s="69"/>
      <c r="AB721" s="150">
        <f t="shared" si="132"/>
        <v>0</v>
      </c>
      <c r="AC721" s="150">
        <f t="shared" si="133"/>
        <v>0</v>
      </c>
      <c r="AD721" s="98" t="str">
        <f t="shared" si="142"/>
        <v>0000000000</v>
      </c>
      <c r="AE721" s="151">
        <f t="shared" si="135"/>
        <v>0</v>
      </c>
      <c r="AF721" s="98" t="str">
        <f t="shared" si="136"/>
        <v>00</v>
      </c>
      <c r="AG721" s="98" t="str">
        <f t="shared" si="143"/>
        <v>000000000000</v>
      </c>
      <c r="AH721" s="161" t="str">
        <f t="shared" si="137"/>
        <v xml:space="preserve">                    </v>
      </c>
      <c r="AI721" s="154">
        <f t="shared" si="138"/>
        <v>0</v>
      </c>
      <c r="AJ721" s="155">
        <f t="shared" si="139"/>
        <v>0</v>
      </c>
      <c r="AP721" s="63" t="str">
        <f t="shared" si="140"/>
        <v/>
      </c>
      <c r="AQ721" s="63" t="str">
        <f t="shared" si="134"/>
        <v xml:space="preserve">                    </v>
      </c>
      <c r="AR721" s="63"/>
      <c r="AS721" s="63"/>
      <c r="AT721" s="63"/>
      <c r="AU721" s="63"/>
      <c r="AV721" s="63"/>
      <c r="AW721" s="63"/>
      <c r="AX721" s="63"/>
      <c r="AY721" s="63"/>
      <c r="AZ721" s="63"/>
      <c r="BA721" s="63"/>
      <c r="BB721" s="63"/>
      <c r="BC721" s="63"/>
      <c r="BD721" s="63"/>
      <c r="BE721" s="63"/>
      <c r="BF721" s="63"/>
      <c r="BG721" s="63"/>
      <c r="BH721" s="63"/>
      <c r="BI721" s="63"/>
      <c r="BJ721" s="63"/>
      <c r="BK721" s="63"/>
      <c r="BL721" s="63"/>
      <c r="BM721" s="63"/>
      <c r="BN721" s="63"/>
      <c r="BO721" s="63"/>
      <c r="BP721" s="63"/>
      <c r="BQ721" s="63"/>
      <c r="BR721" s="63"/>
      <c r="BS721" s="63"/>
      <c r="BT721" s="63"/>
      <c r="BU721" s="63"/>
      <c r="BV721" s="63"/>
      <c r="BW721" s="63"/>
    </row>
    <row r="722" spans="1:75" x14ac:dyDescent="0.2">
      <c r="A722" s="63" t="str">
        <f t="shared" si="141"/>
        <v/>
      </c>
      <c r="B722" s="182"/>
      <c r="C722" s="75"/>
      <c r="D722" s="75"/>
      <c r="E722" s="74"/>
      <c r="F722" s="181"/>
      <c r="G722" s="69"/>
      <c r="AB722" s="150">
        <f t="shared" si="132"/>
        <v>0</v>
      </c>
      <c r="AC722" s="150">
        <f t="shared" si="133"/>
        <v>0</v>
      </c>
      <c r="AD722" s="98" t="str">
        <f t="shared" si="142"/>
        <v>0000000000</v>
      </c>
      <c r="AE722" s="151">
        <f t="shared" si="135"/>
        <v>0</v>
      </c>
      <c r="AF722" s="98" t="str">
        <f t="shared" si="136"/>
        <v>00</v>
      </c>
      <c r="AG722" s="98" t="str">
        <f t="shared" si="143"/>
        <v>000000000000</v>
      </c>
      <c r="AH722" s="161" t="str">
        <f t="shared" si="137"/>
        <v xml:space="preserve">                    </v>
      </c>
      <c r="AI722" s="154">
        <f t="shared" si="138"/>
        <v>0</v>
      </c>
      <c r="AJ722" s="155">
        <f t="shared" si="139"/>
        <v>0</v>
      </c>
      <c r="AP722" s="63" t="str">
        <f t="shared" si="140"/>
        <v/>
      </c>
      <c r="AQ722" s="63" t="str">
        <f t="shared" si="134"/>
        <v xml:space="preserve">                    </v>
      </c>
      <c r="AR722" s="63"/>
      <c r="AS722" s="63"/>
      <c r="AT722" s="63"/>
      <c r="AU722" s="63"/>
      <c r="AV722" s="63"/>
      <c r="AW722" s="63"/>
      <c r="AX722" s="63"/>
      <c r="AY722" s="63"/>
      <c r="AZ722" s="63"/>
      <c r="BA722" s="63"/>
      <c r="BB722" s="63"/>
      <c r="BC722" s="63"/>
      <c r="BD722" s="63"/>
      <c r="BE722" s="63"/>
      <c r="BF722" s="63"/>
      <c r="BG722" s="63"/>
      <c r="BH722" s="63"/>
      <c r="BI722" s="63"/>
      <c r="BJ722" s="63"/>
      <c r="BK722" s="63"/>
      <c r="BL722" s="63"/>
      <c r="BM722" s="63"/>
      <c r="BN722" s="63"/>
      <c r="BO722" s="63"/>
      <c r="BP722" s="63"/>
      <c r="BQ722" s="63"/>
      <c r="BR722" s="63"/>
      <c r="BS722" s="63"/>
      <c r="BT722" s="63"/>
      <c r="BU722" s="63"/>
      <c r="BV722" s="63"/>
      <c r="BW722" s="63"/>
    </row>
    <row r="723" spans="1:75" x14ac:dyDescent="0.2">
      <c r="A723" s="63" t="str">
        <f t="shared" si="141"/>
        <v/>
      </c>
      <c r="B723" s="182"/>
      <c r="C723" s="75"/>
      <c r="D723" s="75"/>
      <c r="E723" s="74"/>
      <c r="F723" s="181"/>
      <c r="G723" s="69"/>
      <c r="AB723" s="150">
        <f t="shared" si="132"/>
        <v>0</v>
      </c>
      <c r="AC723" s="150">
        <f t="shared" si="133"/>
        <v>0</v>
      </c>
      <c r="AD723" s="98" t="str">
        <f t="shared" si="142"/>
        <v>0000000000</v>
      </c>
      <c r="AE723" s="151">
        <f t="shared" si="135"/>
        <v>0</v>
      </c>
      <c r="AF723" s="98" t="str">
        <f t="shared" si="136"/>
        <v>00</v>
      </c>
      <c r="AG723" s="98" t="str">
        <f t="shared" si="143"/>
        <v>000000000000</v>
      </c>
      <c r="AH723" s="161" t="str">
        <f t="shared" si="137"/>
        <v xml:space="preserve">                    </v>
      </c>
      <c r="AI723" s="154">
        <f t="shared" si="138"/>
        <v>0</v>
      </c>
      <c r="AJ723" s="155">
        <f t="shared" si="139"/>
        <v>0</v>
      </c>
      <c r="AP723" s="63" t="str">
        <f t="shared" si="140"/>
        <v/>
      </c>
      <c r="AQ723" s="63" t="str">
        <f t="shared" si="134"/>
        <v xml:space="preserve">                    </v>
      </c>
      <c r="AR723" s="63"/>
      <c r="AS723" s="63"/>
      <c r="AT723" s="63"/>
      <c r="AU723" s="63"/>
      <c r="AV723" s="63"/>
      <c r="AW723" s="63"/>
      <c r="AX723" s="63"/>
      <c r="AY723" s="63"/>
      <c r="AZ723" s="63"/>
      <c r="BA723" s="63"/>
      <c r="BB723" s="63"/>
      <c r="BC723" s="63"/>
      <c r="BD723" s="63"/>
      <c r="BE723" s="63"/>
      <c r="BF723" s="63"/>
      <c r="BG723" s="63"/>
      <c r="BH723" s="63"/>
      <c r="BI723" s="63"/>
      <c r="BJ723" s="63"/>
      <c r="BK723" s="63"/>
      <c r="BL723" s="63"/>
      <c r="BM723" s="63"/>
      <c r="BN723" s="63"/>
      <c r="BO723" s="63"/>
      <c r="BP723" s="63"/>
      <c r="BQ723" s="63"/>
      <c r="BR723" s="63"/>
      <c r="BS723" s="63"/>
      <c r="BT723" s="63"/>
      <c r="BU723" s="63"/>
      <c r="BV723" s="63"/>
      <c r="BW723" s="63"/>
    </row>
    <row r="724" spans="1:75" x14ac:dyDescent="0.2">
      <c r="A724" s="63" t="str">
        <f t="shared" si="141"/>
        <v/>
      </c>
      <c r="B724" s="182"/>
      <c r="C724" s="75"/>
      <c r="D724" s="75"/>
      <c r="E724" s="74"/>
      <c r="F724" s="181"/>
      <c r="G724" s="69"/>
      <c r="AB724" s="150">
        <f t="shared" si="132"/>
        <v>0</v>
      </c>
      <c r="AC724" s="150">
        <f t="shared" si="133"/>
        <v>0</v>
      </c>
      <c r="AD724" s="98" t="str">
        <f t="shared" si="142"/>
        <v>0000000000</v>
      </c>
      <c r="AE724" s="151">
        <f t="shared" si="135"/>
        <v>0</v>
      </c>
      <c r="AF724" s="98" t="str">
        <f t="shared" si="136"/>
        <v>00</v>
      </c>
      <c r="AG724" s="98" t="str">
        <f t="shared" si="143"/>
        <v>000000000000</v>
      </c>
      <c r="AH724" s="161" t="str">
        <f t="shared" si="137"/>
        <v xml:space="preserve">                    </v>
      </c>
      <c r="AI724" s="154">
        <f t="shared" si="138"/>
        <v>0</v>
      </c>
      <c r="AJ724" s="155">
        <f t="shared" si="139"/>
        <v>0</v>
      </c>
      <c r="AP724" s="63" t="str">
        <f t="shared" si="140"/>
        <v/>
      </c>
      <c r="AQ724" s="63" t="str">
        <f t="shared" si="134"/>
        <v xml:space="preserve">                    </v>
      </c>
      <c r="AR724" s="63"/>
      <c r="AS724" s="63"/>
      <c r="AT724" s="63"/>
      <c r="AU724" s="63"/>
      <c r="AV724" s="63"/>
      <c r="AW724" s="63"/>
      <c r="AX724" s="63"/>
      <c r="AY724" s="63"/>
      <c r="AZ724" s="63"/>
      <c r="BA724" s="63"/>
      <c r="BB724" s="63"/>
      <c r="BC724" s="63"/>
      <c r="BD724" s="63"/>
      <c r="BE724" s="63"/>
      <c r="BF724" s="63"/>
      <c r="BG724" s="63"/>
      <c r="BH724" s="63"/>
      <c r="BI724" s="63"/>
      <c r="BJ724" s="63"/>
      <c r="BK724" s="63"/>
      <c r="BL724" s="63"/>
      <c r="BM724" s="63"/>
      <c r="BN724" s="63"/>
      <c r="BO724" s="63"/>
      <c r="BP724" s="63"/>
      <c r="BQ724" s="63"/>
      <c r="BR724" s="63"/>
      <c r="BS724" s="63"/>
      <c r="BT724" s="63"/>
      <c r="BU724" s="63"/>
      <c r="BV724" s="63"/>
      <c r="BW724" s="63"/>
    </row>
    <row r="725" spans="1:75" x14ac:dyDescent="0.2">
      <c r="A725" s="63" t="str">
        <f t="shared" si="141"/>
        <v/>
      </c>
      <c r="B725" s="182"/>
      <c r="C725" s="74"/>
      <c r="D725" s="74"/>
      <c r="E725" s="74"/>
      <c r="F725" s="181"/>
      <c r="G725" s="69"/>
      <c r="AB725" s="150">
        <f t="shared" si="132"/>
        <v>0</v>
      </c>
      <c r="AC725" s="150">
        <f t="shared" si="133"/>
        <v>0</v>
      </c>
      <c r="AD725" s="98" t="str">
        <f t="shared" si="142"/>
        <v>0000000000</v>
      </c>
      <c r="AE725" s="151">
        <f t="shared" si="135"/>
        <v>0</v>
      </c>
      <c r="AF725" s="98" t="str">
        <f t="shared" si="136"/>
        <v>00</v>
      </c>
      <c r="AG725" s="98" t="str">
        <f t="shared" si="143"/>
        <v>000000000000</v>
      </c>
      <c r="AH725" s="161" t="str">
        <f t="shared" si="137"/>
        <v xml:space="preserve">                    </v>
      </c>
      <c r="AI725" s="154">
        <f t="shared" si="138"/>
        <v>0</v>
      </c>
      <c r="AJ725" s="155">
        <f t="shared" si="139"/>
        <v>0</v>
      </c>
      <c r="AP725" s="63" t="str">
        <f t="shared" si="140"/>
        <v/>
      </c>
      <c r="AQ725" s="63" t="str">
        <f t="shared" si="134"/>
        <v xml:space="preserve">                    </v>
      </c>
      <c r="AR725" s="63"/>
      <c r="AS725" s="63"/>
      <c r="AT725" s="63"/>
      <c r="AU725" s="63"/>
      <c r="AV725" s="63"/>
      <c r="AW725" s="63"/>
      <c r="AX725" s="63"/>
      <c r="AY725" s="63"/>
      <c r="AZ725" s="63"/>
      <c r="BA725" s="63"/>
      <c r="BB725" s="63"/>
      <c r="BC725" s="63"/>
      <c r="BD725" s="63"/>
      <c r="BE725" s="63"/>
      <c r="BF725" s="63"/>
      <c r="BG725" s="63"/>
      <c r="BH725" s="63"/>
      <c r="BI725" s="63"/>
      <c r="BJ725" s="63"/>
      <c r="BK725" s="63"/>
      <c r="BL725" s="63"/>
      <c r="BM725" s="63"/>
      <c r="BN725" s="63"/>
      <c r="BO725" s="63"/>
      <c r="BP725" s="63"/>
      <c r="BQ725" s="63"/>
      <c r="BR725" s="63"/>
      <c r="BS725" s="63"/>
      <c r="BT725" s="63"/>
      <c r="BU725" s="63"/>
      <c r="BV725" s="63"/>
      <c r="BW725" s="63"/>
    </row>
    <row r="726" spans="1:75" x14ac:dyDescent="0.2">
      <c r="A726" s="63" t="str">
        <f t="shared" si="141"/>
        <v/>
      </c>
      <c r="B726" s="182"/>
      <c r="C726" s="74"/>
      <c r="D726" s="74"/>
      <c r="E726" s="74"/>
      <c r="F726" s="181"/>
      <c r="G726" s="69"/>
      <c r="AB726" s="150">
        <f t="shared" si="132"/>
        <v>0</v>
      </c>
      <c r="AC726" s="150">
        <f t="shared" si="133"/>
        <v>0</v>
      </c>
      <c r="AD726" s="98" t="str">
        <f t="shared" si="142"/>
        <v>0000000000</v>
      </c>
      <c r="AE726" s="151">
        <f t="shared" si="135"/>
        <v>0</v>
      </c>
      <c r="AF726" s="98" t="str">
        <f t="shared" si="136"/>
        <v>00</v>
      </c>
      <c r="AG726" s="98" t="str">
        <f t="shared" si="143"/>
        <v>000000000000</v>
      </c>
      <c r="AH726" s="161" t="str">
        <f t="shared" si="137"/>
        <v xml:space="preserve">                    </v>
      </c>
      <c r="AI726" s="154">
        <f t="shared" si="138"/>
        <v>0</v>
      </c>
      <c r="AJ726" s="155">
        <f t="shared" si="139"/>
        <v>0</v>
      </c>
      <c r="AP726" s="63" t="str">
        <f t="shared" si="140"/>
        <v/>
      </c>
      <c r="AQ726" s="63" t="str">
        <f t="shared" si="134"/>
        <v xml:space="preserve">                    </v>
      </c>
      <c r="AR726" s="63"/>
      <c r="AS726" s="63"/>
      <c r="AT726" s="63"/>
      <c r="AU726" s="63"/>
      <c r="AV726" s="63"/>
      <c r="AW726" s="63"/>
      <c r="AX726" s="63"/>
      <c r="AY726" s="63"/>
      <c r="AZ726" s="63"/>
      <c r="BA726" s="63"/>
      <c r="BB726" s="63"/>
      <c r="BC726" s="63"/>
      <c r="BD726" s="63"/>
      <c r="BE726" s="63"/>
      <c r="BF726" s="63"/>
      <c r="BG726" s="63"/>
      <c r="BH726" s="63"/>
      <c r="BI726" s="63"/>
      <c r="BJ726" s="63"/>
      <c r="BK726" s="63"/>
      <c r="BL726" s="63"/>
      <c r="BM726" s="63"/>
      <c r="BN726" s="63"/>
      <c r="BO726" s="63"/>
      <c r="BP726" s="63"/>
      <c r="BQ726" s="63"/>
      <c r="BR726" s="63"/>
      <c r="BS726" s="63"/>
      <c r="BT726" s="63"/>
      <c r="BU726" s="63"/>
      <c r="BV726" s="63"/>
      <c r="BW726" s="63"/>
    </row>
    <row r="727" spans="1:75" x14ac:dyDescent="0.2">
      <c r="A727" s="63" t="str">
        <f t="shared" si="141"/>
        <v/>
      </c>
      <c r="B727" s="182"/>
      <c r="C727" s="74"/>
      <c r="D727" s="74"/>
      <c r="E727" s="74"/>
      <c r="F727" s="181"/>
      <c r="G727" s="69"/>
      <c r="AB727" s="150">
        <f t="shared" si="132"/>
        <v>0</v>
      </c>
      <c r="AC727" s="150">
        <f t="shared" si="133"/>
        <v>0</v>
      </c>
      <c r="AD727" s="98" t="str">
        <f t="shared" si="142"/>
        <v>0000000000</v>
      </c>
      <c r="AE727" s="151">
        <f t="shared" si="135"/>
        <v>0</v>
      </c>
      <c r="AF727" s="98" t="str">
        <f t="shared" si="136"/>
        <v>00</v>
      </c>
      <c r="AG727" s="98" t="str">
        <f t="shared" si="143"/>
        <v>000000000000</v>
      </c>
      <c r="AH727" s="161" t="str">
        <f t="shared" si="137"/>
        <v xml:space="preserve">                    </v>
      </c>
      <c r="AI727" s="154">
        <f t="shared" si="138"/>
        <v>0</v>
      </c>
      <c r="AJ727" s="155">
        <f t="shared" si="139"/>
        <v>0</v>
      </c>
      <c r="AP727" s="63" t="str">
        <f t="shared" si="140"/>
        <v/>
      </c>
      <c r="AQ727" s="63" t="str">
        <f t="shared" si="134"/>
        <v xml:space="preserve">                    </v>
      </c>
      <c r="AR727" s="63"/>
      <c r="AS727" s="63"/>
      <c r="AT727" s="63"/>
      <c r="AU727" s="63"/>
      <c r="AV727" s="63"/>
      <c r="AW727" s="63"/>
      <c r="AX727" s="63"/>
      <c r="AY727" s="63"/>
      <c r="AZ727" s="63"/>
      <c r="BA727" s="63"/>
      <c r="BB727" s="63"/>
      <c r="BC727" s="63"/>
      <c r="BD727" s="63"/>
      <c r="BE727" s="63"/>
      <c r="BF727" s="63"/>
      <c r="BG727" s="63"/>
      <c r="BH727" s="63"/>
      <c r="BI727" s="63"/>
      <c r="BJ727" s="63"/>
      <c r="BK727" s="63"/>
      <c r="BL727" s="63"/>
      <c r="BM727" s="63"/>
      <c r="BN727" s="63"/>
      <c r="BO727" s="63"/>
      <c r="BP727" s="63"/>
      <c r="BQ727" s="63"/>
      <c r="BR727" s="63"/>
      <c r="BS727" s="63"/>
      <c r="BT727" s="63"/>
      <c r="BU727" s="63"/>
      <c r="BV727" s="63"/>
      <c r="BW727" s="63"/>
    </row>
    <row r="728" spans="1:75" x14ac:dyDescent="0.2">
      <c r="A728" s="63" t="str">
        <f t="shared" si="141"/>
        <v/>
      </c>
      <c r="B728" s="182"/>
      <c r="C728" s="74"/>
      <c r="D728" s="74"/>
      <c r="E728" s="74"/>
      <c r="F728" s="181"/>
      <c r="G728" s="69"/>
      <c r="AB728" s="150">
        <f t="shared" si="132"/>
        <v>0</v>
      </c>
      <c r="AC728" s="150">
        <f t="shared" si="133"/>
        <v>0</v>
      </c>
      <c r="AD728" s="98" t="str">
        <f t="shared" si="142"/>
        <v>0000000000</v>
      </c>
      <c r="AE728" s="151">
        <f t="shared" si="135"/>
        <v>0</v>
      </c>
      <c r="AF728" s="98" t="str">
        <f t="shared" si="136"/>
        <v>00</v>
      </c>
      <c r="AG728" s="98" t="str">
        <f t="shared" si="143"/>
        <v>000000000000</v>
      </c>
      <c r="AH728" s="161" t="str">
        <f t="shared" si="137"/>
        <v xml:space="preserve">                    </v>
      </c>
      <c r="AI728" s="154">
        <f t="shared" si="138"/>
        <v>0</v>
      </c>
      <c r="AJ728" s="155">
        <f t="shared" si="139"/>
        <v>0</v>
      </c>
      <c r="AP728" s="63" t="str">
        <f t="shared" si="140"/>
        <v/>
      </c>
      <c r="AQ728" s="63" t="str">
        <f t="shared" si="134"/>
        <v xml:space="preserve">                    </v>
      </c>
      <c r="AR728" s="63"/>
      <c r="AS728" s="63"/>
      <c r="AT728" s="63"/>
      <c r="AU728" s="63"/>
      <c r="AV728" s="63"/>
      <c r="AW728" s="63"/>
      <c r="AX728" s="63"/>
      <c r="AY728" s="63"/>
      <c r="AZ728" s="63"/>
      <c r="BA728" s="63"/>
      <c r="BB728" s="63"/>
      <c r="BC728" s="63"/>
      <c r="BD728" s="63"/>
      <c r="BE728" s="63"/>
      <c r="BF728" s="63"/>
      <c r="BG728" s="63"/>
      <c r="BH728" s="63"/>
      <c r="BI728" s="63"/>
      <c r="BJ728" s="63"/>
      <c r="BK728" s="63"/>
      <c r="BL728" s="63"/>
      <c r="BM728" s="63"/>
      <c r="BN728" s="63"/>
      <c r="BO728" s="63"/>
      <c r="BP728" s="63"/>
      <c r="BQ728" s="63"/>
      <c r="BR728" s="63"/>
      <c r="BS728" s="63"/>
      <c r="BT728" s="63"/>
      <c r="BU728" s="63"/>
      <c r="BV728" s="63"/>
      <c r="BW728" s="63"/>
    </row>
    <row r="729" spans="1:75" x14ac:dyDescent="0.2">
      <c r="A729" s="63" t="str">
        <f t="shared" si="141"/>
        <v/>
      </c>
      <c r="B729" s="182"/>
      <c r="C729" s="74"/>
      <c r="D729" s="74"/>
      <c r="E729" s="74"/>
      <c r="F729" s="181"/>
      <c r="G729" s="69"/>
      <c r="AB729" s="150">
        <f t="shared" si="132"/>
        <v>0</v>
      </c>
      <c r="AC729" s="150">
        <f t="shared" si="133"/>
        <v>0</v>
      </c>
      <c r="AD729" s="98" t="str">
        <f t="shared" si="142"/>
        <v>0000000000</v>
      </c>
      <c r="AE729" s="151">
        <f t="shared" si="135"/>
        <v>0</v>
      </c>
      <c r="AF729" s="98" t="str">
        <f t="shared" si="136"/>
        <v>00</v>
      </c>
      <c r="AG729" s="98" t="str">
        <f t="shared" si="143"/>
        <v>000000000000</v>
      </c>
      <c r="AH729" s="161" t="str">
        <f t="shared" si="137"/>
        <v xml:space="preserve">                    </v>
      </c>
      <c r="AI729" s="154">
        <f t="shared" si="138"/>
        <v>0</v>
      </c>
      <c r="AJ729" s="155">
        <f t="shared" si="139"/>
        <v>0</v>
      </c>
      <c r="AP729" s="63" t="str">
        <f t="shared" si="140"/>
        <v/>
      </c>
      <c r="AQ729" s="63" t="str">
        <f t="shared" si="134"/>
        <v xml:space="preserve">                    </v>
      </c>
      <c r="AR729" s="63"/>
      <c r="AS729" s="63"/>
      <c r="AT729" s="63"/>
      <c r="AU729" s="63"/>
      <c r="AV729" s="63"/>
      <c r="AW729" s="63"/>
      <c r="AX729" s="63"/>
      <c r="AY729" s="63"/>
      <c r="AZ729" s="63"/>
      <c r="BA729" s="63"/>
      <c r="BB729" s="63"/>
      <c r="BC729" s="63"/>
      <c r="BD729" s="63"/>
      <c r="BE729" s="63"/>
      <c r="BF729" s="63"/>
      <c r="BG729" s="63"/>
      <c r="BH729" s="63"/>
      <c r="BI729" s="63"/>
      <c r="BJ729" s="63"/>
      <c r="BK729" s="63"/>
      <c r="BL729" s="63"/>
      <c r="BM729" s="63"/>
      <c r="BN729" s="63"/>
      <c r="BO729" s="63"/>
      <c r="BP729" s="63"/>
      <c r="BQ729" s="63"/>
      <c r="BR729" s="63"/>
      <c r="BS729" s="63"/>
      <c r="BT729" s="63"/>
      <c r="BU729" s="63"/>
      <c r="BV729" s="63"/>
      <c r="BW729" s="63"/>
    </row>
    <row r="730" spans="1:75" x14ac:dyDescent="0.2">
      <c r="A730" s="63" t="str">
        <f t="shared" si="141"/>
        <v/>
      </c>
      <c r="B730" s="182"/>
      <c r="C730" s="74"/>
      <c r="D730" s="74"/>
      <c r="E730" s="74"/>
      <c r="F730" s="181"/>
      <c r="G730" s="69"/>
      <c r="AB730" s="150">
        <f t="shared" si="132"/>
        <v>0</v>
      </c>
      <c r="AC730" s="150">
        <f t="shared" si="133"/>
        <v>0</v>
      </c>
      <c r="AD730" s="98" t="str">
        <f t="shared" si="142"/>
        <v>0000000000</v>
      </c>
      <c r="AE730" s="151">
        <f t="shared" si="135"/>
        <v>0</v>
      </c>
      <c r="AF730" s="98" t="str">
        <f t="shared" si="136"/>
        <v>00</v>
      </c>
      <c r="AG730" s="98" t="str">
        <f t="shared" si="143"/>
        <v>000000000000</v>
      </c>
      <c r="AH730" s="161" t="str">
        <f t="shared" si="137"/>
        <v xml:space="preserve">                    </v>
      </c>
      <c r="AI730" s="154">
        <f t="shared" si="138"/>
        <v>0</v>
      </c>
      <c r="AJ730" s="155">
        <f t="shared" si="139"/>
        <v>0</v>
      </c>
      <c r="AP730" s="63" t="str">
        <f t="shared" si="140"/>
        <v/>
      </c>
      <c r="AQ730" s="63" t="str">
        <f t="shared" si="134"/>
        <v xml:space="preserve">                    </v>
      </c>
      <c r="AR730" s="63"/>
      <c r="AS730" s="63"/>
      <c r="AT730" s="63"/>
      <c r="AU730" s="63"/>
      <c r="AV730" s="63"/>
      <c r="AW730" s="63"/>
      <c r="AX730" s="63"/>
      <c r="AY730" s="63"/>
      <c r="AZ730" s="63"/>
      <c r="BA730" s="63"/>
      <c r="BB730" s="63"/>
      <c r="BC730" s="63"/>
      <c r="BD730" s="63"/>
      <c r="BE730" s="63"/>
      <c r="BF730" s="63"/>
      <c r="BG730" s="63"/>
      <c r="BH730" s="63"/>
      <c r="BI730" s="63"/>
      <c r="BJ730" s="63"/>
      <c r="BK730" s="63"/>
      <c r="BL730" s="63"/>
      <c r="BM730" s="63"/>
      <c r="BN730" s="63"/>
      <c r="BO730" s="63"/>
      <c r="BP730" s="63"/>
      <c r="BQ730" s="63"/>
      <c r="BR730" s="63"/>
      <c r="BS730" s="63"/>
      <c r="BT730" s="63"/>
      <c r="BU730" s="63"/>
      <c r="BV730" s="63"/>
      <c r="BW730" s="63"/>
    </row>
    <row r="731" spans="1:75" x14ac:dyDescent="0.2">
      <c r="A731" s="63" t="str">
        <f t="shared" si="141"/>
        <v/>
      </c>
      <c r="B731" s="182"/>
      <c r="C731" s="74"/>
      <c r="D731" s="74"/>
      <c r="E731" s="74"/>
      <c r="F731" s="181"/>
      <c r="G731" s="69"/>
      <c r="AB731" s="150">
        <f t="shared" si="132"/>
        <v>0</v>
      </c>
      <c r="AC731" s="150">
        <f t="shared" si="133"/>
        <v>0</v>
      </c>
      <c r="AD731" s="98" t="str">
        <f t="shared" si="142"/>
        <v>0000000000</v>
      </c>
      <c r="AE731" s="151">
        <f t="shared" si="135"/>
        <v>0</v>
      </c>
      <c r="AF731" s="98" t="str">
        <f t="shared" si="136"/>
        <v>00</v>
      </c>
      <c r="AG731" s="98" t="str">
        <f t="shared" si="143"/>
        <v>000000000000</v>
      </c>
      <c r="AH731" s="161" t="str">
        <f t="shared" si="137"/>
        <v xml:space="preserve">                    </v>
      </c>
      <c r="AI731" s="154">
        <f t="shared" si="138"/>
        <v>0</v>
      </c>
      <c r="AJ731" s="155">
        <f t="shared" si="139"/>
        <v>0</v>
      </c>
      <c r="AP731" s="63" t="str">
        <f t="shared" si="140"/>
        <v/>
      </c>
      <c r="AQ731" s="63" t="str">
        <f t="shared" si="134"/>
        <v xml:space="preserve">                    </v>
      </c>
      <c r="AR731" s="63"/>
      <c r="AS731" s="63"/>
      <c r="AT731" s="63"/>
      <c r="AU731" s="63"/>
      <c r="AV731" s="63"/>
      <c r="AW731" s="63"/>
      <c r="AX731" s="63"/>
      <c r="AY731" s="63"/>
      <c r="AZ731" s="63"/>
      <c r="BA731" s="63"/>
      <c r="BB731" s="63"/>
      <c r="BC731" s="63"/>
      <c r="BD731" s="63"/>
      <c r="BE731" s="63"/>
      <c r="BF731" s="63"/>
      <c r="BG731" s="63"/>
      <c r="BH731" s="63"/>
      <c r="BI731" s="63"/>
      <c r="BJ731" s="63"/>
      <c r="BK731" s="63"/>
      <c r="BL731" s="63"/>
      <c r="BM731" s="63"/>
      <c r="BN731" s="63"/>
      <c r="BO731" s="63"/>
      <c r="BP731" s="63"/>
      <c r="BQ731" s="63"/>
      <c r="BR731" s="63"/>
      <c r="BS731" s="63"/>
      <c r="BT731" s="63"/>
      <c r="BU731" s="63"/>
      <c r="BV731" s="63"/>
      <c r="BW731" s="63"/>
    </row>
    <row r="732" spans="1:75" x14ac:dyDescent="0.2">
      <c r="A732" s="63" t="str">
        <f t="shared" si="141"/>
        <v/>
      </c>
      <c r="B732" s="182"/>
      <c r="C732" s="74"/>
      <c r="D732" s="74"/>
      <c r="E732" s="74"/>
      <c r="F732" s="181"/>
      <c r="G732" s="69"/>
      <c r="AB732" s="150">
        <f t="shared" si="132"/>
        <v>0</v>
      </c>
      <c r="AC732" s="150">
        <f t="shared" si="133"/>
        <v>0</v>
      </c>
      <c r="AD732" s="98" t="str">
        <f t="shared" si="142"/>
        <v>0000000000</v>
      </c>
      <c r="AE732" s="151">
        <f t="shared" si="135"/>
        <v>0</v>
      </c>
      <c r="AF732" s="98" t="str">
        <f t="shared" si="136"/>
        <v>00</v>
      </c>
      <c r="AG732" s="98" t="str">
        <f t="shared" si="143"/>
        <v>000000000000</v>
      </c>
      <c r="AH732" s="161" t="str">
        <f t="shared" si="137"/>
        <v xml:space="preserve">                    </v>
      </c>
      <c r="AI732" s="154">
        <f t="shared" si="138"/>
        <v>0</v>
      </c>
      <c r="AJ732" s="155">
        <f t="shared" si="139"/>
        <v>0</v>
      </c>
      <c r="AP732" s="63" t="str">
        <f t="shared" si="140"/>
        <v/>
      </c>
      <c r="AQ732" s="63" t="str">
        <f t="shared" si="134"/>
        <v xml:space="preserve">                    </v>
      </c>
      <c r="AR732" s="63"/>
      <c r="AS732" s="63"/>
      <c r="AT732" s="63"/>
      <c r="AU732" s="63"/>
      <c r="AV732" s="63"/>
      <c r="AW732" s="63"/>
      <c r="AX732" s="63"/>
      <c r="AY732" s="63"/>
      <c r="AZ732" s="63"/>
      <c r="BA732" s="63"/>
      <c r="BB732" s="63"/>
      <c r="BC732" s="63"/>
      <c r="BD732" s="63"/>
      <c r="BE732" s="63"/>
      <c r="BF732" s="63"/>
      <c r="BG732" s="63"/>
      <c r="BH732" s="63"/>
      <c r="BI732" s="63"/>
      <c r="BJ732" s="63"/>
      <c r="BK732" s="63"/>
      <c r="BL732" s="63"/>
      <c r="BM732" s="63"/>
      <c r="BN732" s="63"/>
      <c r="BO732" s="63"/>
      <c r="BP732" s="63"/>
      <c r="BQ732" s="63"/>
      <c r="BR732" s="63"/>
      <c r="BS732" s="63"/>
      <c r="BT732" s="63"/>
      <c r="BU732" s="63"/>
      <c r="BV732" s="63"/>
      <c r="BW732" s="63"/>
    </row>
    <row r="733" spans="1:75" x14ac:dyDescent="0.2">
      <c r="A733" s="63" t="str">
        <f t="shared" si="141"/>
        <v/>
      </c>
      <c r="B733" s="182"/>
      <c r="C733" s="74"/>
      <c r="D733" s="74"/>
      <c r="E733" s="74"/>
      <c r="F733" s="181"/>
      <c r="G733" s="69"/>
      <c r="AB733" s="150">
        <f t="shared" si="132"/>
        <v>0</v>
      </c>
      <c r="AC733" s="150">
        <f t="shared" si="133"/>
        <v>0</v>
      </c>
      <c r="AD733" s="98" t="str">
        <f t="shared" si="142"/>
        <v>0000000000</v>
      </c>
      <c r="AE733" s="151">
        <f t="shared" si="135"/>
        <v>0</v>
      </c>
      <c r="AF733" s="98" t="str">
        <f t="shared" si="136"/>
        <v>00</v>
      </c>
      <c r="AG733" s="98" t="str">
        <f t="shared" si="143"/>
        <v>000000000000</v>
      </c>
      <c r="AH733" s="161" t="str">
        <f t="shared" si="137"/>
        <v xml:space="preserve">                    </v>
      </c>
      <c r="AI733" s="154">
        <f t="shared" si="138"/>
        <v>0</v>
      </c>
      <c r="AJ733" s="155">
        <f t="shared" si="139"/>
        <v>0</v>
      </c>
      <c r="AP733" s="63" t="str">
        <f t="shared" si="140"/>
        <v/>
      </c>
      <c r="AQ733" s="63" t="str">
        <f t="shared" si="134"/>
        <v xml:space="preserve">                    </v>
      </c>
      <c r="AR733" s="63"/>
      <c r="AS733" s="63"/>
      <c r="AT733" s="63"/>
      <c r="AU733" s="63"/>
      <c r="AV733" s="63"/>
      <c r="AW733" s="63"/>
      <c r="AX733" s="63"/>
      <c r="AY733" s="63"/>
      <c r="AZ733" s="63"/>
      <c r="BA733" s="63"/>
      <c r="BB733" s="63"/>
      <c r="BC733" s="63"/>
      <c r="BD733" s="63"/>
      <c r="BE733" s="63"/>
      <c r="BF733" s="63"/>
      <c r="BG733" s="63"/>
      <c r="BH733" s="63"/>
      <c r="BI733" s="63"/>
      <c r="BJ733" s="63"/>
      <c r="BK733" s="63"/>
      <c r="BL733" s="63"/>
      <c r="BM733" s="63"/>
      <c r="BN733" s="63"/>
      <c r="BO733" s="63"/>
      <c r="BP733" s="63"/>
      <c r="BQ733" s="63"/>
      <c r="BR733" s="63"/>
      <c r="BS733" s="63"/>
      <c r="BT733" s="63"/>
      <c r="BU733" s="63"/>
      <c r="BV733" s="63"/>
      <c r="BW733" s="63"/>
    </row>
    <row r="734" spans="1:75" x14ac:dyDescent="0.2">
      <c r="A734" s="63" t="str">
        <f t="shared" si="141"/>
        <v/>
      </c>
      <c r="B734" s="182"/>
      <c r="C734" s="74"/>
      <c r="D734" s="74"/>
      <c r="E734" s="74"/>
      <c r="F734" s="181"/>
      <c r="G734" s="69"/>
      <c r="AB734" s="150">
        <f t="shared" si="132"/>
        <v>0</v>
      </c>
      <c r="AC734" s="150">
        <f t="shared" si="133"/>
        <v>0</v>
      </c>
      <c r="AD734" s="98" t="str">
        <f t="shared" si="142"/>
        <v>0000000000</v>
      </c>
      <c r="AE734" s="151">
        <f t="shared" si="135"/>
        <v>0</v>
      </c>
      <c r="AF734" s="98" t="str">
        <f t="shared" si="136"/>
        <v>00</v>
      </c>
      <c r="AG734" s="98" t="str">
        <f t="shared" si="143"/>
        <v>000000000000</v>
      </c>
      <c r="AH734" s="161" t="str">
        <f t="shared" si="137"/>
        <v xml:space="preserve">                    </v>
      </c>
      <c r="AI734" s="154">
        <f t="shared" si="138"/>
        <v>0</v>
      </c>
      <c r="AJ734" s="155">
        <f t="shared" si="139"/>
        <v>0</v>
      </c>
      <c r="AP734" s="63" t="str">
        <f t="shared" si="140"/>
        <v/>
      </c>
      <c r="AQ734" s="63" t="str">
        <f t="shared" si="134"/>
        <v xml:space="preserve">                    </v>
      </c>
      <c r="AR734" s="63"/>
      <c r="AS734" s="63"/>
      <c r="AT734" s="63"/>
      <c r="AU734" s="63"/>
      <c r="AV734" s="63"/>
      <c r="AW734" s="63"/>
      <c r="AX734" s="63"/>
      <c r="AY734" s="63"/>
      <c r="AZ734" s="63"/>
      <c r="BA734" s="63"/>
      <c r="BB734" s="63"/>
      <c r="BC734" s="63"/>
      <c r="BD734" s="63"/>
      <c r="BE734" s="63"/>
      <c r="BF734" s="63"/>
      <c r="BG734" s="63"/>
      <c r="BH734" s="63"/>
      <c r="BI734" s="63"/>
      <c r="BJ734" s="63"/>
      <c r="BK734" s="63"/>
      <c r="BL734" s="63"/>
      <c r="BM734" s="63"/>
      <c r="BN734" s="63"/>
      <c r="BO734" s="63"/>
      <c r="BP734" s="63"/>
      <c r="BQ734" s="63"/>
      <c r="BR734" s="63"/>
      <c r="BS734" s="63"/>
      <c r="BT734" s="63"/>
      <c r="BU734" s="63"/>
      <c r="BV734" s="63"/>
      <c r="BW734" s="63"/>
    </row>
    <row r="735" spans="1:75" x14ac:dyDescent="0.2">
      <c r="A735" s="63" t="str">
        <f t="shared" si="141"/>
        <v/>
      </c>
      <c r="B735" s="182"/>
      <c r="C735" s="74"/>
      <c r="D735" s="74"/>
      <c r="E735" s="74"/>
      <c r="F735" s="181"/>
      <c r="G735" s="69"/>
      <c r="AB735" s="150">
        <f t="shared" si="132"/>
        <v>0</v>
      </c>
      <c r="AC735" s="150">
        <f t="shared" si="133"/>
        <v>0</v>
      </c>
      <c r="AD735" s="98" t="str">
        <f t="shared" si="142"/>
        <v>0000000000</v>
      </c>
      <c r="AE735" s="151">
        <f t="shared" si="135"/>
        <v>0</v>
      </c>
      <c r="AF735" s="98" t="str">
        <f t="shared" si="136"/>
        <v>00</v>
      </c>
      <c r="AG735" s="98" t="str">
        <f t="shared" si="143"/>
        <v>000000000000</v>
      </c>
      <c r="AH735" s="161" t="str">
        <f t="shared" si="137"/>
        <v xml:space="preserve">                    </v>
      </c>
      <c r="AI735" s="154">
        <f t="shared" si="138"/>
        <v>0</v>
      </c>
      <c r="AJ735" s="155">
        <f t="shared" si="139"/>
        <v>0</v>
      </c>
      <c r="AP735" s="63" t="str">
        <f t="shared" si="140"/>
        <v/>
      </c>
      <c r="AQ735" s="63" t="str">
        <f t="shared" si="134"/>
        <v xml:space="preserve">                    </v>
      </c>
      <c r="AR735" s="63"/>
      <c r="AS735" s="63"/>
      <c r="AT735" s="63"/>
      <c r="AU735" s="63"/>
      <c r="AV735" s="63"/>
      <c r="AW735" s="63"/>
      <c r="AX735" s="63"/>
      <c r="AY735" s="63"/>
      <c r="AZ735" s="63"/>
      <c r="BA735" s="63"/>
      <c r="BB735" s="63"/>
      <c r="BC735" s="63"/>
      <c r="BD735" s="63"/>
      <c r="BE735" s="63"/>
      <c r="BF735" s="63"/>
      <c r="BG735" s="63"/>
      <c r="BH735" s="63"/>
      <c r="BI735" s="63"/>
      <c r="BJ735" s="63"/>
      <c r="BK735" s="63"/>
      <c r="BL735" s="63"/>
      <c r="BM735" s="63"/>
      <c r="BN735" s="63"/>
      <c r="BO735" s="63"/>
      <c r="BP735" s="63"/>
      <c r="BQ735" s="63"/>
      <c r="BR735" s="63"/>
      <c r="BS735" s="63"/>
      <c r="BT735" s="63"/>
      <c r="BU735" s="63"/>
      <c r="BV735" s="63"/>
      <c r="BW735" s="63"/>
    </row>
    <row r="736" spans="1:75" x14ac:dyDescent="0.2">
      <c r="A736" s="63" t="str">
        <f t="shared" si="141"/>
        <v/>
      </c>
      <c r="B736" s="182"/>
      <c r="C736" s="74"/>
      <c r="D736" s="74"/>
      <c r="E736" s="74"/>
      <c r="F736" s="181"/>
      <c r="G736" s="69"/>
      <c r="AB736" s="150">
        <f t="shared" si="132"/>
        <v>0</v>
      </c>
      <c r="AC736" s="150">
        <f t="shared" si="133"/>
        <v>0</v>
      </c>
      <c r="AD736" s="98" t="str">
        <f t="shared" si="142"/>
        <v>0000000000</v>
      </c>
      <c r="AE736" s="151">
        <f t="shared" si="135"/>
        <v>0</v>
      </c>
      <c r="AF736" s="98" t="str">
        <f t="shared" si="136"/>
        <v>00</v>
      </c>
      <c r="AG736" s="98" t="str">
        <f t="shared" si="143"/>
        <v>000000000000</v>
      </c>
      <c r="AH736" s="161" t="str">
        <f t="shared" si="137"/>
        <v xml:space="preserve">                    </v>
      </c>
      <c r="AI736" s="154">
        <f t="shared" si="138"/>
        <v>0</v>
      </c>
      <c r="AJ736" s="155">
        <f t="shared" si="139"/>
        <v>0</v>
      </c>
      <c r="AP736" s="63" t="str">
        <f t="shared" si="140"/>
        <v/>
      </c>
      <c r="AQ736" s="63" t="str">
        <f t="shared" si="134"/>
        <v xml:space="preserve">                    </v>
      </c>
      <c r="AR736" s="63"/>
      <c r="AS736" s="63"/>
      <c r="AT736" s="63"/>
      <c r="AU736" s="63"/>
      <c r="AV736" s="63"/>
      <c r="AW736" s="63"/>
      <c r="AX736" s="63"/>
      <c r="AY736" s="63"/>
      <c r="AZ736" s="63"/>
      <c r="BA736" s="63"/>
      <c r="BB736" s="63"/>
      <c r="BC736" s="63"/>
      <c r="BD736" s="63"/>
      <c r="BE736" s="63"/>
      <c r="BF736" s="63"/>
      <c r="BG736" s="63"/>
      <c r="BH736" s="63"/>
      <c r="BI736" s="63"/>
      <c r="BJ736" s="63"/>
      <c r="BK736" s="63"/>
      <c r="BL736" s="63"/>
      <c r="BM736" s="63"/>
      <c r="BN736" s="63"/>
      <c r="BO736" s="63"/>
      <c r="BP736" s="63"/>
      <c r="BQ736" s="63"/>
      <c r="BR736" s="63"/>
      <c r="BS736" s="63"/>
      <c r="BT736" s="63"/>
      <c r="BU736" s="63"/>
      <c r="BV736" s="63"/>
      <c r="BW736" s="63"/>
    </row>
    <row r="737" spans="1:75" x14ac:dyDescent="0.2">
      <c r="A737" s="63" t="str">
        <f t="shared" si="141"/>
        <v/>
      </c>
      <c r="B737" s="182"/>
      <c r="C737" s="74"/>
      <c r="D737" s="74"/>
      <c r="E737" s="74"/>
      <c r="F737" s="181"/>
      <c r="G737" s="69"/>
      <c r="AB737" s="150">
        <f t="shared" si="132"/>
        <v>0</v>
      </c>
      <c r="AC737" s="150">
        <f t="shared" si="133"/>
        <v>0</v>
      </c>
      <c r="AD737" s="98" t="str">
        <f t="shared" si="142"/>
        <v>0000000000</v>
      </c>
      <c r="AE737" s="151">
        <f t="shared" si="135"/>
        <v>0</v>
      </c>
      <c r="AF737" s="98" t="str">
        <f t="shared" si="136"/>
        <v>00</v>
      </c>
      <c r="AG737" s="98" t="str">
        <f t="shared" si="143"/>
        <v>000000000000</v>
      </c>
      <c r="AH737" s="161" t="str">
        <f t="shared" si="137"/>
        <v xml:space="preserve">                    </v>
      </c>
      <c r="AI737" s="154">
        <f t="shared" si="138"/>
        <v>0</v>
      </c>
      <c r="AJ737" s="155">
        <f t="shared" si="139"/>
        <v>0</v>
      </c>
      <c r="AP737" s="63" t="str">
        <f t="shared" si="140"/>
        <v/>
      </c>
      <c r="AQ737" s="63" t="str">
        <f t="shared" si="134"/>
        <v xml:space="preserve">                    </v>
      </c>
      <c r="AR737" s="63"/>
      <c r="AS737" s="63"/>
      <c r="AT737" s="63"/>
      <c r="AU737" s="63"/>
      <c r="AV737" s="63"/>
      <c r="AW737" s="63"/>
      <c r="AX737" s="63"/>
      <c r="AY737" s="63"/>
      <c r="AZ737" s="63"/>
      <c r="BA737" s="63"/>
      <c r="BB737" s="63"/>
      <c r="BC737" s="63"/>
      <c r="BD737" s="63"/>
      <c r="BE737" s="63"/>
      <c r="BF737" s="63"/>
      <c r="BG737" s="63"/>
      <c r="BH737" s="63"/>
      <c r="BI737" s="63"/>
      <c r="BJ737" s="63"/>
      <c r="BK737" s="63"/>
      <c r="BL737" s="63"/>
      <c r="BM737" s="63"/>
      <c r="BN737" s="63"/>
      <c r="BO737" s="63"/>
      <c r="BP737" s="63"/>
      <c r="BQ737" s="63"/>
      <c r="BR737" s="63"/>
      <c r="BS737" s="63"/>
      <c r="BT737" s="63"/>
      <c r="BU737" s="63"/>
      <c r="BV737" s="63"/>
      <c r="BW737" s="63"/>
    </row>
    <row r="738" spans="1:75" x14ac:dyDescent="0.2">
      <c r="A738" s="63" t="str">
        <f t="shared" si="141"/>
        <v/>
      </c>
      <c r="B738" s="182"/>
      <c r="C738" s="74"/>
      <c r="D738" s="74"/>
      <c r="E738" s="74"/>
      <c r="F738" s="181"/>
      <c r="G738" s="69"/>
      <c r="AB738" s="150">
        <f t="shared" si="132"/>
        <v>0</v>
      </c>
      <c r="AC738" s="150">
        <f t="shared" si="133"/>
        <v>0</v>
      </c>
      <c r="AD738" s="98" t="str">
        <f t="shared" si="142"/>
        <v>0000000000</v>
      </c>
      <c r="AE738" s="151">
        <f t="shared" si="135"/>
        <v>0</v>
      </c>
      <c r="AF738" s="98" t="str">
        <f t="shared" si="136"/>
        <v>00</v>
      </c>
      <c r="AG738" s="98" t="str">
        <f t="shared" si="143"/>
        <v>000000000000</v>
      </c>
      <c r="AH738" s="161" t="str">
        <f t="shared" si="137"/>
        <v xml:space="preserve">                    </v>
      </c>
      <c r="AI738" s="154">
        <f t="shared" si="138"/>
        <v>0</v>
      </c>
      <c r="AJ738" s="155">
        <f t="shared" si="139"/>
        <v>0</v>
      </c>
      <c r="AP738" s="63" t="str">
        <f t="shared" si="140"/>
        <v/>
      </c>
      <c r="AQ738" s="63" t="str">
        <f t="shared" si="134"/>
        <v xml:space="preserve">                    </v>
      </c>
      <c r="AR738" s="63"/>
      <c r="AS738" s="63"/>
      <c r="AT738" s="63"/>
      <c r="AU738" s="63"/>
      <c r="AV738" s="63"/>
      <c r="AW738" s="63"/>
      <c r="AX738" s="63"/>
      <c r="AY738" s="63"/>
      <c r="AZ738" s="63"/>
      <c r="BA738" s="63"/>
      <c r="BB738" s="63"/>
      <c r="BC738" s="63"/>
      <c r="BD738" s="63"/>
      <c r="BE738" s="63"/>
      <c r="BF738" s="63"/>
      <c r="BG738" s="63"/>
      <c r="BH738" s="63"/>
      <c r="BI738" s="63"/>
      <c r="BJ738" s="63"/>
      <c r="BK738" s="63"/>
      <c r="BL738" s="63"/>
      <c r="BM738" s="63"/>
      <c r="BN738" s="63"/>
      <c r="BO738" s="63"/>
      <c r="BP738" s="63"/>
      <c r="BQ738" s="63"/>
      <c r="BR738" s="63"/>
      <c r="BS738" s="63"/>
      <c r="BT738" s="63"/>
      <c r="BU738" s="63"/>
      <c r="BV738" s="63"/>
      <c r="BW738" s="63"/>
    </row>
    <row r="739" spans="1:75" x14ac:dyDescent="0.2">
      <c r="A739" s="63" t="str">
        <f t="shared" si="141"/>
        <v/>
      </c>
      <c r="B739" s="182"/>
      <c r="C739" s="74"/>
      <c r="D739" s="74"/>
      <c r="E739" s="74"/>
      <c r="F739" s="181"/>
      <c r="G739" s="69"/>
      <c r="AB739" s="150">
        <f t="shared" si="132"/>
        <v>0</v>
      </c>
      <c r="AC739" s="150">
        <f t="shared" si="133"/>
        <v>0</v>
      </c>
      <c r="AD739" s="98" t="str">
        <f t="shared" si="142"/>
        <v>0000000000</v>
      </c>
      <c r="AE739" s="151">
        <f t="shared" si="135"/>
        <v>0</v>
      </c>
      <c r="AF739" s="98" t="str">
        <f t="shared" si="136"/>
        <v>00</v>
      </c>
      <c r="AG739" s="98" t="str">
        <f t="shared" si="143"/>
        <v>000000000000</v>
      </c>
      <c r="AH739" s="161" t="str">
        <f t="shared" si="137"/>
        <v xml:space="preserve">                    </v>
      </c>
      <c r="AI739" s="154">
        <f t="shared" si="138"/>
        <v>0</v>
      </c>
      <c r="AJ739" s="155">
        <f t="shared" si="139"/>
        <v>0</v>
      </c>
      <c r="AP739" s="63" t="str">
        <f t="shared" si="140"/>
        <v/>
      </c>
      <c r="AQ739" s="63" t="str">
        <f t="shared" si="134"/>
        <v xml:space="preserve">                    </v>
      </c>
      <c r="AR739" s="63"/>
      <c r="AS739" s="63"/>
      <c r="AT739" s="63"/>
      <c r="AU739" s="63"/>
      <c r="AV739" s="63"/>
      <c r="AW739" s="63"/>
      <c r="AX739" s="63"/>
      <c r="AY739" s="63"/>
      <c r="AZ739" s="63"/>
      <c r="BA739" s="63"/>
      <c r="BB739" s="63"/>
      <c r="BC739" s="63"/>
      <c r="BD739" s="63"/>
      <c r="BE739" s="63"/>
      <c r="BF739" s="63"/>
      <c r="BG739" s="63"/>
      <c r="BH739" s="63"/>
      <c r="BI739" s="63"/>
      <c r="BJ739" s="63"/>
      <c r="BK739" s="63"/>
      <c r="BL739" s="63"/>
      <c r="BM739" s="63"/>
      <c r="BN739" s="63"/>
      <c r="BO739" s="63"/>
      <c r="BP739" s="63"/>
      <c r="BQ739" s="63"/>
      <c r="BR739" s="63"/>
      <c r="BS739" s="63"/>
      <c r="BT739" s="63"/>
      <c r="BU739" s="63"/>
      <c r="BV739" s="63"/>
      <c r="BW739" s="63"/>
    </row>
    <row r="740" spans="1:75" x14ac:dyDescent="0.2">
      <c r="A740" s="63" t="str">
        <f t="shared" si="141"/>
        <v/>
      </c>
      <c r="B740" s="182"/>
      <c r="C740" s="74"/>
      <c r="D740" s="74"/>
      <c r="E740" s="74"/>
      <c r="F740" s="181"/>
      <c r="G740" s="69"/>
      <c r="AB740" s="150">
        <f t="shared" si="132"/>
        <v>0</v>
      </c>
      <c r="AC740" s="150">
        <f t="shared" si="133"/>
        <v>0</v>
      </c>
      <c r="AD740" s="98" t="str">
        <f t="shared" si="142"/>
        <v>0000000000</v>
      </c>
      <c r="AE740" s="151">
        <f t="shared" si="135"/>
        <v>0</v>
      </c>
      <c r="AF740" s="98" t="str">
        <f t="shared" si="136"/>
        <v>00</v>
      </c>
      <c r="AG740" s="98" t="str">
        <f t="shared" si="143"/>
        <v>000000000000</v>
      </c>
      <c r="AH740" s="161" t="str">
        <f t="shared" si="137"/>
        <v xml:space="preserve">                    </v>
      </c>
      <c r="AI740" s="154">
        <f t="shared" si="138"/>
        <v>0</v>
      </c>
      <c r="AJ740" s="155">
        <f t="shared" si="139"/>
        <v>0</v>
      </c>
      <c r="AP740" s="63" t="str">
        <f t="shared" si="140"/>
        <v/>
      </c>
      <c r="AQ740" s="63" t="str">
        <f t="shared" si="134"/>
        <v xml:space="preserve">                    </v>
      </c>
      <c r="AR740" s="63"/>
      <c r="AS740" s="63"/>
      <c r="AT740" s="63"/>
      <c r="AU740" s="63"/>
      <c r="AV740" s="63"/>
      <c r="AW740" s="63"/>
      <c r="AX740" s="63"/>
      <c r="AY740" s="63"/>
      <c r="AZ740" s="63"/>
      <c r="BA740" s="63"/>
      <c r="BB740" s="63"/>
      <c r="BC740" s="63"/>
      <c r="BD740" s="63"/>
      <c r="BE740" s="63"/>
      <c r="BF740" s="63"/>
      <c r="BG740" s="63"/>
      <c r="BH740" s="63"/>
      <c r="BI740" s="63"/>
      <c r="BJ740" s="63"/>
      <c r="BK740" s="63"/>
      <c r="BL740" s="63"/>
      <c r="BM740" s="63"/>
      <c r="BN740" s="63"/>
      <c r="BO740" s="63"/>
      <c r="BP740" s="63"/>
      <c r="BQ740" s="63"/>
      <c r="BR740" s="63"/>
      <c r="BS740" s="63"/>
      <c r="BT740" s="63"/>
      <c r="BU740" s="63"/>
      <c r="BV740" s="63"/>
      <c r="BW740" s="63"/>
    </row>
    <row r="741" spans="1:75" x14ac:dyDescent="0.2">
      <c r="A741" s="63" t="str">
        <f t="shared" si="141"/>
        <v/>
      </c>
      <c r="B741" s="182"/>
      <c r="C741" s="74"/>
      <c r="D741" s="74"/>
      <c r="E741" s="74"/>
      <c r="F741" s="181"/>
      <c r="G741" s="69"/>
      <c r="AB741" s="150">
        <f t="shared" si="132"/>
        <v>0</v>
      </c>
      <c r="AC741" s="150">
        <f t="shared" si="133"/>
        <v>0</v>
      </c>
      <c r="AD741" s="98" t="str">
        <f t="shared" si="142"/>
        <v>0000000000</v>
      </c>
      <c r="AE741" s="151">
        <f t="shared" si="135"/>
        <v>0</v>
      </c>
      <c r="AF741" s="98" t="str">
        <f t="shared" si="136"/>
        <v>00</v>
      </c>
      <c r="AG741" s="98" t="str">
        <f t="shared" si="143"/>
        <v>000000000000</v>
      </c>
      <c r="AH741" s="161" t="str">
        <f t="shared" si="137"/>
        <v xml:space="preserve">                    </v>
      </c>
      <c r="AI741" s="154">
        <f t="shared" si="138"/>
        <v>0</v>
      </c>
      <c r="AJ741" s="155">
        <f t="shared" si="139"/>
        <v>0</v>
      </c>
      <c r="AP741" s="63" t="str">
        <f t="shared" si="140"/>
        <v/>
      </c>
      <c r="AQ741" s="63" t="str">
        <f t="shared" si="134"/>
        <v xml:space="preserve">                    </v>
      </c>
      <c r="AR741" s="63"/>
      <c r="AS741" s="63"/>
      <c r="AT741" s="63"/>
      <c r="AU741" s="63"/>
      <c r="AV741" s="63"/>
      <c r="AW741" s="63"/>
      <c r="AX741" s="63"/>
      <c r="AY741" s="63"/>
      <c r="AZ741" s="63"/>
      <c r="BA741" s="63"/>
      <c r="BB741" s="63"/>
      <c r="BC741" s="63"/>
      <c r="BD741" s="63"/>
      <c r="BE741" s="63"/>
      <c r="BF741" s="63"/>
      <c r="BG741" s="63"/>
      <c r="BH741" s="63"/>
      <c r="BI741" s="63"/>
      <c r="BJ741" s="63"/>
      <c r="BK741" s="63"/>
      <c r="BL741" s="63"/>
      <c r="BM741" s="63"/>
      <c r="BN741" s="63"/>
      <c r="BO741" s="63"/>
      <c r="BP741" s="63"/>
      <c r="BQ741" s="63"/>
      <c r="BR741" s="63"/>
      <c r="BS741" s="63"/>
      <c r="BT741" s="63"/>
      <c r="BU741" s="63"/>
      <c r="BV741" s="63"/>
      <c r="BW741" s="63"/>
    </row>
    <row r="742" spans="1:75" x14ac:dyDescent="0.2">
      <c r="A742" s="63" t="str">
        <f t="shared" si="141"/>
        <v/>
      </c>
      <c r="B742" s="182"/>
      <c r="C742" s="74"/>
      <c r="D742" s="74"/>
      <c r="E742" s="74"/>
      <c r="F742" s="181"/>
      <c r="G742" s="69"/>
      <c r="AB742" s="150">
        <f t="shared" si="132"/>
        <v>0</v>
      </c>
      <c r="AC742" s="150">
        <f t="shared" si="133"/>
        <v>0</v>
      </c>
      <c r="AD742" s="98" t="str">
        <f t="shared" si="142"/>
        <v>0000000000</v>
      </c>
      <c r="AE742" s="151">
        <f t="shared" si="135"/>
        <v>0</v>
      </c>
      <c r="AF742" s="98" t="str">
        <f t="shared" si="136"/>
        <v>00</v>
      </c>
      <c r="AG742" s="98" t="str">
        <f t="shared" si="143"/>
        <v>000000000000</v>
      </c>
      <c r="AH742" s="161" t="str">
        <f t="shared" si="137"/>
        <v xml:space="preserve">                    </v>
      </c>
      <c r="AI742" s="154">
        <f t="shared" si="138"/>
        <v>0</v>
      </c>
      <c r="AJ742" s="155">
        <f t="shared" si="139"/>
        <v>0</v>
      </c>
      <c r="AP742" s="63" t="str">
        <f t="shared" si="140"/>
        <v/>
      </c>
      <c r="AQ742" s="63" t="str">
        <f t="shared" si="134"/>
        <v xml:space="preserve">                    </v>
      </c>
      <c r="AR742" s="63"/>
      <c r="AS742" s="63"/>
      <c r="AT742" s="63"/>
      <c r="AU742" s="63"/>
      <c r="AV742" s="63"/>
      <c r="AW742" s="63"/>
      <c r="AX742" s="63"/>
      <c r="AY742" s="63"/>
      <c r="AZ742" s="63"/>
      <c r="BA742" s="63"/>
      <c r="BB742" s="63"/>
      <c r="BC742" s="63"/>
      <c r="BD742" s="63"/>
      <c r="BE742" s="63"/>
      <c r="BF742" s="63"/>
      <c r="BG742" s="63"/>
      <c r="BH742" s="63"/>
      <c r="BI742" s="63"/>
      <c r="BJ742" s="63"/>
      <c r="BK742" s="63"/>
      <c r="BL742" s="63"/>
      <c r="BM742" s="63"/>
      <c r="BN742" s="63"/>
      <c r="BO742" s="63"/>
      <c r="BP742" s="63"/>
      <c r="BQ742" s="63"/>
      <c r="BR742" s="63"/>
      <c r="BS742" s="63"/>
      <c r="BT742" s="63"/>
      <c r="BU742" s="63"/>
      <c r="BV742" s="63"/>
      <c r="BW742" s="63"/>
    </row>
    <row r="743" spans="1:75" x14ac:dyDescent="0.2">
      <c r="A743" s="63" t="str">
        <f t="shared" si="141"/>
        <v/>
      </c>
      <c r="B743" s="182"/>
      <c r="C743" s="74"/>
      <c r="D743" s="74"/>
      <c r="E743" s="74"/>
      <c r="F743" s="181"/>
      <c r="G743" s="69"/>
      <c r="AB743" s="150">
        <f t="shared" si="132"/>
        <v>0</v>
      </c>
      <c r="AC743" s="150">
        <f t="shared" si="133"/>
        <v>0</v>
      </c>
      <c r="AD743" s="98" t="str">
        <f t="shared" si="142"/>
        <v>0000000000</v>
      </c>
      <c r="AE743" s="151">
        <f t="shared" si="135"/>
        <v>0</v>
      </c>
      <c r="AF743" s="98" t="str">
        <f t="shared" si="136"/>
        <v>00</v>
      </c>
      <c r="AG743" s="98" t="str">
        <f t="shared" si="143"/>
        <v>000000000000</v>
      </c>
      <c r="AH743" s="161" t="str">
        <f t="shared" si="137"/>
        <v xml:space="preserve">                    </v>
      </c>
      <c r="AI743" s="154">
        <f t="shared" si="138"/>
        <v>0</v>
      </c>
      <c r="AJ743" s="155">
        <f t="shared" si="139"/>
        <v>0</v>
      </c>
      <c r="AP743" s="63" t="str">
        <f t="shared" si="140"/>
        <v/>
      </c>
      <c r="AQ743" s="63" t="str">
        <f t="shared" si="134"/>
        <v xml:space="preserve">                    </v>
      </c>
      <c r="AR743" s="63"/>
      <c r="AS743" s="63"/>
      <c r="AT743" s="63"/>
      <c r="AU743" s="63"/>
      <c r="AV743" s="63"/>
      <c r="AW743" s="63"/>
      <c r="AX743" s="63"/>
      <c r="AY743" s="63"/>
      <c r="AZ743" s="63"/>
      <c r="BA743" s="63"/>
      <c r="BB743" s="63"/>
      <c r="BC743" s="63"/>
      <c r="BD743" s="63"/>
      <c r="BE743" s="63"/>
      <c r="BF743" s="63"/>
      <c r="BG743" s="63"/>
      <c r="BH743" s="63"/>
      <c r="BI743" s="63"/>
      <c r="BJ743" s="63"/>
      <c r="BK743" s="63"/>
      <c r="BL743" s="63"/>
      <c r="BM743" s="63"/>
      <c r="BN743" s="63"/>
      <c r="BO743" s="63"/>
      <c r="BP743" s="63"/>
      <c r="BQ743" s="63"/>
      <c r="BR743" s="63"/>
      <c r="BS743" s="63"/>
      <c r="BT743" s="63"/>
      <c r="BU743" s="63"/>
      <c r="BV743" s="63"/>
      <c r="BW743" s="63"/>
    </row>
    <row r="744" spans="1:75" x14ac:dyDescent="0.2">
      <c r="A744" s="63" t="str">
        <f t="shared" si="141"/>
        <v/>
      </c>
      <c r="B744" s="182"/>
      <c r="C744" s="74"/>
      <c r="D744" s="74"/>
      <c r="E744" s="74"/>
      <c r="F744" s="181"/>
      <c r="G744" s="69"/>
      <c r="AB744" s="150">
        <f t="shared" si="132"/>
        <v>0</v>
      </c>
      <c r="AC744" s="150">
        <f t="shared" si="133"/>
        <v>0</v>
      </c>
      <c r="AD744" s="98" t="str">
        <f t="shared" si="142"/>
        <v>0000000000</v>
      </c>
      <c r="AE744" s="151">
        <f t="shared" si="135"/>
        <v>0</v>
      </c>
      <c r="AF744" s="98" t="str">
        <f t="shared" si="136"/>
        <v>00</v>
      </c>
      <c r="AG744" s="98" t="str">
        <f t="shared" si="143"/>
        <v>000000000000</v>
      </c>
      <c r="AH744" s="161" t="str">
        <f t="shared" si="137"/>
        <v xml:space="preserve">                    </v>
      </c>
      <c r="AI744" s="154">
        <f t="shared" si="138"/>
        <v>0</v>
      </c>
      <c r="AJ744" s="155">
        <f t="shared" si="139"/>
        <v>0</v>
      </c>
      <c r="AP744" s="63" t="str">
        <f t="shared" si="140"/>
        <v/>
      </c>
      <c r="AQ744" s="63" t="str">
        <f t="shared" si="134"/>
        <v xml:space="preserve">                    </v>
      </c>
      <c r="AR744" s="63"/>
      <c r="AS744" s="63"/>
      <c r="AT744" s="63"/>
      <c r="AU744" s="63"/>
      <c r="AV744" s="63"/>
      <c r="AW744" s="63"/>
      <c r="AX744" s="63"/>
      <c r="AY744" s="63"/>
      <c r="AZ744" s="63"/>
      <c r="BA744" s="63"/>
      <c r="BB744" s="63"/>
      <c r="BC744" s="63"/>
      <c r="BD744" s="63"/>
      <c r="BE744" s="63"/>
      <c r="BF744" s="63"/>
      <c r="BG744" s="63"/>
      <c r="BH744" s="63"/>
      <c r="BI744" s="63"/>
      <c r="BJ744" s="63"/>
      <c r="BK744" s="63"/>
      <c r="BL744" s="63"/>
      <c r="BM744" s="63"/>
      <c r="BN744" s="63"/>
      <c r="BO744" s="63"/>
      <c r="BP744" s="63"/>
      <c r="BQ744" s="63"/>
      <c r="BR744" s="63"/>
      <c r="BS744" s="63"/>
      <c r="BT744" s="63"/>
      <c r="BU744" s="63"/>
      <c r="BV744" s="63"/>
      <c r="BW744" s="63"/>
    </row>
    <row r="745" spans="1:75" x14ac:dyDescent="0.2">
      <c r="A745" s="63" t="str">
        <f t="shared" si="141"/>
        <v/>
      </c>
      <c r="B745" s="182"/>
      <c r="C745" s="74"/>
      <c r="D745" s="74"/>
      <c r="E745" s="74"/>
      <c r="F745" s="181"/>
      <c r="G745" s="69"/>
      <c r="AB745" s="150">
        <f t="shared" si="132"/>
        <v>0</v>
      </c>
      <c r="AC745" s="150">
        <f t="shared" si="133"/>
        <v>0</v>
      </c>
      <c r="AD745" s="98" t="str">
        <f t="shared" si="142"/>
        <v>0000000000</v>
      </c>
      <c r="AE745" s="151">
        <f t="shared" si="135"/>
        <v>0</v>
      </c>
      <c r="AF745" s="98" t="str">
        <f t="shared" si="136"/>
        <v>00</v>
      </c>
      <c r="AG745" s="98" t="str">
        <f t="shared" si="143"/>
        <v>000000000000</v>
      </c>
      <c r="AH745" s="161" t="str">
        <f t="shared" si="137"/>
        <v xml:space="preserve">                    </v>
      </c>
      <c r="AI745" s="154">
        <f t="shared" si="138"/>
        <v>0</v>
      </c>
      <c r="AJ745" s="155">
        <f t="shared" si="139"/>
        <v>0</v>
      </c>
      <c r="AP745" s="63" t="str">
        <f t="shared" si="140"/>
        <v/>
      </c>
      <c r="AQ745" s="63" t="str">
        <f t="shared" si="134"/>
        <v xml:space="preserve">                    </v>
      </c>
      <c r="AR745" s="63"/>
      <c r="AS745" s="63"/>
      <c r="AT745" s="63"/>
      <c r="AU745" s="63"/>
      <c r="AV745" s="63"/>
      <c r="AW745" s="63"/>
      <c r="AX745" s="63"/>
      <c r="AY745" s="63"/>
      <c r="AZ745" s="63"/>
      <c r="BA745" s="63"/>
      <c r="BB745" s="63"/>
      <c r="BC745" s="63"/>
      <c r="BD745" s="63"/>
      <c r="BE745" s="63"/>
      <c r="BF745" s="63"/>
      <c r="BG745" s="63"/>
      <c r="BH745" s="63"/>
      <c r="BI745" s="63"/>
      <c r="BJ745" s="63"/>
      <c r="BK745" s="63"/>
      <c r="BL745" s="63"/>
      <c r="BM745" s="63"/>
      <c r="BN745" s="63"/>
      <c r="BO745" s="63"/>
      <c r="BP745" s="63"/>
      <c r="BQ745" s="63"/>
      <c r="BR745" s="63"/>
      <c r="BS745" s="63"/>
      <c r="BT745" s="63"/>
      <c r="BU745" s="63"/>
      <c r="BV745" s="63"/>
      <c r="BW745" s="63"/>
    </row>
    <row r="746" spans="1:75" x14ac:dyDescent="0.2">
      <c r="A746" s="63" t="str">
        <f t="shared" si="141"/>
        <v/>
      </c>
      <c r="B746" s="182"/>
      <c r="C746" s="74"/>
      <c r="D746" s="74"/>
      <c r="E746" s="74"/>
      <c r="F746" s="181"/>
      <c r="G746" s="69"/>
      <c r="AB746" s="150">
        <f t="shared" si="132"/>
        <v>0</v>
      </c>
      <c r="AC746" s="150">
        <f t="shared" si="133"/>
        <v>0</v>
      </c>
      <c r="AD746" s="98" t="str">
        <f t="shared" si="142"/>
        <v>0000000000</v>
      </c>
      <c r="AE746" s="151">
        <f t="shared" si="135"/>
        <v>0</v>
      </c>
      <c r="AF746" s="98" t="str">
        <f t="shared" si="136"/>
        <v>00</v>
      </c>
      <c r="AG746" s="98" t="str">
        <f t="shared" si="143"/>
        <v>000000000000</v>
      </c>
      <c r="AH746" s="161" t="str">
        <f t="shared" si="137"/>
        <v xml:space="preserve">                    </v>
      </c>
      <c r="AI746" s="154">
        <f t="shared" si="138"/>
        <v>0</v>
      </c>
      <c r="AJ746" s="155">
        <f t="shared" si="139"/>
        <v>0</v>
      </c>
      <c r="AP746" s="63" t="str">
        <f t="shared" si="140"/>
        <v/>
      </c>
      <c r="AQ746" s="63" t="str">
        <f t="shared" si="134"/>
        <v xml:space="preserve">                    </v>
      </c>
      <c r="AR746" s="63"/>
      <c r="AS746" s="63"/>
      <c r="AT746" s="63"/>
      <c r="AU746" s="63"/>
      <c r="AV746" s="63"/>
      <c r="AW746" s="63"/>
      <c r="AX746" s="63"/>
      <c r="AY746" s="63"/>
      <c r="AZ746" s="63"/>
      <c r="BA746" s="63"/>
      <c r="BB746" s="63"/>
      <c r="BC746" s="63"/>
      <c r="BD746" s="63"/>
      <c r="BE746" s="63"/>
      <c r="BF746" s="63"/>
      <c r="BG746" s="63"/>
      <c r="BH746" s="63"/>
      <c r="BI746" s="63"/>
      <c r="BJ746" s="63"/>
      <c r="BK746" s="63"/>
      <c r="BL746" s="63"/>
      <c r="BM746" s="63"/>
      <c r="BN746" s="63"/>
      <c r="BO746" s="63"/>
      <c r="BP746" s="63"/>
      <c r="BQ746" s="63"/>
      <c r="BR746" s="63"/>
      <c r="BS746" s="63"/>
      <c r="BT746" s="63"/>
      <c r="BU746" s="63"/>
      <c r="BV746" s="63"/>
      <c r="BW746" s="63"/>
    </row>
    <row r="747" spans="1:75" x14ac:dyDescent="0.2">
      <c r="A747" s="63" t="str">
        <f t="shared" si="141"/>
        <v/>
      </c>
      <c r="B747" s="182"/>
      <c r="C747" s="74"/>
      <c r="D747" s="74"/>
      <c r="E747" s="74"/>
      <c r="F747" s="181"/>
      <c r="G747" s="69"/>
      <c r="AB747" s="150">
        <f t="shared" si="132"/>
        <v>0</v>
      </c>
      <c r="AC747" s="150">
        <f t="shared" si="133"/>
        <v>0</v>
      </c>
      <c r="AD747" s="98" t="str">
        <f t="shared" si="142"/>
        <v>0000000000</v>
      </c>
      <c r="AE747" s="151">
        <f t="shared" si="135"/>
        <v>0</v>
      </c>
      <c r="AF747" s="98" t="str">
        <f t="shared" si="136"/>
        <v>00</v>
      </c>
      <c r="AG747" s="98" t="str">
        <f t="shared" si="143"/>
        <v>000000000000</v>
      </c>
      <c r="AH747" s="161" t="str">
        <f t="shared" si="137"/>
        <v xml:space="preserve">                    </v>
      </c>
      <c r="AI747" s="154">
        <f t="shared" si="138"/>
        <v>0</v>
      </c>
      <c r="AJ747" s="155">
        <f t="shared" si="139"/>
        <v>0</v>
      </c>
      <c r="AP747" s="63" t="str">
        <f t="shared" si="140"/>
        <v/>
      </c>
      <c r="AQ747" s="63" t="str">
        <f t="shared" si="134"/>
        <v xml:space="preserve">                    </v>
      </c>
      <c r="AR747" s="63"/>
      <c r="AS747" s="63"/>
      <c r="AT747" s="63"/>
      <c r="AU747" s="63"/>
      <c r="AV747" s="63"/>
      <c r="AW747" s="63"/>
      <c r="AX747" s="63"/>
      <c r="AY747" s="63"/>
      <c r="AZ747" s="63"/>
      <c r="BA747" s="63"/>
      <c r="BB747" s="63"/>
      <c r="BC747" s="63"/>
      <c r="BD747" s="63"/>
      <c r="BE747" s="63"/>
      <c r="BF747" s="63"/>
      <c r="BG747" s="63"/>
      <c r="BH747" s="63"/>
      <c r="BI747" s="63"/>
      <c r="BJ747" s="63"/>
      <c r="BK747" s="63"/>
      <c r="BL747" s="63"/>
      <c r="BM747" s="63"/>
      <c r="BN747" s="63"/>
      <c r="BO747" s="63"/>
      <c r="BP747" s="63"/>
      <c r="BQ747" s="63"/>
      <c r="BR747" s="63"/>
      <c r="BS747" s="63"/>
      <c r="BT747" s="63"/>
      <c r="BU747" s="63"/>
      <c r="BV747" s="63"/>
      <c r="BW747" s="63"/>
    </row>
    <row r="748" spans="1:75" x14ac:dyDescent="0.2">
      <c r="A748" s="63" t="str">
        <f t="shared" si="141"/>
        <v/>
      </c>
      <c r="B748" s="182"/>
      <c r="C748" s="74"/>
      <c r="D748" s="74"/>
      <c r="E748" s="74"/>
      <c r="F748" s="181"/>
      <c r="G748" s="69"/>
      <c r="AB748" s="150">
        <f t="shared" si="132"/>
        <v>0</v>
      </c>
      <c r="AC748" s="150">
        <f t="shared" si="133"/>
        <v>0</v>
      </c>
      <c r="AD748" s="98" t="str">
        <f t="shared" si="142"/>
        <v>0000000000</v>
      </c>
      <c r="AE748" s="151">
        <f t="shared" si="135"/>
        <v>0</v>
      </c>
      <c r="AF748" s="98" t="str">
        <f t="shared" si="136"/>
        <v>00</v>
      </c>
      <c r="AG748" s="98" t="str">
        <f t="shared" si="143"/>
        <v>000000000000</v>
      </c>
      <c r="AH748" s="161" t="str">
        <f t="shared" si="137"/>
        <v xml:space="preserve">                    </v>
      </c>
      <c r="AI748" s="154">
        <f t="shared" si="138"/>
        <v>0</v>
      </c>
      <c r="AJ748" s="155">
        <f t="shared" si="139"/>
        <v>0</v>
      </c>
      <c r="AP748" s="63" t="str">
        <f t="shared" si="140"/>
        <v/>
      </c>
      <c r="AQ748" s="63" t="str">
        <f t="shared" si="134"/>
        <v xml:space="preserve">                    </v>
      </c>
      <c r="AR748" s="63"/>
      <c r="AS748" s="63"/>
      <c r="AT748" s="63"/>
      <c r="AU748" s="63"/>
      <c r="AV748" s="63"/>
      <c r="AW748" s="63"/>
      <c r="AX748" s="63"/>
      <c r="AY748" s="63"/>
      <c r="AZ748" s="63"/>
      <c r="BA748" s="63"/>
      <c r="BB748" s="63"/>
      <c r="BC748" s="63"/>
      <c r="BD748" s="63"/>
      <c r="BE748" s="63"/>
      <c r="BF748" s="63"/>
      <c r="BG748" s="63"/>
      <c r="BH748" s="63"/>
      <c r="BI748" s="63"/>
      <c r="BJ748" s="63"/>
      <c r="BK748" s="63"/>
      <c r="BL748" s="63"/>
      <c r="BM748" s="63"/>
      <c r="BN748" s="63"/>
      <c r="BO748" s="63"/>
      <c r="BP748" s="63"/>
      <c r="BQ748" s="63"/>
      <c r="BR748" s="63"/>
      <c r="BS748" s="63"/>
      <c r="BT748" s="63"/>
      <c r="BU748" s="63"/>
      <c r="BV748" s="63"/>
      <c r="BW748" s="63"/>
    </row>
    <row r="749" spans="1:75" x14ac:dyDescent="0.2">
      <c r="A749" s="63" t="str">
        <f t="shared" si="141"/>
        <v/>
      </c>
      <c r="B749" s="182"/>
      <c r="C749" s="74"/>
      <c r="D749" s="74"/>
      <c r="E749" s="74"/>
      <c r="F749" s="181"/>
      <c r="G749" s="69"/>
      <c r="AB749" s="150">
        <f t="shared" si="132"/>
        <v>0</v>
      </c>
      <c r="AC749" s="150">
        <f t="shared" si="133"/>
        <v>0</v>
      </c>
      <c r="AD749" s="98" t="str">
        <f t="shared" si="142"/>
        <v>0000000000</v>
      </c>
      <c r="AE749" s="151">
        <f t="shared" si="135"/>
        <v>0</v>
      </c>
      <c r="AF749" s="98" t="str">
        <f t="shared" si="136"/>
        <v>00</v>
      </c>
      <c r="AG749" s="98" t="str">
        <f t="shared" si="143"/>
        <v>000000000000</v>
      </c>
      <c r="AH749" s="161" t="str">
        <f t="shared" si="137"/>
        <v xml:space="preserve">                    </v>
      </c>
      <c r="AI749" s="154">
        <f t="shared" si="138"/>
        <v>0</v>
      </c>
      <c r="AJ749" s="155">
        <f t="shared" si="139"/>
        <v>0</v>
      </c>
      <c r="AP749" s="63" t="str">
        <f t="shared" si="140"/>
        <v/>
      </c>
      <c r="AQ749" s="63" t="str">
        <f t="shared" si="134"/>
        <v xml:space="preserve">                    </v>
      </c>
      <c r="AR749" s="63"/>
      <c r="AS749" s="63"/>
      <c r="AT749" s="63"/>
      <c r="AU749" s="63"/>
      <c r="AV749" s="63"/>
      <c r="AW749" s="63"/>
      <c r="AX749" s="63"/>
      <c r="AY749" s="63"/>
      <c r="AZ749" s="63"/>
      <c r="BA749" s="63"/>
      <c r="BB749" s="63"/>
      <c r="BC749" s="63"/>
      <c r="BD749" s="63"/>
      <c r="BE749" s="63"/>
      <c r="BF749" s="63"/>
      <c r="BG749" s="63"/>
      <c r="BH749" s="63"/>
      <c r="BI749" s="63"/>
      <c r="BJ749" s="63"/>
      <c r="BK749" s="63"/>
      <c r="BL749" s="63"/>
      <c r="BM749" s="63"/>
      <c r="BN749" s="63"/>
      <c r="BO749" s="63"/>
      <c r="BP749" s="63"/>
      <c r="BQ749" s="63"/>
      <c r="BR749" s="63"/>
      <c r="BS749" s="63"/>
      <c r="BT749" s="63"/>
      <c r="BU749" s="63"/>
      <c r="BV749" s="63"/>
      <c r="BW749" s="63"/>
    </row>
    <row r="750" spans="1:75" x14ac:dyDescent="0.2">
      <c r="A750" s="63" t="str">
        <f t="shared" si="141"/>
        <v/>
      </c>
      <c r="B750" s="182"/>
      <c r="C750" s="74"/>
      <c r="D750" s="74"/>
      <c r="E750" s="74"/>
      <c r="F750" s="181"/>
      <c r="G750" s="69"/>
      <c r="AB750" s="150">
        <f t="shared" si="132"/>
        <v>0</v>
      </c>
      <c r="AC750" s="150">
        <f t="shared" si="133"/>
        <v>0</v>
      </c>
      <c r="AD750" s="98" t="str">
        <f t="shared" si="142"/>
        <v>0000000000</v>
      </c>
      <c r="AE750" s="151">
        <f t="shared" si="135"/>
        <v>0</v>
      </c>
      <c r="AF750" s="98" t="str">
        <f t="shared" si="136"/>
        <v>00</v>
      </c>
      <c r="AG750" s="98" t="str">
        <f t="shared" si="143"/>
        <v>000000000000</v>
      </c>
      <c r="AH750" s="161" t="str">
        <f t="shared" si="137"/>
        <v xml:space="preserve">                    </v>
      </c>
      <c r="AI750" s="154">
        <f t="shared" si="138"/>
        <v>0</v>
      </c>
      <c r="AJ750" s="155">
        <f t="shared" si="139"/>
        <v>0</v>
      </c>
      <c r="AP750" s="63" t="str">
        <f t="shared" si="140"/>
        <v/>
      </c>
      <c r="AQ750" s="63" t="str">
        <f t="shared" si="134"/>
        <v xml:space="preserve">                    </v>
      </c>
      <c r="AR750" s="63"/>
      <c r="AS750" s="63"/>
      <c r="AT750" s="63"/>
      <c r="AU750" s="63"/>
      <c r="AV750" s="63"/>
      <c r="AW750" s="63"/>
      <c r="AX750" s="63"/>
      <c r="AY750" s="63"/>
      <c r="AZ750" s="63"/>
      <c r="BA750" s="63"/>
      <c r="BB750" s="63"/>
      <c r="BC750" s="63"/>
      <c r="BD750" s="63"/>
      <c r="BE750" s="63"/>
      <c r="BF750" s="63"/>
      <c r="BG750" s="63"/>
      <c r="BH750" s="63"/>
      <c r="BI750" s="63"/>
      <c r="BJ750" s="63"/>
      <c r="BK750" s="63"/>
      <c r="BL750" s="63"/>
      <c r="BM750" s="63"/>
      <c r="BN750" s="63"/>
      <c r="BO750" s="63"/>
      <c r="BP750" s="63"/>
      <c r="BQ750" s="63"/>
      <c r="BR750" s="63"/>
      <c r="BS750" s="63"/>
      <c r="BT750" s="63"/>
      <c r="BU750" s="63"/>
      <c r="BV750" s="63"/>
      <c r="BW750" s="63"/>
    </row>
    <row r="751" spans="1:75" x14ac:dyDescent="0.2">
      <c r="A751" s="63" t="str">
        <f t="shared" si="141"/>
        <v/>
      </c>
      <c r="B751" s="182"/>
      <c r="C751" s="74"/>
      <c r="D751" s="74"/>
      <c r="E751" s="74"/>
      <c r="F751" s="181"/>
      <c r="G751" s="69"/>
      <c r="AB751" s="150">
        <f t="shared" si="132"/>
        <v>0</v>
      </c>
      <c r="AC751" s="150">
        <f t="shared" si="133"/>
        <v>0</v>
      </c>
      <c r="AD751" s="98" t="str">
        <f t="shared" si="142"/>
        <v>0000000000</v>
      </c>
      <c r="AE751" s="151">
        <f t="shared" si="135"/>
        <v>0</v>
      </c>
      <c r="AF751" s="98" t="str">
        <f t="shared" si="136"/>
        <v>00</v>
      </c>
      <c r="AG751" s="98" t="str">
        <f t="shared" si="143"/>
        <v>000000000000</v>
      </c>
      <c r="AH751" s="161" t="str">
        <f t="shared" si="137"/>
        <v xml:space="preserve">                    </v>
      </c>
      <c r="AI751" s="154">
        <f t="shared" si="138"/>
        <v>0</v>
      </c>
      <c r="AJ751" s="155">
        <f t="shared" si="139"/>
        <v>0</v>
      </c>
      <c r="AP751" s="63" t="str">
        <f t="shared" si="140"/>
        <v/>
      </c>
      <c r="AQ751" s="63" t="str">
        <f t="shared" si="134"/>
        <v xml:space="preserve">                    </v>
      </c>
      <c r="AR751" s="63"/>
      <c r="AS751" s="63"/>
      <c r="AT751" s="63"/>
      <c r="AU751" s="63"/>
      <c r="AV751" s="63"/>
      <c r="AW751" s="63"/>
      <c r="AX751" s="63"/>
      <c r="AY751" s="63"/>
      <c r="AZ751" s="63"/>
      <c r="BA751" s="63"/>
      <c r="BB751" s="63"/>
      <c r="BC751" s="63"/>
      <c r="BD751" s="63"/>
      <c r="BE751" s="63"/>
      <c r="BF751" s="63"/>
      <c r="BG751" s="63"/>
      <c r="BH751" s="63"/>
      <c r="BI751" s="63"/>
      <c r="BJ751" s="63"/>
      <c r="BK751" s="63"/>
      <c r="BL751" s="63"/>
      <c r="BM751" s="63"/>
      <c r="BN751" s="63"/>
      <c r="BO751" s="63"/>
      <c r="BP751" s="63"/>
      <c r="BQ751" s="63"/>
      <c r="BR751" s="63"/>
      <c r="BS751" s="63"/>
      <c r="BT751" s="63"/>
      <c r="BU751" s="63"/>
      <c r="BV751" s="63"/>
      <c r="BW751" s="63"/>
    </row>
    <row r="752" spans="1:75" x14ac:dyDescent="0.2">
      <c r="A752" s="63" t="str">
        <f t="shared" si="141"/>
        <v/>
      </c>
      <c r="B752" s="182"/>
      <c r="C752" s="74"/>
      <c r="D752" s="74"/>
      <c r="E752" s="74"/>
      <c r="F752" s="181"/>
      <c r="G752" s="69"/>
      <c r="AB752" s="150">
        <f t="shared" si="132"/>
        <v>0</v>
      </c>
      <c r="AC752" s="150">
        <f t="shared" si="133"/>
        <v>0</v>
      </c>
      <c r="AD752" s="98" t="str">
        <f t="shared" si="142"/>
        <v>0000000000</v>
      </c>
      <c r="AE752" s="151">
        <f t="shared" si="135"/>
        <v>0</v>
      </c>
      <c r="AF752" s="98" t="str">
        <f t="shared" si="136"/>
        <v>00</v>
      </c>
      <c r="AG752" s="98" t="str">
        <f t="shared" si="143"/>
        <v>000000000000</v>
      </c>
      <c r="AH752" s="161" t="str">
        <f t="shared" si="137"/>
        <v xml:space="preserve">                    </v>
      </c>
      <c r="AI752" s="154">
        <f t="shared" si="138"/>
        <v>0</v>
      </c>
      <c r="AJ752" s="155">
        <f t="shared" si="139"/>
        <v>0</v>
      </c>
      <c r="AP752" s="63" t="str">
        <f t="shared" si="140"/>
        <v/>
      </c>
      <c r="AQ752" s="63" t="str">
        <f t="shared" si="134"/>
        <v xml:space="preserve">                    </v>
      </c>
      <c r="AR752" s="63"/>
      <c r="AS752" s="63"/>
      <c r="AT752" s="63"/>
      <c r="AU752" s="63"/>
      <c r="AV752" s="63"/>
      <c r="AW752" s="63"/>
      <c r="AX752" s="63"/>
      <c r="AY752" s="63"/>
      <c r="AZ752" s="63"/>
      <c r="BA752" s="63"/>
      <c r="BB752" s="63"/>
      <c r="BC752" s="63"/>
      <c r="BD752" s="63"/>
      <c r="BE752" s="63"/>
      <c r="BF752" s="63"/>
      <c r="BG752" s="63"/>
      <c r="BH752" s="63"/>
      <c r="BI752" s="63"/>
      <c r="BJ752" s="63"/>
      <c r="BK752" s="63"/>
      <c r="BL752" s="63"/>
      <c r="BM752" s="63"/>
      <c r="BN752" s="63"/>
      <c r="BO752" s="63"/>
      <c r="BP752" s="63"/>
      <c r="BQ752" s="63"/>
      <c r="BR752" s="63"/>
      <c r="BS752" s="63"/>
      <c r="BT752" s="63"/>
      <c r="BU752" s="63"/>
      <c r="BV752" s="63"/>
      <c r="BW752" s="63"/>
    </row>
    <row r="753" spans="1:75" x14ac:dyDescent="0.2">
      <c r="A753" s="63" t="str">
        <f t="shared" si="141"/>
        <v/>
      </c>
      <c r="B753" s="182"/>
      <c r="C753" s="74"/>
      <c r="D753" s="74"/>
      <c r="E753" s="74"/>
      <c r="F753" s="181"/>
      <c r="G753" s="69"/>
      <c r="AB753" s="150">
        <f t="shared" si="132"/>
        <v>0</v>
      </c>
      <c r="AC753" s="150">
        <f t="shared" si="133"/>
        <v>0</v>
      </c>
      <c r="AD753" s="98" t="str">
        <f t="shared" si="142"/>
        <v>0000000000</v>
      </c>
      <c r="AE753" s="151">
        <f t="shared" si="135"/>
        <v>0</v>
      </c>
      <c r="AF753" s="98" t="str">
        <f t="shared" si="136"/>
        <v>00</v>
      </c>
      <c r="AG753" s="98" t="str">
        <f t="shared" si="143"/>
        <v>000000000000</v>
      </c>
      <c r="AH753" s="161" t="str">
        <f t="shared" si="137"/>
        <v xml:space="preserve">                    </v>
      </c>
      <c r="AI753" s="154">
        <f t="shared" si="138"/>
        <v>0</v>
      </c>
      <c r="AJ753" s="155">
        <f t="shared" si="139"/>
        <v>0</v>
      </c>
      <c r="AP753" s="63" t="str">
        <f t="shared" si="140"/>
        <v/>
      </c>
      <c r="AQ753" s="63" t="str">
        <f t="shared" si="134"/>
        <v xml:space="preserve">                    </v>
      </c>
      <c r="AR753" s="63"/>
      <c r="AS753" s="63"/>
      <c r="AT753" s="63"/>
      <c r="AU753" s="63"/>
      <c r="AV753" s="63"/>
      <c r="AW753" s="63"/>
      <c r="AX753" s="63"/>
      <c r="AY753" s="63"/>
      <c r="AZ753" s="63"/>
      <c r="BA753" s="63"/>
      <c r="BB753" s="63"/>
      <c r="BC753" s="63"/>
      <c r="BD753" s="63"/>
      <c r="BE753" s="63"/>
      <c r="BF753" s="63"/>
      <c r="BG753" s="63"/>
      <c r="BH753" s="63"/>
      <c r="BI753" s="63"/>
      <c r="BJ753" s="63"/>
      <c r="BK753" s="63"/>
      <c r="BL753" s="63"/>
      <c r="BM753" s="63"/>
      <c r="BN753" s="63"/>
      <c r="BO753" s="63"/>
      <c r="BP753" s="63"/>
      <c r="BQ753" s="63"/>
      <c r="BR753" s="63"/>
      <c r="BS753" s="63"/>
      <c r="BT753" s="63"/>
      <c r="BU753" s="63"/>
      <c r="BV753" s="63"/>
      <c r="BW753" s="63"/>
    </row>
    <row r="754" spans="1:75" x14ac:dyDescent="0.2">
      <c r="A754" s="63" t="str">
        <f t="shared" si="141"/>
        <v/>
      </c>
      <c r="B754" s="182"/>
      <c r="C754" s="74"/>
      <c r="D754" s="74"/>
      <c r="E754" s="74"/>
      <c r="F754" s="181"/>
      <c r="G754" s="69"/>
      <c r="AB754" s="150">
        <f t="shared" si="132"/>
        <v>0</v>
      </c>
      <c r="AC754" s="150">
        <f t="shared" si="133"/>
        <v>0</v>
      </c>
      <c r="AD754" s="98" t="str">
        <f t="shared" si="142"/>
        <v>0000000000</v>
      </c>
      <c r="AE754" s="151">
        <f t="shared" si="135"/>
        <v>0</v>
      </c>
      <c r="AF754" s="98" t="str">
        <f t="shared" si="136"/>
        <v>00</v>
      </c>
      <c r="AG754" s="98" t="str">
        <f t="shared" si="143"/>
        <v>000000000000</v>
      </c>
      <c r="AH754" s="161" t="str">
        <f t="shared" si="137"/>
        <v xml:space="preserve">                    </v>
      </c>
      <c r="AI754" s="154">
        <f t="shared" si="138"/>
        <v>0</v>
      </c>
      <c r="AJ754" s="155">
        <f t="shared" si="139"/>
        <v>0</v>
      </c>
      <c r="AP754" s="63" t="str">
        <f t="shared" si="140"/>
        <v/>
      </c>
      <c r="AQ754" s="63" t="str">
        <f t="shared" si="134"/>
        <v xml:space="preserve">                    </v>
      </c>
      <c r="AR754" s="63"/>
      <c r="AS754" s="63"/>
      <c r="AT754" s="63"/>
      <c r="AU754" s="63"/>
      <c r="AV754" s="63"/>
      <c r="AW754" s="63"/>
      <c r="AX754" s="63"/>
      <c r="AY754" s="63"/>
      <c r="AZ754" s="63"/>
      <c r="BA754" s="63"/>
      <c r="BB754" s="63"/>
      <c r="BC754" s="63"/>
      <c r="BD754" s="63"/>
      <c r="BE754" s="63"/>
      <c r="BF754" s="63"/>
      <c r="BG754" s="63"/>
      <c r="BH754" s="63"/>
      <c r="BI754" s="63"/>
      <c r="BJ754" s="63"/>
      <c r="BK754" s="63"/>
      <c r="BL754" s="63"/>
      <c r="BM754" s="63"/>
      <c r="BN754" s="63"/>
      <c r="BO754" s="63"/>
      <c r="BP754" s="63"/>
      <c r="BQ754" s="63"/>
      <c r="BR754" s="63"/>
      <c r="BS754" s="63"/>
      <c r="BT754" s="63"/>
      <c r="BU754" s="63"/>
      <c r="BV754" s="63"/>
      <c r="BW754" s="63"/>
    </row>
    <row r="755" spans="1:75" x14ac:dyDescent="0.2">
      <c r="A755" s="63" t="str">
        <f t="shared" si="141"/>
        <v/>
      </c>
      <c r="B755" s="182"/>
      <c r="C755" s="74"/>
      <c r="D755" s="74"/>
      <c r="E755" s="74"/>
      <c r="F755" s="181"/>
      <c r="G755" s="69"/>
      <c r="AB755" s="150">
        <f t="shared" si="132"/>
        <v>0</v>
      </c>
      <c r="AC755" s="150">
        <f t="shared" si="133"/>
        <v>0</v>
      </c>
      <c r="AD755" s="98" t="str">
        <f t="shared" si="142"/>
        <v>0000000000</v>
      </c>
      <c r="AE755" s="151">
        <f t="shared" si="135"/>
        <v>0</v>
      </c>
      <c r="AF755" s="98" t="str">
        <f t="shared" si="136"/>
        <v>00</v>
      </c>
      <c r="AG755" s="98" t="str">
        <f t="shared" si="143"/>
        <v>000000000000</v>
      </c>
      <c r="AH755" s="161" t="str">
        <f t="shared" si="137"/>
        <v xml:space="preserve">                    </v>
      </c>
      <c r="AI755" s="154">
        <f t="shared" si="138"/>
        <v>0</v>
      </c>
      <c r="AJ755" s="155">
        <f t="shared" si="139"/>
        <v>0</v>
      </c>
      <c r="AP755" s="63" t="str">
        <f t="shared" si="140"/>
        <v/>
      </c>
      <c r="AQ755" s="63" t="str">
        <f t="shared" si="134"/>
        <v xml:space="preserve">                    </v>
      </c>
      <c r="AR755" s="63"/>
      <c r="AS755" s="63"/>
      <c r="AT755" s="63"/>
      <c r="AU755" s="63"/>
      <c r="AV755" s="63"/>
      <c r="AW755" s="63"/>
      <c r="AX755" s="63"/>
      <c r="AY755" s="63"/>
      <c r="AZ755" s="63"/>
      <c r="BA755" s="63"/>
      <c r="BB755" s="63"/>
      <c r="BC755" s="63"/>
      <c r="BD755" s="63"/>
      <c r="BE755" s="63"/>
      <c r="BF755" s="63"/>
      <c r="BG755" s="63"/>
      <c r="BH755" s="63"/>
      <c r="BI755" s="63"/>
      <c r="BJ755" s="63"/>
      <c r="BK755" s="63"/>
      <c r="BL755" s="63"/>
      <c r="BM755" s="63"/>
      <c r="BN755" s="63"/>
      <c r="BO755" s="63"/>
      <c r="BP755" s="63"/>
      <c r="BQ755" s="63"/>
      <c r="BR755" s="63"/>
      <c r="BS755" s="63"/>
      <c r="BT755" s="63"/>
      <c r="BU755" s="63"/>
      <c r="BV755" s="63"/>
      <c r="BW755" s="63"/>
    </row>
    <row r="756" spans="1:75" x14ac:dyDescent="0.2">
      <c r="A756" s="63" t="str">
        <f t="shared" si="141"/>
        <v/>
      </c>
      <c r="B756" s="182"/>
      <c r="C756" s="74"/>
      <c r="D756" s="74"/>
      <c r="E756" s="74"/>
      <c r="F756" s="181"/>
      <c r="G756" s="69"/>
      <c r="AB756" s="150">
        <f t="shared" si="132"/>
        <v>0</v>
      </c>
      <c r="AC756" s="150">
        <f t="shared" si="133"/>
        <v>0</v>
      </c>
      <c r="AD756" s="98" t="str">
        <f t="shared" si="142"/>
        <v>0000000000</v>
      </c>
      <c r="AE756" s="151">
        <f t="shared" si="135"/>
        <v>0</v>
      </c>
      <c r="AF756" s="98" t="str">
        <f t="shared" si="136"/>
        <v>00</v>
      </c>
      <c r="AG756" s="98" t="str">
        <f t="shared" si="143"/>
        <v>000000000000</v>
      </c>
      <c r="AH756" s="161" t="str">
        <f t="shared" si="137"/>
        <v xml:space="preserve">                    </v>
      </c>
      <c r="AI756" s="154">
        <f t="shared" si="138"/>
        <v>0</v>
      </c>
      <c r="AJ756" s="155">
        <f t="shared" si="139"/>
        <v>0</v>
      </c>
      <c r="AP756" s="63" t="str">
        <f t="shared" si="140"/>
        <v/>
      </c>
      <c r="AQ756" s="63" t="str">
        <f t="shared" si="134"/>
        <v xml:space="preserve">                    </v>
      </c>
      <c r="AR756" s="63"/>
      <c r="AS756" s="63"/>
      <c r="AT756" s="63"/>
      <c r="AU756" s="63"/>
      <c r="AV756" s="63"/>
      <c r="AW756" s="63"/>
      <c r="AX756" s="63"/>
      <c r="AY756" s="63"/>
      <c r="AZ756" s="63"/>
      <c r="BA756" s="63"/>
      <c r="BB756" s="63"/>
      <c r="BC756" s="63"/>
      <c r="BD756" s="63"/>
      <c r="BE756" s="63"/>
      <c r="BF756" s="63"/>
      <c r="BG756" s="63"/>
      <c r="BH756" s="63"/>
      <c r="BI756" s="63"/>
      <c r="BJ756" s="63"/>
      <c r="BK756" s="63"/>
      <c r="BL756" s="63"/>
      <c r="BM756" s="63"/>
      <c r="BN756" s="63"/>
      <c r="BO756" s="63"/>
      <c r="BP756" s="63"/>
      <c r="BQ756" s="63"/>
      <c r="BR756" s="63"/>
      <c r="BS756" s="63"/>
      <c r="BT756" s="63"/>
      <c r="BU756" s="63"/>
      <c r="BV756" s="63"/>
      <c r="BW756" s="63"/>
    </row>
    <row r="757" spans="1:75" x14ac:dyDescent="0.2">
      <c r="A757" s="63" t="str">
        <f t="shared" si="141"/>
        <v/>
      </c>
      <c r="B757" s="182"/>
      <c r="C757" s="74"/>
      <c r="D757" s="74"/>
      <c r="E757" s="74"/>
      <c r="F757" s="181"/>
      <c r="G757" s="69"/>
      <c r="AB757" s="150">
        <f t="shared" si="132"/>
        <v>0</v>
      </c>
      <c r="AC757" s="150">
        <f t="shared" si="133"/>
        <v>0</v>
      </c>
      <c r="AD757" s="98" t="str">
        <f t="shared" si="142"/>
        <v>0000000000</v>
      </c>
      <c r="AE757" s="151">
        <f t="shared" si="135"/>
        <v>0</v>
      </c>
      <c r="AF757" s="98" t="str">
        <f t="shared" si="136"/>
        <v>00</v>
      </c>
      <c r="AG757" s="98" t="str">
        <f t="shared" si="143"/>
        <v>000000000000</v>
      </c>
      <c r="AH757" s="161" t="str">
        <f t="shared" si="137"/>
        <v xml:space="preserve">                    </v>
      </c>
      <c r="AI757" s="154">
        <f t="shared" si="138"/>
        <v>0</v>
      </c>
      <c r="AJ757" s="155">
        <f t="shared" si="139"/>
        <v>0</v>
      </c>
      <c r="AP757" s="63" t="str">
        <f t="shared" si="140"/>
        <v/>
      </c>
      <c r="AQ757" s="63" t="str">
        <f t="shared" si="134"/>
        <v xml:space="preserve">                    </v>
      </c>
      <c r="AR757" s="63"/>
      <c r="AS757" s="63"/>
      <c r="AT757" s="63"/>
      <c r="AU757" s="63"/>
      <c r="AV757" s="63"/>
      <c r="AW757" s="63"/>
      <c r="AX757" s="63"/>
      <c r="AY757" s="63"/>
      <c r="AZ757" s="63"/>
      <c r="BA757" s="63"/>
      <c r="BB757" s="63"/>
      <c r="BC757" s="63"/>
      <c r="BD757" s="63"/>
      <c r="BE757" s="63"/>
      <c r="BF757" s="63"/>
      <c r="BG757" s="63"/>
      <c r="BH757" s="63"/>
      <c r="BI757" s="63"/>
      <c r="BJ757" s="63"/>
      <c r="BK757" s="63"/>
      <c r="BL757" s="63"/>
      <c r="BM757" s="63"/>
      <c r="BN757" s="63"/>
      <c r="BO757" s="63"/>
      <c r="BP757" s="63"/>
      <c r="BQ757" s="63"/>
      <c r="BR757" s="63"/>
      <c r="BS757" s="63"/>
      <c r="BT757" s="63"/>
      <c r="BU757" s="63"/>
      <c r="BV757" s="63"/>
      <c r="BW757" s="63"/>
    </row>
    <row r="758" spans="1:75" x14ac:dyDescent="0.2">
      <c r="A758" s="63" t="str">
        <f t="shared" si="141"/>
        <v/>
      </c>
      <c r="B758" s="182"/>
      <c r="C758" s="74"/>
      <c r="D758" s="74"/>
      <c r="E758" s="74"/>
      <c r="F758" s="181"/>
      <c r="G758" s="69"/>
      <c r="AB758" s="150">
        <f t="shared" si="132"/>
        <v>0</v>
      </c>
      <c r="AC758" s="150">
        <f t="shared" si="133"/>
        <v>0</v>
      </c>
      <c r="AD758" s="98" t="str">
        <f t="shared" si="142"/>
        <v>0000000000</v>
      </c>
      <c r="AE758" s="151">
        <f t="shared" si="135"/>
        <v>0</v>
      </c>
      <c r="AF758" s="98" t="str">
        <f t="shared" si="136"/>
        <v>00</v>
      </c>
      <c r="AG758" s="98" t="str">
        <f t="shared" si="143"/>
        <v>000000000000</v>
      </c>
      <c r="AH758" s="161" t="str">
        <f t="shared" si="137"/>
        <v xml:space="preserve">                    </v>
      </c>
      <c r="AI758" s="154">
        <f t="shared" si="138"/>
        <v>0</v>
      </c>
      <c r="AJ758" s="155">
        <f t="shared" si="139"/>
        <v>0</v>
      </c>
      <c r="AP758" s="63" t="str">
        <f t="shared" si="140"/>
        <v/>
      </c>
      <c r="AQ758" s="63" t="str">
        <f t="shared" si="134"/>
        <v xml:space="preserve">                    </v>
      </c>
      <c r="AR758" s="63"/>
      <c r="AS758" s="63"/>
      <c r="AT758" s="63"/>
      <c r="AU758" s="63"/>
      <c r="AV758" s="63"/>
      <c r="AW758" s="63"/>
      <c r="AX758" s="63"/>
      <c r="AY758" s="63"/>
      <c r="AZ758" s="63"/>
      <c r="BA758" s="63"/>
      <c r="BB758" s="63"/>
      <c r="BC758" s="63"/>
      <c r="BD758" s="63"/>
      <c r="BE758" s="63"/>
      <c r="BF758" s="63"/>
      <c r="BG758" s="63"/>
      <c r="BH758" s="63"/>
      <c r="BI758" s="63"/>
      <c r="BJ758" s="63"/>
      <c r="BK758" s="63"/>
      <c r="BL758" s="63"/>
      <c r="BM758" s="63"/>
      <c r="BN758" s="63"/>
      <c r="BO758" s="63"/>
      <c r="BP758" s="63"/>
      <c r="BQ758" s="63"/>
      <c r="BR758" s="63"/>
      <c r="BS758" s="63"/>
      <c r="BT758" s="63"/>
      <c r="BU758" s="63"/>
      <c r="BV758" s="63"/>
      <c r="BW758" s="63"/>
    </row>
    <row r="759" spans="1:75" x14ac:dyDescent="0.2">
      <c r="A759" s="63" t="str">
        <f t="shared" si="141"/>
        <v/>
      </c>
      <c r="B759" s="182"/>
      <c r="C759" s="74"/>
      <c r="D759" s="74"/>
      <c r="E759" s="74"/>
      <c r="F759" s="181"/>
      <c r="G759" s="69"/>
      <c r="AB759" s="150">
        <f t="shared" si="132"/>
        <v>0</v>
      </c>
      <c r="AC759" s="150">
        <f t="shared" si="133"/>
        <v>0</v>
      </c>
      <c r="AD759" s="98" t="str">
        <f t="shared" si="142"/>
        <v>0000000000</v>
      </c>
      <c r="AE759" s="151">
        <f t="shared" si="135"/>
        <v>0</v>
      </c>
      <c r="AF759" s="98" t="str">
        <f t="shared" si="136"/>
        <v>00</v>
      </c>
      <c r="AG759" s="98" t="str">
        <f t="shared" si="143"/>
        <v>000000000000</v>
      </c>
      <c r="AH759" s="161" t="str">
        <f t="shared" si="137"/>
        <v xml:space="preserve">                    </v>
      </c>
      <c r="AI759" s="154">
        <f t="shared" si="138"/>
        <v>0</v>
      </c>
      <c r="AJ759" s="155">
        <f t="shared" si="139"/>
        <v>0</v>
      </c>
      <c r="AP759" s="63" t="str">
        <f t="shared" si="140"/>
        <v/>
      </c>
      <c r="AQ759" s="63" t="str">
        <f t="shared" si="134"/>
        <v xml:space="preserve">                    </v>
      </c>
      <c r="AR759" s="63"/>
      <c r="AS759" s="63"/>
      <c r="AT759" s="63"/>
      <c r="AU759" s="63"/>
      <c r="AV759" s="63"/>
      <c r="AW759" s="63"/>
      <c r="AX759" s="63"/>
      <c r="AY759" s="63"/>
      <c r="AZ759" s="63"/>
      <c r="BA759" s="63"/>
      <c r="BB759" s="63"/>
      <c r="BC759" s="63"/>
      <c r="BD759" s="63"/>
      <c r="BE759" s="63"/>
      <c r="BF759" s="63"/>
      <c r="BG759" s="63"/>
      <c r="BH759" s="63"/>
      <c r="BI759" s="63"/>
      <c r="BJ759" s="63"/>
      <c r="BK759" s="63"/>
      <c r="BL759" s="63"/>
      <c r="BM759" s="63"/>
      <c r="BN759" s="63"/>
      <c r="BO759" s="63"/>
      <c r="BP759" s="63"/>
      <c r="BQ759" s="63"/>
      <c r="BR759" s="63"/>
      <c r="BS759" s="63"/>
      <c r="BT759" s="63"/>
      <c r="BU759" s="63"/>
      <c r="BV759" s="63"/>
      <c r="BW759" s="63"/>
    </row>
    <row r="760" spans="1:75" x14ac:dyDescent="0.2">
      <c r="A760" s="63" t="str">
        <f t="shared" si="141"/>
        <v/>
      </c>
      <c r="B760" s="182"/>
      <c r="C760" s="74"/>
      <c r="D760" s="74"/>
      <c r="E760" s="74"/>
      <c r="F760" s="181"/>
      <c r="G760" s="69"/>
      <c r="AB760" s="150">
        <f t="shared" si="132"/>
        <v>0</v>
      </c>
      <c r="AC760" s="150">
        <f t="shared" si="133"/>
        <v>0</v>
      </c>
      <c r="AD760" s="98" t="str">
        <f t="shared" si="142"/>
        <v>0000000000</v>
      </c>
      <c r="AE760" s="151">
        <f t="shared" si="135"/>
        <v>0</v>
      </c>
      <c r="AF760" s="98" t="str">
        <f t="shared" si="136"/>
        <v>00</v>
      </c>
      <c r="AG760" s="98" t="str">
        <f t="shared" si="143"/>
        <v>000000000000</v>
      </c>
      <c r="AH760" s="161" t="str">
        <f t="shared" si="137"/>
        <v xml:space="preserve">                    </v>
      </c>
      <c r="AI760" s="154">
        <f t="shared" si="138"/>
        <v>0</v>
      </c>
      <c r="AJ760" s="155">
        <f t="shared" si="139"/>
        <v>0</v>
      </c>
      <c r="AP760" s="63" t="str">
        <f t="shared" si="140"/>
        <v/>
      </c>
      <c r="AQ760" s="63" t="str">
        <f t="shared" si="134"/>
        <v xml:space="preserve">                    </v>
      </c>
      <c r="AR760" s="63"/>
      <c r="AS760" s="63"/>
      <c r="AT760" s="63"/>
      <c r="AU760" s="63"/>
      <c r="AV760" s="63"/>
      <c r="AW760" s="63"/>
      <c r="AX760" s="63"/>
      <c r="AY760" s="63"/>
      <c r="AZ760" s="63"/>
      <c r="BA760" s="63"/>
      <c r="BB760" s="63"/>
      <c r="BC760" s="63"/>
      <c r="BD760" s="63"/>
      <c r="BE760" s="63"/>
      <c r="BF760" s="63"/>
      <c r="BG760" s="63"/>
      <c r="BH760" s="63"/>
      <c r="BI760" s="63"/>
      <c r="BJ760" s="63"/>
      <c r="BK760" s="63"/>
      <c r="BL760" s="63"/>
      <c r="BM760" s="63"/>
      <c r="BN760" s="63"/>
      <c r="BO760" s="63"/>
      <c r="BP760" s="63"/>
      <c r="BQ760" s="63"/>
      <c r="BR760" s="63"/>
      <c r="BS760" s="63"/>
      <c r="BT760" s="63"/>
      <c r="BU760" s="63"/>
      <c r="BV760" s="63"/>
      <c r="BW760" s="63"/>
    </row>
    <row r="761" spans="1:75" x14ac:dyDescent="0.2">
      <c r="A761" s="63" t="str">
        <f t="shared" si="141"/>
        <v/>
      </c>
      <c r="B761" s="182"/>
      <c r="C761" s="74"/>
      <c r="D761" s="74"/>
      <c r="E761" s="74"/>
      <c r="F761" s="181"/>
      <c r="G761" s="69"/>
      <c r="AB761" s="150">
        <f t="shared" si="132"/>
        <v>0</v>
      </c>
      <c r="AC761" s="150">
        <f t="shared" si="133"/>
        <v>0</v>
      </c>
      <c r="AD761" s="98" t="str">
        <f t="shared" si="142"/>
        <v>0000000000</v>
      </c>
      <c r="AE761" s="151">
        <f t="shared" si="135"/>
        <v>0</v>
      </c>
      <c r="AF761" s="98" t="str">
        <f t="shared" si="136"/>
        <v>00</v>
      </c>
      <c r="AG761" s="98" t="str">
        <f t="shared" si="143"/>
        <v>000000000000</v>
      </c>
      <c r="AH761" s="161" t="str">
        <f t="shared" si="137"/>
        <v xml:space="preserve">                    </v>
      </c>
      <c r="AI761" s="154">
        <f t="shared" si="138"/>
        <v>0</v>
      </c>
      <c r="AJ761" s="155">
        <f t="shared" si="139"/>
        <v>0</v>
      </c>
      <c r="AP761" s="63" t="str">
        <f t="shared" si="140"/>
        <v/>
      </c>
      <c r="AQ761" s="63" t="str">
        <f t="shared" si="134"/>
        <v xml:space="preserve">                    </v>
      </c>
      <c r="AR761" s="63"/>
      <c r="AS761" s="63"/>
      <c r="AT761" s="63"/>
      <c r="AU761" s="63"/>
      <c r="AV761" s="63"/>
      <c r="AW761" s="63"/>
      <c r="AX761" s="63"/>
      <c r="AY761" s="63"/>
      <c r="AZ761" s="63"/>
      <c r="BA761" s="63"/>
      <c r="BB761" s="63"/>
      <c r="BC761" s="63"/>
      <c r="BD761" s="63"/>
      <c r="BE761" s="63"/>
      <c r="BF761" s="63"/>
      <c r="BG761" s="63"/>
      <c r="BH761" s="63"/>
      <c r="BI761" s="63"/>
      <c r="BJ761" s="63"/>
      <c r="BK761" s="63"/>
      <c r="BL761" s="63"/>
      <c r="BM761" s="63"/>
      <c r="BN761" s="63"/>
      <c r="BO761" s="63"/>
      <c r="BP761" s="63"/>
      <c r="BQ761" s="63"/>
      <c r="BR761" s="63"/>
      <c r="BS761" s="63"/>
      <c r="BT761" s="63"/>
      <c r="BU761" s="63"/>
      <c r="BV761" s="63"/>
      <c r="BW761" s="63"/>
    </row>
    <row r="762" spans="1:75" x14ac:dyDescent="0.2">
      <c r="A762" s="63" t="str">
        <f t="shared" si="141"/>
        <v/>
      </c>
      <c r="B762" s="182"/>
      <c r="C762" s="74"/>
      <c r="D762" s="74"/>
      <c r="E762" s="74"/>
      <c r="F762" s="181"/>
      <c r="G762" s="69"/>
      <c r="AB762" s="150">
        <f t="shared" si="132"/>
        <v>0</v>
      </c>
      <c r="AC762" s="150">
        <f t="shared" si="133"/>
        <v>0</v>
      </c>
      <c r="AD762" s="98" t="str">
        <f t="shared" si="142"/>
        <v>0000000000</v>
      </c>
      <c r="AE762" s="151">
        <f t="shared" si="135"/>
        <v>0</v>
      </c>
      <c r="AF762" s="98" t="str">
        <f t="shared" si="136"/>
        <v>00</v>
      </c>
      <c r="AG762" s="98" t="str">
        <f t="shared" si="143"/>
        <v>000000000000</v>
      </c>
      <c r="AH762" s="161" t="str">
        <f t="shared" si="137"/>
        <v xml:space="preserve">                    </v>
      </c>
      <c r="AI762" s="154">
        <f t="shared" si="138"/>
        <v>0</v>
      </c>
      <c r="AJ762" s="155">
        <f t="shared" si="139"/>
        <v>0</v>
      </c>
      <c r="AP762" s="63" t="str">
        <f t="shared" si="140"/>
        <v/>
      </c>
      <c r="AQ762" s="63" t="str">
        <f t="shared" si="134"/>
        <v xml:space="preserve">                    </v>
      </c>
      <c r="AR762" s="63"/>
      <c r="AS762" s="63"/>
      <c r="AT762" s="63"/>
      <c r="AU762" s="63"/>
      <c r="AV762" s="63"/>
      <c r="AW762" s="63"/>
      <c r="AX762" s="63"/>
      <c r="AY762" s="63"/>
      <c r="AZ762" s="63"/>
      <c r="BA762" s="63"/>
      <c r="BB762" s="63"/>
      <c r="BC762" s="63"/>
      <c r="BD762" s="63"/>
      <c r="BE762" s="63"/>
      <c r="BF762" s="63"/>
      <c r="BG762" s="63"/>
      <c r="BH762" s="63"/>
      <c r="BI762" s="63"/>
      <c r="BJ762" s="63"/>
      <c r="BK762" s="63"/>
      <c r="BL762" s="63"/>
      <c r="BM762" s="63"/>
      <c r="BN762" s="63"/>
      <c r="BO762" s="63"/>
      <c r="BP762" s="63"/>
      <c r="BQ762" s="63"/>
      <c r="BR762" s="63"/>
      <c r="BS762" s="63"/>
      <c r="BT762" s="63"/>
      <c r="BU762" s="63"/>
      <c r="BV762" s="63"/>
      <c r="BW762" s="63"/>
    </row>
    <row r="763" spans="1:75" x14ac:dyDescent="0.2">
      <c r="A763" s="63" t="str">
        <f t="shared" si="141"/>
        <v/>
      </c>
      <c r="B763" s="182"/>
      <c r="C763" s="74"/>
      <c r="D763" s="74"/>
      <c r="E763" s="74"/>
      <c r="F763" s="181"/>
      <c r="G763" s="69"/>
      <c r="AB763" s="150">
        <f t="shared" si="132"/>
        <v>0</v>
      </c>
      <c r="AC763" s="150">
        <f t="shared" si="133"/>
        <v>0</v>
      </c>
      <c r="AD763" s="98" t="str">
        <f t="shared" si="142"/>
        <v>0000000000</v>
      </c>
      <c r="AE763" s="151">
        <f t="shared" si="135"/>
        <v>0</v>
      </c>
      <c r="AF763" s="98" t="str">
        <f t="shared" si="136"/>
        <v>00</v>
      </c>
      <c r="AG763" s="98" t="str">
        <f t="shared" si="143"/>
        <v>000000000000</v>
      </c>
      <c r="AH763" s="161" t="str">
        <f t="shared" si="137"/>
        <v xml:space="preserve">                    </v>
      </c>
      <c r="AI763" s="154">
        <f t="shared" si="138"/>
        <v>0</v>
      </c>
      <c r="AJ763" s="155">
        <f t="shared" si="139"/>
        <v>0</v>
      </c>
      <c r="AP763" s="63" t="str">
        <f t="shared" si="140"/>
        <v/>
      </c>
      <c r="AQ763" s="63" t="str">
        <f t="shared" si="134"/>
        <v xml:space="preserve">                    </v>
      </c>
      <c r="AR763" s="63"/>
      <c r="AS763" s="63"/>
      <c r="AT763" s="63"/>
      <c r="AU763" s="63"/>
      <c r="AV763" s="63"/>
      <c r="AW763" s="63"/>
      <c r="AX763" s="63"/>
      <c r="AY763" s="63"/>
      <c r="AZ763" s="63"/>
      <c r="BA763" s="63"/>
      <c r="BB763" s="63"/>
      <c r="BC763" s="63"/>
      <c r="BD763" s="63"/>
      <c r="BE763" s="63"/>
      <c r="BF763" s="63"/>
      <c r="BG763" s="63"/>
      <c r="BH763" s="63"/>
      <c r="BI763" s="63"/>
      <c r="BJ763" s="63"/>
      <c r="BK763" s="63"/>
      <c r="BL763" s="63"/>
      <c r="BM763" s="63"/>
      <c r="BN763" s="63"/>
      <c r="BO763" s="63"/>
      <c r="BP763" s="63"/>
      <c r="BQ763" s="63"/>
      <c r="BR763" s="63"/>
      <c r="BS763" s="63"/>
      <c r="BT763" s="63"/>
      <c r="BU763" s="63"/>
      <c r="BV763" s="63"/>
      <c r="BW763" s="63"/>
    </row>
    <row r="764" spans="1:75" x14ac:dyDescent="0.2">
      <c r="A764" s="63" t="str">
        <f t="shared" si="141"/>
        <v/>
      </c>
      <c r="B764" s="182"/>
      <c r="C764" s="74"/>
      <c r="D764" s="74"/>
      <c r="E764" s="74"/>
      <c r="F764" s="181"/>
      <c r="G764" s="69"/>
      <c r="AB764" s="150">
        <f t="shared" si="132"/>
        <v>0</v>
      </c>
      <c r="AC764" s="150">
        <f t="shared" si="133"/>
        <v>0</v>
      </c>
      <c r="AD764" s="98" t="str">
        <f t="shared" si="142"/>
        <v>0000000000</v>
      </c>
      <c r="AE764" s="151">
        <f t="shared" si="135"/>
        <v>0</v>
      </c>
      <c r="AF764" s="98" t="str">
        <f t="shared" si="136"/>
        <v>00</v>
      </c>
      <c r="AG764" s="98" t="str">
        <f t="shared" si="143"/>
        <v>000000000000</v>
      </c>
      <c r="AH764" s="161" t="str">
        <f t="shared" si="137"/>
        <v xml:space="preserve">                    </v>
      </c>
      <c r="AI764" s="154">
        <f t="shared" si="138"/>
        <v>0</v>
      </c>
      <c r="AJ764" s="155">
        <f t="shared" si="139"/>
        <v>0</v>
      </c>
      <c r="AP764" s="63" t="str">
        <f t="shared" si="140"/>
        <v/>
      </c>
      <c r="AQ764" s="63" t="str">
        <f t="shared" si="134"/>
        <v xml:space="preserve">                    </v>
      </c>
      <c r="AR764" s="63"/>
      <c r="AS764" s="63"/>
      <c r="AT764" s="63"/>
      <c r="AU764" s="63"/>
      <c r="AV764" s="63"/>
      <c r="AW764" s="63"/>
      <c r="AX764" s="63"/>
      <c r="AY764" s="63"/>
      <c r="AZ764" s="63"/>
      <c r="BA764" s="63"/>
      <c r="BB764" s="63"/>
      <c r="BC764" s="63"/>
      <c r="BD764" s="63"/>
      <c r="BE764" s="63"/>
      <c r="BF764" s="63"/>
      <c r="BG764" s="63"/>
      <c r="BH764" s="63"/>
      <c r="BI764" s="63"/>
      <c r="BJ764" s="63"/>
      <c r="BK764" s="63"/>
      <c r="BL764" s="63"/>
      <c r="BM764" s="63"/>
      <c r="BN764" s="63"/>
      <c r="BO764" s="63"/>
      <c r="BP764" s="63"/>
      <c r="BQ764" s="63"/>
      <c r="BR764" s="63"/>
      <c r="BS764" s="63"/>
      <c r="BT764" s="63"/>
      <c r="BU764" s="63"/>
      <c r="BV764" s="63"/>
      <c r="BW764" s="63"/>
    </row>
    <row r="765" spans="1:75" x14ac:dyDescent="0.2">
      <c r="A765" s="63" t="str">
        <f t="shared" si="141"/>
        <v/>
      </c>
      <c r="B765" s="182"/>
      <c r="C765" s="74"/>
      <c r="D765" s="74"/>
      <c r="E765" s="74"/>
      <c r="F765" s="181"/>
      <c r="G765" s="69"/>
      <c r="AB765" s="150">
        <f t="shared" si="132"/>
        <v>0</v>
      </c>
      <c r="AC765" s="150">
        <f t="shared" si="133"/>
        <v>0</v>
      </c>
      <c r="AD765" s="98" t="str">
        <f t="shared" si="142"/>
        <v>0000000000</v>
      </c>
      <c r="AE765" s="151">
        <f t="shared" si="135"/>
        <v>0</v>
      </c>
      <c r="AF765" s="98" t="str">
        <f t="shared" si="136"/>
        <v>00</v>
      </c>
      <c r="AG765" s="98" t="str">
        <f t="shared" si="143"/>
        <v>000000000000</v>
      </c>
      <c r="AH765" s="161" t="str">
        <f t="shared" si="137"/>
        <v xml:space="preserve">                    </v>
      </c>
      <c r="AI765" s="154">
        <f t="shared" si="138"/>
        <v>0</v>
      </c>
      <c r="AJ765" s="155">
        <f t="shared" si="139"/>
        <v>0</v>
      </c>
      <c r="AP765" s="63" t="str">
        <f t="shared" si="140"/>
        <v/>
      </c>
      <c r="AQ765" s="63" t="str">
        <f t="shared" si="134"/>
        <v xml:space="preserve">                    </v>
      </c>
      <c r="AR765" s="63"/>
      <c r="AS765" s="63"/>
      <c r="AT765" s="63"/>
      <c r="AU765" s="63"/>
      <c r="AV765" s="63"/>
      <c r="AW765" s="63"/>
      <c r="AX765" s="63"/>
      <c r="AY765" s="63"/>
      <c r="AZ765" s="63"/>
      <c r="BA765" s="63"/>
      <c r="BB765" s="63"/>
      <c r="BC765" s="63"/>
      <c r="BD765" s="63"/>
      <c r="BE765" s="63"/>
      <c r="BF765" s="63"/>
      <c r="BG765" s="63"/>
      <c r="BH765" s="63"/>
      <c r="BI765" s="63"/>
      <c r="BJ765" s="63"/>
      <c r="BK765" s="63"/>
      <c r="BL765" s="63"/>
      <c r="BM765" s="63"/>
      <c r="BN765" s="63"/>
      <c r="BO765" s="63"/>
      <c r="BP765" s="63"/>
      <c r="BQ765" s="63"/>
      <c r="BR765" s="63"/>
      <c r="BS765" s="63"/>
      <c r="BT765" s="63"/>
      <c r="BU765" s="63"/>
      <c r="BV765" s="63"/>
      <c r="BW765" s="63"/>
    </row>
    <row r="766" spans="1:75" x14ac:dyDescent="0.2">
      <c r="A766" s="63" t="str">
        <f t="shared" si="141"/>
        <v/>
      </c>
      <c r="B766" s="182"/>
      <c r="C766" s="74"/>
      <c r="D766" s="74"/>
      <c r="E766" s="74"/>
      <c r="F766" s="181"/>
      <c r="G766" s="69"/>
      <c r="AB766" s="150">
        <f t="shared" si="132"/>
        <v>0</v>
      </c>
      <c r="AC766" s="150">
        <f t="shared" si="133"/>
        <v>0</v>
      </c>
      <c r="AD766" s="98" t="str">
        <f t="shared" si="142"/>
        <v>0000000000</v>
      </c>
      <c r="AE766" s="151">
        <f t="shared" si="135"/>
        <v>0</v>
      </c>
      <c r="AF766" s="98" t="str">
        <f t="shared" si="136"/>
        <v>00</v>
      </c>
      <c r="AG766" s="98" t="str">
        <f t="shared" si="143"/>
        <v>000000000000</v>
      </c>
      <c r="AH766" s="161" t="str">
        <f t="shared" si="137"/>
        <v xml:space="preserve">                    </v>
      </c>
      <c r="AI766" s="154">
        <f t="shared" si="138"/>
        <v>0</v>
      </c>
      <c r="AJ766" s="155">
        <f t="shared" si="139"/>
        <v>0</v>
      </c>
      <c r="AP766" s="63" t="str">
        <f t="shared" si="140"/>
        <v/>
      </c>
      <c r="AQ766" s="63" t="str">
        <f t="shared" si="134"/>
        <v xml:space="preserve">                    </v>
      </c>
      <c r="AR766" s="63"/>
      <c r="AS766" s="63"/>
      <c r="AT766" s="63"/>
      <c r="AU766" s="63"/>
      <c r="AV766" s="63"/>
      <c r="AW766" s="63"/>
      <c r="AX766" s="63"/>
      <c r="AY766" s="63"/>
      <c r="AZ766" s="63"/>
      <c r="BA766" s="63"/>
      <c r="BB766" s="63"/>
      <c r="BC766" s="63"/>
      <c r="BD766" s="63"/>
      <c r="BE766" s="63"/>
      <c r="BF766" s="63"/>
      <c r="BG766" s="63"/>
      <c r="BH766" s="63"/>
      <c r="BI766" s="63"/>
      <c r="BJ766" s="63"/>
      <c r="BK766" s="63"/>
      <c r="BL766" s="63"/>
      <c r="BM766" s="63"/>
      <c r="BN766" s="63"/>
      <c r="BO766" s="63"/>
      <c r="BP766" s="63"/>
      <c r="BQ766" s="63"/>
      <c r="BR766" s="63"/>
      <c r="BS766" s="63"/>
      <c r="BT766" s="63"/>
      <c r="BU766" s="63"/>
      <c r="BV766" s="63"/>
      <c r="BW766" s="63"/>
    </row>
    <row r="767" spans="1:75" x14ac:dyDescent="0.2">
      <c r="A767" s="63" t="str">
        <f t="shared" si="141"/>
        <v/>
      </c>
      <c r="B767" s="182"/>
      <c r="C767" s="74"/>
      <c r="D767" s="74"/>
      <c r="E767" s="74"/>
      <c r="F767" s="181"/>
      <c r="G767" s="69"/>
      <c r="AB767" s="150">
        <f t="shared" si="132"/>
        <v>0</v>
      </c>
      <c r="AC767" s="150">
        <f t="shared" si="133"/>
        <v>0</v>
      </c>
      <c r="AD767" s="98" t="str">
        <f t="shared" si="142"/>
        <v>0000000000</v>
      </c>
      <c r="AE767" s="151">
        <f t="shared" si="135"/>
        <v>0</v>
      </c>
      <c r="AF767" s="98" t="str">
        <f t="shared" si="136"/>
        <v>00</v>
      </c>
      <c r="AG767" s="98" t="str">
        <f t="shared" si="143"/>
        <v>000000000000</v>
      </c>
      <c r="AH767" s="161" t="str">
        <f t="shared" si="137"/>
        <v xml:space="preserve">                    </v>
      </c>
      <c r="AI767" s="154">
        <f t="shared" si="138"/>
        <v>0</v>
      </c>
      <c r="AJ767" s="155">
        <f t="shared" si="139"/>
        <v>0</v>
      </c>
      <c r="AP767" s="63" t="str">
        <f t="shared" si="140"/>
        <v/>
      </c>
      <c r="AQ767" s="63" t="str">
        <f t="shared" si="134"/>
        <v xml:space="preserve">                    </v>
      </c>
      <c r="AR767" s="63"/>
      <c r="AS767" s="63"/>
      <c r="AT767" s="63"/>
      <c r="AU767" s="63"/>
      <c r="AV767" s="63"/>
      <c r="AW767" s="63"/>
      <c r="AX767" s="63"/>
      <c r="AY767" s="63"/>
      <c r="AZ767" s="63"/>
      <c r="BA767" s="63"/>
      <c r="BB767" s="63"/>
      <c r="BC767" s="63"/>
      <c r="BD767" s="63"/>
      <c r="BE767" s="63"/>
      <c r="BF767" s="63"/>
      <c r="BG767" s="63"/>
      <c r="BH767" s="63"/>
      <c r="BI767" s="63"/>
      <c r="BJ767" s="63"/>
      <c r="BK767" s="63"/>
      <c r="BL767" s="63"/>
      <c r="BM767" s="63"/>
      <c r="BN767" s="63"/>
      <c r="BO767" s="63"/>
      <c r="BP767" s="63"/>
      <c r="BQ767" s="63"/>
      <c r="BR767" s="63"/>
      <c r="BS767" s="63"/>
      <c r="BT767" s="63"/>
      <c r="BU767" s="63"/>
      <c r="BV767" s="63"/>
      <c r="BW767" s="63"/>
    </row>
    <row r="768" spans="1:75" x14ac:dyDescent="0.2">
      <c r="A768" s="63" t="str">
        <f t="shared" si="141"/>
        <v/>
      </c>
      <c r="B768" s="182"/>
      <c r="C768" s="74"/>
      <c r="D768" s="74"/>
      <c r="E768" s="74"/>
      <c r="F768" s="181"/>
      <c r="G768" s="69"/>
      <c r="AB768" s="150">
        <f t="shared" si="132"/>
        <v>0</v>
      </c>
      <c r="AC768" s="150">
        <f t="shared" si="133"/>
        <v>0</v>
      </c>
      <c r="AD768" s="98" t="str">
        <f t="shared" si="142"/>
        <v>0000000000</v>
      </c>
      <c r="AE768" s="151">
        <f t="shared" si="135"/>
        <v>0</v>
      </c>
      <c r="AF768" s="98" t="str">
        <f t="shared" si="136"/>
        <v>00</v>
      </c>
      <c r="AG768" s="98" t="str">
        <f t="shared" si="143"/>
        <v>000000000000</v>
      </c>
      <c r="AH768" s="161" t="str">
        <f t="shared" si="137"/>
        <v xml:space="preserve">                    </v>
      </c>
      <c r="AI768" s="154">
        <f t="shared" si="138"/>
        <v>0</v>
      </c>
      <c r="AJ768" s="155">
        <f t="shared" si="139"/>
        <v>0</v>
      </c>
      <c r="AP768" s="63" t="str">
        <f t="shared" si="140"/>
        <v/>
      </c>
      <c r="AQ768" s="63" t="str">
        <f t="shared" si="134"/>
        <v xml:space="preserve">                    </v>
      </c>
      <c r="AR768" s="63"/>
      <c r="AS768" s="63"/>
      <c r="AT768" s="63"/>
      <c r="AU768" s="63"/>
      <c r="AV768" s="63"/>
      <c r="AW768" s="63"/>
      <c r="AX768" s="63"/>
      <c r="AY768" s="63"/>
      <c r="AZ768" s="63"/>
      <c r="BA768" s="63"/>
      <c r="BB768" s="63"/>
      <c r="BC768" s="63"/>
      <c r="BD768" s="63"/>
      <c r="BE768" s="63"/>
      <c r="BF768" s="63"/>
      <c r="BG768" s="63"/>
      <c r="BH768" s="63"/>
      <c r="BI768" s="63"/>
      <c r="BJ768" s="63"/>
      <c r="BK768" s="63"/>
      <c r="BL768" s="63"/>
      <c r="BM768" s="63"/>
      <c r="BN768" s="63"/>
      <c r="BO768" s="63"/>
      <c r="BP768" s="63"/>
      <c r="BQ768" s="63"/>
      <c r="BR768" s="63"/>
      <c r="BS768" s="63"/>
      <c r="BT768" s="63"/>
      <c r="BU768" s="63"/>
      <c r="BV768" s="63"/>
      <c r="BW768" s="63"/>
    </row>
    <row r="769" spans="1:75" x14ac:dyDescent="0.2">
      <c r="A769" s="63" t="str">
        <f t="shared" si="141"/>
        <v/>
      </c>
      <c r="B769" s="182"/>
      <c r="C769" s="74"/>
      <c r="D769" s="74"/>
      <c r="E769" s="74"/>
      <c r="F769" s="181"/>
      <c r="G769" s="69"/>
      <c r="AB769" s="150">
        <f t="shared" si="132"/>
        <v>0</v>
      </c>
      <c r="AC769" s="150">
        <f t="shared" si="133"/>
        <v>0</v>
      </c>
      <c r="AD769" s="98" t="str">
        <f t="shared" si="142"/>
        <v>0000000000</v>
      </c>
      <c r="AE769" s="151">
        <f t="shared" si="135"/>
        <v>0</v>
      </c>
      <c r="AF769" s="98" t="str">
        <f t="shared" si="136"/>
        <v>00</v>
      </c>
      <c r="AG769" s="98" t="str">
        <f t="shared" si="143"/>
        <v>000000000000</v>
      </c>
      <c r="AH769" s="161" t="str">
        <f t="shared" si="137"/>
        <v xml:space="preserve">                    </v>
      </c>
      <c r="AI769" s="154">
        <f t="shared" si="138"/>
        <v>0</v>
      </c>
      <c r="AJ769" s="155">
        <f t="shared" si="139"/>
        <v>0</v>
      </c>
      <c r="AP769" s="63" t="str">
        <f t="shared" si="140"/>
        <v/>
      </c>
      <c r="AQ769" s="63" t="str">
        <f t="shared" si="134"/>
        <v xml:space="preserve">                    </v>
      </c>
      <c r="AR769" s="63"/>
      <c r="AS769" s="63"/>
      <c r="AT769" s="63"/>
      <c r="AU769" s="63"/>
      <c r="AV769" s="63"/>
      <c r="AW769" s="63"/>
      <c r="AX769" s="63"/>
      <c r="AY769" s="63"/>
      <c r="AZ769" s="63"/>
      <c r="BA769" s="63"/>
      <c r="BB769" s="63"/>
      <c r="BC769" s="63"/>
      <c r="BD769" s="63"/>
      <c r="BE769" s="63"/>
      <c r="BF769" s="63"/>
      <c r="BG769" s="63"/>
      <c r="BH769" s="63"/>
      <c r="BI769" s="63"/>
      <c r="BJ769" s="63"/>
      <c r="BK769" s="63"/>
      <c r="BL769" s="63"/>
      <c r="BM769" s="63"/>
      <c r="BN769" s="63"/>
      <c r="BO769" s="63"/>
      <c r="BP769" s="63"/>
      <c r="BQ769" s="63"/>
      <c r="BR769" s="63"/>
      <c r="BS769" s="63"/>
      <c r="BT769" s="63"/>
      <c r="BU769" s="63"/>
      <c r="BV769" s="63"/>
      <c r="BW769" s="63"/>
    </row>
    <row r="770" spans="1:75" x14ac:dyDescent="0.2">
      <c r="A770" s="63" t="str">
        <f t="shared" si="141"/>
        <v/>
      </c>
      <c r="B770" s="182"/>
      <c r="C770" s="74"/>
      <c r="D770" s="74"/>
      <c r="E770" s="74"/>
      <c r="F770" s="181"/>
      <c r="G770" s="69"/>
      <c r="AB770" s="150">
        <f t="shared" si="132"/>
        <v>0</v>
      </c>
      <c r="AC770" s="150">
        <f t="shared" si="133"/>
        <v>0</v>
      </c>
      <c r="AD770" s="98" t="str">
        <f t="shared" si="142"/>
        <v>0000000000</v>
      </c>
      <c r="AE770" s="151">
        <f t="shared" si="135"/>
        <v>0</v>
      </c>
      <c r="AF770" s="98" t="str">
        <f t="shared" si="136"/>
        <v>00</v>
      </c>
      <c r="AG770" s="98" t="str">
        <f t="shared" si="143"/>
        <v>000000000000</v>
      </c>
      <c r="AH770" s="161" t="str">
        <f t="shared" si="137"/>
        <v xml:space="preserve">                    </v>
      </c>
      <c r="AI770" s="154">
        <f t="shared" si="138"/>
        <v>0</v>
      </c>
      <c r="AJ770" s="155">
        <f t="shared" si="139"/>
        <v>0</v>
      </c>
      <c r="AP770" s="63" t="str">
        <f t="shared" si="140"/>
        <v/>
      </c>
      <c r="AQ770" s="63" t="str">
        <f t="shared" si="134"/>
        <v xml:space="preserve">                    </v>
      </c>
      <c r="AR770" s="63"/>
      <c r="AS770" s="63"/>
      <c r="AT770" s="63"/>
      <c r="AU770" s="63"/>
      <c r="AV770" s="63"/>
      <c r="AW770" s="63"/>
      <c r="AX770" s="63"/>
      <c r="AY770" s="63"/>
      <c r="AZ770" s="63"/>
      <c r="BA770" s="63"/>
      <c r="BB770" s="63"/>
      <c r="BC770" s="63"/>
      <c r="BD770" s="63"/>
      <c r="BE770" s="63"/>
      <c r="BF770" s="63"/>
      <c r="BG770" s="63"/>
      <c r="BH770" s="63"/>
      <c r="BI770" s="63"/>
      <c r="BJ770" s="63"/>
      <c r="BK770" s="63"/>
      <c r="BL770" s="63"/>
      <c r="BM770" s="63"/>
      <c r="BN770" s="63"/>
      <c r="BO770" s="63"/>
      <c r="BP770" s="63"/>
      <c r="BQ770" s="63"/>
      <c r="BR770" s="63"/>
      <c r="BS770" s="63"/>
      <c r="BT770" s="63"/>
      <c r="BU770" s="63"/>
      <c r="BV770" s="63"/>
      <c r="BW770" s="63"/>
    </row>
    <row r="771" spans="1:75" x14ac:dyDescent="0.2">
      <c r="A771" s="63" t="str">
        <f t="shared" si="141"/>
        <v/>
      </c>
      <c r="B771" s="182"/>
      <c r="C771" s="74"/>
      <c r="D771" s="74"/>
      <c r="E771" s="74"/>
      <c r="F771" s="181"/>
      <c r="G771" s="69"/>
      <c r="AB771" s="150">
        <f t="shared" ref="AB771:AB834" si="144">INT(F771)</f>
        <v>0</v>
      </c>
      <c r="AC771" s="150">
        <f t="shared" ref="AC771:AC834" si="145">F771-AB771</f>
        <v>0</v>
      </c>
      <c r="AD771" s="98" t="str">
        <f t="shared" si="142"/>
        <v>0000000000</v>
      </c>
      <c r="AE771" s="151">
        <f t="shared" si="135"/>
        <v>0</v>
      </c>
      <c r="AF771" s="98" t="str">
        <f t="shared" si="136"/>
        <v>00</v>
      </c>
      <c r="AG771" s="98" t="str">
        <f t="shared" si="143"/>
        <v>000000000000</v>
      </c>
      <c r="AH771" s="161" t="str">
        <f t="shared" si="137"/>
        <v xml:space="preserve">                    </v>
      </c>
      <c r="AI771" s="154">
        <f t="shared" si="138"/>
        <v>0</v>
      </c>
      <c r="AJ771" s="155">
        <f t="shared" si="139"/>
        <v>0</v>
      </c>
      <c r="AP771" s="63" t="str">
        <f t="shared" si="140"/>
        <v/>
      </c>
      <c r="AQ771" s="63" t="str">
        <f t="shared" ref="AQ771:AQ834" si="146">CONCATENATE(D771,REPT(" ",20-LEN(D771)))</f>
        <v xml:space="preserve">                    </v>
      </c>
      <c r="AR771" s="63"/>
      <c r="AS771" s="63"/>
      <c r="AT771" s="63"/>
      <c r="AU771" s="63"/>
      <c r="AV771" s="63"/>
      <c r="AW771" s="63"/>
      <c r="AX771" s="63"/>
      <c r="AY771" s="63"/>
      <c r="AZ771" s="63"/>
      <c r="BA771" s="63"/>
      <c r="BB771" s="63"/>
      <c r="BC771" s="63"/>
      <c r="BD771" s="63"/>
      <c r="BE771" s="63"/>
      <c r="BF771" s="63"/>
      <c r="BG771" s="63"/>
      <c r="BH771" s="63"/>
      <c r="BI771" s="63"/>
      <c r="BJ771" s="63"/>
      <c r="BK771" s="63"/>
      <c r="BL771" s="63"/>
      <c r="BM771" s="63"/>
      <c r="BN771" s="63"/>
      <c r="BO771" s="63"/>
      <c r="BP771" s="63"/>
      <c r="BQ771" s="63"/>
      <c r="BR771" s="63"/>
      <c r="BS771" s="63"/>
      <c r="BT771" s="63"/>
      <c r="BU771" s="63"/>
      <c r="BV771" s="63"/>
      <c r="BW771" s="63"/>
    </row>
    <row r="772" spans="1:75" x14ac:dyDescent="0.2">
      <c r="A772" s="63" t="str">
        <f t="shared" si="141"/>
        <v/>
      </c>
      <c r="B772" s="182"/>
      <c r="C772" s="74"/>
      <c r="D772" s="74"/>
      <c r="E772" s="74"/>
      <c r="F772" s="181"/>
      <c r="G772" s="69"/>
      <c r="AB772" s="150">
        <f t="shared" si="144"/>
        <v>0</v>
      </c>
      <c r="AC772" s="150">
        <f t="shared" si="145"/>
        <v>0</v>
      </c>
      <c r="AD772" s="98" t="str">
        <f t="shared" si="142"/>
        <v>0000000000</v>
      </c>
      <c r="AE772" s="151">
        <f t="shared" ref="AE772:AE835" si="147">AC772*100</f>
        <v>0</v>
      </c>
      <c r="AF772" s="98" t="str">
        <f t="shared" ref="AF772:AF835" si="148">TEXT(AE772,"00")</f>
        <v>00</v>
      </c>
      <c r="AG772" s="98" t="str">
        <f t="shared" si="143"/>
        <v>000000000000</v>
      </c>
      <c r="AH772" s="161" t="str">
        <f t="shared" ref="AH772:AH835" si="149">CONCATENATE(C772,REPT(" ",20-LEN(C772)))</f>
        <v xml:space="preserve">                    </v>
      </c>
      <c r="AI772" s="154">
        <f t="shared" ref="AI772:AI835" si="150">IF(E772&lt;&gt;"",IF(E772=$E$3,0,1),0)</f>
        <v>0</v>
      </c>
      <c r="AJ772" s="155">
        <f t="shared" ref="AJ772:AJ835" si="151">IF(AI772=1,IF($E$3=1,F772*$H$14,F772/$H$14),F772)</f>
        <v>0</v>
      </c>
      <c r="AP772" s="63" t="str">
        <f t="shared" ref="AP772:AP835" si="152">IF(B773&lt;&gt;"",CONCATENATE("000",B773,"0",E773,"2","    00000000",AG773,"            ",AQ773,AH773,"                                                                                               "),"")</f>
        <v/>
      </c>
      <c r="AQ772" s="63" t="str">
        <f t="shared" si="146"/>
        <v xml:space="preserve">                    </v>
      </c>
      <c r="AR772" s="63"/>
      <c r="AS772" s="63"/>
      <c r="AT772" s="63"/>
      <c r="AU772" s="63"/>
      <c r="AV772" s="63"/>
      <c r="AW772" s="63"/>
      <c r="AX772" s="63"/>
      <c r="AY772" s="63"/>
      <c r="AZ772" s="63"/>
      <c r="BA772" s="63"/>
      <c r="BB772" s="63"/>
      <c r="BC772" s="63"/>
      <c r="BD772" s="63"/>
      <c r="BE772" s="63"/>
      <c r="BF772" s="63"/>
      <c r="BG772" s="63"/>
      <c r="BH772" s="63"/>
      <c r="BI772" s="63"/>
      <c r="BJ772" s="63"/>
      <c r="BK772" s="63"/>
      <c r="BL772" s="63"/>
      <c r="BM772" s="63"/>
      <c r="BN772" s="63"/>
      <c r="BO772" s="63"/>
      <c r="BP772" s="63"/>
      <c r="BQ772" s="63"/>
      <c r="BR772" s="63"/>
      <c r="BS772" s="63"/>
      <c r="BT772" s="63"/>
      <c r="BU772" s="63"/>
      <c r="BV772" s="63"/>
      <c r="BW772" s="63"/>
    </row>
    <row r="773" spans="1:75" x14ac:dyDescent="0.2">
      <c r="A773" s="63" t="str">
        <f t="shared" si="141"/>
        <v/>
      </c>
      <c r="B773" s="182"/>
      <c r="C773" s="74"/>
      <c r="D773" s="74"/>
      <c r="E773" s="74"/>
      <c r="F773" s="181"/>
      <c r="G773" s="69"/>
      <c r="AB773" s="150">
        <f t="shared" si="144"/>
        <v>0</v>
      </c>
      <c r="AC773" s="150">
        <f t="shared" si="145"/>
        <v>0</v>
      </c>
      <c r="AD773" s="98" t="str">
        <f t="shared" si="142"/>
        <v>0000000000</v>
      </c>
      <c r="AE773" s="151">
        <f t="shared" si="147"/>
        <v>0</v>
      </c>
      <c r="AF773" s="98" t="str">
        <f t="shared" si="148"/>
        <v>00</v>
      </c>
      <c r="AG773" s="98" t="str">
        <f t="shared" si="143"/>
        <v>000000000000</v>
      </c>
      <c r="AH773" s="161" t="str">
        <f t="shared" si="149"/>
        <v xml:space="preserve">                    </v>
      </c>
      <c r="AI773" s="154">
        <f t="shared" si="150"/>
        <v>0</v>
      </c>
      <c r="AJ773" s="155">
        <f t="shared" si="151"/>
        <v>0</v>
      </c>
      <c r="AP773" s="63" t="str">
        <f t="shared" si="152"/>
        <v/>
      </c>
      <c r="AQ773" s="63" t="str">
        <f t="shared" si="146"/>
        <v xml:space="preserve">                    </v>
      </c>
      <c r="AR773" s="63"/>
      <c r="AS773" s="63"/>
      <c r="AT773" s="63"/>
      <c r="AU773" s="63"/>
      <c r="AV773" s="63"/>
      <c r="AW773" s="63"/>
      <c r="AX773" s="63"/>
      <c r="AY773" s="63"/>
      <c r="AZ773" s="63"/>
      <c r="BA773" s="63"/>
      <c r="BB773" s="63"/>
      <c r="BC773" s="63"/>
      <c r="BD773" s="63"/>
      <c r="BE773" s="63"/>
      <c r="BF773" s="63"/>
      <c r="BG773" s="63"/>
      <c r="BH773" s="63"/>
      <c r="BI773" s="63"/>
      <c r="BJ773" s="63"/>
      <c r="BK773" s="63"/>
      <c r="BL773" s="63"/>
      <c r="BM773" s="63"/>
      <c r="BN773" s="63"/>
      <c r="BO773" s="63"/>
      <c r="BP773" s="63"/>
      <c r="BQ773" s="63"/>
      <c r="BR773" s="63"/>
      <c r="BS773" s="63"/>
      <c r="BT773" s="63"/>
      <c r="BU773" s="63"/>
      <c r="BV773" s="63"/>
      <c r="BW773" s="63"/>
    </row>
    <row r="774" spans="1:75" x14ac:dyDescent="0.2">
      <c r="A774" s="63" t="str">
        <f t="shared" ref="A774:A837" si="153">IF(B774&lt;&gt;"",A773+1,"")</f>
        <v/>
      </c>
      <c r="B774" s="182"/>
      <c r="C774" s="74"/>
      <c r="D774" s="74"/>
      <c r="E774" s="74"/>
      <c r="F774" s="181"/>
      <c r="G774" s="69"/>
      <c r="AB774" s="150">
        <f t="shared" si="144"/>
        <v>0</v>
      </c>
      <c r="AC774" s="150">
        <f t="shared" si="145"/>
        <v>0</v>
      </c>
      <c r="AD774" s="98" t="str">
        <f t="shared" si="142"/>
        <v>0000000000</v>
      </c>
      <c r="AE774" s="151">
        <f t="shared" si="147"/>
        <v>0</v>
      </c>
      <c r="AF774" s="98" t="str">
        <f t="shared" si="148"/>
        <v>00</v>
      </c>
      <c r="AG774" s="98" t="str">
        <f t="shared" si="143"/>
        <v>000000000000</v>
      </c>
      <c r="AH774" s="161" t="str">
        <f t="shared" si="149"/>
        <v xml:space="preserve">                    </v>
      </c>
      <c r="AI774" s="154">
        <f t="shared" si="150"/>
        <v>0</v>
      </c>
      <c r="AJ774" s="155">
        <f t="shared" si="151"/>
        <v>0</v>
      </c>
      <c r="AP774" s="63" t="str">
        <f t="shared" si="152"/>
        <v/>
      </c>
      <c r="AQ774" s="63" t="str">
        <f t="shared" si="146"/>
        <v xml:space="preserve">                    </v>
      </c>
      <c r="AR774" s="63"/>
      <c r="AS774" s="63"/>
      <c r="AT774" s="63"/>
      <c r="AU774" s="63"/>
      <c r="AV774" s="63"/>
      <c r="AW774" s="63"/>
      <c r="AX774" s="63"/>
      <c r="AY774" s="63"/>
      <c r="AZ774" s="63"/>
      <c r="BA774" s="63"/>
      <c r="BB774" s="63"/>
      <c r="BC774" s="63"/>
      <c r="BD774" s="63"/>
      <c r="BE774" s="63"/>
      <c r="BF774" s="63"/>
      <c r="BG774" s="63"/>
      <c r="BH774" s="63"/>
      <c r="BI774" s="63"/>
      <c r="BJ774" s="63"/>
      <c r="BK774" s="63"/>
      <c r="BL774" s="63"/>
      <c r="BM774" s="63"/>
      <c r="BN774" s="63"/>
      <c r="BO774" s="63"/>
      <c r="BP774" s="63"/>
      <c r="BQ774" s="63"/>
      <c r="BR774" s="63"/>
      <c r="BS774" s="63"/>
      <c r="BT774" s="63"/>
      <c r="BU774" s="63"/>
      <c r="BV774" s="63"/>
      <c r="BW774" s="63"/>
    </row>
    <row r="775" spans="1:75" x14ac:dyDescent="0.2">
      <c r="A775" s="63" t="str">
        <f t="shared" si="153"/>
        <v/>
      </c>
      <c r="B775" s="182"/>
      <c r="C775" s="74"/>
      <c r="D775" s="74"/>
      <c r="E775" s="74"/>
      <c r="F775" s="181"/>
      <c r="G775" s="69"/>
      <c r="AB775" s="150">
        <f t="shared" si="144"/>
        <v>0</v>
      </c>
      <c r="AC775" s="150">
        <f t="shared" si="145"/>
        <v>0</v>
      </c>
      <c r="AD775" s="98" t="str">
        <f t="shared" si="142"/>
        <v>0000000000</v>
      </c>
      <c r="AE775" s="151">
        <f t="shared" si="147"/>
        <v>0</v>
      </c>
      <c r="AF775" s="98" t="str">
        <f t="shared" si="148"/>
        <v>00</v>
      </c>
      <c r="AG775" s="98" t="str">
        <f t="shared" si="143"/>
        <v>000000000000</v>
      </c>
      <c r="AH775" s="161" t="str">
        <f t="shared" si="149"/>
        <v xml:space="preserve">                    </v>
      </c>
      <c r="AI775" s="154">
        <f t="shared" si="150"/>
        <v>0</v>
      </c>
      <c r="AJ775" s="155">
        <f t="shared" si="151"/>
        <v>0</v>
      </c>
      <c r="AP775" s="63" t="str">
        <f t="shared" si="152"/>
        <v/>
      </c>
      <c r="AQ775" s="63" t="str">
        <f t="shared" si="146"/>
        <v xml:space="preserve">                    </v>
      </c>
      <c r="AR775" s="63"/>
      <c r="AS775" s="63"/>
      <c r="AT775" s="63"/>
      <c r="AU775" s="63"/>
      <c r="AV775" s="63"/>
      <c r="AW775" s="63"/>
      <c r="AX775" s="63"/>
      <c r="AY775" s="63"/>
      <c r="AZ775" s="63"/>
      <c r="BA775" s="63"/>
      <c r="BB775" s="63"/>
      <c r="BC775" s="63"/>
      <c r="BD775" s="63"/>
      <c r="BE775" s="63"/>
      <c r="BF775" s="63"/>
      <c r="BG775" s="63"/>
      <c r="BH775" s="63"/>
      <c r="BI775" s="63"/>
      <c r="BJ775" s="63"/>
      <c r="BK775" s="63"/>
      <c r="BL775" s="63"/>
      <c r="BM775" s="63"/>
      <c r="BN775" s="63"/>
      <c r="BO775" s="63"/>
      <c r="BP775" s="63"/>
      <c r="BQ775" s="63"/>
      <c r="BR775" s="63"/>
      <c r="BS775" s="63"/>
      <c r="BT775" s="63"/>
      <c r="BU775" s="63"/>
      <c r="BV775" s="63"/>
      <c r="BW775" s="63"/>
    </row>
    <row r="776" spans="1:75" x14ac:dyDescent="0.2">
      <c r="A776" s="63" t="str">
        <f t="shared" si="153"/>
        <v/>
      </c>
      <c r="B776" s="182"/>
      <c r="C776" s="74"/>
      <c r="D776" s="74"/>
      <c r="E776" s="74"/>
      <c r="F776" s="181"/>
      <c r="G776" s="69"/>
      <c r="AB776" s="150">
        <f t="shared" si="144"/>
        <v>0</v>
      </c>
      <c r="AC776" s="150">
        <f t="shared" si="145"/>
        <v>0</v>
      </c>
      <c r="AD776" s="98" t="str">
        <f t="shared" ref="AD776:AD839" si="154">TEXT(AB776,"0000000000")</f>
        <v>0000000000</v>
      </c>
      <c r="AE776" s="151">
        <f t="shared" si="147"/>
        <v>0</v>
      </c>
      <c r="AF776" s="98" t="str">
        <f t="shared" si="148"/>
        <v>00</v>
      </c>
      <c r="AG776" s="98" t="str">
        <f t="shared" ref="AG776:AG839" si="155">CONCATENATE(AD776,AF776)</f>
        <v>000000000000</v>
      </c>
      <c r="AH776" s="161" t="str">
        <f t="shared" si="149"/>
        <v xml:space="preserve">                    </v>
      </c>
      <c r="AI776" s="154">
        <f t="shared" si="150"/>
        <v>0</v>
      </c>
      <c r="AJ776" s="155">
        <f t="shared" si="151"/>
        <v>0</v>
      </c>
      <c r="AP776" s="63" t="str">
        <f t="shared" si="152"/>
        <v/>
      </c>
      <c r="AQ776" s="63" t="str">
        <f t="shared" si="146"/>
        <v xml:space="preserve">                    </v>
      </c>
      <c r="AR776" s="63"/>
      <c r="AS776" s="63"/>
      <c r="AT776" s="63"/>
      <c r="AU776" s="63"/>
      <c r="AV776" s="63"/>
      <c r="AW776" s="63"/>
      <c r="AX776" s="63"/>
      <c r="AY776" s="63"/>
      <c r="AZ776" s="63"/>
      <c r="BA776" s="63"/>
      <c r="BB776" s="63"/>
      <c r="BC776" s="63"/>
      <c r="BD776" s="63"/>
      <c r="BE776" s="63"/>
      <c r="BF776" s="63"/>
      <c r="BG776" s="63"/>
      <c r="BH776" s="63"/>
      <c r="BI776" s="63"/>
      <c r="BJ776" s="63"/>
      <c r="BK776" s="63"/>
      <c r="BL776" s="63"/>
      <c r="BM776" s="63"/>
      <c r="BN776" s="63"/>
      <c r="BO776" s="63"/>
      <c r="BP776" s="63"/>
      <c r="BQ776" s="63"/>
      <c r="BR776" s="63"/>
      <c r="BS776" s="63"/>
      <c r="BT776" s="63"/>
      <c r="BU776" s="63"/>
      <c r="BV776" s="63"/>
      <c r="BW776" s="63"/>
    </row>
    <row r="777" spans="1:75" x14ac:dyDescent="0.2">
      <c r="A777" s="63" t="str">
        <f t="shared" si="153"/>
        <v/>
      </c>
      <c r="B777" s="182"/>
      <c r="C777" s="74"/>
      <c r="D777" s="74"/>
      <c r="E777" s="74"/>
      <c r="F777" s="181"/>
      <c r="G777" s="69"/>
      <c r="AB777" s="150">
        <f t="shared" si="144"/>
        <v>0</v>
      </c>
      <c r="AC777" s="150">
        <f t="shared" si="145"/>
        <v>0</v>
      </c>
      <c r="AD777" s="98" t="str">
        <f t="shared" si="154"/>
        <v>0000000000</v>
      </c>
      <c r="AE777" s="151">
        <f t="shared" si="147"/>
        <v>0</v>
      </c>
      <c r="AF777" s="98" t="str">
        <f t="shared" si="148"/>
        <v>00</v>
      </c>
      <c r="AG777" s="98" t="str">
        <f t="shared" si="155"/>
        <v>000000000000</v>
      </c>
      <c r="AH777" s="161" t="str">
        <f t="shared" si="149"/>
        <v xml:space="preserve">                    </v>
      </c>
      <c r="AI777" s="154">
        <f t="shared" si="150"/>
        <v>0</v>
      </c>
      <c r="AJ777" s="155">
        <f t="shared" si="151"/>
        <v>0</v>
      </c>
      <c r="AP777" s="63" t="str">
        <f t="shared" si="152"/>
        <v/>
      </c>
      <c r="AQ777" s="63" t="str">
        <f t="shared" si="146"/>
        <v xml:space="preserve">                    </v>
      </c>
      <c r="AR777" s="63"/>
      <c r="AS777" s="63"/>
      <c r="AT777" s="63"/>
      <c r="AU777" s="63"/>
      <c r="AV777" s="63"/>
      <c r="AW777" s="63"/>
      <c r="AX777" s="63"/>
      <c r="AY777" s="63"/>
      <c r="AZ777" s="63"/>
      <c r="BA777" s="63"/>
      <c r="BB777" s="63"/>
      <c r="BC777" s="63"/>
      <c r="BD777" s="63"/>
      <c r="BE777" s="63"/>
      <c r="BF777" s="63"/>
      <c r="BG777" s="63"/>
      <c r="BH777" s="63"/>
      <c r="BI777" s="63"/>
      <c r="BJ777" s="63"/>
      <c r="BK777" s="63"/>
      <c r="BL777" s="63"/>
      <c r="BM777" s="63"/>
      <c r="BN777" s="63"/>
      <c r="BO777" s="63"/>
      <c r="BP777" s="63"/>
      <c r="BQ777" s="63"/>
      <c r="BR777" s="63"/>
      <c r="BS777" s="63"/>
      <c r="BT777" s="63"/>
      <c r="BU777" s="63"/>
      <c r="BV777" s="63"/>
      <c r="BW777" s="63"/>
    </row>
    <row r="778" spans="1:75" x14ac:dyDescent="0.2">
      <c r="A778" s="63" t="str">
        <f t="shared" si="153"/>
        <v/>
      </c>
      <c r="B778" s="182"/>
      <c r="C778" s="74"/>
      <c r="D778" s="74"/>
      <c r="E778" s="74"/>
      <c r="F778" s="181"/>
      <c r="G778" s="69"/>
      <c r="AB778" s="150">
        <f t="shared" si="144"/>
        <v>0</v>
      </c>
      <c r="AC778" s="150">
        <f t="shared" si="145"/>
        <v>0</v>
      </c>
      <c r="AD778" s="98" t="str">
        <f t="shared" si="154"/>
        <v>0000000000</v>
      </c>
      <c r="AE778" s="151">
        <f t="shared" si="147"/>
        <v>0</v>
      </c>
      <c r="AF778" s="98" t="str">
        <f t="shared" si="148"/>
        <v>00</v>
      </c>
      <c r="AG778" s="98" t="str">
        <f t="shared" si="155"/>
        <v>000000000000</v>
      </c>
      <c r="AH778" s="161" t="str">
        <f t="shared" si="149"/>
        <v xml:space="preserve">                    </v>
      </c>
      <c r="AI778" s="154">
        <f t="shared" si="150"/>
        <v>0</v>
      </c>
      <c r="AJ778" s="155">
        <f t="shared" si="151"/>
        <v>0</v>
      </c>
      <c r="AP778" s="63" t="str">
        <f t="shared" si="152"/>
        <v/>
      </c>
      <c r="AQ778" s="63" t="str">
        <f t="shared" si="146"/>
        <v xml:space="preserve">                    </v>
      </c>
      <c r="AR778" s="63"/>
      <c r="AS778" s="63"/>
      <c r="AT778" s="63"/>
      <c r="AU778" s="63"/>
      <c r="AV778" s="63"/>
      <c r="AW778" s="63"/>
      <c r="AX778" s="63"/>
      <c r="AY778" s="63"/>
      <c r="AZ778" s="63"/>
      <c r="BA778" s="63"/>
      <c r="BB778" s="63"/>
      <c r="BC778" s="63"/>
      <c r="BD778" s="63"/>
      <c r="BE778" s="63"/>
      <c r="BF778" s="63"/>
      <c r="BG778" s="63"/>
      <c r="BH778" s="63"/>
      <c r="BI778" s="63"/>
      <c r="BJ778" s="63"/>
      <c r="BK778" s="63"/>
      <c r="BL778" s="63"/>
      <c r="BM778" s="63"/>
      <c r="BN778" s="63"/>
      <c r="BO778" s="63"/>
      <c r="BP778" s="63"/>
      <c r="BQ778" s="63"/>
      <c r="BR778" s="63"/>
      <c r="BS778" s="63"/>
      <c r="BT778" s="63"/>
      <c r="BU778" s="63"/>
      <c r="BV778" s="63"/>
      <c r="BW778" s="63"/>
    </row>
    <row r="779" spans="1:75" x14ac:dyDescent="0.2">
      <c r="A779" s="63" t="str">
        <f t="shared" si="153"/>
        <v/>
      </c>
      <c r="B779" s="182"/>
      <c r="C779" s="74"/>
      <c r="D779" s="74"/>
      <c r="E779" s="74"/>
      <c r="F779" s="181"/>
      <c r="G779" s="69"/>
      <c r="AB779" s="150">
        <f t="shared" si="144"/>
        <v>0</v>
      </c>
      <c r="AC779" s="150">
        <f t="shared" si="145"/>
        <v>0</v>
      </c>
      <c r="AD779" s="98" t="str">
        <f t="shared" si="154"/>
        <v>0000000000</v>
      </c>
      <c r="AE779" s="151">
        <f t="shared" si="147"/>
        <v>0</v>
      </c>
      <c r="AF779" s="98" t="str">
        <f t="shared" si="148"/>
        <v>00</v>
      </c>
      <c r="AG779" s="98" t="str">
        <f t="shared" si="155"/>
        <v>000000000000</v>
      </c>
      <c r="AH779" s="161" t="str">
        <f t="shared" si="149"/>
        <v xml:space="preserve">                    </v>
      </c>
      <c r="AI779" s="154">
        <f t="shared" si="150"/>
        <v>0</v>
      </c>
      <c r="AJ779" s="155">
        <f t="shared" si="151"/>
        <v>0</v>
      </c>
      <c r="AP779" s="63" t="str">
        <f t="shared" si="152"/>
        <v/>
      </c>
      <c r="AQ779" s="63" t="str">
        <f t="shared" si="146"/>
        <v xml:space="preserve">                    </v>
      </c>
      <c r="AR779" s="63"/>
      <c r="AS779" s="63"/>
      <c r="AT779" s="63"/>
      <c r="AU779" s="63"/>
      <c r="AV779" s="63"/>
      <c r="AW779" s="63"/>
      <c r="AX779" s="63"/>
      <c r="AY779" s="63"/>
      <c r="AZ779" s="63"/>
      <c r="BA779" s="63"/>
      <c r="BB779" s="63"/>
      <c r="BC779" s="63"/>
      <c r="BD779" s="63"/>
      <c r="BE779" s="63"/>
      <c r="BF779" s="63"/>
      <c r="BG779" s="63"/>
      <c r="BH779" s="63"/>
      <c r="BI779" s="63"/>
      <c r="BJ779" s="63"/>
      <c r="BK779" s="63"/>
      <c r="BL779" s="63"/>
      <c r="BM779" s="63"/>
      <c r="BN779" s="63"/>
      <c r="BO779" s="63"/>
      <c r="BP779" s="63"/>
      <c r="BQ779" s="63"/>
      <c r="BR779" s="63"/>
      <c r="BS779" s="63"/>
      <c r="BT779" s="63"/>
      <c r="BU779" s="63"/>
      <c r="BV779" s="63"/>
      <c r="BW779" s="63"/>
    </row>
    <row r="780" spans="1:75" x14ac:dyDescent="0.2">
      <c r="A780" s="63" t="str">
        <f t="shared" si="153"/>
        <v/>
      </c>
      <c r="B780" s="182"/>
      <c r="C780" s="74"/>
      <c r="D780" s="74"/>
      <c r="E780" s="74"/>
      <c r="F780" s="181"/>
      <c r="G780" s="69"/>
      <c r="AB780" s="150">
        <f t="shared" si="144"/>
        <v>0</v>
      </c>
      <c r="AC780" s="150">
        <f t="shared" si="145"/>
        <v>0</v>
      </c>
      <c r="AD780" s="98" t="str">
        <f t="shared" si="154"/>
        <v>0000000000</v>
      </c>
      <c r="AE780" s="151">
        <f t="shared" si="147"/>
        <v>0</v>
      </c>
      <c r="AF780" s="98" t="str">
        <f t="shared" si="148"/>
        <v>00</v>
      </c>
      <c r="AG780" s="98" t="str">
        <f t="shared" si="155"/>
        <v>000000000000</v>
      </c>
      <c r="AH780" s="161" t="str">
        <f t="shared" si="149"/>
        <v xml:space="preserve">                    </v>
      </c>
      <c r="AI780" s="154">
        <f t="shared" si="150"/>
        <v>0</v>
      </c>
      <c r="AJ780" s="155">
        <f t="shared" si="151"/>
        <v>0</v>
      </c>
      <c r="AP780" s="63" t="str">
        <f t="shared" si="152"/>
        <v/>
      </c>
      <c r="AQ780" s="63" t="str">
        <f t="shared" si="146"/>
        <v xml:space="preserve">                    </v>
      </c>
      <c r="AR780" s="63"/>
      <c r="AS780" s="63"/>
      <c r="AT780" s="63"/>
      <c r="AU780" s="63"/>
      <c r="AV780" s="63"/>
      <c r="AW780" s="63"/>
      <c r="AX780" s="63"/>
      <c r="AY780" s="63"/>
      <c r="AZ780" s="63"/>
      <c r="BA780" s="63"/>
      <c r="BB780" s="63"/>
      <c r="BC780" s="63"/>
      <c r="BD780" s="63"/>
      <c r="BE780" s="63"/>
      <c r="BF780" s="63"/>
      <c r="BG780" s="63"/>
      <c r="BH780" s="63"/>
      <c r="BI780" s="63"/>
      <c r="BJ780" s="63"/>
      <c r="BK780" s="63"/>
      <c r="BL780" s="63"/>
      <c r="BM780" s="63"/>
      <c r="BN780" s="63"/>
      <c r="BO780" s="63"/>
      <c r="BP780" s="63"/>
      <c r="BQ780" s="63"/>
      <c r="BR780" s="63"/>
      <c r="BS780" s="63"/>
      <c r="BT780" s="63"/>
      <c r="BU780" s="63"/>
      <c r="BV780" s="63"/>
      <c r="BW780" s="63"/>
    </row>
    <row r="781" spans="1:75" x14ac:dyDescent="0.2">
      <c r="A781" s="63" t="str">
        <f t="shared" si="153"/>
        <v/>
      </c>
      <c r="B781" s="182"/>
      <c r="C781" s="74"/>
      <c r="D781" s="74"/>
      <c r="E781" s="74"/>
      <c r="F781" s="181"/>
      <c r="G781" s="69"/>
      <c r="AB781" s="150">
        <f t="shared" si="144"/>
        <v>0</v>
      </c>
      <c r="AC781" s="150">
        <f t="shared" si="145"/>
        <v>0</v>
      </c>
      <c r="AD781" s="98" t="str">
        <f t="shared" si="154"/>
        <v>0000000000</v>
      </c>
      <c r="AE781" s="151">
        <f t="shared" si="147"/>
        <v>0</v>
      </c>
      <c r="AF781" s="98" t="str">
        <f t="shared" si="148"/>
        <v>00</v>
      </c>
      <c r="AG781" s="98" t="str">
        <f t="shared" si="155"/>
        <v>000000000000</v>
      </c>
      <c r="AH781" s="161" t="str">
        <f t="shared" si="149"/>
        <v xml:space="preserve">                    </v>
      </c>
      <c r="AI781" s="154">
        <f t="shared" si="150"/>
        <v>0</v>
      </c>
      <c r="AJ781" s="155">
        <f t="shared" si="151"/>
        <v>0</v>
      </c>
      <c r="AP781" s="63" t="str">
        <f t="shared" si="152"/>
        <v/>
      </c>
      <c r="AQ781" s="63" t="str">
        <f t="shared" si="146"/>
        <v xml:space="preserve">                    </v>
      </c>
      <c r="AR781" s="63"/>
      <c r="AS781" s="63"/>
      <c r="AT781" s="63"/>
      <c r="AU781" s="63"/>
      <c r="AV781" s="63"/>
      <c r="AW781" s="63"/>
      <c r="AX781" s="63"/>
      <c r="AY781" s="63"/>
      <c r="AZ781" s="63"/>
      <c r="BA781" s="63"/>
      <c r="BB781" s="63"/>
      <c r="BC781" s="63"/>
      <c r="BD781" s="63"/>
      <c r="BE781" s="63"/>
      <c r="BF781" s="63"/>
      <c r="BG781" s="63"/>
      <c r="BH781" s="63"/>
      <c r="BI781" s="63"/>
      <c r="BJ781" s="63"/>
      <c r="BK781" s="63"/>
      <c r="BL781" s="63"/>
      <c r="BM781" s="63"/>
      <c r="BN781" s="63"/>
      <c r="BO781" s="63"/>
      <c r="BP781" s="63"/>
      <c r="BQ781" s="63"/>
      <c r="BR781" s="63"/>
      <c r="BS781" s="63"/>
      <c r="BT781" s="63"/>
      <c r="BU781" s="63"/>
      <c r="BV781" s="63"/>
      <c r="BW781" s="63"/>
    </row>
    <row r="782" spans="1:75" x14ac:dyDescent="0.2">
      <c r="A782" s="63" t="str">
        <f t="shared" si="153"/>
        <v/>
      </c>
      <c r="B782" s="182"/>
      <c r="C782" s="74"/>
      <c r="D782" s="74"/>
      <c r="E782" s="74"/>
      <c r="F782" s="181"/>
      <c r="G782" s="69"/>
      <c r="AB782" s="150">
        <f t="shared" si="144"/>
        <v>0</v>
      </c>
      <c r="AC782" s="150">
        <f t="shared" si="145"/>
        <v>0</v>
      </c>
      <c r="AD782" s="98" t="str">
        <f t="shared" si="154"/>
        <v>0000000000</v>
      </c>
      <c r="AE782" s="151">
        <f t="shared" si="147"/>
        <v>0</v>
      </c>
      <c r="AF782" s="98" t="str">
        <f t="shared" si="148"/>
        <v>00</v>
      </c>
      <c r="AG782" s="98" t="str">
        <f t="shared" si="155"/>
        <v>000000000000</v>
      </c>
      <c r="AH782" s="161" t="str">
        <f t="shared" si="149"/>
        <v xml:space="preserve">                    </v>
      </c>
      <c r="AI782" s="154">
        <f t="shared" si="150"/>
        <v>0</v>
      </c>
      <c r="AJ782" s="155">
        <f t="shared" si="151"/>
        <v>0</v>
      </c>
      <c r="AP782" s="63" t="str">
        <f t="shared" si="152"/>
        <v/>
      </c>
      <c r="AQ782" s="63" t="str">
        <f t="shared" si="146"/>
        <v xml:space="preserve">                    </v>
      </c>
      <c r="AR782" s="63"/>
      <c r="AS782" s="63"/>
      <c r="AT782" s="63"/>
      <c r="AU782" s="63"/>
      <c r="AV782" s="63"/>
      <c r="AW782" s="63"/>
      <c r="AX782" s="63"/>
      <c r="AY782" s="63"/>
      <c r="AZ782" s="63"/>
      <c r="BA782" s="63"/>
      <c r="BB782" s="63"/>
      <c r="BC782" s="63"/>
      <c r="BD782" s="63"/>
      <c r="BE782" s="63"/>
      <c r="BF782" s="63"/>
      <c r="BG782" s="63"/>
      <c r="BH782" s="63"/>
      <c r="BI782" s="63"/>
      <c r="BJ782" s="63"/>
      <c r="BK782" s="63"/>
      <c r="BL782" s="63"/>
      <c r="BM782" s="63"/>
      <c r="BN782" s="63"/>
      <c r="BO782" s="63"/>
      <c r="BP782" s="63"/>
      <c r="BQ782" s="63"/>
      <c r="BR782" s="63"/>
      <c r="BS782" s="63"/>
      <c r="BT782" s="63"/>
      <c r="BU782" s="63"/>
      <c r="BV782" s="63"/>
      <c r="BW782" s="63"/>
    </row>
    <row r="783" spans="1:75" x14ac:dyDescent="0.2">
      <c r="A783" s="63" t="str">
        <f t="shared" si="153"/>
        <v/>
      </c>
      <c r="B783" s="182"/>
      <c r="C783" s="74"/>
      <c r="D783" s="74"/>
      <c r="E783" s="74"/>
      <c r="F783" s="181"/>
      <c r="G783" s="69"/>
      <c r="AB783" s="150">
        <f t="shared" si="144"/>
        <v>0</v>
      </c>
      <c r="AC783" s="150">
        <f t="shared" si="145"/>
        <v>0</v>
      </c>
      <c r="AD783" s="98" t="str">
        <f t="shared" si="154"/>
        <v>0000000000</v>
      </c>
      <c r="AE783" s="151">
        <f t="shared" si="147"/>
        <v>0</v>
      </c>
      <c r="AF783" s="98" t="str">
        <f t="shared" si="148"/>
        <v>00</v>
      </c>
      <c r="AG783" s="98" t="str">
        <f t="shared" si="155"/>
        <v>000000000000</v>
      </c>
      <c r="AH783" s="161" t="str">
        <f t="shared" si="149"/>
        <v xml:space="preserve">                    </v>
      </c>
      <c r="AI783" s="154">
        <f t="shared" si="150"/>
        <v>0</v>
      </c>
      <c r="AJ783" s="155">
        <f t="shared" si="151"/>
        <v>0</v>
      </c>
      <c r="AP783" s="63" t="str">
        <f t="shared" si="152"/>
        <v/>
      </c>
      <c r="AQ783" s="63" t="str">
        <f t="shared" si="146"/>
        <v xml:space="preserve">                    </v>
      </c>
      <c r="AR783" s="63"/>
      <c r="AS783" s="63"/>
      <c r="AT783" s="63"/>
      <c r="AU783" s="63"/>
      <c r="AV783" s="63"/>
      <c r="AW783" s="63"/>
      <c r="AX783" s="63"/>
      <c r="AY783" s="63"/>
      <c r="AZ783" s="63"/>
      <c r="BA783" s="63"/>
      <c r="BB783" s="63"/>
      <c r="BC783" s="63"/>
      <c r="BD783" s="63"/>
      <c r="BE783" s="63"/>
      <c r="BF783" s="63"/>
      <c r="BG783" s="63"/>
      <c r="BH783" s="63"/>
      <c r="BI783" s="63"/>
      <c r="BJ783" s="63"/>
      <c r="BK783" s="63"/>
      <c r="BL783" s="63"/>
      <c r="BM783" s="63"/>
      <c r="BN783" s="63"/>
      <c r="BO783" s="63"/>
      <c r="BP783" s="63"/>
      <c r="BQ783" s="63"/>
      <c r="BR783" s="63"/>
      <c r="BS783" s="63"/>
      <c r="BT783" s="63"/>
      <c r="BU783" s="63"/>
      <c r="BV783" s="63"/>
      <c r="BW783" s="63"/>
    </row>
    <row r="784" spans="1:75" x14ac:dyDescent="0.2">
      <c r="A784" s="63" t="str">
        <f t="shared" si="153"/>
        <v/>
      </c>
      <c r="B784" s="182"/>
      <c r="C784" s="74"/>
      <c r="D784" s="74"/>
      <c r="E784" s="74"/>
      <c r="F784" s="181"/>
      <c r="G784" s="69"/>
      <c r="AB784" s="150">
        <f t="shared" si="144"/>
        <v>0</v>
      </c>
      <c r="AC784" s="150">
        <f t="shared" si="145"/>
        <v>0</v>
      </c>
      <c r="AD784" s="98" t="str">
        <f t="shared" si="154"/>
        <v>0000000000</v>
      </c>
      <c r="AE784" s="151">
        <f t="shared" si="147"/>
        <v>0</v>
      </c>
      <c r="AF784" s="98" t="str">
        <f t="shared" si="148"/>
        <v>00</v>
      </c>
      <c r="AG784" s="98" t="str">
        <f t="shared" si="155"/>
        <v>000000000000</v>
      </c>
      <c r="AH784" s="161" t="str">
        <f t="shared" si="149"/>
        <v xml:space="preserve">                    </v>
      </c>
      <c r="AI784" s="154">
        <f t="shared" si="150"/>
        <v>0</v>
      </c>
      <c r="AJ784" s="155">
        <f t="shared" si="151"/>
        <v>0</v>
      </c>
      <c r="AP784" s="63" t="str">
        <f t="shared" si="152"/>
        <v/>
      </c>
      <c r="AQ784" s="63" t="str">
        <f t="shared" si="146"/>
        <v xml:space="preserve">                    </v>
      </c>
      <c r="AR784" s="63"/>
      <c r="AS784" s="63"/>
      <c r="AT784" s="63"/>
      <c r="AU784" s="63"/>
      <c r="AV784" s="63"/>
      <c r="AW784" s="63"/>
      <c r="AX784" s="63"/>
      <c r="AY784" s="63"/>
      <c r="AZ784" s="63"/>
      <c r="BA784" s="63"/>
      <c r="BB784" s="63"/>
      <c r="BC784" s="63"/>
      <c r="BD784" s="63"/>
      <c r="BE784" s="63"/>
      <c r="BF784" s="63"/>
      <c r="BG784" s="63"/>
      <c r="BH784" s="63"/>
      <c r="BI784" s="63"/>
      <c r="BJ784" s="63"/>
      <c r="BK784" s="63"/>
      <c r="BL784" s="63"/>
      <c r="BM784" s="63"/>
      <c r="BN784" s="63"/>
      <c r="BO784" s="63"/>
      <c r="BP784" s="63"/>
      <c r="BQ784" s="63"/>
      <c r="BR784" s="63"/>
      <c r="BS784" s="63"/>
      <c r="BT784" s="63"/>
      <c r="BU784" s="63"/>
      <c r="BV784" s="63"/>
      <c r="BW784" s="63"/>
    </row>
    <row r="785" spans="1:75" x14ac:dyDescent="0.2">
      <c r="A785" s="63" t="str">
        <f t="shared" si="153"/>
        <v/>
      </c>
      <c r="B785" s="182"/>
      <c r="C785" s="74"/>
      <c r="D785" s="74"/>
      <c r="E785" s="74"/>
      <c r="F785" s="181"/>
      <c r="G785" s="69"/>
      <c r="AB785" s="150">
        <f t="shared" si="144"/>
        <v>0</v>
      </c>
      <c r="AC785" s="150">
        <f t="shared" si="145"/>
        <v>0</v>
      </c>
      <c r="AD785" s="98" t="str">
        <f t="shared" si="154"/>
        <v>0000000000</v>
      </c>
      <c r="AE785" s="151">
        <f t="shared" si="147"/>
        <v>0</v>
      </c>
      <c r="AF785" s="98" t="str">
        <f t="shared" si="148"/>
        <v>00</v>
      </c>
      <c r="AG785" s="98" t="str">
        <f t="shared" si="155"/>
        <v>000000000000</v>
      </c>
      <c r="AH785" s="161" t="str">
        <f t="shared" si="149"/>
        <v xml:space="preserve">                    </v>
      </c>
      <c r="AI785" s="154">
        <f t="shared" si="150"/>
        <v>0</v>
      </c>
      <c r="AJ785" s="155">
        <f t="shared" si="151"/>
        <v>0</v>
      </c>
      <c r="AP785" s="63" t="str">
        <f t="shared" si="152"/>
        <v/>
      </c>
      <c r="AQ785" s="63" t="str">
        <f t="shared" si="146"/>
        <v xml:space="preserve">                    </v>
      </c>
      <c r="AR785" s="63"/>
      <c r="AS785" s="63"/>
      <c r="AT785" s="63"/>
      <c r="AU785" s="63"/>
      <c r="AV785" s="63"/>
      <c r="AW785" s="63"/>
      <c r="AX785" s="63"/>
      <c r="AY785" s="63"/>
      <c r="AZ785" s="63"/>
      <c r="BA785" s="63"/>
      <c r="BB785" s="63"/>
      <c r="BC785" s="63"/>
      <c r="BD785" s="63"/>
      <c r="BE785" s="63"/>
      <c r="BF785" s="63"/>
      <c r="BG785" s="63"/>
      <c r="BH785" s="63"/>
      <c r="BI785" s="63"/>
      <c r="BJ785" s="63"/>
      <c r="BK785" s="63"/>
      <c r="BL785" s="63"/>
      <c r="BM785" s="63"/>
      <c r="BN785" s="63"/>
      <c r="BO785" s="63"/>
      <c r="BP785" s="63"/>
      <c r="BQ785" s="63"/>
      <c r="BR785" s="63"/>
      <c r="BS785" s="63"/>
      <c r="BT785" s="63"/>
      <c r="BU785" s="63"/>
      <c r="BV785" s="63"/>
      <c r="BW785" s="63"/>
    </row>
    <row r="786" spans="1:75" x14ac:dyDescent="0.2">
      <c r="A786" s="63" t="str">
        <f t="shared" si="153"/>
        <v/>
      </c>
      <c r="B786" s="182"/>
      <c r="C786" s="74"/>
      <c r="D786" s="74"/>
      <c r="E786" s="74"/>
      <c r="F786" s="181"/>
      <c r="G786" s="69"/>
      <c r="AB786" s="150">
        <f t="shared" si="144"/>
        <v>0</v>
      </c>
      <c r="AC786" s="150">
        <f t="shared" si="145"/>
        <v>0</v>
      </c>
      <c r="AD786" s="98" t="str">
        <f t="shared" si="154"/>
        <v>0000000000</v>
      </c>
      <c r="AE786" s="151">
        <f t="shared" si="147"/>
        <v>0</v>
      </c>
      <c r="AF786" s="98" t="str">
        <f t="shared" si="148"/>
        <v>00</v>
      </c>
      <c r="AG786" s="98" t="str">
        <f t="shared" si="155"/>
        <v>000000000000</v>
      </c>
      <c r="AH786" s="161" t="str">
        <f t="shared" si="149"/>
        <v xml:space="preserve">                    </v>
      </c>
      <c r="AI786" s="154">
        <f t="shared" si="150"/>
        <v>0</v>
      </c>
      <c r="AJ786" s="155">
        <f t="shared" si="151"/>
        <v>0</v>
      </c>
      <c r="AP786" s="63" t="str">
        <f t="shared" si="152"/>
        <v/>
      </c>
      <c r="AQ786" s="63" t="str">
        <f t="shared" si="146"/>
        <v xml:space="preserve">                    </v>
      </c>
      <c r="AR786" s="63"/>
      <c r="AS786" s="63"/>
      <c r="AT786" s="63"/>
      <c r="AU786" s="63"/>
      <c r="AV786" s="63"/>
      <c r="AW786" s="63"/>
      <c r="AX786" s="63"/>
      <c r="AY786" s="63"/>
      <c r="AZ786" s="63"/>
      <c r="BA786" s="63"/>
      <c r="BB786" s="63"/>
      <c r="BC786" s="63"/>
      <c r="BD786" s="63"/>
      <c r="BE786" s="63"/>
      <c r="BF786" s="63"/>
      <c r="BG786" s="63"/>
      <c r="BH786" s="63"/>
      <c r="BI786" s="63"/>
      <c r="BJ786" s="63"/>
      <c r="BK786" s="63"/>
      <c r="BL786" s="63"/>
      <c r="BM786" s="63"/>
      <c r="BN786" s="63"/>
      <c r="BO786" s="63"/>
      <c r="BP786" s="63"/>
      <c r="BQ786" s="63"/>
      <c r="BR786" s="63"/>
      <c r="BS786" s="63"/>
      <c r="BT786" s="63"/>
      <c r="BU786" s="63"/>
      <c r="BV786" s="63"/>
      <c r="BW786" s="63"/>
    </row>
    <row r="787" spans="1:75" x14ac:dyDescent="0.2">
      <c r="A787" s="63" t="str">
        <f t="shared" si="153"/>
        <v/>
      </c>
      <c r="B787" s="182"/>
      <c r="C787" s="74"/>
      <c r="D787" s="74"/>
      <c r="E787" s="74"/>
      <c r="F787" s="181"/>
      <c r="G787" s="69"/>
      <c r="AB787" s="150">
        <f t="shared" si="144"/>
        <v>0</v>
      </c>
      <c r="AC787" s="150">
        <f t="shared" si="145"/>
        <v>0</v>
      </c>
      <c r="AD787" s="98" t="str">
        <f t="shared" si="154"/>
        <v>0000000000</v>
      </c>
      <c r="AE787" s="151">
        <f t="shared" si="147"/>
        <v>0</v>
      </c>
      <c r="AF787" s="98" t="str">
        <f t="shared" si="148"/>
        <v>00</v>
      </c>
      <c r="AG787" s="98" t="str">
        <f t="shared" si="155"/>
        <v>000000000000</v>
      </c>
      <c r="AH787" s="161" t="str">
        <f t="shared" si="149"/>
        <v xml:space="preserve">                    </v>
      </c>
      <c r="AI787" s="154">
        <f t="shared" si="150"/>
        <v>0</v>
      </c>
      <c r="AJ787" s="155">
        <f t="shared" si="151"/>
        <v>0</v>
      </c>
      <c r="AP787" s="63" t="str">
        <f t="shared" si="152"/>
        <v/>
      </c>
      <c r="AQ787" s="63" t="str">
        <f t="shared" si="146"/>
        <v xml:space="preserve">                    </v>
      </c>
      <c r="AR787" s="63"/>
      <c r="AS787" s="63"/>
      <c r="AT787" s="63"/>
      <c r="AU787" s="63"/>
      <c r="AV787" s="63"/>
      <c r="AW787" s="63"/>
      <c r="AX787" s="63"/>
      <c r="AY787" s="63"/>
      <c r="AZ787" s="63"/>
      <c r="BA787" s="63"/>
      <c r="BB787" s="63"/>
      <c r="BC787" s="63"/>
      <c r="BD787" s="63"/>
      <c r="BE787" s="63"/>
      <c r="BF787" s="63"/>
      <c r="BG787" s="63"/>
      <c r="BH787" s="63"/>
      <c r="BI787" s="63"/>
      <c r="BJ787" s="63"/>
      <c r="BK787" s="63"/>
      <c r="BL787" s="63"/>
      <c r="BM787" s="63"/>
      <c r="BN787" s="63"/>
      <c r="BO787" s="63"/>
      <c r="BP787" s="63"/>
      <c r="BQ787" s="63"/>
      <c r="BR787" s="63"/>
      <c r="BS787" s="63"/>
      <c r="BT787" s="63"/>
      <c r="BU787" s="63"/>
      <c r="BV787" s="63"/>
      <c r="BW787" s="63"/>
    </row>
    <row r="788" spans="1:75" x14ac:dyDescent="0.2">
      <c r="A788" s="63" t="str">
        <f t="shared" si="153"/>
        <v/>
      </c>
      <c r="B788" s="182"/>
      <c r="C788" s="74"/>
      <c r="D788" s="74"/>
      <c r="E788" s="74"/>
      <c r="F788" s="181"/>
      <c r="G788" s="69"/>
      <c r="AB788" s="150">
        <f t="shared" si="144"/>
        <v>0</v>
      </c>
      <c r="AC788" s="150">
        <f t="shared" si="145"/>
        <v>0</v>
      </c>
      <c r="AD788" s="98" t="str">
        <f t="shared" si="154"/>
        <v>0000000000</v>
      </c>
      <c r="AE788" s="151">
        <f t="shared" si="147"/>
        <v>0</v>
      </c>
      <c r="AF788" s="98" t="str">
        <f t="shared" si="148"/>
        <v>00</v>
      </c>
      <c r="AG788" s="98" t="str">
        <f t="shared" si="155"/>
        <v>000000000000</v>
      </c>
      <c r="AH788" s="161" t="str">
        <f t="shared" si="149"/>
        <v xml:space="preserve">                    </v>
      </c>
      <c r="AI788" s="154">
        <f t="shared" si="150"/>
        <v>0</v>
      </c>
      <c r="AJ788" s="155">
        <f t="shared" si="151"/>
        <v>0</v>
      </c>
      <c r="AP788" s="63" t="str">
        <f t="shared" si="152"/>
        <v/>
      </c>
      <c r="AQ788" s="63" t="str">
        <f t="shared" si="146"/>
        <v xml:space="preserve">                    </v>
      </c>
      <c r="AR788" s="63"/>
      <c r="AS788" s="63"/>
      <c r="AT788" s="63"/>
      <c r="AU788" s="63"/>
      <c r="AV788" s="63"/>
      <c r="AW788" s="63"/>
      <c r="AX788" s="63"/>
      <c r="AY788" s="63"/>
      <c r="AZ788" s="63"/>
      <c r="BA788" s="63"/>
      <c r="BB788" s="63"/>
      <c r="BC788" s="63"/>
      <c r="BD788" s="63"/>
      <c r="BE788" s="63"/>
      <c r="BF788" s="63"/>
      <c r="BG788" s="63"/>
      <c r="BH788" s="63"/>
      <c r="BI788" s="63"/>
      <c r="BJ788" s="63"/>
      <c r="BK788" s="63"/>
      <c r="BL788" s="63"/>
      <c r="BM788" s="63"/>
      <c r="BN788" s="63"/>
      <c r="BO788" s="63"/>
      <c r="BP788" s="63"/>
      <c r="BQ788" s="63"/>
      <c r="BR788" s="63"/>
      <c r="BS788" s="63"/>
      <c r="BT788" s="63"/>
      <c r="BU788" s="63"/>
      <c r="BV788" s="63"/>
      <c r="BW788" s="63"/>
    </row>
    <row r="789" spans="1:75" x14ac:dyDescent="0.2">
      <c r="A789" s="63" t="str">
        <f t="shared" si="153"/>
        <v/>
      </c>
      <c r="B789" s="182"/>
      <c r="C789" s="74"/>
      <c r="D789" s="74"/>
      <c r="E789" s="74"/>
      <c r="F789" s="181"/>
      <c r="G789" s="69"/>
      <c r="AB789" s="150">
        <f t="shared" si="144"/>
        <v>0</v>
      </c>
      <c r="AC789" s="150">
        <f t="shared" si="145"/>
        <v>0</v>
      </c>
      <c r="AD789" s="98" t="str">
        <f t="shared" si="154"/>
        <v>0000000000</v>
      </c>
      <c r="AE789" s="151">
        <f t="shared" si="147"/>
        <v>0</v>
      </c>
      <c r="AF789" s="98" t="str">
        <f t="shared" si="148"/>
        <v>00</v>
      </c>
      <c r="AG789" s="98" t="str">
        <f t="shared" si="155"/>
        <v>000000000000</v>
      </c>
      <c r="AH789" s="161" t="str">
        <f t="shared" si="149"/>
        <v xml:space="preserve">                    </v>
      </c>
      <c r="AI789" s="154">
        <f t="shared" si="150"/>
        <v>0</v>
      </c>
      <c r="AJ789" s="155">
        <f t="shared" si="151"/>
        <v>0</v>
      </c>
      <c r="AP789" s="63" t="str">
        <f t="shared" si="152"/>
        <v/>
      </c>
      <c r="AQ789" s="63" t="str">
        <f t="shared" si="146"/>
        <v xml:space="preserve">                    </v>
      </c>
      <c r="AR789" s="63"/>
      <c r="AS789" s="63"/>
      <c r="AT789" s="63"/>
      <c r="AU789" s="63"/>
      <c r="AV789" s="63"/>
      <c r="AW789" s="63"/>
      <c r="AX789" s="63"/>
      <c r="AY789" s="63"/>
      <c r="AZ789" s="63"/>
      <c r="BA789" s="63"/>
      <c r="BB789" s="63"/>
      <c r="BC789" s="63"/>
      <c r="BD789" s="63"/>
      <c r="BE789" s="63"/>
      <c r="BF789" s="63"/>
      <c r="BG789" s="63"/>
      <c r="BH789" s="63"/>
      <c r="BI789" s="63"/>
      <c r="BJ789" s="63"/>
      <c r="BK789" s="63"/>
      <c r="BL789" s="63"/>
      <c r="BM789" s="63"/>
      <c r="BN789" s="63"/>
      <c r="BO789" s="63"/>
      <c r="BP789" s="63"/>
      <c r="BQ789" s="63"/>
      <c r="BR789" s="63"/>
      <c r="BS789" s="63"/>
      <c r="BT789" s="63"/>
      <c r="BU789" s="63"/>
      <c r="BV789" s="63"/>
      <c r="BW789" s="63"/>
    </row>
    <row r="790" spans="1:75" x14ac:dyDescent="0.2">
      <c r="A790" s="63" t="str">
        <f t="shared" si="153"/>
        <v/>
      </c>
      <c r="B790" s="182"/>
      <c r="C790" s="74"/>
      <c r="D790" s="74"/>
      <c r="E790" s="74"/>
      <c r="F790" s="181"/>
      <c r="G790" s="69"/>
      <c r="AB790" s="150">
        <f t="shared" si="144"/>
        <v>0</v>
      </c>
      <c r="AC790" s="150">
        <f t="shared" si="145"/>
        <v>0</v>
      </c>
      <c r="AD790" s="98" t="str">
        <f t="shared" si="154"/>
        <v>0000000000</v>
      </c>
      <c r="AE790" s="151">
        <f t="shared" si="147"/>
        <v>0</v>
      </c>
      <c r="AF790" s="98" t="str">
        <f t="shared" si="148"/>
        <v>00</v>
      </c>
      <c r="AG790" s="98" t="str">
        <f t="shared" si="155"/>
        <v>000000000000</v>
      </c>
      <c r="AH790" s="161" t="str">
        <f t="shared" si="149"/>
        <v xml:space="preserve">                    </v>
      </c>
      <c r="AI790" s="154">
        <f t="shared" si="150"/>
        <v>0</v>
      </c>
      <c r="AJ790" s="155">
        <f t="shared" si="151"/>
        <v>0</v>
      </c>
      <c r="AP790" s="63" t="str">
        <f t="shared" si="152"/>
        <v/>
      </c>
      <c r="AQ790" s="63" t="str">
        <f t="shared" si="146"/>
        <v xml:space="preserve">                    </v>
      </c>
      <c r="AR790" s="63"/>
      <c r="AS790" s="63"/>
      <c r="AT790" s="63"/>
      <c r="AU790" s="63"/>
      <c r="AV790" s="63"/>
      <c r="AW790" s="63"/>
      <c r="AX790" s="63"/>
      <c r="AY790" s="63"/>
      <c r="AZ790" s="63"/>
      <c r="BA790" s="63"/>
      <c r="BB790" s="63"/>
      <c r="BC790" s="63"/>
      <c r="BD790" s="63"/>
      <c r="BE790" s="63"/>
      <c r="BF790" s="63"/>
      <c r="BG790" s="63"/>
      <c r="BH790" s="63"/>
      <c r="BI790" s="63"/>
      <c r="BJ790" s="63"/>
      <c r="BK790" s="63"/>
      <c r="BL790" s="63"/>
      <c r="BM790" s="63"/>
      <c r="BN790" s="63"/>
      <c r="BO790" s="63"/>
      <c r="BP790" s="63"/>
      <c r="BQ790" s="63"/>
      <c r="BR790" s="63"/>
      <c r="BS790" s="63"/>
      <c r="BT790" s="63"/>
      <c r="BU790" s="63"/>
      <c r="BV790" s="63"/>
      <c r="BW790" s="63"/>
    </row>
    <row r="791" spans="1:75" x14ac:dyDescent="0.2">
      <c r="A791" s="63" t="str">
        <f t="shared" si="153"/>
        <v/>
      </c>
      <c r="B791" s="182"/>
      <c r="C791" s="74"/>
      <c r="D791" s="74"/>
      <c r="E791" s="74"/>
      <c r="F791" s="181"/>
      <c r="G791" s="69"/>
      <c r="AB791" s="150">
        <f t="shared" si="144"/>
        <v>0</v>
      </c>
      <c r="AC791" s="150">
        <f t="shared" si="145"/>
        <v>0</v>
      </c>
      <c r="AD791" s="98" t="str">
        <f t="shared" si="154"/>
        <v>0000000000</v>
      </c>
      <c r="AE791" s="151">
        <f t="shared" si="147"/>
        <v>0</v>
      </c>
      <c r="AF791" s="98" t="str">
        <f t="shared" si="148"/>
        <v>00</v>
      </c>
      <c r="AG791" s="98" t="str">
        <f t="shared" si="155"/>
        <v>000000000000</v>
      </c>
      <c r="AH791" s="161" t="str">
        <f t="shared" si="149"/>
        <v xml:space="preserve">                    </v>
      </c>
      <c r="AI791" s="154">
        <f t="shared" si="150"/>
        <v>0</v>
      </c>
      <c r="AJ791" s="155">
        <f t="shared" si="151"/>
        <v>0</v>
      </c>
      <c r="AP791" s="63" t="str">
        <f t="shared" si="152"/>
        <v/>
      </c>
      <c r="AQ791" s="63" t="str">
        <f t="shared" si="146"/>
        <v xml:space="preserve">                    </v>
      </c>
      <c r="AR791" s="63"/>
      <c r="AS791" s="63"/>
      <c r="AT791" s="63"/>
      <c r="AU791" s="63"/>
      <c r="AV791" s="63"/>
      <c r="AW791" s="63"/>
      <c r="AX791" s="63"/>
      <c r="AY791" s="63"/>
      <c r="AZ791" s="63"/>
      <c r="BA791" s="63"/>
      <c r="BB791" s="63"/>
      <c r="BC791" s="63"/>
      <c r="BD791" s="63"/>
      <c r="BE791" s="63"/>
      <c r="BF791" s="63"/>
      <c r="BG791" s="63"/>
      <c r="BH791" s="63"/>
      <c r="BI791" s="63"/>
      <c r="BJ791" s="63"/>
      <c r="BK791" s="63"/>
      <c r="BL791" s="63"/>
      <c r="BM791" s="63"/>
      <c r="BN791" s="63"/>
      <c r="BO791" s="63"/>
      <c r="BP791" s="63"/>
      <c r="BQ791" s="63"/>
      <c r="BR791" s="63"/>
      <c r="BS791" s="63"/>
      <c r="BT791" s="63"/>
      <c r="BU791" s="63"/>
      <c r="BV791" s="63"/>
      <c r="BW791" s="63"/>
    </row>
    <row r="792" spans="1:75" x14ac:dyDescent="0.2">
      <c r="A792" s="63" t="str">
        <f t="shared" si="153"/>
        <v/>
      </c>
      <c r="B792" s="182"/>
      <c r="C792" s="74"/>
      <c r="D792" s="74"/>
      <c r="E792" s="74"/>
      <c r="F792" s="181"/>
      <c r="G792" s="69"/>
      <c r="AB792" s="150">
        <f t="shared" si="144"/>
        <v>0</v>
      </c>
      <c r="AC792" s="150">
        <f t="shared" si="145"/>
        <v>0</v>
      </c>
      <c r="AD792" s="98" t="str">
        <f t="shared" si="154"/>
        <v>0000000000</v>
      </c>
      <c r="AE792" s="151">
        <f t="shared" si="147"/>
        <v>0</v>
      </c>
      <c r="AF792" s="98" t="str">
        <f t="shared" si="148"/>
        <v>00</v>
      </c>
      <c r="AG792" s="98" t="str">
        <f t="shared" si="155"/>
        <v>000000000000</v>
      </c>
      <c r="AH792" s="161" t="str">
        <f t="shared" si="149"/>
        <v xml:space="preserve">                    </v>
      </c>
      <c r="AI792" s="154">
        <f t="shared" si="150"/>
        <v>0</v>
      </c>
      <c r="AJ792" s="155">
        <f t="shared" si="151"/>
        <v>0</v>
      </c>
      <c r="AP792" s="63" t="str">
        <f t="shared" si="152"/>
        <v/>
      </c>
      <c r="AQ792" s="63" t="str">
        <f t="shared" si="146"/>
        <v xml:space="preserve">                    </v>
      </c>
      <c r="AR792" s="63"/>
      <c r="AS792" s="63"/>
      <c r="AT792" s="63"/>
      <c r="AU792" s="63"/>
      <c r="AV792" s="63"/>
      <c r="AW792" s="63"/>
      <c r="AX792" s="63"/>
      <c r="AY792" s="63"/>
      <c r="AZ792" s="63"/>
      <c r="BA792" s="63"/>
      <c r="BB792" s="63"/>
      <c r="BC792" s="63"/>
      <c r="BD792" s="63"/>
      <c r="BE792" s="63"/>
      <c r="BF792" s="63"/>
      <c r="BG792" s="63"/>
      <c r="BH792" s="63"/>
      <c r="BI792" s="63"/>
      <c r="BJ792" s="63"/>
      <c r="BK792" s="63"/>
      <c r="BL792" s="63"/>
      <c r="BM792" s="63"/>
      <c r="BN792" s="63"/>
      <c r="BO792" s="63"/>
      <c r="BP792" s="63"/>
      <c r="BQ792" s="63"/>
      <c r="BR792" s="63"/>
      <c r="BS792" s="63"/>
      <c r="BT792" s="63"/>
      <c r="BU792" s="63"/>
      <c r="BV792" s="63"/>
      <c r="BW792" s="63"/>
    </row>
    <row r="793" spans="1:75" x14ac:dyDescent="0.2">
      <c r="A793" s="63" t="str">
        <f t="shared" si="153"/>
        <v/>
      </c>
      <c r="B793" s="182"/>
      <c r="C793" s="74"/>
      <c r="D793" s="74"/>
      <c r="E793" s="74"/>
      <c r="F793" s="181"/>
      <c r="G793" s="69"/>
      <c r="AB793" s="150">
        <f t="shared" si="144"/>
        <v>0</v>
      </c>
      <c r="AC793" s="150">
        <f t="shared" si="145"/>
        <v>0</v>
      </c>
      <c r="AD793" s="98" t="str">
        <f t="shared" si="154"/>
        <v>0000000000</v>
      </c>
      <c r="AE793" s="151">
        <f t="shared" si="147"/>
        <v>0</v>
      </c>
      <c r="AF793" s="98" t="str">
        <f t="shared" si="148"/>
        <v>00</v>
      </c>
      <c r="AG793" s="98" t="str">
        <f t="shared" si="155"/>
        <v>000000000000</v>
      </c>
      <c r="AH793" s="161" t="str">
        <f t="shared" si="149"/>
        <v xml:space="preserve">                    </v>
      </c>
      <c r="AI793" s="154">
        <f t="shared" si="150"/>
        <v>0</v>
      </c>
      <c r="AJ793" s="155">
        <f t="shared" si="151"/>
        <v>0</v>
      </c>
      <c r="AP793" s="63" t="str">
        <f t="shared" si="152"/>
        <v/>
      </c>
      <c r="AQ793" s="63" t="str">
        <f t="shared" si="146"/>
        <v xml:space="preserve">                    </v>
      </c>
      <c r="AR793" s="63"/>
      <c r="AS793" s="63"/>
      <c r="AT793" s="63"/>
      <c r="AU793" s="63"/>
      <c r="AV793" s="63"/>
      <c r="AW793" s="63"/>
      <c r="AX793" s="63"/>
      <c r="AY793" s="63"/>
      <c r="AZ793" s="63"/>
      <c r="BA793" s="63"/>
      <c r="BB793" s="63"/>
      <c r="BC793" s="63"/>
      <c r="BD793" s="63"/>
      <c r="BE793" s="63"/>
      <c r="BF793" s="63"/>
      <c r="BG793" s="63"/>
      <c r="BH793" s="63"/>
      <c r="BI793" s="63"/>
      <c r="BJ793" s="63"/>
      <c r="BK793" s="63"/>
      <c r="BL793" s="63"/>
      <c r="BM793" s="63"/>
      <c r="BN793" s="63"/>
      <c r="BO793" s="63"/>
      <c r="BP793" s="63"/>
      <c r="BQ793" s="63"/>
      <c r="BR793" s="63"/>
      <c r="BS793" s="63"/>
      <c r="BT793" s="63"/>
      <c r="BU793" s="63"/>
      <c r="BV793" s="63"/>
      <c r="BW793" s="63"/>
    </row>
    <row r="794" spans="1:75" x14ac:dyDescent="0.2">
      <c r="A794" s="63" t="str">
        <f t="shared" si="153"/>
        <v/>
      </c>
      <c r="B794" s="182"/>
      <c r="C794" s="74"/>
      <c r="D794" s="74"/>
      <c r="E794" s="74"/>
      <c r="F794" s="181"/>
      <c r="G794" s="69"/>
      <c r="AB794" s="150">
        <f t="shared" si="144"/>
        <v>0</v>
      </c>
      <c r="AC794" s="150">
        <f t="shared" si="145"/>
        <v>0</v>
      </c>
      <c r="AD794" s="98" t="str">
        <f t="shared" si="154"/>
        <v>0000000000</v>
      </c>
      <c r="AE794" s="151">
        <f t="shared" si="147"/>
        <v>0</v>
      </c>
      <c r="AF794" s="98" t="str">
        <f t="shared" si="148"/>
        <v>00</v>
      </c>
      <c r="AG794" s="98" t="str">
        <f t="shared" si="155"/>
        <v>000000000000</v>
      </c>
      <c r="AH794" s="161" t="str">
        <f t="shared" si="149"/>
        <v xml:space="preserve">                    </v>
      </c>
      <c r="AI794" s="154">
        <f t="shared" si="150"/>
        <v>0</v>
      </c>
      <c r="AJ794" s="155">
        <f t="shared" si="151"/>
        <v>0</v>
      </c>
      <c r="AP794" s="63" t="str">
        <f t="shared" si="152"/>
        <v/>
      </c>
      <c r="AQ794" s="63" t="str">
        <f t="shared" si="146"/>
        <v xml:space="preserve">                    </v>
      </c>
      <c r="AR794" s="63"/>
      <c r="AS794" s="63"/>
      <c r="AT794" s="63"/>
      <c r="AU794" s="63"/>
      <c r="AV794" s="63"/>
      <c r="AW794" s="63"/>
      <c r="AX794" s="63"/>
      <c r="AY794" s="63"/>
      <c r="AZ794" s="63"/>
      <c r="BA794" s="63"/>
      <c r="BB794" s="63"/>
      <c r="BC794" s="63"/>
      <c r="BD794" s="63"/>
      <c r="BE794" s="63"/>
      <c r="BF794" s="63"/>
      <c r="BG794" s="63"/>
      <c r="BH794" s="63"/>
      <c r="BI794" s="63"/>
      <c r="BJ794" s="63"/>
      <c r="BK794" s="63"/>
      <c r="BL794" s="63"/>
      <c r="BM794" s="63"/>
      <c r="BN794" s="63"/>
      <c r="BO794" s="63"/>
      <c r="BP794" s="63"/>
      <c r="BQ794" s="63"/>
      <c r="BR794" s="63"/>
      <c r="BS794" s="63"/>
      <c r="BT794" s="63"/>
      <c r="BU794" s="63"/>
      <c r="BV794" s="63"/>
      <c r="BW794" s="63"/>
    </row>
    <row r="795" spans="1:75" x14ac:dyDescent="0.2">
      <c r="A795" s="63" t="str">
        <f t="shared" si="153"/>
        <v/>
      </c>
      <c r="B795" s="182"/>
      <c r="C795" s="74"/>
      <c r="D795" s="74"/>
      <c r="E795" s="74"/>
      <c r="F795" s="181"/>
      <c r="G795" s="69"/>
      <c r="AB795" s="150">
        <f t="shared" si="144"/>
        <v>0</v>
      </c>
      <c r="AC795" s="150">
        <f t="shared" si="145"/>
        <v>0</v>
      </c>
      <c r="AD795" s="98" t="str">
        <f t="shared" si="154"/>
        <v>0000000000</v>
      </c>
      <c r="AE795" s="151">
        <f t="shared" si="147"/>
        <v>0</v>
      </c>
      <c r="AF795" s="98" t="str">
        <f t="shared" si="148"/>
        <v>00</v>
      </c>
      <c r="AG795" s="98" t="str">
        <f t="shared" si="155"/>
        <v>000000000000</v>
      </c>
      <c r="AH795" s="161" t="str">
        <f t="shared" si="149"/>
        <v xml:space="preserve">                    </v>
      </c>
      <c r="AI795" s="154">
        <f t="shared" si="150"/>
        <v>0</v>
      </c>
      <c r="AJ795" s="155">
        <f t="shared" si="151"/>
        <v>0</v>
      </c>
      <c r="AP795" s="63" t="str">
        <f t="shared" si="152"/>
        <v/>
      </c>
      <c r="AQ795" s="63" t="str">
        <f t="shared" si="146"/>
        <v xml:space="preserve">                    </v>
      </c>
      <c r="AR795" s="63"/>
      <c r="AS795" s="63"/>
      <c r="AT795" s="63"/>
      <c r="AU795" s="63"/>
      <c r="AV795" s="63"/>
      <c r="AW795" s="63"/>
      <c r="AX795" s="63"/>
      <c r="AY795" s="63"/>
      <c r="AZ795" s="63"/>
      <c r="BA795" s="63"/>
      <c r="BB795" s="63"/>
      <c r="BC795" s="63"/>
      <c r="BD795" s="63"/>
      <c r="BE795" s="63"/>
      <c r="BF795" s="63"/>
      <c r="BG795" s="63"/>
      <c r="BH795" s="63"/>
      <c r="BI795" s="63"/>
      <c r="BJ795" s="63"/>
      <c r="BK795" s="63"/>
      <c r="BL795" s="63"/>
      <c r="BM795" s="63"/>
      <c r="BN795" s="63"/>
      <c r="BO795" s="63"/>
      <c r="BP795" s="63"/>
      <c r="BQ795" s="63"/>
      <c r="BR795" s="63"/>
      <c r="BS795" s="63"/>
      <c r="BT795" s="63"/>
      <c r="BU795" s="63"/>
      <c r="BV795" s="63"/>
      <c r="BW795" s="63"/>
    </row>
    <row r="796" spans="1:75" x14ac:dyDescent="0.2">
      <c r="A796" s="63" t="str">
        <f t="shared" si="153"/>
        <v/>
      </c>
      <c r="B796" s="182"/>
      <c r="C796" s="74"/>
      <c r="D796" s="74"/>
      <c r="E796" s="74"/>
      <c r="F796" s="181"/>
      <c r="G796" s="69"/>
      <c r="AB796" s="150">
        <f t="shared" si="144"/>
        <v>0</v>
      </c>
      <c r="AC796" s="150">
        <f t="shared" si="145"/>
        <v>0</v>
      </c>
      <c r="AD796" s="98" t="str">
        <f t="shared" si="154"/>
        <v>0000000000</v>
      </c>
      <c r="AE796" s="151">
        <f t="shared" si="147"/>
        <v>0</v>
      </c>
      <c r="AF796" s="98" t="str">
        <f t="shared" si="148"/>
        <v>00</v>
      </c>
      <c r="AG796" s="98" t="str">
        <f t="shared" si="155"/>
        <v>000000000000</v>
      </c>
      <c r="AH796" s="161" t="str">
        <f t="shared" si="149"/>
        <v xml:space="preserve">                    </v>
      </c>
      <c r="AI796" s="154">
        <f t="shared" si="150"/>
        <v>0</v>
      </c>
      <c r="AJ796" s="155">
        <f t="shared" si="151"/>
        <v>0</v>
      </c>
      <c r="AP796" s="63" t="str">
        <f t="shared" si="152"/>
        <v/>
      </c>
      <c r="AQ796" s="63" t="str">
        <f t="shared" si="146"/>
        <v xml:space="preserve">                    </v>
      </c>
      <c r="AR796" s="63"/>
      <c r="AS796" s="63"/>
      <c r="AT796" s="63"/>
      <c r="AU796" s="63"/>
      <c r="AV796" s="63"/>
      <c r="AW796" s="63"/>
      <c r="AX796" s="63"/>
      <c r="AY796" s="63"/>
      <c r="AZ796" s="63"/>
      <c r="BA796" s="63"/>
      <c r="BB796" s="63"/>
      <c r="BC796" s="63"/>
      <c r="BD796" s="63"/>
      <c r="BE796" s="63"/>
      <c r="BF796" s="63"/>
      <c r="BG796" s="63"/>
      <c r="BH796" s="63"/>
      <c r="BI796" s="63"/>
      <c r="BJ796" s="63"/>
      <c r="BK796" s="63"/>
      <c r="BL796" s="63"/>
      <c r="BM796" s="63"/>
      <c r="BN796" s="63"/>
      <c r="BO796" s="63"/>
      <c r="BP796" s="63"/>
      <c r="BQ796" s="63"/>
      <c r="BR796" s="63"/>
      <c r="BS796" s="63"/>
      <c r="BT796" s="63"/>
      <c r="BU796" s="63"/>
      <c r="BV796" s="63"/>
      <c r="BW796" s="63"/>
    </row>
    <row r="797" spans="1:75" x14ac:dyDescent="0.2">
      <c r="A797" s="63" t="str">
        <f t="shared" si="153"/>
        <v/>
      </c>
      <c r="B797" s="182"/>
      <c r="C797" s="74"/>
      <c r="D797" s="74"/>
      <c r="E797" s="74"/>
      <c r="F797" s="181"/>
      <c r="G797" s="69"/>
      <c r="AB797" s="150">
        <f t="shared" si="144"/>
        <v>0</v>
      </c>
      <c r="AC797" s="150">
        <f t="shared" si="145"/>
        <v>0</v>
      </c>
      <c r="AD797" s="98" t="str">
        <f t="shared" si="154"/>
        <v>0000000000</v>
      </c>
      <c r="AE797" s="151">
        <f t="shared" si="147"/>
        <v>0</v>
      </c>
      <c r="AF797" s="98" t="str">
        <f t="shared" si="148"/>
        <v>00</v>
      </c>
      <c r="AG797" s="98" t="str">
        <f t="shared" si="155"/>
        <v>000000000000</v>
      </c>
      <c r="AH797" s="161" t="str">
        <f t="shared" si="149"/>
        <v xml:space="preserve">                    </v>
      </c>
      <c r="AI797" s="154">
        <f t="shared" si="150"/>
        <v>0</v>
      </c>
      <c r="AJ797" s="155">
        <f t="shared" si="151"/>
        <v>0</v>
      </c>
      <c r="AP797" s="63" t="str">
        <f t="shared" si="152"/>
        <v/>
      </c>
      <c r="AQ797" s="63" t="str">
        <f t="shared" si="146"/>
        <v xml:space="preserve">                    </v>
      </c>
      <c r="AR797" s="63"/>
      <c r="AS797" s="63"/>
      <c r="AT797" s="63"/>
      <c r="AU797" s="63"/>
      <c r="AV797" s="63"/>
      <c r="AW797" s="63"/>
      <c r="AX797" s="63"/>
      <c r="AY797" s="63"/>
      <c r="AZ797" s="63"/>
      <c r="BA797" s="63"/>
      <c r="BB797" s="63"/>
      <c r="BC797" s="63"/>
      <c r="BD797" s="63"/>
      <c r="BE797" s="63"/>
      <c r="BF797" s="63"/>
      <c r="BG797" s="63"/>
      <c r="BH797" s="63"/>
      <c r="BI797" s="63"/>
      <c r="BJ797" s="63"/>
      <c r="BK797" s="63"/>
      <c r="BL797" s="63"/>
      <c r="BM797" s="63"/>
      <c r="BN797" s="63"/>
      <c r="BO797" s="63"/>
      <c r="BP797" s="63"/>
      <c r="BQ797" s="63"/>
      <c r="BR797" s="63"/>
      <c r="BS797" s="63"/>
      <c r="BT797" s="63"/>
      <c r="BU797" s="63"/>
      <c r="BV797" s="63"/>
      <c r="BW797" s="63"/>
    </row>
    <row r="798" spans="1:75" x14ac:dyDescent="0.2">
      <c r="A798" s="63" t="str">
        <f t="shared" si="153"/>
        <v/>
      </c>
      <c r="B798" s="182"/>
      <c r="C798" s="74"/>
      <c r="D798" s="74"/>
      <c r="E798" s="74"/>
      <c r="F798" s="181"/>
      <c r="G798" s="69"/>
      <c r="AB798" s="150">
        <f t="shared" si="144"/>
        <v>0</v>
      </c>
      <c r="AC798" s="150">
        <f t="shared" si="145"/>
        <v>0</v>
      </c>
      <c r="AD798" s="98" t="str">
        <f t="shared" si="154"/>
        <v>0000000000</v>
      </c>
      <c r="AE798" s="151">
        <f t="shared" si="147"/>
        <v>0</v>
      </c>
      <c r="AF798" s="98" t="str">
        <f t="shared" si="148"/>
        <v>00</v>
      </c>
      <c r="AG798" s="98" t="str">
        <f t="shared" si="155"/>
        <v>000000000000</v>
      </c>
      <c r="AH798" s="161" t="str">
        <f t="shared" si="149"/>
        <v xml:space="preserve">                    </v>
      </c>
      <c r="AI798" s="154">
        <f t="shared" si="150"/>
        <v>0</v>
      </c>
      <c r="AJ798" s="155">
        <f t="shared" si="151"/>
        <v>0</v>
      </c>
      <c r="AP798" s="63" t="str">
        <f t="shared" si="152"/>
        <v/>
      </c>
      <c r="AQ798" s="63" t="str">
        <f t="shared" si="146"/>
        <v xml:space="preserve">                    </v>
      </c>
      <c r="AR798" s="63"/>
      <c r="AS798" s="63"/>
      <c r="AT798" s="63"/>
      <c r="AU798" s="63"/>
      <c r="AV798" s="63"/>
      <c r="AW798" s="63"/>
      <c r="AX798" s="63"/>
      <c r="AY798" s="63"/>
      <c r="AZ798" s="63"/>
      <c r="BA798" s="63"/>
      <c r="BB798" s="63"/>
      <c r="BC798" s="63"/>
      <c r="BD798" s="63"/>
      <c r="BE798" s="63"/>
      <c r="BF798" s="63"/>
      <c r="BG798" s="63"/>
      <c r="BH798" s="63"/>
      <c r="BI798" s="63"/>
      <c r="BJ798" s="63"/>
      <c r="BK798" s="63"/>
      <c r="BL798" s="63"/>
      <c r="BM798" s="63"/>
      <c r="BN798" s="63"/>
      <c r="BO798" s="63"/>
      <c r="BP798" s="63"/>
      <c r="BQ798" s="63"/>
      <c r="BR798" s="63"/>
      <c r="BS798" s="63"/>
      <c r="BT798" s="63"/>
      <c r="BU798" s="63"/>
      <c r="BV798" s="63"/>
      <c r="BW798" s="63"/>
    </row>
    <row r="799" spans="1:75" x14ac:dyDescent="0.2">
      <c r="A799" s="63" t="str">
        <f t="shared" si="153"/>
        <v/>
      </c>
      <c r="B799" s="182"/>
      <c r="C799" s="74"/>
      <c r="D799" s="74"/>
      <c r="E799" s="74"/>
      <c r="F799" s="181"/>
      <c r="G799" s="69"/>
      <c r="AB799" s="150">
        <f t="shared" si="144"/>
        <v>0</v>
      </c>
      <c r="AC799" s="150">
        <f t="shared" si="145"/>
        <v>0</v>
      </c>
      <c r="AD799" s="98" t="str">
        <f t="shared" si="154"/>
        <v>0000000000</v>
      </c>
      <c r="AE799" s="151">
        <f t="shared" si="147"/>
        <v>0</v>
      </c>
      <c r="AF799" s="98" t="str">
        <f t="shared" si="148"/>
        <v>00</v>
      </c>
      <c r="AG799" s="98" t="str">
        <f t="shared" si="155"/>
        <v>000000000000</v>
      </c>
      <c r="AH799" s="161" t="str">
        <f t="shared" si="149"/>
        <v xml:space="preserve">                    </v>
      </c>
      <c r="AI799" s="154">
        <f t="shared" si="150"/>
        <v>0</v>
      </c>
      <c r="AJ799" s="155">
        <f t="shared" si="151"/>
        <v>0</v>
      </c>
      <c r="AP799" s="63" t="str">
        <f t="shared" si="152"/>
        <v/>
      </c>
      <c r="AQ799" s="63" t="str">
        <f t="shared" si="146"/>
        <v xml:space="preserve">                    </v>
      </c>
      <c r="AR799" s="63"/>
      <c r="AS799" s="63"/>
      <c r="AT799" s="63"/>
      <c r="AU799" s="63"/>
      <c r="AV799" s="63"/>
      <c r="AW799" s="63"/>
      <c r="AX799" s="63"/>
      <c r="AY799" s="63"/>
      <c r="AZ799" s="63"/>
      <c r="BA799" s="63"/>
      <c r="BB799" s="63"/>
      <c r="BC799" s="63"/>
      <c r="BD799" s="63"/>
      <c r="BE799" s="63"/>
      <c r="BF799" s="63"/>
      <c r="BG799" s="63"/>
      <c r="BH799" s="63"/>
      <c r="BI799" s="63"/>
      <c r="BJ799" s="63"/>
      <c r="BK799" s="63"/>
      <c r="BL799" s="63"/>
      <c r="BM799" s="63"/>
      <c r="BN799" s="63"/>
      <c r="BO799" s="63"/>
      <c r="BP799" s="63"/>
      <c r="BQ799" s="63"/>
      <c r="BR799" s="63"/>
      <c r="BS799" s="63"/>
      <c r="BT799" s="63"/>
      <c r="BU799" s="63"/>
      <c r="BV799" s="63"/>
      <c r="BW799" s="63"/>
    </row>
    <row r="800" spans="1:75" x14ac:dyDescent="0.2">
      <c r="A800" s="63" t="str">
        <f t="shared" si="153"/>
        <v/>
      </c>
      <c r="B800" s="182"/>
      <c r="C800" s="74"/>
      <c r="D800" s="74"/>
      <c r="E800" s="74"/>
      <c r="F800" s="181"/>
      <c r="G800" s="69"/>
      <c r="AB800" s="150">
        <f t="shared" si="144"/>
        <v>0</v>
      </c>
      <c r="AC800" s="150">
        <f t="shared" si="145"/>
        <v>0</v>
      </c>
      <c r="AD800" s="98" t="str">
        <f t="shared" si="154"/>
        <v>0000000000</v>
      </c>
      <c r="AE800" s="151">
        <f t="shared" si="147"/>
        <v>0</v>
      </c>
      <c r="AF800" s="98" t="str">
        <f t="shared" si="148"/>
        <v>00</v>
      </c>
      <c r="AG800" s="98" t="str">
        <f t="shared" si="155"/>
        <v>000000000000</v>
      </c>
      <c r="AH800" s="161" t="str">
        <f t="shared" si="149"/>
        <v xml:space="preserve">                    </v>
      </c>
      <c r="AI800" s="154">
        <f t="shared" si="150"/>
        <v>0</v>
      </c>
      <c r="AJ800" s="155">
        <f t="shared" si="151"/>
        <v>0</v>
      </c>
      <c r="AP800" s="63" t="str">
        <f t="shared" si="152"/>
        <v/>
      </c>
      <c r="AQ800" s="63" t="str">
        <f t="shared" si="146"/>
        <v xml:space="preserve">                    </v>
      </c>
      <c r="AR800" s="63"/>
      <c r="AS800" s="63"/>
      <c r="AT800" s="63"/>
      <c r="AU800" s="63"/>
      <c r="AV800" s="63"/>
      <c r="AW800" s="63"/>
      <c r="AX800" s="63"/>
      <c r="AY800" s="63"/>
      <c r="AZ800" s="63"/>
      <c r="BA800" s="63"/>
      <c r="BB800" s="63"/>
      <c r="BC800" s="63"/>
      <c r="BD800" s="63"/>
      <c r="BE800" s="63"/>
      <c r="BF800" s="63"/>
      <c r="BG800" s="63"/>
      <c r="BH800" s="63"/>
      <c r="BI800" s="63"/>
      <c r="BJ800" s="63"/>
      <c r="BK800" s="63"/>
      <c r="BL800" s="63"/>
      <c r="BM800" s="63"/>
      <c r="BN800" s="63"/>
      <c r="BO800" s="63"/>
      <c r="BP800" s="63"/>
      <c r="BQ800" s="63"/>
      <c r="BR800" s="63"/>
      <c r="BS800" s="63"/>
      <c r="BT800" s="63"/>
      <c r="BU800" s="63"/>
      <c r="BV800" s="63"/>
      <c r="BW800" s="63"/>
    </row>
    <row r="801" spans="1:75" x14ac:dyDescent="0.2">
      <c r="A801" s="63" t="str">
        <f t="shared" si="153"/>
        <v/>
      </c>
      <c r="B801" s="182"/>
      <c r="C801" s="74"/>
      <c r="D801" s="74"/>
      <c r="E801" s="74"/>
      <c r="F801" s="181"/>
      <c r="G801" s="69"/>
      <c r="AB801" s="150">
        <f t="shared" si="144"/>
        <v>0</v>
      </c>
      <c r="AC801" s="150">
        <f t="shared" si="145"/>
        <v>0</v>
      </c>
      <c r="AD801" s="98" t="str">
        <f t="shared" si="154"/>
        <v>0000000000</v>
      </c>
      <c r="AE801" s="151">
        <f t="shared" si="147"/>
        <v>0</v>
      </c>
      <c r="AF801" s="98" t="str">
        <f t="shared" si="148"/>
        <v>00</v>
      </c>
      <c r="AG801" s="98" t="str">
        <f t="shared" si="155"/>
        <v>000000000000</v>
      </c>
      <c r="AH801" s="161" t="str">
        <f t="shared" si="149"/>
        <v xml:space="preserve">                    </v>
      </c>
      <c r="AI801" s="154">
        <f t="shared" si="150"/>
        <v>0</v>
      </c>
      <c r="AJ801" s="155">
        <f t="shared" si="151"/>
        <v>0</v>
      </c>
      <c r="AP801" s="63" t="str">
        <f t="shared" si="152"/>
        <v/>
      </c>
      <c r="AQ801" s="63" t="str">
        <f t="shared" si="146"/>
        <v xml:space="preserve">                    </v>
      </c>
      <c r="AR801" s="63"/>
      <c r="AS801" s="63"/>
      <c r="AT801" s="63"/>
      <c r="AU801" s="63"/>
      <c r="AV801" s="63"/>
      <c r="AW801" s="63"/>
      <c r="AX801" s="63"/>
      <c r="AY801" s="63"/>
      <c r="AZ801" s="63"/>
      <c r="BA801" s="63"/>
      <c r="BB801" s="63"/>
      <c r="BC801" s="63"/>
      <c r="BD801" s="63"/>
      <c r="BE801" s="63"/>
      <c r="BF801" s="63"/>
      <c r="BG801" s="63"/>
      <c r="BH801" s="63"/>
      <c r="BI801" s="63"/>
      <c r="BJ801" s="63"/>
      <c r="BK801" s="63"/>
      <c r="BL801" s="63"/>
      <c r="BM801" s="63"/>
      <c r="BN801" s="63"/>
      <c r="BO801" s="63"/>
      <c r="BP801" s="63"/>
      <c r="BQ801" s="63"/>
      <c r="BR801" s="63"/>
      <c r="BS801" s="63"/>
      <c r="BT801" s="63"/>
      <c r="BU801" s="63"/>
      <c r="BV801" s="63"/>
      <c r="BW801" s="63"/>
    </row>
    <row r="802" spans="1:75" x14ac:dyDescent="0.2">
      <c r="A802" s="63" t="str">
        <f t="shared" si="153"/>
        <v/>
      </c>
      <c r="B802" s="182"/>
      <c r="C802" s="74"/>
      <c r="D802" s="74"/>
      <c r="E802" s="74"/>
      <c r="F802" s="181"/>
      <c r="G802" s="69"/>
      <c r="AB802" s="150">
        <f t="shared" si="144"/>
        <v>0</v>
      </c>
      <c r="AC802" s="150">
        <f t="shared" si="145"/>
        <v>0</v>
      </c>
      <c r="AD802" s="98" t="str">
        <f t="shared" si="154"/>
        <v>0000000000</v>
      </c>
      <c r="AE802" s="151">
        <f t="shared" si="147"/>
        <v>0</v>
      </c>
      <c r="AF802" s="98" t="str">
        <f t="shared" si="148"/>
        <v>00</v>
      </c>
      <c r="AG802" s="98" t="str">
        <f t="shared" si="155"/>
        <v>000000000000</v>
      </c>
      <c r="AH802" s="161" t="str">
        <f t="shared" si="149"/>
        <v xml:space="preserve">                    </v>
      </c>
      <c r="AI802" s="154">
        <f t="shared" si="150"/>
        <v>0</v>
      </c>
      <c r="AJ802" s="155">
        <f t="shared" si="151"/>
        <v>0</v>
      </c>
      <c r="AP802" s="63" t="str">
        <f t="shared" si="152"/>
        <v/>
      </c>
      <c r="AQ802" s="63" t="str">
        <f t="shared" si="146"/>
        <v xml:space="preserve">                    </v>
      </c>
      <c r="AR802" s="63"/>
      <c r="AS802" s="63"/>
      <c r="AT802" s="63"/>
      <c r="AU802" s="63"/>
      <c r="AV802" s="63"/>
      <c r="AW802" s="63"/>
      <c r="AX802" s="63"/>
      <c r="AY802" s="63"/>
      <c r="AZ802" s="63"/>
      <c r="BA802" s="63"/>
      <c r="BB802" s="63"/>
      <c r="BC802" s="63"/>
      <c r="BD802" s="63"/>
      <c r="BE802" s="63"/>
      <c r="BF802" s="63"/>
      <c r="BG802" s="63"/>
      <c r="BH802" s="63"/>
      <c r="BI802" s="63"/>
      <c r="BJ802" s="63"/>
      <c r="BK802" s="63"/>
      <c r="BL802" s="63"/>
      <c r="BM802" s="63"/>
      <c r="BN802" s="63"/>
      <c r="BO802" s="63"/>
      <c r="BP802" s="63"/>
      <c r="BQ802" s="63"/>
      <c r="BR802" s="63"/>
      <c r="BS802" s="63"/>
      <c r="BT802" s="63"/>
      <c r="BU802" s="63"/>
      <c r="BV802" s="63"/>
      <c r="BW802" s="63"/>
    </row>
    <row r="803" spans="1:75" x14ac:dyDescent="0.2">
      <c r="A803" s="63" t="str">
        <f t="shared" si="153"/>
        <v/>
      </c>
      <c r="B803" s="182"/>
      <c r="C803" s="74"/>
      <c r="D803" s="74"/>
      <c r="E803" s="74"/>
      <c r="F803" s="181"/>
      <c r="G803" s="69"/>
      <c r="AB803" s="150">
        <f t="shared" si="144"/>
        <v>0</v>
      </c>
      <c r="AC803" s="150">
        <f t="shared" si="145"/>
        <v>0</v>
      </c>
      <c r="AD803" s="98" t="str">
        <f t="shared" si="154"/>
        <v>0000000000</v>
      </c>
      <c r="AE803" s="151">
        <f t="shared" si="147"/>
        <v>0</v>
      </c>
      <c r="AF803" s="98" t="str">
        <f t="shared" si="148"/>
        <v>00</v>
      </c>
      <c r="AG803" s="98" t="str">
        <f t="shared" si="155"/>
        <v>000000000000</v>
      </c>
      <c r="AH803" s="161" t="str">
        <f t="shared" si="149"/>
        <v xml:space="preserve">                    </v>
      </c>
      <c r="AI803" s="154">
        <f t="shared" si="150"/>
        <v>0</v>
      </c>
      <c r="AJ803" s="155">
        <f t="shared" si="151"/>
        <v>0</v>
      </c>
      <c r="AP803" s="63" t="str">
        <f t="shared" si="152"/>
        <v/>
      </c>
      <c r="AQ803" s="63" t="str">
        <f t="shared" si="146"/>
        <v xml:space="preserve">                    </v>
      </c>
      <c r="AR803" s="63"/>
      <c r="AS803" s="63"/>
      <c r="AT803" s="63"/>
      <c r="AU803" s="63"/>
      <c r="AV803" s="63"/>
      <c r="AW803" s="63"/>
      <c r="AX803" s="63"/>
      <c r="AY803" s="63"/>
      <c r="AZ803" s="63"/>
      <c r="BA803" s="63"/>
      <c r="BB803" s="63"/>
      <c r="BC803" s="63"/>
      <c r="BD803" s="63"/>
      <c r="BE803" s="63"/>
      <c r="BF803" s="63"/>
      <c r="BG803" s="63"/>
      <c r="BH803" s="63"/>
      <c r="BI803" s="63"/>
      <c r="BJ803" s="63"/>
      <c r="BK803" s="63"/>
      <c r="BL803" s="63"/>
      <c r="BM803" s="63"/>
      <c r="BN803" s="63"/>
      <c r="BO803" s="63"/>
      <c r="BP803" s="63"/>
      <c r="BQ803" s="63"/>
      <c r="BR803" s="63"/>
      <c r="BS803" s="63"/>
      <c r="BT803" s="63"/>
      <c r="BU803" s="63"/>
      <c r="BV803" s="63"/>
      <c r="BW803" s="63"/>
    </row>
    <row r="804" spans="1:75" x14ac:dyDescent="0.2">
      <c r="A804" s="63" t="str">
        <f t="shared" si="153"/>
        <v/>
      </c>
      <c r="B804" s="182"/>
      <c r="C804" s="74"/>
      <c r="D804" s="74"/>
      <c r="E804" s="74"/>
      <c r="F804" s="181"/>
      <c r="G804" s="69"/>
      <c r="AB804" s="150">
        <f t="shared" si="144"/>
        <v>0</v>
      </c>
      <c r="AC804" s="150">
        <f t="shared" si="145"/>
        <v>0</v>
      </c>
      <c r="AD804" s="98" t="str">
        <f t="shared" si="154"/>
        <v>0000000000</v>
      </c>
      <c r="AE804" s="151">
        <f t="shared" si="147"/>
        <v>0</v>
      </c>
      <c r="AF804" s="98" t="str">
        <f t="shared" si="148"/>
        <v>00</v>
      </c>
      <c r="AG804" s="98" t="str">
        <f t="shared" si="155"/>
        <v>000000000000</v>
      </c>
      <c r="AH804" s="161" t="str">
        <f t="shared" si="149"/>
        <v xml:space="preserve">                    </v>
      </c>
      <c r="AI804" s="154">
        <f t="shared" si="150"/>
        <v>0</v>
      </c>
      <c r="AJ804" s="155">
        <f t="shared" si="151"/>
        <v>0</v>
      </c>
      <c r="AP804" s="63" t="str">
        <f t="shared" si="152"/>
        <v/>
      </c>
      <c r="AQ804" s="63" t="str">
        <f t="shared" si="146"/>
        <v xml:space="preserve">                    </v>
      </c>
      <c r="AR804" s="63"/>
      <c r="AS804" s="63"/>
      <c r="AT804" s="63"/>
      <c r="AU804" s="63"/>
      <c r="AV804" s="63"/>
      <c r="AW804" s="63"/>
      <c r="AX804" s="63"/>
      <c r="AY804" s="63"/>
      <c r="AZ804" s="63"/>
      <c r="BA804" s="63"/>
      <c r="BB804" s="63"/>
      <c r="BC804" s="63"/>
      <c r="BD804" s="63"/>
      <c r="BE804" s="63"/>
      <c r="BF804" s="63"/>
      <c r="BG804" s="63"/>
      <c r="BH804" s="63"/>
      <c r="BI804" s="63"/>
      <c r="BJ804" s="63"/>
      <c r="BK804" s="63"/>
      <c r="BL804" s="63"/>
      <c r="BM804" s="63"/>
      <c r="BN804" s="63"/>
      <c r="BO804" s="63"/>
      <c r="BP804" s="63"/>
      <c r="BQ804" s="63"/>
      <c r="BR804" s="63"/>
      <c r="BS804" s="63"/>
      <c r="BT804" s="63"/>
      <c r="BU804" s="63"/>
      <c r="BV804" s="63"/>
      <c r="BW804" s="63"/>
    </row>
    <row r="805" spans="1:75" x14ac:dyDescent="0.2">
      <c r="A805" s="63" t="str">
        <f t="shared" si="153"/>
        <v/>
      </c>
      <c r="B805" s="182"/>
      <c r="C805" s="74"/>
      <c r="D805" s="74"/>
      <c r="E805" s="74"/>
      <c r="F805" s="181"/>
      <c r="G805" s="69"/>
      <c r="AB805" s="150">
        <f t="shared" si="144"/>
        <v>0</v>
      </c>
      <c r="AC805" s="150">
        <f t="shared" si="145"/>
        <v>0</v>
      </c>
      <c r="AD805" s="98" t="str">
        <f t="shared" si="154"/>
        <v>0000000000</v>
      </c>
      <c r="AE805" s="151">
        <f t="shared" si="147"/>
        <v>0</v>
      </c>
      <c r="AF805" s="98" t="str">
        <f t="shared" si="148"/>
        <v>00</v>
      </c>
      <c r="AG805" s="98" t="str">
        <f t="shared" si="155"/>
        <v>000000000000</v>
      </c>
      <c r="AH805" s="161" t="str">
        <f t="shared" si="149"/>
        <v xml:space="preserve">                    </v>
      </c>
      <c r="AI805" s="154">
        <f t="shared" si="150"/>
        <v>0</v>
      </c>
      <c r="AJ805" s="155">
        <f t="shared" si="151"/>
        <v>0</v>
      </c>
      <c r="AP805" s="63" t="str">
        <f t="shared" si="152"/>
        <v/>
      </c>
      <c r="AQ805" s="63" t="str">
        <f t="shared" si="146"/>
        <v xml:space="preserve">                    </v>
      </c>
      <c r="AR805" s="63"/>
      <c r="AS805" s="63"/>
      <c r="AT805" s="63"/>
      <c r="AU805" s="63"/>
      <c r="AV805" s="63"/>
      <c r="AW805" s="63"/>
      <c r="AX805" s="63"/>
      <c r="AY805" s="63"/>
      <c r="AZ805" s="63"/>
      <c r="BA805" s="63"/>
      <c r="BB805" s="63"/>
      <c r="BC805" s="63"/>
      <c r="BD805" s="63"/>
      <c r="BE805" s="63"/>
      <c r="BF805" s="63"/>
      <c r="BG805" s="63"/>
      <c r="BH805" s="63"/>
      <c r="BI805" s="63"/>
      <c r="BJ805" s="63"/>
      <c r="BK805" s="63"/>
      <c r="BL805" s="63"/>
      <c r="BM805" s="63"/>
      <c r="BN805" s="63"/>
      <c r="BO805" s="63"/>
      <c r="BP805" s="63"/>
      <c r="BQ805" s="63"/>
      <c r="BR805" s="63"/>
      <c r="BS805" s="63"/>
      <c r="BT805" s="63"/>
      <c r="BU805" s="63"/>
      <c r="BV805" s="63"/>
      <c r="BW805" s="63"/>
    </row>
    <row r="806" spans="1:75" x14ac:dyDescent="0.2">
      <c r="A806" s="63" t="str">
        <f t="shared" si="153"/>
        <v/>
      </c>
      <c r="B806" s="182"/>
      <c r="C806" s="74"/>
      <c r="D806" s="74"/>
      <c r="E806" s="74"/>
      <c r="F806" s="181"/>
      <c r="G806" s="69"/>
      <c r="AB806" s="150">
        <f t="shared" si="144"/>
        <v>0</v>
      </c>
      <c r="AC806" s="150">
        <f t="shared" si="145"/>
        <v>0</v>
      </c>
      <c r="AD806" s="98" t="str">
        <f t="shared" si="154"/>
        <v>0000000000</v>
      </c>
      <c r="AE806" s="151">
        <f t="shared" si="147"/>
        <v>0</v>
      </c>
      <c r="AF806" s="98" t="str">
        <f t="shared" si="148"/>
        <v>00</v>
      </c>
      <c r="AG806" s="98" t="str">
        <f t="shared" si="155"/>
        <v>000000000000</v>
      </c>
      <c r="AH806" s="161" t="str">
        <f t="shared" si="149"/>
        <v xml:space="preserve">                    </v>
      </c>
      <c r="AI806" s="154">
        <f t="shared" si="150"/>
        <v>0</v>
      </c>
      <c r="AJ806" s="155">
        <f t="shared" si="151"/>
        <v>0</v>
      </c>
      <c r="AP806" s="63" t="str">
        <f t="shared" si="152"/>
        <v/>
      </c>
      <c r="AQ806" s="63" t="str">
        <f t="shared" si="146"/>
        <v xml:space="preserve">                    </v>
      </c>
      <c r="AR806" s="63"/>
      <c r="AS806" s="63"/>
      <c r="AT806" s="63"/>
      <c r="AU806" s="63"/>
      <c r="AV806" s="63"/>
      <c r="AW806" s="63"/>
      <c r="AX806" s="63"/>
      <c r="AY806" s="63"/>
      <c r="AZ806" s="63"/>
      <c r="BA806" s="63"/>
      <c r="BB806" s="63"/>
      <c r="BC806" s="63"/>
      <c r="BD806" s="63"/>
      <c r="BE806" s="63"/>
      <c r="BF806" s="63"/>
      <c r="BG806" s="63"/>
      <c r="BH806" s="63"/>
      <c r="BI806" s="63"/>
      <c r="BJ806" s="63"/>
      <c r="BK806" s="63"/>
      <c r="BL806" s="63"/>
      <c r="BM806" s="63"/>
      <c r="BN806" s="63"/>
      <c r="BO806" s="63"/>
      <c r="BP806" s="63"/>
      <c r="BQ806" s="63"/>
      <c r="BR806" s="63"/>
      <c r="BS806" s="63"/>
      <c r="BT806" s="63"/>
      <c r="BU806" s="63"/>
      <c r="BV806" s="63"/>
      <c r="BW806" s="63"/>
    </row>
    <row r="807" spans="1:75" x14ac:dyDescent="0.2">
      <c r="A807" s="63" t="str">
        <f t="shared" si="153"/>
        <v/>
      </c>
      <c r="B807" s="182"/>
      <c r="C807" s="74"/>
      <c r="D807" s="74"/>
      <c r="E807" s="74"/>
      <c r="F807" s="181"/>
      <c r="G807" s="69"/>
      <c r="AB807" s="150">
        <f t="shared" si="144"/>
        <v>0</v>
      </c>
      <c r="AC807" s="150">
        <f t="shared" si="145"/>
        <v>0</v>
      </c>
      <c r="AD807" s="98" t="str">
        <f t="shared" si="154"/>
        <v>0000000000</v>
      </c>
      <c r="AE807" s="151">
        <f t="shared" si="147"/>
        <v>0</v>
      </c>
      <c r="AF807" s="98" t="str">
        <f t="shared" si="148"/>
        <v>00</v>
      </c>
      <c r="AG807" s="98" t="str">
        <f t="shared" si="155"/>
        <v>000000000000</v>
      </c>
      <c r="AH807" s="161" t="str">
        <f t="shared" si="149"/>
        <v xml:space="preserve">                    </v>
      </c>
      <c r="AI807" s="154">
        <f t="shared" si="150"/>
        <v>0</v>
      </c>
      <c r="AJ807" s="155">
        <f t="shared" si="151"/>
        <v>0</v>
      </c>
      <c r="AP807" s="63" t="str">
        <f t="shared" si="152"/>
        <v/>
      </c>
      <c r="AQ807" s="63" t="str">
        <f t="shared" si="146"/>
        <v xml:space="preserve">                    </v>
      </c>
      <c r="AR807" s="63"/>
      <c r="AS807" s="63"/>
      <c r="AT807" s="63"/>
      <c r="AU807" s="63"/>
      <c r="AV807" s="63"/>
      <c r="AW807" s="63"/>
      <c r="AX807" s="63"/>
      <c r="AY807" s="63"/>
      <c r="AZ807" s="63"/>
      <c r="BA807" s="63"/>
      <c r="BB807" s="63"/>
      <c r="BC807" s="63"/>
      <c r="BD807" s="63"/>
      <c r="BE807" s="63"/>
      <c r="BF807" s="63"/>
      <c r="BG807" s="63"/>
      <c r="BH807" s="63"/>
      <c r="BI807" s="63"/>
      <c r="BJ807" s="63"/>
      <c r="BK807" s="63"/>
      <c r="BL807" s="63"/>
      <c r="BM807" s="63"/>
      <c r="BN807" s="63"/>
      <c r="BO807" s="63"/>
      <c r="BP807" s="63"/>
      <c r="BQ807" s="63"/>
      <c r="BR807" s="63"/>
      <c r="BS807" s="63"/>
      <c r="BT807" s="63"/>
      <c r="BU807" s="63"/>
      <c r="BV807" s="63"/>
      <c r="BW807" s="63"/>
    </row>
    <row r="808" spans="1:75" x14ac:dyDescent="0.2">
      <c r="A808" s="63" t="str">
        <f t="shared" si="153"/>
        <v/>
      </c>
      <c r="B808" s="182"/>
      <c r="C808" s="74"/>
      <c r="D808" s="74"/>
      <c r="E808" s="74"/>
      <c r="F808" s="181"/>
      <c r="G808" s="69"/>
      <c r="AB808" s="150">
        <f t="shared" si="144"/>
        <v>0</v>
      </c>
      <c r="AC808" s="150">
        <f t="shared" si="145"/>
        <v>0</v>
      </c>
      <c r="AD808" s="98" t="str">
        <f t="shared" si="154"/>
        <v>0000000000</v>
      </c>
      <c r="AE808" s="151">
        <f t="shared" si="147"/>
        <v>0</v>
      </c>
      <c r="AF808" s="98" t="str">
        <f t="shared" si="148"/>
        <v>00</v>
      </c>
      <c r="AG808" s="98" t="str">
        <f t="shared" si="155"/>
        <v>000000000000</v>
      </c>
      <c r="AH808" s="161" t="str">
        <f t="shared" si="149"/>
        <v xml:space="preserve">                    </v>
      </c>
      <c r="AI808" s="154">
        <f t="shared" si="150"/>
        <v>0</v>
      </c>
      <c r="AJ808" s="155">
        <f t="shared" si="151"/>
        <v>0</v>
      </c>
      <c r="AP808" s="63" t="str">
        <f t="shared" si="152"/>
        <v/>
      </c>
      <c r="AQ808" s="63" t="str">
        <f t="shared" si="146"/>
        <v xml:space="preserve">                    </v>
      </c>
      <c r="AR808" s="63"/>
      <c r="AS808" s="63"/>
      <c r="AT808" s="63"/>
      <c r="AU808" s="63"/>
      <c r="AV808" s="63"/>
      <c r="AW808" s="63"/>
      <c r="AX808" s="63"/>
      <c r="AY808" s="63"/>
      <c r="AZ808" s="63"/>
      <c r="BA808" s="63"/>
      <c r="BB808" s="63"/>
      <c r="BC808" s="63"/>
      <c r="BD808" s="63"/>
      <c r="BE808" s="63"/>
      <c r="BF808" s="63"/>
      <c r="BG808" s="63"/>
      <c r="BH808" s="63"/>
      <c r="BI808" s="63"/>
      <c r="BJ808" s="63"/>
      <c r="BK808" s="63"/>
      <c r="BL808" s="63"/>
      <c r="BM808" s="63"/>
      <c r="BN808" s="63"/>
      <c r="BO808" s="63"/>
      <c r="BP808" s="63"/>
      <c r="BQ808" s="63"/>
      <c r="BR808" s="63"/>
      <c r="BS808" s="63"/>
      <c r="BT808" s="63"/>
      <c r="BU808" s="63"/>
      <c r="BV808" s="63"/>
      <c r="BW808" s="63"/>
    </row>
    <row r="809" spans="1:75" x14ac:dyDescent="0.2">
      <c r="A809" s="63" t="str">
        <f t="shared" si="153"/>
        <v/>
      </c>
      <c r="B809" s="182"/>
      <c r="C809" s="74"/>
      <c r="D809" s="74"/>
      <c r="E809" s="74"/>
      <c r="F809" s="181"/>
      <c r="G809" s="69"/>
      <c r="AB809" s="150">
        <f t="shared" si="144"/>
        <v>0</v>
      </c>
      <c r="AC809" s="150">
        <f t="shared" si="145"/>
        <v>0</v>
      </c>
      <c r="AD809" s="98" t="str">
        <f t="shared" si="154"/>
        <v>0000000000</v>
      </c>
      <c r="AE809" s="151">
        <f t="shared" si="147"/>
        <v>0</v>
      </c>
      <c r="AF809" s="98" t="str">
        <f t="shared" si="148"/>
        <v>00</v>
      </c>
      <c r="AG809" s="98" t="str">
        <f t="shared" si="155"/>
        <v>000000000000</v>
      </c>
      <c r="AH809" s="161" t="str">
        <f t="shared" si="149"/>
        <v xml:space="preserve">                    </v>
      </c>
      <c r="AI809" s="154">
        <f t="shared" si="150"/>
        <v>0</v>
      </c>
      <c r="AJ809" s="155">
        <f t="shared" si="151"/>
        <v>0</v>
      </c>
      <c r="AP809" s="63" t="str">
        <f t="shared" si="152"/>
        <v/>
      </c>
      <c r="AQ809" s="63" t="str">
        <f t="shared" si="146"/>
        <v xml:space="preserve">                    </v>
      </c>
      <c r="AR809" s="63"/>
      <c r="AS809" s="63"/>
      <c r="AT809" s="63"/>
      <c r="AU809" s="63"/>
      <c r="AV809" s="63"/>
      <c r="AW809" s="63"/>
      <c r="AX809" s="63"/>
      <c r="AY809" s="63"/>
      <c r="AZ809" s="63"/>
      <c r="BA809" s="63"/>
      <c r="BB809" s="63"/>
      <c r="BC809" s="63"/>
      <c r="BD809" s="63"/>
      <c r="BE809" s="63"/>
      <c r="BF809" s="63"/>
      <c r="BG809" s="63"/>
      <c r="BH809" s="63"/>
      <c r="BI809" s="63"/>
      <c r="BJ809" s="63"/>
      <c r="BK809" s="63"/>
      <c r="BL809" s="63"/>
      <c r="BM809" s="63"/>
      <c r="BN809" s="63"/>
      <c r="BO809" s="63"/>
      <c r="BP809" s="63"/>
      <c r="BQ809" s="63"/>
      <c r="BR809" s="63"/>
      <c r="BS809" s="63"/>
      <c r="BT809" s="63"/>
      <c r="BU809" s="63"/>
      <c r="BV809" s="63"/>
      <c r="BW809" s="63"/>
    </row>
    <row r="810" spans="1:75" x14ac:dyDescent="0.2">
      <c r="A810" s="63" t="str">
        <f t="shared" si="153"/>
        <v/>
      </c>
      <c r="B810" s="182"/>
      <c r="C810" s="74"/>
      <c r="D810" s="74"/>
      <c r="E810" s="74"/>
      <c r="F810" s="181"/>
      <c r="G810" s="69"/>
      <c r="AB810" s="150">
        <f t="shared" si="144"/>
        <v>0</v>
      </c>
      <c r="AC810" s="150">
        <f t="shared" si="145"/>
        <v>0</v>
      </c>
      <c r="AD810" s="98" t="str">
        <f t="shared" si="154"/>
        <v>0000000000</v>
      </c>
      <c r="AE810" s="151">
        <f t="shared" si="147"/>
        <v>0</v>
      </c>
      <c r="AF810" s="98" t="str">
        <f t="shared" si="148"/>
        <v>00</v>
      </c>
      <c r="AG810" s="98" t="str">
        <f t="shared" si="155"/>
        <v>000000000000</v>
      </c>
      <c r="AH810" s="161" t="str">
        <f t="shared" si="149"/>
        <v xml:space="preserve">                    </v>
      </c>
      <c r="AI810" s="154">
        <f t="shared" si="150"/>
        <v>0</v>
      </c>
      <c r="AJ810" s="155">
        <f t="shared" si="151"/>
        <v>0</v>
      </c>
      <c r="AP810" s="63" t="str">
        <f t="shared" si="152"/>
        <v/>
      </c>
      <c r="AQ810" s="63" t="str">
        <f t="shared" si="146"/>
        <v xml:space="preserve">                    </v>
      </c>
      <c r="AR810" s="63"/>
      <c r="AS810" s="63"/>
      <c r="AT810" s="63"/>
      <c r="AU810" s="63"/>
      <c r="AV810" s="63"/>
      <c r="AW810" s="63"/>
      <c r="AX810" s="63"/>
      <c r="AY810" s="63"/>
      <c r="AZ810" s="63"/>
      <c r="BA810" s="63"/>
      <c r="BB810" s="63"/>
      <c r="BC810" s="63"/>
      <c r="BD810" s="63"/>
      <c r="BE810" s="63"/>
      <c r="BF810" s="63"/>
      <c r="BG810" s="63"/>
      <c r="BH810" s="63"/>
      <c r="BI810" s="63"/>
      <c r="BJ810" s="63"/>
      <c r="BK810" s="63"/>
      <c r="BL810" s="63"/>
      <c r="BM810" s="63"/>
      <c r="BN810" s="63"/>
      <c r="BO810" s="63"/>
      <c r="BP810" s="63"/>
      <c r="BQ810" s="63"/>
      <c r="BR810" s="63"/>
      <c r="BS810" s="63"/>
      <c r="BT810" s="63"/>
      <c r="BU810" s="63"/>
      <c r="BV810" s="63"/>
      <c r="BW810" s="63"/>
    </row>
    <row r="811" spans="1:75" x14ac:dyDescent="0.2">
      <c r="A811" s="63" t="str">
        <f t="shared" si="153"/>
        <v/>
      </c>
      <c r="B811" s="182"/>
      <c r="C811" s="74"/>
      <c r="D811" s="74"/>
      <c r="E811" s="74"/>
      <c r="F811" s="181"/>
      <c r="G811" s="69"/>
      <c r="AB811" s="150">
        <f t="shared" si="144"/>
        <v>0</v>
      </c>
      <c r="AC811" s="150">
        <f t="shared" si="145"/>
        <v>0</v>
      </c>
      <c r="AD811" s="98" t="str">
        <f t="shared" si="154"/>
        <v>0000000000</v>
      </c>
      <c r="AE811" s="151">
        <f t="shared" si="147"/>
        <v>0</v>
      </c>
      <c r="AF811" s="98" t="str">
        <f t="shared" si="148"/>
        <v>00</v>
      </c>
      <c r="AG811" s="98" t="str">
        <f t="shared" si="155"/>
        <v>000000000000</v>
      </c>
      <c r="AH811" s="161" t="str">
        <f t="shared" si="149"/>
        <v xml:space="preserve">                    </v>
      </c>
      <c r="AI811" s="154">
        <f t="shared" si="150"/>
        <v>0</v>
      </c>
      <c r="AJ811" s="155">
        <f t="shared" si="151"/>
        <v>0</v>
      </c>
      <c r="AP811" s="63" t="str">
        <f t="shared" si="152"/>
        <v/>
      </c>
      <c r="AQ811" s="63" t="str">
        <f t="shared" si="146"/>
        <v xml:space="preserve">                    </v>
      </c>
      <c r="AR811" s="63"/>
      <c r="AS811" s="63"/>
      <c r="AT811" s="63"/>
      <c r="AU811" s="63"/>
      <c r="AV811" s="63"/>
      <c r="AW811" s="63"/>
      <c r="AX811" s="63"/>
      <c r="AY811" s="63"/>
      <c r="AZ811" s="63"/>
      <c r="BA811" s="63"/>
      <c r="BB811" s="63"/>
      <c r="BC811" s="63"/>
      <c r="BD811" s="63"/>
      <c r="BE811" s="63"/>
      <c r="BF811" s="63"/>
      <c r="BG811" s="63"/>
      <c r="BH811" s="63"/>
      <c r="BI811" s="63"/>
      <c r="BJ811" s="63"/>
      <c r="BK811" s="63"/>
      <c r="BL811" s="63"/>
      <c r="BM811" s="63"/>
      <c r="BN811" s="63"/>
      <c r="BO811" s="63"/>
      <c r="BP811" s="63"/>
      <c r="BQ811" s="63"/>
      <c r="BR811" s="63"/>
      <c r="BS811" s="63"/>
      <c r="BT811" s="63"/>
      <c r="BU811" s="63"/>
      <c r="BV811" s="63"/>
      <c r="BW811" s="63"/>
    </row>
    <row r="812" spans="1:75" x14ac:dyDescent="0.2">
      <c r="A812" s="63" t="str">
        <f t="shared" si="153"/>
        <v/>
      </c>
      <c r="B812" s="182"/>
      <c r="C812" s="74"/>
      <c r="D812" s="74"/>
      <c r="E812" s="74"/>
      <c r="F812" s="181"/>
      <c r="G812" s="69"/>
      <c r="AB812" s="150">
        <f t="shared" si="144"/>
        <v>0</v>
      </c>
      <c r="AC812" s="150">
        <f t="shared" si="145"/>
        <v>0</v>
      </c>
      <c r="AD812" s="98" t="str">
        <f t="shared" si="154"/>
        <v>0000000000</v>
      </c>
      <c r="AE812" s="151">
        <f t="shared" si="147"/>
        <v>0</v>
      </c>
      <c r="AF812" s="98" t="str">
        <f t="shared" si="148"/>
        <v>00</v>
      </c>
      <c r="AG812" s="98" t="str">
        <f t="shared" si="155"/>
        <v>000000000000</v>
      </c>
      <c r="AH812" s="161" t="str">
        <f t="shared" si="149"/>
        <v xml:space="preserve">                    </v>
      </c>
      <c r="AI812" s="154">
        <f t="shared" si="150"/>
        <v>0</v>
      </c>
      <c r="AJ812" s="155">
        <f t="shared" si="151"/>
        <v>0</v>
      </c>
      <c r="AP812" s="63" t="str">
        <f t="shared" si="152"/>
        <v/>
      </c>
      <c r="AQ812" s="63" t="str">
        <f t="shared" si="146"/>
        <v xml:space="preserve">                    </v>
      </c>
      <c r="AR812" s="63"/>
      <c r="AS812" s="63"/>
      <c r="AT812" s="63"/>
      <c r="AU812" s="63"/>
      <c r="AV812" s="63"/>
      <c r="AW812" s="63"/>
      <c r="AX812" s="63"/>
      <c r="AY812" s="63"/>
      <c r="AZ812" s="63"/>
      <c r="BA812" s="63"/>
      <c r="BB812" s="63"/>
      <c r="BC812" s="63"/>
      <c r="BD812" s="63"/>
      <c r="BE812" s="63"/>
      <c r="BF812" s="63"/>
      <c r="BG812" s="63"/>
      <c r="BH812" s="63"/>
      <c r="BI812" s="63"/>
      <c r="BJ812" s="63"/>
      <c r="BK812" s="63"/>
      <c r="BL812" s="63"/>
      <c r="BM812" s="63"/>
      <c r="BN812" s="63"/>
      <c r="BO812" s="63"/>
      <c r="BP812" s="63"/>
      <c r="BQ812" s="63"/>
      <c r="BR812" s="63"/>
      <c r="BS812" s="63"/>
      <c r="BT812" s="63"/>
      <c r="BU812" s="63"/>
      <c r="BV812" s="63"/>
      <c r="BW812" s="63"/>
    </row>
    <row r="813" spans="1:75" x14ac:dyDescent="0.2">
      <c r="A813" s="63" t="str">
        <f t="shared" si="153"/>
        <v/>
      </c>
      <c r="B813" s="182"/>
      <c r="C813" s="74"/>
      <c r="D813" s="74"/>
      <c r="E813" s="74"/>
      <c r="F813" s="181"/>
      <c r="G813" s="69"/>
      <c r="AB813" s="150">
        <f t="shared" si="144"/>
        <v>0</v>
      </c>
      <c r="AC813" s="150">
        <f t="shared" si="145"/>
        <v>0</v>
      </c>
      <c r="AD813" s="98" t="str">
        <f t="shared" si="154"/>
        <v>0000000000</v>
      </c>
      <c r="AE813" s="151">
        <f t="shared" si="147"/>
        <v>0</v>
      </c>
      <c r="AF813" s="98" t="str">
        <f t="shared" si="148"/>
        <v>00</v>
      </c>
      <c r="AG813" s="98" t="str">
        <f t="shared" si="155"/>
        <v>000000000000</v>
      </c>
      <c r="AH813" s="161" t="str">
        <f t="shared" si="149"/>
        <v xml:space="preserve">                    </v>
      </c>
      <c r="AI813" s="154">
        <f t="shared" si="150"/>
        <v>0</v>
      </c>
      <c r="AJ813" s="155">
        <f t="shared" si="151"/>
        <v>0</v>
      </c>
      <c r="AP813" s="63" t="str">
        <f t="shared" si="152"/>
        <v/>
      </c>
      <c r="AQ813" s="63" t="str">
        <f t="shared" si="146"/>
        <v xml:space="preserve">                    </v>
      </c>
      <c r="AR813" s="63"/>
      <c r="AS813" s="63"/>
      <c r="AT813" s="63"/>
      <c r="AU813" s="63"/>
      <c r="AV813" s="63"/>
      <c r="AW813" s="63"/>
      <c r="AX813" s="63"/>
      <c r="AY813" s="63"/>
      <c r="AZ813" s="63"/>
      <c r="BA813" s="63"/>
      <c r="BB813" s="63"/>
      <c r="BC813" s="63"/>
      <c r="BD813" s="63"/>
      <c r="BE813" s="63"/>
      <c r="BF813" s="63"/>
      <c r="BG813" s="63"/>
      <c r="BH813" s="63"/>
      <c r="BI813" s="63"/>
      <c r="BJ813" s="63"/>
      <c r="BK813" s="63"/>
      <c r="BL813" s="63"/>
      <c r="BM813" s="63"/>
      <c r="BN813" s="63"/>
      <c r="BO813" s="63"/>
      <c r="BP813" s="63"/>
      <c r="BQ813" s="63"/>
      <c r="BR813" s="63"/>
      <c r="BS813" s="63"/>
      <c r="BT813" s="63"/>
      <c r="BU813" s="63"/>
      <c r="BV813" s="63"/>
      <c r="BW813" s="63"/>
    </row>
    <row r="814" spans="1:75" x14ac:dyDescent="0.2">
      <c r="A814" s="63" t="str">
        <f t="shared" si="153"/>
        <v/>
      </c>
      <c r="B814" s="182"/>
      <c r="C814" s="74"/>
      <c r="D814" s="74"/>
      <c r="E814" s="74"/>
      <c r="F814" s="181"/>
      <c r="G814" s="69"/>
      <c r="AB814" s="150">
        <f t="shared" si="144"/>
        <v>0</v>
      </c>
      <c r="AC814" s="150">
        <f t="shared" si="145"/>
        <v>0</v>
      </c>
      <c r="AD814" s="98" t="str">
        <f t="shared" si="154"/>
        <v>0000000000</v>
      </c>
      <c r="AE814" s="151">
        <f t="shared" si="147"/>
        <v>0</v>
      </c>
      <c r="AF814" s="98" t="str">
        <f t="shared" si="148"/>
        <v>00</v>
      </c>
      <c r="AG814" s="98" t="str">
        <f t="shared" si="155"/>
        <v>000000000000</v>
      </c>
      <c r="AH814" s="161" t="str">
        <f t="shared" si="149"/>
        <v xml:space="preserve">                    </v>
      </c>
      <c r="AI814" s="154">
        <f t="shared" si="150"/>
        <v>0</v>
      </c>
      <c r="AJ814" s="155">
        <f t="shared" si="151"/>
        <v>0</v>
      </c>
      <c r="AP814" s="63" t="str">
        <f t="shared" si="152"/>
        <v/>
      </c>
      <c r="AQ814" s="63" t="str">
        <f t="shared" si="146"/>
        <v xml:space="preserve">                    </v>
      </c>
      <c r="AR814" s="63"/>
      <c r="AS814" s="63"/>
      <c r="AT814" s="63"/>
      <c r="AU814" s="63"/>
      <c r="AV814" s="63"/>
      <c r="AW814" s="63"/>
      <c r="AX814" s="63"/>
      <c r="AY814" s="63"/>
      <c r="AZ814" s="63"/>
      <c r="BA814" s="63"/>
      <c r="BB814" s="63"/>
      <c r="BC814" s="63"/>
      <c r="BD814" s="63"/>
      <c r="BE814" s="63"/>
      <c r="BF814" s="63"/>
      <c r="BG814" s="63"/>
      <c r="BH814" s="63"/>
      <c r="BI814" s="63"/>
      <c r="BJ814" s="63"/>
      <c r="BK814" s="63"/>
      <c r="BL814" s="63"/>
      <c r="BM814" s="63"/>
      <c r="BN814" s="63"/>
      <c r="BO814" s="63"/>
      <c r="BP814" s="63"/>
      <c r="BQ814" s="63"/>
      <c r="BR814" s="63"/>
      <c r="BS814" s="63"/>
      <c r="BT814" s="63"/>
      <c r="BU814" s="63"/>
      <c r="BV814" s="63"/>
      <c r="BW814" s="63"/>
    </row>
    <row r="815" spans="1:75" x14ac:dyDescent="0.2">
      <c r="A815" s="63" t="str">
        <f t="shared" si="153"/>
        <v/>
      </c>
      <c r="B815" s="182"/>
      <c r="C815" s="74"/>
      <c r="D815" s="74"/>
      <c r="E815" s="74"/>
      <c r="F815" s="181"/>
      <c r="G815" s="69"/>
      <c r="AB815" s="150">
        <f t="shared" si="144"/>
        <v>0</v>
      </c>
      <c r="AC815" s="150">
        <f t="shared" si="145"/>
        <v>0</v>
      </c>
      <c r="AD815" s="98" t="str">
        <f t="shared" si="154"/>
        <v>0000000000</v>
      </c>
      <c r="AE815" s="151">
        <f t="shared" si="147"/>
        <v>0</v>
      </c>
      <c r="AF815" s="98" t="str">
        <f t="shared" si="148"/>
        <v>00</v>
      </c>
      <c r="AG815" s="98" t="str">
        <f t="shared" si="155"/>
        <v>000000000000</v>
      </c>
      <c r="AH815" s="161" t="str">
        <f t="shared" si="149"/>
        <v xml:space="preserve">                    </v>
      </c>
      <c r="AI815" s="154">
        <f t="shared" si="150"/>
        <v>0</v>
      </c>
      <c r="AJ815" s="155">
        <f t="shared" si="151"/>
        <v>0</v>
      </c>
      <c r="AP815" s="63" t="str">
        <f t="shared" si="152"/>
        <v/>
      </c>
      <c r="AQ815" s="63" t="str">
        <f t="shared" si="146"/>
        <v xml:space="preserve">                    </v>
      </c>
      <c r="AR815" s="63"/>
      <c r="AS815" s="63"/>
      <c r="AT815" s="63"/>
      <c r="AU815" s="63"/>
      <c r="AV815" s="63"/>
      <c r="AW815" s="63"/>
      <c r="AX815" s="63"/>
      <c r="AY815" s="63"/>
      <c r="AZ815" s="63"/>
      <c r="BA815" s="63"/>
      <c r="BB815" s="63"/>
      <c r="BC815" s="63"/>
      <c r="BD815" s="63"/>
      <c r="BE815" s="63"/>
      <c r="BF815" s="63"/>
      <c r="BG815" s="63"/>
      <c r="BH815" s="63"/>
      <c r="BI815" s="63"/>
      <c r="BJ815" s="63"/>
      <c r="BK815" s="63"/>
      <c r="BL815" s="63"/>
      <c r="BM815" s="63"/>
      <c r="BN815" s="63"/>
      <c r="BO815" s="63"/>
      <c r="BP815" s="63"/>
      <c r="BQ815" s="63"/>
      <c r="BR815" s="63"/>
      <c r="BS815" s="63"/>
      <c r="BT815" s="63"/>
      <c r="BU815" s="63"/>
      <c r="BV815" s="63"/>
      <c r="BW815" s="63"/>
    </row>
    <row r="816" spans="1:75" x14ac:dyDescent="0.2">
      <c r="A816" s="63" t="str">
        <f t="shared" si="153"/>
        <v/>
      </c>
      <c r="B816" s="182"/>
      <c r="C816" s="74"/>
      <c r="D816" s="74"/>
      <c r="E816" s="74"/>
      <c r="F816" s="181"/>
      <c r="G816" s="69"/>
      <c r="AB816" s="150">
        <f t="shared" si="144"/>
        <v>0</v>
      </c>
      <c r="AC816" s="150">
        <f t="shared" si="145"/>
        <v>0</v>
      </c>
      <c r="AD816" s="98" t="str">
        <f t="shared" si="154"/>
        <v>0000000000</v>
      </c>
      <c r="AE816" s="151">
        <f t="shared" si="147"/>
        <v>0</v>
      </c>
      <c r="AF816" s="98" t="str">
        <f t="shared" si="148"/>
        <v>00</v>
      </c>
      <c r="AG816" s="98" t="str">
        <f t="shared" si="155"/>
        <v>000000000000</v>
      </c>
      <c r="AH816" s="161" t="str">
        <f t="shared" si="149"/>
        <v xml:space="preserve">                    </v>
      </c>
      <c r="AI816" s="154">
        <f t="shared" si="150"/>
        <v>0</v>
      </c>
      <c r="AJ816" s="155">
        <f t="shared" si="151"/>
        <v>0</v>
      </c>
      <c r="AP816" s="63" t="str">
        <f t="shared" si="152"/>
        <v/>
      </c>
      <c r="AQ816" s="63" t="str">
        <f t="shared" si="146"/>
        <v xml:space="preserve">                    </v>
      </c>
      <c r="AR816" s="63"/>
      <c r="AS816" s="63"/>
      <c r="AT816" s="63"/>
      <c r="AU816" s="63"/>
      <c r="AV816" s="63"/>
      <c r="AW816" s="63"/>
      <c r="AX816" s="63"/>
      <c r="AY816" s="63"/>
      <c r="AZ816" s="63"/>
      <c r="BA816" s="63"/>
      <c r="BB816" s="63"/>
      <c r="BC816" s="63"/>
      <c r="BD816" s="63"/>
      <c r="BE816" s="63"/>
      <c r="BF816" s="63"/>
      <c r="BG816" s="63"/>
      <c r="BH816" s="63"/>
      <c r="BI816" s="63"/>
      <c r="BJ816" s="63"/>
      <c r="BK816" s="63"/>
      <c r="BL816" s="63"/>
      <c r="BM816" s="63"/>
      <c r="BN816" s="63"/>
      <c r="BO816" s="63"/>
      <c r="BP816" s="63"/>
      <c r="BQ816" s="63"/>
      <c r="BR816" s="63"/>
      <c r="BS816" s="63"/>
      <c r="BT816" s="63"/>
      <c r="BU816" s="63"/>
      <c r="BV816" s="63"/>
      <c r="BW816" s="63"/>
    </row>
    <row r="817" spans="1:75" x14ac:dyDescent="0.2">
      <c r="A817" s="63" t="str">
        <f t="shared" si="153"/>
        <v/>
      </c>
      <c r="B817" s="182"/>
      <c r="C817" s="74"/>
      <c r="D817" s="74"/>
      <c r="E817" s="74"/>
      <c r="F817" s="181"/>
      <c r="G817" s="69"/>
      <c r="AB817" s="150">
        <f t="shared" si="144"/>
        <v>0</v>
      </c>
      <c r="AC817" s="150">
        <f t="shared" si="145"/>
        <v>0</v>
      </c>
      <c r="AD817" s="98" t="str">
        <f t="shared" si="154"/>
        <v>0000000000</v>
      </c>
      <c r="AE817" s="151">
        <f t="shared" si="147"/>
        <v>0</v>
      </c>
      <c r="AF817" s="98" t="str">
        <f t="shared" si="148"/>
        <v>00</v>
      </c>
      <c r="AG817" s="98" t="str">
        <f t="shared" si="155"/>
        <v>000000000000</v>
      </c>
      <c r="AH817" s="161" t="str">
        <f t="shared" si="149"/>
        <v xml:space="preserve">                    </v>
      </c>
      <c r="AI817" s="154">
        <f t="shared" si="150"/>
        <v>0</v>
      </c>
      <c r="AJ817" s="155">
        <f t="shared" si="151"/>
        <v>0</v>
      </c>
      <c r="AP817" s="63" t="str">
        <f t="shared" si="152"/>
        <v/>
      </c>
      <c r="AQ817" s="63" t="str">
        <f t="shared" si="146"/>
        <v xml:space="preserve">                    </v>
      </c>
      <c r="AR817" s="63"/>
      <c r="AS817" s="63"/>
      <c r="AT817" s="63"/>
      <c r="AU817" s="63"/>
      <c r="AV817" s="63"/>
      <c r="AW817" s="63"/>
      <c r="AX817" s="63"/>
      <c r="AY817" s="63"/>
      <c r="AZ817" s="63"/>
      <c r="BA817" s="63"/>
      <c r="BB817" s="63"/>
      <c r="BC817" s="63"/>
      <c r="BD817" s="63"/>
      <c r="BE817" s="63"/>
      <c r="BF817" s="63"/>
      <c r="BG817" s="63"/>
      <c r="BH817" s="63"/>
      <c r="BI817" s="63"/>
      <c r="BJ817" s="63"/>
      <c r="BK817" s="63"/>
      <c r="BL817" s="63"/>
      <c r="BM817" s="63"/>
      <c r="BN817" s="63"/>
      <c r="BO817" s="63"/>
      <c r="BP817" s="63"/>
      <c r="BQ817" s="63"/>
      <c r="BR817" s="63"/>
      <c r="BS817" s="63"/>
      <c r="BT817" s="63"/>
      <c r="BU817" s="63"/>
      <c r="BV817" s="63"/>
      <c r="BW817" s="63"/>
    </row>
    <row r="818" spans="1:75" x14ac:dyDescent="0.2">
      <c r="A818" s="63" t="str">
        <f t="shared" si="153"/>
        <v/>
      </c>
      <c r="B818" s="182"/>
      <c r="C818" s="74"/>
      <c r="D818" s="74"/>
      <c r="E818" s="74"/>
      <c r="F818" s="181"/>
      <c r="G818" s="69"/>
      <c r="AB818" s="150">
        <f t="shared" si="144"/>
        <v>0</v>
      </c>
      <c r="AC818" s="150">
        <f t="shared" si="145"/>
        <v>0</v>
      </c>
      <c r="AD818" s="98" t="str">
        <f t="shared" si="154"/>
        <v>0000000000</v>
      </c>
      <c r="AE818" s="151">
        <f t="shared" si="147"/>
        <v>0</v>
      </c>
      <c r="AF818" s="98" t="str">
        <f t="shared" si="148"/>
        <v>00</v>
      </c>
      <c r="AG818" s="98" t="str">
        <f t="shared" si="155"/>
        <v>000000000000</v>
      </c>
      <c r="AH818" s="161" t="str">
        <f t="shared" si="149"/>
        <v xml:space="preserve">                    </v>
      </c>
      <c r="AI818" s="154">
        <f t="shared" si="150"/>
        <v>0</v>
      </c>
      <c r="AJ818" s="155">
        <f t="shared" si="151"/>
        <v>0</v>
      </c>
      <c r="AP818" s="63" t="str">
        <f t="shared" si="152"/>
        <v/>
      </c>
      <c r="AQ818" s="63" t="str">
        <f t="shared" si="146"/>
        <v xml:space="preserve">                    </v>
      </c>
      <c r="AR818" s="63"/>
      <c r="AS818" s="63"/>
      <c r="AT818" s="63"/>
      <c r="AU818" s="63"/>
      <c r="AV818" s="63"/>
      <c r="AW818" s="63"/>
      <c r="AX818" s="63"/>
      <c r="AY818" s="63"/>
      <c r="AZ818" s="63"/>
      <c r="BA818" s="63"/>
      <c r="BB818" s="63"/>
      <c r="BC818" s="63"/>
      <c r="BD818" s="63"/>
      <c r="BE818" s="63"/>
      <c r="BF818" s="63"/>
      <c r="BG818" s="63"/>
      <c r="BH818" s="63"/>
      <c r="BI818" s="63"/>
      <c r="BJ818" s="63"/>
      <c r="BK818" s="63"/>
      <c r="BL818" s="63"/>
      <c r="BM818" s="63"/>
      <c r="BN818" s="63"/>
      <c r="BO818" s="63"/>
      <c r="BP818" s="63"/>
      <c r="BQ818" s="63"/>
      <c r="BR818" s="63"/>
      <c r="BS818" s="63"/>
      <c r="BT818" s="63"/>
      <c r="BU818" s="63"/>
      <c r="BV818" s="63"/>
      <c r="BW818" s="63"/>
    </row>
    <row r="819" spans="1:75" x14ac:dyDescent="0.2">
      <c r="A819" s="63" t="str">
        <f t="shared" si="153"/>
        <v/>
      </c>
      <c r="B819" s="182"/>
      <c r="C819" s="74"/>
      <c r="D819" s="74"/>
      <c r="E819" s="74"/>
      <c r="F819" s="181"/>
      <c r="G819" s="69"/>
      <c r="AB819" s="150">
        <f t="shared" si="144"/>
        <v>0</v>
      </c>
      <c r="AC819" s="150">
        <f t="shared" si="145"/>
        <v>0</v>
      </c>
      <c r="AD819" s="98" t="str">
        <f t="shared" si="154"/>
        <v>0000000000</v>
      </c>
      <c r="AE819" s="151">
        <f t="shared" si="147"/>
        <v>0</v>
      </c>
      <c r="AF819" s="98" t="str">
        <f t="shared" si="148"/>
        <v>00</v>
      </c>
      <c r="AG819" s="98" t="str">
        <f t="shared" si="155"/>
        <v>000000000000</v>
      </c>
      <c r="AH819" s="161" t="str">
        <f t="shared" si="149"/>
        <v xml:space="preserve">                    </v>
      </c>
      <c r="AI819" s="154">
        <f t="shared" si="150"/>
        <v>0</v>
      </c>
      <c r="AJ819" s="155">
        <f t="shared" si="151"/>
        <v>0</v>
      </c>
      <c r="AP819" s="63" t="str">
        <f t="shared" si="152"/>
        <v/>
      </c>
      <c r="AQ819" s="63" t="str">
        <f t="shared" si="146"/>
        <v xml:space="preserve">                    </v>
      </c>
      <c r="AR819" s="63"/>
      <c r="AS819" s="63"/>
      <c r="AT819" s="63"/>
      <c r="AU819" s="63"/>
      <c r="AV819" s="63"/>
      <c r="AW819" s="63"/>
      <c r="AX819" s="63"/>
      <c r="AY819" s="63"/>
      <c r="AZ819" s="63"/>
      <c r="BA819" s="63"/>
      <c r="BB819" s="63"/>
      <c r="BC819" s="63"/>
      <c r="BD819" s="63"/>
      <c r="BE819" s="63"/>
      <c r="BF819" s="63"/>
      <c r="BG819" s="63"/>
      <c r="BH819" s="63"/>
      <c r="BI819" s="63"/>
      <c r="BJ819" s="63"/>
      <c r="BK819" s="63"/>
      <c r="BL819" s="63"/>
      <c r="BM819" s="63"/>
      <c r="BN819" s="63"/>
      <c r="BO819" s="63"/>
      <c r="BP819" s="63"/>
      <c r="BQ819" s="63"/>
      <c r="BR819" s="63"/>
      <c r="BS819" s="63"/>
      <c r="BT819" s="63"/>
      <c r="BU819" s="63"/>
      <c r="BV819" s="63"/>
      <c r="BW819" s="63"/>
    </row>
    <row r="820" spans="1:75" x14ac:dyDescent="0.2">
      <c r="A820" s="63" t="str">
        <f t="shared" si="153"/>
        <v/>
      </c>
      <c r="B820" s="182"/>
      <c r="C820" s="74"/>
      <c r="D820" s="74"/>
      <c r="E820" s="74"/>
      <c r="F820" s="181"/>
      <c r="G820" s="69"/>
      <c r="AB820" s="150">
        <f t="shared" si="144"/>
        <v>0</v>
      </c>
      <c r="AC820" s="150">
        <f t="shared" si="145"/>
        <v>0</v>
      </c>
      <c r="AD820" s="98" t="str">
        <f t="shared" si="154"/>
        <v>0000000000</v>
      </c>
      <c r="AE820" s="151">
        <f t="shared" si="147"/>
        <v>0</v>
      </c>
      <c r="AF820" s="98" t="str">
        <f t="shared" si="148"/>
        <v>00</v>
      </c>
      <c r="AG820" s="98" t="str">
        <f t="shared" si="155"/>
        <v>000000000000</v>
      </c>
      <c r="AH820" s="161" t="str">
        <f t="shared" si="149"/>
        <v xml:space="preserve">                    </v>
      </c>
      <c r="AI820" s="154">
        <f t="shared" si="150"/>
        <v>0</v>
      </c>
      <c r="AJ820" s="155">
        <f t="shared" si="151"/>
        <v>0</v>
      </c>
      <c r="AP820" s="63" t="str">
        <f t="shared" si="152"/>
        <v/>
      </c>
      <c r="AQ820" s="63" t="str">
        <f t="shared" si="146"/>
        <v xml:space="preserve">                    </v>
      </c>
      <c r="AR820" s="63"/>
      <c r="AS820" s="63"/>
      <c r="AT820" s="63"/>
      <c r="AU820" s="63"/>
      <c r="AV820" s="63"/>
      <c r="AW820" s="63"/>
      <c r="AX820" s="63"/>
      <c r="AY820" s="63"/>
      <c r="AZ820" s="63"/>
      <c r="BA820" s="63"/>
      <c r="BB820" s="63"/>
      <c r="BC820" s="63"/>
      <c r="BD820" s="63"/>
      <c r="BE820" s="63"/>
      <c r="BF820" s="63"/>
      <c r="BG820" s="63"/>
      <c r="BH820" s="63"/>
      <c r="BI820" s="63"/>
      <c r="BJ820" s="63"/>
      <c r="BK820" s="63"/>
      <c r="BL820" s="63"/>
      <c r="BM820" s="63"/>
      <c r="BN820" s="63"/>
      <c r="BO820" s="63"/>
      <c r="BP820" s="63"/>
      <c r="BQ820" s="63"/>
      <c r="BR820" s="63"/>
      <c r="BS820" s="63"/>
      <c r="BT820" s="63"/>
      <c r="BU820" s="63"/>
      <c r="BV820" s="63"/>
      <c r="BW820" s="63"/>
    </row>
    <row r="821" spans="1:75" x14ac:dyDescent="0.2">
      <c r="A821" s="63" t="str">
        <f t="shared" si="153"/>
        <v/>
      </c>
      <c r="B821" s="182"/>
      <c r="C821" s="74"/>
      <c r="D821" s="74"/>
      <c r="E821" s="74"/>
      <c r="F821" s="181"/>
      <c r="G821" s="69"/>
      <c r="AB821" s="150">
        <f t="shared" si="144"/>
        <v>0</v>
      </c>
      <c r="AC821" s="150">
        <f t="shared" si="145"/>
        <v>0</v>
      </c>
      <c r="AD821" s="98" t="str">
        <f t="shared" si="154"/>
        <v>0000000000</v>
      </c>
      <c r="AE821" s="151">
        <f t="shared" si="147"/>
        <v>0</v>
      </c>
      <c r="AF821" s="98" t="str">
        <f t="shared" si="148"/>
        <v>00</v>
      </c>
      <c r="AG821" s="98" t="str">
        <f t="shared" si="155"/>
        <v>000000000000</v>
      </c>
      <c r="AH821" s="161" t="str">
        <f t="shared" si="149"/>
        <v xml:space="preserve">                    </v>
      </c>
      <c r="AI821" s="154">
        <f t="shared" si="150"/>
        <v>0</v>
      </c>
      <c r="AJ821" s="155">
        <f t="shared" si="151"/>
        <v>0</v>
      </c>
      <c r="AP821" s="63" t="str">
        <f t="shared" si="152"/>
        <v/>
      </c>
      <c r="AQ821" s="63" t="str">
        <f t="shared" si="146"/>
        <v xml:space="preserve">                    </v>
      </c>
      <c r="AR821" s="63"/>
      <c r="AS821" s="63"/>
      <c r="AT821" s="63"/>
      <c r="AU821" s="63"/>
      <c r="AV821" s="63"/>
      <c r="AW821" s="63"/>
      <c r="AX821" s="63"/>
      <c r="AY821" s="63"/>
      <c r="AZ821" s="63"/>
      <c r="BA821" s="63"/>
      <c r="BB821" s="63"/>
      <c r="BC821" s="63"/>
      <c r="BD821" s="63"/>
      <c r="BE821" s="63"/>
      <c r="BF821" s="63"/>
      <c r="BG821" s="63"/>
      <c r="BH821" s="63"/>
      <c r="BI821" s="63"/>
      <c r="BJ821" s="63"/>
      <c r="BK821" s="63"/>
      <c r="BL821" s="63"/>
      <c r="BM821" s="63"/>
      <c r="BN821" s="63"/>
      <c r="BO821" s="63"/>
      <c r="BP821" s="63"/>
      <c r="BQ821" s="63"/>
      <c r="BR821" s="63"/>
      <c r="BS821" s="63"/>
      <c r="BT821" s="63"/>
      <c r="BU821" s="63"/>
      <c r="BV821" s="63"/>
      <c r="BW821" s="63"/>
    </row>
    <row r="822" spans="1:75" x14ac:dyDescent="0.2">
      <c r="A822" s="63" t="str">
        <f t="shared" si="153"/>
        <v/>
      </c>
      <c r="B822" s="182"/>
      <c r="C822" s="74"/>
      <c r="D822" s="74"/>
      <c r="E822" s="74"/>
      <c r="F822" s="181"/>
      <c r="G822" s="69"/>
      <c r="AB822" s="150">
        <f t="shared" si="144"/>
        <v>0</v>
      </c>
      <c r="AC822" s="150">
        <f t="shared" si="145"/>
        <v>0</v>
      </c>
      <c r="AD822" s="98" t="str">
        <f t="shared" si="154"/>
        <v>0000000000</v>
      </c>
      <c r="AE822" s="151">
        <f t="shared" si="147"/>
        <v>0</v>
      </c>
      <c r="AF822" s="98" t="str">
        <f t="shared" si="148"/>
        <v>00</v>
      </c>
      <c r="AG822" s="98" t="str">
        <f t="shared" si="155"/>
        <v>000000000000</v>
      </c>
      <c r="AH822" s="161" t="str">
        <f t="shared" si="149"/>
        <v xml:space="preserve">                    </v>
      </c>
      <c r="AI822" s="154">
        <f t="shared" si="150"/>
        <v>0</v>
      </c>
      <c r="AJ822" s="155">
        <f t="shared" si="151"/>
        <v>0</v>
      </c>
      <c r="AP822" s="63" t="str">
        <f t="shared" si="152"/>
        <v/>
      </c>
      <c r="AQ822" s="63" t="str">
        <f t="shared" si="146"/>
        <v xml:space="preserve">                    </v>
      </c>
      <c r="AR822" s="63"/>
      <c r="AS822" s="63"/>
      <c r="AT822" s="63"/>
      <c r="AU822" s="63"/>
      <c r="AV822" s="63"/>
      <c r="AW822" s="63"/>
      <c r="AX822" s="63"/>
      <c r="AY822" s="63"/>
      <c r="AZ822" s="63"/>
      <c r="BA822" s="63"/>
      <c r="BB822" s="63"/>
      <c r="BC822" s="63"/>
      <c r="BD822" s="63"/>
      <c r="BE822" s="63"/>
      <c r="BF822" s="63"/>
      <c r="BG822" s="63"/>
      <c r="BH822" s="63"/>
      <c r="BI822" s="63"/>
      <c r="BJ822" s="63"/>
      <c r="BK822" s="63"/>
      <c r="BL822" s="63"/>
      <c r="BM822" s="63"/>
      <c r="BN822" s="63"/>
      <c r="BO822" s="63"/>
      <c r="BP822" s="63"/>
      <c r="BQ822" s="63"/>
      <c r="BR822" s="63"/>
      <c r="BS822" s="63"/>
      <c r="BT822" s="63"/>
      <c r="BU822" s="63"/>
      <c r="BV822" s="63"/>
      <c r="BW822" s="63"/>
    </row>
    <row r="823" spans="1:75" x14ac:dyDescent="0.2">
      <c r="A823" s="63" t="str">
        <f t="shared" si="153"/>
        <v/>
      </c>
      <c r="B823" s="182"/>
      <c r="C823" s="74"/>
      <c r="D823" s="74"/>
      <c r="E823" s="74"/>
      <c r="F823" s="181"/>
      <c r="G823" s="69"/>
      <c r="AB823" s="150">
        <f t="shared" si="144"/>
        <v>0</v>
      </c>
      <c r="AC823" s="150">
        <f t="shared" si="145"/>
        <v>0</v>
      </c>
      <c r="AD823" s="98" t="str">
        <f t="shared" si="154"/>
        <v>0000000000</v>
      </c>
      <c r="AE823" s="151">
        <f t="shared" si="147"/>
        <v>0</v>
      </c>
      <c r="AF823" s="98" t="str">
        <f t="shared" si="148"/>
        <v>00</v>
      </c>
      <c r="AG823" s="98" t="str">
        <f t="shared" si="155"/>
        <v>000000000000</v>
      </c>
      <c r="AH823" s="161" t="str">
        <f t="shared" si="149"/>
        <v xml:space="preserve">                    </v>
      </c>
      <c r="AI823" s="154">
        <f t="shared" si="150"/>
        <v>0</v>
      </c>
      <c r="AJ823" s="155">
        <f t="shared" si="151"/>
        <v>0</v>
      </c>
      <c r="AP823" s="63" t="str">
        <f t="shared" si="152"/>
        <v/>
      </c>
      <c r="AQ823" s="63" t="str">
        <f t="shared" si="146"/>
        <v xml:space="preserve">                    </v>
      </c>
      <c r="AR823" s="63"/>
      <c r="AS823" s="63"/>
      <c r="AT823" s="63"/>
      <c r="AU823" s="63"/>
      <c r="AV823" s="63"/>
      <c r="AW823" s="63"/>
      <c r="AX823" s="63"/>
      <c r="AY823" s="63"/>
      <c r="AZ823" s="63"/>
      <c r="BA823" s="63"/>
      <c r="BB823" s="63"/>
      <c r="BC823" s="63"/>
      <c r="BD823" s="63"/>
      <c r="BE823" s="63"/>
      <c r="BF823" s="63"/>
      <c r="BG823" s="63"/>
      <c r="BH823" s="63"/>
      <c r="BI823" s="63"/>
      <c r="BJ823" s="63"/>
      <c r="BK823" s="63"/>
      <c r="BL823" s="63"/>
      <c r="BM823" s="63"/>
      <c r="BN823" s="63"/>
      <c r="BO823" s="63"/>
      <c r="BP823" s="63"/>
      <c r="BQ823" s="63"/>
      <c r="BR823" s="63"/>
      <c r="BS823" s="63"/>
      <c r="BT823" s="63"/>
      <c r="BU823" s="63"/>
      <c r="BV823" s="63"/>
      <c r="BW823" s="63"/>
    </row>
    <row r="824" spans="1:75" x14ac:dyDescent="0.2">
      <c r="A824" s="63" t="str">
        <f t="shared" si="153"/>
        <v/>
      </c>
      <c r="B824" s="182"/>
      <c r="C824" s="74"/>
      <c r="D824" s="74"/>
      <c r="E824" s="74"/>
      <c r="F824" s="181"/>
      <c r="G824" s="69"/>
      <c r="AB824" s="150">
        <f t="shared" si="144"/>
        <v>0</v>
      </c>
      <c r="AC824" s="150">
        <f t="shared" si="145"/>
        <v>0</v>
      </c>
      <c r="AD824" s="98" t="str">
        <f t="shared" si="154"/>
        <v>0000000000</v>
      </c>
      <c r="AE824" s="151">
        <f t="shared" si="147"/>
        <v>0</v>
      </c>
      <c r="AF824" s="98" t="str">
        <f t="shared" si="148"/>
        <v>00</v>
      </c>
      <c r="AG824" s="98" t="str">
        <f t="shared" si="155"/>
        <v>000000000000</v>
      </c>
      <c r="AH824" s="161" t="str">
        <f t="shared" si="149"/>
        <v xml:space="preserve">                    </v>
      </c>
      <c r="AI824" s="154">
        <f t="shared" si="150"/>
        <v>0</v>
      </c>
      <c r="AJ824" s="155">
        <f t="shared" si="151"/>
        <v>0</v>
      </c>
      <c r="AP824" s="63" t="str">
        <f t="shared" si="152"/>
        <v/>
      </c>
      <c r="AQ824" s="63" t="str">
        <f t="shared" si="146"/>
        <v xml:space="preserve">                    </v>
      </c>
      <c r="AR824" s="63"/>
      <c r="AS824" s="63"/>
      <c r="AT824" s="63"/>
      <c r="AU824" s="63"/>
      <c r="AV824" s="63"/>
      <c r="AW824" s="63"/>
      <c r="AX824" s="63"/>
      <c r="AY824" s="63"/>
      <c r="AZ824" s="63"/>
      <c r="BA824" s="63"/>
      <c r="BB824" s="63"/>
      <c r="BC824" s="63"/>
      <c r="BD824" s="63"/>
      <c r="BE824" s="63"/>
      <c r="BF824" s="63"/>
      <c r="BG824" s="63"/>
      <c r="BH824" s="63"/>
      <c r="BI824" s="63"/>
      <c r="BJ824" s="63"/>
      <c r="BK824" s="63"/>
      <c r="BL824" s="63"/>
      <c r="BM824" s="63"/>
      <c r="BN824" s="63"/>
      <c r="BO824" s="63"/>
      <c r="BP824" s="63"/>
      <c r="BQ824" s="63"/>
      <c r="BR824" s="63"/>
      <c r="BS824" s="63"/>
      <c r="BT824" s="63"/>
      <c r="BU824" s="63"/>
      <c r="BV824" s="63"/>
      <c r="BW824" s="63"/>
    </row>
    <row r="825" spans="1:75" x14ac:dyDescent="0.2">
      <c r="A825" s="63" t="str">
        <f t="shared" si="153"/>
        <v/>
      </c>
      <c r="B825" s="182"/>
      <c r="C825" s="74"/>
      <c r="D825" s="74"/>
      <c r="E825" s="74"/>
      <c r="F825" s="181"/>
      <c r="G825" s="69"/>
      <c r="AB825" s="150">
        <f t="shared" si="144"/>
        <v>0</v>
      </c>
      <c r="AC825" s="150">
        <f t="shared" si="145"/>
        <v>0</v>
      </c>
      <c r="AD825" s="98" t="str">
        <f t="shared" si="154"/>
        <v>0000000000</v>
      </c>
      <c r="AE825" s="151">
        <f t="shared" si="147"/>
        <v>0</v>
      </c>
      <c r="AF825" s="98" t="str">
        <f t="shared" si="148"/>
        <v>00</v>
      </c>
      <c r="AG825" s="98" t="str">
        <f t="shared" si="155"/>
        <v>000000000000</v>
      </c>
      <c r="AH825" s="161" t="str">
        <f t="shared" si="149"/>
        <v xml:space="preserve">                    </v>
      </c>
      <c r="AI825" s="154">
        <f t="shared" si="150"/>
        <v>0</v>
      </c>
      <c r="AJ825" s="155">
        <f t="shared" si="151"/>
        <v>0</v>
      </c>
      <c r="AP825" s="63" t="str">
        <f t="shared" si="152"/>
        <v/>
      </c>
      <c r="AQ825" s="63" t="str">
        <f t="shared" si="146"/>
        <v xml:space="preserve">                    </v>
      </c>
      <c r="AR825" s="63"/>
      <c r="AS825" s="63"/>
      <c r="AT825" s="63"/>
      <c r="AU825" s="63"/>
      <c r="AV825" s="63"/>
      <c r="AW825" s="63"/>
      <c r="AX825" s="63"/>
      <c r="AY825" s="63"/>
      <c r="AZ825" s="63"/>
      <c r="BA825" s="63"/>
      <c r="BB825" s="63"/>
      <c r="BC825" s="63"/>
      <c r="BD825" s="63"/>
      <c r="BE825" s="63"/>
      <c r="BF825" s="63"/>
      <c r="BG825" s="63"/>
      <c r="BH825" s="63"/>
      <c r="BI825" s="63"/>
      <c r="BJ825" s="63"/>
      <c r="BK825" s="63"/>
      <c r="BL825" s="63"/>
      <c r="BM825" s="63"/>
      <c r="BN825" s="63"/>
      <c r="BO825" s="63"/>
      <c r="BP825" s="63"/>
      <c r="BQ825" s="63"/>
      <c r="BR825" s="63"/>
      <c r="BS825" s="63"/>
      <c r="BT825" s="63"/>
      <c r="BU825" s="63"/>
      <c r="BV825" s="63"/>
      <c r="BW825" s="63"/>
    </row>
    <row r="826" spans="1:75" x14ac:dyDescent="0.2">
      <c r="A826" s="63" t="str">
        <f t="shared" si="153"/>
        <v/>
      </c>
      <c r="B826" s="182"/>
      <c r="C826" s="74"/>
      <c r="D826" s="74"/>
      <c r="E826" s="74"/>
      <c r="F826" s="181"/>
      <c r="G826" s="69"/>
      <c r="AB826" s="150">
        <f t="shared" si="144"/>
        <v>0</v>
      </c>
      <c r="AC826" s="150">
        <f t="shared" si="145"/>
        <v>0</v>
      </c>
      <c r="AD826" s="98" t="str">
        <f t="shared" si="154"/>
        <v>0000000000</v>
      </c>
      <c r="AE826" s="151">
        <f t="shared" si="147"/>
        <v>0</v>
      </c>
      <c r="AF826" s="98" t="str">
        <f t="shared" si="148"/>
        <v>00</v>
      </c>
      <c r="AG826" s="98" t="str">
        <f t="shared" si="155"/>
        <v>000000000000</v>
      </c>
      <c r="AH826" s="161" t="str">
        <f t="shared" si="149"/>
        <v xml:space="preserve">                    </v>
      </c>
      <c r="AI826" s="154">
        <f t="shared" si="150"/>
        <v>0</v>
      </c>
      <c r="AJ826" s="155">
        <f t="shared" si="151"/>
        <v>0</v>
      </c>
      <c r="AP826" s="63" t="str">
        <f t="shared" si="152"/>
        <v/>
      </c>
      <c r="AQ826" s="63" t="str">
        <f t="shared" si="146"/>
        <v xml:space="preserve">                    </v>
      </c>
      <c r="AR826" s="63"/>
      <c r="AS826" s="63"/>
      <c r="AT826" s="63"/>
      <c r="AU826" s="63"/>
      <c r="AV826" s="63"/>
      <c r="AW826" s="63"/>
      <c r="AX826" s="63"/>
      <c r="AY826" s="63"/>
      <c r="AZ826" s="63"/>
      <c r="BA826" s="63"/>
      <c r="BB826" s="63"/>
      <c r="BC826" s="63"/>
      <c r="BD826" s="63"/>
      <c r="BE826" s="63"/>
      <c r="BF826" s="63"/>
      <c r="BG826" s="63"/>
      <c r="BH826" s="63"/>
      <c r="BI826" s="63"/>
      <c r="BJ826" s="63"/>
      <c r="BK826" s="63"/>
      <c r="BL826" s="63"/>
      <c r="BM826" s="63"/>
      <c r="BN826" s="63"/>
      <c r="BO826" s="63"/>
      <c r="BP826" s="63"/>
      <c r="BQ826" s="63"/>
      <c r="BR826" s="63"/>
      <c r="BS826" s="63"/>
      <c r="BT826" s="63"/>
      <c r="BU826" s="63"/>
      <c r="BV826" s="63"/>
      <c r="BW826" s="63"/>
    </row>
    <row r="827" spans="1:75" x14ac:dyDescent="0.2">
      <c r="A827" s="63" t="str">
        <f t="shared" si="153"/>
        <v/>
      </c>
      <c r="B827" s="182"/>
      <c r="C827" s="74"/>
      <c r="D827" s="74"/>
      <c r="E827" s="74"/>
      <c r="F827" s="181"/>
      <c r="G827" s="69"/>
      <c r="AB827" s="150">
        <f t="shared" si="144"/>
        <v>0</v>
      </c>
      <c r="AC827" s="150">
        <f t="shared" si="145"/>
        <v>0</v>
      </c>
      <c r="AD827" s="98" t="str">
        <f t="shared" si="154"/>
        <v>0000000000</v>
      </c>
      <c r="AE827" s="151">
        <f t="shared" si="147"/>
        <v>0</v>
      </c>
      <c r="AF827" s="98" t="str">
        <f t="shared" si="148"/>
        <v>00</v>
      </c>
      <c r="AG827" s="98" t="str">
        <f t="shared" si="155"/>
        <v>000000000000</v>
      </c>
      <c r="AH827" s="161" t="str">
        <f t="shared" si="149"/>
        <v xml:space="preserve">                    </v>
      </c>
      <c r="AI827" s="154">
        <f t="shared" si="150"/>
        <v>0</v>
      </c>
      <c r="AJ827" s="155">
        <f t="shared" si="151"/>
        <v>0</v>
      </c>
      <c r="AP827" s="63" t="str">
        <f t="shared" si="152"/>
        <v/>
      </c>
      <c r="AQ827" s="63" t="str">
        <f t="shared" si="146"/>
        <v xml:space="preserve">                    </v>
      </c>
      <c r="AR827" s="63"/>
      <c r="AS827" s="63"/>
      <c r="AT827" s="63"/>
      <c r="AU827" s="63"/>
      <c r="AV827" s="63"/>
      <c r="AW827" s="63"/>
      <c r="AX827" s="63"/>
      <c r="AY827" s="63"/>
      <c r="AZ827" s="63"/>
      <c r="BA827" s="63"/>
      <c r="BB827" s="63"/>
      <c r="BC827" s="63"/>
      <c r="BD827" s="63"/>
      <c r="BE827" s="63"/>
      <c r="BF827" s="63"/>
      <c r="BG827" s="63"/>
      <c r="BH827" s="63"/>
      <c r="BI827" s="63"/>
      <c r="BJ827" s="63"/>
      <c r="BK827" s="63"/>
      <c r="BL827" s="63"/>
      <c r="BM827" s="63"/>
      <c r="BN827" s="63"/>
      <c r="BO827" s="63"/>
      <c r="BP827" s="63"/>
      <c r="BQ827" s="63"/>
      <c r="BR827" s="63"/>
      <c r="BS827" s="63"/>
      <c r="BT827" s="63"/>
      <c r="BU827" s="63"/>
      <c r="BV827" s="63"/>
      <c r="BW827" s="63"/>
    </row>
    <row r="828" spans="1:75" x14ac:dyDescent="0.2">
      <c r="A828" s="63" t="str">
        <f t="shared" si="153"/>
        <v/>
      </c>
      <c r="B828" s="182"/>
      <c r="C828" s="74"/>
      <c r="D828" s="74"/>
      <c r="E828" s="74"/>
      <c r="F828" s="181"/>
      <c r="G828" s="69"/>
      <c r="AB828" s="150">
        <f t="shared" si="144"/>
        <v>0</v>
      </c>
      <c r="AC828" s="150">
        <f t="shared" si="145"/>
        <v>0</v>
      </c>
      <c r="AD828" s="98" t="str">
        <f t="shared" si="154"/>
        <v>0000000000</v>
      </c>
      <c r="AE828" s="151">
        <f t="shared" si="147"/>
        <v>0</v>
      </c>
      <c r="AF828" s="98" t="str">
        <f t="shared" si="148"/>
        <v>00</v>
      </c>
      <c r="AG828" s="98" t="str">
        <f t="shared" si="155"/>
        <v>000000000000</v>
      </c>
      <c r="AH828" s="161" t="str">
        <f t="shared" si="149"/>
        <v xml:space="preserve">                    </v>
      </c>
      <c r="AI828" s="154">
        <f t="shared" si="150"/>
        <v>0</v>
      </c>
      <c r="AJ828" s="155">
        <f t="shared" si="151"/>
        <v>0</v>
      </c>
      <c r="AP828" s="63" t="str">
        <f t="shared" si="152"/>
        <v/>
      </c>
      <c r="AQ828" s="63" t="str">
        <f t="shared" si="146"/>
        <v xml:space="preserve">                    </v>
      </c>
      <c r="AR828" s="63"/>
      <c r="AS828" s="63"/>
      <c r="AT828" s="63"/>
      <c r="AU828" s="63"/>
      <c r="AV828" s="63"/>
      <c r="AW828" s="63"/>
      <c r="AX828" s="63"/>
      <c r="AY828" s="63"/>
      <c r="AZ828" s="63"/>
      <c r="BA828" s="63"/>
      <c r="BB828" s="63"/>
      <c r="BC828" s="63"/>
      <c r="BD828" s="63"/>
      <c r="BE828" s="63"/>
      <c r="BF828" s="63"/>
      <c r="BG828" s="63"/>
      <c r="BH828" s="63"/>
      <c r="BI828" s="63"/>
      <c r="BJ828" s="63"/>
      <c r="BK828" s="63"/>
      <c r="BL828" s="63"/>
      <c r="BM828" s="63"/>
      <c r="BN828" s="63"/>
      <c r="BO828" s="63"/>
      <c r="BP828" s="63"/>
      <c r="BQ828" s="63"/>
      <c r="BR828" s="63"/>
      <c r="BS828" s="63"/>
      <c r="BT828" s="63"/>
      <c r="BU828" s="63"/>
      <c r="BV828" s="63"/>
      <c r="BW828" s="63"/>
    </row>
    <row r="829" spans="1:75" x14ac:dyDescent="0.2">
      <c r="A829" s="63" t="str">
        <f t="shared" si="153"/>
        <v/>
      </c>
      <c r="B829" s="182"/>
      <c r="C829" s="74"/>
      <c r="D829" s="74"/>
      <c r="E829" s="74"/>
      <c r="F829" s="181"/>
      <c r="G829" s="69"/>
      <c r="AB829" s="150">
        <f t="shared" si="144"/>
        <v>0</v>
      </c>
      <c r="AC829" s="150">
        <f t="shared" si="145"/>
        <v>0</v>
      </c>
      <c r="AD829" s="98" t="str">
        <f t="shared" si="154"/>
        <v>0000000000</v>
      </c>
      <c r="AE829" s="151">
        <f t="shared" si="147"/>
        <v>0</v>
      </c>
      <c r="AF829" s="98" t="str">
        <f t="shared" si="148"/>
        <v>00</v>
      </c>
      <c r="AG829" s="98" t="str">
        <f t="shared" si="155"/>
        <v>000000000000</v>
      </c>
      <c r="AH829" s="161" t="str">
        <f t="shared" si="149"/>
        <v xml:space="preserve">                    </v>
      </c>
      <c r="AI829" s="154">
        <f t="shared" si="150"/>
        <v>0</v>
      </c>
      <c r="AJ829" s="155">
        <f t="shared" si="151"/>
        <v>0</v>
      </c>
      <c r="AP829" s="63" t="str">
        <f t="shared" si="152"/>
        <v/>
      </c>
      <c r="AQ829" s="63" t="str">
        <f t="shared" si="146"/>
        <v xml:space="preserve">                    </v>
      </c>
      <c r="AR829" s="63"/>
      <c r="AS829" s="63"/>
      <c r="AT829" s="63"/>
      <c r="AU829" s="63"/>
      <c r="AV829" s="63"/>
      <c r="AW829" s="63"/>
      <c r="AX829" s="63"/>
      <c r="AY829" s="63"/>
      <c r="AZ829" s="63"/>
      <c r="BA829" s="63"/>
      <c r="BB829" s="63"/>
      <c r="BC829" s="63"/>
      <c r="BD829" s="63"/>
      <c r="BE829" s="63"/>
      <c r="BF829" s="63"/>
      <c r="BG829" s="63"/>
      <c r="BH829" s="63"/>
      <c r="BI829" s="63"/>
      <c r="BJ829" s="63"/>
      <c r="BK829" s="63"/>
      <c r="BL829" s="63"/>
      <c r="BM829" s="63"/>
      <c r="BN829" s="63"/>
      <c r="BO829" s="63"/>
      <c r="BP829" s="63"/>
      <c r="BQ829" s="63"/>
      <c r="BR829" s="63"/>
      <c r="BS829" s="63"/>
      <c r="BT829" s="63"/>
      <c r="BU829" s="63"/>
      <c r="BV829" s="63"/>
      <c r="BW829" s="63"/>
    </row>
    <row r="830" spans="1:75" x14ac:dyDescent="0.2">
      <c r="A830" s="63" t="str">
        <f t="shared" si="153"/>
        <v/>
      </c>
      <c r="B830" s="182"/>
      <c r="C830" s="74"/>
      <c r="D830" s="74"/>
      <c r="E830" s="74"/>
      <c r="F830" s="181"/>
      <c r="G830" s="69"/>
      <c r="AB830" s="150">
        <f t="shared" si="144"/>
        <v>0</v>
      </c>
      <c r="AC830" s="150">
        <f t="shared" si="145"/>
        <v>0</v>
      </c>
      <c r="AD830" s="98" t="str">
        <f t="shared" si="154"/>
        <v>0000000000</v>
      </c>
      <c r="AE830" s="151">
        <f t="shared" si="147"/>
        <v>0</v>
      </c>
      <c r="AF830" s="98" t="str">
        <f t="shared" si="148"/>
        <v>00</v>
      </c>
      <c r="AG830" s="98" t="str">
        <f t="shared" si="155"/>
        <v>000000000000</v>
      </c>
      <c r="AH830" s="161" t="str">
        <f t="shared" si="149"/>
        <v xml:space="preserve">                    </v>
      </c>
      <c r="AI830" s="154">
        <f t="shared" si="150"/>
        <v>0</v>
      </c>
      <c r="AJ830" s="155">
        <f t="shared" si="151"/>
        <v>0</v>
      </c>
      <c r="AP830" s="63" t="str">
        <f t="shared" si="152"/>
        <v/>
      </c>
      <c r="AQ830" s="63" t="str">
        <f t="shared" si="146"/>
        <v xml:space="preserve">                    </v>
      </c>
      <c r="AR830" s="63"/>
      <c r="AS830" s="63"/>
      <c r="AT830" s="63"/>
      <c r="AU830" s="63"/>
      <c r="AV830" s="63"/>
      <c r="AW830" s="63"/>
      <c r="AX830" s="63"/>
      <c r="AY830" s="63"/>
      <c r="AZ830" s="63"/>
      <c r="BA830" s="63"/>
      <c r="BB830" s="63"/>
      <c r="BC830" s="63"/>
      <c r="BD830" s="63"/>
      <c r="BE830" s="63"/>
      <c r="BF830" s="63"/>
      <c r="BG830" s="63"/>
      <c r="BH830" s="63"/>
      <c r="BI830" s="63"/>
      <c r="BJ830" s="63"/>
      <c r="BK830" s="63"/>
      <c r="BL830" s="63"/>
      <c r="BM830" s="63"/>
      <c r="BN830" s="63"/>
      <c r="BO830" s="63"/>
      <c r="BP830" s="63"/>
      <c r="BQ830" s="63"/>
      <c r="BR830" s="63"/>
      <c r="BS830" s="63"/>
      <c r="BT830" s="63"/>
      <c r="BU830" s="63"/>
      <c r="BV830" s="63"/>
      <c r="BW830" s="63"/>
    </row>
    <row r="831" spans="1:75" x14ac:dyDescent="0.2">
      <c r="A831" s="63" t="str">
        <f t="shared" si="153"/>
        <v/>
      </c>
      <c r="B831" s="182"/>
      <c r="C831" s="74"/>
      <c r="D831" s="74"/>
      <c r="E831" s="74"/>
      <c r="F831" s="181"/>
      <c r="G831" s="69"/>
      <c r="AB831" s="150">
        <f t="shared" si="144"/>
        <v>0</v>
      </c>
      <c r="AC831" s="150">
        <f t="shared" si="145"/>
        <v>0</v>
      </c>
      <c r="AD831" s="98" t="str">
        <f t="shared" si="154"/>
        <v>0000000000</v>
      </c>
      <c r="AE831" s="151">
        <f t="shared" si="147"/>
        <v>0</v>
      </c>
      <c r="AF831" s="98" t="str">
        <f t="shared" si="148"/>
        <v>00</v>
      </c>
      <c r="AG831" s="98" t="str">
        <f t="shared" si="155"/>
        <v>000000000000</v>
      </c>
      <c r="AH831" s="161" t="str">
        <f t="shared" si="149"/>
        <v xml:space="preserve">                    </v>
      </c>
      <c r="AI831" s="154">
        <f t="shared" si="150"/>
        <v>0</v>
      </c>
      <c r="AJ831" s="155">
        <f t="shared" si="151"/>
        <v>0</v>
      </c>
      <c r="AP831" s="63" t="str">
        <f t="shared" si="152"/>
        <v/>
      </c>
      <c r="AQ831" s="63" t="str">
        <f t="shared" si="146"/>
        <v xml:space="preserve">                    </v>
      </c>
      <c r="AR831" s="63"/>
      <c r="AS831" s="63"/>
      <c r="AT831" s="63"/>
      <c r="AU831" s="63"/>
      <c r="AV831" s="63"/>
      <c r="AW831" s="63"/>
      <c r="AX831" s="63"/>
      <c r="AY831" s="63"/>
      <c r="AZ831" s="63"/>
      <c r="BA831" s="63"/>
      <c r="BB831" s="63"/>
      <c r="BC831" s="63"/>
      <c r="BD831" s="63"/>
      <c r="BE831" s="63"/>
      <c r="BF831" s="63"/>
      <c r="BG831" s="63"/>
      <c r="BH831" s="63"/>
      <c r="BI831" s="63"/>
      <c r="BJ831" s="63"/>
      <c r="BK831" s="63"/>
      <c r="BL831" s="63"/>
      <c r="BM831" s="63"/>
      <c r="BN831" s="63"/>
      <c r="BO831" s="63"/>
      <c r="BP831" s="63"/>
      <c r="BQ831" s="63"/>
      <c r="BR831" s="63"/>
      <c r="BS831" s="63"/>
      <c r="BT831" s="63"/>
      <c r="BU831" s="63"/>
      <c r="BV831" s="63"/>
      <c r="BW831" s="63"/>
    </row>
    <row r="832" spans="1:75" x14ac:dyDescent="0.2">
      <c r="A832" s="63" t="str">
        <f t="shared" si="153"/>
        <v/>
      </c>
      <c r="B832" s="182"/>
      <c r="C832" s="74"/>
      <c r="D832" s="74"/>
      <c r="E832" s="74"/>
      <c r="F832" s="181"/>
      <c r="G832" s="69"/>
      <c r="AB832" s="150">
        <f t="shared" si="144"/>
        <v>0</v>
      </c>
      <c r="AC832" s="150">
        <f t="shared" si="145"/>
        <v>0</v>
      </c>
      <c r="AD832" s="98" t="str">
        <f t="shared" si="154"/>
        <v>0000000000</v>
      </c>
      <c r="AE832" s="151">
        <f t="shared" si="147"/>
        <v>0</v>
      </c>
      <c r="AF832" s="98" t="str">
        <f t="shared" si="148"/>
        <v>00</v>
      </c>
      <c r="AG832" s="98" t="str">
        <f t="shared" si="155"/>
        <v>000000000000</v>
      </c>
      <c r="AH832" s="161" t="str">
        <f t="shared" si="149"/>
        <v xml:space="preserve">                    </v>
      </c>
      <c r="AI832" s="154">
        <f t="shared" si="150"/>
        <v>0</v>
      </c>
      <c r="AJ832" s="155">
        <f t="shared" si="151"/>
        <v>0</v>
      </c>
      <c r="AP832" s="63" t="str">
        <f t="shared" si="152"/>
        <v/>
      </c>
      <c r="AQ832" s="63" t="str">
        <f t="shared" si="146"/>
        <v xml:space="preserve">                    </v>
      </c>
      <c r="AR832" s="63"/>
      <c r="AS832" s="63"/>
      <c r="AT832" s="63"/>
      <c r="AU832" s="63"/>
      <c r="AV832" s="63"/>
      <c r="AW832" s="63"/>
      <c r="AX832" s="63"/>
      <c r="AY832" s="63"/>
      <c r="AZ832" s="63"/>
      <c r="BA832" s="63"/>
      <c r="BB832" s="63"/>
      <c r="BC832" s="63"/>
      <c r="BD832" s="63"/>
      <c r="BE832" s="63"/>
      <c r="BF832" s="63"/>
      <c r="BG832" s="63"/>
      <c r="BH832" s="63"/>
      <c r="BI832" s="63"/>
      <c r="BJ832" s="63"/>
      <c r="BK832" s="63"/>
      <c r="BL832" s="63"/>
      <c r="BM832" s="63"/>
      <c r="BN832" s="63"/>
      <c r="BO832" s="63"/>
      <c r="BP832" s="63"/>
      <c r="BQ832" s="63"/>
      <c r="BR832" s="63"/>
      <c r="BS832" s="63"/>
      <c r="BT832" s="63"/>
      <c r="BU832" s="63"/>
      <c r="BV832" s="63"/>
      <c r="BW832" s="63"/>
    </row>
    <row r="833" spans="1:75" x14ac:dyDescent="0.2">
      <c r="A833" s="63" t="str">
        <f t="shared" si="153"/>
        <v/>
      </c>
      <c r="B833" s="182"/>
      <c r="C833" s="74"/>
      <c r="D833" s="74"/>
      <c r="E833" s="74"/>
      <c r="F833" s="181"/>
      <c r="G833" s="69"/>
      <c r="AB833" s="150">
        <f t="shared" si="144"/>
        <v>0</v>
      </c>
      <c r="AC833" s="150">
        <f t="shared" si="145"/>
        <v>0</v>
      </c>
      <c r="AD833" s="98" t="str">
        <f t="shared" si="154"/>
        <v>0000000000</v>
      </c>
      <c r="AE833" s="151">
        <f t="shared" si="147"/>
        <v>0</v>
      </c>
      <c r="AF833" s="98" t="str">
        <f t="shared" si="148"/>
        <v>00</v>
      </c>
      <c r="AG833" s="98" t="str">
        <f t="shared" si="155"/>
        <v>000000000000</v>
      </c>
      <c r="AH833" s="161" t="str">
        <f t="shared" si="149"/>
        <v xml:space="preserve">                    </v>
      </c>
      <c r="AI833" s="154">
        <f t="shared" si="150"/>
        <v>0</v>
      </c>
      <c r="AJ833" s="155">
        <f t="shared" si="151"/>
        <v>0</v>
      </c>
      <c r="AP833" s="63" t="str">
        <f t="shared" si="152"/>
        <v/>
      </c>
      <c r="AQ833" s="63" t="str">
        <f t="shared" si="146"/>
        <v xml:space="preserve">                    </v>
      </c>
      <c r="AR833" s="63"/>
      <c r="AS833" s="63"/>
      <c r="AT833" s="63"/>
      <c r="AU833" s="63"/>
      <c r="AV833" s="63"/>
      <c r="AW833" s="63"/>
      <c r="AX833" s="63"/>
      <c r="AY833" s="63"/>
      <c r="AZ833" s="63"/>
      <c r="BA833" s="63"/>
      <c r="BB833" s="63"/>
      <c r="BC833" s="63"/>
      <c r="BD833" s="63"/>
      <c r="BE833" s="63"/>
      <c r="BF833" s="63"/>
      <c r="BG833" s="63"/>
      <c r="BH833" s="63"/>
      <c r="BI833" s="63"/>
      <c r="BJ833" s="63"/>
      <c r="BK833" s="63"/>
      <c r="BL833" s="63"/>
      <c r="BM833" s="63"/>
      <c r="BN833" s="63"/>
      <c r="BO833" s="63"/>
      <c r="BP833" s="63"/>
      <c r="BQ833" s="63"/>
      <c r="BR833" s="63"/>
      <c r="BS833" s="63"/>
      <c r="BT833" s="63"/>
      <c r="BU833" s="63"/>
      <c r="BV833" s="63"/>
      <c r="BW833" s="63"/>
    </row>
    <row r="834" spans="1:75" x14ac:dyDescent="0.2">
      <c r="A834" s="63" t="str">
        <f t="shared" si="153"/>
        <v/>
      </c>
      <c r="B834" s="182"/>
      <c r="C834" s="74"/>
      <c r="D834" s="74"/>
      <c r="E834" s="74"/>
      <c r="F834" s="181"/>
      <c r="G834" s="69"/>
      <c r="AB834" s="150">
        <f t="shared" si="144"/>
        <v>0</v>
      </c>
      <c r="AC834" s="150">
        <f t="shared" si="145"/>
        <v>0</v>
      </c>
      <c r="AD834" s="98" t="str">
        <f t="shared" si="154"/>
        <v>0000000000</v>
      </c>
      <c r="AE834" s="151">
        <f t="shared" si="147"/>
        <v>0</v>
      </c>
      <c r="AF834" s="98" t="str">
        <f t="shared" si="148"/>
        <v>00</v>
      </c>
      <c r="AG834" s="98" t="str">
        <f t="shared" si="155"/>
        <v>000000000000</v>
      </c>
      <c r="AH834" s="161" t="str">
        <f t="shared" si="149"/>
        <v xml:space="preserve">                    </v>
      </c>
      <c r="AI834" s="154">
        <f t="shared" si="150"/>
        <v>0</v>
      </c>
      <c r="AJ834" s="155">
        <f t="shared" si="151"/>
        <v>0</v>
      </c>
      <c r="AP834" s="63" t="str">
        <f t="shared" si="152"/>
        <v/>
      </c>
      <c r="AQ834" s="63" t="str">
        <f t="shared" si="146"/>
        <v xml:space="preserve">                    </v>
      </c>
      <c r="AR834" s="63"/>
      <c r="AS834" s="63"/>
      <c r="AT834" s="63"/>
      <c r="AU834" s="63"/>
      <c r="AV834" s="63"/>
      <c r="AW834" s="63"/>
      <c r="AX834" s="63"/>
      <c r="AY834" s="63"/>
      <c r="AZ834" s="63"/>
      <c r="BA834" s="63"/>
      <c r="BB834" s="63"/>
      <c r="BC834" s="63"/>
      <c r="BD834" s="63"/>
      <c r="BE834" s="63"/>
      <c r="BF834" s="63"/>
      <c r="BG834" s="63"/>
      <c r="BH834" s="63"/>
      <c r="BI834" s="63"/>
      <c r="BJ834" s="63"/>
      <c r="BK834" s="63"/>
      <c r="BL834" s="63"/>
      <c r="BM834" s="63"/>
      <c r="BN834" s="63"/>
      <c r="BO834" s="63"/>
      <c r="BP834" s="63"/>
      <c r="BQ834" s="63"/>
      <c r="BR834" s="63"/>
      <c r="BS834" s="63"/>
      <c r="BT834" s="63"/>
      <c r="BU834" s="63"/>
      <c r="BV834" s="63"/>
      <c r="BW834" s="63"/>
    </row>
    <row r="835" spans="1:75" x14ac:dyDescent="0.2">
      <c r="A835" s="63" t="str">
        <f t="shared" si="153"/>
        <v/>
      </c>
      <c r="B835" s="182"/>
      <c r="C835" s="74"/>
      <c r="D835" s="74"/>
      <c r="E835" s="74"/>
      <c r="F835" s="181"/>
      <c r="G835" s="69"/>
      <c r="AB835" s="150">
        <f t="shared" ref="AB835:AB898" si="156">INT(F835)</f>
        <v>0</v>
      </c>
      <c r="AC835" s="150">
        <f t="shared" ref="AC835:AC898" si="157">F835-AB835</f>
        <v>0</v>
      </c>
      <c r="AD835" s="98" t="str">
        <f t="shared" si="154"/>
        <v>0000000000</v>
      </c>
      <c r="AE835" s="151">
        <f t="shared" si="147"/>
        <v>0</v>
      </c>
      <c r="AF835" s="98" t="str">
        <f t="shared" si="148"/>
        <v>00</v>
      </c>
      <c r="AG835" s="98" t="str">
        <f t="shared" si="155"/>
        <v>000000000000</v>
      </c>
      <c r="AH835" s="161" t="str">
        <f t="shared" si="149"/>
        <v xml:space="preserve">                    </v>
      </c>
      <c r="AI835" s="154">
        <f t="shared" si="150"/>
        <v>0</v>
      </c>
      <c r="AJ835" s="155">
        <f t="shared" si="151"/>
        <v>0</v>
      </c>
      <c r="AP835" s="63" t="str">
        <f t="shared" si="152"/>
        <v/>
      </c>
      <c r="AQ835" s="63" t="str">
        <f t="shared" ref="AQ835:AQ898" si="158">CONCATENATE(D835,REPT(" ",20-LEN(D835)))</f>
        <v xml:space="preserve">                    </v>
      </c>
      <c r="AR835" s="63"/>
      <c r="AS835" s="63"/>
      <c r="AT835" s="63"/>
      <c r="AU835" s="63"/>
      <c r="AV835" s="63"/>
      <c r="AW835" s="63"/>
      <c r="AX835" s="63"/>
      <c r="AY835" s="63"/>
      <c r="AZ835" s="63"/>
      <c r="BA835" s="63"/>
      <c r="BB835" s="63"/>
      <c r="BC835" s="63"/>
      <c r="BD835" s="63"/>
      <c r="BE835" s="63"/>
      <c r="BF835" s="63"/>
      <c r="BG835" s="63"/>
      <c r="BH835" s="63"/>
      <c r="BI835" s="63"/>
      <c r="BJ835" s="63"/>
      <c r="BK835" s="63"/>
      <c r="BL835" s="63"/>
      <c r="BM835" s="63"/>
      <c r="BN835" s="63"/>
      <c r="BO835" s="63"/>
      <c r="BP835" s="63"/>
      <c r="BQ835" s="63"/>
      <c r="BR835" s="63"/>
      <c r="BS835" s="63"/>
      <c r="BT835" s="63"/>
      <c r="BU835" s="63"/>
      <c r="BV835" s="63"/>
      <c r="BW835" s="63"/>
    </row>
    <row r="836" spans="1:75" x14ac:dyDescent="0.2">
      <c r="A836" s="63" t="str">
        <f t="shared" si="153"/>
        <v/>
      </c>
      <c r="B836" s="182"/>
      <c r="C836" s="74"/>
      <c r="D836" s="74"/>
      <c r="E836" s="74"/>
      <c r="F836" s="181"/>
      <c r="G836" s="69"/>
      <c r="AB836" s="150">
        <f t="shared" si="156"/>
        <v>0</v>
      </c>
      <c r="AC836" s="150">
        <f t="shared" si="157"/>
        <v>0</v>
      </c>
      <c r="AD836" s="98" t="str">
        <f t="shared" si="154"/>
        <v>0000000000</v>
      </c>
      <c r="AE836" s="151">
        <f t="shared" ref="AE836:AE899" si="159">AC836*100</f>
        <v>0</v>
      </c>
      <c r="AF836" s="98" t="str">
        <f t="shared" ref="AF836:AF899" si="160">TEXT(AE836,"00")</f>
        <v>00</v>
      </c>
      <c r="AG836" s="98" t="str">
        <f t="shared" si="155"/>
        <v>000000000000</v>
      </c>
      <c r="AH836" s="161" t="str">
        <f t="shared" ref="AH836:AH899" si="161">CONCATENATE(C836,REPT(" ",20-LEN(C836)))</f>
        <v xml:space="preserve">                    </v>
      </c>
      <c r="AI836" s="154">
        <f t="shared" ref="AI836:AI899" si="162">IF(E836&lt;&gt;"",IF(E836=$E$3,0,1),0)</f>
        <v>0</v>
      </c>
      <c r="AJ836" s="155">
        <f t="shared" ref="AJ836:AJ899" si="163">IF(AI836=1,IF($E$3=1,F836*$H$14,F836/$H$14),F836)</f>
        <v>0</v>
      </c>
      <c r="AP836" s="63" t="str">
        <f t="shared" ref="AP836:AP899" si="164">IF(B837&lt;&gt;"",CONCATENATE("000",B837,"0",E837,"2","    00000000",AG837,"            ",AQ837,AH837,"                                                                                               "),"")</f>
        <v/>
      </c>
      <c r="AQ836" s="63" t="str">
        <f t="shared" si="158"/>
        <v xml:space="preserve">                    </v>
      </c>
      <c r="AR836" s="63"/>
      <c r="AS836" s="63"/>
      <c r="AT836" s="63"/>
      <c r="AU836" s="63"/>
      <c r="AV836" s="63"/>
      <c r="AW836" s="63"/>
      <c r="AX836" s="63"/>
      <c r="AY836" s="63"/>
      <c r="AZ836" s="63"/>
      <c r="BA836" s="63"/>
      <c r="BB836" s="63"/>
      <c r="BC836" s="63"/>
      <c r="BD836" s="63"/>
      <c r="BE836" s="63"/>
      <c r="BF836" s="63"/>
      <c r="BG836" s="63"/>
      <c r="BH836" s="63"/>
      <c r="BI836" s="63"/>
      <c r="BJ836" s="63"/>
      <c r="BK836" s="63"/>
      <c r="BL836" s="63"/>
      <c r="BM836" s="63"/>
      <c r="BN836" s="63"/>
      <c r="BO836" s="63"/>
      <c r="BP836" s="63"/>
      <c r="BQ836" s="63"/>
      <c r="BR836" s="63"/>
      <c r="BS836" s="63"/>
      <c r="BT836" s="63"/>
      <c r="BU836" s="63"/>
      <c r="BV836" s="63"/>
      <c r="BW836" s="63"/>
    </row>
    <row r="837" spans="1:75" x14ac:dyDescent="0.2">
      <c r="A837" s="63" t="str">
        <f t="shared" si="153"/>
        <v/>
      </c>
      <c r="B837" s="182"/>
      <c r="C837" s="74"/>
      <c r="D837" s="74"/>
      <c r="E837" s="74"/>
      <c r="F837" s="181"/>
      <c r="G837" s="69"/>
      <c r="AB837" s="150">
        <f t="shared" si="156"/>
        <v>0</v>
      </c>
      <c r="AC837" s="150">
        <f t="shared" si="157"/>
        <v>0</v>
      </c>
      <c r="AD837" s="98" t="str">
        <f t="shared" si="154"/>
        <v>0000000000</v>
      </c>
      <c r="AE837" s="151">
        <f t="shared" si="159"/>
        <v>0</v>
      </c>
      <c r="AF837" s="98" t="str">
        <f t="shared" si="160"/>
        <v>00</v>
      </c>
      <c r="AG837" s="98" t="str">
        <f t="shared" si="155"/>
        <v>000000000000</v>
      </c>
      <c r="AH837" s="161" t="str">
        <f t="shared" si="161"/>
        <v xml:space="preserve">                    </v>
      </c>
      <c r="AI837" s="154">
        <f t="shared" si="162"/>
        <v>0</v>
      </c>
      <c r="AJ837" s="155">
        <f t="shared" si="163"/>
        <v>0</v>
      </c>
      <c r="AP837" s="63" t="str">
        <f t="shared" si="164"/>
        <v/>
      </c>
      <c r="AQ837" s="63" t="str">
        <f t="shared" si="158"/>
        <v xml:space="preserve">                    </v>
      </c>
      <c r="AR837" s="63"/>
      <c r="AS837" s="63"/>
      <c r="AT837" s="63"/>
      <c r="AU837" s="63"/>
      <c r="AV837" s="63"/>
      <c r="AW837" s="63"/>
      <c r="AX837" s="63"/>
      <c r="AY837" s="63"/>
      <c r="AZ837" s="63"/>
      <c r="BA837" s="63"/>
      <c r="BB837" s="63"/>
      <c r="BC837" s="63"/>
      <c r="BD837" s="63"/>
      <c r="BE837" s="63"/>
      <c r="BF837" s="63"/>
      <c r="BG837" s="63"/>
      <c r="BH837" s="63"/>
      <c r="BI837" s="63"/>
      <c r="BJ837" s="63"/>
      <c r="BK837" s="63"/>
      <c r="BL837" s="63"/>
      <c r="BM837" s="63"/>
      <c r="BN837" s="63"/>
      <c r="BO837" s="63"/>
      <c r="BP837" s="63"/>
      <c r="BQ837" s="63"/>
      <c r="BR837" s="63"/>
      <c r="BS837" s="63"/>
      <c r="BT837" s="63"/>
      <c r="BU837" s="63"/>
      <c r="BV837" s="63"/>
      <c r="BW837" s="63"/>
    </row>
    <row r="838" spans="1:75" x14ac:dyDescent="0.2">
      <c r="A838" s="63" t="str">
        <f t="shared" ref="A838:A901" si="165">IF(B838&lt;&gt;"",A837+1,"")</f>
        <v/>
      </c>
      <c r="B838" s="182"/>
      <c r="C838" s="74"/>
      <c r="D838" s="74"/>
      <c r="E838" s="74"/>
      <c r="F838" s="181"/>
      <c r="G838" s="69"/>
      <c r="AB838" s="150">
        <f t="shared" si="156"/>
        <v>0</v>
      </c>
      <c r="AC838" s="150">
        <f t="shared" si="157"/>
        <v>0</v>
      </c>
      <c r="AD838" s="98" t="str">
        <f t="shared" si="154"/>
        <v>0000000000</v>
      </c>
      <c r="AE838" s="151">
        <f t="shared" si="159"/>
        <v>0</v>
      </c>
      <c r="AF838" s="98" t="str">
        <f t="shared" si="160"/>
        <v>00</v>
      </c>
      <c r="AG838" s="98" t="str">
        <f t="shared" si="155"/>
        <v>000000000000</v>
      </c>
      <c r="AH838" s="161" t="str">
        <f t="shared" si="161"/>
        <v xml:space="preserve">                    </v>
      </c>
      <c r="AI838" s="154">
        <f t="shared" si="162"/>
        <v>0</v>
      </c>
      <c r="AJ838" s="155">
        <f t="shared" si="163"/>
        <v>0</v>
      </c>
      <c r="AP838" s="63" t="str">
        <f t="shared" si="164"/>
        <v/>
      </c>
      <c r="AQ838" s="63" t="str">
        <f t="shared" si="158"/>
        <v xml:space="preserve">                    </v>
      </c>
      <c r="AR838" s="63"/>
      <c r="AS838" s="63"/>
      <c r="AT838" s="63"/>
      <c r="AU838" s="63"/>
      <c r="AV838" s="63"/>
      <c r="AW838" s="63"/>
      <c r="AX838" s="63"/>
      <c r="AY838" s="63"/>
      <c r="AZ838" s="63"/>
      <c r="BA838" s="63"/>
      <c r="BB838" s="63"/>
      <c r="BC838" s="63"/>
      <c r="BD838" s="63"/>
      <c r="BE838" s="63"/>
      <c r="BF838" s="63"/>
      <c r="BG838" s="63"/>
      <c r="BH838" s="63"/>
      <c r="BI838" s="63"/>
      <c r="BJ838" s="63"/>
      <c r="BK838" s="63"/>
      <c r="BL838" s="63"/>
      <c r="BM838" s="63"/>
      <c r="BN838" s="63"/>
      <c r="BO838" s="63"/>
      <c r="BP838" s="63"/>
      <c r="BQ838" s="63"/>
      <c r="BR838" s="63"/>
      <c r="BS838" s="63"/>
      <c r="BT838" s="63"/>
      <c r="BU838" s="63"/>
      <c r="BV838" s="63"/>
      <c r="BW838" s="63"/>
    </row>
    <row r="839" spans="1:75" x14ac:dyDescent="0.2">
      <c r="A839" s="63" t="str">
        <f t="shared" si="165"/>
        <v/>
      </c>
      <c r="B839" s="182"/>
      <c r="C839" s="74"/>
      <c r="D839" s="74"/>
      <c r="E839" s="74"/>
      <c r="F839" s="181"/>
      <c r="G839" s="69"/>
      <c r="AB839" s="150">
        <f t="shared" si="156"/>
        <v>0</v>
      </c>
      <c r="AC839" s="150">
        <f t="shared" si="157"/>
        <v>0</v>
      </c>
      <c r="AD839" s="98" t="str">
        <f t="shared" si="154"/>
        <v>0000000000</v>
      </c>
      <c r="AE839" s="151">
        <f t="shared" si="159"/>
        <v>0</v>
      </c>
      <c r="AF839" s="98" t="str">
        <f t="shared" si="160"/>
        <v>00</v>
      </c>
      <c r="AG839" s="98" t="str">
        <f t="shared" si="155"/>
        <v>000000000000</v>
      </c>
      <c r="AH839" s="161" t="str">
        <f t="shared" si="161"/>
        <v xml:space="preserve">                    </v>
      </c>
      <c r="AI839" s="154">
        <f t="shared" si="162"/>
        <v>0</v>
      </c>
      <c r="AJ839" s="155">
        <f t="shared" si="163"/>
        <v>0</v>
      </c>
      <c r="AP839" s="63" t="str">
        <f t="shared" si="164"/>
        <v/>
      </c>
      <c r="AQ839" s="63" t="str">
        <f t="shared" si="158"/>
        <v xml:space="preserve">                    </v>
      </c>
      <c r="AR839" s="63"/>
      <c r="AS839" s="63"/>
      <c r="AT839" s="63"/>
      <c r="AU839" s="63"/>
      <c r="AV839" s="63"/>
      <c r="AW839" s="63"/>
      <c r="AX839" s="63"/>
      <c r="AY839" s="63"/>
      <c r="AZ839" s="63"/>
      <c r="BA839" s="63"/>
      <c r="BB839" s="63"/>
      <c r="BC839" s="63"/>
      <c r="BD839" s="63"/>
      <c r="BE839" s="63"/>
      <c r="BF839" s="63"/>
      <c r="BG839" s="63"/>
      <c r="BH839" s="63"/>
      <c r="BI839" s="63"/>
      <c r="BJ839" s="63"/>
      <c r="BK839" s="63"/>
      <c r="BL839" s="63"/>
      <c r="BM839" s="63"/>
      <c r="BN839" s="63"/>
      <c r="BO839" s="63"/>
      <c r="BP839" s="63"/>
      <c r="BQ839" s="63"/>
      <c r="BR839" s="63"/>
      <c r="BS839" s="63"/>
      <c r="BT839" s="63"/>
      <c r="BU839" s="63"/>
      <c r="BV839" s="63"/>
      <c r="BW839" s="63"/>
    </row>
    <row r="840" spans="1:75" x14ac:dyDescent="0.2">
      <c r="A840" s="63" t="str">
        <f t="shared" si="165"/>
        <v/>
      </c>
      <c r="B840" s="182"/>
      <c r="C840" s="74"/>
      <c r="D840" s="74"/>
      <c r="E840" s="74"/>
      <c r="F840" s="181"/>
      <c r="G840" s="69"/>
      <c r="AB840" s="150">
        <f t="shared" si="156"/>
        <v>0</v>
      </c>
      <c r="AC840" s="150">
        <f t="shared" si="157"/>
        <v>0</v>
      </c>
      <c r="AD840" s="98" t="str">
        <f t="shared" ref="AD840:AD903" si="166">TEXT(AB840,"0000000000")</f>
        <v>0000000000</v>
      </c>
      <c r="AE840" s="151">
        <f t="shared" si="159"/>
        <v>0</v>
      </c>
      <c r="AF840" s="98" t="str">
        <f t="shared" si="160"/>
        <v>00</v>
      </c>
      <c r="AG840" s="98" t="str">
        <f t="shared" ref="AG840:AG903" si="167">CONCATENATE(AD840,AF840)</f>
        <v>000000000000</v>
      </c>
      <c r="AH840" s="161" t="str">
        <f t="shared" si="161"/>
        <v xml:space="preserve">                    </v>
      </c>
      <c r="AI840" s="154">
        <f t="shared" si="162"/>
        <v>0</v>
      </c>
      <c r="AJ840" s="155">
        <f t="shared" si="163"/>
        <v>0</v>
      </c>
      <c r="AP840" s="63" t="str">
        <f t="shared" si="164"/>
        <v/>
      </c>
      <c r="AQ840" s="63" t="str">
        <f t="shared" si="158"/>
        <v xml:space="preserve">                    </v>
      </c>
      <c r="AR840" s="63"/>
      <c r="AS840" s="63"/>
      <c r="AT840" s="63"/>
      <c r="AU840" s="63"/>
      <c r="AV840" s="63"/>
      <c r="AW840" s="63"/>
      <c r="AX840" s="63"/>
      <c r="AY840" s="63"/>
      <c r="AZ840" s="63"/>
      <c r="BA840" s="63"/>
      <c r="BB840" s="63"/>
      <c r="BC840" s="63"/>
      <c r="BD840" s="63"/>
      <c r="BE840" s="63"/>
      <c r="BF840" s="63"/>
      <c r="BG840" s="63"/>
      <c r="BH840" s="63"/>
      <c r="BI840" s="63"/>
      <c r="BJ840" s="63"/>
      <c r="BK840" s="63"/>
      <c r="BL840" s="63"/>
      <c r="BM840" s="63"/>
      <c r="BN840" s="63"/>
      <c r="BO840" s="63"/>
      <c r="BP840" s="63"/>
      <c r="BQ840" s="63"/>
      <c r="BR840" s="63"/>
      <c r="BS840" s="63"/>
      <c r="BT840" s="63"/>
      <c r="BU840" s="63"/>
      <c r="BV840" s="63"/>
      <c r="BW840" s="63"/>
    </row>
    <row r="841" spans="1:75" x14ac:dyDescent="0.2">
      <c r="A841" s="63" t="str">
        <f t="shared" si="165"/>
        <v/>
      </c>
      <c r="B841" s="182"/>
      <c r="C841" s="74"/>
      <c r="D841" s="74"/>
      <c r="E841" s="74"/>
      <c r="F841" s="181"/>
      <c r="G841" s="69"/>
      <c r="AB841" s="150">
        <f t="shared" si="156"/>
        <v>0</v>
      </c>
      <c r="AC841" s="150">
        <f t="shared" si="157"/>
        <v>0</v>
      </c>
      <c r="AD841" s="98" t="str">
        <f t="shared" si="166"/>
        <v>0000000000</v>
      </c>
      <c r="AE841" s="151">
        <f t="shared" si="159"/>
        <v>0</v>
      </c>
      <c r="AF841" s="98" t="str">
        <f t="shared" si="160"/>
        <v>00</v>
      </c>
      <c r="AG841" s="98" t="str">
        <f t="shared" si="167"/>
        <v>000000000000</v>
      </c>
      <c r="AH841" s="161" t="str">
        <f t="shared" si="161"/>
        <v xml:space="preserve">                    </v>
      </c>
      <c r="AI841" s="154">
        <f t="shared" si="162"/>
        <v>0</v>
      </c>
      <c r="AJ841" s="155">
        <f t="shared" si="163"/>
        <v>0</v>
      </c>
      <c r="AP841" s="63" t="str">
        <f t="shared" si="164"/>
        <v/>
      </c>
      <c r="AQ841" s="63" t="str">
        <f t="shared" si="158"/>
        <v xml:space="preserve">                    </v>
      </c>
      <c r="AR841" s="63"/>
      <c r="AS841" s="63"/>
      <c r="AT841" s="63"/>
      <c r="AU841" s="63"/>
      <c r="AV841" s="63"/>
      <c r="AW841" s="63"/>
      <c r="AX841" s="63"/>
      <c r="AY841" s="63"/>
      <c r="AZ841" s="63"/>
      <c r="BA841" s="63"/>
      <c r="BB841" s="63"/>
      <c r="BC841" s="63"/>
      <c r="BD841" s="63"/>
      <c r="BE841" s="63"/>
      <c r="BF841" s="63"/>
      <c r="BG841" s="63"/>
      <c r="BH841" s="63"/>
      <c r="BI841" s="63"/>
      <c r="BJ841" s="63"/>
      <c r="BK841" s="63"/>
      <c r="BL841" s="63"/>
      <c r="BM841" s="63"/>
      <c r="BN841" s="63"/>
      <c r="BO841" s="63"/>
      <c r="BP841" s="63"/>
      <c r="BQ841" s="63"/>
      <c r="BR841" s="63"/>
      <c r="BS841" s="63"/>
      <c r="BT841" s="63"/>
      <c r="BU841" s="63"/>
      <c r="BV841" s="63"/>
      <c r="BW841" s="63"/>
    </row>
    <row r="842" spans="1:75" x14ac:dyDescent="0.2">
      <c r="A842" s="63" t="str">
        <f t="shared" si="165"/>
        <v/>
      </c>
      <c r="B842" s="182"/>
      <c r="C842" s="74"/>
      <c r="D842" s="74"/>
      <c r="E842" s="74"/>
      <c r="F842" s="181"/>
      <c r="G842" s="69"/>
      <c r="AB842" s="150">
        <f t="shared" si="156"/>
        <v>0</v>
      </c>
      <c r="AC842" s="150">
        <f t="shared" si="157"/>
        <v>0</v>
      </c>
      <c r="AD842" s="98" t="str">
        <f t="shared" si="166"/>
        <v>0000000000</v>
      </c>
      <c r="AE842" s="151">
        <f t="shared" si="159"/>
        <v>0</v>
      </c>
      <c r="AF842" s="98" t="str">
        <f t="shared" si="160"/>
        <v>00</v>
      </c>
      <c r="AG842" s="98" t="str">
        <f t="shared" si="167"/>
        <v>000000000000</v>
      </c>
      <c r="AH842" s="161" t="str">
        <f t="shared" si="161"/>
        <v xml:space="preserve">                    </v>
      </c>
      <c r="AI842" s="154">
        <f t="shared" si="162"/>
        <v>0</v>
      </c>
      <c r="AJ842" s="155">
        <f t="shared" si="163"/>
        <v>0</v>
      </c>
      <c r="AP842" s="63" t="str">
        <f t="shared" si="164"/>
        <v/>
      </c>
      <c r="AQ842" s="63" t="str">
        <f t="shared" si="158"/>
        <v xml:space="preserve">                    </v>
      </c>
      <c r="AR842" s="63"/>
      <c r="AS842" s="63"/>
      <c r="AT842" s="63"/>
      <c r="AU842" s="63"/>
      <c r="AV842" s="63"/>
      <c r="AW842" s="63"/>
      <c r="AX842" s="63"/>
      <c r="AY842" s="63"/>
      <c r="AZ842" s="63"/>
      <c r="BA842" s="63"/>
      <c r="BB842" s="63"/>
      <c r="BC842" s="63"/>
      <c r="BD842" s="63"/>
      <c r="BE842" s="63"/>
      <c r="BF842" s="63"/>
      <c r="BG842" s="63"/>
      <c r="BH842" s="63"/>
      <c r="BI842" s="63"/>
      <c r="BJ842" s="63"/>
      <c r="BK842" s="63"/>
      <c r="BL842" s="63"/>
      <c r="BM842" s="63"/>
      <c r="BN842" s="63"/>
      <c r="BO842" s="63"/>
      <c r="BP842" s="63"/>
      <c r="BQ842" s="63"/>
      <c r="BR842" s="63"/>
      <c r="BS842" s="63"/>
      <c r="BT842" s="63"/>
      <c r="BU842" s="63"/>
      <c r="BV842" s="63"/>
      <c r="BW842" s="63"/>
    </row>
    <row r="843" spans="1:75" x14ac:dyDescent="0.2">
      <c r="A843" s="63" t="str">
        <f t="shared" si="165"/>
        <v/>
      </c>
      <c r="B843" s="182"/>
      <c r="C843" s="74"/>
      <c r="D843" s="74"/>
      <c r="E843" s="74"/>
      <c r="F843" s="181"/>
      <c r="G843" s="69"/>
      <c r="AB843" s="150">
        <f t="shared" si="156"/>
        <v>0</v>
      </c>
      <c r="AC843" s="150">
        <f t="shared" si="157"/>
        <v>0</v>
      </c>
      <c r="AD843" s="98" t="str">
        <f t="shared" si="166"/>
        <v>0000000000</v>
      </c>
      <c r="AE843" s="151">
        <f t="shared" si="159"/>
        <v>0</v>
      </c>
      <c r="AF843" s="98" t="str">
        <f t="shared" si="160"/>
        <v>00</v>
      </c>
      <c r="AG843" s="98" t="str">
        <f t="shared" si="167"/>
        <v>000000000000</v>
      </c>
      <c r="AH843" s="161" t="str">
        <f t="shared" si="161"/>
        <v xml:space="preserve">                    </v>
      </c>
      <c r="AI843" s="154">
        <f t="shared" si="162"/>
        <v>0</v>
      </c>
      <c r="AJ843" s="155">
        <f t="shared" si="163"/>
        <v>0</v>
      </c>
      <c r="AP843" s="63" t="str">
        <f t="shared" si="164"/>
        <v/>
      </c>
      <c r="AQ843" s="63" t="str">
        <f t="shared" si="158"/>
        <v xml:space="preserve">                    </v>
      </c>
      <c r="AR843" s="63"/>
      <c r="AS843" s="63"/>
      <c r="AT843" s="63"/>
      <c r="AU843" s="63"/>
      <c r="AV843" s="63"/>
      <c r="AW843" s="63"/>
      <c r="AX843" s="63"/>
      <c r="AY843" s="63"/>
      <c r="AZ843" s="63"/>
      <c r="BA843" s="63"/>
      <c r="BB843" s="63"/>
      <c r="BC843" s="63"/>
      <c r="BD843" s="63"/>
      <c r="BE843" s="63"/>
      <c r="BF843" s="63"/>
      <c r="BG843" s="63"/>
      <c r="BH843" s="63"/>
      <c r="BI843" s="63"/>
      <c r="BJ843" s="63"/>
      <c r="BK843" s="63"/>
      <c r="BL843" s="63"/>
      <c r="BM843" s="63"/>
      <c r="BN843" s="63"/>
      <c r="BO843" s="63"/>
      <c r="BP843" s="63"/>
      <c r="BQ843" s="63"/>
      <c r="BR843" s="63"/>
      <c r="BS843" s="63"/>
      <c r="BT843" s="63"/>
      <c r="BU843" s="63"/>
      <c r="BV843" s="63"/>
      <c r="BW843" s="63"/>
    </row>
    <row r="844" spans="1:75" x14ac:dyDescent="0.2">
      <c r="A844" s="63" t="str">
        <f t="shared" si="165"/>
        <v/>
      </c>
      <c r="B844" s="182"/>
      <c r="C844" s="74"/>
      <c r="D844" s="74"/>
      <c r="E844" s="74"/>
      <c r="F844" s="181"/>
      <c r="G844" s="69"/>
      <c r="AB844" s="150">
        <f t="shared" si="156"/>
        <v>0</v>
      </c>
      <c r="AC844" s="150">
        <f t="shared" si="157"/>
        <v>0</v>
      </c>
      <c r="AD844" s="98" t="str">
        <f t="shared" si="166"/>
        <v>0000000000</v>
      </c>
      <c r="AE844" s="151">
        <f t="shared" si="159"/>
        <v>0</v>
      </c>
      <c r="AF844" s="98" t="str">
        <f t="shared" si="160"/>
        <v>00</v>
      </c>
      <c r="AG844" s="98" t="str">
        <f t="shared" si="167"/>
        <v>000000000000</v>
      </c>
      <c r="AH844" s="161" t="str">
        <f t="shared" si="161"/>
        <v xml:space="preserve">                    </v>
      </c>
      <c r="AI844" s="154">
        <f t="shared" si="162"/>
        <v>0</v>
      </c>
      <c r="AJ844" s="155">
        <f t="shared" si="163"/>
        <v>0</v>
      </c>
      <c r="AP844" s="63" t="str">
        <f t="shared" si="164"/>
        <v/>
      </c>
      <c r="AQ844" s="63" t="str">
        <f t="shared" si="158"/>
        <v xml:space="preserve">                    </v>
      </c>
      <c r="AR844" s="63"/>
      <c r="AS844" s="63"/>
      <c r="AT844" s="63"/>
      <c r="AU844" s="63"/>
      <c r="AV844" s="63"/>
      <c r="AW844" s="63"/>
      <c r="AX844" s="63"/>
      <c r="AY844" s="63"/>
      <c r="AZ844" s="63"/>
      <c r="BA844" s="63"/>
      <c r="BB844" s="63"/>
      <c r="BC844" s="63"/>
      <c r="BD844" s="63"/>
      <c r="BE844" s="63"/>
      <c r="BF844" s="63"/>
      <c r="BG844" s="63"/>
      <c r="BH844" s="63"/>
      <c r="BI844" s="63"/>
      <c r="BJ844" s="63"/>
      <c r="BK844" s="63"/>
      <c r="BL844" s="63"/>
      <c r="BM844" s="63"/>
      <c r="BN844" s="63"/>
      <c r="BO844" s="63"/>
      <c r="BP844" s="63"/>
      <c r="BQ844" s="63"/>
      <c r="BR844" s="63"/>
      <c r="BS844" s="63"/>
      <c r="BT844" s="63"/>
      <c r="BU844" s="63"/>
      <c r="BV844" s="63"/>
      <c r="BW844" s="63"/>
    </row>
    <row r="845" spans="1:75" x14ac:dyDescent="0.2">
      <c r="A845" s="63" t="str">
        <f t="shared" si="165"/>
        <v/>
      </c>
      <c r="B845" s="182"/>
      <c r="C845" s="74"/>
      <c r="D845" s="74"/>
      <c r="E845" s="74"/>
      <c r="F845" s="181"/>
      <c r="G845" s="69"/>
      <c r="AB845" s="150">
        <f t="shared" si="156"/>
        <v>0</v>
      </c>
      <c r="AC845" s="150">
        <f t="shared" si="157"/>
        <v>0</v>
      </c>
      <c r="AD845" s="98" t="str">
        <f t="shared" si="166"/>
        <v>0000000000</v>
      </c>
      <c r="AE845" s="151">
        <f t="shared" si="159"/>
        <v>0</v>
      </c>
      <c r="AF845" s="98" t="str">
        <f t="shared" si="160"/>
        <v>00</v>
      </c>
      <c r="AG845" s="98" t="str">
        <f t="shared" si="167"/>
        <v>000000000000</v>
      </c>
      <c r="AH845" s="161" t="str">
        <f t="shared" si="161"/>
        <v xml:space="preserve">                    </v>
      </c>
      <c r="AI845" s="154">
        <f t="shared" si="162"/>
        <v>0</v>
      </c>
      <c r="AJ845" s="155">
        <f t="shared" si="163"/>
        <v>0</v>
      </c>
      <c r="AP845" s="63" t="str">
        <f t="shared" si="164"/>
        <v/>
      </c>
      <c r="AQ845" s="63" t="str">
        <f t="shared" si="158"/>
        <v xml:space="preserve">                    </v>
      </c>
      <c r="AR845" s="63"/>
      <c r="AS845" s="63"/>
      <c r="AT845" s="63"/>
      <c r="AU845" s="63"/>
      <c r="AV845" s="63"/>
      <c r="AW845" s="63"/>
      <c r="AX845" s="63"/>
      <c r="AY845" s="63"/>
      <c r="AZ845" s="63"/>
      <c r="BA845" s="63"/>
      <c r="BB845" s="63"/>
      <c r="BC845" s="63"/>
      <c r="BD845" s="63"/>
      <c r="BE845" s="63"/>
      <c r="BF845" s="63"/>
      <c r="BG845" s="63"/>
      <c r="BH845" s="63"/>
      <c r="BI845" s="63"/>
      <c r="BJ845" s="63"/>
      <c r="BK845" s="63"/>
      <c r="BL845" s="63"/>
      <c r="BM845" s="63"/>
      <c r="BN845" s="63"/>
      <c r="BO845" s="63"/>
      <c r="BP845" s="63"/>
      <c r="BQ845" s="63"/>
      <c r="BR845" s="63"/>
      <c r="BS845" s="63"/>
      <c r="BT845" s="63"/>
      <c r="BU845" s="63"/>
      <c r="BV845" s="63"/>
      <c r="BW845" s="63"/>
    </row>
    <row r="846" spans="1:75" x14ac:dyDescent="0.2">
      <c r="A846" s="63" t="str">
        <f t="shared" si="165"/>
        <v/>
      </c>
      <c r="B846" s="182"/>
      <c r="C846" s="74"/>
      <c r="D846" s="74"/>
      <c r="E846" s="74"/>
      <c r="F846" s="181"/>
      <c r="G846" s="69"/>
      <c r="AB846" s="150">
        <f t="shared" si="156"/>
        <v>0</v>
      </c>
      <c r="AC846" s="150">
        <f t="shared" si="157"/>
        <v>0</v>
      </c>
      <c r="AD846" s="98" t="str">
        <f t="shared" si="166"/>
        <v>0000000000</v>
      </c>
      <c r="AE846" s="151">
        <f t="shared" si="159"/>
        <v>0</v>
      </c>
      <c r="AF846" s="98" t="str">
        <f t="shared" si="160"/>
        <v>00</v>
      </c>
      <c r="AG846" s="98" t="str">
        <f t="shared" si="167"/>
        <v>000000000000</v>
      </c>
      <c r="AH846" s="161" t="str">
        <f t="shared" si="161"/>
        <v xml:space="preserve">                    </v>
      </c>
      <c r="AI846" s="154">
        <f t="shared" si="162"/>
        <v>0</v>
      </c>
      <c r="AJ846" s="155">
        <f t="shared" si="163"/>
        <v>0</v>
      </c>
      <c r="AP846" s="63" t="str">
        <f t="shared" si="164"/>
        <v/>
      </c>
      <c r="AQ846" s="63" t="str">
        <f t="shared" si="158"/>
        <v xml:space="preserve">                    </v>
      </c>
      <c r="AR846" s="63"/>
      <c r="AS846" s="63"/>
      <c r="AT846" s="63"/>
      <c r="AU846" s="63"/>
      <c r="AV846" s="63"/>
      <c r="AW846" s="63"/>
      <c r="AX846" s="63"/>
      <c r="AY846" s="63"/>
      <c r="AZ846" s="63"/>
      <c r="BA846" s="63"/>
      <c r="BB846" s="63"/>
      <c r="BC846" s="63"/>
      <c r="BD846" s="63"/>
      <c r="BE846" s="63"/>
      <c r="BF846" s="63"/>
      <c r="BG846" s="63"/>
      <c r="BH846" s="63"/>
      <c r="BI846" s="63"/>
      <c r="BJ846" s="63"/>
      <c r="BK846" s="63"/>
      <c r="BL846" s="63"/>
      <c r="BM846" s="63"/>
      <c r="BN846" s="63"/>
      <c r="BO846" s="63"/>
      <c r="BP846" s="63"/>
      <c r="BQ846" s="63"/>
      <c r="BR846" s="63"/>
      <c r="BS846" s="63"/>
      <c r="BT846" s="63"/>
      <c r="BU846" s="63"/>
      <c r="BV846" s="63"/>
      <c r="BW846" s="63"/>
    </row>
    <row r="847" spans="1:75" x14ac:dyDescent="0.2">
      <c r="A847" s="63" t="str">
        <f t="shared" si="165"/>
        <v/>
      </c>
      <c r="B847" s="182"/>
      <c r="C847" s="74"/>
      <c r="D847" s="74"/>
      <c r="E847" s="74"/>
      <c r="F847" s="181"/>
      <c r="G847" s="69"/>
      <c r="AB847" s="150">
        <f t="shared" si="156"/>
        <v>0</v>
      </c>
      <c r="AC847" s="150">
        <f t="shared" si="157"/>
        <v>0</v>
      </c>
      <c r="AD847" s="98" t="str">
        <f t="shared" si="166"/>
        <v>0000000000</v>
      </c>
      <c r="AE847" s="151">
        <f t="shared" si="159"/>
        <v>0</v>
      </c>
      <c r="AF847" s="98" t="str">
        <f t="shared" si="160"/>
        <v>00</v>
      </c>
      <c r="AG847" s="98" t="str">
        <f t="shared" si="167"/>
        <v>000000000000</v>
      </c>
      <c r="AH847" s="161" t="str">
        <f t="shared" si="161"/>
        <v xml:space="preserve">                    </v>
      </c>
      <c r="AI847" s="154">
        <f t="shared" si="162"/>
        <v>0</v>
      </c>
      <c r="AJ847" s="155">
        <f t="shared" si="163"/>
        <v>0</v>
      </c>
      <c r="AP847" s="63" t="str">
        <f t="shared" si="164"/>
        <v/>
      </c>
      <c r="AQ847" s="63" t="str">
        <f t="shared" si="158"/>
        <v xml:space="preserve">                    </v>
      </c>
      <c r="AR847" s="63"/>
      <c r="AS847" s="63"/>
      <c r="AT847" s="63"/>
      <c r="AU847" s="63"/>
      <c r="AV847" s="63"/>
      <c r="AW847" s="63"/>
      <c r="AX847" s="63"/>
      <c r="AY847" s="63"/>
      <c r="AZ847" s="63"/>
      <c r="BA847" s="63"/>
      <c r="BB847" s="63"/>
      <c r="BC847" s="63"/>
      <c r="BD847" s="63"/>
      <c r="BE847" s="63"/>
      <c r="BF847" s="63"/>
      <c r="BG847" s="63"/>
      <c r="BH847" s="63"/>
      <c r="BI847" s="63"/>
      <c r="BJ847" s="63"/>
      <c r="BK847" s="63"/>
      <c r="BL847" s="63"/>
      <c r="BM847" s="63"/>
      <c r="BN847" s="63"/>
      <c r="BO847" s="63"/>
      <c r="BP847" s="63"/>
      <c r="BQ847" s="63"/>
      <c r="BR847" s="63"/>
      <c r="BS847" s="63"/>
      <c r="BT847" s="63"/>
      <c r="BU847" s="63"/>
      <c r="BV847" s="63"/>
      <c r="BW847" s="63"/>
    </row>
    <row r="848" spans="1:75" x14ac:dyDescent="0.2">
      <c r="A848" s="63" t="str">
        <f t="shared" si="165"/>
        <v/>
      </c>
      <c r="B848" s="182"/>
      <c r="C848" s="74"/>
      <c r="D848" s="74"/>
      <c r="E848" s="74"/>
      <c r="F848" s="181"/>
      <c r="G848" s="69"/>
      <c r="AB848" s="150">
        <f t="shared" si="156"/>
        <v>0</v>
      </c>
      <c r="AC848" s="150">
        <f t="shared" si="157"/>
        <v>0</v>
      </c>
      <c r="AD848" s="98" t="str">
        <f t="shared" si="166"/>
        <v>0000000000</v>
      </c>
      <c r="AE848" s="151">
        <f t="shared" si="159"/>
        <v>0</v>
      </c>
      <c r="AF848" s="98" t="str">
        <f t="shared" si="160"/>
        <v>00</v>
      </c>
      <c r="AG848" s="98" t="str">
        <f t="shared" si="167"/>
        <v>000000000000</v>
      </c>
      <c r="AH848" s="161" t="str">
        <f t="shared" si="161"/>
        <v xml:space="preserve">                    </v>
      </c>
      <c r="AI848" s="154">
        <f t="shared" si="162"/>
        <v>0</v>
      </c>
      <c r="AJ848" s="155">
        <f t="shared" si="163"/>
        <v>0</v>
      </c>
      <c r="AP848" s="63" t="str">
        <f t="shared" si="164"/>
        <v/>
      </c>
      <c r="AQ848" s="63" t="str">
        <f t="shared" si="158"/>
        <v xml:space="preserve">                    </v>
      </c>
      <c r="AR848" s="63"/>
      <c r="AS848" s="63"/>
      <c r="AT848" s="63"/>
      <c r="AU848" s="63"/>
      <c r="AV848" s="63"/>
      <c r="AW848" s="63"/>
      <c r="AX848" s="63"/>
      <c r="AY848" s="63"/>
      <c r="AZ848" s="63"/>
      <c r="BA848" s="63"/>
      <c r="BB848" s="63"/>
      <c r="BC848" s="63"/>
      <c r="BD848" s="63"/>
      <c r="BE848" s="63"/>
      <c r="BF848" s="63"/>
      <c r="BG848" s="63"/>
      <c r="BH848" s="63"/>
      <c r="BI848" s="63"/>
      <c r="BJ848" s="63"/>
      <c r="BK848" s="63"/>
      <c r="BL848" s="63"/>
      <c r="BM848" s="63"/>
      <c r="BN848" s="63"/>
      <c r="BO848" s="63"/>
      <c r="BP848" s="63"/>
      <c r="BQ848" s="63"/>
      <c r="BR848" s="63"/>
      <c r="BS848" s="63"/>
      <c r="BT848" s="63"/>
      <c r="BU848" s="63"/>
      <c r="BV848" s="63"/>
      <c r="BW848" s="63"/>
    </row>
    <row r="849" spans="1:75" x14ac:dyDescent="0.2">
      <c r="A849" s="63" t="str">
        <f t="shared" si="165"/>
        <v/>
      </c>
      <c r="B849" s="182"/>
      <c r="C849" s="74"/>
      <c r="D849" s="74"/>
      <c r="E849" s="74"/>
      <c r="F849" s="181"/>
      <c r="G849" s="69"/>
      <c r="AB849" s="150">
        <f t="shared" si="156"/>
        <v>0</v>
      </c>
      <c r="AC849" s="150">
        <f t="shared" si="157"/>
        <v>0</v>
      </c>
      <c r="AD849" s="98" t="str">
        <f t="shared" si="166"/>
        <v>0000000000</v>
      </c>
      <c r="AE849" s="151">
        <f t="shared" si="159"/>
        <v>0</v>
      </c>
      <c r="AF849" s="98" t="str">
        <f t="shared" si="160"/>
        <v>00</v>
      </c>
      <c r="AG849" s="98" t="str">
        <f t="shared" si="167"/>
        <v>000000000000</v>
      </c>
      <c r="AH849" s="161" t="str">
        <f t="shared" si="161"/>
        <v xml:space="preserve">                    </v>
      </c>
      <c r="AI849" s="154">
        <f t="shared" si="162"/>
        <v>0</v>
      </c>
      <c r="AJ849" s="155">
        <f t="shared" si="163"/>
        <v>0</v>
      </c>
      <c r="AP849" s="63" t="str">
        <f t="shared" si="164"/>
        <v/>
      </c>
      <c r="AQ849" s="63" t="str">
        <f t="shared" si="158"/>
        <v xml:space="preserve">                    </v>
      </c>
      <c r="AR849" s="63"/>
      <c r="AS849" s="63"/>
      <c r="AT849" s="63"/>
      <c r="AU849" s="63"/>
      <c r="AV849" s="63"/>
      <c r="AW849" s="63"/>
      <c r="AX849" s="63"/>
      <c r="AY849" s="63"/>
      <c r="AZ849" s="63"/>
      <c r="BA849" s="63"/>
      <c r="BB849" s="63"/>
      <c r="BC849" s="63"/>
      <c r="BD849" s="63"/>
      <c r="BE849" s="63"/>
      <c r="BF849" s="63"/>
      <c r="BG849" s="63"/>
      <c r="BH849" s="63"/>
      <c r="BI849" s="63"/>
      <c r="BJ849" s="63"/>
      <c r="BK849" s="63"/>
      <c r="BL849" s="63"/>
      <c r="BM849" s="63"/>
      <c r="BN849" s="63"/>
      <c r="BO849" s="63"/>
      <c r="BP849" s="63"/>
      <c r="BQ849" s="63"/>
      <c r="BR849" s="63"/>
      <c r="BS849" s="63"/>
      <c r="BT849" s="63"/>
      <c r="BU849" s="63"/>
      <c r="BV849" s="63"/>
      <c r="BW849" s="63"/>
    </row>
    <row r="850" spans="1:75" x14ac:dyDescent="0.2">
      <c r="A850" s="63" t="str">
        <f t="shared" si="165"/>
        <v/>
      </c>
      <c r="B850" s="182"/>
      <c r="C850" s="74"/>
      <c r="D850" s="74"/>
      <c r="E850" s="74"/>
      <c r="F850" s="181"/>
      <c r="G850" s="69"/>
      <c r="AB850" s="150">
        <f t="shared" si="156"/>
        <v>0</v>
      </c>
      <c r="AC850" s="150">
        <f t="shared" si="157"/>
        <v>0</v>
      </c>
      <c r="AD850" s="98" t="str">
        <f t="shared" si="166"/>
        <v>0000000000</v>
      </c>
      <c r="AE850" s="151">
        <f t="shared" si="159"/>
        <v>0</v>
      </c>
      <c r="AF850" s="98" t="str">
        <f t="shared" si="160"/>
        <v>00</v>
      </c>
      <c r="AG850" s="98" t="str">
        <f t="shared" si="167"/>
        <v>000000000000</v>
      </c>
      <c r="AH850" s="161" t="str">
        <f t="shared" si="161"/>
        <v xml:space="preserve">                    </v>
      </c>
      <c r="AI850" s="154">
        <f t="shared" si="162"/>
        <v>0</v>
      </c>
      <c r="AJ850" s="155">
        <f t="shared" si="163"/>
        <v>0</v>
      </c>
      <c r="AP850" s="63" t="str">
        <f t="shared" si="164"/>
        <v/>
      </c>
      <c r="AQ850" s="63" t="str">
        <f t="shared" si="158"/>
        <v xml:space="preserve">                    </v>
      </c>
      <c r="AR850" s="63"/>
      <c r="AS850" s="63"/>
      <c r="AT850" s="63"/>
      <c r="AU850" s="63"/>
      <c r="AV850" s="63"/>
      <c r="AW850" s="63"/>
      <c r="AX850" s="63"/>
      <c r="AY850" s="63"/>
      <c r="AZ850" s="63"/>
      <c r="BA850" s="63"/>
      <c r="BB850" s="63"/>
      <c r="BC850" s="63"/>
      <c r="BD850" s="63"/>
      <c r="BE850" s="63"/>
      <c r="BF850" s="63"/>
      <c r="BG850" s="63"/>
      <c r="BH850" s="63"/>
      <c r="BI850" s="63"/>
      <c r="BJ850" s="63"/>
      <c r="BK850" s="63"/>
      <c r="BL850" s="63"/>
      <c r="BM850" s="63"/>
      <c r="BN850" s="63"/>
      <c r="BO850" s="63"/>
      <c r="BP850" s="63"/>
      <c r="BQ850" s="63"/>
      <c r="BR850" s="63"/>
      <c r="BS850" s="63"/>
      <c r="BT850" s="63"/>
      <c r="BU850" s="63"/>
      <c r="BV850" s="63"/>
      <c r="BW850" s="63"/>
    </row>
    <row r="851" spans="1:75" x14ac:dyDescent="0.2">
      <c r="A851" s="63" t="str">
        <f t="shared" si="165"/>
        <v/>
      </c>
      <c r="B851" s="182"/>
      <c r="C851" s="74"/>
      <c r="D851" s="74"/>
      <c r="E851" s="74"/>
      <c r="F851" s="181"/>
      <c r="G851" s="69"/>
      <c r="AB851" s="150">
        <f t="shared" si="156"/>
        <v>0</v>
      </c>
      <c r="AC851" s="150">
        <f t="shared" si="157"/>
        <v>0</v>
      </c>
      <c r="AD851" s="98" t="str">
        <f t="shared" si="166"/>
        <v>0000000000</v>
      </c>
      <c r="AE851" s="151">
        <f t="shared" si="159"/>
        <v>0</v>
      </c>
      <c r="AF851" s="98" t="str">
        <f t="shared" si="160"/>
        <v>00</v>
      </c>
      <c r="AG851" s="98" t="str">
        <f t="shared" si="167"/>
        <v>000000000000</v>
      </c>
      <c r="AH851" s="161" t="str">
        <f t="shared" si="161"/>
        <v xml:space="preserve">                    </v>
      </c>
      <c r="AI851" s="154">
        <f t="shared" si="162"/>
        <v>0</v>
      </c>
      <c r="AJ851" s="155">
        <f t="shared" si="163"/>
        <v>0</v>
      </c>
      <c r="AP851" s="63" t="str">
        <f t="shared" si="164"/>
        <v/>
      </c>
      <c r="AQ851" s="63" t="str">
        <f t="shared" si="158"/>
        <v xml:space="preserve">                    </v>
      </c>
      <c r="AR851" s="63"/>
      <c r="AS851" s="63"/>
      <c r="AT851" s="63"/>
      <c r="AU851" s="63"/>
      <c r="AV851" s="63"/>
      <c r="AW851" s="63"/>
      <c r="AX851" s="63"/>
      <c r="AY851" s="63"/>
      <c r="AZ851" s="63"/>
      <c r="BA851" s="63"/>
      <c r="BB851" s="63"/>
      <c r="BC851" s="63"/>
      <c r="BD851" s="63"/>
      <c r="BE851" s="63"/>
      <c r="BF851" s="63"/>
      <c r="BG851" s="63"/>
      <c r="BH851" s="63"/>
      <c r="BI851" s="63"/>
      <c r="BJ851" s="63"/>
      <c r="BK851" s="63"/>
      <c r="BL851" s="63"/>
      <c r="BM851" s="63"/>
      <c r="BN851" s="63"/>
      <c r="BO851" s="63"/>
      <c r="BP851" s="63"/>
      <c r="BQ851" s="63"/>
      <c r="BR851" s="63"/>
      <c r="BS851" s="63"/>
      <c r="BT851" s="63"/>
      <c r="BU851" s="63"/>
      <c r="BV851" s="63"/>
      <c r="BW851" s="63"/>
    </row>
    <row r="852" spans="1:75" x14ac:dyDescent="0.2">
      <c r="A852" s="63" t="str">
        <f t="shared" si="165"/>
        <v/>
      </c>
      <c r="B852" s="182"/>
      <c r="C852" s="74"/>
      <c r="D852" s="74"/>
      <c r="E852" s="74"/>
      <c r="F852" s="181"/>
      <c r="G852" s="69"/>
      <c r="AB852" s="150">
        <f t="shared" si="156"/>
        <v>0</v>
      </c>
      <c r="AC852" s="150">
        <f t="shared" si="157"/>
        <v>0</v>
      </c>
      <c r="AD852" s="98" t="str">
        <f t="shared" si="166"/>
        <v>0000000000</v>
      </c>
      <c r="AE852" s="151">
        <f t="shared" si="159"/>
        <v>0</v>
      </c>
      <c r="AF852" s="98" t="str">
        <f t="shared" si="160"/>
        <v>00</v>
      </c>
      <c r="AG852" s="98" t="str">
        <f t="shared" si="167"/>
        <v>000000000000</v>
      </c>
      <c r="AH852" s="161" t="str">
        <f t="shared" si="161"/>
        <v xml:space="preserve">                    </v>
      </c>
      <c r="AI852" s="154">
        <f t="shared" si="162"/>
        <v>0</v>
      </c>
      <c r="AJ852" s="155">
        <f t="shared" si="163"/>
        <v>0</v>
      </c>
      <c r="AP852" s="63" t="str">
        <f t="shared" si="164"/>
        <v/>
      </c>
      <c r="AQ852" s="63" t="str">
        <f t="shared" si="158"/>
        <v xml:space="preserve">                    </v>
      </c>
      <c r="AR852" s="63"/>
      <c r="AS852" s="63"/>
      <c r="AT852" s="63"/>
      <c r="AU852" s="63"/>
      <c r="AV852" s="63"/>
      <c r="AW852" s="63"/>
      <c r="AX852" s="63"/>
      <c r="AY852" s="63"/>
      <c r="AZ852" s="63"/>
      <c r="BA852" s="63"/>
      <c r="BB852" s="63"/>
      <c r="BC852" s="63"/>
      <c r="BD852" s="63"/>
      <c r="BE852" s="63"/>
      <c r="BF852" s="63"/>
      <c r="BG852" s="63"/>
      <c r="BH852" s="63"/>
      <c r="BI852" s="63"/>
      <c r="BJ852" s="63"/>
      <c r="BK852" s="63"/>
      <c r="BL852" s="63"/>
      <c r="BM852" s="63"/>
      <c r="BN852" s="63"/>
      <c r="BO852" s="63"/>
      <c r="BP852" s="63"/>
      <c r="BQ852" s="63"/>
      <c r="BR852" s="63"/>
      <c r="BS852" s="63"/>
      <c r="BT852" s="63"/>
      <c r="BU852" s="63"/>
      <c r="BV852" s="63"/>
      <c r="BW852" s="63"/>
    </row>
    <row r="853" spans="1:75" x14ac:dyDescent="0.2">
      <c r="A853" s="63" t="str">
        <f t="shared" si="165"/>
        <v/>
      </c>
      <c r="B853" s="182"/>
      <c r="C853" s="74"/>
      <c r="D853" s="74"/>
      <c r="E853" s="74"/>
      <c r="F853" s="181"/>
      <c r="G853" s="69"/>
      <c r="AB853" s="150">
        <f t="shared" si="156"/>
        <v>0</v>
      </c>
      <c r="AC853" s="150">
        <f t="shared" si="157"/>
        <v>0</v>
      </c>
      <c r="AD853" s="98" t="str">
        <f t="shared" si="166"/>
        <v>0000000000</v>
      </c>
      <c r="AE853" s="151">
        <f t="shared" si="159"/>
        <v>0</v>
      </c>
      <c r="AF853" s="98" t="str">
        <f t="shared" si="160"/>
        <v>00</v>
      </c>
      <c r="AG853" s="98" t="str">
        <f t="shared" si="167"/>
        <v>000000000000</v>
      </c>
      <c r="AH853" s="161" t="str">
        <f t="shared" si="161"/>
        <v xml:space="preserve">                    </v>
      </c>
      <c r="AI853" s="154">
        <f t="shared" si="162"/>
        <v>0</v>
      </c>
      <c r="AJ853" s="155">
        <f t="shared" si="163"/>
        <v>0</v>
      </c>
      <c r="AP853" s="63" t="str">
        <f t="shared" si="164"/>
        <v/>
      </c>
      <c r="AQ853" s="63" t="str">
        <f t="shared" si="158"/>
        <v xml:space="preserve">                    </v>
      </c>
      <c r="AR853" s="63"/>
      <c r="AS853" s="63"/>
      <c r="AT853" s="63"/>
      <c r="AU853" s="63"/>
      <c r="AV853" s="63"/>
      <c r="AW853" s="63"/>
      <c r="AX853" s="63"/>
      <c r="AY853" s="63"/>
      <c r="AZ853" s="63"/>
      <c r="BA853" s="63"/>
      <c r="BB853" s="63"/>
      <c r="BC853" s="63"/>
      <c r="BD853" s="63"/>
      <c r="BE853" s="63"/>
      <c r="BF853" s="63"/>
      <c r="BG853" s="63"/>
      <c r="BH853" s="63"/>
      <c r="BI853" s="63"/>
      <c r="BJ853" s="63"/>
      <c r="BK853" s="63"/>
      <c r="BL853" s="63"/>
      <c r="BM853" s="63"/>
      <c r="BN853" s="63"/>
      <c r="BO853" s="63"/>
      <c r="BP853" s="63"/>
      <c r="BQ853" s="63"/>
      <c r="BR853" s="63"/>
      <c r="BS853" s="63"/>
      <c r="BT853" s="63"/>
      <c r="BU853" s="63"/>
      <c r="BV853" s="63"/>
      <c r="BW853" s="63"/>
    </row>
    <row r="854" spans="1:75" x14ac:dyDescent="0.2">
      <c r="A854" s="63" t="str">
        <f t="shared" si="165"/>
        <v/>
      </c>
      <c r="B854" s="182"/>
      <c r="C854" s="74"/>
      <c r="D854" s="74"/>
      <c r="E854" s="74"/>
      <c r="F854" s="181"/>
      <c r="G854" s="69"/>
      <c r="AB854" s="150">
        <f t="shared" si="156"/>
        <v>0</v>
      </c>
      <c r="AC854" s="150">
        <f t="shared" si="157"/>
        <v>0</v>
      </c>
      <c r="AD854" s="98" t="str">
        <f t="shared" si="166"/>
        <v>0000000000</v>
      </c>
      <c r="AE854" s="151">
        <f t="shared" si="159"/>
        <v>0</v>
      </c>
      <c r="AF854" s="98" t="str">
        <f t="shared" si="160"/>
        <v>00</v>
      </c>
      <c r="AG854" s="98" t="str">
        <f t="shared" si="167"/>
        <v>000000000000</v>
      </c>
      <c r="AH854" s="161" t="str">
        <f t="shared" si="161"/>
        <v xml:space="preserve">                    </v>
      </c>
      <c r="AI854" s="154">
        <f t="shared" si="162"/>
        <v>0</v>
      </c>
      <c r="AJ854" s="155">
        <f t="shared" si="163"/>
        <v>0</v>
      </c>
      <c r="AP854" s="63" t="str">
        <f t="shared" si="164"/>
        <v/>
      </c>
      <c r="AQ854" s="63" t="str">
        <f t="shared" si="158"/>
        <v xml:space="preserve">                    </v>
      </c>
      <c r="AR854" s="63"/>
      <c r="AS854" s="63"/>
      <c r="AT854" s="63"/>
      <c r="AU854" s="63"/>
      <c r="AV854" s="63"/>
      <c r="AW854" s="63"/>
      <c r="AX854" s="63"/>
      <c r="AY854" s="63"/>
      <c r="AZ854" s="63"/>
      <c r="BA854" s="63"/>
      <c r="BB854" s="63"/>
      <c r="BC854" s="63"/>
      <c r="BD854" s="63"/>
      <c r="BE854" s="63"/>
      <c r="BF854" s="63"/>
      <c r="BG854" s="63"/>
      <c r="BH854" s="63"/>
      <c r="BI854" s="63"/>
      <c r="BJ854" s="63"/>
      <c r="BK854" s="63"/>
      <c r="BL854" s="63"/>
      <c r="BM854" s="63"/>
      <c r="BN854" s="63"/>
      <c r="BO854" s="63"/>
      <c r="BP854" s="63"/>
      <c r="BQ854" s="63"/>
      <c r="BR854" s="63"/>
      <c r="BS854" s="63"/>
      <c r="BT854" s="63"/>
      <c r="BU854" s="63"/>
      <c r="BV854" s="63"/>
      <c r="BW854" s="63"/>
    </row>
    <row r="855" spans="1:75" x14ac:dyDescent="0.2">
      <c r="A855" s="63" t="str">
        <f t="shared" si="165"/>
        <v/>
      </c>
      <c r="B855" s="182"/>
      <c r="C855" s="74"/>
      <c r="D855" s="74"/>
      <c r="E855" s="74"/>
      <c r="F855" s="181"/>
      <c r="G855" s="69"/>
      <c r="AB855" s="150">
        <f t="shared" si="156"/>
        <v>0</v>
      </c>
      <c r="AC855" s="150">
        <f t="shared" si="157"/>
        <v>0</v>
      </c>
      <c r="AD855" s="98" t="str">
        <f t="shared" si="166"/>
        <v>0000000000</v>
      </c>
      <c r="AE855" s="151">
        <f t="shared" si="159"/>
        <v>0</v>
      </c>
      <c r="AF855" s="98" t="str">
        <f t="shared" si="160"/>
        <v>00</v>
      </c>
      <c r="AG855" s="98" t="str">
        <f t="shared" si="167"/>
        <v>000000000000</v>
      </c>
      <c r="AH855" s="161" t="str">
        <f t="shared" si="161"/>
        <v xml:space="preserve">                    </v>
      </c>
      <c r="AI855" s="154">
        <f t="shared" si="162"/>
        <v>0</v>
      </c>
      <c r="AJ855" s="155">
        <f t="shared" si="163"/>
        <v>0</v>
      </c>
      <c r="AP855" s="63" t="str">
        <f t="shared" si="164"/>
        <v/>
      </c>
      <c r="AQ855" s="63" t="str">
        <f t="shared" si="158"/>
        <v xml:space="preserve">                    </v>
      </c>
      <c r="AR855" s="63"/>
      <c r="AS855" s="63"/>
      <c r="AT855" s="63"/>
      <c r="AU855" s="63"/>
      <c r="AV855" s="63"/>
      <c r="AW855" s="63"/>
      <c r="AX855" s="63"/>
      <c r="AY855" s="63"/>
      <c r="AZ855" s="63"/>
      <c r="BA855" s="63"/>
      <c r="BB855" s="63"/>
      <c r="BC855" s="63"/>
      <c r="BD855" s="63"/>
      <c r="BE855" s="63"/>
      <c r="BF855" s="63"/>
      <c r="BG855" s="63"/>
      <c r="BH855" s="63"/>
      <c r="BI855" s="63"/>
      <c r="BJ855" s="63"/>
      <c r="BK855" s="63"/>
      <c r="BL855" s="63"/>
      <c r="BM855" s="63"/>
      <c r="BN855" s="63"/>
      <c r="BO855" s="63"/>
      <c r="BP855" s="63"/>
      <c r="BQ855" s="63"/>
      <c r="BR855" s="63"/>
      <c r="BS855" s="63"/>
      <c r="BT855" s="63"/>
      <c r="BU855" s="63"/>
      <c r="BV855" s="63"/>
      <c r="BW855" s="63"/>
    </row>
    <row r="856" spans="1:75" x14ac:dyDescent="0.2">
      <c r="A856" s="63" t="str">
        <f t="shared" si="165"/>
        <v/>
      </c>
      <c r="B856" s="182"/>
      <c r="C856" s="74"/>
      <c r="D856" s="74"/>
      <c r="E856" s="74"/>
      <c r="F856" s="181"/>
      <c r="G856" s="69"/>
      <c r="AB856" s="150">
        <f t="shared" si="156"/>
        <v>0</v>
      </c>
      <c r="AC856" s="150">
        <f t="shared" si="157"/>
        <v>0</v>
      </c>
      <c r="AD856" s="98" t="str">
        <f t="shared" si="166"/>
        <v>0000000000</v>
      </c>
      <c r="AE856" s="151">
        <f t="shared" si="159"/>
        <v>0</v>
      </c>
      <c r="AF856" s="98" t="str">
        <f t="shared" si="160"/>
        <v>00</v>
      </c>
      <c r="AG856" s="98" t="str">
        <f t="shared" si="167"/>
        <v>000000000000</v>
      </c>
      <c r="AH856" s="161" t="str">
        <f t="shared" si="161"/>
        <v xml:space="preserve">                    </v>
      </c>
      <c r="AI856" s="154">
        <f t="shared" si="162"/>
        <v>0</v>
      </c>
      <c r="AJ856" s="155">
        <f t="shared" si="163"/>
        <v>0</v>
      </c>
      <c r="AP856" s="63" t="str">
        <f t="shared" si="164"/>
        <v/>
      </c>
      <c r="AQ856" s="63" t="str">
        <f t="shared" si="158"/>
        <v xml:space="preserve">                    </v>
      </c>
      <c r="AR856" s="63"/>
      <c r="AS856" s="63"/>
      <c r="AT856" s="63"/>
      <c r="AU856" s="63"/>
      <c r="AV856" s="63"/>
      <c r="AW856" s="63"/>
      <c r="AX856" s="63"/>
      <c r="AY856" s="63"/>
      <c r="AZ856" s="63"/>
      <c r="BA856" s="63"/>
      <c r="BB856" s="63"/>
      <c r="BC856" s="63"/>
      <c r="BD856" s="63"/>
      <c r="BE856" s="63"/>
      <c r="BF856" s="63"/>
      <c r="BG856" s="63"/>
      <c r="BH856" s="63"/>
      <c r="BI856" s="63"/>
      <c r="BJ856" s="63"/>
      <c r="BK856" s="63"/>
      <c r="BL856" s="63"/>
      <c r="BM856" s="63"/>
      <c r="BN856" s="63"/>
      <c r="BO856" s="63"/>
      <c r="BP856" s="63"/>
      <c r="BQ856" s="63"/>
      <c r="BR856" s="63"/>
      <c r="BS856" s="63"/>
      <c r="BT856" s="63"/>
      <c r="BU856" s="63"/>
      <c r="BV856" s="63"/>
      <c r="BW856" s="63"/>
    </row>
    <row r="857" spans="1:75" x14ac:dyDescent="0.2">
      <c r="A857" s="63" t="str">
        <f t="shared" si="165"/>
        <v/>
      </c>
      <c r="B857" s="182"/>
      <c r="C857" s="74"/>
      <c r="D857" s="74"/>
      <c r="E857" s="74"/>
      <c r="F857" s="181"/>
      <c r="G857" s="69"/>
      <c r="AB857" s="150">
        <f t="shared" si="156"/>
        <v>0</v>
      </c>
      <c r="AC857" s="150">
        <f t="shared" si="157"/>
        <v>0</v>
      </c>
      <c r="AD857" s="98" t="str">
        <f t="shared" si="166"/>
        <v>0000000000</v>
      </c>
      <c r="AE857" s="151">
        <f t="shared" si="159"/>
        <v>0</v>
      </c>
      <c r="AF857" s="98" t="str">
        <f t="shared" si="160"/>
        <v>00</v>
      </c>
      <c r="AG857" s="98" t="str">
        <f t="shared" si="167"/>
        <v>000000000000</v>
      </c>
      <c r="AH857" s="161" t="str">
        <f t="shared" si="161"/>
        <v xml:space="preserve">                    </v>
      </c>
      <c r="AI857" s="154">
        <f t="shared" si="162"/>
        <v>0</v>
      </c>
      <c r="AJ857" s="155">
        <f t="shared" si="163"/>
        <v>0</v>
      </c>
      <c r="AP857" s="63" t="str">
        <f t="shared" si="164"/>
        <v/>
      </c>
      <c r="AQ857" s="63" t="str">
        <f t="shared" si="158"/>
        <v xml:space="preserve">                    </v>
      </c>
      <c r="AR857" s="63"/>
      <c r="AS857" s="63"/>
      <c r="AT857" s="63"/>
      <c r="AU857" s="63"/>
      <c r="AV857" s="63"/>
      <c r="AW857" s="63"/>
      <c r="AX857" s="63"/>
      <c r="AY857" s="63"/>
      <c r="AZ857" s="63"/>
      <c r="BA857" s="63"/>
      <c r="BB857" s="63"/>
      <c r="BC857" s="63"/>
      <c r="BD857" s="63"/>
      <c r="BE857" s="63"/>
      <c r="BF857" s="63"/>
      <c r="BG857" s="63"/>
      <c r="BH857" s="63"/>
      <c r="BI857" s="63"/>
      <c r="BJ857" s="63"/>
      <c r="BK857" s="63"/>
      <c r="BL857" s="63"/>
      <c r="BM857" s="63"/>
      <c r="BN857" s="63"/>
      <c r="BO857" s="63"/>
      <c r="BP857" s="63"/>
      <c r="BQ857" s="63"/>
      <c r="BR857" s="63"/>
      <c r="BS857" s="63"/>
      <c r="BT857" s="63"/>
      <c r="BU857" s="63"/>
      <c r="BV857" s="63"/>
      <c r="BW857" s="63"/>
    </row>
    <row r="858" spans="1:75" x14ac:dyDescent="0.2">
      <c r="A858" s="63" t="str">
        <f t="shared" si="165"/>
        <v/>
      </c>
      <c r="B858" s="182"/>
      <c r="C858" s="74"/>
      <c r="D858" s="74"/>
      <c r="E858" s="74"/>
      <c r="F858" s="181"/>
      <c r="G858" s="69"/>
      <c r="AB858" s="150">
        <f t="shared" si="156"/>
        <v>0</v>
      </c>
      <c r="AC858" s="150">
        <f t="shared" si="157"/>
        <v>0</v>
      </c>
      <c r="AD858" s="98" t="str">
        <f t="shared" si="166"/>
        <v>0000000000</v>
      </c>
      <c r="AE858" s="151">
        <f t="shared" si="159"/>
        <v>0</v>
      </c>
      <c r="AF858" s="98" t="str">
        <f t="shared" si="160"/>
        <v>00</v>
      </c>
      <c r="AG858" s="98" t="str">
        <f t="shared" si="167"/>
        <v>000000000000</v>
      </c>
      <c r="AH858" s="161" t="str">
        <f t="shared" si="161"/>
        <v xml:space="preserve">                    </v>
      </c>
      <c r="AI858" s="154">
        <f t="shared" si="162"/>
        <v>0</v>
      </c>
      <c r="AJ858" s="155">
        <f t="shared" si="163"/>
        <v>0</v>
      </c>
      <c r="AP858" s="63" t="str">
        <f t="shared" si="164"/>
        <v/>
      </c>
      <c r="AQ858" s="63" t="str">
        <f t="shared" si="158"/>
        <v xml:space="preserve">                    </v>
      </c>
      <c r="AR858" s="63"/>
      <c r="AS858" s="63"/>
      <c r="AT858" s="63"/>
      <c r="AU858" s="63"/>
      <c r="AV858" s="63"/>
      <c r="AW858" s="63"/>
      <c r="AX858" s="63"/>
      <c r="AY858" s="63"/>
      <c r="AZ858" s="63"/>
      <c r="BA858" s="63"/>
      <c r="BB858" s="63"/>
      <c r="BC858" s="63"/>
      <c r="BD858" s="63"/>
      <c r="BE858" s="63"/>
      <c r="BF858" s="63"/>
      <c r="BG858" s="63"/>
      <c r="BH858" s="63"/>
      <c r="BI858" s="63"/>
      <c r="BJ858" s="63"/>
      <c r="BK858" s="63"/>
      <c r="BL858" s="63"/>
      <c r="BM858" s="63"/>
      <c r="BN858" s="63"/>
      <c r="BO858" s="63"/>
      <c r="BP858" s="63"/>
      <c r="BQ858" s="63"/>
      <c r="BR858" s="63"/>
      <c r="BS858" s="63"/>
      <c r="BT858" s="63"/>
      <c r="BU858" s="63"/>
      <c r="BV858" s="63"/>
      <c r="BW858" s="63"/>
    </row>
    <row r="859" spans="1:75" x14ac:dyDescent="0.2">
      <c r="A859" s="63" t="str">
        <f t="shared" si="165"/>
        <v/>
      </c>
      <c r="B859" s="182"/>
      <c r="C859" s="74"/>
      <c r="D859" s="74"/>
      <c r="E859" s="74"/>
      <c r="F859" s="181"/>
      <c r="G859" s="69"/>
      <c r="AB859" s="150">
        <f t="shared" si="156"/>
        <v>0</v>
      </c>
      <c r="AC859" s="150">
        <f t="shared" si="157"/>
        <v>0</v>
      </c>
      <c r="AD859" s="98" t="str">
        <f t="shared" si="166"/>
        <v>0000000000</v>
      </c>
      <c r="AE859" s="151">
        <f t="shared" si="159"/>
        <v>0</v>
      </c>
      <c r="AF859" s="98" t="str">
        <f t="shared" si="160"/>
        <v>00</v>
      </c>
      <c r="AG859" s="98" t="str">
        <f t="shared" si="167"/>
        <v>000000000000</v>
      </c>
      <c r="AH859" s="161" t="str">
        <f t="shared" si="161"/>
        <v xml:space="preserve">                    </v>
      </c>
      <c r="AI859" s="154">
        <f t="shared" si="162"/>
        <v>0</v>
      </c>
      <c r="AJ859" s="155">
        <f t="shared" si="163"/>
        <v>0</v>
      </c>
      <c r="AP859" s="63" t="str">
        <f t="shared" si="164"/>
        <v/>
      </c>
      <c r="AQ859" s="63" t="str">
        <f t="shared" si="158"/>
        <v xml:space="preserve">                    </v>
      </c>
      <c r="AR859" s="63"/>
      <c r="AS859" s="63"/>
      <c r="AT859" s="63"/>
      <c r="AU859" s="63"/>
      <c r="AV859" s="63"/>
      <c r="AW859" s="63"/>
      <c r="AX859" s="63"/>
      <c r="AY859" s="63"/>
      <c r="AZ859" s="63"/>
      <c r="BA859" s="63"/>
      <c r="BB859" s="63"/>
      <c r="BC859" s="63"/>
      <c r="BD859" s="63"/>
      <c r="BE859" s="63"/>
      <c r="BF859" s="63"/>
      <c r="BG859" s="63"/>
      <c r="BH859" s="63"/>
      <c r="BI859" s="63"/>
      <c r="BJ859" s="63"/>
      <c r="BK859" s="63"/>
      <c r="BL859" s="63"/>
      <c r="BM859" s="63"/>
      <c r="BN859" s="63"/>
      <c r="BO859" s="63"/>
      <c r="BP859" s="63"/>
      <c r="BQ859" s="63"/>
      <c r="BR859" s="63"/>
      <c r="BS859" s="63"/>
      <c r="BT859" s="63"/>
      <c r="BU859" s="63"/>
      <c r="BV859" s="63"/>
      <c r="BW859" s="63"/>
    </row>
    <row r="860" spans="1:75" x14ac:dyDescent="0.2">
      <c r="A860" s="63" t="str">
        <f t="shared" si="165"/>
        <v/>
      </c>
      <c r="B860" s="182"/>
      <c r="C860" s="74"/>
      <c r="D860" s="74"/>
      <c r="E860" s="74"/>
      <c r="F860" s="181"/>
      <c r="G860" s="69"/>
      <c r="AB860" s="150">
        <f t="shared" si="156"/>
        <v>0</v>
      </c>
      <c r="AC860" s="150">
        <f t="shared" si="157"/>
        <v>0</v>
      </c>
      <c r="AD860" s="98" t="str">
        <f t="shared" si="166"/>
        <v>0000000000</v>
      </c>
      <c r="AE860" s="151">
        <f t="shared" si="159"/>
        <v>0</v>
      </c>
      <c r="AF860" s="98" t="str">
        <f t="shared" si="160"/>
        <v>00</v>
      </c>
      <c r="AG860" s="98" t="str">
        <f t="shared" si="167"/>
        <v>000000000000</v>
      </c>
      <c r="AH860" s="161" t="str">
        <f t="shared" si="161"/>
        <v xml:space="preserve">                    </v>
      </c>
      <c r="AI860" s="154">
        <f t="shared" si="162"/>
        <v>0</v>
      </c>
      <c r="AJ860" s="155">
        <f t="shared" si="163"/>
        <v>0</v>
      </c>
      <c r="AP860" s="63" t="str">
        <f t="shared" si="164"/>
        <v/>
      </c>
      <c r="AQ860" s="63" t="str">
        <f t="shared" si="158"/>
        <v xml:space="preserve">                    </v>
      </c>
      <c r="AR860" s="63"/>
      <c r="AS860" s="63"/>
      <c r="AT860" s="63"/>
      <c r="AU860" s="63"/>
      <c r="AV860" s="63"/>
      <c r="AW860" s="63"/>
      <c r="AX860" s="63"/>
      <c r="AY860" s="63"/>
      <c r="AZ860" s="63"/>
      <c r="BA860" s="63"/>
      <c r="BB860" s="63"/>
      <c r="BC860" s="63"/>
      <c r="BD860" s="63"/>
      <c r="BE860" s="63"/>
      <c r="BF860" s="63"/>
      <c r="BG860" s="63"/>
      <c r="BH860" s="63"/>
      <c r="BI860" s="63"/>
      <c r="BJ860" s="63"/>
      <c r="BK860" s="63"/>
      <c r="BL860" s="63"/>
      <c r="BM860" s="63"/>
      <c r="BN860" s="63"/>
      <c r="BO860" s="63"/>
      <c r="BP860" s="63"/>
      <c r="BQ860" s="63"/>
      <c r="BR860" s="63"/>
      <c r="BS860" s="63"/>
      <c r="BT860" s="63"/>
      <c r="BU860" s="63"/>
      <c r="BV860" s="63"/>
      <c r="BW860" s="63"/>
    </row>
    <row r="861" spans="1:75" x14ac:dyDescent="0.2">
      <c r="A861" s="63" t="str">
        <f t="shared" si="165"/>
        <v/>
      </c>
      <c r="B861" s="182"/>
      <c r="C861" s="74"/>
      <c r="D861" s="74"/>
      <c r="E861" s="74"/>
      <c r="F861" s="181"/>
      <c r="G861" s="69"/>
      <c r="AB861" s="150">
        <f t="shared" si="156"/>
        <v>0</v>
      </c>
      <c r="AC861" s="150">
        <f t="shared" si="157"/>
        <v>0</v>
      </c>
      <c r="AD861" s="98" t="str">
        <f t="shared" si="166"/>
        <v>0000000000</v>
      </c>
      <c r="AE861" s="151">
        <f t="shared" si="159"/>
        <v>0</v>
      </c>
      <c r="AF861" s="98" t="str">
        <f t="shared" si="160"/>
        <v>00</v>
      </c>
      <c r="AG861" s="98" t="str">
        <f t="shared" si="167"/>
        <v>000000000000</v>
      </c>
      <c r="AH861" s="161" t="str">
        <f t="shared" si="161"/>
        <v xml:space="preserve">                    </v>
      </c>
      <c r="AI861" s="154">
        <f t="shared" si="162"/>
        <v>0</v>
      </c>
      <c r="AJ861" s="155">
        <f t="shared" si="163"/>
        <v>0</v>
      </c>
      <c r="AP861" s="63" t="str">
        <f t="shared" si="164"/>
        <v/>
      </c>
      <c r="AQ861" s="63" t="str">
        <f t="shared" si="158"/>
        <v xml:space="preserve">                    </v>
      </c>
      <c r="AR861" s="63"/>
      <c r="AS861" s="63"/>
      <c r="AT861" s="63"/>
      <c r="AU861" s="63"/>
      <c r="AV861" s="63"/>
      <c r="AW861" s="63"/>
      <c r="AX861" s="63"/>
      <c r="AY861" s="63"/>
      <c r="AZ861" s="63"/>
      <c r="BA861" s="63"/>
      <c r="BB861" s="63"/>
      <c r="BC861" s="63"/>
      <c r="BD861" s="63"/>
      <c r="BE861" s="63"/>
      <c r="BF861" s="63"/>
      <c r="BG861" s="63"/>
      <c r="BH861" s="63"/>
      <c r="BI861" s="63"/>
      <c r="BJ861" s="63"/>
      <c r="BK861" s="63"/>
      <c r="BL861" s="63"/>
      <c r="BM861" s="63"/>
      <c r="BN861" s="63"/>
      <c r="BO861" s="63"/>
      <c r="BP861" s="63"/>
      <c r="BQ861" s="63"/>
      <c r="BR861" s="63"/>
      <c r="BS861" s="63"/>
      <c r="BT861" s="63"/>
      <c r="BU861" s="63"/>
      <c r="BV861" s="63"/>
      <c r="BW861" s="63"/>
    </row>
    <row r="862" spans="1:75" x14ac:dyDescent="0.2">
      <c r="A862" s="63" t="str">
        <f t="shared" si="165"/>
        <v/>
      </c>
      <c r="B862" s="182"/>
      <c r="C862" s="74"/>
      <c r="D862" s="74"/>
      <c r="E862" s="74"/>
      <c r="F862" s="181"/>
      <c r="G862" s="69"/>
      <c r="AB862" s="150">
        <f t="shared" si="156"/>
        <v>0</v>
      </c>
      <c r="AC862" s="150">
        <f t="shared" si="157"/>
        <v>0</v>
      </c>
      <c r="AD862" s="98" t="str">
        <f t="shared" si="166"/>
        <v>0000000000</v>
      </c>
      <c r="AE862" s="151">
        <f t="shared" si="159"/>
        <v>0</v>
      </c>
      <c r="AF862" s="98" t="str">
        <f t="shared" si="160"/>
        <v>00</v>
      </c>
      <c r="AG862" s="98" t="str">
        <f t="shared" si="167"/>
        <v>000000000000</v>
      </c>
      <c r="AH862" s="161" t="str">
        <f t="shared" si="161"/>
        <v xml:space="preserve">                    </v>
      </c>
      <c r="AI862" s="154">
        <f t="shared" si="162"/>
        <v>0</v>
      </c>
      <c r="AJ862" s="155">
        <f t="shared" si="163"/>
        <v>0</v>
      </c>
      <c r="AP862" s="63" t="str">
        <f t="shared" si="164"/>
        <v/>
      </c>
      <c r="AQ862" s="63" t="str">
        <f t="shared" si="158"/>
        <v xml:space="preserve">                    </v>
      </c>
      <c r="AR862" s="63"/>
      <c r="AS862" s="63"/>
      <c r="AT862" s="63"/>
      <c r="AU862" s="63"/>
      <c r="AV862" s="63"/>
      <c r="AW862" s="63"/>
      <c r="AX862" s="63"/>
      <c r="AY862" s="63"/>
      <c r="AZ862" s="63"/>
      <c r="BA862" s="63"/>
      <c r="BB862" s="63"/>
      <c r="BC862" s="63"/>
      <c r="BD862" s="63"/>
      <c r="BE862" s="63"/>
      <c r="BF862" s="63"/>
      <c r="BG862" s="63"/>
      <c r="BH862" s="63"/>
      <c r="BI862" s="63"/>
      <c r="BJ862" s="63"/>
      <c r="BK862" s="63"/>
      <c r="BL862" s="63"/>
      <c r="BM862" s="63"/>
      <c r="BN862" s="63"/>
      <c r="BO862" s="63"/>
      <c r="BP862" s="63"/>
      <c r="BQ862" s="63"/>
      <c r="BR862" s="63"/>
      <c r="BS862" s="63"/>
      <c r="BT862" s="63"/>
      <c r="BU862" s="63"/>
      <c r="BV862" s="63"/>
      <c r="BW862" s="63"/>
    </row>
    <row r="863" spans="1:75" x14ac:dyDescent="0.2">
      <c r="A863" s="63" t="str">
        <f t="shared" si="165"/>
        <v/>
      </c>
      <c r="B863" s="182"/>
      <c r="C863" s="74"/>
      <c r="D863" s="74"/>
      <c r="E863" s="74"/>
      <c r="F863" s="181"/>
      <c r="G863" s="69"/>
      <c r="AB863" s="150">
        <f t="shared" si="156"/>
        <v>0</v>
      </c>
      <c r="AC863" s="150">
        <f t="shared" si="157"/>
        <v>0</v>
      </c>
      <c r="AD863" s="98" t="str">
        <f t="shared" si="166"/>
        <v>0000000000</v>
      </c>
      <c r="AE863" s="151">
        <f t="shared" si="159"/>
        <v>0</v>
      </c>
      <c r="AF863" s="98" t="str">
        <f t="shared" si="160"/>
        <v>00</v>
      </c>
      <c r="AG863" s="98" t="str">
        <f t="shared" si="167"/>
        <v>000000000000</v>
      </c>
      <c r="AH863" s="161" t="str">
        <f t="shared" si="161"/>
        <v xml:space="preserve">                    </v>
      </c>
      <c r="AI863" s="154">
        <f t="shared" si="162"/>
        <v>0</v>
      </c>
      <c r="AJ863" s="155">
        <f t="shared" si="163"/>
        <v>0</v>
      </c>
      <c r="AP863" s="63" t="str">
        <f t="shared" si="164"/>
        <v/>
      </c>
      <c r="AQ863" s="63" t="str">
        <f t="shared" si="158"/>
        <v xml:space="preserve">                    </v>
      </c>
      <c r="AR863" s="63"/>
      <c r="AS863" s="63"/>
      <c r="AT863" s="63"/>
      <c r="AU863" s="63"/>
      <c r="AV863" s="63"/>
      <c r="AW863" s="63"/>
      <c r="AX863" s="63"/>
      <c r="AY863" s="63"/>
      <c r="AZ863" s="63"/>
      <c r="BA863" s="63"/>
      <c r="BB863" s="63"/>
      <c r="BC863" s="63"/>
      <c r="BD863" s="63"/>
      <c r="BE863" s="63"/>
      <c r="BF863" s="63"/>
      <c r="BG863" s="63"/>
      <c r="BH863" s="63"/>
      <c r="BI863" s="63"/>
      <c r="BJ863" s="63"/>
      <c r="BK863" s="63"/>
      <c r="BL863" s="63"/>
      <c r="BM863" s="63"/>
      <c r="BN863" s="63"/>
      <c r="BO863" s="63"/>
      <c r="BP863" s="63"/>
      <c r="BQ863" s="63"/>
      <c r="BR863" s="63"/>
      <c r="BS863" s="63"/>
      <c r="BT863" s="63"/>
      <c r="BU863" s="63"/>
      <c r="BV863" s="63"/>
      <c r="BW863" s="63"/>
    </row>
    <row r="864" spans="1:75" x14ac:dyDescent="0.2">
      <c r="A864" s="63" t="str">
        <f t="shared" si="165"/>
        <v/>
      </c>
      <c r="B864" s="182"/>
      <c r="C864" s="74"/>
      <c r="D864" s="74"/>
      <c r="E864" s="74"/>
      <c r="F864" s="181"/>
      <c r="G864" s="69"/>
      <c r="AB864" s="150">
        <f t="shared" si="156"/>
        <v>0</v>
      </c>
      <c r="AC864" s="150">
        <f t="shared" si="157"/>
        <v>0</v>
      </c>
      <c r="AD864" s="98" t="str">
        <f t="shared" si="166"/>
        <v>0000000000</v>
      </c>
      <c r="AE864" s="151">
        <f t="shared" si="159"/>
        <v>0</v>
      </c>
      <c r="AF864" s="98" t="str">
        <f t="shared" si="160"/>
        <v>00</v>
      </c>
      <c r="AG864" s="98" t="str">
        <f t="shared" si="167"/>
        <v>000000000000</v>
      </c>
      <c r="AH864" s="161" t="str">
        <f t="shared" si="161"/>
        <v xml:space="preserve">                    </v>
      </c>
      <c r="AI864" s="154">
        <f t="shared" si="162"/>
        <v>0</v>
      </c>
      <c r="AJ864" s="155">
        <f t="shared" si="163"/>
        <v>0</v>
      </c>
      <c r="AP864" s="63" t="str">
        <f t="shared" si="164"/>
        <v/>
      </c>
      <c r="AQ864" s="63" t="str">
        <f t="shared" si="158"/>
        <v xml:space="preserve">                    </v>
      </c>
      <c r="AR864" s="63"/>
      <c r="AS864" s="63"/>
      <c r="AT864" s="63"/>
      <c r="AU864" s="63"/>
      <c r="AV864" s="63"/>
      <c r="AW864" s="63"/>
      <c r="AX864" s="63"/>
      <c r="AY864" s="63"/>
      <c r="AZ864" s="63"/>
      <c r="BA864" s="63"/>
      <c r="BB864" s="63"/>
      <c r="BC864" s="63"/>
      <c r="BD864" s="63"/>
      <c r="BE864" s="63"/>
      <c r="BF864" s="63"/>
      <c r="BG864" s="63"/>
      <c r="BH864" s="63"/>
      <c r="BI864" s="63"/>
      <c r="BJ864" s="63"/>
      <c r="BK864" s="63"/>
      <c r="BL864" s="63"/>
      <c r="BM864" s="63"/>
      <c r="BN864" s="63"/>
      <c r="BO864" s="63"/>
      <c r="BP864" s="63"/>
      <c r="BQ864" s="63"/>
      <c r="BR864" s="63"/>
      <c r="BS864" s="63"/>
      <c r="BT864" s="63"/>
      <c r="BU864" s="63"/>
      <c r="BV864" s="63"/>
      <c r="BW864" s="63"/>
    </row>
    <row r="865" spans="1:75" x14ac:dyDescent="0.2">
      <c r="A865" s="63" t="str">
        <f t="shared" si="165"/>
        <v/>
      </c>
      <c r="B865" s="182"/>
      <c r="C865" s="74"/>
      <c r="D865" s="74"/>
      <c r="E865" s="74"/>
      <c r="F865" s="181"/>
      <c r="G865" s="69"/>
      <c r="AB865" s="150">
        <f t="shared" si="156"/>
        <v>0</v>
      </c>
      <c r="AC865" s="150">
        <f t="shared" si="157"/>
        <v>0</v>
      </c>
      <c r="AD865" s="98" t="str">
        <f t="shared" si="166"/>
        <v>0000000000</v>
      </c>
      <c r="AE865" s="151">
        <f t="shared" si="159"/>
        <v>0</v>
      </c>
      <c r="AF865" s="98" t="str">
        <f t="shared" si="160"/>
        <v>00</v>
      </c>
      <c r="AG865" s="98" t="str">
        <f t="shared" si="167"/>
        <v>000000000000</v>
      </c>
      <c r="AH865" s="161" t="str">
        <f t="shared" si="161"/>
        <v xml:space="preserve">                    </v>
      </c>
      <c r="AI865" s="154">
        <f t="shared" si="162"/>
        <v>0</v>
      </c>
      <c r="AJ865" s="155">
        <f t="shared" si="163"/>
        <v>0</v>
      </c>
      <c r="AP865" s="63" t="str">
        <f t="shared" si="164"/>
        <v/>
      </c>
      <c r="AQ865" s="63" t="str">
        <f t="shared" si="158"/>
        <v xml:space="preserve">                    </v>
      </c>
      <c r="AR865" s="63"/>
      <c r="AS865" s="63"/>
      <c r="AT865" s="63"/>
      <c r="AU865" s="63"/>
      <c r="AV865" s="63"/>
      <c r="AW865" s="63"/>
      <c r="AX865" s="63"/>
      <c r="AY865" s="63"/>
      <c r="AZ865" s="63"/>
      <c r="BA865" s="63"/>
      <c r="BB865" s="63"/>
      <c r="BC865" s="63"/>
      <c r="BD865" s="63"/>
      <c r="BE865" s="63"/>
      <c r="BF865" s="63"/>
      <c r="BG865" s="63"/>
      <c r="BH865" s="63"/>
      <c r="BI865" s="63"/>
      <c r="BJ865" s="63"/>
      <c r="BK865" s="63"/>
      <c r="BL865" s="63"/>
      <c r="BM865" s="63"/>
      <c r="BN865" s="63"/>
      <c r="BO865" s="63"/>
      <c r="BP865" s="63"/>
      <c r="BQ865" s="63"/>
      <c r="BR865" s="63"/>
      <c r="BS865" s="63"/>
      <c r="BT865" s="63"/>
      <c r="BU865" s="63"/>
      <c r="BV865" s="63"/>
      <c r="BW865" s="63"/>
    </row>
    <row r="866" spans="1:75" x14ac:dyDescent="0.2">
      <c r="A866" s="63" t="str">
        <f t="shared" si="165"/>
        <v/>
      </c>
      <c r="B866" s="182"/>
      <c r="C866" s="74"/>
      <c r="D866" s="74"/>
      <c r="E866" s="74"/>
      <c r="F866" s="181"/>
      <c r="G866" s="69"/>
      <c r="AB866" s="150">
        <f t="shared" si="156"/>
        <v>0</v>
      </c>
      <c r="AC866" s="150">
        <f t="shared" si="157"/>
        <v>0</v>
      </c>
      <c r="AD866" s="98" t="str">
        <f t="shared" si="166"/>
        <v>0000000000</v>
      </c>
      <c r="AE866" s="151">
        <f t="shared" si="159"/>
        <v>0</v>
      </c>
      <c r="AF866" s="98" t="str">
        <f t="shared" si="160"/>
        <v>00</v>
      </c>
      <c r="AG866" s="98" t="str">
        <f t="shared" si="167"/>
        <v>000000000000</v>
      </c>
      <c r="AH866" s="161" t="str">
        <f t="shared" si="161"/>
        <v xml:space="preserve">                    </v>
      </c>
      <c r="AI866" s="154">
        <f t="shared" si="162"/>
        <v>0</v>
      </c>
      <c r="AJ866" s="155">
        <f t="shared" si="163"/>
        <v>0</v>
      </c>
      <c r="AP866" s="63" t="str">
        <f t="shared" si="164"/>
        <v/>
      </c>
      <c r="AQ866" s="63" t="str">
        <f t="shared" si="158"/>
        <v xml:space="preserve">                    </v>
      </c>
      <c r="AR866" s="63"/>
      <c r="AS866" s="63"/>
      <c r="AT866" s="63"/>
      <c r="AU866" s="63"/>
      <c r="AV866" s="63"/>
      <c r="AW866" s="63"/>
      <c r="AX866" s="63"/>
      <c r="AY866" s="63"/>
      <c r="AZ866" s="63"/>
      <c r="BA866" s="63"/>
      <c r="BB866" s="63"/>
      <c r="BC866" s="63"/>
      <c r="BD866" s="63"/>
      <c r="BE866" s="63"/>
      <c r="BF866" s="63"/>
      <c r="BG866" s="63"/>
      <c r="BH866" s="63"/>
      <c r="BI866" s="63"/>
      <c r="BJ866" s="63"/>
      <c r="BK866" s="63"/>
      <c r="BL866" s="63"/>
      <c r="BM866" s="63"/>
      <c r="BN866" s="63"/>
      <c r="BO866" s="63"/>
      <c r="BP866" s="63"/>
      <c r="BQ866" s="63"/>
      <c r="BR866" s="63"/>
      <c r="BS866" s="63"/>
      <c r="BT866" s="63"/>
      <c r="BU866" s="63"/>
      <c r="BV866" s="63"/>
      <c r="BW866" s="63"/>
    </row>
    <row r="867" spans="1:75" x14ac:dyDescent="0.2">
      <c r="A867" s="63" t="str">
        <f t="shared" si="165"/>
        <v/>
      </c>
      <c r="B867" s="182"/>
      <c r="C867" s="74"/>
      <c r="D867" s="74"/>
      <c r="E867" s="74"/>
      <c r="F867" s="181"/>
      <c r="G867" s="69"/>
      <c r="AB867" s="150">
        <f t="shared" si="156"/>
        <v>0</v>
      </c>
      <c r="AC867" s="150">
        <f t="shared" si="157"/>
        <v>0</v>
      </c>
      <c r="AD867" s="98" t="str">
        <f t="shared" si="166"/>
        <v>0000000000</v>
      </c>
      <c r="AE867" s="151">
        <f t="shared" si="159"/>
        <v>0</v>
      </c>
      <c r="AF867" s="98" t="str">
        <f t="shared" si="160"/>
        <v>00</v>
      </c>
      <c r="AG867" s="98" t="str">
        <f t="shared" si="167"/>
        <v>000000000000</v>
      </c>
      <c r="AH867" s="161" t="str">
        <f t="shared" si="161"/>
        <v xml:space="preserve">                    </v>
      </c>
      <c r="AI867" s="154">
        <f t="shared" si="162"/>
        <v>0</v>
      </c>
      <c r="AJ867" s="155">
        <f t="shared" si="163"/>
        <v>0</v>
      </c>
      <c r="AP867" s="63" t="str">
        <f t="shared" si="164"/>
        <v/>
      </c>
      <c r="AQ867" s="63" t="str">
        <f t="shared" si="158"/>
        <v xml:space="preserve">                    </v>
      </c>
      <c r="AR867" s="63"/>
      <c r="AS867" s="63"/>
      <c r="AT867" s="63"/>
      <c r="AU867" s="63"/>
      <c r="AV867" s="63"/>
      <c r="AW867" s="63"/>
      <c r="AX867" s="63"/>
      <c r="AY867" s="63"/>
      <c r="AZ867" s="63"/>
      <c r="BA867" s="63"/>
      <c r="BB867" s="63"/>
      <c r="BC867" s="63"/>
      <c r="BD867" s="63"/>
      <c r="BE867" s="63"/>
      <c r="BF867" s="63"/>
      <c r="BG867" s="63"/>
      <c r="BH867" s="63"/>
      <c r="BI867" s="63"/>
      <c r="BJ867" s="63"/>
      <c r="BK867" s="63"/>
      <c r="BL867" s="63"/>
      <c r="BM867" s="63"/>
      <c r="BN867" s="63"/>
      <c r="BO867" s="63"/>
      <c r="BP867" s="63"/>
      <c r="BQ867" s="63"/>
      <c r="BR867" s="63"/>
      <c r="BS867" s="63"/>
      <c r="BT867" s="63"/>
      <c r="BU867" s="63"/>
      <c r="BV867" s="63"/>
      <c r="BW867" s="63"/>
    </row>
    <row r="868" spans="1:75" x14ac:dyDescent="0.2">
      <c r="A868" s="63" t="str">
        <f t="shared" si="165"/>
        <v/>
      </c>
      <c r="B868" s="182"/>
      <c r="C868" s="74"/>
      <c r="D868" s="74"/>
      <c r="E868" s="74"/>
      <c r="F868" s="181"/>
      <c r="G868" s="69"/>
      <c r="AB868" s="150">
        <f t="shared" si="156"/>
        <v>0</v>
      </c>
      <c r="AC868" s="150">
        <f t="shared" si="157"/>
        <v>0</v>
      </c>
      <c r="AD868" s="98" t="str">
        <f t="shared" si="166"/>
        <v>0000000000</v>
      </c>
      <c r="AE868" s="151">
        <f t="shared" si="159"/>
        <v>0</v>
      </c>
      <c r="AF868" s="98" t="str">
        <f t="shared" si="160"/>
        <v>00</v>
      </c>
      <c r="AG868" s="98" t="str">
        <f t="shared" si="167"/>
        <v>000000000000</v>
      </c>
      <c r="AH868" s="161" t="str">
        <f t="shared" si="161"/>
        <v xml:space="preserve">                    </v>
      </c>
      <c r="AI868" s="154">
        <f t="shared" si="162"/>
        <v>0</v>
      </c>
      <c r="AJ868" s="155">
        <f t="shared" si="163"/>
        <v>0</v>
      </c>
      <c r="AP868" s="63" t="str">
        <f t="shared" si="164"/>
        <v/>
      </c>
      <c r="AQ868" s="63" t="str">
        <f t="shared" si="158"/>
        <v xml:space="preserve">                    </v>
      </c>
      <c r="AR868" s="63"/>
      <c r="AS868" s="63"/>
      <c r="AT868" s="63"/>
      <c r="AU868" s="63"/>
      <c r="AV868" s="63"/>
      <c r="AW868" s="63"/>
      <c r="AX868" s="63"/>
      <c r="AY868" s="63"/>
      <c r="AZ868" s="63"/>
      <c r="BA868" s="63"/>
      <c r="BB868" s="63"/>
      <c r="BC868" s="63"/>
      <c r="BD868" s="63"/>
      <c r="BE868" s="63"/>
      <c r="BF868" s="63"/>
      <c r="BG868" s="63"/>
      <c r="BH868" s="63"/>
      <c r="BI868" s="63"/>
      <c r="BJ868" s="63"/>
      <c r="BK868" s="63"/>
      <c r="BL868" s="63"/>
      <c r="BM868" s="63"/>
      <c r="BN868" s="63"/>
      <c r="BO868" s="63"/>
      <c r="BP868" s="63"/>
      <c r="BQ868" s="63"/>
      <c r="BR868" s="63"/>
      <c r="BS868" s="63"/>
      <c r="BT868" s="63"/>
      <c r="BU868" s="63"/>
      <c r="BV868" s="63"/>
      <c r="BW868" s="63"/>
    </row>
    <row r="869" spans="1:75" x14ac:dyDescent="0.2">
      <c r="A869" s="63" t="str">
        <f t="shared" si="165"/>
        <v/>
      </c>
      <c r="B869" s="182"/>
      <c r="C869" s="74"/>
      <c r="D869" s="74"/>
      <c r="E869" s="74"/>
      <c r="F869" s="181"/>
      <c r="G869" s="69"/>
      <c r="AB869" s="150">
        <f t="shared" si="156"/>
        <v>0</v>
      </c>
      <c r="AC869" s="150">
        <f t="shared" si="157"/>
        <v>0</v>
      </c>
      <c r="AD869" s="98" t="str">
        <f t="shared" si="166"/>
        <v>0000000000</v>
      </c>
      <c r="AE869" s="151">
        <f t="shared" si="159"/>
        <v>0</v>
      </c>
      <c r="AF869" s="98" t="str">
        <f t="shared" si="160"/>
        <v>00</v>
      </c>
      <c r="AG869" s="98" t="str">
        <f t="shared" si="167"/>
        <v>000000000000</v>
      </c>
      <c r="AH869" s="161" t="str">
        <f t="shared" si="161"/>
        <v xml:space="preserve">                    </v>
      </c>
      <c r="AI869" s="154">
        <f t="shared" si="162"/>
        <v>0</v>
      </c>
      <c r="AJ869" s="155">
        <f t="shared" si="163"/>
        <v>0</v>
      </c>
      <c r="AP869" s="63" t="str">
        <f t="shared" si="164"/>
        <v/>
      </c>
      <c r="AQ869" s="63" t="str">
        <f t="shared" si="158"/>
        <v xml:space="preserve">                    </v>
      </c>
      <c r="AR869" s="63"/>
      <c r="AS869" s="63"/>
      <c r="AT869" s="63"/>
      <c r="AU869" s="63"/>
      <c r="AV869" s="63"/>
      <c r="AW869" s="63"/>
      <c r="AX869" s="63"/>
      <c r="AY869" s="63"/>
      <c r="AZ869" s="63"/>
      <c r="BA869" s="63"/>
      <c r="BB869" s="63"/>
      <c r="BC869" s="63"/>
      <c r="BD869" s="63"/>
      <c r="BE869" s="63"/>
      <c r="BF869" s="63"/>
      <c r="BG869" s="63"/>
      <c r="BH869" s="63"/>
      <c r="BI869" s="63"/>
      <c r="BJ869" s="63"/>
      <c r="BK869" s="63"/>
      <c r="BL869" s="63"/>
      <c r="BM869" s="63"/>
      <c r="BN869" s="63"/>
      <c r="BO869" s="63"/>
      <c r="BP869" s="63"/>
      <c r="BQ869" s="63"/>
      <c r="BR869" s="63"/>
      <c r="BS869" s="63"/>
      <c r="BT869" s="63"/>
      <c r="BU869" s="63"/>
      <c r="BV869" s="63"/>
      <c r="BW869" s="63"/>
    </row>
    <row r="870" spans="1:75" x14ac:dyDescent="0.2">
      <c r="A870" s="63" t="str">
        <f t="shared" si="165"/>
        <v/>
      </c>
      <c r="B870" s="182"/>
      <c r="C870" s="74"/>
      <c r="D870" s="74"/>
      <c r="E870" s="74"/>
      <c r="F870" s="181"/>
      <c r="G870" s="69"/>
      <c r="AB870" s="150">
        <f t="shared" si="156"/>
        <v>0</v>
      </c>
      <c r="AC870" s="150">
        <f t="shared" si="157"/>
        <v>0</v>
      </c>
      <c r="AD870" s="98" t="str">
        <f t="shared" si="166"/>
        <v>0000000000</v>
      </c>
      <c r="AE870" s="151">
        <f t="shared" si="159"/>
        <v>0</v>
      </c>
      <c r="AF870" s="98" t="str">
        <f t="shared" si="160"/>
        <v>00</v>
      </c>
      <c r="AG870" s="98" t="str">
        <f t="shared" si="167"/>
        <v>000000000000</v>
      </c>
      <c r="AH870" s="161" t="str">
        <f t="shared" si="161"/>
        <v xml:space="preserve">                    </v>
      </c>
      <c r="AI870" s="154">
        <f t="shared" si="162"/>
        <v>0</v>
      </c>
      <c r="AJ870" s="155">
        <f t="shared" si="163"/>
        <v>0</v>
      </c>
      <c r="AP870" s="63" t="str">
        <f t="shared" si="164"/>
        <v/>
      </c>
      <c r="AQ870" s="63" t="str">
        <f t="shared" si="158"/>
        <v xml:space="preserve">                    </v>
      </c>
      <c r="AR870" s="63"/>
      <c r="AS870" s="63"/>
      <c r="AT870" s="63"/>
      <c r="AU870" s="63"/>
      <c r="AV870" s="63"/>
      <c r="AW870" s="63"/>
      <c r="AX870" s="63"/>
      <c r="AY870" s="63"/>
      <c r="AZ870" s="63"/>
      <c r="BA870" s="63"/>
      <c r="BB870" s="63"/>
      <c r="BC870" s="63"/>
      <c r="BD870" s="63"/>
      <c r="BE870" s="63"/>
      <c r="BF870" s="63"/>
      <c r="BG870" s="63"/>
      <c r="BH870" s="63"/>
      <c r="BI870" s="63"/>
      <c r="BJ870" s="63"/>
      <c r="BK870" s="63"/>
      <c r="BL870" s="63"/>
      <c r="BM870" s="63"/>
      <c r="BN870" s="63"/>
      <c r="BO870" s="63"/>
      <c r="BP870" s="63"/>
      <c r="BQ870" s="63"/>
      <c r="BR870" s="63"/>
      <c r="BS870" s="63"/>
      <c r="BT870" s="63"/>
      <c r="BU870" s="63"/>
      <c r="BV870" s="63"/>
      <c r="BW870" s="63"/>
    </row>
    <row r="871" spans="1:75" x14ac:dyDescent="0.2">
      <c r="A871" s="63" t="str">
        <f t="shared" si="165"/>
        <v/>
      </c>
      <c r="B871" s="182"/>
      <c r="C871" s="74"/>
      <c r="D871" s="74"/>
      <c r="E871" s="74"/>
      <c r="F871" s="181"/>
      <c r="G871" s="69"/>
      <c r="AB871" s="150">
        <f t="shared" si="156"/>
        <v>0</v>
      </c>
      <c r="AC871" s="150">
        <f t="shared" si="157"/>
        <v>0</v>
      </c>
      <c r="AD871" s="98" t="str">
        <f t="shared" si="166"/>
        <v>0000000000</v>
      </c>
      <c r="AE871" s="151">
        <f t="shared" si="159"/>
        <v>0</v>
      </c>
      <c r="AF871" s="98" t="str">
        <f t="shared" si="160"/>
        <v>00</v>
      </c>
      <c r="AG871" s="98" t="str">
        <f t="shared" si="167"/>
        <v>000000000000</v>
      </c>
      <c r="AH871" s="161" t="str">
        <f t="shared" si="161"/>
        <v xml:space="preserve">                    </v>
      </c>
      <c r="AI871" s="154">
        <f t="shared" si="162"/>
        <v>0</v>
      </c>
      <c r="AJ871" s="155">
        <f t="shared" si="163"/>
        <v>0</v>
      </c>
      <c r="AP871" s="63" t="str">
        <f t="shared" si="164"/>
        <v/>
      </c>
      <c r="AQ871" s="63" t="str">
        <f t="shared" si="158"/>
        <v xml:space="preserve">                    </v>
      </c>
      <c r="AR871" s="63"/>
      <c r="AS871" s="63"/>
      <c r="AT871" s="63"/>
      <c r="AU871" s="63"/>
      <c r="AV871" s="63"/>
      <c r="AW871" s="63"/>
      <c r="AX871" s="63"/>
      <c r="AY871" s="63"/>
      <c r="AZ871" s="63"/>
      <c r="BA871" s="63"/>
      <c r="BB871" s="63"/>
      <c r="BC871" s="63"/>
      <c r="BD871" s="63"/>
      <c r="BE871" s="63"/>
      <c r="BF871" s="63"/>
      <c r="BG871" s="63"/>
      <c r="BH871" s="63"/>
      <c r="BI871" s="63"/>
      <c r="BJ871" s="63"/>
      <c r="BK871" s="63"/>
      <c r="BL871" s="63"/>
      <c r="BM871" s="63"/>
      <c r="BN871" s="63"/>
      <c r="BO871" s="63"/>
      <c r="BP871" s="63"/>
      <c r="BQ871" s="63"/>
      <c r="BR871" s="63"/>
      <c r="BS871" s="63"/>
      <c r="BT871" s="63"/>
      <c r="BU871" s="63"/>
      <c r="BV871" s="63"/>
      <c r="BW871" s="63"/>
    </row>
    <row r="872" spans="1:75" x14ac:dyDescent="0.2">
      <c r="A872" s="63" t="str">
        <f t="shared" si="165"/>
        <v/>
      </c>
      <c r="B872" s="182"/>
      <c r="C872" s="74"/>
      <c r="D872" s="74"/>
      <c r="E872" s="74"/>
      <c r="F872" s="181"/>
      <c r="G872" s="69"/>
      <c r="AB872" s="150">
        <f t="shared" si="156"/>
        <v>0</v>
      </c>
      <c r="AC872" s="150">
        <f t="shared" si="157"/>
        <v>0</v>
      </c>
      <c r="AD872" s="98" t="str">
        <f t="shared" si="166"/>
        <v>0000000000</v>
      </c>
      <c r="AE872" s="151">
        <f t="shared" si="159"/>
        <v>0</v>
      </c>
      <c r="AF872" s="98" t="str">
        <f t="shared" si="160"/>
        <v>00</v>
      </c>
      <c r="AG872" s="98" t="str">
        <f t="shared" si="167"/>
        <v>000000000000</v>
      </c>
      <c r="AH872" s="161" t="str">
        <f t="shared" si="161"/>
        <v xml:space="preserve">                    </v>
      </c>
      <c r="AI872" s="154">
        <f t="shared" si="162"/>
        <v>0</v>
      </c>
      <c r="AJ872" s="155">
        <f t="shared" si="163"/>
        <v>0</v>
      </c>
      <c r="AP872" s="63" t="str">
        <f t="shared" si="164"/>
        <v/>
      </c>
      <c r="AQ872" s="63" t="str">
        <f t="shared" si="158"/>
        <v xml:space="preserve">                    </v>
      </c>
      <c r="AR872" s="63"/>
      <c r="AS872" s="63"/>
      <c r="AT872" s="63"/>
      <c r="AU872" s="63"/>
      <c r="AV872" s="63"/>
      <c r="AW872" s="63"/>
      <c r="AX872" s="63"/>
      <c r="AY872" s="63"/>
      <c r="AZ872" s="63"/>
      <c r="BA872" s="63"/>
      <c r="BB872" s="63"/>
      <c r="BC872" s="63"/>
      <c r="BD872" s="63"/>
      <c r="BE872" s="63"/>
      <c r="BF872" s="63"/>
      <c r="BG872" s="63"/>
      <c r="BH872" s="63"/>
      <c r="BI872" s="63"/>
      <c r="BJ872" s="63"/>
      <c r="BK872" s="63"/>
      <c r="BL872" s="63"/>
      <c r="BM872" s="63"/>
      <c r="BN872" s="63"/>
      <c r="BO872" s="63"/>
      <c r="BP872" s="63"/>
      <c r="BQ872" s="63"/>
      <c r="BR872" s="63"/>
      <c r="BS872" s="63"/>
      <c r="BT872" s="63"/>
      <c r="BU872" s="63"/>
      <c r="BV872" s="63"/>
      <c r="BW872" s="63"/>
    </row>
    <row r="873" spans="1:75" x14ac:dyDescent="0.2">
      <c r="A873" s="63" t="str">
        <f t="shared" si="165"/>
        <v/>
      </c>
      <c r="B873" s="182"/>
      <c r="C873" s="74"/>
      <c r="D873" s="74"/>
      <c r="E873" s="74"/>
      <c r="F873" s="181"/>
      <c r="G873" s="69"/>
      <c r="AB873" s="150">
        <f t="shared" si="156"/>
        <v>0</v>
      </c>
      <c r="AC873" s="150">
        <f t="shared" si="157"/>
        <v>0</v>
      </c>
      <c r="AD873" s="98" t="str">
        <f t="shared" si="166"/>
        <v>0000000000</v>
      </c>
      <c r="AE873" s="151">
        <f t="shared" si="159"/>
        <v>0</v>
      </c>
      <c r="AF873" s="98" t="str">
        <f t="shared" si="160"/>
        <v>00</v>
      </c>
      <c r="AG873" s="98" t="str">
        <f t="shared" si="167"/>
        <v>000000000000</v>
      </c>
      <c r="AH873" s="161" t="str">
        <f t="shared" si="161"/>
        <v xml:space="preserve">                    </v>
      </c>
      <c r="AI873" s="154">
        <f t="shared" si="162"/>
        <v>0</v>
      </c>
      <c r="AJ873" s="155">
        <f t="shared" si="163"/>
        <v>0</v>
      </c>
      <c r="AP873" s="63" t="str">
        <f t="shared" si="164"/>
        <v/>
      </c>
      <c r="AQ873" s="63" t="str">
        <f t="shared" si="158"/>
        <v xml:space="preserve">                    </v>
      </c>
      <c r="AR873" s="63"/>
      <c r="AS873" s="63"/>
      <c r="AT873" s="63"/>
      <c r="AU873" s="63"/>
      <c r="AV873" s="63"/>
      <c r="AW873" s="63"/>
      <c r="AX873" s="63"/>
      <c r="AY873" s="63"/>
      <c r="AZ873" s="63"/>
      <c r="BA873" s="63"/>
      <c r="BB873" s="63"/>
      <c r="BC873" s="63"/>
      <c r="BD873" s="63"/>
      <c r="BE873" s="63"/>
      <c r="BF873" s="63"/>
      <c r="BG873" s="63"/>
      <c r="BH873" s="63"/>
      <c r="BI873" s="63"/>
      <c r="BJ873" s="63"/>
      <c r="BK873" s="63"/>
      <c r="BL873" s="63"/>
      <c r="BM873" s="63"/>
      <c r="BN873" s="63"/>
      <c r="BO873" s="63"/>
      <c r="BP873" s="63"/>
      <c r="BQ873" s="63"/>
      <c r="BR873" s="63"/>
      <c r="BS873" s="63"/>
      <c r="BT873" s="63"/>
      <c r="BU873" s="63"/>
      <c r="BV873" s="63"/>
      <c r="BW873" s="63"/>
    </row>
    <row r="874" spans="1:75" x14ac:dyDescent="0.2">
      <c r="A874" s="63" t="str">
        <f t="shared" si="165"/>
        <v/>
      </c>
      <c r="B874" s="182"/>
      <c r="C874" s="74"/>
      <c r="D874" s="74"/>
      <c r="E874" s="74"/>
      <c r="F874" s="181"/>
      <c r="G874" s="69"/>
      <c r="AB874" s="150">
        <f t="shared" si="156"/>
        <v>0</v>
      </c>
      <c r="AC874" s="150">
        <f t="shared" si="157"/>
        <v>0</v>
      </c>
      <c r="AD874" s="98" t="str">
        <f t="shared" si="166"/>
        <v>0000000000</v>
      </c>
      <c r="AE874" s="151">
        <f t="shared" si="159"/>
        <v>0</v>
      </c>
      <c r="AF874" s="98" t="str">
        <f t="shared" si="160"/>
        <v>00</v>
      </c>
      <c r="AG874" s="98" t="str">
        <f t="shared" si="167"/>
        <v>000000000000</v>
      </c>
      <c r="AH874" s="161" t="str">
        <f t="shared" si="161"/>
        <v xml:space="preserve">                    </v>
      </c>
      <c r="AI874" s="154">
        <f t="shared" si="162"/>
        <v>0</v>
      </c>
      <c r="AJ874" s="155">
        <f t="shared" si="163"/>
        <v>0</v>
      </c>
      <c r="AP874" s="63" t="str">
        <f t="shared" si="164"/>
        <v/>
      </c>
      <c r="AQ874" s="63" t="str">
        <f t="shared" si="158"/>
        <v xml:space="preserve">                    </v>
      </c>
      <c r="AR874" s="63"/>
      <c r="AS874" s="63"/>
      <c r="AT874" s="63"/>
      <c r="AU874" s="63"/>
      <c r="AV874" s="63"/>
      <c r="AW874" s="63"/>
      <c r="AX874" s="63"/>
      <c r="AY874" s="63"/>
      <c r="AZ874" s="63"/>
      <c r="BA874" s="63"/>
      <c r="BB874" s="63"/>
      <c r="BC874" s="63"/>
      <c r="BD874" s="63"/>
      <c r="BE874" s="63"/>
      <c r="BF874" s="63"/>
      <c r="BG874" s="63"/>
      <c r="BH874" s="63"/>
      <c r="BI874" s="63"/>
      <c r="BJ874" s="63"/>
      <c r="BK874" s="63"/>
      <c r="BL874" s="63"/>
      <c r="BM874" s="63"/>
      <c r="BN874" s="63"/>
      <c r="BO874" s="63"/>
      <c r="BP874" s="63"/>
      <c r="BQ874" s="63"/>
      <c r="BR874" s="63"/>
      <c r="BS874" s="63"/>
      <c r="BT874" s="63"/>
      <c r="BU874" s="63"/>
      <c r="BV874" s="63"/>
      <c r="BW874" s="63"/>
    </row>
    <row r="875" spans="1:75" x14ac:dyDescent="0.2">
      <c r="A875" s="63" t="str">
        <f t="shared" si="165"/>
        <v/>
      </c>
      <c r="B875" s="182"/>
      <c r="C875" s="74"/>
      <c r="D875" s="74"/>
      <c r="E875" s="74"/>
      <c r="F875" s="181"/>
      <c r="G875" s="69"/>
      <c r="AB875" s="150">
        <f t="shared" si="156"/>
        <v>0</v>
      </c>
      <c r="AC875" s="150">
        <f t="shared" si="157"/>
        <v>0</v>
      </c>
      <c r="AD875" s="98" t="str">
        <f t="shared" si="166"/>
        <v>0000000000</v>
      </c>
      <c r="AE875" s="151">
        <f t="shared" si="159"/>
        <v>0</v>
      </c>
      <c r="AF875" s="98" t="str">
        <f t="shared" si="160"/>
        <v>00</v>
      </c>
      <c r="AG875" s="98" t="str">
        <f t="shared" si="167"/>
        <v>000000000000</v>
      </c>
      <c r="AH875" s="161" t="str">
        <f t="shared" si="161"/>
        <v xml:space="preserve">                    </v>
      </c>
      <c r="AI875" s="154">
        <f t="shared" si="162"/>
        <v>0</v>
      </c>
      <c r="AJ875" s="155">
        <f t="shared" si="163"/>
        <v>0</v>
      </c>
      <c r="AP875" s="63" t="str">
        <f t="shared" si="164"/>
        <v/>
      </c>
      <c r="AQ875" s="63" t="str">
        <f t="shared" si="158"/>
        <v xml:space="preserve">                    </v>
      </c>
      <c r="AR875" s="63"/>
      <c r="AS875" s="63"/>
      <c r="AT875" s="63"/>
      <c r="AU875" s="63"/>
      <c r="AV875" s="63"/>
      <c r="AW875" s="63"/>
      <c r="AX875" s="63"/>
      <c r="AY875" s="63"/>
      <c r="AZ875" s="63"/>
      <c r="BA875" s="63"/>
      <c r="BB875" s="63"/>
      <c r="BC875" s="63"/>
      <c r="BD875" s="63"/>
      <c r="BE875" s="63"/>
      <c r="BF875" s="63"/>
      <c r="BG875" s="63"/>
      <c r="BH875" s="63"/>
      <c r="BI875" s="63"/>
      <c r="BJ875" s="63"/>
      <c r="BK875" s="63"/>
      <c r="BL875" s="63"/>
      <c r="BM875" s="63"/>
      <c r="BN875" s="63"/>
      <c r="BO875" s="63"/>
      <c r="BP875" s="63"/>
      <c r="BQ875" s="63"/>
      <c r="BR875" s="63"/>
      <c r="BS875" s="63"/>
      <c r="BT875" s="63"/>
      <c r="BU875" s="63"/>
      <c r="BV875" s="63"/>
      <c r="BW875" s="63"/>
    </row>
    <row r="876" spans="1:75" x14ac:dyDescent="0.2">
      <c r="A876" s="63" t="str">
        <f t="shared" si="165"/>
        <v/>
      </c>
      <c r="B876" s="182"/>
      <c r="C876" s="74"/>
      <c r="D876" s="74"/>
      <c r="E876" s="74"/>
      <c r="F876" s="181"/>
      <c r="G876" s="69"/>
      <c r="AB876" s="150">
        <f t="shared" si="156"/>
        <v>0</v>
      </c>
      <c r="AC876" s="150">
        <f t="shared" si="157"/>
        <v>0</v>
      </c>
      <c r="AD876" s="98" t="str">
        <f t="shared" si="166"/>
        <v>0000000000</v>
      </c>
      <c r="AE876" s="151">
        <f t="shared" si="159"/>
        <v>0</v>
      </c>
      <c r="AF876" s="98" t="str">
        <f t="shared" si="160"/>
        <v>00</v>
      </c>
      <c r="AG876" s="98" t="str">
        <f t="shared" si="167"/>
        <v>000000000000</v>
      </c>
      <c r="AH876" s="161" t="str">
        <f t="shared" si="161"/>
        <v xml:space="preserve">                    </v>
      </c>
      <c r="AI876" s="154">
        <f t="shared" si="162"/>
        <v>0</v>
      </c>
      <c r="AJ876" s="155">
        <f t="shared" si="163"/>
        <v>0</v>
      </c>
      <c r="AP876" s="63" t="str">
        <f t="shared" si="164"/>
        <v/>
      </c>
      <c r="AQ876" s="63" t="str">
        <f t="shared" si="158"/>
        <v xml:space="preserve">                    </v>
      </c>
      <c r="AR876" s="63"/>
      <c r="AS876" s="63"/>
      <c r="AT876" s="63"/>
      <c r="AU876" s="63"/>
      <c r="AV876" s="63"/>
      <c r="AW876" s="63"/>
      <c r="AX876" s="63"/>
      <c r="AY876" s="63"/>
      <c r="AZ876" s="63"/>
      <c r="BA876" s="63"/>
      <c r="BB876" s="63"/>
      <c r="BC876" s="63"/>
      <c r="BD876" s="63"/>
      <c r="BE876" s="63"/>
      <c r="BF876" s="63"/>
      <c r="BG876" s="63"/>
      <c r="BH876" s="63"/>
      <c r="BI876" s="63"/>
      <c r="BJ876" s="63"/>
      <c r="BK876" s="63"/>
      <c r="BL876" s="63"/>
      <c r="BM876" s="63"/>
      <c r="BN876" s="63"/>
      <c r="BO876" s="63"/>
      <c r="BP876" s="63"/>
      <c r="BQ876" s="63"/>
      <c r="BR876" s="63"/>
      <c r="BS876" s="63"/>
      <c r="BT876" s="63"/>
      <c r="BU876" s="63"/>
      <c r="BV876" s="63"/>
      <c r="BW876" s="63"/>
    </row>
    <row r="877" spans="1:75" x14ac:dyDescent="0.2">
      <c r="A877" s="63" t="str">
        <f t="shared" si="165"/>
        <v/>
      </c>
      <c r="B877" s="182"/>
      <c r="C877" s="74"/>
      <c r="D877" s="74"/>
      <c r="E877" s="74"/>
      <c r="F877" s="181"/>
      <c r="G877" s="69"/>
      <c r="AB877" s="150">
        <f t="shared" si="156"/>
        <v>0</v>
      </c>
      <c r="AC877" s="150">
        <f t="shared" si="157"/>
        <v>0</v>
      </c>
      <c r="AD877" s="98" t="str">
        <f t="shared" si="166"/>
        <v>0000000000</v>
      </c>
      <c r="AE877" s="151">
        <f t="shared" si="159"/>
        <v>0</v>
      </c>
      <c r="AF877" s="98" t="str">
        <f t="shared" si="160"/>
        <v>00</v>
      </c>
      <c r="AG877" s="98" t="str">
        <f t="shared" si="167"/>
        <v>000000000000</v>
      </c>
      <c r="AH877" s="161" t="str">
        <f t="shared" si="161"/>
        <v xml:space="preserve">                    </v>
      </c>
      <c r="AI877" s="154">
        <f t="shared" si="162"/>
        <v>0</v>
      </c>
      <c r="AJ877" s="155">
        <f t="shared" si="163"/>
        <v>0</v>
      </c>
      <c r="AP877" s="63" t="str">
        <f t="shared" si="164"/>
        <v/>
      </c>
      <c r="AQ877" s="63" t="str">
        <f t="shared" si="158"/>
        <v xml:space="preserve">                    </v>
      </c>
      <c r="AR877" s="63"/>
      <c r="AS877" s="63"/>
      <c r="AT877" s="63"/>
      <c r="AU877" s="63"/>
      <c r="AV877" s="63"/>
      <c r="AW877" s="63"/>
      <c r="AX877" s="63"/>
      <c r="AY877" s="63"/>
      <c r="AZ877" s="63"/>
      <c r="BA877" s="63"/>
      <c r="BB877" s="63"/>
      <c r="BC877" s="63"/>
      <c r="BD877" s="63"/>
      <c r="BE877" s="63"/>
      <c r="BF877" s="63"/>
      <c r="BG877" s="63"/>
      <c r="BH877" s="63"/>
      <c r="BI877" s="63"/>
      <c r="BJ877" s="63"/>
      <c r="BK877" s="63"/>
      <c r="BL877" s="63"/>
      <c r="BM877" s="63"/>
      <c r="BN877" s="63"/>
      <c r="BO877" s="63"/>
      <c r="BP877" s="63"/>
      <c r="BQ877" s="63"/>
      <c r="BR877" s="63"/>
      <c r="BS877" s="63"/>
      <c r="BT877" s="63"/>
      <c r="BU877" s="63"/>
      <c r="BV877" s="63"/>
      <c r="BW877" s="63"/>
    </row>
    <row r="878" spans="1:75" x14ac:dyDescent="0.2">
      <c r="A878" s="63" t="str">
        <f t="shared" si="165"/>
        <v/>
      </c>
      <c r="B878" s="182"/>
      <c r="C878" s="74"/>
      <c r="D878" s="74"/>
      <c r="E878" s="74"/>
      <c r="F878" s="181"/>
      <c r="G878" s="69"/>
      <c r="AB878" s="150">
        <f t="shared" si="156"/>
        <v>0</v>
      </c>
      <c r="AC878" s="150">
        <f t="shared" si="157"/>
        <v>0</v>
      </c>
      <c r="AD878" s="98" t="str">
        <f t="shared" si="166"/>
        <v>0000000000</v>
      </c>
      <c r="AE878" s="151">
        <f t="shared" si="159"/>
        <v>0</v>
      </c>
      <c r="AF878" s="98" t="str">
        <f t="shared" si="160"/>
        <v>00</v>
      </c>
      <c r="AG878" s="98" t="str">
        <f t="shared" si="167"/>
        <v>000000000000</v>
      </c>
      <c r="AH878" s="161" t="str">
        <f t="shared" si="161"/>
        <v xml:space="preserve">                    </v>
      </c>
      <c r="AI878" s="154">
        <f t="shared" si="162"/>
        <v>0</v>
      </c>
      <c r="AJ878" s="155">
        <f t="shared" si="163"/>
        <v>0</v>
      </c>
      <c r="AP878" s="63" t="str">
        <f t="shared" si="164"/>
        <v/>
      </c>
      <c r="AQ878" s="63" t="str">
        <f t="shared" si="158"/>
        <v xml:space="preserve">                    </v>
      </c>
      <c r="AR878" s="63"/>
      <c r="AS878" s="63"/>
      <c r="AT878" s="63"/>
      <c r="AU878" s="63"/>
      <c r="AV878" s="63"/>
      <c r="AW878" s="63"/>
      <c r="AX878" s="63"/>
      <c r="AY878" s="63"/>
      <c r="AZ878" s="63"/>
      <c r="BA878" s="63"/>
      <c r="BB878" s="63"/>
      <c r="BC878" s="63"/>
      <c r="BD878" s="63"/>
      <c r="BE878" s="63"/>
      <c r="BF878" s="63"/>
      <c r="BG878" s="63"/>
      <c r="BH878" s="63"/>
      <c r="BI878" s="63"/>
      <c r="BJ878" s="63"/>
      <c r="BK878" s="63"/>
      <c r="BL878" s="63"/>
      <c r="BM878" s="63"/>
      <c r="BN878" s="63"/>
      <c r="BO878" s="63"/>
      <c r="BP878" s="63"/>
      <c r="BQ878" s="63"/>
      <c r="BR878" s="63"/>
      <c r="BS878" s="63"/>
      <c r="BT878" s="63"/>
      <c r="BU878" s="63"/>
      <c r="BV878" s="63"/>
      <c r="BW878" s="63"/>
    </row>
    <row r="879" spans="1:75" x14ac:dyDescent="0.2">
      <c r="A879" s="63" t="str">
        <f t="shared" si="165"/>
        <v/>
      </c>
      <c r="B879" s="182"/>
      <c r="C879" s="74"/>
      <c r="D879" s="74"/>
      <c r="E879" s="74"/>
      <c r="F879" s="181"/>
      <c r="G879" s="69"/>
      <c r="AB879" s="150">
        <f t="shared" si="156"/>
        <v>0</v>
      </c>
      <c r="AC879" s="150">
        <f t="shared" si="157"/>
        <v>0</v>
      </c>
      <c r="AD879" s="98" t="str">
        <f t="shared" si="166"/>
        <v>0000000000</v>
      </c>
      <c r="AE879" s="151">
        <f t="shared" si="159"/>
        <v>0</v>
      </c>
      <c r="AF879" s="98" t="str">
        <f t="shared" si="160"/>
        <v>00</v>
      </c>
      <c r="AG879" s="98" t="str">
        <f t="shared" si="167"/>
        <v>000000000000</v>
      </c>
      <c r="AH879" s="161" t="str">
        <f t="shared" si="161"/>
        <v xml:space="preserve">                    </v>
      </c>
      <c r="AI879" s="154">
        <f t="shared" si="162"/>
        <v>0</v>
      </c>
      <c r="AJ879" s="155">
        <f t="shared" si="163"/>
        <v>0</v>
      </c>
      <c r="AP879" s="63" t="str">
        <f t="shared" si="164"/>
        <v/>
      </c>
      <c r="AQ879" s="63" t="str">
        <f t="shared" si="158"/>
        <v xml:space="preserve">                    </v>
      </c>
      <c r="AR879" s="63"/>
      <c r="AS879" s="63"/>
      <c r="AT879" s="63"/>
      <c r="AU879" s="63"/>
      <c r="AV879" s="63"/>
      <c r="AW879" s="63"/>
      <c r="AX879" s="63"/>
      <c r="AY879" s="63"/>
      <c r="AZ879" s="63"/>
      <c r="BA879" s="63"/>
      <c r="BB879" s="63"/>
      <c r="BC879" s="63"/>
      <c r="BD879" s="63"/>
      <c r="BE879" s="63"/>
      <c r="BF879" s="63"/>
      <c r="BG879" s="63"/>
      <c r="BH879" s="63"/>
      <c r="BI879" s="63"/>
      <c r="BJ879" s="63"/>
      <c r="BK879" s="63"/>
      <c r="BL879" s="63"/>
      <c r="BM879" s="63"/>
      <c r="BN879" s="63"/>
      <c r="BO879" s="63"/>
      <c r="BP879" s="63"/>
      <c r="BQ879" s="63"/>
      <c r="BR879" s="63"/>
      <c r="BS879" s="63"/>
      <c r="BT879" s="63"/>
      <c r="BU879" s="63"/>
      <c r="BV879" s="63"/>
      <c r="BW879" s="63"/>
    </row>
    <row r="880" spans="1:75" x14ac:dyDescent="0.2">
      <c r="A880" s="63" t="str">
        <f t="shared" si="165"/>
        <v/>
      </c>
      <c r="B880" s="182"/>
      <c r="C880" s="74"/>
      <c r="D880" s="74"/>
      <c r="E880" s="74"/>
      <c r="F880" s="181"/>
      <c r="G880" s="69"/>
      <c r="AB880" s="150">
        <f t="shared" si="156"/>
        <v>0</v>
      </c>
      <c r="AC880" s="150">
        <f t="shared" si="157"/>
        <v>0</v>
      </c>
      <c r="AD880" s="98" t="str">
        <f t="shared" si="166"/>
        <v>0000000000</v>
      </c>
      <c r="AE880" s="151">
        <f t="shared" si="159"/>
        <v>0</v>
      </c>
      <c r="AF880" s="98" t="str">
        <f t="shared" si="160"/>
        <v>00</v>
      </c>
      <c r="AG880" s="98" t="str">
        <f t="shared" si="167"/>
        <v>000000000000</v>
      </c>
      <c r="AH880" s="161" t="str">
        <f t="shared" si="161"/>
        <v xml:space="preserve">                    </v>
      </c>
      <c r="AI880" s="154">
        <f t="shared" si="162"/>
        <v>0</v>
      </c>
      <c r="AJ880" s="155">
        <f t="shared" si="163"/>
        <v>0</v>
      </c>
      <c r="AP880" s="63" t="str">
        <f t="shared" si="164"/>
        <v/>
      </c>
      <c r="AQ880" s="63" t="str">
        <f t="shared" si="158"/>
        <v xml:space="preserve">                    </v>
      </c>
      <c r="AR880" s="63"/>
      <c r="AS880" s="63"/>
      <c r="AT880" s="63"/>
      <c r="AU880" s="63"/>
      <c r="AV880" s="63"/>
      <c r="AW880" s="63"/>
      <c r="AX880" s="63"/>
      <c r="AY880" s="63"/>
      <c r="AZ880" s="63"/>
      <c r="BA880" s="63"/>
      <c r="BB880" s="63"/>
      <c r="BC880" s="63"/>
      <c r="BD880" s="63"/>
      <c r="BE880" s="63"/>
      <c r="BF880" s="63"/>
      <c r="BG880" s="63"/>
      <c r="BH880" s="63"/>
      <c r="BI880" s="63"/>
      <c r="BJ880" s="63"/>
      <c r="BK880" s="63"/>
      <c r="BL880" s="63"/>
      <c r="BM880" s="63"/>
      <c r="BN880" s="63"/>
      <c r="BO880" s="63"/>
      <c r="BP880" s="63"/>
      <c r="BQ880" s="63"/>
      <c r="BR880" s="63"/>
      <c r="BS880" s="63"/>
      <c r="BT880" s="63"/>
      <c r="BU880" s="63"/>
      <c r="BV880" s="63"/>
      <c r="BW880" s="63"/>
    </row>
    <row r="881" spans="1:75" x14ac:dyDescent="0.2">
      <c r="A881" s="63" t="str">
        <f t="shared" si="165"/>
        <v/>
      </c>
      <c r="B881" s="182"/>
      <c r="C881" s="74"/>
      <c r="D881" s="74"/>
      <c r="E881" s="74"/>
      <c r="F881" s="181"/>
      <c r="G881" s="69"/>
      <c r="AB881" s="150">
        <f t="shared" si="156"/>
        <v>0</v>
      </c>
      <c r="AC881" s="150">
        <f t="shared" si="157"/>
        <v>0</v>
      </c>
      <c r="AD881" s="98" t="str">
        <f t="shared" si="166"/>
        <v>0000000000</v>
      </c>
      <c r="AE881" s="151">
        <f t="shared" si="159"/>
        <v>0</v>
      </c>
      <c r="AF881" s="98" t="str">
        <f t="shared" si="160"/>
        <v>00</v>
      </c>
      <c r="AG881" s="98" t="str">
        <f t="shared" si="167"/>
        <v>000000000000</v>
      </c>
      <c r="AH881" s="161" t="str">
        <f t="shared" si="161"/>
        <v xml:space="preserve">                    </v>
      </c>
      <c r="AI881" s="154">
        <f t="shared" si="162"/>
        <v>0</v>
      </c>
      <c r="AJ881" s="155">
        <f t="shared" si="163"/>
        <v>0</v>
      </c>
      <c r="AP881" s="63" t="str">
        <f t="shared" si="164"/>
        <v/>
      </c>
      <c r="AQ881" s="63" t="str">
        <f t="shared" si="158"/>
        <v xml:space="preserve">                    </v>
      </c>
      <c r="AR881" s="63"/>
      <c r="AS881" s="63"/>
      <c r="AT881" s="63"/>
      <c r="AU881" s="63"/>
      <c r="AV881" s="63"/>
      <c r="AW881" s="63"/>
      <c r="AX881" s="63"/>
      <c r="AY881" s="63"/>
      <c r="AZ881" s="63"/>
      <c r="BA881" s="63"/>
      <c r="BB881" s="63"/>
      <c r="BC881" s="63"/>
      <c r="BD881" s="63"/>
      <c r="BE881" s="63"/>
      <c r="BF881" s="63"/>
      <c r="BG881" s="63"/>
      <c r="BH881" s="63"/>
      <c r="BI881" s="63"/>
      <c r="BJ881" s="63"/>
      <c r="BK881" s="63"/>
      <c r="BL881" s="63"/>
      <c r="BM881" s="63"/>
      <c r="BN881" s="63"/>
      <c r="BO881" s="63"/>
      <c r="BP881" s="63"/>
      <c r="BQ881" s="63"/>
      <c r="BR881" s="63"/>
      <c r="BS881" s="63"/>
      <c r="BT881" s="63"/>
      <c r="BU881" s="63"/>
      <c r="BV881" s="63"/>
      <c r="BW881" s="63"/>
    </row>
    <row r="882" spans="1:75" x14ac:dyDescent="0.2">
      <c r="A882" s="63" t="str">
        <f t="shared" si="165"/>
        <v/>
      </c>
      <c r="B882" s="182"/>
      <c r="C882" s="74"/>
      <c r="D882" s="74"/>
      <c r="E882" s="74"/>
      <c r="F882" s="181"/>
      <c r="G882" s="69"/>
      <c r="AB882" s="150">
        <f t="shared" si="156"/>
        <v>0</v>
      </c>
      <c r="AC882" s="150">
        <f t="shared" si="157"/>
        <v>0</v>
      </c>
      <c r="AD882" s="98" t="str">
        <f t="shared" si="166"/>
        <v>0000000000</v>
      </c>
      <c r="AE882" s="151">
        <f t="shared" si="159"/>
        <v>0</v>
      </c>
      <c r="AF882" s="98" t="str">
        <f t="shared" si="160"/>
        <v>00</v>
      </c>
      <c r="AG882" s="98" t="str">
        <f t="shared" si="167"/>
        <v>000000000000</v>
      </c>
      <c r="AH882" s="161" t="str">
        <f t="shared" si="161"/>
        <v xml:space="preserve">                    </v>
      </c>
      <c r="AI882" s="154">
        <f t="shared" si="162"/>
        <v>0</v>
      </c>
      <c r="AJ882" s="155">
        <f t="shared" si="163"/>
        <v>0</v>
      </c>
      <c r="AP882" s="63" t="str">
        <f t="shared" si="164"/>
        <v/>
      </c>
      <c r="AQ882" s="63" t="str">
        <f t="shared" si="158"/>
        <v xml:space="preserve">                    </v>
      </c>
      <c r="AR882" s="63"/>
      <c r="AS882" s="63"/>
      <c r="AT882" s="63"/>
      <c r="AU882" s="63"/>
      <c r="AV882" s="63"/>
      <c r="AW882" s="63"/>
      <c r="AX882" s="63"/>
      <c r="AY882" s="63"/>
      <c r="AZ882" s="63"/>
      <c r="BA882" s="63"/>
      <c r="BB882" s="63"/>
      <c r="BC882" s="63"/>
      <c r="BD882" s="63"/>
      <c r="BE882" s="63"/>
      <c r="BF882" s="63"/>
      <c r="BG882" s="63"/>
      <c r="BH882" s="63"/>
      <c r="BI882" s="63"/>
      <c r="BJ882" s="63"/>
      <c r="BK882" s="63"/>
      <c r="BL882" s="63"/>
      <c r="BM882" s="63"/>
      <c r="BN882" s="63"/>
      <c r="BO882" s="63"/>
      <c r="BP882" s="63"/>
      <c r="BQ882" s="63"/>
      <c r="BR882" s="63"/>
      <c r="BS882" s="63"/>
      <c r="BT882" s="63"/>
      <c r="BU882" s="63"/>
      <c r="BV882" s="63"/>
      <c r="BW882" s="63"/>
    </row>
    <row r="883" spans="1:75" x14ac:dyDescent="0.2">
      <c r="A883" s="63" t="str">
        <f t="shared" si="165"/>
        <v/>
      </c>
      <c r="B883" s="182"/>
      <c r="C883" s="74"/>
      <c r="D883" s="74"/>
      <c r="E883" s="74"/>
      <c r="F883" s="181"/>
      <c r="G883" s="69"/>
      <c r="AB883" s="150">
        <f t="shared" si="156"/>
        <v>0</v>
      </c>
      <c r="AC883" s="150">
        <f t="shared" si="157"/>
        <v>0</v>
      </c>
      <c r="AD883" s="98" t="str">
        <f t="shared" si="166"/>
        <v>0000000000</v>
      </c>
      <c r="AE883" s="151">
        <f t="shared" si="159"/>
        <v>0</v>
      </c>
      <c r="AF883" s="98" t="str">
        <f t="shared" si="160"/>
        <v>00</v>
      </c>
      <c r="AG883" s="98" t="str">
        <f t="shared" si="167"/>
        <v>000000000000</v>
      </c>
      <c r="AH883" s="161" t="str">
        <f t="shared" si="161"/>
        <v xml:space="preserve">                    </v>
      </c>
      <c r="AI883" s="154">
        <f t="shared" si="162"/>
        <v>0</v>
      </c>
      <c r="AJ883" s="155">
        <f t="shared" si="163"/>
        <v>0</v>
      </c>
      <c r="AP883" s="63" t="str">
        <f t="shared" si="164"/>
        <v/>
      </c>
      <c r="AQ883" s="63" t="str">
        <f t="shared" si="158"/>
        <v xml:space="preserve">                    </v>
      </c>
      <c r="AR883" s="63"/>
      <c r="AS883" s="63"/>
      <c r="AT883" s="63"/>
      <c r="AU883" s="63"/>
      <c r="AV883" s="63"/>
      <c r="AW883" s="63"/>
      <c r="AX883" s="63"/>
      <c r="AY883" s="63"/>
      <c r="AZ883" s="63"/>
      <c r="BA883" s="63"/>
      <c r="BB883" s="63"/>
      <c r="BC883" s="63"/>
      <c r="BD883" s="63"/>
      <c r="BE883" s="63"/>
      <c r="BF883" s="63"/>
      <c r="BG883" s="63"/>
      <c r="BH883" s="63"/>
      <c r="BI883" s="63"/>
      <c r="BJ883" s="63"/>
      <c r="BK883" s="63"/>
      <c r="BL883" s="63"/>
      <c r="BM883" s="63"/>
      <c r="BN883" s="63"/>
      <c r="BO883" s="63"/>
      <c r="BP883" s="63"/>
      <c r="BQ883" s="63"/>
      <c r="BR883" s="63"/>
      <c r="BS883" s="63"/>
      <c r="BT883" s="63"/>
      <c r="BU883" s="63"/>
      <c r="BV883" s="63"/>
      <c r="BW883" s="63"/>
    </row>
    <row r="884" spans="1:75" x14ac:dyDescent="0.2">
      <c r="A884" s="63" t="str">
        <f t="shared" si="165"/>
        <v/>
      </c>
      <c r="B884" s="182"/>
      <c r="C884" s="74"/>
      <c r="D884" s="74"/>
      <c r="E884" s="74"/>
      <c r="F884" s="181"/>
      <c r="G884" s="69"/>
      <c r="AB884" s="150">
        <f t="shared" si="156"/>
        <v>0</v>
      </c>
      <c r="AC884" s="150">
        <f t="shared" si="157"/>
        <v>0</v>
      </c>
      <c r="AD884" s="98" t="str">
        <f t="shared" si="166"/>
        <v>0000000000</v>
      </c>
      <c r="AE884" s="151">
        <f t="shared" si="159"/>
        <v>0</v>
      </c>
      <c r="AF884" s="98" t="str">
        <f t="shared" si="160"/>
        <v>00</v>
      </c>
      <c r="AG884" s="98" t="str">
        <f t="shared" si="167"/>
        <v>000000000000</v>
      </c>
      <c r="AH884" s="161" t="str">
        <f t="shared" si="161"/>
        <v xml:space="preserve">                    </v>
      </c>
      <c r="AI884" s="154">
        <f t="shared" si="162"/>
        <v>0</v>
      </c>
      <c r="AJ884" s="155">
        <f t="shared" si="163"/>
        <v>0</v>
      </c>
      <c r="AP884" s="63" t="str">
        <f t="shared" si="164"/>
        <v/>
      </c>
      <c r="AQ884" s="63" t="str">
        <f t="shared" si="158"/>
        <v xml:space="preserve">                    </v>
      </c>
      <c r="AR884" s="63"/>
      <c r="AS884" s="63"/>
      <c r="AT884" s="63"/>
      <c r="AU884" s="63"/>
      <c r="AV884" s="63"/>
      <c r="AW884" s="63"/>
      <c r="AX884" s="63"/>
      <c r="AY884" s="63"/>
      <c r="AZ884" s="63"/>
      <c r="BA884" s="63"/>
      <c r="BB884" s="63"/>
      <c r="BC884" s="63"/>
      <c r="BD884" s="63"/>
      <c r="BE884" s="63"/>
      <c r="BF884" s="63"/>
      <c r="BG884" s="63"/>
      <c r="BH884" s="63"/>
      <c r="BI884" s="63"/>
      <c r="BJ884" s="63"/>
      <c r="BK884" s="63"/>
      <c r="BL884" s="63"/>
      <c r="BM884" s="63"/>
      <c r="BN884" s="63"/>
      <c r="BO884" s="63"/>
      <c r="BP884" s="63"/>
      <c r="BQ884" s="63"/>
      <c r="BR884" s="63"/>
      <c r="BS884" s="63"/>
      <c r="BT884" s="63"/>
      <c r="BU884" s="63"/>
      <c r="BV884" s="63"/>
      <c r="BW884" s="63"/>
    </row>
    <row r="885" spans="1:75" x14ac:dyDescent="0.2">
      <c r="A885" s="63" t="str">
        <f t="shared" si="165"/>
        <v/>
      </c>
      <c r="B885" s="182"/>
      <c r="C885" s="74"/>
      <c r="D885" s="74"/>
      <c r="E885" s="74"/>
      <c r="F885" s="181"/>
      <c r="G885" s="69"/>
      <c r="AB885" s="150">
        <f t="shared" si="156"/>
        <v>0</v>
      </c>
      <c r="AC885" s="150">
        <f t="shared" si="157"/>
        <v>0</v>
      </c>
      <c r="AD885" s="98" t="str">
        <f t="shared" si="166"/>
        <v>0000000000</v>
      </c>
      <c r="AE885" s="151">
        <f t="shared" si="159"/>
        <v>0</v>
      </c>
      <c r="AF885" s="98" t="str">
        <f t="shared" si="160"/>
        <v>00</v>
      </c>
      <c r="AG885" s="98" t="str">
        <f t="shared" si="167"/>
        <v>000000000000</v>
      </c>
      <c r="AH885" s="161" t="str">
        <f t="shared" si="161"/>
        <v xml:space="preserve">                    </v>
      </c>
      <c r="AI885" s="154">
        <f t="shared" si="162"/>
        <v>0</v>
      </c>
      <c r="AJ885" s="155">
        <f t="shared" si="163"/>
        <v>0</v>
      </c>
      <c r="AP885" s="63" t="str">
        <f t="shared" si="164"/>
        <v/>
      </c>
      <c r="AQ885" s="63" t="str">
        <f t="shared" si="158"/>
        <v xml:space="preserve">                    </v>
      </c>
      <c r="AR885" s="63"/>
      <c r="AS885" s="63"/>
      <c r="AT885" s="63"/>
      <c r="AU885" s="63"/>
      <c r="AV885" s="63"/>
      <c r="AW885" s="63"/>
      <c r="AX885" s="63"/>
      <c r="AY885" s="63"/>
      <c r="AZ885" s="63"/>
      <c r="BA885" s="63"/>
      <c r="BB885" s="63"/>
      <c r="BC885" s="63"/>
      <c r="BD885" s="63"/>
      <c r="BE885" s="63"/>
      <c r="BF885" s="63"/>
      <c r="BG885" s="63"/>
      <c r="BH885" s="63"/>
      <c r="BI885" s="63"/>
      <c r="BJ885" s="63"/>
      <c r="BK885" s="63"/>
      <c r="BL885" s="63"/>
      <c r="BM885" s="63"/>
      <c r="BN885" s="63"/>
      <c r="BO885" s="63"/>
      <c r="BP885" s="63"/>
      <c r="BQ885" s="63"/>
      <c r="BR885" s="63"/>
      <c r="BS885" s="63"/>
      <c r="BT885" s="63"/>
      <c r="BU885" s="63"/>
      <c r="BV885" s="63"/>
      <c r="BW885" s="63"/>
    </row>
    <row r="886" spans="1:75" x14ac:dyDescent="0.2">
      <c r="A886" s="63" t="str">
        <f t="shared" si="165"/>
        <v/>
      </c>
      <c r="B886" s="182"/>
      <c r="C886" s="74"/>
      <c r="D886" s="74"/>
      <c r="E886" s="74"/>
      <c r="F886" s="181"/>
      <c r="G886" s="69"/>
      <c r="AB886" s="150">
        <f t="shared" si="156"/>
        <v>0</v>
      </c>
      <c r="AC886" s="150">
        <f t="shared" si="157"/>
        <v>0</v>
      </c>
      <c r="AD886" s="98" t="str">
        <f t="shared" si="166"/>
        <v>0000000000</v>
      </c>
      <c r="AE886" s="151">
        <f t="shared" si="159"/>
        <v>0</v>
      </c>
      <c r="AF886" s="98" t="str">
        <f t="shared" si="160"/>
        <v>00</v>
      </c>
      <c r="AG886" s="98" t="str">
        <f t="shared" si="167"/>
        <v>000000000000</v>
      </c>
      <c r="AH886" s="161" t="str">
        <f t="shared" si="161"/>
        <v xml:space="preserve">                    </v>
      </c>
      <c r="AI886" s="154">
        <f t="shared" si="162"/>
        <v>0</v>
      </c>
      <c r="AJ886" s="155">
        <f t="shared" si="163"/>
        <v>0</v>
      </c>
      <c r="AP886" s="63" t="str">
        <f t="shared" si="164"/>
        <v/>
      </c>
      <c r="AQ886" s="63" t="str">
        <f t="shared" si="158"/>
        <v xml:space="preserve">                    </v>
      </c>
      <c r="AR886" s="63"/>
      <c r="AS886" s="63"/>
      <c r="AT886" s="63"/>
      <c r="AU886" s="63"/>
      <c r="AV886" s="63"/>
      <c r="AW886" s="63"/>
      <c r="AX886" s="63"/>
      <c r="AY886" s="63"/>
      <c r="AZ886" s="63"/>
      <c r="BA886" s="63"/>
      <c r="BB886" s="63"/>
      <c r="BC886" s="63"/>
      <c r="BD886" s="63"/>
      <c r="BE886" s="63"/>
      <c r="BF886" s="63"/>
      <c r="BG886" s="63"/>
      <c r="BH886" s="63"/>
      <c r="BI886" s="63"/>
      <c r="BJ886" s="63"/>
      <c r="BK886" s="63"/>
      <c r="BL886" s="63"/>
      <c r="BM886" s="63"/>
      <c r="BN886" s="63"/>
      <c r="BO886" s="63"/>
      <c r="BP886" s="63"/>
      <c r="BQ886" s="63"/>
      <c r="BR886" s="63"/>
      <c r="BS886" s="63"/>
      <c r="BT886" s="63"/>
      <c r="BU886" s="63"/>
      <c r="BV886" s="63"/>
      <c r="BW886" s="63"/>
    </row>
    <row r="887" spans="1:75" x14ac:dyDescent="0.2">
      <c r="A887" s="63" t="str">
        <f t="shared" si="165"/>
        <v/>
      </c>
      <c r="B887" s="182"/>
      <c r="C887" s="74"/>
      <c r="D887" s="74"/>
      <c r="E887" s="74"/>
      <c r="F887" s="181"/>
      <c r="G887" s="69"/>
      <c r="AB887" s="150">
        <f t="shared" si="156"/>
        <v>0</v>
      </c>
      <c r="AC887" s="150">
        <f t="shared" si="157"/>
        <v>0</v>
      </c>
      <c r="AD887" s="98" t="str">
        <f t="shared" si="166"/>
        <v>0000000000</v>
      </c>
      <c r="AE887" s="151">
        <f t="shared" si="159"/>
        <v>0</v>
      </c>
      <c r="AF887" s="98" t="str">
        <f t="shared" si="160"/>
        <v>00</v>
      </c>
      <c r="AG887" s="98" t="str">
        <f t="shared" si="167"/>
        <v>000000000000</v>
      </c>
      <c r="AH887" s="161" t="str">
        <f t="shared" si="161"/>
        <v xml:space="preserve">                    </v>
      </c>
      <c r="AI887" s="154">
        <f t="shared" si="162"/>
        <v>0</v>
      </c>
      <c r="AJ887" s="155">
        <f t="shared" si="163"/>
        <v>0</v>
      </c>
      <c r="AP887" s="63" t="str">
        <f t="shared" si="164"/>
        <v/>
      </c>
      <c r="AQ887" s="63" t="str">
        <f t="shared" si="158"/>
        <v xml:space="preserve">                    </v>
      </c>
      <c r="AR887" s="63"/>
      <c r="AS887" s="63"/>
      <c r="AT887" s="63"/>
      <c r="AU887" s="63"/>
      <c r="AV887" s="63"/>
      <c r="AW887" s="63"/>
      <c r="AX887" s="63"/>
      <c r="AY887" s="63"/>
      <c r="AZ887" s="63"/>
      <c r="BA887" s="63"/>
      <c r="BB887" s="63"/>
      <c r="BC887" s="63"/>
      <c r="BD887" s="63"/>
      <c r="BE887" s="63"/>
      <c r="BF887" s="63"/>
      <c r="BG887" s="63"/>
      <c r="BH887" s="63"/>
      <c r="BI887" s="63"/>
      <c r="BJ887" s="63"/>
      <c r="BK887" s="63"/>
      <c r="BL887" s="63"/>
      <c r="BM887" s="63"/>
      <c r="BN887" s="63"/>
      <c r="BO887" s="63"/>
      <c r="BP887" s="63"/>
      <c r="BQ887" s="63"/>
      <c r="BR887" s="63"/>
      <c r="BS887" s="63"/>
      <c r="BT887" s="63"/>
      <c r="BU887" s="63"/>
      <c r="BV887" s="63"/>
      <c r="BW887" s="63"/>
    </row>
    <row r="888" spans="1:75" x14ac:dyDescent="0.2">
      <c r="A888" s="63" t="str">
        <f t="shared" si="165"/>
        <v/>
      </c>
      <c r="B888" s="182"/>
      <c r="C888" s="74"/>
      <c r="D888" s="74"/>
      <c r="E888" s="74"/>
      <c r="F888" s="181"/>
      <c r="G888" s="69"/>
      <c r="AB888" s="150">
        <f t="shared" si="156"/>
        <v>0</v>
      </c>
      <c r="AC888" s="150">
        <f t="shared" si="157"/>
        <v>0</v>
      </c>
      <c r="AD888" s="98" t="str">
        <f t="shared" si="166"/>
        <v>0000000000</v>
      </c>
      <c r="AE888" s="151">
        <f t="shared" si="159"/>
        <v>0</v>
      </c>
      <c r="AF888" s="98" t="str">
        <f t="shared" si="160"/>
        <v>00</v>
      </c>
      <c r="AG888" s="98" t="str">
        <f t="shared" si="167"/>
        <v>000000000000</v>
      </c>
      <c r="AH888" s="161" t="str">
        <f t="shared" si="161"/>
        <v xml:space="preserve">                    </v>
      </c>
      <c r="AI888" s="154">
        <f t="shared" si="162"/>
        <v>0</v>
      </c>
      <c r="AJ888" s="155">
        <f t="shared" si="163"/>
        <v>0</v>
      </c>
      <c r="AP888" s="63" t="str">
        <f t="shared" si="164"/>
        <v/>
      </c>
      <c r="AQ888" s="63" t="str">
        <f t="shared" si="158"/>
        <v xml:space="preserve">                    </v>
      </c>
      <c r="AR888" s="63"/>
      <c r="AS888" s="63"/>
      <c r="AT888" s="63"/>
      <c r="AU888" s="63"/>
      <c r="AV888" s="63"/>
      <c r="AW888" s="63"/>
      <c r="AX888" s="63"/>
      <c r="AY888" s="63"/>
      <c r="AZ888" s="63"/>
      <c r="BA888" s="63"/>
      <c r="BB888" s="63"/>
      <c r="BC888" s="63"/>
      <c r="BD888" s="63"/>
      <c r="BE888" s="63"/>
      <c r="BF888" s="63"/>
      <c r="BG888" s="63"/>
      <c r="BH888" s="63"/>
      <c r="BI888" s="63"/>
      <c r="BJ888" s="63"/>
      <c r="BK888" s="63"/>
      <c r="BL888" s="63"/>
      <c r="BM888" s="63"/>
      <c r="BN888" s="63"/>
      <c r="BO888" s="63"/>
      <c r="BP888" s="63"/>
      <c r="BQ888" s="63"/>
      <c r="BR888" s="63"/>
      <c r="BS888" s="63"/>
      <c r="BT888" s="63"/>
      <c r="BU888" s="63"/>
      <c r="BV888" s="63"/>
      <c r="BW888" s="63"/>
    </row>
    <row r="889" spans="1:75" x14ac:dyDescent="0.2">
      <c r="A889" s="63" t="str">
        <f t="shared" si="165"/>
        <v/>
      </c>
      <c r="B889" s="182"/>
      <c r="C889" s="74"/>
      <c r="D889" s="74"/>
      <c r="E889" s="74"/>
      <c r="F889" s="181"/>
      <c r="G889" s="69"/>
      <c r="AB889" s="150">
        <f t="shared" si="156"/>
        <v>0</v>
      </c>
      <c r="AC889" s="150">
        <f t="shared" si="157"/>
        <v>0</v>
      </c>
      <c r="AD889" s="98" t="str">
        <f t="shared" si="166"/>
        <v>0000000000</v>
      </c>
      <c r="AE889" s="151">
        <f t="shared" si="159"/>
        <v>0</v>
      </c>
      <c r="AF889" s="98" t="str">
        <f t="shared" si="160"/>
        <v>00</v>
      </c>
      <c r="AG889" s="98" t="str">
        <f t="shared" si="167"/>
        <v>000000000000</v>
      </c>
      <c r="AH889" s="161" t="str">
        <f t="shared" si="161"/>
        <v xml:space="preserve">                    </v>
      </c>
      <c r="AI889" s="154">
        <f t="shared" si="162"/>
        <v>0</v>
      </c>
      <c r="AJ889" s="155">
        <f t="shared" si="163"/>
        <v>0</v>
      </c>
      <c r="AP889" s="63" t="str">
        <f t="shared" si="164"/>
        <v/>
      </c>
      <c r="AQ889" s="63" t="str">
        <f t="shared" si="158"/>
        <v xml:space="preserve">                    </v>
      </c>
      <c r="AR889" s="63"/>
      <c r="AS889" s="63"/>
      <c r="AT889" s="63"/>
      <c r="AU889" s="63"/>
      <c r="AV889" s="63"/>
      <c r="AW889" s="63"/>
      <c r="AX889" s="63"/>
      <c r="AY889" s="63"/>
      <c r="AZ889" s="63"/>
      <c r="BA889" s="63"/>
      <c r="BB889" s="63"/>
      <c r="BC889" s="63"/>
      <c r="BD889" s="63"/>
      <c r="BE889" s="63"/>
      <c r="BF889" s="63"/>
      <c r="BG889" s="63"/>
      <c r="BH889" s="63"/>
      <c r="BI889" s="63"/>
      <c r="BJ889" s="63"/>
      <c r="BK889" s="63"/>
      <c r="BL889" s="63"/>
      <c r="BM889" s="63"/>
      <c r="BN889" s="63"/>
      <c r="BO889" s="63"/>
      <c r="BP889" s="63"/>
      <c r="BQ889" s="63"/>
      <c r="BR889" s="63"/>
      <c r="BS889" s="63"/>
      <c r="BT889" s="63"/>
      <c r="BU889" s="63"/>
      <c r="BV889" s="63"/>
      <c r="BW889" s="63"/>
    </row>
    <row r="890" spans="1:75" x14ac:dyDescent="0.2">
      <c r="A890" s="63" t="str">
        <f t="shared" si="165"/>
        <v/>
      </c>
      <c r="B890" s="182"/>
      <c r="C890" s="74"/>
      <c r="D890" s="74"/>
      <c r="E890" s="74"/>
      <c r="F890" s="181"/>
      <c r="G890" s="69"/>
      <c r="AB890" s="150">
        <f t="shared" si="156"/>
        <v>0</v>
      </c>
      <c r="AC890" s="150">
        <f t="shared" si="157"/>
        <v>0</v>
      </c>
      <c r="AD890" s="98" t="str">
        <f t="shared" si="166"/>
        <v>0000000000</v>
      </c>
      <c r="AE890" s="151">
        <f t="shared" si="159"/>
        <v>0</v>
      </c>
      <c r="AF890" s="98" t="str">
        <f t="shared" si="160"/>
        <v>00</v>
      </c>
      <c r="AG890" s="98" t="str">
        <f t="shared" si="167"/>
        <v>000000000000</v>
      </c>
      <c r="AH890" s="161" t="str">
        <f t="shared" si="161"/>
        <v xml:space="preserve">                    </v>
      </c>
      <c r="AI890" s="154">
        <f t="shared" si="162"/>
        <v>0</v>
      </c>
      <c r="AJ890" s="155">
        <f t="shared" si="163"/>
        <v>0</v>
      </c>
      <c r="AP890" s="63" t="str">
        <f t="shared" si="164"/>
        <v/>
      </c>
      <c r="AQ890" s="63" t="str">
        <f t="shared" si="158"/>
        <v xml:space="preserve">                    </v>
      </c>
      <c r="AR890" s="63"/>
      <c r="AS890" s="63"/>
      <c r="AT890" s="63"/>
      <c r="AU890" s="63"/>
      <c r="AV890" s="63"/>
      <c r="AW890" s="63"/>
      <c r="AX890" s="63"/>
      <c r="AY890" s="63"/>
      <c r="AZ890" s="63"/>
      <c r="BA890" s="63"/>
      <c r="BB890" s="63"/>
      <c r="BC890" s="63"/>
      <c r="BD890" s="63"/>
      <c r="BE890" s="63"/>
      <c r="BF890" s="63"/>
      <c r="BG890" s="63"/>
      <c r="BH890" s="63"/>
      <c r="BI890" s="63"/>
      <c r="BJ890" s="63"/>
      <c r="BK890" s="63"/>
      <c r="BL890" s="63"/>
      <c r="BM890" s="63"/>
      <c r="BN890" s="63"/>
      <c r="BO890" s="63"/>
      <c r="BP890" s="63"/>
      <c r="BQ890" s="63"/>
      <c r="BR890" s="63"/>
      <c r="BS890" s="63"/>
      <c r="BT890" s="63"/>
      <c r="BU890" s="63"/>
      <c r="BV890" s="63"/>
      <c r="BW890" s="63"/>
    </row>
    <row r="891" spans="1:75" x14ac:dyDescent="0.2">
      <c r="A891" s="63" t="str">
        <f t="shared" si="165"/>
        <v/>
      </c>
      <c r="B891" s="182"/>
      <c r="C891" s="74"/>
      <c r="D891" s="74"/>
      <c r="E891" s="74"/>
      <c r="F891" s="181"/>
      <c r="G891" s="69"/>
      <c r="AB891" s="150">
        <f t="shared" si="156"/>
        <v>0</v>
      </c>
      <c r="AC891" s="150">
        <f t="shared" si="157"/>
        <v>0</v>
      </c>
      <c r="AD891" s="98" t="str">
        <f t="shared" si="166"/>
        <v>0000000000</v>
      </c>
      <c r="AE891" s="151">
        <f t="shared" si="159"/>
        <v>0</v>
      </c>
      <c r="AF891" s="98" t="str">
        <f t="shared" si="160"/>
        <v>00</v>
      </c>
      <c r="AG891" s="98" t="str">
        <f t="shared" si="167"/>
        <v>000000000000</v>
      </c>
      <c r="AH891" s="161" t="str">
        <f t="shared" si="161"/>
        <v xml:space="preserve">                    </v>
      </c>
      <c r="AI891" s="154">
        <f t="shared" si="162"/>
        <v>0</v>
      </c>
      <c r="AJ891" s="155">
        <f t="shared" si="163"/>
        <v>0</v>
      </c>
      <c r="AP891" s="63" t="str">
        <f t="shared" si="164"/>
        <v/>
      </c>
      <c r="AQ891" s="63" t="str">
        <f t="shared" si="158"/>
        <v xml:space="preserve">                    </v>
      </c>
      <c r="AR891" s="63"/>
      <c r="AS891" s="63"/>
      <c r="AT891" s="63"/>
      <c r="AU891" s="63"/>
      <c r="AV891" s="63"/>
      <c r="AW891" s="63"/>
      <c r="AX891" s="63"/>
      <c r="AY891" s="63"/>
      <c r="AZ891" s="63"/>
      <c r="BA891" s="63"/>
      <c r="BB891" s="63"/>
      <c r="BC891" s="63"/>
      <c r="BD891" s="63"/>
      <c r="BE891" s="63"/>
      <c r="BF891" s="63"/>
      <c r="BG891" s="63"/>
      <c r="BH891" s="63"/>
      <c r="BI891" s="63"/>
      <c r="BJ891" s="63"/>
      <c r="BK891" s="63"/>
      <c r="BL891" s="63"/>
      <c r="BM891" s="63"/>
      <c r="BN891" s="63"/>
      <c r="BO891" s="63"/>
      <c r="BP891" s="63"/>
      <c r="BQ891" s="63"/>
      <c r="BR891" s="63"/>
      <c r="BS891" s="63"/>
      <c r="BT891" s="63"/>
      <c r="BU891" s="63"/>
      <c r="BV891" s="63"/>
      <c r="BW891" s="63"/>
    </row>
    <row r="892" spans="1:75" x14ac:dyDescent="0.2">
      <c r="A892" s="63" t="str">
        <f t="shared" si="165"/>
        <v/>
      </c>
      <c r="B892" s="182"/>
      <c r="C892" s="74"/>
      <c r="D892" s="74"/>
      <c r="E892" s="74"/>
      <c r="F892" s="181"/>
      <c r="G892" s="69"/>
      <c r="AB892" s="150">
        <f t="shared" si="156"/>
        <v>0</v>
      </c>
      <c r="AC892" s="150">
        <f t="shared" si="157"/>
        <v>0</v>
      </c>
      <c r="AD892" s="98" t="str">
        <f t="shared" si="166"/>
        <v>0000000000</v>
      </c>
      <c r="AE892" s="151">
        <f t="shared" si="159"/>
        <v>0</v>
      </c>
      <c r="AF892" s="98" t="str">
        <f t="shared" si="160"/>
        <v>00</v>
      </c>
      <c r="AG892" s="98" t="str">
        <f t="shared" si="167"/>
        <v>000000000000</v>
      </c>
      <c r="AH892" s="161" t="str">
        <f t="shared" si="161"/>
        <v xml:space="preserve">                    </v>
      </c>
      <c r="AI892" s="154">
        <f t="shared" si="162"/>
        <v>0</v>
      </c>
      <c r="AJ892" s="155">
        <f t="shared" si="163"/>
        <v>0</v>
      </c>
      <c r="AP892" s="63" t="str">
        <f t="shared" si="164"/>
        <v/>
      </c>
      <c r="AQ892" s="63" t="str">
        <f t="shared" si="158"/>
        <v xml:space="preserve">                    </v>
      </c>
      <c r="AR892" s="63"/>
      <c r="AS892" s="63"/>
      <c r="AT892" s="63"/>
      <c r="AU892" s="63"/>
      <c r="AV892" s="63"/>
      <c r="AW892" s="63"/>
      <c r="AX892" s="63"/>
      <c r="AY892" s="63"/>
      <c r="AZ892" s="63"/>
      <c r="BA892" s="63"/>
      <c r="BB892" s="63"/>
      <c r="BC892" s="63"/>
      <c r="BD892" s="63"/>
      <c r="BE892" s="63"/>
      <c r="BF892" s="63"/>
      <c r="BG892" s="63"/>
      <c r="BH892" s="63"/>
      <c r="BI892" s="63"/>
      <c r="BJ892" s="63"/>
      <c r="BK892" s="63"/>
      <c r="BL892" s="63"/>
      <c r="BM892" s="63"/>
      <c r="BN892" s="63"/>
      <c r="BO892" s="63"/>
      <c r="BP892" s="63"/>
      <c r="BQ892" s="63"/>
      <c r="BR892" s="63"/>
      <c r="BS892" s="63"/>
      <c r="BT892" s="63"/>
      <c r="BU892" s="63"/>
      <c r="BV892" s="63"/>
      <c r="BW892" s="63"/>
    </row>
    <row r="893" spans="1:75" x14ac:dyDescent="0.2">
      <c r="A893" s="63" t="str">
        <f t="shared" si="165"/>
        <v/>
      </c>
      <c r="B893" s="182"/>
      <c r="C893" s="74"/>
      <c r="D893" s="74"/>
      <c r="E893" s="74"/>
      <c r="F893" s="181"/>
      <c r="G893" s="69"/>
      <c r="AB893" s="150">
        <f t="shared" si="156"/>
        <v>0</v>
      </c>
      <c r="AC893" s="150">
        <f t="shared" si="157"/>
        <v>0</v>
      </c>
      <c r="AD893" s="98" t="str">
        <f t="shared" si="166"/>
        <v>0000000000</v>
      </c>
      <c r="AE893" s="151">
        <f t="shared" si="159"/>
        <v>0</v>
      </c>
      <c r="AF893" s="98" t="str">
        <f t="shared" si="160"/>
        <v>00</v>
      </c>
      <c r="AG893" s="98" t="str">
        <f t="shared" si="167"/>
        <v>000000000000</v>
      </c>
      <c r="AH893" s="161" t="str">
        <f t="shared" si="161"/>
        <v xml:space="preserve">                    </v>
      </c>
      <c r="AI893" s="154">
        <f t="shared" si="162"/>
        <v>0</v>
      </c>
      <c r="AJ893" s="155">
        <f t="shared" si="163"/>
        <v>0</v>
      </c>
      <c r="AP893" s="63" t="str">
        <f t="shared" si="164"/>
        <v/>
      </c>
      <c r="AQ893" s="63" t="str">
        <f t="shared" si="158"/>
        <v xml:space="preserve">                    </v>
      </c>
      <c r="AR893" s="63"/>
      <c r="AS893" s="63"/>
      <c r="AT893" s="63"/>
      <c r="AU893" s="63"/>
      <c r="AV893" s="63"/>
      <c r="AW893" s="63"/>
      <c r="AX893" s="63"/>
      <c r="AY893" s="63"/>
      <c r="AZ893" s="63"/>
      <c r="BA893" s="63"/>
      <c r="BB893" s="63"/>
      <c r="BC893" s="63"/>
      <c r="BD893" s="63"/>
      <c r="BE893" s="63"/>
      <c r="BF893" s="63"/>
      <c r="BG893" s="63"/>
      <c r="BH893" s="63"/>
      <c r="BI893" s="63"/>
      <c r="BJ893" s="63"/>
      <c r="BK893" s="63"/>
      <c r="BL893" s="63"/>
      <c r="BM893" s="63"/>
      <c r="BN893" s="63"/>
      <c r="BO893" s="63"/>
      <c r="BP893" s="63"/>
      <c r="BQ893" s="63"/>
      <c r="BR893" s="63"/>
      <c r="BS893" s="63"/>
      <c r="BT893" s="63"/>
      <c r="BU893" s="63"/>
      <c r="BV893" s="63"/>
      <c r="BW893" s="63"/>
    </row>
    <row r="894" spans="1:75" x14ac:dyDescent="0.2">
      <c r="A894" s="63" t="str">
        <f t="shared" si="165"/>
        <v/>
      </c>
      <c r="B894" s="182"/>
      <c r="C894" s="74"/>
      <c r="D894" s="74"/>
      <c r="E894" s="74"/>
      <c r="F894" s="181"/>
      <c r="G894" s="69"/>
      <c r="AB894" s="150">
        <f t="shared" si="156"/>
        <v>0</v>
      </c>
      <c r="AC894" s="150">
        <f t="shared" si="157"/>
        <v>0</v>
      </c>
      <c r="AD894" s="98" t="str">
        <f t="shared" si="166"/>
        <v>0000000000</v>
      </c>
      <c r="AE894" s="151">
        <f t="shared" si="159"/>
        <v>0</v>
      </c>
      <c r="AF894" s="98" t="str">
        <f t="shared" si="160"/>
        <v>00</v>
      </c>
      <c r="AG894" s="98" t="str">
        <f t="shared" si="167"/>
        <v>000000000000</v>
      </c>
      <c r="AH894" s="161" t="str">
        <f t="shared" si="161"/>
        <v xml:space="preserve">                    </v>
      </c>
      <c r="AI894" s="154">
        <f t="shared" si="162"/>
        <v>0</v>
      </c>
      <c r="AJ894" s="155">
        <f t="shared" si="163"/>
        <v>0</v>
      </c>
      <c r="AP894" s="63" t="str">
        <f t="shared" si="164"/>
        <v/>
      </c>
      <c r="AQ894" s="63" t="str">
        <f t="shared" si="158"/>
        <v xml:space="preserve">                    </v>
      </c>
      <c r="AR894" s="63"/>
      <c r="AS894" s="63"/>
      <c r="AT894" s="63"/>
      <c r="AU894" s="63"/>
      <c r="AV894" s="63"/>
      <c r="AW894" s="63"/>
      <c r="AX894" s="63"/>
      <c r="AY894" s="63"/>
      <c r="AZ894" s="63"/>
      <c r="BA894" s="63"/>
      <c r="BB894" s="63"/>
      <c r="BC894" s="63"/>
      <c r="BD894" s="63"/>
      <c r="BE894" s="63"/>
      <c r="BF894" s="63"/>
      <c r="BG894" s="63"/>
      <c r="BH894" s="63"/>
      <c r="BI894" s="63"/>
      <c r="BJ894" s="63"/>
      <c r="BK894" s="63"/>
      <c r="BL894" s="63"/>
      <c r="BM894" s="63"/>
      <c r="BN894" s="63"/>
      <c r="BO894" s="63"/>
      <c r="BP894" s="63"/>
      <c r="BQ894" s="63"/>
      <c r="BR894" s="63"/>
      <c r="BS894" s="63"/>
      <c r="BT894" s="63"/>
      <c r="BU894" s="63"/>
      <c r="BV894" s="63"/>
      <c r="BW894" s="63"/>
    </row>
    <row r="895" spans="1:75" x14ac:dyDescent="0.2">
      <c r="A895" s="63" t="str">
        <f t="shared" si="165"/>
        <v/>
      </c>
      <c r="B895" s="182"/>
      <c r="C895" s="74"/>
      <c r="D895" s="74"/>
      <c r="E895" s="74"/>
      <c r="F895" s="181"/>
      <c r="G895" s="69"/>
      <c r="AB895" s="150">
        <f t="shared" si="156"/>
        <v>0</v>
      </c>
      <c r="AC895" s="150">
        <f t="shared" si="157"/>
        <v>0</v>
      </c>
      <c r="AD895" s="98" t="str">
        <f t="shared" si="166"/>
        <v>0000000000</v>
      </c>
      <c r="AE895" s="151">
        <f t="shared" si="159"/>
        <v>0</v>
      </c>
      <c r="AF895" s="98" t="str">
        <f t="shared" si="160"/>
        <v>00</v>
      </c>
      <c r="AG895" s="98" t="str">
        <f t="shared" si="167"/>
        <v>000000000000</v>
      </c>
      <c r="AH895" s="161" t="str">
        <f t="shared" si="161"/>
        <v xml:space="preserve">                    </v>
      </c>
      <c r="AI895" s="154">
        <f t="shared" si="162"/>
        <v>0</v>
      </c>
      <c r="AJ895" s="155">
        <f t="shared" si="163"/>
        <v>0</v>
      </c>
      <c r="AP895" s="63" t="str">
        <f t="shared" si="164"/>
        <v/>
      </c>
      <c r="AQ895" s="63" t="str">
        <f t="shared" si="158"/>
        <v xml:space="preserve">                    </v>
      </c>
      <c r="AR895" s="63"/>
      <c r="AS895" s="63"/>
      <c r="AT895" s="63"/>
      <c r="AU895" s="63"/>
      <c r="AV895" s="63"/>
      <c r="AW895" s="63"/>
      <c r="AX895" s="63"/>
      <c r="AY895" s="63"/>
      <c r="AZ895" s="63"/>
      <c r="BA895" s="63"/>
      <c r="BB895" s="63"/>
      <c r="BC895" s="63"/>
      <c r="BD895" s="63"/>
      <c r="BE895" s="63"/>
      <c r="BF895" s="63"/>
      <c r="BG895" s="63"/>
      <c r="BH895" s="63"/>
      <c r="BI895" s="63"/>
      <c r="BJ895" s="63"/>
      <c r="BK895" s="63"/>
      <c r="BL895" s="63"/>
      <c r="BM895" s="63"/>
      <c r="BN895" s="63"/>
      <c r="BO895" s="63"/>
      <c r="BP895" s="63"/>
      <c r="BQ895" s="63"/>
      <c r="BR895" s="63"/>
      <c r="BS895" s="63"/>
      <c r="BT895" s="63"/>
      <c r="BU895" s="63"/>
      <c r="BV895" s="63"/>
      <c r="BW895" s="63"/>
    </row>
    <row r="896" spans="1:75" x14ac:dyDescent="0.2">
      <c r="A896" s="63" t="str">
        <f t="shared" si="165"/>
        <v/>
      </c>
      <c r="B896" s="182"/>
      <c r="C896" s="74"/>
      <c r="D896" s="74"/>
      <c r="E896" s="74"/>
      <c r="F896" s="181"/>
      <c r="G896" s="69"/>
      <c r="AB896" s="150">
        <f t="shared" si="156"/>
        <v>0</v>
      </c>
      <c r="AC896" s="150">
        <f t="shared" si="157"/>
        <v>0</v>
      </c>
      <c r="AD896" s="98" t="str">
        <f t="shared" si="166"/>
        <v>0000000000</v>
      </c>
      <c r="AE896" s="151">
        <f t="shared" si="159"/>
        <v>0</v>
      </c>
      <c r="AF896" s="98" t="str">
        <f t="shared" si="160"/>
        <v>00</v>
      </c>
      <c r="AG896" s="98" t="str">
        <f t="shared" si="167"/>
        <v>000000000000</v>
      </c>
      <c r="AH896" s="161" t="str">
        <f t="shared" si="161"/>
        <v xml:space="preserve">                    </v>
      </c>
      <c r="AI896" s="154">
        <f t="shared" si="162"/>
        <v>0</v>
      </c>
      <c r="AJ896" s="155">
        <f t="shared" si="163"/>
        <v>0</v>
      </c>
      <c r="AP896" s="63" t="str">
        <f t="shared" si="164"/>
        <v/>
      </c>
      <c r="AQ896" s="63" t="str">
        <f t="shared" si="158"/>
        <v xml:space="preserve">                    </v>
      </c>
      <c r="AR896" s="63"/>
      <c r="AS896" s="63"/>
      <c r="AT896" s="63"/>
      <c r="AU896" s="63"/>
      <c r="AV896" s="63"/>
      <c r="AW896" s="63"/>
      <c r="AX896" s="63"/>
      <c r="AY896" s="63"/>
      <c r="AZ896" s="63"/>
      <c r="BA896" s="63"/>
      <c r="BB896" s="63"/>
      <c r="BC896" s="63"/>
      <c r="BD896" s="63"/>
      <c r="BE896" s="63"/>
      <c r="BF896" s="63"/>
      <c r="BG896" s="63"/>
      <c r="BH896" s="63"/>
      <c r="BI896" s="63"/>
      <c r="BJ896" s="63"/>
      <c r="BK896" s="63"/>
      <c r="BL896" s="63"/>
      <c r="BM896" s="63"/>
      <c r="BN896" s="63"/>
      <c r="BO896" s="63"/>
      <c r="BP896" s="63"/>
      <c r="BQ896" s="63"/>
      <c r="BR896" s="63"/>
      <c r="BS896" s="63"/>
      <c r="BT896" s="63"/>
      <c r="BU896" s="63"/>
      <c r="BV896" s="63"/>
      <c r="BW896" s="63"/>
    </row>
    <row r="897" spans="1:75" x14ac:dyDescent="0.2">
      <c r="A897" s="63" t="str">
        <f t="shared" si="165"/>
        <v/>
      </c>
      <c r="B897" s="182"/>
      <c r="C897" s="74"/>
      <c r="D897" s="74"/>
      <c r="E897" s="74"/>
      <c r="F897" s="181"/>
      <c r="G897" s="69"/>
      <c r="AB897" s="150">
        <f t="shared" si="156"/>
        <v>0</v>
      </c>
      <c r="AC897" s="150">
        <f t="shared" si="157"/>
        <v>0</v>
      </c>
      <c r="AD897" s="98" t="str">
        <f t="shared" si="166"/>
        <v>0000000000</v>
      </c>
      <c r="AE897" s="151">
        <f t="shared" si="159"/>
        <v>0</v>
      </c>
      <c r="AF897" s="98" t="str">
        <f t="shared" si="160"/>
        <v>00</v>
      </c>
      <c r="AG897" s="98" t="str">
        <f t="shared" si="167"/>
        <v>000000000000</v>
      </c>
      <c r="AH897" s="161" t="str">
        <f t="shared" si="161"/>
        <v xml:space="preserve">                    </v>
      </c>
      <c r="AI897" s="154">
        <f t="shared" si="162"/>
        <v>0</v>
      </c>
      <c r="AJ897" s="155">
        <f t="shared" si="163"/>
        <v>0</v>
      </c>
      <c r="AP897" s="63" t="str">
        <f t="shared" si="164"/>
        <v/>
      </c>
      <c r="AQ897" s="63" t="str">
        <f t="shared" si="158"/>
        <v xml:space="preserve">                    </v>
      </c>
      <c r="AR897" s="63"/>
      <c r="AS897" s="63"/>
      <c r="AT897" s="63"/>
      <c r="AU897" s="63"/>
      <c r="AV897" s="63"/>
      <c r="AW897" s="63"/>
      <c r="AX897" s="63"/>
      <c r="AY897" s="63"/>
      <c r="AZ897" s="63"/>
      <c r="BA897" s="63"/>
      <c r="BB897" s="63"/>
      <c r="BC897" s="63"/>
      <c r="BD897" s="63"/>
      <c r="BE897" s="63"/>
      <c r="BF897" s="63"/>
      <c r="BG897" s="63"/>
      <c r="BH897" s="63"/>
      <c r="BI897" s="63"/>
      <c r="BJ897" s="63"/>
      <c r="BK897" s="63"/>
      <c r="BL897" s="63"/>
      <c r="BM897" s="63"/>
      <c r="BN897" s="63"/>
      <c r="BO897" s="63"/>
      <c r="BP897" s="63"/>
      <c r="BQ897" s="63"/>
      <c r="BR897" s="63"/>
      <c r="BS897" s="63"/>
      <c r="BT897" s="63"/>
      <c r="BU897" s="63"/>
      <c r="BV897" s="63"/>
      <c r="BW897" s="63"/>
    </row>
    <row r="898" spans="1:75" x14ac:dyDescent="0.2">
      <c r="A898" s="63" t="str">
        <f t="shared" si="165"/>
        <v/>
      </c>
      <c r="B898" s="182"/>
      <c r="C898" s="74"/>
      <c r="D898" s="74"/>
      <c r="E898" s="74"/>
      <c r="F898" s="181"/>
      <c r="G898" s="69"/>
      <c r="AB898" s="150">
        <f t="shared" si="156"/>
        <v>0</v>
      </c>
      <c r="AC898" s="150">
        <f t="shared" si="157"/>
        <v>0</v>
      </c>
      <c r="AD898" s="98" t="str">
        <f t="shared" si="166"/>
        <v>0000000000</v>
      </c>
      <c r="AE898" s="151">
        <f t="shared" si="159"/>
        <v>0</v>
      </c>
      <c r="AF898" s="98" t="str">
        <f t="shared" si="160"/>
        <v>00</v>
      </c>
      <c r="AG898" s="98" t="str">
        <f t="shared" si="167"/>
        <v>000000000000</v>
      </c>
      <c r="AH898" s="161" t="str">
        <f t="shared" si="161"/>
        <v xml:space="preserve">                    </v>
      </c>
      <c r="AI898" s="154">
        <f t="shared" si="162"/>
        <v>0</v>
      </c>
      <c r="AJ898" s="155">
        <f t="shared" si="163"/>
        <v>0</v>
      </c>
      <c r="AP898" s="63" t="str">
        <f t="shared" si="164"/>
        <v/>
      </c>
      <c r="AQ898" s="63" t="str">
        <f t="shared" si="158"/>
        <v xml:space="preserve">                    </v>
      </c>
      <c r="AR898" s="63"/>
      <c r="AS898" s="63"/>
      <c r="AT898" s="63"/>
      <c r="AU898" s="63"/>
      <c r="AV898" s="63"/>
      <c r="AW898" s="63"/>
      <c r="AX898" s="63"/>
      <c r="AY898" s="63"/>
      <c r="AZ898" s="63"/>
      <c r="BA898" s="63"/>
      <c r="BB898" s="63"/>
      <c r="BC898" s="63"/>
      <c r="BD898" s="63"/>
      <c r="BE898" s="63"/>
      <c r="BF898" s="63"/>
      <c r="BG898" s="63"/>
      <c r="BH898" s="63"/>
      <c r="BI898" s="63"/>
      <c r="BJ898" s="63"/>
      <c r="BK898" s="63"/>
      <c r="BL898" s="63"/>
      <c r="BM898" s="63"/>
      <c r="BN898" s="63"/>
      <c r="BO898" s="63"/>
      <c r="BP898" s="63"/>
      <c r="BQ898" s="63"/>
      <c r="BR898" s="63"/>
      <c r="BS898" s="63"/>
      <c r="BT898" s="63"/>
      <c r="BU898" s="63"/>
      <c r="BV898" s="63"/>
      <c r="BW898" s="63"/>
    </row>
    <row r="899" spans="1:75" x14ac:dyDescent="0.2">
      <c r="A899" s="63" t="str">
        <f t="shared" si="165"/>
        <v/>
      </c>
      <c r="B899" s="182"/>
      <c r="C899" s="74"/>
      <c r="D899" s="74"/>
      <c r="E899" s="74"/>
      <c r="F899" s="181"/>
      <c r="G899" s="69"/>
      <c r="AB899" s="150">
        <f t="shared" ref="AB899:AB962" si="168">INT(F899)</f>
        <v>0</v>
      </c>
      <c r="AC899" s="150">
        <f t="shared" ref="AC899:AC962" si="169">F899-AB899</f>
        <v>0</v>
      </c>
      <c r="AD899" s="98" t="str">
        <f t="shared" si="166"/>
        <v>0000000000</v>
      </c>
      <c r="AE899" s="151">
        <f t="shared" si="159"/>
        <v>0</v>
      </c>
      <c r="AF899" s="98" t="str">
        <f t="shared" si="160"/>
        <v>00</v>
      </c>
      <c r="AG899" s="98" t="str">
        <f t="shared" si="167"/>
        <v>000000000000</v>
      </c>
      <c r="AH899" s="161" t="str">
        <f t="shared" si="161"/>
        <v xml:space="preserve">                    </v>
      </c>
      <c r="AI899" s="154">
        <f t="shared" si="162"/>
        <v>0</v>
      </c>
      <c r="AJ899" s="155">
        <f t="shared" si="163"/>
        <v>0</v>
      </c>
      <c r="AP899" s="63" t="str">
        <f t="shared" si="164"/>
        <v/>
      </c>
      <c r="AQ899" s="63" t="str">
        <f t="shared" ref="AQ899:AQ962" si="170">CONCATENATE(D899,REPT(" ",20-LEN(D899)))</f>
        <v xml:space="preserve">                    </v>
      </c>
      <c r="AR899" s="63"/>
      <c r="AS899" s="63"/>
      <c r="AT899" s="63"/>
      <c r="AU899" s="63"/>
      <c r="AV899" s="63"/>
      <c r="AW899" s="63"/>
      <c r="AX899" s="63"/>
      <c r="AY899" s="63"/>
      <c r="AZ899" s="63"/>
      <c r="BA899" s="63"/>
      <c r="BB899" s="63"/>
      <c r="BC899" s="63"/>
      <c r="BD899" s="63"/>
      <c r="BE899" s="63"/>
      <c r="BF899" s="63"/>
      <c r="BG899" s="63"/>
      <c r="BH899" s="63"/>
      <c r="BI899" s="63"/>
      <c r="BJ899" s="63"/>
      <c r="BK899" s="63"/>
      <c r="BL899" s="63"/>
      <c r="BM899" s="63"/>
      <c r="BN899" s="63"/>
      <c r="BO899" s="63"/>
      <c r="BP899" s="63"/>
      <c r="BQ899" s="63"/>
      <c r="BR899" s="63"/>
      <c r="BS899" s="63"/>
      <c r="BT899" s="63"/>
      <c r="BU899" s="63"/>
      <c r="BV899" s="63"/>
      <c r="BW899" s="63"/>
    </row>
    <row r="900" spans="1:75" x14ac:dyDescent="0.2">
      <c r="A900" s="63" t="str">
        <f t="shared" si="165"/>
        <v/>
      </c>
      <c r="B900" s="182"/>
      <c r="C900" s="74"/>
      <c r="D900" s="74"/>
      <c r="E900" s="74"/>
      <c r="F900" s="181"/>
      <c r="G900" s="69"/>
      <c r="AB900" s="150">
        <f t="shared" si="168"/>
        <v>0</v>
      </c>
      <c r="AC900" s="150">
        <f t="shared" si="169"/>
        <v>0</v>
      </c>
      <c r="AD900" s="98" t="str">
        <f t="shared" si="166"/>
        <v>0000000000</v>
      </c>
      <c r="AE900" s="151">
        <f t="shared" ref="AE900:AE963" si="171">AC900*100</f>
        <v>0</v>
      </c>
      <c r="AF900" s="98" t="str">
        <f t="shared" ref="AF900:AF963" si="172">TEXT(AE900,"00")</f>
        <v>00</v>
      </c>
      <c r="AG900" s="98" t="str">
        <f t="shared" si="167"/>
        <v>000000000000</v>
      </c>
      <c r="AH900" s="161" t="str">
        <f t="shared" ref="AH900:AH963" si="173">CONCATENATE(C900,REPT(" ",20-LEN(C900)))</f>
        <v xml:space="preserve">                    </v>
      </c>
      <c r="AI900" s="154">
        <f t="shared" ref="AI900:AI963" si="174">IF(E900&lt;&gt;"",IF(E900=$E$3,0,1),0)</f>
        <v>0</v>
      </c>
      <c r="AJ900" s="155">
        <f t="shared" ref="AJ900:AJ963" si="175">IF(AI900=1,IF($E$3=1,F900*$H$14,F900/$H$14),F900)</f>
        <v>0</v>
      </c>
      <c r="AP900" s="63" t="str">
        <f t="shared" ref="AP900:AP963" si="176">IF(B901&lt;&gt;"",CONCATENATE("000",B901,"0",E901,"2","    00000000",AG901,"            ",AQ901,AH901,"                                                                                               "),"")</f>
        <v/>
      </c>
      <c r="AQ900" s="63" t="str">
        <f t="shared" si="170"/>
        <v xml:space="preserve">                    </v>
      </c>
      <c r="AR900" s="63"/>
      <c r="AS900" s="63"/>
      <c r="AT900" s="63"/>
      <c r="AU900" s="63"/>
      <c r="AV900" s="63"/>
      <c r="AW900" s="63"/>
      <c r="AX900" s="63"/>
      <c r="AY900" s="63"/>
      <c r="AZ900" s="63"/>
      <c r="BA900" s="63"/>
      <c r="BB900" s="63"/>
      <c r="BC900" s="63"/>
      <c r="BD900" s="63"/>
      <c r="BE900" s="63"/>
      <c r="BF900" s="63"/>
      <c r="BG900" s="63"/>
      <c r="BH900" s="63"/>
      <c r="BI900" s="63"/>
      <c r="BJ900" s="63"/>
      <c r="BK900" s="63"/>
      <c r="BL900" s="63"/>
      <c r="BM900" s="63"/>
      <c r="BN900" s="63"/>
      <c r="BO900" s="63"/>
      <c r="BP900" s="63"/>
      <c r="BQ900" s="63"/>
      <c r="BR900" s="63"/>
      <c r="BS900" s="63"/>
      <c r="BT900" s="63"/>
      <c r="BU900" s="63"/>
      <c r="BV900" s="63"/>
      <c r="BW900" s="63"/>
    </row>
    <row r="901" spans="1:75" x14ac:dyDescent="0.2">
      <c r="A901" s="63" t="str">
        <f t="shared" si="165"/>
        <v/>
      </c>
      <c r="B901" s="182"/>
      <c r="C901" s="74"/>
      <c r="D901" s="74"/>
      <c r="E901" s="74"/>
      <c r="F901" s="181"/>
      <c r="G901" s="69"/>
      <c r="AB901" s="150">
        <f t="shared" si="168"/>
        <v>0</v>
      </c>
      <c r="AC901" s="150">
        <f t="shared" si="169"/>
        <v>0</v>
      </c>
      <c r="AD901" s="98" t="str">
        <f t="shared" si="166"/>
        <v>0000000000</v>
      </c>
      <c r="AE901" s="151">
        <f t="shared" si="171"/>
        <v>0</v>
      </c>
      <c r="AF901" s="98" t="str">
        <f t="shared" si="172"/>
        <v>00</v>
      </c>
      <c r="AG901" s="98" t="str">
        <f t="shared" si="167"/>
        <v>000000000000</v>
      </c>
      <c r="AH901" s="161" t="str">
        <f t="shared" si="173"/>
        <v xml:space="preserve">                    </v>
      </c>
      <c r="AI901" s="154">
        <f t="shared" si="174"/>
        <v>0</v>
      </c>
      <c r="AJ901" s="155">
        <f t="shared" si="175"/>
        <v>0</v>
      </c>
      <c r="AP901" s="63" t="str">
        <f t="shared" si="176"/>
        <v/>
      </c>
      <c r="AQ901" s="63" t="str">
        <f t="shared" si="170"/>
        <v xml:space="preserve">                    </v>
      </c>
      <c r="AR901" s="63"/>
      <c r="AS901" s="63"/>
      <c r="AT901" s="63"/>
      <c r="AU901" s="63"/>
      <c r="AV901" s="63"/>
      <c r="AW901" s="63"/>
      <c r="AX901" s="63"/>
      <c r="AY901" s="63"/>
      <c r="AZ901" s="63"/>
      <c r="BA901" s="63"/>
      <c r="BB901" s="63"/>
      <c r="BC901" s="63"/>
      <c r="BD901" s="63"/>
      <c r="BE901" s="63"/>
      <c r="BF901" s="63"/>
      <c r="BG901" s="63"/>
      <c r="BH901" s="63"/>
      <c r="BI901" s="63"/>
      <c r="BJ901" s="63"/>
      <c r="BK901" s="63"/>
      <c r="BL901" s="63"/>
      <c r="BM901" s="63"/>
      <c r="BN901" s="63"/>
      <c r="BO901" s="63"/>
      <c r="BP901" s="63"/>
      <c r="BQ901" s="63"/>
      <c r="BR901" s="63"/>
      <c r="BS901" s="63"/>
      <c r="BT901" s="63"/>
      <c r="BU901" s="63"/>
      <c r="BV901" s="63"/>
      <c r="BW901" s="63"/>
    </row>
    <row r="902" spans="1:75" x14ac:dyDescent="0.2">
      <c r="A902" s="63" t="str">
        <f t="shared" ref="A902:A965" si="177">IF(B902&lt;&gt;"",A901+1,"")</f>
        <v/>
      </c>
      <c r="B902" s="182"/>
      <c r="C902" s="74"/>
      <c r="D902" s="74"/>
      <c r="E902" s="74"/>
      <c r="F902" s="181"/>
      <c r="G902" s="69"/>
      <c r="AB902" s="150">
        <f t="shared" si="168"/>
        <v>0</v>
      </c>
      <c r="AC902" s="150">
        <f t="shared" si="169"/>
        <v>0</v>
      </c>
      <c r="AD902" s="98" t="str">
        <f t="shared" si="166"/>
        <v>0000000000</v>
      </c>
      <c r="AE902" s="151">
        <f t="shared" si="171"/>
        <v>0</v>
      </c>
      <c r="AF902" s="98" t="str">
        <f t="shared" si="172"/>
        <v>00</v>
      </c>
      <c r="AG902" s="98" t="str">
        <f t="shared" si="167"/>
        <v>000000000000</v>
      </c>
      <c r="AH902" s="161" t="str">
        <f t="shared" si="173"/>
        <v xml:space="preserve">                    </v>
      </c>
      <c r="AI902" s="154">
        <f t="shared" si="174"/>
        <v>0</v>
      </c>
      <c r="AJ902" s="155">
        <f t="shared" si="175"/>
        <v>0</v>
      </c>
      <c r="AP902" s="63" t="str">
        <f t="shared" si="176"/>
        <v/>
      </c>
      <c r="AQ902" s="63" t="str">
        <f t="shared" si="170"/>
        <v xml:space="preserve">                    </v>
      </c>
      <c r="AR902" s="63"/>
      <c r="AS902" s="63"/>
      <c r="AT902" s="63"/>
      <c r="AU902" s="63"/>
      <c r="AV902" s="63"/>
      <c r="AW902" s="63"/>
      <c r="AX902" s="63"/>
      <c r="AY902" s="63"/>
      <c r="AZ902" s="63"/>
      <c r="BA902" s="63"/>
      <c r="BB902" s="63"/>
      <c r="BC902" s="63"/>
      <c r="BD902" s="63"/>
      <c r="BE902" s="63"/>
      <c r="BF902" s="63"/>
      <c r="BG902" s="63"/>
      <c r="BH902" s="63"/>
      <c r="BI902" s="63"/>
      <c r="BJ902" s="63"/>
      <c r="BK902" s="63"/>
      <c r="BL902" s="63"/>
      <c r="BM902" s="63"/>
      <c r="BN902" s="63"/>
      <c r="BO902" s="63"/>
      <c r="BP902" s="63"/>
      <c r="BQ902" s="63"/>
      <c r="BR902" s="63"/>
      <c r="BS902" s="63"/>
      <c r="BT902" s="63"/>
      <c r="BU902" s="63"/>
      <c r="BV902" s="63"/>
      <c r="BW902" s="63"/>
    </row>
    <row r="903" spans="1:75" x14ac:dyDescent="0.2">
      <c r="A903" s="63" t="str">
        <f t="shared" si="177"/>
        <v/>
      </c>
      <c r="B903" s="182"/>
      <c r="C903" s="74"/>
      <c r="D903" s="74"/>
      <c r="E903" s="74"/>
      <c r="F903" s="181"/>
      <c r="G903" s="69"/>
      <c r="AB903" s="150">
        <f t="shared" si="168"/>
        <v>0</v>
      </c>
      <c r="AC903" s="150">
        <f t="shared" si="169"/>
        <v>0</v>
      </c>
      <c r="AD903" s="98" t="str">
        <f t="shared" si="166"/>
        <v>0000000000</v>
      </c>
      <c r="AE903" s="151">
        <f t="shared" si="171"/>
        <v>0</v>
      </c>
      <c r="AF903" s="98" t="str">
        <f t="shared" si="172"/>
        <v>00</v>
      </c>
      <c r="AG903" s="98" t="str">
        <f t="shared" si="167"/>
        <v>000000000000</v>
      </c>
      <c r="AH903" s="161" t="str">
        <f t="shared" si="173"/>
        <v xml:space="preserve">                    </v>
      </c>
      <c r="AI903" s="154">
        <f t="shared" si="174"/>
        <v>0</v>
      </c>
      <c r="AJ903" s="155">
        <f t="shared" si="175"/>
        <v>0</v>
      </c>
      <c r="AP903" s="63" t="str">
        <f t="shared" si="176"/>
        <v/>
      </c>
      <c r="AQ903" s="63" t="str">
        <f t="shared" si="170"/>
        <v xml:space="preserve">                    </v>
      </c>
      <c r="AR903" s="63"/>
      <c r="AS903" s="63"/>
      <c r="AT903" s="63"/>
      <c r="AU903" s="63"/>
      <c r="AV903" s="63"/>
      <c r="AW903" s="63"/>
      <c r="AX903" s="63"/>
      <c r="AY903" s="63"/>
      <c r="AZ903" s="63"/>
      <c r="BA903" s="63"/>
      <c r="BB903" s="63"/>
      <c r="BC903" s="63"/>
      <c r="BD903" s="63"/>
      <c r="BE903" s="63"/>
      <c r="BF903" s="63"/>
      <c r="BG903" s="63"/>
      <c r="BH903" s="63"/>
      <c r="BI903" s="63"/>
      <c r="BJ903" s="63"/>
      <c r="BK903" s="63"/>
      <c r="BL903" s="63"/>
      <c r="BM903" s="63"/>
      <c r="BN903" s="63"/>
      <c r="BO903" s="63"/>
      <c r="BP903" s="63"/>
      <c r="BQ903" s="63"/>
      <c r="BR903" s="63"/>
      <c r="BS903" s="63"/>
      <c r="BT903" s="63"/>
      <c r="BU903" s="63"/>
      <c r="BV903" s="63"/>
      <c r="BW903" s="63"/>
    </row>
    <row r="904" spans="1:75" x14ac:dyDescent="0.2">
      <c r="A904" s="63" t="str">
        <f t="shared" si="177"/>
        <v/>
      </c>
      <c r="B904" s="182"/>
      <c r="C904" s="74"/>
      <c r="D904" s="74"/>
      <c r="E904" s="74"/>
      <c r="F904" s="181"/>
      <c r="G904" s="69"/>
      <c r="AB904" s="150">
        <f t="shared" si="168"/>
        <v>0</v>
      </c>
      <c r="AC904" s="150">
        <f t="shared" si="169"/>
        <v>0</v>
      </c>
      <c r="AD904" s="98" t="str">
        <f t="shared" ref="AD904:AD967" si="178">TEXT(AB904,"0000000000")</f>
        <v>0000000000</v>
      </c>
      <c r="AE904" s="151">
        <f t="shared" si="171"/>
        <v>0</v>
      </c>
      <c r="AF904" s="98" t="str">
        <f t="shared" si="172"/>
        <v>00</v>
      </c>
      <c r="AG904" s="98" t="str">
        <f t="shared" ref="AG904:AG967" si="179">CONCATENATE(AD904,AF904)</f>
        <v>000000000000</v>
      </c>
      <c r="AH904" s="161" t="str">
        <f t="shared" si="173"/>
        <v xml:space="preserve">                    </v>
      </c>
      <c r="AI904" s="154">
        <f t="shared" si="174"/>
        <v>0</v>
      </c>
      <c r="AJ904" s="155">
        <f t="shared" si="175"/>
        <v>0</v>
      </c>
      <c r="AP904" s="63" t="str">
        <f t="shared" si="176"/>
        <v/>
      </c>
      <c r="AQ904" s="63" t="str">
        <f t="shared" si="170"/>
        <v xml:space="preserve">                    </v>
      </c>
      <c r="AR904" s="63"/>
      <c r="AS904" s="63"/>
      <c r="AT904" s="63"/>
      <c r="AU904" s="63"/>
      <c r="AV904" s="63"/>
      <c r="AW904" s="63"/>
      <c r="AX904" s="63"/>
      <c r="AY904" s="63"/>
      <c r="AZ904" s="63"/>
      <c r="BA904" s="63"/>
      <c r="BB904" s="63"/>
      <c r="BC904" s="63"/>
      <c r="BD904" s="63"/>
      <c r="BE904" s="63"/>
      <c r="BF904" s="63"/>
      <c r="BG904" s="63"/>
      <c r="BH904" s="63"/>
      <c r="BI904" s="63"/>
      <c r="BJ904" s="63"/>
      <c r="BK904" s="63"/>
      <c r="BL904" s="63"/>
      <c r="BM904" s="63"/>
      <c r="BN904" s="63"/>
      <c r="BO904" s="63"/>
      <c r="BP904" s="63"/>
      <c r="BQ904" s="63"/>
      <c r="BR904" s="63"/>
      <c r="BS904" s="63"/>
      <c r="BT904" s="63"/>
      <c r="BU904" s="63"/>
      <c r="BV904" s="63"/>
      <c r="BW904" s="63"/>
    </row>
    <row r="905" spans="1:75" x14ac:dyDescent="0.2">
      <c r="A905" s="63" t="str">
        <f t="shared" si="177"/>
        <v/>
      </c>
      <c r="B905" s="182"/>
      <c r="C905" s="74"/>
      <c r="D905" s="74"/>
      <c r="E905" s="74"/>
      <c r="F905" s="181"/>
      <c r="G905" s="69"/>
      <c r="AB905" s="150">
        <f t="shared" si="168"/>
        <v>0</v>
      </c>
      <c r="AC905" s="150">
        <f t="shared" si="169"/>
        <v>0</v>
      </c>
      <c r="AD905" s="98" t="str">
        <f t="shared" si="178"/>
        <v>0000000000</v>
      </c>
      <c r="AE905" s="151">
        <f t="shared" si="171"/>
        <v>0</v>
      </c>
      <c r="AF905" s="98" t="str">
        <f t="shared" si="172"/>
        <v>00</v>
      </c>
      <c r="AG905" s="98" t="str">
        <f t="shared" si="179"/>
        <v>000000000000</v>
      </c>
      <c r="AH905" s="161" t="str">
        <f t="shared" si="173"/>
        <v xml:space="preserve">                    </v>
      </c>
      <c r="AI905" s="154">
        <f t="shared" si="174"/>
        <v>0</v>
      </c>
      <c r="AJ905" s="155">
        <f t="shared" si="175"/>
        <v>0</v>
      </c>
      <c r="AP905" s="63" t="str">
        <f t="shared" si="176"/>
        <v/>
      </c>
      <c r="AQ905" s="63" t="str">
        <f t="shared" si="170"/>
        <v xml:space="preserve">                    </v>
      </c>
      <c r="AR905" s="63"/>
      <c r="AS905" s="63"/>
      <c r="AT905" s="63"/>
      <c r="AU905" s="63"/>
      <c r="AV905" s="63"/>
      <c r="AW905" s="63"/>
      <c r="AX905" s="63"/>
      <c r="AY905" s="63"/>
      <c r="AZ905" s="63"/>
      <c r="BA905" s="63"/>
      <c r="BB905" s="63"/>
      <c r="BC905" s="63"/>
      <c r="BD905" s="63"/>
      <c r="BE905" s="63"/>
      <c r="BF905" s="63"/>
      <c r="BG905" s="63"/>
      <c r="BH905" s="63"/>
      <c r="BI905" s="63"/>
      <c r="BJ905" s="63"/>
      <c r="BK905" s="63"/>
      <c r="BL905" s="63"/>
      <c r="BM905" s="63"/>
      <c r="BN905" s="63"/>
      <c r="BO905" s="63"/>
      <c r="BP905" s="63"/>
      <c r="BQ905" s="63"/>
      <c r="BR905" s="63"/>
      <c r="BS905" s="63"/>
      <c r="BT905" s="63"/>
      <c r="BU905" s="63"/>
      <c r="BV905" s="63"/>
      <c r="BW905" s="63"/>
    </row>
    <row r="906" spans="1:75" x14ac:dyDescent="0.2">
      <c r="A906" s="63" t="str">
        <f t="shared" si="177"/>
        <v/>
      </c>
      <c r="B906" s="182"/>
      <c r="C906" s="74"/>
      <c r="D906" s="74"/>
      <c r="E906" s="74"/>
      <c r="F906" s="181"/>
      <c r="G906" s="69"/>
      <c r="AB906" s="150">
        <f t="shared" si="168"/>
        <v>0</v>
      </c>
      <c r="AC906" s="150">
        <f t="shared" si="169"/>
        <v>0</v>
      </c>
      <c r="AD906" s="98" t="str">
        <f t="shared" si="178"/>
        <v>0000000000</v>
      </c>
      <c r="AE906" s="151">
        <f t="shared" si="171"/>
        <v>0</v>
      </c>
      <c r="AF906" s="98" t="str">
        <f t="shared" si="172"/>
        <v>00</v>
      </c>
      <c r="AG906" s="98" t="str">
        <f t="shared" si="179"/>
        <v>000000000000</v>
      </c>
      <c r="AH906" s="161" t="str">
        <f t="shared" si="173"/>
        <v xml:space="preserve">                    </v>
      </c>
      <c r="AI906" s="154">
        <f t="shared" si="174"/>
        <v>0</v>
      </c>
      <c r="AJ906" s="155">
        <f t="shared" si="175"/>
        <v>0</v>
      </c>
      <c r="AP906" s="63" t="str">
        <f t="shared" si="176"/>
        <v/>
      </c>
      <c r="AQ906" s="63" t="str">
        <f t="shared" si="170"/>
        <v xml:space="preserve">                    </v>
      </c>
      <c r="AR906" s="63"/>
      <c r="AS906" s="63"/>
      <c r="AT906" s="63"/>
      <c r="AU906" s="63"/>
      <c r="AV906" s="63"/>
      <c r="AW906" s="63"/>
      <c r="AX906" s="63"/>
      <c r="AY906" s="63"/>
      <c r="AZ906" s="63"/>
      <c r="BA906" s="63"/>
      <c r="BB906" s="63"/>
      <c r="BC906" s="63"/>
      <c r="BD906" s="63"/>
      <c r="BE906" s="63"/>
      <c r="BF906" s="63"/>
      <c r="BG906" s="63"/>
      <c r="BH906" s="63"/>
      <c r="BI906" s="63"/>
      <c r="BJ906" s="63"/>
      <c r="BK906" s="63"/>
      <c r="BL906" s="63"/>
      <c r="BM906" s="63"/>
      <c r="BN906" s="63"/>
      <c r="BO906" s="63"/>
      <c r="BP906" s="63"/>
      <c r="BQ906" s="63"/>
      <c r="BR906" s="63"/>
      <c r="BS906" s="63"/>
      <c r="BT906" s="63"/>
      <c r="BU906" s="63"/>
      <c r="BV906" s="63"/>
      <c r="BW906" s="63"/>
    </row>
    <row r="907" spans="1:75" x14ac:dyDescent="0.2">
      <c r="A907" s="63" t="str">
        <f t="shared" si="177"/>
        <v/>
      </c>
      <c r="B907" s="182"/>
      <c r="C907" s="74"/>
      <c r="D907" s="74"/>
      <c r="E907" s="74"/>
      <c r="F907" s="181"/>
      <c r="G907" s="69"/>
      <c r="AB907" s="150">
        <f t="shared" si="168"/>
        <v>0</v>
      </c>
      <c r="AC907" s="150">
        <f t="shared" si="169"/>
        <v>0</v>
      </c>
      <c r="AD907" s="98" t="str">
        <f t="shared" si="178"/>
        <v>0000000000</v>
      </c>
      <c r="AE907" s="151">
        <f t="shared" si="171"/>
        <v>0</v>
      </c>
      <c r="AF907" s="98" t="str">
        <f t="shared" si="172"/>
        <v>00</v>
      </c>
      <c r="AG907" s="98" t="str">
        <f t="shared" si="179"/>
        <v>000000000000</v>
      </c>
      <c r="AH907" s="161" t="str">
        <f t="shared" si="173"/>
        <v xml:space="preserve">                    </v>
      </c>
      <c r="AI907" s="154">
        <f t="shared" si="174"/>
        <v>0</v>
      </c>
      <c r="AJ907" s="155">
        <f t="shared" si="175"/>
        <v>0</v>
      </c>
      <c r="AP907" s="63" t="str">
        <f t="shared" si="176"/>
        <v/>
      </c>
      <c r="AQ907" s="63" t="str">
        <f t="shared" si="170"/>
        <v xml:space="preserve">                    </v>
      </c>
      <c r="AR907" s="63"/>
      <c r="AS907" s="63"/>
      <c r="AT907" s="63"/>
      <c r="AU907" s="63"/>
      <c r="AV907" s="63"/>
      <c r="AW907" s="63"/>
      <c r="AX907" s="63"/>
      <c r="AY907" s="63"/>
      <c r="AZ907" s="63"/>
      <c r="BA907" s="63"/>
      <c r="BB907" s="63"/>
      <c r="BC907" s="63"/>
      <c r="BD907" s="63"/>
      <c r="BE907" s="63"/>
      <c r="BF907" s="63"/>
      <c r="BG907" s="63"/>
      <c r="BH907" s="63"/>
      <c r="BI907" s="63"/>
      <c r="BJ907" s="63"/>
      <c r="BK907" s="63"/>
      <c r="BL907" s="63"/>
      <c r="BM907" s="63"/>
      <c r="BN907" s="63"/>
      <c r="BO907" s="63"/>
      <c r="BP907" s="63"/>
      <c r="BQ907" s="63"/>
      <c r="BR907" s="63"/>
      <c r="BS907" s="63"/>
      <c r="BT907" s="63"/>
      <c r="BU907" s="63"/>
      <c r="BV907" s="63"/>
      <c r="BW907" s="63"/>
    </row>
    <row r="908" spans="1:75" x14ac:dyDescent="0.2">
      <c r="A908" s="63" t="str">
        <f t="shared" si="177"/>
        <v/>
      </c>
      <c r="B908" s="182"/>
      <c r="C908" s="74"/>
      <c r="D908" s="74"/>
      <c r="E908" s="74"/>
      <c r="F908" s="181"/>
      <c r="G908" s="69"/>
      <c r="AB908" s="150">
        <f t="shared" si="168"/>
        <v>0</v>
      </c>
      <c r="AC908" s="150">
        <f t="shared" si="169"/>
        <v>0</v>
      </c>
      <c r="AD908" s="98" t="str">
        <f t="shared" si="178"/>
        <v>0000000000</v>
      </c>
      <c r="AE908" s="151">
        <f t="shared" si="171"/>
        <v>0</v>
      </c>
      <c r="AF908" s="98" t="str">
        <f t="shared" si="172"/>
        <v>00</v>
      </c>
      <c r="AG908" s="98" t="str">
        <f t="shared" si="179"/>
        <v>000000000000</v>
      </c>
      <c r="AH908" s="161" t="str">
        <f t="shared" si="173"/>
        <v xml:space="preserve">                    </v>
      </c>
      <c r="AI908" s="154">
        <f t="shared" si="174"/>
        <v>0</v>
      </c>
      <c r="AJ908" s="155">
        <f t="shared" si="175"/>
        <v>0</v>
      </c>
      <c r="AP908" s="63" t="str">
        <f t="shared" si="176"/>
        <v/>
      </c>
      <c r="AQ908" s="63" t="str">
        <f t="shared" si="170"/>
        <v xml:space="preserve">                    </v>
      </c>
      <c r="AR908" s="63"/>
      <c r="AS908" s="63"/>
      <c r="AT908" s="63"/>
      <c r="AU908" s="63"/>
      <c r="AV908" s="63"/>
      <c r="AW908" s="63"/>
      <c r="AX908" s="63"/>
      <c r="AY908" s="63"/>
      <c r="AZ908" s="63"/>
      <c r="BA908" s="63"/>
      <c r="BB908" s="63"/>
      <c r="BC908" s="63"/>
      <c r="BD908" s="63"/>
      <c r="BE908" s="63"/>
      <c r="BF908" s="63"/>
      <c r="BG908" s="63"/>
      <c r="BH908" s="63"/>
      <c r="BI908" s="63"/>
      <c r="BJ908" s="63"/>
      <c r="BK908" s="63"/>
      <c r="BL908" s="63"/>
      <c r="BM908" s="63"/>
      <c r="BN908" s="63"/>
      <c r="BO908" s="63"/>
      <c r="BP908" s="63"/>
      <c r="BQ908" s="63"/>
      <c r="BR908" s="63"/>
      <c r="BS908" s="63"/>
      <c r="BT908" s="63"/>
      <c r="BU908" s="63"/>
      <c r="BV908" s="63"/>
      <c r="BW908" s="63"/>
    </row>
    <row r="909" spans="1:75" x14ac:dyDescent="0.2">
      <c r="A909" s="63" t="str">
        <f t="shared" si="177"/>
        <v/>
      </c>
      <c r="B909" s="182"/>
      <c r="C909" s="74"/>
      <c r="D909" s="74"/>
      <c r="E909" s="74"/>
      <c r="F909" s="181"/>
      <c r="G909" s="69"/>
      <c r="AB909" s="150">
        <f t="shared" si="168"/>
        <v>0</v>
      </c>
      <c r="AC909" s="150">
        <f t="shared" si="169"/>
        <v>0</v>
      </c>
      <c r="AD909" s="98" t="str">
        <f t="shared" si="178"/>
        <v>0000000000</v>
      </c>
      <c r="AE909" s="151">
        <f t="shared" si="171"/>
        <v>0</v>
      </c>
      <c r="AF909" s="98" t="str">
        <f t="shared" si="172"/>
        <v>00</v>
      </c>
      <c r="AG909" s="98" t="str">
        <f t="shared" si="179"/>
        <v>000000000000</v>
      </c>
      <c r="AH909" s="161" t="str">
        <f t="shared" si="173"/>
        <v xml:space="preserve">                    </v>
      </c>
      <c r="AI909" s="154">
        <f t="shared" si="174"/>
        <v>0</v>
      </c>
      <c r="AJ909" s="155">
        <f t="shared" si="175"/>
        <v>0</v>
      </c>
      <c r="AP909" s="63" t="str">
        <f t="shared" si="176"/>
        <v/>
      </c>
      <c r="AQ909" s="63" t="str">
        <f t="shared" si="170"/>
        <v xml:space="preserve">                    </v>
      </c>
      <c r="AR909" s="63"/>
      <c r="AS909" s="63"/>
      <c r="AT909" s="63"/>
      <c r="AU909" s="63"/>
      <c r="AV909" s="63"/>
      <c r="AW909" s="63"/>
      <c r="AX909" s="63"/>
      <c r="AY909" s="63"/>
      <c r="AZ909" s="63"/>
      <c r="BA909" s="63"/>
      <c r="BB909" s="63"/>
      <c r="BC909" s="63"/>
      <c r="BD909" s="63"/>
      <c r="BE909" s="63"/>
      <c r="BF909" s="63"/>
      <c r="BG909" s="63"/>
      <c r="BH909" s="63"/>
      <c r="BI909" s="63"/>
      <c r="BJ909" s="63"/>
      <c r="BK909" s="63"/>
      <c r="BL909" s="63"/>
      <c r="BM909" s="63"/>
      <c r="BN909" s="63"/>
      <c r="BO909" s="63"/>
      <c r="BP909" s="63"/>
      <c r="BQ909" s="63"/>
      <c r="BR909" s="63"/>
      <c r="BS909" s="63"/>
      <c r="BT909" s="63"/>
      <c r="BU909" s="63"/>
      <c r="BV909" s="63"/>
      <c r="BW909" s="63"/>
    </row>
    <row r="910" spans="1:75" x14ac:dyDescent="0.2">
      <c r="A910" s="63" t="str">
        <f t="shared" si="177"/>
        <v/>
      </c>
      <c r="B910" s="182"/>
      <c r="C910" s="74"/>
      <c r="D910" s="74"/>
      <c r="E910" s="74"/>
      <c r="F910" s="181"/>
      <c r="G910" s="69"/>
      <c r="AB910" s="150">
        <f t="shared" si="168"/>
        <v>0</v>
      </c>
      <c r="AC910" s="150">
        <f t="shared" si="169"/>
        <v>0</v>
      </c>
      <c r="AD910" s="98" t="str">
        <f t="shared" si="178"/>
        <v>0000000000</v>
      </c>
      <c r="AE910" s="151">
        <f t="shared" si="171"/>
        <v>0</v>
      </c>
      <c r="AF910" s="98" t="str">
        <f t="shared" si="172"/>
        <v>00</v>
      </c>
      <c r="AG910" s="98" t="str">
        <f t="shared" si="179"/>
        <v>000000000000</v>
      </c>
      <c r="AH910" s="161" t="str">
        <f t="shared" si="173"/>
        <v xml:space="preserve">                    </v>
      </c>
      <c r="AI910" s="154">
        <f t="shared" si="174"/>
        <v>0</v>
      </c>
      <c r="AJ910" s="155">
        <f t="shared" si="175"/>
        <v>0</v>
      </c>
      <c r="AP910" s="63" t="str">
        <f t="shared" si="176"/>
        <v/>
      </c>
      <c r="AQ910" s="63" t="str">
        <f t="shared" si="170"/>
        <v xml:space="preserve">                    </v>
      </c>
      <c r="AR910" s="63"/>
      <c r="AS910" s="63"/>
      <c r="AT910" s="63"/>
      <c r="AU910" s="63"/>
      <c r="AV910" s="63"/>
      <c r="AW910" s="63"/>
      <c r="AX910" s="63"/>
      <c r="AY910" s="63"/>
      <c r="AZ910" s="63"/>
      <c r="BA910" s="63"/>
      <c r="BB910" s="63"/>
      <c r="BC910" s="63"/>
      <c r="BD910" s="63"/>
      <c r="BE910" s="63"/>
      <c r="BF910" s="63"/>
      <c r="BG910" s="63"/>
      <c r="BH910" s="63"/>
      <c r="BI910" s="63"/>
      <c r="BJ910" s="63"/>
      <c r="BK910" s="63"/>
      <c r="BL910" s="63"/>
      <c r="BM910" s="63"/>
      <c r="BN910" s="63"/>
      <c r="BO910" s="63"/>
      <c r="BP910" s="63"/>
      <c r="BQ910" s="63"/>
      <c r="BR910" s="63"/>
      <c r="BS910" s="63"/>
      <c r="BT910" s="63"/>
      <c r="BU910" s="63"/>
      <c r="BV910" s="63"/>
      <c r="BW910" s="63"/>
    </row>
    <row r="911" spans="1:75" x14ac:dyDescent="0.2">
      <c r="A911" s="63" t="str">
        <f t="shared" si="177"/>
        <v/>
      </c>
      <c r="B911" s="182"/>
      <c r="C911" s="74"/>
      <c r="D911" s="74"/>
      <c r="E911" s="74"/>
      <c r="F911" s="181"/>
      <c r="G911" s="69"/>
      <c r="AB911" s="150">
        <f t="shared" si="168"/>
        <v>0</v>
      </c>
      <c r="AC911" s="150">
        <f t="shared" si="169"/>
        <v>0</v>
      </c>
      <c r="AD911" s="98" t="str">
        <f t="shared" si="178"/>
        <v>0000000000</v>
      </c>
      <c r="AE911" s="151">
        <f t="shared" si="171"/>
        <v>0</v>
      </c>
      <c r="AF911" s="98" t="str">
        <f t="shared" si="172"/>
        <v>00</v>
      </c>
      <c r="AG911" s="98" t="str">
        <f t="shared" si="179"/>
        <v>000000000000</v>
      </c>
      <c r="AH911" s="161" t="str">
        <f t="shared" si="173"/>
        <v xml:space="preserve">                    </v>
      </c>
      <c r="AI911" s="154">
        <f t="shared" si="174"/>
        <v>0</v>
      </c>
      <c r="AJ911" s="155">
        <f t="shared" si="175"/>
        <v>0</v>
      </c>
      <c r="AP911" s="63" t="str">
        <f t="shared" si="176"/>
        <v/>
      </c>
      <c r="AQ911" s="63" t="str">
        <f t="shared" si="170"/>
        <v xml:space="preserve">                    </v>
      </c>
      <c r="AR911" s="63"/>
      <c r="AS911" s="63"/>
      <c r="AT911" s="63"/>
      <c r="AU911" s="63"/>
      <c r="AV911" s="63"/>
      <c r="AW911" s="63"/>
      <c r="AX911" s="63"/>
      <c r="AY911" s="63"/>
      <c r="AZ911" s="63"/>
      <c r="BA911" s="63"/>
      <c r="BB911" s="63"/>
      <c r="BC911" s="63"/>
      <c r="BD911" s="63"/>
      <c r="BE911" s="63"/>
      <c r="BF911" s="63"/>
      <c r="BG911" s="63"/>
      <c r="BH911" s="63"/>
      <c r="BI911" s="63"/>
      <c r="BJ911" s="63"/>
      <c r="BK911" s="63"/>
      <c r="BL911" s="63"/>
      <c r="BM911" s="63"/>
      <c r="BN911" s="63"/>
      <c r="BO911" s="63"/>
      <c r="BP911" s="63"/>
      <c r="BQ911" s="63"/>
      <c r="BR911" s="63"/>
      <c r="BS911" s="63"/>
      <c r="BT911" s="63"/>
      <c r="BU911" s="63"/>
      <c r="BV911" s="63"/>
      <c r="BW911" s="63"/>
    </row>
    <row r="912" spans="1:75" x14ac:dyDescent="0.2">
      <c r="A912" s="63" t="str">
        <f t="shared" si="177"/>
        <v/>
      </c>
      <c r="B912" s="182"/>
      <c r="C912" s="74"/>
      <c r="D912" s="74"/>
      <c r="E912" s="74"/>
      <c r="F912" s="181"/>
      <c r="G912" s="69"/>
      <c r="AB912" s="150">
        <f t="shared" si="168"/>
        <v>0</v>
      </c>
      <c r="AC912" s="150">
        <f t="shared" si="169"/>
        <v>0</v>
      </c>
      <c r="AD912" s="98" t="str">
        <f t="shared" si="178"/>
        <v>0000000000</v>
      </c>
      <c r="AE912" s="151">
        <f t="shared" si="171"/>
        <v>0</v>
      </c>
      <c r="AF912" s="98" t="str">
        <f t="shared" si="172"/>
        <v>00</v>
      </c>
      <c r="AG912" s="98" t="str">
        <f t="shared" si="179"/>
        <v>000000000000</v>
      </c>
      <c r="AH912" s="161" t="str">
        <f t="shared" si="173"/>
        <v xml:space="preserve">                    </v>
      </c>
      <c r="AI912" s="154">
        <f t="shared" si="174"/>
        <v>0</v>
      </c>
      <c r="AJ912" s="155">
        <f t="shared" si="175"/>
        <v>0</v>
      </c>
      <c r="AP912" s="63" t="str">
        <f t="shared" si="176"/>
        <v/>
      </c>
      <c r="AQ912" s="63" t="str">
        <f t="shared" si="170"/>
        <v xml:space="preserve">                    </v>
      </c>
      <c r="AR912" s="63"/>
      <c r="AS912" s="63"/>
      <c r="AT912" s="63"/>
      <c r="AU912" s="63"/>
      <c r="AV912" s="63"/>
      <c r="AW912" s="63"/>
      <c r="AX912" s="63"/>
      <c r="AY912" s="63"/>
      <c r="AZ912" s="63"/>
      <c r="BA912" s="63"/>
      <c r="BB912" s="63"/>
      <c r="BC912" s="63"/>
      <c r="BD912" s="63"/>
      <c r="BE912" s="63"/>
      <c r="BF912" s="63"/>
      <c r="BG912" s="63"/>
      <c r="BH912" s="63"/>
      <c r="BI912" s="63"/>
      <c r="BJ912" s="63"/>
      <c r="BK912" s="63"/>
      <c r="BL912" s="63"/>
      <c r="BM912" s="63"/>
      <c r="BN912" s="63"/>
      <c r="BO912" s="63"/>
      <c r="BP912" s="63"/>
      <c r="BQ912" s="63"/>
      <c r="BR912" s="63"/>
      <c r="BS912" s="63"/>
      <c r="BT912" s="63"/>
      <c r="BU912" s="63"/>
      <c r="BV912" s="63"/>
      <c r="BW912" s="63"/>
    </row>
    <row r="913" spans="1:75" x14ac:dyDescent="0.2">
      <c r="A913" s="63" t="str">
        <f t="shared" si="177"/>
        <v/>
      </c>
      <c r="B913" s="182"/>
      <c r="C913" s="74"/>
      <c r="D913" s="74"/>
      <c r="E913" s="74"/>
      <c r="F913" s="181"/>
      <c r="G913" s="69"/>
      <c r="AB913" s="150">
        <f t="shared" si="168"/>
        <v>0</v>
      </c>
      <c r="AC913" s="150">
        <f t="shared" si="169"/>
        <v>0</v>
      </c>
      <c r="AD913" s="98" t="str">
        <f t="shared" si="178"/>
        <v>0000000000</v>
      </c>
      <c r="AE913" s="151">
        <f t="shared" si="171"/>
        <v>0</v>
      </c>
      <c r="AF913" s="98" t="str">
        <f t="shared" si="172"/>
        <v>00</v>
      </c>
      <c r="AG913" s="98" t="str">
        <f t="shared" si="179"/>
        <v>000000000000</v>
      </c>
      <c r="AH913" s="161" t="str">
        <f t="shared" si="173"/>
        <v xml:space="preserve">                    </v>
      </c>
      <c r="AI913" s="154">
        <f t="shared" si="174"/>
        <v>0</v>
      </c>
      <c r="AJ913" s="155">
        <f t="shared" si="175"/>
        <v>0</v>
      </c>
      <c r="AP913" s="63" t="str">
        <f t="shared" si="176"/>
        <v/>
      </c>
      <c r="AQ913" s="63" t="str">
        <f t="shared" si="170"/>
        <v xml:space="preserve">                    </v>
      </c>
      <c r="AR913" s="63"/>
      <c r="AS913" s="63"/>
      <c r="AT913" s="63"/>
      <c r="AU913" s="63"/>
      <c r="AV913" s="63"/>
      <c r="AW913" s="63"/>
      <c r="AX913" s="63"/>
      <c r="AY913" s="63"/>
      <c r="AZ913" s="63"/>
      <c r="BA913" s="63"/>
      <c r="BB913" s="63"/>
      <c r="BC913" s="63"/>
      <c r="BD913" s="63"/>
      <c r="BE913" s="63"/>
      <c r="BF913" s="63"/>
      <c r="BG913" s="63"/>
      <c r="BH913" s="63"/>
      <c r="BI913" s="63"/>
      <c r="BJ913" s="63"/>
      <c r="BK913" s="63"/>
      <c r="BL913" s="63"/>
      <c r="BM913" s="63"/>
      <c r="BN913" s="63"/>
      <c r="BO913" s="63"/>
      <c r="BP913" s="63"/>
      <c r="BQ913" s="63"/>
      <c r="BR913" s="63"/>
      <c r="BS913" s="63"/>
      <c r="BT913" s="63"/>
      <c r="BU913" s="63"/>
      <c r="BV913" s="63"/>
      <c r="BW913" s="63"/>
    </row>
    <row r="914" spans="1:75" x14ac:dyDescent="0.2">
      <c r="A914" s="63" t="str">
        <f t="shared" si="177"/>
        <v/>
      </c>
      <c r="B914" s="182"/>
      <c r="C914" s="74"/>
      <c r="D914" s="74"/>
      <c r="E914" s="74"/>
      <c r="F914" s="181"/>
      <c r="G914" s="69"/>
      <c r="AB914" s="150">
        <f t="shared" si="168"/>
        <v>0</v>
      </c>
      <c r="AC914" s="150">
        <f t="shared" si="169"/>
        <v>0</v>
      </c>
      <c r="AD914" s="98" t="str">
        <f t="shared" si="178"/>
        <v>0000000000</v>
      </c>
      <c r="AE914" s="151">
        <f t="shared" si="171"/>
        <v>0</v>
      </c>
      <c r="AF914" s="98" t="str">
        <f t="shared" si="172"/>
        <v>00</v>
      </c>
      <c r="AG914" s="98" t="str">
        <f t="shared" si="179"/>
        <v>000000000000</v>
      </c>
      <c r="AH914" s="161" t="str">
        <f t="shared" si="173"/>
        <v xml:space="preserve">                    </v>
      </c>
      <c r="AI914" s="154">
        <f t="shared" si="174"/>
        <v>0</v>
      </c>
      <c r="AJ914" s="155">
        <f t="shared" si="175"/>
        <v>0</v>
      </c>
      <c r="AP914" s="63" t="str">
        <f t="shared" si="176"/>
        <v/>
      </c>
      <c r="AQ914" s="63" t="str">
        <f t="shared" si="170"/>
        <v xml:space="preserve">                    </v>
      </c>
      <c r="AR914" s="63"/>
      <c r="AS914" s="63"/>
      <c r="AT914" s="63"/>
      <c r="AU914" s="63"/>
      <c r="AV914" s="63"/>
      <c r="AW914" s="63"/>
      <c r="AX914" s="63"/>
      <c r="AY914" s="63"/>
      <c r="AZ914" s="63"/>
      <c r="BA914" s="63"/>
      <c r="BB914" s="63"/>
      <c r="BC914" s="63"/>
      <c r="BD914" s="63"/>
      <c r="BE914" s="63"/>
      <c r="BF914" s="63"/>
      <c r="BG914" s="63"/>
      <c r="BH914" s="63"/>
      <c r="BI914" s="63"/>
      <c r="BJ914" s="63"/>
      <c r="BK914" s="63"/>
      <c r="BL914" s="63"/>
      <c r="BM914" s="63"/>
      <c r="BN914" s="63"/>
      <c r="BO914" s="63"/>
      <c r="BP914" s="63"/>
      <c r="BQ914" s="63"/>
      <c r="BR914" s="63"/>
      <c r="BS914" s="63"/>
      <c r="BT914" s="63"/>
      <c r="BU914" s="63"/>
      <c r="BV914" s="63"/>
      <c r="BW914" s="63"/>
    </row>
    <row r="915" spans="1:75" x14ac:dyDescent="0.2">
      <c r="A915" s="63" t="str">
        <f t="shared" si="177"/>
        <v/>
      </c>
      <c r="B915" s="182"/>
      <c r="C915" s="74"/>
      <c r="D915" s="74"/>
      <c r="E915" s="74"/>
      <c r="F915" s="181"/>
      <c r="G915" s="69"/>
      <c r="AB915" s="150">
        <f t="shared" si="168"/>
        <v>0</v>
      </c>
      <c r="AC915" s="150">
        <f t="shared" si="169"/>
        <v>0</v>
      </c>
      <c r="AD915" s="98" t="str">
        <f t="shared" si="178"/>
        <v>0000000000</v>
      </c>
      <c r="AE915" s="151">
        <f t="shared" si="171"/>
        <v>0</v>
      </c>
      <c r="AF915" s="98" t="str">
        <f t="shared" si="172"/>
        <v>00</v>
      </c>
      <c r="AG915" s="98" t="str">
        <f t="shared" si="179"/>
        <v>000000000000</v>
      </c>
      <c r="AH915" s="161" t="str">
        <f t="shared" si="173"/>
        <v xml:space="preserve">                    </v>
      </c>
      <c r="AI915" s="154">
        <f t="shared" si="174"/>
        <v>0</v>
      </c>
      <c r="AJ915" s="155">
        <f t="shared" si="175"/>
        <v>0</v>
      </c>
      <c r="AP915" s="63" t="str">
        <f t="shared" si="176"/>
        <v/>
      </c>
      <c r="AQ915" s="63" t="str">
        <f t="shared" si="170"/>
        <v xml:space="preserve">                    </v>
      </c>
      <c r="AR915" s="63"/>
      <c r="AS915" s="63"/>
      <c r="AT915" s="63"/>
      <c r="AU915" s="63"/>
      <c r="AV915" s="63"/>
      <c r="AW915" s="63"/>
      <c r="AX915" s="63"/>
      <c r="AY915" s="63"/>
      <c r="AZ915" s="63"/>
      <c r="BA915" s="63"/>
      <c r="BB915" s="63"/>
      <c r="BC915" s="63"/>
      <c r="BD915" s="63"/>
      <c r="BE915" s="63"/>
      <c r="BF915" s="63"/>
      <c r="BG915" s="63"/>
      <c r="BH915" s="63"/>
      <c r="BI915" s="63"/>
      <c r="BJ915" s="63"/>
      <c r="BK915" s="63"/>
      <c r="BL915" s="63"/>
      <c r="BM915" s="63"/>
      <c r="BN915" s="63"/>
      <c r="BO915" s="63"/>
      <c r="BP915" s="63"/>
      <c r="BQ915" s="63"/>
      <c r="BR915" s="63"/>
      <c r="BS915" s="63"/>
      <c r="BT915" s="63"/>
      <c r="BU915" s="63"/>
      <c r="BV915" s="63"/>
      <c r="BW915" s="63"/>
    </row>
    <row r="916" spans="1:75" x14ac:dyDescent="0.2">
      <c r="A916" s="63" t="str">
        <f t="shared" si="177"/>
        <v/>
      </c>
      <c r="B916" s="182"/>
      <c r="C916" s="74"/>
      <c r="D916" s="74"/>
      <c r="E916" s="74"/>
      <c r="F916" s="181"/>
      <c r="G916" s="69"/>
      <c r="AB916" s="150">
        <f t="shared" si="168"/>
        <v>0</v>
      </c>
      <c r="AC916" s="150">
        <f t="shared" si="169"/>
        <v>0</v>
      </c>
      <c r="AD916" s="98" t="str">
        <f t="shared" si="178"/>
        <v>0000000000</v>
      </c>
      <c r="AE916" s="151">
        <f t="shared" si="171"/>
        <v>0</v>
      </c>
      <c r="AF916" s="98" t="str">
        <f t="shared" si="172"/>
        <v>00</v>
      </c>
      <c r="AG916" s="98" t="str">
        <f t="shared" si="179"/>
        <v>000000000000</v>
      </c>
      <c r="AH916" s="161" t="str">
        <f t="shared" si="173"/>
        <v xml:space="preserve">                    </v>
      </c>
      <c r="AI916" s="154">
        <f t="shared" si="174"/>
        <v>0</v>
      </c>
      <c r="AJ916" s="155">
        <f t="shared" si="175"/>
        <v>0</v>
      </c>
      <c r="AP916" s="63" t="str">
        <f t="shared" si="176"/>
        <v/>
      </c>
      <c r="AQ916" s="63" t="str">
        <f t="shared" si="170"/>
        <v xml:space="preserve">                    </v>
      </c>
      <c r="AR916" s="63"/>
      <c r="AS916" s="63"/>
      <c r="AT916" s="63"/>
      <c r="AU916" s="63"/>
      <c r="AV916" s="63"/>
      <c r="AW916" s="63"/>
      <c r="AX916" s="63"/>
      <c r="AY916" s="63"/>
      <c r="AZ916" s="63"/>
      <c r="BA916" s="63"/>
      <c r="BB916" s="63"/>
      <c r="BC916" s="63"/>
      <c r="BD916" s="63"/>
      <c r="BE916" s="63"/>
      <c r="BF916" s="63"/>
      <c r="BG916" s="63"/>
      <c r="BH916" s="63"/>
      <c r="BI916" s="63"/>
      <c r="BJ916" s="63"/>
      <c r="BK916" s="63"/>
      <c r="BL916" s="63"/>
      <c r="BM916" s="63"/>
      <c r="BN916" s="63"/>
      <c r="BO916" s="63"/>
      <c r="BP916" s="63"/>
      <c r="BQ916" s="63"/>
      <c r="BR916" s="63"/>
      <c r="BS916" s="63"/>
      <c r="BT916" s="63"/>
      <c r="BU916" s="63"/>
      <c r="BV916" s="63"/>
      <c r="BW916" s="63"/>
    </row>
    <row r="917" spans="1:75" x14ac:dyDescent="0.2">
      <c r="A917" s="63" t="str">
        <f t="shared" si="177"/>
        <v/>
      </c>
      <c r="B917" s="182"/>
      <c r="C917" s="74"/>
      <c r="D917" s="74"/>
      <c r="E917" s="74"/>
      <c r="F917" s="181"/>
      <c r="G917" s="69"/>
      <c r="AB917" s="150">
        <f t="shared" si="168"/>
        <v>0</v>
      </c>
      <c r="AC917" s="150">
        <f t="shared" si="169"/>
        <v>0</v>
      </c>
      <c r="AD917" s="98" t="str">
        <f t="shared" si="178"/>
        <v>0000000000</v>
      </c>
      <c r="AE917" s="151">
        <f t="shared" si="171"/>
        <v>0</v>
      </c>
      <c r="AF917" s="98" t="str">
        <f t="shared" si="172"/>
        <v>00</v>
      </c>
      <c r="AG917" s="98" t="str">
        <f t="shared" si="179"/>
        <v>000000000000</v>
      </c>
      <c r="AH917" s="161" t="str">
        <f t="shared" si="173"/>
        <v xml:space="preserve">                    </v>
      </c>
      <c r="AI917" s="154">
        <f t="shared" si="174"/>
        <v>0</v>
      </c>
      <c r="AJ917" s="155">
        <f t="shared" si="175"/>
        <v>0</v>
      </c>
      <c r="AP917" s="63" t="str">
        <f t="shared" si="176"/>
        <v/>
      </c>
      <c r="AQ917" s="63" t="str">
        <f t="shared" si="170"/>
        <v xml:space="preserve">                    </v>
      </c>
      <c r="AR917" s="63"/>
      <c r="AS917" s="63"/>
      <c r="AT917" s="63"/>
      <c r="AU917" s="63"/>
      <c r="AV917" s="63"/>
      <c r="AW917" s="63"/>
      <c r="AX917" s="63"/>
      <c r="AY917" s="63"/>
      <c r="AZ917" s="63"/>
      <c r="BA917" s="63"/>
      <c r="BB917" s="63"/>
      <c r="BC917" s="63"/>
      <c r="BD917" s="63"/>
      <c r="BE917" s="63"/>
      <c r="BF917" s="63"/>
      <c r="BG917" s="63"/>
      <c r="BH917" s="63"/>
      <c r="BI917" s="63"/>
      <c r="BJ917" s="63"/>
      <c r="BK917" s="63"/>
      <c r="BL917" s="63"/>
      <c r="BM917" s="63"/>
      <c r="BN917" s="63"/>
      <c r="BO917" s="63"/>
      <c r="BP917" s="63"/>
      <c r="BQ917" s="63"/>
      <c r="BR917" s="63"/>
      <c r="BS917" s="63"/>
      <c r="BT917" s="63"/>
      <c r="BU917" s="63"/>
      <c r="BV917" s="63"/>
      <c r="BW917" s="63"/>
    </row>
    <row r="918" spans="1:75" x14ac:dyDescent="0.2">
      <c r="A918" s="63" t="str">
        <f t="shared" si="177"/>
        <v/>
      </c>
      <c r="B918" s="182"/>
      <c r="C918" s="74"/>
      <c r="D918" s="74"/>
      <c r="E918" s="74"/>
      <c r="F918" s="181"/>
      <c r="G918" s="69"/>
      <c r="AB918" s="150">
        <f t="shared" si="168"/>
        <v>0</v>
      </c>
      <c r="AC918" s="150">
        <f t="shared" si="169"/>
        <v>0</v>
      </c>
      <c r="AD918" s="98" t="str">
        <f t="shared" si="178"/>
        <v>0000000000</v>
      </c>
      <c r="AE918" s="151">
        <f t="shared" si="171"/>
        <v>0</v>
      </c>
      <c r="AF918" s="98" t="str">
        <f t="shared" si="172"/>
        <v>00</v>
      </c>
      <c r="AG918" s="98" t="str">
        <f t="shared" si="179"/>
        <v>000000000000</v>
      </c>
      <c r="AH918" s="161" t="str">
        <f t="shared" si="173"/>
        <v xml:space="preserve">                    </v>
      </c>
      <c r="AI918" s="154">
        <f t="shared" si="174"/>
        <v>0</v>
      </c>
      <c r="AJ918" s="155">
        <f t="shared" si="175"/>
        <v>0</v>
      </c>
      <c r="AP918" s="63" t="str">
        <f t="shared" si="176"/>
        <v/>
      </c>
      <c r="AQ918" s="63" t="str">
        <f t="shared" si="170"/>
        <v xml:space="preserve">                    </v>
      </c>
      <c r="AR918" s="63"/>
      <c r="AS918" s="63"/>
      <c r="AT918" s="63"/>
      <c r="AU918" s="63"/>
      <c r="AV918" s="63"/>
      <c r="AW918" s="63"/>
      <c r="AX918" s="63"/>
      <c r="AY918" s="63"/>
      <c r="AZ918" s="63"/>
      <c r="BA918" s="63"/>
      <c r="BB918" s="63"/>
      <c r="BC918" s="63"/>
      <c r="BD918" s="63"/>
      <c r="BE918" s="63"/>
      <c r="BF918" s="63"/>
      <c r="BG918" s="63"/>
      <c r="BH918" s="63"/>
      <c r="BI918" s="63"/>
      <c r="BJ918" s="63"/>
      <c r="BK918" s="63"/>
      <c r="BL918" s="63"/>
      <c r="BM918" s="63"/>
      <c r="BN918" s="63"/>
      <c r="BO918" s="63"/>
      <c r="BP918" s="63"/>
      <c r="BQ918" s="63"/>
      <c r="BR918" s="63"/>
      <c r="BS918" s="63"/>
      <c r="BT918" s="63"/>
      <c r="BU918" s="63"/>
      <c r="BV918" s="63"/>
      <c r="BW918" s="63"/>
    </row>
    <row r="919" spans="1:75" x14ac:dyDescent="0.2">
      <c r="A919" s="63" t="str">
        <f t="shared" si="177"/>
        <v/>
      </c>
      <c r="B919" s="182"/>
      <c r="C919" s="74"/>
      <c r="D919" s="74"/>
      <c r="E919" s="74"/>
      <c r="F919" s="181"/>
      <c r="G919" s="69"/>
      <c r="AB919" s="150">
        <f t="shared" si="168"/>
        <v>0</v>
      </c>
      <c r="AC919" s="150">
        <f t="shared" si="169"/>
        <v>0</v>
      </c>
      <c r="AD919" s="98" t="str">
        <f t="shared" si="178"/>
        <v>0000000000</v>
      </c>
      <c r="AE919" s="151">
        <f t="shared" si="171"/>
        <v>0</v>
      </c>
      <c r="AF919" s="98" t="str">
        <f t="shared" si="172"/>
        <v>00</v>
      </c>
      <c r="AG919" s="98" t="str">
        <f t="shared" si="179"/>
        <v>000000000000</v>
      </c>
      <c r="AH919" s="161" t="str">
        <f t="shared" si="173"/>
        <v xml:space="preserve">                    </v>
      </c>
      <c r="AI919" s="154">
        <f t="shared" si="174"/>
        <v>0</v>
      </c>
      <c r="AJ919" s="155">
        <f t="shared" si="175"/>
        <v>0</v>
      </c>
      <c r="AP919" s="63" t="str">
        <f t="shared" si="176"/>
        <v/>
      </c>
      <c r="AQ919" s="63" t="str">
        <f t="shared" si="170"/>
        <v xml:space="preserve">                    </v>
      </c>
      <c r="AR919" s="63"/>
      <c r="AS919" s="63"/>
      <c r="AT919" s="63"/>
      <c r="AU919" s="63"/>
      <c r="AV919" s="63"/>
      <c r="AW919" s="63"/>
      <c r="AX919" s="63"/>
      <c r="AY919" s="63"/>
      <c r="AZ919" s="63"/>
      <c r="BA919" s="63"/>
      <c r="BB919" s="63"/>
      <c r="BC919" s="63"/>
      <c r="BD919" s="63"/>
      <c r="BE919" s="63"/>
      <c r="BF919" s="63"/>
      <c r="BG919" s="63"/>
      <c r="BH919" s="63"/>
      <c r="BI919" s="63"/>
      <c r="BJ919" s="63"/>
      <c r="BK919" s="63"/>
      <c r="BL919" s="63"/>
      <c r="BM919" s="63"/>
      <c r="BN919" s="63"/>
      <c r="BO919" s="63"/>
      <c r="BP919" s="63"/>
      <c r="BQ919" s="63"/>
      <c r="BR919" s="63"/>
      <c r="BS919" s="63"/>
      <c r="BT919" s="63"/>
      <c r="BU919" s="63"/>
      <c r="BV919" s="63"/>
      <c r="BW919" s="63"/>
    </row>
    <row r="920" spans="1:75" x14ac:dyDescent="0.2">
      <c r="A920" s="63" t="str">
        <f t="shared" si="177"/>
        <v/>
      </c>
      <c r="B920" s="182"/>
      <c r="C920" s="74"/>
      <c r="D920" s="74"/>
      <c r="E920" s="74"/>
      <c r="F920" s="181"/>
      <c r="G920" s="69"/>
      <c r="AB920" s="150">
        <f t="shared" si="168"/>
        <v>0</v>
      </c>
      <c r="AC920" s="150">
        <f t="shared" si="169"/>
        <v>0</v>
      </c>
      <c r="AD920" s="98" t="str">
        <f t="shared" si="178"/>
        <v>0000000000</v>
      </c>
      <c r="AE920" s="151">
        <f t="shared" si="171"/>
        <v>0</v>
      </c>
      <c r="AF920" s="98" t="str">
        <f t="shared" si="172"/>
        <v>00</v>
      </c>
      <c r="AG920" s="98" t="str">
        <f t="shared" si="179"/>
        <v>000000000000</v>
      </c>
      <c r="AH920" s="161" t="str">
        <f t="shared" si="173"/>
        <v xml:space="preserve">                    </v>
      </c>
      <c r="AI920" s="154">
        <f t="shared" si="174"/>
        <v>0</v>
      </c>
      <c r="AJ920" s="155">
        <f t="shared" si="175"/>
        <v>0</v>
      </c>
      <c r="AP920" s="63" t="str">
        <f t="shared" si="176"/>
        <v/>
      </c>
      <c r="AQ920" s="63" t="str">
        <f t="shared" si="170"/>
        <v xml:space="preserve">                    </v>
      </c>
      <c r="AR920" s="63"/>
      <c r="AS920" s="63"/>
      <c r="AT920" s="63"/>
      <c r="AU920" s="63"/>
      <c r="AV920" s="63"/>
      <c r="AW920" s="63"/>
      <c r="AX920" s="63"/>
      <c r="AY920" s="63"/>
      <c r="AZ920" s="63"/>
      <c r="BA920" s="63"/>
      <c r="BB920" s="63"/>
      <c r="BC920" s="63"/>
      <c r="BD920" s="63"/>
      <c r="BE920" s="63"/>
      <c r="BF920" s="63"/>
      <c r="BG920" s="63"/>
      <c r="BH920" s="63"/>
      <c r="BI920" s="63"/>
      <c r="BJ920" s="63"/>
      <c r="BK920" s="63"/>
      <c r="BL920" s="63"/>
      <c r="BM920" s="63"/>
      <c r="BN920" s="63"/>
      <c r="BO920" s="63"/>
      <c r="BP920" s="63"/>
      <c r="BQ920" s="63"/>
      <c r="BR920" s="63"/>
      <c r="BS920" s="63"/>
      <c r="BT920" s="63"/>
      <c r="BU920" s="63"/>
      <c r="BV920" s="63"/>
      <c r="BW920" s="63"/>
    </row>
    <row r="921" spans="1:75" x14ac:dyDescent="0.2">
      <c r="A921" s="63" t="str">
        <f t="shared" si="177"/>
        <v/>
      </c>
      <c r="B921" s="182"/>
      <c r="C921" s="74"/>
      <c r="D921" s="74"/>
      <c r="E921" s="74"/>
      <c r="F921" s="181"/>
      <c r="G921" s="69"/>
      <c r="AB921" s="150">
        <f t="shared" si="168"/>
        <v>0</v>
      </c>
      <c r="AC921" s="150">
        <f t="shared" si="169"/>
        <v>0</v>
      </c>
      <c r="AD921" s="98" t="str">
        <f t="shared" si="178"/>
        <v>0000000000</v>
      </c>
      <c r="AE921" s="151">
        <f t="shared" si="171"/>
        <v>0</v>
      </c>
      <c r="AF921" s="98" t="str">
        <f t="shared" si="172"/>
        <v>00</v>
      </c>
      <c r="AG921" s="98" t="str">
        <f t="shared" si="179"/>
        <v>000000000000</v>
      </c>
      <c r="AH921" s="161" t="str">
        <f t="shared" si="173"/>
        <v xml:space="preserve">                    </v>
      </c>
      <c r="AI921" s="154">
        <f t="shared" si="174"/>
        <v>0</v>
      </c>
      <c r="AJ921" s="155">
        <f t="shared" si="175"/>
        <v>0</v>
      </c>
      <c r="AP921" s="63" t="str">
        <f t="shared" si="176"/>
        <v/>
      </c>
      <c r="AQ921" s="63" t="str">
        <f t="shared" si="170"/>
        <v xml:space="preserve">                    </v>
      </c>
      <c r="AR921" s="63"/>
      <c r="AS921" s="63"/>
      <c r="AT921" s="63"/>
      <c r="AU921" s="63"/>
      <c r="AV921" s="63"/>
      <c r="AW921" s="63"/>
      <c r="AX921" s="63"/>
      <c r="AY921" s="63"/>
      <c r="AZ921" s="63"/>
      <c r="BA921" s="63"/>
      <c r="BB921" s="63"/>
      <c r="BC921" s="63"/>
      <c r="BD921" s="63"/>
      <c r="BE921" s="63"/>
      <c r="BF921" s="63"/>
      <c r="BG921" s="63"/>
      <c r="BH921" s="63"/>
      <c r="BI921" s="63"/>
      <c r="BJ921" s="63"/>
      <c r="BK921" s="63"/>
      <c r="BL921" s="63"/>
      <c r="BM921" s="63"/>
      <c r="BN921" s="63"/>
      <c r="BO921" s="63"/>
      <c r="BP921" s="63"/>
      <c r="BQ921" s="63"/>
      <c r="BR921" s="63"/>
      <c r="BS921" s="63"/>
      <c r="BT921" s="63"/>
      <c r="BU921" s="63"/>
      <c r="BV921" s="63"/>
      <c r="BW921" s="63"/>
    </row>
    <row r="922" spans="1:75" x14ac:dyDescent="0.2">
      <c r="A922" s="63" t="str">
        <f t="shared" si="177"/>
        <v/>
      </c>
      <c r="B922" s="182"/>
      <c r="C922" s="74"/>
      <c r="D922" s="74"/>
      <c r="E922" s="74"/>
      <c r="F922" s="181"/>
      <c r="G922" s="69"/>
      <c r="AB922" s="150">
        <f t="shared" si="168"/>
        <v>0</v>
      </c>
      <c r="AC922" s="150">
        <f t="shared" si="169"/>
        <v>0</v>
      </c>
      <c r="AD922" s="98" t="str">
        <f t="shared" si="178"/>
        <v>0000000000</v>
      </c>
      <c r="AE922" s="151">
        <f t="shared" si="171"/>
        <v>0</v>
      </c>
      <c r="AF922" s="98" t="str">
        <f t="shared" si="172"/>
        <v>00</v>
      </c>
      <c r="AG922" s="98" t="str">
        <f t="shared" si="179"/>
        <v>000000000000</v>
      </c>
      <c r="AH922" s="161" t="str">
        <f t="shared" si="173"/>
        <v xml:space="preserve">                    </v>
      </c>
      <c r="AI922" s="154">
        <f t="shared" si="174"/>
        <v>0</v>
      </c>
      <c r="AJ922" s="155">
        <f t="shared" si="175"/>
        <v>0</v>
      </c>
      <c r="AP922" s="63" t="str">
        <f t="shared" si="176"/>
        <v/>
      </c>
      <c r="AQ922" s="63" t="str">
        <f t="shared" si="170"/>
        <v xml:space="preserve">                    </v>
      </c>
      <c r="AR922" s="63"/>
      <c r="AS922" s="63"/>
      <c r="AT922" s="63"/>
      <c r="AU922" s="63"/>
      <c r="AV922" s="63"/>
      <c r="AW922" s="63"/>
      <c r="AX922" s="63"/>
      <c r="AY922" s="63"/>
      <c r="AZ922" s="63"/>
      <c r="BA922" s="63"/>
      <c r="BB922" s="63"/>
      <c r="BC922" s="63"/>
      <c r="BD922" s="63"/>
      <c r="BE922" s="63"/>
      <c r="BF922" s="63"/>
      <c r="BG922" s="63"/>
      <c r="BH922" s="63"/>
      <c r="BI922" s="63"/>
      <c r="BJ922" s="63"/>
      <c r="BK922" s="63"/>
      <c r="BL922" s="63"/>
      <c r="BM922" s="63"/>
      <c r="BN922" s="63"/>
      <c r="BO922" s="63"/>
      <c r="BP922" s="63"/>
      <c r="BQ922" s="63"/>
      <c r="BR922" s="63"/>
      <c r="BS922" s="63"/>
      <c r="BT922" s="63"/>
      <c r="BU922" s="63"/>
      <c r="BV922" s="63"/>
      <c r="BW922" s="63"/>
    </row>
    <row r="923" spans="1:75" x14ac:dyDescent="0.2">
      <c r="A923" s="63" t="str">
        <f t="shared" si="177"/>
        <v/>
      </c>
      <c r="B923" s="182"/>
      <c r="C923" s="74"/>
      <c r="D923" s="74"/>
      <c r="E923" s="74"/>
      <c r="F923" s="181"/>
      <c r="G923" s="69"/>
      <c r="AB923" s="150">
        <f t="shared" si="168"/>
        <v>0</v>
      </c>
      <c r="AC923" s="150">
        <f t="shared" si="169"/>
        <v>0</v>
      </c>
      <c r="AD923" s="98" t="str">
        <f t="shared" si="178"/>
        <v>0000000000</v>
      </c>
      <c r="AE923" s="151">
        <f t="shared" si="171"/>
        <v>0</v>
      </c>
      <c r="AF923" s="98" t="str">
        <f t="shared" si="172"/>
        <v>00</v>
      </c>
      <c r="AG923" s="98" t="str">
        <f t="shared" si="179"/>
        <v>000000000000</v>
      </c>
      <c r="AH923" s="161" t="str">
        <f t="shared" si="173"/>
        <v xml:space="preserve">                    </v>
      </c>
      <c r="AI923" s="154">
        <f t="shared" si="174"/>
        <v>0</v>
      </c>
      <c r="AJ923" s="155">
        <f t="shared" si="175"/>
        <v>0</v>
      </c>
      <c r="AP923" s="63" t="str">
        <f t="shared" si="176"/>
        <v/>
      </c>
      <c r="AQ923" s="63" t="str">
        <f t="shared" si="170"/>
        <v xml:space="preserve">                    </v>
      </c>
      <c r="AR923" s="63"/>
      <c r="AS923" s="63"/>
      <c r="AT923" s="63"/>
      <c r="AU923" s="63"/>
      <c r="AV923" s="63"/>
      <c r="AW923" s="63"/>
      <c r="AX923" s="63"/>
      <c r="AY923" s="63"/>
      <c r="AZ923" s="63"/>
      <c r="BA923" s="63"/>
      <c r="BB923" s="63"/>
      <c r="BC923" s="63"/>
      <c r="BD923" s="63"/>
      <c r="BE923" s="63"/>
      <c r="BF923" s="63"/>
      <c r="BG923" s="63"/>
      <c r="BH923" s="63"/>
      <c r="BI923" s="63"/>
      <c r="BJ923" s="63"/>
      <c r="BK923" s="63"/>
      <c r="BL923" s="63"/>
      <c r="BM923" s="63"/>
      <c r="BN923" s="63"/>
      <c r="BO923" s="63"/>
      <c r="BP923" s="63"/>
      <c r="BQ923" s="63"/>
      <c r="BR923" s="63"/>
      <c r="BS923" s="63"/>
      <c r="BT923" s="63"/>
      <c r="BU923" s="63"/>
      <c r="BV923" s="63"/>
      <c r="BW923" s="63"/>
    </row>
    <row r="924" spans="1:75" x14ac:dyDescent="0.2">
      <c r="A924" s="63" t="str">
        <f t="shared" si="177"/>
        <v/>
      </c>
      <c r="B924" s="182"/>
      <c r="C924" s="74"/>
      <c r="D924" s="74"/>
      <c r="E924" s="74"/>
      <c r="F924" s="181"/>
      <c r="G924" s="69"/>
      <c r="AB924" s="150">
        <f t="shared" si="168"/>
        <v>0</v>
      </c>
      <c r="AC924" s="150">
        <f t="shared" si="169"/>
        <v>0</v>
      </c>
      <c r="AD924" s="98" t="str">
        <f t="shared" si="178"/>
        <v>0000000000</v>
      </c>
      <c r="AE924" s="151">
        <f t="shared" si="171"/>
        <v>0</v>
      </c>
      <c r="AF924" s="98" t="str">
        <f t="shared" si="172"/>
        <v>00</v>
      </c>
      <c r="AG924" s="98" t="str">
        <f t="shared" si="179"/>
        <v>000000000000</v>
      </c>
      <c r="AH924" s="161" t="str">
        <f t="shared" si="173"/>
        <v xml:space="preserve">                    </v>
      </c>
      <c r="AI924" s="154">
        <f t="shared" si="174"/>
        <v>0</v>
      </c>
      <c r="AJ924" s="155">
        <f t="shared" si="175"/>
        <v>0</v>
      </c>
      <c r="AP924" s="63" t="str">
        <f t="shared" si="176"/>
        <v/>
      </c>
      <c r="AQ924" s="63" t="str">
        <f t="shared" si="170"/>
        <v xml:space="preserve">                    </v>
      </c>
      <c r="AR924" s="63"/>
      <c r="AS924" s="63"/>
      <c r="AT924" s="63"/>
      <c r="AU924" s="63"/>
      <c r="AV924" s="63"/>
      <c r="AW924" s="63"/>
      <c r="AX924" s="63"/>
      <c r="AY924" s="63"/>
      <c r="AZ924" s="63"/>
      <c r="BA924" s="63"/>
      <c r="BB924" s="63"/>
      <c r="BC924" s="63"/>
      <c r="BD924" s="63"/>
      <c r="BE924" s="63"/>
      <c r="BF924" s="63"/>
      <c r="BG924" s="63"/>
      <c r="BH924" s="63"/>
      <c r="BI924" s="63"/>
      <c r="BJ924" s="63"/>
      <c r="BK924" s="63"/>
      <c r="BL924" s="63"/>
      <c r="BM924" s="63"/>
      <c r="BN924" s="63"/>
      <c r="BO924" s="63"/>
      <c r="BP924" s="63"/>
      <c r="BQ924" s="63"/>
      <c r="BR924" s="63"/>
      <c r="BS924" s="63"/>
      <c r="BT924" s="63"/>
      <c r="BU924" s="63"/>
      <c r="BV924" s="63"/>
      <c r="BW924" s="63"/>
    </row>
    <row r="925" spans="1:75" x14ac:dyDescent="0.2">
      <c r="A925" s="63" t="str">
        <f t="shared" si="177"/>
        <v/>
      </c>
      <c r="B925" s="182"/>
      <c r="C925" s="74"/>
      <c r="D925" s="74"/>
      <c r="E925" s="74"/>
      <c r="F925" s="181"/>
      <c r="G925" s="69"/>
      <c r="AB925" s="150">
        <f t="shared" si="168"/>
        <v>0</v>
      </c>
      <c r="AC925" s="150">
        <f t="shared" si="169"/>
        <v>0</v>
      </c>
      <c r="AD925" s="98" t="str">
        <f t="shared" si="178"/>
        <v>0000000000</v>
      </c>
      <c r="AE925" s="151">
        <f t="shared" si="171"/>
        <v>0</v>
      </c>
      <c r="AF925" s="98" t="str">
        <f t="shared" si="172"/>
        <v>00</v>
      </c>
      <c r="AG925" s="98" t="str">
        <f t="shared" si="179"/>
        <v>000000000000</v>
      </c>
      <c r="AH925" s="161" t="str">
        <f t="shared" si="173"/>
        <v xml:space="preserve">                    </v>
      </c>
      <c r="AI925" s="154">
        <f t="shared" si="174"/>
        <v>0</v>
      </c>
      <c r="AJ925" s="155">
        <f t="shared" si="175"/>
        <v>0</v>
      </c>
      <c r="AP925" s="63" t="str">
        <f t="shared" si="176"/>
        <v/>
      </c>
      <c r="AQ925" s="63" t="str">
        <f t="shared" si="170"/>
        <v xml:space="preserve">                    </v>
      </c>
      <c r="AR925" s="63"/>
      <c r="AS925" s="63"/>
      <c r="AT925" s="63"/>
      <c r="AU925" s="63"/>
      <c r="AV925" s="63"/>
      <c r="AW925" s="63"/>
      <c r="AX925" s="63"/>
      <c r="AY925" s="63"/>
      <c r="AZ925" s="63"/>
      <c r="BA925" s="63"/>
      <c r="BB925" s="63"/>
      <c r="BC925" s="63"/>
      <c r="BD925" s="63"/>
      <c r="BE925" s="63"/>
      <c r="BF925" s="63"/>
      <c r="BG925" s="63"/>
      <c r="BH925" s="63"/>
      <c r="BI925" s="63"/>
      <c r="BJ925" s="63"/>
      <c r="BK925" s="63"/>
      <c r="BL925" s="63"/>
      <c r="BM925" s="63"/>
      <c r="BN925" s="63"/>
      <c r="BO925" s="63"/>
      <c r="BP925" s="63"/>
      <c r="BQ925" s="63"/>
      <c r="BR925" s="63"/>
      <c r="BS925" s="63"/>
      <c r="BT925" s="63"/>
      <c r="BU925" s="63"/>
      <c r="BV925" s="63"/>
      <c r="BW925" s="63"/>
    </row>
    <row r="926" spans="1:75" x14ac:dyDescent="0.2">
      <c r="A926" s="63" t="str">
        <f t="shared" si="177"/>
        <v/>
      </c>
      <c r="B926" s="182"/>
      <c r="C926" s="74"/>
      <c r="D926" s="74"/>
      <c r="E926" s="74"/>
      <c r="F926" s="181"/>
      <c r="G926" s="69"/>
      <c r="AB926" s="150">
        <f t="shared" si="168"/>
        <v>0</v>
      </c>
      <c r="AC926" s="150">
        <f t="shared" si="169"/>
        <v>0</v>
      </c>
      <c r="AD926" s="98" t="str">
        <f t="shared" si="178"/>
        <v>0000000000</v>
      </c>
      <c r="AE926" s="151">
        <f t="shared" si="171"/>
        <v>0</v>
      </c>
      <c r="AF926" s="98" t="str">
        <f t="shared" si="172"/>
        <v>00</v>
      </c>
      <c r="AG926" s="98" t="str">
        <f t="shared" si="179"/>
        <v>000000000000</v>
      </c>
      <c r="AH926" s="161" t="str">
        <f t="shared" si="173"/>
        <v xml:space="preserve">                    </v>
      </c>
      <c r="AI926" s="154">
        <f t="shared" si="174"/>
        <v>0</v>
      </c>
      <c r="AJ926" s="155">
        <f t="shared" si="175"/>
        <v>0</v>
      </c>
      <c r="AP926" s="63" t="str">
        <f t="shared" si="176"/>
        <v/>
      </c>
      <c r="AQ926" s="63" t="str">
        <f t="shared" si="170"/>
        <v xml:space="preserve">                    </v>
      </c>
      <c r="AR926" s="63"/>
      <c r="AS926" s="63"/>
      <c r="AT926" s="63"/>
      <c r="AU926" s="63"/>
      <c r="AV926" s="63"/>
      <c r="AW926" s="63"/>
      <c r="AX926" s="63"/>
      <c r="AY926" s="63"/>
      <c r="AZ926" s="63"/>
      <c r="BA926" s="63"/>
      <c r="BB926" s="63"/>
      <c r="BC926" s="63"/>
      <c r="BD926" s="63"/>
      <c r="BE926" s="63"/>
      <c r="BF926" s="63"/>
      <c r="BG926" s="63"/>
      <c r="BH926" s="63"/>
      <c r="BI926" s="63"/>
      <c r="BJ926" s="63"/>
      <c r="BK926" s="63"/>
      <c r="BL926" s="63"/>
      <c r="BM926" s="63"/>
      <c r="BN926" s="63"/>
      <c r="BO926" s="63"/>
      <c r="BP926" s="63"/>
      <c r="BQ926" s="63"/>
      <c r="BR926" s="63"/>
      <c r="BS926" s="63"/>
      <c r="BT926" s="63"/>
      <c r="BU926" s="63"/>
      <c r="BV926" s="63"/>
      <c r="BW926" s="63"/>
    </row>
    <row r="927" spans="1:75" x14ac:dyDescent="0.2">
      <c r="A927" s="63" t="str">
        <f t="shared" si="177"/>
        <v/>
      </c>
      <c r="B927" s="182"/>
      <c r="C927" s="74"/>
      <c r="D927" s="74"/>
      <c r="E927" s="74"/>
      <c r="F927" s="181"/>
      <c r="G927" s="69"/>
      <c r="AB927" s="150">
        <f t="shared" si="168"/>
        <v>0</v>
      </c>
      <c r="AC927" s="150">
        <f t="shared" si="169"/>
        <v>0</v>
      </c>
      <c r="AD927" s="98" t="str">
        <f t="shared" si="178"/>
        <v>0000000000</v>
      </c>
      <c r="AE927" s="151">
        <f t="shared" si="171"/>
        <v>0</v>
      </c>
      <c r="AF927" s="98" t="str">
        <f t="shared" si="172"/>
        <v>00</v>
      </c>
      <c r="AG927" s="98" t="str">
        <f t="shared" si="179"/>
        <v>000000000000</v>
      </c>
      <c r="AH927" s="161" t="str">
        <f t="shared" si="173"/>
        <v xml:space="preserve">                    </v>
      </c>
      <c r="AI927" s="154">
        <f t="shared" si="174"/>
        <v>0</v>
      </c>
      <c r="AJ927" s="155">
        <f t="shared" si="175"/>
        <v>0</v>
      </c>
      <c r="AP927" s="63" t="str">
        <f t="shared" si="176"/>
        <v/>
      </c>
      <c r="AQ927" s="63" t="str">
        <f t="shared" si="170"/>
        <v xml:space="preserve">                    </v>
      </c>
      <c r="AR927" s="63"/>
      <c r="AS927" s="63"/>
      <c r="AT927" s="63"/>
      <c r="AU927" s="63"/>
      <c r="AV927" s="63"/>
      <c r="AW927" s="63"/>
      <c r="AX927" s="63"/>
      <c r="AY927" s="63"/>
      <c r="AZ927" s="63"/>
      <c r="BA927" s="63"/>
      <c r="BB927" s="63"/>
      <c r="BC927" s="63"/>
      <c r="BD927" s="63"/>
      <c r="BE927" s="63"/>
      <c r="BF927" s="63"/>
      <c r="BG927" s="63"/>
      <c r="BH927" s="63"/>
      <c r="BI927" s="63"/>
      <c r="BJ927" s="63"/>
      <c r="BK927" s="63"/>
      <c r="BL927" s="63"/>
      <c r="BM927" s="63"/>
      <c r="BN927" s="63"/>
      <c r="BO927" s="63"/>
      <c r="BP927" s="63"/>
      <c r="BQ927" s="63"/>
      <c r="BR927" s="63"/>
      <c r="BS927" s="63"/>
      <c r="BT927" s="63"/>
      <c r="BU927" s="63"/>
      <c r="BV927" s="63"/>
      <c r="BW927" s="63"/>
    </row>
    <row r="928" spans="1:75" x14ac:dyDescent="0.2">
      <c r="A928" s="63" t="str">
        <f t="shared" si="177"/>
        <v/>
      </c>
      <c r="B928" s="182"/>
      <c r="C928" s="74"/>
      <c r="D928" s="74"/>
      <c r="E928" s="74"/>
      <c r="F928" s="181"/>
      <c r="G928" s="69"/>
      <c r="AB928" s="150">
        <f t="shared" si="168"/>
        <v>0</v>
      </c>
      <c r="AC928" s="150">
        <f t="shared" si="169"/>
        <v>0</v>
      </c>
      <c r="AD928" s="98" t="str">
        <f t="shared" si="178"/>
        <v>0000000000</v>
      </c>
      <c r="AE928" s="151">
        <f t="shared" si="171"/>
        <v>0</v>
      </c>
      <c r="AF928" s="98" t="str">
        <f t="shared" si="172"/>
        <v>00</v>
      </c>
      <c r="AG928" s="98" t="str">
        <f t="shared" si="179"/>
        <v>000000000000</v>
      </c>
      <c r="AH928" s="161" t="str">
        <f t="shared" si="173"/>
        <v xml:space="preserve">                    </v>
      </c>
      <c r="AI928" s="154">
        <f t="shared" si="174"/>
        <v>0</v>
      </c>
      <c r="AJ928" s="155">
        <f t="shared" si="175"/>
        <v>0</v>
      </c>
      <c r="AP928" s="63" t="str">
        <f t="shared" si="176"/>
        <v/>
      </c>
      <c r="AQ928" s="63" t="str">
        <f t="shared" si="170"/>
        <v xml:space="preserve">                    </v>
      </c>
      <c r="AR928" s="63"/>
      <c r="AS928" s="63"/>
      <c r="AT928" s="63"/>
      <c r="AU928" s="63"/>
      <c r="AV928" s="63"/>
      <c r="AW928" s="63"/>
      <c r="AX928" s="63"/>
      <c r="AY928" s="63"/>
      <c r="AZ928" s="63"/>
      <c r="BA928" s="63"/>
      <c r="BB928" s="63"/>
      <c r="BC928" s="63"/>
      <c r="BD928" s="63"/>
      <c r="BE928" s="63"/>
      <c r="BF928" s="63"/>
      <c r="BG928" s="63"/>
      <c r="BH928" s="63"/>
      <c r="BI928" s="63"/>
      <c r="BJ928" s="63"/>
      <c r="BK928" s="63"/>
      <c r="BL928" s="63"/>
      <c r="BM928" s="63"/>
      <c r="BN928" s="63"/>
      <c r="BO928" s="63"/>
      <c r="BP928" s="63"/>
      <c r="BQ928" s="63"/>
      <c r="BR928" s="63"/>
      <c r="BS928" s="63"/>
      <c r="BT928" s="63"/>
      <c r="BU928" s="63"/>
      <c r="BV928" s="63"/>
      <c r="BW928" s="63"/>
    </row>
    <row r="929" spans="1:75" x14ac:dyDescent="0.2">
      <c r="A929" s="63" t="str">
        <f t="shared" si="177"/>
        <v/>
      </c>
      <c r="B929" s="182"/>
      <c r="C929" s="74"/>
      <c r="D929" s="74"/>
      <c r="E929" s="74"/>
      <c r="F929" s="181"/>
      <c r="G929" s="69"/>
      <c r="AB929" s="150">
        <f t="shared" si="168"/>
        <v>0</v>
      </c>
      <c r="AC929" s="150">
        <f t="shared" si="169"/>
        <v>0</v>
      </c>
      <c r="AD929" s="98" t="str">
        <f t="shared" si="178"/>
        <v>0000000000</v>
      </c>
      <c r="AE929" s="151">
        <f t="shared" si="171"/>
        <v>0</v>
      </c>
      <c r="AF929" s="98" t="str">
        <f t="shared" si="172"/>
        <v>00</v>
      </c>
      <c r="AG929" s="98" t="str">
        <f t="shared" si="179"/>
        <v>000000000000</v>
      </c>
      <c r="AH929" s="161" t="str">
        <f t="shared" si="173"/>
        <v xml:space="preserve">                    </v>
      </c>
      <c r="AI929" s="154">
        <f t="shared" si="174"/>
        <v>0</v>
      </c>
      <c r="AJ929" s="155">
        <f t="shared" si="175"/>
        <v>0</v>
      </c>
      <c r="AP929" s="63" t="str">
        <f t="shared" si="176"/>
        <v/>
      </c>
      <c r="AQ929" s="63" t="str">
        <f t="shared" si="170"/>
        <v xml:space="preserve">                    </v>
      </c>
      <c r="AR929" s="63"/>
      <c r="AS929" s="63"/>
      <c r="AT929" s="63"/>
      <c r="AU929" s="63"/>
      <c r="AV929" s="63"/>
      <c r="AW929" s="63"/>
      <c r="AX929" s="63"/>
      <c r="AY929" s="63"/>
      <c r="AZ929" s="63"/>
      <c r="BA929" s="63"/>
      <c r="BB929" s="63"/>
      <c r="BC929" s="63"/>
      <c r="BD929" s="63"/>
      <c r="BE929" s="63"/>
      <c r="BF929" s="63"/>
      <c r="BG929" s="63"/>
      <c r="BH929" s="63"/>
      <c r="BI929" s="63"/>
      <c r="BJ929" s="63"/>
      <c r="BK929" s="63"/>
      <c r="BL929" s="63"/>
      <c r="BM929" s="63"/>
      <c r="BN929" s="63"/>
      <c r="BO929" s="63"/>
      <c r="BP929" s="63"/>
      <c r="BQ929" s="63"/>
      <c r="BR929" s="63"/>
      <c r="BS929" s="63"/>
      <c r="BT929" s="63"/>
      <c r="BU929" s="63"/>
      <c r="BV929" s="63"/>
      <c r="BW929" s="63"/>
    </row>
    <row r="930" spans="1:75" x14ac:dyDescent="0.2">
      <c r="A930" s="63" t="str">
        <f t="shared" si="177"/>
        <v/>
      </c>
      <c r="B930" s="182"/>
      <c r="C930" s="74"/>
      <c r="D930" s="74"/>
      <c r="E930" s="74"/>
      <c r="F930" s="181"/>
      <c r="G930" s="69"/>
      <c r="AB930" s="150">
        <f t="shared" si="168"/>
        <v>0</v>
      </c>
      <c r="AC930" s="150">
        <f t="shared" si="169"/>
        <v>0</v>
      </c>
      <c r="AD930" s="98" t="str">
        <f t="shared" si="178"/>
        <v>0000000000</v>
      </c>
      <c r="AE930" s="151">
        <f t="shared" si="171"/>
        <v>0</v>
      </c>
      <c r="AF930" s="98" t="str">
        <f t="shared" si="172"/>
        <v>00</v>
      </c>
      <c r="AG930" s="98" t="str">
        <f t="shared" si="179"/>
        <v>000000000000</v>
      </c>
      <c r="AH930" s="161" t="str">
        <f t="shared" si="173"/>
        <v xml:space="preserve">                    </v>
      </c>
      <c r="AI930" s="154">
        <f t="shared" si="174"/>
        <v>0</v>
      </c>
      <c r="AJ930" s="155">
        <f t="shared" si="175"/>
        <v>0</v>
      </c>
      <c r="AP930" s="63" t="str">
        <f t="shared" si="176"/>
        <v/>
      </c>
      <c r="AQ930" s="63" t="str">
        <f t="shared" si="170"/>
        <v xml:space="preserve">                    </v>
      </c>
      <c r="AR930" s="63"/>
      <c r="AS930" s="63"/>
      <c r="AT930" s="63"/>
      <c r="AU930" s="63"/>
      <c r="AV930" s="63"/>
      <c r="AW930" s="63"/>
      <c r="AX930" s="63"/>
      <c r="AY930" s="63"/>
      <c r="AZ930" s="63"/>
      <c r="BA930" s="63"/>
      <c r="BB930" s="63"/>
      <c r="BC930" s="63"/>
      <c r="BD930" s="63"/>
      <c r="BE930" s="63"/>
      <c r="BF930" s="63"/>
      <c r="BG930" s="63"/>
      <c r="BH930" s="63"/>
      <c r="BI930" s="63"/>
      <c r="BJ930" s="63"/>
      <c r="BK930" s="63"/>
      <c r="BL930" s="63"/>
      <c r="BM930" s="63"/>
      <c r="BN930" s="63"/>
      <c r="BO930" s="63"/>
      <c r="BP930" s="63"/>
      <c r="BQ930" s="63"/>
      <c r="BR930" s="63"/>
      <c r="BS930" s="63"/>
      <c r="BT930" s="63"/>
      <c r="BU930" s="63"/>
      <c r="BV930" s="63"/>
      <c r="BW930" s="63"/>
    </row>
    <row r="931" spans="1:75" x14ac:dyDescent="0.2">
      <c r="A931" s="63" t="str">
        <f t="shared" si="177"/>
        <v/>
      </c>
      <c r="B931" s="182"/>
      <c r="C931" s="74"/>
      <c r="D931" s="74"/>
      <c r="E931" s="74"/>
      <c r="F931" s="181"/>
      <c r="G931" s="69"/>
      <c r="AB931" s="150">
        <f t="shared" si="168"/>
        <v>0</v>
      </c>
      <c r="AC931" s="150">
        <f t="shared" si="169"/>
        <v>0</v>
      </c>
      <c r="AD931" s="98" t="str">
        <f t="shared" si="178"/>
        <v>0000000000</v>
      </c>
      <c r="AE931" s="151">
        <f t="shared" si="171"/>
        <v>0</v>
      </c>
      <c r="AF931" s="98" t="str">
        <f t="shared" si="172"/>
        <v>00</v>
      </c>
      <c r="AG931" s="98" t="str">
        <f t="shared" si="179"/>
        <v>000000000000</v>
      </c>
      <c r="AH931" s="161" t="str">
        <f t="shared" si="173"/>
        <v xml:space="preserve">                    </v>
      </c>
      <c r="AI931" s="154">
        <f t="shared" si="174"/>
        <v>0</v>
      </c>
      <c r="AJ931" s="155">
        <f t="shared" si="175"/>
        <v>0</v>
      </c>
      <c r="AP931" s="63" t="str">
        <f t="shared" si="176"/>
        <v/>
      </c>
      <c r="AQ931" s="63" t="str">
        <f t="shared" si="170"/>
        <v xml:space="preserve">                    </v>
      </c>
      <c r="AR931" s="63"/>
      <c r="AS931" s="63"/>
      <c r="AT931" s="63"/>
      <c r="AU931" s="63"/>
      <c r="AV931" s="63"/>
      <c r="AW931" s="63"/>
      <c r="AX931" s="63"/>
      <c r="AY931" s="63"/>
      <c r="AZ931" s="63"/>
      <c r="BA931" s="63"/>
      <c r="BB931" s="63"/>
      <c r="BC931" s="63"/>
      <c r="BD931" s="63"/>
      <c r="BE931" s="63"/>
      <c r="BF931" s="63"/>
      <c r="BG931" s="63"/>
      <c r="BH931" s="63"/>
      <c r="BI931" s="63"/>
      <c r="BJ931" s="63"/>
      <c r="BK931" s="63"/>
      <c r="BL931" s="63"/>
      <c r="BM931" s="63"/>
      <c r="BN931" s="63"/>
      <c r="BO931" s="63"/>
      <c r="BP931" s="63"/>
      <c r="BQ931" s="63"/>
      <c r="BR931" s="63"/>
      <c r="BS931" s="63"/>
      <c r="BT931" s="63"/>
      <c r="BU931" s="63"/>
      <c r="BV931" s="63"/>
      <c r="BW931" s="63"/>
    </row>
    <row r="932" spans="1:75" x14ac:dyDescent="0.2">
      <c r="A932" s="63" t="str">
        <f t="shared" si="177"/>
        <v/>
      </c>
      <c r="B932" s="182"/>
      <c r="C932" s="74"/>
      <c r="D932" s="74"/>
      <c r="E932" s="74"/>
      <c r="F932" s="181"/>
      <c r="G932" s="69"/>
      <c r="AB932" s="150">
        <f t="shared" si="168"/>
        <v>0</v>
      </c>
      <c r="AC932" s="150">
        <f t="shared" si="169"/>
        <v>0</v>
      </c>
      <c r="AD932" s="98" t="str">
        <f t="shared" si="178"/>
        <v>0000000000</v>
      </c>
      <c r="AE932" s="151">
        <f t="shared" si="171"/>
        <v>0</v>
      </c>
      <c r="AF932" s="98" t="str">
        <f t="shared" si="172"/>
        <v>00</v>
      </c>
      <c r="AG932" s="98" t="str">
        <f t="shared" si="179"/>
        <v>000000000000</v>
      </c>
      <c r="AH932" s="161" t="str">
        <f t="shared" si="173"/>
        <v xml:space="preserve">                    </v>
      </c>
      <c r="AI932" s="154">
        <f t="shared" si="174"/>
        <v>0</v>
      </c>
      <c r="AJ932" s="155">
        <f t="shared" si="175"/>
        <v>0</v>
      </c>
      <c r="AP932" s="63" t="str">
        <f t="shared" si="176"/>
        <v/>
      </c>
      <c r="AQ932" s="63" t="str">
        <f t="shared" si="170"/>
        <v xml:space="preserve">                    </v>
      </c>
      <c r="AR932" s="63"/>
      <c r="AS932" s="63"/>
      <c r="AT932" s="63"/>
      <c r="AU932" s="63"/>
      <c r="AV932" s="63"/>
      <c r="AW932" s="63"/>
      <c r="AX932" s="63"/>
      <c r="AY932" s="63"/>
      <c r="AZ932" s="63"/>
      <c r="BA932" s="63"/>
      <c r="BB932" s="63"/>
      <c r="BC932" s="63"/>
      <c r="BD932" s="63"/>
      <c r="BE932" s="63"/>
      <c r="BF932" s="63"/>
      <c r="BG932" s="63"/>
      <c r="BH932" s="63"/>
      <c r="BI932" s="63"/>
      <c r="BJ932" s="63"/>
      <c r="BK932" s="63"/>
      <c r="BL932" s="63"/>
      <c r="BM932" s="63"/>
      <c r="BN932" s="63"/>
      <c r="BO932" s="63"/>
      <c r="BP932" s="63"/>
      <c r="BQ932" s="63"/>
      <c r="BR932" s="63"/>
      <c r="BS932" s="63"/>
      <c r="BT932" s="63"/>
      <c r="BU932" s="63"/>
      <c r="BV932" s="63"/>
      <c r="BW932" s="63"/>
    </row>
    <row r="933" spans="1:75" x14ac:dyDescent="0.2">
      <c r="A933" s="63" t="str">
        <f t="shared" si="177"/>
        <v/>
      </c>
      <c r="B933" s="182"/>
      <c r="C933" s="74"/>
      <c r="D933" s="74"/>
      <c r="E933" s="74"/>
      <c r="F933" s="181"/>
      <c r="G933" s="69"/>
      <c r="AB933" s="150">
        <f t="shared" si="168"/>
        <v>0</v>
      </c>
      <c r="AC933" s="150">
        <f t="shared" si="169"/>
        <v>0</v>
      </c>
      <c r="AD933" s="98" t="str">
        <f t="shared" si="178"/>
        <v>0000000000</v>
      </c>
      <c r="AE933" s="151">
        <f t="shared" si="171"/>
        <v>0</v>
      </c>
      <c r="AF933" s="98" t="str">
        <f t="shared" si="172"/>
        <v>00</v>
      </c>
      <c r="AG933" s="98" t="str">
        <f t="shared" si="179"/>
        <v>000000000000</v>
      </c>
      <c r="AH933" s="161" t="str">
        <f t="shared" si="173"/>
        <v xml:space="preserve">                    </v>
      </c>
      <c r="AI933" s="154">
        <f t="shared" si="174"/>
        <v>0</v>
      </c>
      <c r="AJ933" s="155">
        <f t="shared" si="175"/>
        <v>0</v>
      </c>
      <c r="AP933" s="63" t="str">
        <f t="shared" si="176"/>
        <v/>
      </c>
      <c r="AQ933" s="63" t="str">
        <f t="shared" si="170"/>
        <v xml:space="preserve">                    </v>
      </c>
      <c r="AR933" s="63"/>
      <c r="AS933" s="63"/>
      <c r="AT933" s="63"/>
      <c r="AU933" s="63"/>
      <c r="AV933" s="63"/>
      <c r="AW933" s="63"/>
      <c r="AX933" s="63"/>
      <c r="AY933" s="63"/>
      <c r="AZ933" s="63"/>
      <c r="BA933" s="63"/>
      <c r="BB933" s="63"/>
      <c r="BC933" s="63"/>
      <c r="BD933" s="63"/>
      <c r="BE933" s="63"/>
      <c r="BF933" s="63"/>
      <c r="BG933" s="63"/>
      <c r="BH933" s="63"/>
      <c r="BI933" s="63"/>
      <c r="BJ933" s="63"/>
      <c r="BK933" s="63"/>
      <c r="BL933" s="63"/>
      <c r="BM933" s="63"/>
      <c r="BN933" s="63"/>
      <c r="BO933" s="63"/>
      <c r="BP933" s="63"/>
      <c r="BQ933" s="63"/>
      <c r="BR933" s="63"/>
      <c r="BS933" s="63"/>
      <c r="BT933" s="63"/>
      <c r="BU933" s="63"/>
      <c r="BV933" s="63"/>
      <c r="BW933" s="63"/>
    </row>
    <row r="934" spans="1:75" x14ac:dyDescent="0.2">
      <c r="A934" s="63" t="str">
        <f t="shared" si="177"/>
        <v/>
      </c>
      <c r="B934" s="182"/>
      <c r="C934" s="74"/>
      <c r="D934" s="74"/>
      <c r="E934" s="74"/>
      <c r="F934" s="181"/>
      <c r="G934" s="69"/>
      <c r="AB934" s="150">
        <f t="shared" si="168"/>
        <v>0</v>
      </c>
      <c r="AC934" s="150">
        <f t="shared" si="169"/>
        <v>0</v>
      </c>
      <c r="AD934" s="98" t="str">
        <f t="shared" si="178"/>
        <v>0000000000</v>
      </c>
      <c r="AE934" s="151">
        <f t="shared" si="171"/>
        <v>0</v>
      </c>
      <c r="AF934" s="98" t="str">
        <f t="shared" si="172"/>
        <v>00</v>
      </c>
      <c r="AG934" s="98" t="str">
        <f t="shared" si="179"/>
        <v>000000000000</v>
      </c>
      <c r="AH934" s="161" t="str">
        <f t="shared" si="173"/>
        <v xml:space="preserve">                    </v>
      </c>
      <c r="AI934" s="154">
        <f t="shared" si="174"/>
        <v>0</v>
      </c>
      <c r="AJ934" s="155">
        <f t="shared" si="175"/>
        <v>0</v>
      </c>
      <c r="AP934" s="63" t="str">
        <f t="shared" si="176"/>
        <v/>
      </c>
      <c r="AQ934" s="63" t="str">
        <f t="shared" si="170"/>
        <v xml:space="preserve">                    </v>
      </c>
      <c r="AR934" s="63"/>
      <c r="AS934" s="63"/>
      <c r="AT934" s="63"/>
      <c r="AU934" s="63"/>
      <c r="AV934" s="63"/>
      <c r="AW934" s="63"/>
      <c r="AX934" s="63"/>
      <c r="AY934" s="63"/>
      <c r="AZ934" s="63"/>
      <c r="BA934" s="63"/>
      <c r="BB934" s="63"/>
      <c r="BC934" s="63"/>
      <c r="BD934" s="63"/>
      <c r="BE934" s="63"/>
      <c r="BF934" s="63"/>
      <c r="BG934" s="63"/>
      <c r="BH934" s="63"/>
      <c r="BI934" s="63"/>
      <c r="BJ934" s="63"/>
      <c r="BK934" s="63"/>
      <c r="BL934" s="63"/>
      <c r="BM934" s="63"/>
      <c r="BN934" s="63"/>
      <c r="BO934" s="63"/>
      <c r="BP934" s="63"/>
      <c r="BQ934" s="63"/>
      <c r="BR934" s="63"/>
      <c r="BS934" s="63"/>
      <c r="BT934" s="63"/>
      <c r="BU934" s="63"/>
      <c r="BV934" s="63"/>
      <c r="BW934" s="63"/>
    </row>
    <row r="935" spans="1:75" x14ac:dyDescent="0.2">
      <c r="A935" s="63" t="str">
        <f t="shared" si="177"/>
        <v/>
      </c>
      <c r="B935" s="182"/>
      <c r="C935" s="74"/>
      <c r="D935" s="74"/>
      <c r="E935" s="74"/>
      <c r="F935" s="181"/>
      <c r="G935" s="69"/>
      <c r="AB935" s="150">
        <f t="shared" si="168"/>
        <v>0</v>
      </c>
      <c r="AC935" s="150">
        <f t="shared" si="169"/>
        <v>0</v>
      </c>
      <c r="AD935" s="98" t="str">
        <f t="shared" si="178"/>
        <v>0000000000</v>
      </c>
      <c r="AE935" s="151">
        <f t="shared" si="171"/>
        <v>0</v>
      </c>
      <c r="AF935" s="98" t="str">
        <f t="shared" si="172"/>
        <v>00</v>
      </c>
      <c r="AG935" s="98" t="str">
        <f t="shared" si="179"/>
        <v>000000000000</v>
      </c>
      <c r="AH935" s="161" t="str">
        <f t="shared" si="173"/>
        <v xml:space="preserve">                    </v>
      </c>
      <c r="AI935" s="154">
        <f t="shared" si="174"/>
        <v>0</v>
      </c>
      <c r="AJ935" s="155">
        <f t="shared" si="175"/>
        <v>0</v>
      </c>
      <c r="AP935" s="63" t="str">
        <f t="shared" si="176"/>
        <v/>
      </c>
      <c r="AQ935" s="63" t="str">
        <f t="shared" si="170"/>
        <v xml:space="preserve">                    </v>
      </c>
      <c r="AR935" s="63"/>
      <c r="AS935" s="63"/>
      <c r="AT935" s="63"/>
      <c r="AU935" s="63"/>
      <c r="AV935" s="63"/>
      <c r="AW935" s="63"/>
      <c r="AX935" s="63"/>
      <c r="AY935" s="63"/>
      <c r="AZ935" s="63"/>
      <c r="BA935" s="63"/>
      <c r="BB935" s="63"/>
      <c r="BC935" s="63"/>
      <c r="BD935" s="63"/>
      <c r="BE935" s="63"/>
      <c r="BF935" s="63"/>
      <c r="BG935" s="63"/>
      <c r="BH935" s="63"/>
      <c r="BI935" s="63"/>
      <c r="BJ935" s="63"/>
      <c r="BK935" s="63"/>
      <c r="BL935" s="63"/>
      <c r="BM935" s="63"/>
      <c r="BN935" s="63"/>
      <c r="BO935" s="63"/>
      <c r="BP935" s="63"/>
      <c r="BQ935" s="63"/>
      <c r="BR935" s="63"/>
      <c r="BS935" s="63"/>
      <c r="BT935" s="63"/>
      <c r="BU935" s="63"/>
      <c r="BV935" s="63"/>
      <c r="BW935" s="63"/>
    </row>
    <row r="936" spans="1:75" x14ac:dyDescent="0.2">
      <c r="A936" s="63" t="str">
        <f t="shared" si="177"/>
        <v/>
      </c>
      <c r="B936" s="182"/>
      <c r="C936" s="74"/>
      <c r="D936" s="74"/>
      <c r="E936" s="74"/>
      <c r="F936" s="181"/>
      <c r="G936" s="69"/>
      <c r="AB936" s="150">
        <f t="shared" si="168"/>
        <v>0</v>
      </c>
      <c r="AC936" s="150">
        <f t="shared" si="169"/>
        <v>0</v>
      </c>
      <c r="AD936" s="98" t="str">
        <f t="shared" si="178"/>
        <v>0000000000</v>
      </c>
      <c r="AE936" s="151">
        <f t="shared" si="171"/>
        <v>0</v>
      </c>
      <c r="AF936" s="98" t="str">
        <f t="shared" si="172"/>
        <v>00</v>
      </c>
      <c r="AG936" s="98" t="str">
        <f t="shared" si="179"/>
        <v>000000000000</v>
      </c>
      <c r="AH936" s="161" t="str">
        <f t="shared" si="173"/>
        <v xml:space="preserve">                    </v>
      </c>
      <c r="AI936" s="154">
        <f t="shared" si="174"/>
        <v>0</v>
      </c>
      <c r="AJ936" s="155">
        <f t="shared" si="175"/>
        <v>0</v>
      </c>
      <c r="AP936" s="63" t="str">
        <f t="shared" si="176"/>
        <v/>
      </c>
      <c r="AQ936" s="63" t="str">
        <f t="shared" si="170"/>
        <v xml:space="preserve">                    </v>
      </c>
      <c r="AR936" s="63"/>
      <c r="AS936" s="63"/>
      <c r="AT936" s="63"/>
      <c r="AU936" s="63"/>
      <c r="AV936" s="63"/>
      <c r="AW936" s="63"/>
      <c r="AX936" s="63"/>
      <c r="AY936" s="63"/>
      <c r="AZ936" s="63"/>
      <c r="BA936" s="63"/>
      <c r="BB936" s="63"/>
      <c r="BC936" s="63"/>
      <c r="BD936" s="63"/>
      <c r="BE936" s="63"/>
      <c r="BF936" s="63"/>
      <c r="BG936" s="63"/>
      <c r="BH936" s="63"/>
      <c r="BI936" s="63"/>
      <c r="BJ936" s="63"/>
      <c r="BK936" s="63"/>
      <c r="BL936" s="63"/>
      <c r="BM936" s="63"/>
      <c r="BN936" s="63"/>
      <c r="BO936" s="63"/>
      <c r="BP936" s="63"/>
      <c r="BQ936" s="63"/>
      <c r="BR936" s="63"/>
      <c r="BS936" s="63"/>
      <c r="BT936" s="63"/>
      <c r="BU936" s="63"/>
      <c r="BV936" s="63"/>
      <c r="BW936" s="63"/>
    </row>
    <row r="937" spans="1:75" x14ac:dyDescent="0.2">
      <c r="A937" s="63" t="str">
        <f t="shared" si="177"/>
        <v/>
      </c>
      <c r="B937" s="182"/>
      <c r="C937" s="74"/>
      <c r="D937" s="74"/>
      <c r="E937" s="74"/>
      <c r="F937" s="181"/>
      <c r="G937" s="69"/>
      <c r="AB937" s="150">
        <f t="shared" si="168"/>
        <v>0</v>
      </c>
      <c r="AC937" s="150">
        <f t="shared" si="169"/>
        <v>0</v>
      </c>
      <c r="AD937" s="98" t="str">
        <f t="shared" si="178"/>
        <v>0000000000</v>
      </c>
      <c r="AE937" s="151">
        <f t="shared" si="171"/>
        <v>0</v>
      </c>
      <c r="AF937" s="98" t="str">
        <f t="shared" si="172"/>
        <v>00</v>
      </c>
      <c r="AG937" s="98" t="str">
        <f t="shared" si="179"/>
        <v>000000000000</v>
      </c>
      <c r="AH937" s="161" t="str">
        <f t="shared" si="173"/>
        <v xml:space="preserve">                    </v>
      </c>
      <c r="AI937" s="154">
        <f t="shared" si="174"/>
        <v>0</v>
      </c>
      <c r="AJ937" s="155">
        <f t="shared" si="175"/>
        <v>0</v>
      </c>
      <c r="AP937" s="63" t="str">
        <f t="shared" si="176"/>
        <v/>
      </c>
      <c r="AQ937" s="63" t="str">
        <f t="shared" si="170"/>
        <v xml:space="preserve">                    </v>
      </c>
      <c r="AR937" s="63"/>
      <c r="AS937" s="63"/>
      <c r="AT937" s="63"/>
      <c r="AU937" s="63"/>
      <c r="AV937" s="63"/>
      <c r="AW937" s="63"/>
      <c r="AX937" s="63"/>
      <c r="AY937" s="63"/>
      <c r="AZ937" s="63"/>
      <c r="BA937" s="63"/>
      <c r="BB937" s="63"/>
      <c r="BC937" s="63"/>
      <c r="BD937" s="63"/>
      <c r="BE937" s="63"/>
      <c r="BF937" s="63"/>
      <c r="BG937" s="63"/>
      <c r="BH937" s="63"/>
      <c r="BI937" s="63"/>
      <c r="BJ937" s="63"/>
      <c r="BK937" s="63"/>
      <c r="BL937" s="63"/>
      <c r="BM937" s="63"/>
      <c r="BN937" s="63"/>
      <c r="BO937" s="63"/>
      <c r="BP937" s="63"/>
      <c r="BQ937" s="63"/>
      <c r="BR937" s="63"/>
      <c r="BS937" s="63"/>
      <c r="BT937" s="63"/>
      <c r="BU937" s="63"/>
      <c r="BV937" s="63"/>
      <c r="BW937" s="63"/>
    </row>
    <row r="938" spans="1:75" x14ac:dyDescent="0.2">
      <c r="A938" s="63" t="str">
        <f t="shared" si="177"/>
        <v/>
      </c>
      <c r="B938" s="182"/>
      <c r="C938" s="74"/>
      <c r="D938" s="74"/>
      <c r="E938" s="74"/>
      <c r="F938" s="181"/>
      <c r="G938" s="69"/>
      <c r="AB938" s="150">
        <f t="shared" si="168"/>
        <v>0</v>
      </c>
      <c r="AC938" s="150">
        <f t="shared" si="169"/>
        <v>0</v>
      </c>
      <c r="AD938" s="98" t="str">
        <f t="shared" si="178"/>
        <v>0000000000</v>
      </c>
      <c r="AE938" s="151">
        <f t="shared" si="171"/>
        <v>0</v>
      </c>
      <c r="AF938" s="98" t="str">
        <f t="shared" si="172"/>
        <v>00</v>
      </c>
      <c r="AG938" s="98" t="str">
        <f t="shared" si="179"/>
        <v>000000000000</v>
      </c>
      <c r="AH938" s="161" t="str">
        <f t="shared" si="173"/>
        <v xml:space="preserve">                    </v>
      </c>
      <c r="AI938" s="154">
        <f t="shared" si="174"/>
        <v>0</v>
      </c>
      <c r="AJ938" s="155">
        <f t="shared" si="175"/>
        <v>0</v>
      </c>
      <c r="AP938" s="63" t="str">
        <f t="shared" si="176"/>
        <v/>
      </c>
      <c r="AQ938" s="63" t="str">
        <f t="shared" si="170"/>
        <v xml:space="preserve">                    </v>
      </c>
      <c r="AR938" s="63"/>
      <c r="AS938" s="63"/>
      <c r="AT938" s="63"/>
      <c r="AU938" s="63"/>
      <c r="AV938" s="63"/>
      <c r="AW938" s="63"/>
      <c r="AX938" s="63"/>
      <c r="AY938" s="63"/>
      <c r="AZ938" s="63"/>
      <c r="BA938" s="63"/>
      <c r="BB938" s="63"/>
      <c r="BC938" s="63"/>
      <c r="BD938" s="63"/>
      <c r="BE938" s="63"/>
      <c r="BF938" s="63"/>
      <c r="BG938" s="63"/>
      <c r="BH938" s="63"/>
      <c r="BI938" s="63"/>
      <c r="BJ938" s="63"/>
      <c r="BK938" s="63"/>
      <c r="BL938" s="63"/>
      <c r="BM938" s="63"/>
      <c r="BN938" s="63"/>
      <c r="BO938" s="63"/>
      <c r="BP938" s="63"/>
      <c r="BQ938" s="63"/>
      <c r="BR938" s="63"/>
      <c r="BS938" s="63"/>
      <c r="BT938" s="63"/>
      <c r="BU938" s="63"/>
      <c r="BV938" s="63"/>
      <c r="BW938" s="63"/>
    </row>
    <row r="939" spans="1:75" x14ac:dyDescent="0.2">
      <c r="A939" s="63" t="str">
        <f t="shared" si="177"/>
        <v/>
      </c>
      <c r="B939" s="182"/>
      <c r="C939" s="74"/>
      <c r="D939" s="74"/>
      <c r="E939" s="74"/>
      <c r="F939" s="181"/>
      <c r="G939" s="69"/>
      <c r="AB939" s="150">
        <f t="shared" si="168"/>
        <v>0</v>
      </c>
      <c r="AC939" s="150">
        <f t="shared" si="169"/>
        <v>0</v>
      </c>
      <c r="AD939" s="98" t="str">
        <f t="shared" si="178"/>
        <v>0000000000</v>
      </c>
      <c r="AE939" s="151">
        <f t="shared" si="171"/>
        <v>0</v>
      </c>
      <c r="AF939" s="98" t="str">
        <f t="shared" si="172"/>
        <v>00</v>
      </c>
      <c r="AG939" s="98" t="str">
        <f t="shared" si="179"/>
        <v>000000000000</v>
      </c>
      <c r="AH939" s="161" t="str">
        <f t="shared" si="173"/>
        <v xml:space="preserve">                    </v>
      </c>
      <c r="AI939" s="154">
        <f t="shared" si="174"/>
        <v>0</v>
      </c>
      <c r="AJ939" s="155">
        <f t="shared" si="175"/>
        <v>0</v>
      </c>
      <c r="AP939" s="63" t="str">
        <f t="shared" si="176"/>
        <v/>
      </c>
      <c r="AQ939" s="63" t="str">
        <f t="shared" si="170"/>
        <v xml:space="preserve">                    </v>
      </c>
      <c r="AR939" s="63"/>
      <c r="AS939" s="63"/>
      <c r="AT939" s="63"/>
      <c r="AU939" s="63"/>
      <c r="AV939" s="63"/>
      <c r="AW939" s="63"/>
      <c r="AX939" s="63"/>
      <c r="AY939" s="63"/>
      <c r="AZ939" s="63"/>
      <c r="BA939" s="63"/>
      <c r="BB939" s="63"/>
      <c r="BC939" s="63"/>
      <c r="BD939" s="63"/>
      <c r="BE939" s="63"/>
      <c r="BF939" s="63"/>
      <c r="BG939" s="63"/>
      <c r="BH939" s="63"/>
      <c r="BI939" s="63"/>
      <c r="BJ939" s="63"/>
      <c r="BK939" s="63"/>
      <c r="BL939" s="63"/>
      <c r="BM939" s="63"/>
      <c r="BN939" s="63"/>
      <c r="BO939" s="63"/>
      <c r="BP939" s="63"/>
      <c r="BQ939" s="63"/>
      <c r="BR939" s="63"/>
      <c r="BS939" s="63"/>
      <c r="BT939" s="63"/>
      <c r="BU939" s="63"/>
      <c r="BV939" s="63"/>
      <c r="BW939" s="63"/>
    </row>
    <row r="940" spans="1:75" x14ac:dyDescent="0.2">
      <c r="A940" s="63" t="str">
        <f t="shared" si="177"/>
        <v/>
      </c>
      <c r="B940" s="182"/>
      <c r="C940" s="74"/>
      <c r="D940" s="74"/>
      <c r="E940" s="74"/>
      <c r="F940" s="181"/>
      <c r="G940" s="69"/>
      <c r="AB940" s="150">
        <f t="shared" si="168"/>
        <v>0</v>
      </c>
      <c r="AC940" s="150">
        <f t="shared" si="169"/>
        <v>0</v>
      </c>
      <c r="AD940" s="98" t="str">
        <f t="shared" si="178"/>
        <v>0000000000</v>
      </c>
      <c r="AE940" s="151">
        <f t="shared" si="171"/>
        <v>0</v>
      </c>
      <c r="AF940" s="98" t="str">
        <f t="shared" si="172"/>
        <v>00</v>
      </c>
      <c r="AG940" s="98" t="str">
        <f t="shared" si="179"/>
        <v>000000000000</v>
      </c>
      <c r="AH940" s="161" t="str">
        <f t="shared" si="173"/>
        <v xml:space="preserve">                    </v>
      </c>
      <c r="AI940" s="154">
        <f t="shared" si="174"/>
        <v>0</v>
      </c>
      <c r="AJ940" s="155">
        <f t="shared" si="175"/>
        <v>0</v>
      </c>
      <c r="AP940" s="63" t="str">
        <f t="shared" si="176"/>
        <v/>
      </c>
      <c r="AQ940" s="63" t="str">
        <f t="shared" si="170"/>
        <v xml:space="preserve">                    </v>
      </c>
      <c r="AR940" s="63"/>
      <c r="AS940" s="63"/>
      <c r="AT940" s="63"/>
      <c r="AU940" s="63"/>
      <c r="AV940" s="63"/>
      <c r="AW940" s="63"/>
      <c r="AX940" s="63"/>
      <c r="AY940" s="63"/>
      <c r="AZ940" s="63"/>
      <c r="BA940" s="63"/>
      <c r="BB940" s="63"/>
      <c r="BC940" s="63"/>
      <c r="BD940" s="63"/>
      <c r="BE940" s="63"/>
      <c r="BF940" s="63"/>
      <c r="BG940" s="63"/>
      <c r="BH940" s="63"/>
      <c r="BI940" s="63"/>
      <c r="BJ940" s="63"/>
      <c r="BK940" s="63"/>
      <c r="BL940" s="63"/>
      <c r="BM940" s="63"/>
      <c r="BN940" s="63"/>
      <c r="BO940" s="63"/>
      <c r="BP940" s="63"/>
      <c r="BQ940" s="63"/>
      <c r="BR940" s="63"/>
      <c r="BS940" s="63"/>
      <c r="BT940" s="63"/>
      <c r="BU940" s="63"/>
      <c r="BV940" s="63"/>
      <c r="BW940" s="63"/>
    </row>
    <row r="941" spans="1:75" x14ac:dyDescent="0.2">
      <c r="A941" s="63" t="str">
        <f t="shared" si="177"/>
        <v/>
      </c>
      <c r="B941" s="182"/>
      <c r="C941" s="74"/>
      <c r="D941" s="74"/>
      <c r="E941" s="74"/>
      <c r="F941" s="181"/>
      <c r="G941" s="69"/>
      <c r="AB941" s="150">
        <f t="shared" si="168"/>
        <v>0</v>
      </c>
      <c r="AC941" s="150">
        <f t="shared" si="169"/>
        <v>0</v>
      </c>
      <c r="AD941" s="98" t="str">
        <f t="shared" si="178"/>
        <v>0000000000</v>
      </c>
      <c r="AE941" s="151">
        <f t="shared" si="171"/>
        <v>0</v>
      </c>
      <c r="AF941" s="98" t="str">
        <f t="shared" si="172"/>
        <v>00</v>
      </c>
      <c r="AG941" s="98" t="str">
        <f t="shared" si="179"/>
        <v>000000000000</v>
      </c>
      <c r="AH941" s="161" t="str">
        <f t="shared" si="173"/>
        <v xml:space="preserve">                    </v>
      </c>
      <c r="AI941" s="154">
        <f t="shared" si="174"/>
        <v>0</v>
      </c>
      <c r="AJ941" s="155">
        <f t="shared" si="175"/>
        <v>0</v>
      </c>
      <c r="AP941" s="63" t="str">
        <f t="shared" si="176"/>
        <v/>
      </c>
      <c r="AQ941" s="63" t="str">
        <f t="shared" si="170"/>
        <v xml:space="preserve">                    </v>
      </c>
      <c r="AR941" s="63"/>
      <c r="AS941" s="63"/>
      <c r="AT941" s="63"/>
      <c r="AU941" s="63"/>
      <c r="AV941" s="63"/>
      <c r="AW941" s="63"/>
      <c r="AX941" s="63"/>
      <c r="AY941" s="63"/>
      <c r="AZ941" s="63"/>
      <c r="BA941" s="63"/>
      <c r="BB941" s="63"/>
      <c r="BC941" s="63"/>
      <c r="BD941" s="63"/>
      <c r="BE941" s="63"/>
      <c r="BF941" s="63"/>
      <c r="BG941" s="63"/>
      <c r="BH941" s="63"/>
      <c r="BI941" s="63"/>
      <c r="BJ941" s="63"/>
      <c r="BK941" s="63"/>
      <c r="BL941" s="63"/>
      <c r="BM941" s="63"/>
      <c r="BN941" s="63"/>
      <c r="BO941" s="63"/>
      <c r="BP941" s="63"/>
      <c r="BQ941" s="63"/>
      <c r="BR941" s="63"/>
      <c r="BS941" s="63"/>
      <c r="BT941" s="63"/>
      <c r="BU941" s="63"/>
      <c r="BV941" s="63"/>
      <c r="BW941" s="63"/>
    </row>
    <row r="942" spans="1:75" x14ac:dyDescent="0.2">
      <c r="A942" s="63" t="str">
        <f t="shared" si="177"/>
        <v/>
      </c>
      <c r="B942" s="182"/>
      <c r="C942" s="74"/>
      <c r="D942" s="74"/>
      <c r="E942" s="74"/>
      <c r="F942" s="181"/>
      <c r="G942" s="69"/>
      <c r="AB942" s="150">
        <f t="shared" si="168"/>
        <v>0</v>
      </c>
      <c r="AC942" s="150">
        <f t="shared" si="169"/>
        <v>0</v>
      </c>
      <c r="AD942" s="98" t="str">
        <f t="shared" si="178"/>
        <v>0000000000</v>
      </c>
      <c r="AE942" s="151">
        <f t="shared" si="171"/>
        <v>0</v>
      </c>
      <c r="AF942" s="98" t="str">
        <f t="shared" si="172"/>
        <v>00</v>
      </c>
      <c r="AG942" s="98" t="str">
        <f t="shared" si="179"/>
        <v>000000000000</v>
      </c>
      <c r="AH942" s="161" t="str">
        <f t="shared" si="173"/>
        <v xml:space="preserve">                    </v>
      </c>
      <c r="AI942" s="154">
        <f t="shared" si="174"/>
        <v>0</v>
      </c>
      <c r="AJ942" s="155">
        <f t="shared" si="175"/>
        <v>0</v>
      </c>
      <c r="AP942" s="63" t="str">
        <f t="shared" si="176"/>
        <v/>
      </c>
      <c r="AQ942" s="63" t="str">
        <f t="shared" si="170"/>
        <v xml:space="preserve">                    </v>
      </c>
      <c r="AR942" s="63"/>
      <c r="AS942" s="63"/>
      <c r="AT942" s="63"/>
      <c r="AU942" s="63"/>
      <c r="AV942" s="63"/>
      <c r="AW942" s="63"/>
      <c r="AX942" s="63"/>
      <c r="AY942" s="63"/>
      <c r="AZ942" s="63"/>
      <c r="BA942" s="63"/>
      <c r="BB942" s="63"/>
      <c r="BC942" s="63"/>
      <c r="BD942" s="63"/>
      <c r="BE942" s="63"/>
      <c r="BF942" s="63"/>
      <c r="BG942" s="63"/>
      <c r="BH942" s="63"/>
      <c r="BI942" s="63"/>
      <c r="BJ942" s="63"/>
      <c r="BK942" s="63"/>
      <c r="BL942" s="63"/>
      <c r="BM942" s="63"/>
      <c r="BN942" s="63"/>
      <c r="BO942" s="63"/>
      <c r="BP942" s="63"/>
      <c r="BQ942" s="63"/>
      <c r="BR942" s="63"/>
      <c r="BS942" s="63"/>
      <c r="BT942" s="63"/>
      <c r="BU942" s="63"/>
      <c r="BV942" s="63"/>
      <c r="BW942" s="63"/>
    </row>
    <row r="943" spans="1:75" x14ac:dyDescent="0.2">
      <c r="A943" s="63" t="str">
        <f t="shared" si="177"/>
        <v/>
      </c>
      <c r="B943" s="182"/>
      <c r="C943" s="74"/>
      <c r="D943" s="74"/>
      <c r="E943" s="74"/>
      <c r="F943" s="181"/>
      <c r="G943" s="69"/>
      <c r="AB943" s="150">
        <f t="shared" si="168"/>
        <v>0</v>
      </c>
      <c r="AC943" s="150">
        <f t="shared" si="169"/>
        <v>0</v>
      </c>
      <c r="AD943" s="98" t="str">
        <f t="shared" si="178"/>
        <v>0000000000</v>
      </c>
      <c r="AE943" s="151">
        <f t="shared" si="171"/>
        <v>0</v>
      </c>
      <c r="AF943" s="98" t="str">
        <f t="shared" si="172"/>
        <v>00</v>
      </c>
      <c r="AG943" s="98" t="str">
        <f t="shared" si="179"/>
        <v>000000000000</v>
      </c>
      <c r="AH943" s="161" t="str">
        <f t="shared" si="173"/>
        <v xml:space="preserve">                    </v>
      </c>
      <c r="AI943" s="154">
        <f t="shared" si="174"/>
        <v>0</v>
      </c>
      <c r="AJ943" s="155">
        <f t="shared" si="175"/>
        <v>0</v>
      </c>
      <c r="AP943" s="63" t="str">
        <f t="shared" si="176"/>
        <v/>
      </c>
      <c r="AQ943" s="63" t="str">
        <f t="shared" si="170"/>
        <v xml:space="preserve">                    </v>
      </c>
      <c r="AR943" s="63"/>
      <c r="AS943" s="63"/>
      <c r="AT943" s="63"/>
      <c r="AU943" s="63"/>
      <c r="AV943" s="63"/>
      <c r="AW943" s="63"/>
      <c r="AX943" s="63"/>
      <c r="AY943" s="63"/>
      <c r="AZ943" s="63"/>
      <c r="BA943" s="63"/>
      <c r="BB943" s="63"/>
      <c r="BC943" s="63"/>
      <c r="BD943" s="63"/>
      <c r="BE943" s="63"/>
      <c r="BF943" s="63"/>
      <c r="BG943" s="63"/>
      <c r="BH943" s="63"/>
      <c r="BI943" s="63"/>
      <c r="BJ943" s="63"/>
      <c r="BK943" s="63"/>
      <c r="BL943" s="63"/>
      <c r="BM943" s="63"/>
      <c r="BN943" s="63"/>
      <c r="BO943" s="63"/>
      <c r="BP943" s="63"/>
      <c r="BQ943" s="63"/>
      <c r="BR943" s="63"/>
      <c r="BS943" s="63"/>
      <c r="BT943" s="63"/>
      <c r="BU943" s="63"/>
      <c r="BV943" s="63"/>
      <c r="BW943" s="63"/>
    </row>
    <row r="944" spans="1:75" x14ac:dyDescent="0.2">
      <c r="A944" s="63" t="str">
        <f t="shared" si="177"/>
        <v/>
      </c>
      <c r="B944" s="182"/>
      <c r="C944" s="74"/>
      <c r="D944" s="74"/>
      <c r="E944" s="74"/>
      <c r="F944" s="181"/>
      <c r="G944" s="69"/>
      <c r="AB944" s="150">
        <f t="shared" si="168"/>
        <v>0</v>
      </c>
      <c r="AC944" s="150">
        <f t="shared" si="169"/>
        <v>0</v>
      </c>
      <c r="AD944" s="98" t="str">
        <f t="shared" si="178"/>
        <v>0000000000</v>
      </c>
      <c r="AE944" s="151">
        <f t="shared" si="171"/>
        <v>0</v>
      </c>
      <c r="AF944" s="98" t="str">
        <f t="shared" si="172"/>
        <v>00</v>
      </c>
      <c r="AG944" s="98" t="str">
        <f t="shared" si="179"/>
        <v>000000000000</v>
      </c>
      <c r="AH944" s="161" t="str">
        <f t="shared" si="173"/>
        <v xml:space="preserve">                    </v>
      </c>
      <c r="AI944" s="154">
        <f t="shared" si="174"/>
        <v>0</v>
      </c>
      <c r="AJ944" s="155">
        <f t="shared" si="175"/>
        <v>0</v>
      </c>
      <c r="AP944" s="63" t="str">
        <f t="shared" si="176"/>
        <v/>
      </c>
      <c r="AQ944" s="63" t="str">
        <f t="shared" si="170"/>
        <v xml:space="preserve">                    </v>
      </c>
      <c r="AR944" s="63"/>
      <c r="AS944" s="63"/>
      <c r="AT944" s="63"/>
      <c r="AU944" s="63"/>
      <c r="AV944" s="63"/>
      <c r="AW944" s="63"/>
      <c r="AX944" s="63"/>
      <c r="AY944" s="63"/>
      <c r="AZ944" s="63"/>
      <c r="BA944" s="63"/>
      <c r="BB944" s="63"/>
      <c r="BC944" s="63"/>
      <c r="BD944" s="63"/>
      <c r="BE944" s="63"/>
      <c r="BF944" s="63"/>
      <c r="BG944" s="63"/>
      <c r="BH944" s="63"/>
      <c r="BI944" s="63"/>
      <c r="BJ944" s="63"/>
      <c r="BK944" s="63"/>
      <c r="BL944" s="63"/>
      <c r="BM944" s="63"/>
      <c r="BN944" s="63"/>
      <c r="BO944" s="63"/>
      <c r="BP944" s="63"/>
      <c r="BQ944" s="63"/>
      <c r="BR944" s="63"/>
      <c r="BS944" s="63"/>
      <c r="BT944" s="63"/>
      <c r="BU944" s="63"/>
      <c r="BV944" s="63"/>
      <c r="BW944" s="63"/>
    </row>
    <row r="945" spans="1:75" x14ac:dyDescent="0.2">
      <c r="A945" s="63" t="str">
        <f t="shared" si="177"/>
        <v/>
      </c>
      <c r="B945" s="182"/>
      <c r="C945" s="74"/>
      <c r="D945" s="74"/>
      <c r="E945" s="74"/>
      <c r="F945" s="181"/>
      <c r="G945" s="69"/>
      <c r="AB945" s="150">
        <f t="shared" si="168"/>
        <v>0</v>
      </c>
      <c r="AC945" s="150">
        <f t="shared" si="169"/>
        <v>0</v>
      </c>
      <c r="AD945" s="98" t="str">
        <f t="shared" si="178"/>
        <v>0000000000</v>
      </c>
      <c r="AE945" s="151">
        <f t="shared" si="171"/>
        <v>0</v>
      </c>
      <c r="AF945" s="98" t="str">
        <f t="shared" si="172"/>
        <v>00</v>
      </c>
      <c r="AG945" s="98" t="str">
        <f t="shared" si="179"/>
        <v>000000000000</v>
      </c>
      <c r="AH945" s="161" t="str">
        <f t="shared" si="173"/>
        <v xml:space="preserve">                    </v>
      </c>
      <c r="AI945" s="154">
        <f t="shared" si="174"/>
        <v>0</v>
      </c>
      <c r="AJ945" s="155">
        <f t="shared" si="175"/>
        <v>0</v>
      </c>
      <c r="AP945" s="63" t="str">
        <f t="shared" si="176"/>
        <v/>
      </c>
      <c r="AQ945" s="63" t="str">
        <f t="shared" si="170"/>
        <v xml:space="preserve">                    </v>
      </c>
      <c r="AR945" s="63"/>
      <c r="AS945" s="63"/>
      <c r="AT945" s="63"/>
      <c r="AU945" s="63"/>
      <c r="AV945" s="63"/>
      <c r="AW945" s="63"/>
      <c r="AX945" s="63"/>
      <c r="AY945" s="63"/>
      <c r="AZ945" s="63"/>
      <c r="BA945" s="63"/>
      <c r="BB945" s="63"/>
      <c r="BC945" s="63"/>
      <c r="BD945" s="63"/>
      <c r="BE945" s="63"/>
      <c r="BF945" s="63"/>
      <c r="BG945" s="63"/>
      <c r="BH945" s="63"/>
      <c r="BI945" s="63"/>
      <c r="BJ945" s="63"/>
      <c r="BK945" s="63"/>
      <c r="BL945" s="63"/>
      <c r="BM945" s="63"/>
      <c r="BN945" s="63"/>
      <c r="BO945" s="63"/>
      <c r="BP945" s="63"/>
      <c r="BQ945" s="63"/>
      <c r="BR945" s="63"/>
      <c r="BS945" s="63"/>
      <c r="BT945" s="63"/>
      <c r="BU945" s="63"/>
      <c r="BV945" s="63"/>
      <c r="BW945" s="63"/>
    </row>
    <row r="946" spans="1:75" x14ac:dyDescent="0.2">
      <c r="A946" s="63" t="str">
        <f t="shared" si="177"/>
        <v/>
      </c>
      <c r="B946" s="182"/>
      <c r="C946" s="74"/>
      <c r="D946" s="74"/>
      <c r="E946" s="74"/>
      <c r="F946" s="181"/>
      <c r="G946" s="69"/>
      <c r="AB946" s="150">
        <f t="shared" si="168"/>
        <v>0</v>
      </c>
      <c r="AC946" s="150">
        <f t="shared" si="169"/>
        <v>0</v>
      </c>
      <c r="AD946" s="98" t="str">
        <f t="shared" si="178"/>
        <v>0000000000</v>
      </c>
      <c r="AE946" s="151">
        <f t="shared" si="171"/>
        <v>0</v>
      </c>
      <c r="AF946" s="98" t="str">
        <f t="shared" si="172"/>
        <v>00</v>
      </c>
      <c r="AG946" s="98" t="str">
        <f t="shared" si="179"/>
        <v>000000000000</v>
      </c>
      <c r="AH946" s="161" t="str">
        <f t="shared" si="173"/>
        <v xml:space="preserve">                    </v>
      </c>
      <c r="AI946" s="154">
        <f t="shared" si="174"/>
        <v>0</v>
      </c>
      <c r="AJ946" s="155">
        <f t="shared" si="175"/>
        <v>0</v>
      </c>
      <c r="AP946" s="63" t="str">
        <f t="shared" si="176"/>
        <v/>
      </c>
      <c r="AQ946" s="63" t="str">
        <f t="shared" si="170"/>
        <v xml:space="preserve">                    </v>
      </c>
      <c r="AR946" s="63"/>
      <c r="AS946" s="63"/>
      <c r="AT946" s="63"/>
      <c r="AU946" s="63"/>
      <c r="AV946" s="63"/>
      <c r="AW946" s="63"/>
      <c r="AX946" s="63"/>
      <c r="AY946" s="63"/>
      <c r="AZ946" s="63"/>
      <c r="BA946" s="63"/>
      <c r="BB946" s="63"/>
      <c r="BC946" s="63"/>
      <c r="BD946" s="63"/>
      <c r="BE946" s="63"/>
      <c r="BF946" s="63"/>
      <c r="BG946" s="63"/>
      <c r="BH946" s="63"/>
      <c r="BI946" s="63"/>
      <c r="BJ946" s="63"/>
      <c r="BK946" s="63"/>
      <c r="BL946" s="63"/>
      <c r="BM946" s="63"/>
      <c r="BN946" s="63"/>
      <c r="BO946" s="63"/>
      <c r="BP946" s="63"/>
      <c r="BQ946" s="63"/>
      <c r="BR946" s="63"/>
      <c r="BS946" s="63"/>
      <c r="BT946" s="63"/>
      <c r="BU946" s="63"/>
      <c r="BV946" s="63"/>
      <c r="BW946" s="63"/>
    </row>
    <row r="947" spans="1:75" x14ac:dyDescent="0.2">
      <c r="A947" s="63" t="str">
        <f t="shared" si="177"/>
        <v/>
      </c>
      <c r="B947" s="182"/>
      <c r="C947" s="74"/>
      <c r="D947" s="74"/>
      <c r="E947" s="74"/>
      <c r="F947" s="181"/>
      <c r="G947" s="69"/>
      <c r="AB947" s="150">
        <f t="shared" si="168"/>
        <v>0</v>
      </c>
      <c r="AC947" s="150">
        <f t="shared" si="169"/>
        <v>0</v>
      </c>
      <c r="AD947" s="98" t="str">
        <f t="shared" si="178"/>
        <v>0000000000</v>
      </c>
      <c r="AE947" s="151">
        <f t="shared" si="171"/>
        <v>0</v>
      </c>
      <c r="AF947" s="98" t="str">
        <f t="shared" si="172"/>
        <v>00</v>
      </c>
      <c r="AG947" s="98" t="str">
        <f t="shared" si="179"/>
        <v>000000000000</v>
      </c>
      <c r="AH947" s="161" t="str">
        <f t="shared" si="173"/>
        <v xml:space="preserve">                    </v>
      </c>
      <c r="AI947" s="154">
        <f t="shared" si="174"/>
        <v>0</v>
      </c>
      <c r="AJ947" s="155">
        <f t="shared" si="175"/>
        <v>0</v>
      </c>
      <c r="AP947" s="63" t="str">
        <f t="shared" si="176"/>
        <v/>
      </c>
      <c r="AQ947" s="63" t="str">
        <f t="shared" si="170"/>
        <v xml:space="preserve">                    </v>
      </c>
      <c r="AR947" s="63"/>
      <c r="AS947" s="63"/>
      <c r="AT947" s="63"/>
      <c r="AU947" s="63"/>
      <c r="AV947" s="63"/>
      <c r="AW947" s="63"/>
      <c r="AX947" s="63"/>
      <c r="AY947" s="63"/>
      <c r="AZ947" s="63"/>
      <c r="BA947" s="63"/>
      <c r="BB947" s="63"/>
      <c r="BC947" s="63"/>
      <c r="BD947" s="63"/>
      <c r="BE947" s="63"/>
      <c r="BF947" s="63"/>
      <c r="BG947" s="63"/>
      <c r="BH947" s="63"/>
      <c r="BI947" s="63"/>
      <c r="BJ947" s="63"/>
      <c r="BK947" s="63"/>
      <c r="BL947" s="63"/>
      <c r="BM947" s="63"/>
      <c r="BN947" s="63"/>
      <c r="BO947" s="63"/>
      <c r="BP947" s="63"/>
      <c r="BQ947" s="63"/>
      <c r="BR947" s="63"/>
      <c r="BS947" s="63"/>
      <c r="BT947" s="63"/>
      <c r="BU947" s="63"/>
      <c r="BV947" s="63"/>
      <c r="BW947" s="63"/>
    </row>
    <row r="948" spans="1:75" x14ac:dyDescent="0.2">
      <c r="A948" s="63" t="str">
        <f t="shared" si="177"/>
        <v/>
      </c>
      <c r="B948" s="182"/>
      <c r="C948" s="74"/>
      <c r="D948" s="74"/>
      <c r="E948" s="74"/>
      <c r="F948" s="181"/>
      <c r="G948" s="69"/>
      <c r="AB948" s="150">
        <f t="shared" si="168"/>
        <v>0</v>
      </c>
      <c r="AC948" s="150">
        <f t="shared" si="169"/>
        <v>0</v>
      </c>
      <c r="AD948" s="98" t="str">
        <f t="shared" si="178"/>
        <v>0000000000</v>
      </c>
      <c r="AE948" s="151">
        <f t="shared" si="171"/>
        <v>0</v>
      </c>
      <c r="AF948" s="98" t="str">
        <f t="shared" si="172"/>
        <v>00</v>
      </c>
      <c r="AG948" s="98" t="str">
        <f t="shared" si="179"/>
        <v>000000000000</v>
      </c>
      <c r="AH948" s="161" t="str">
        <f t="shared" si="173"/>
        <v xml:space="preserve">                    </v>
      </c>
      <c r="AI948" s="154">
        <f t="shared" si="174"/>
        <v>0</v>
      </c>
      <c r="AJ948" s="155">
        <f t="shared" si="175"/>
        <v>0</v>
      </c>
      <c r="AP948" s="63" t="str">
        <f t="shared" si="176"/>
        <v/>
      </c>
      <c r="AQ948" s="63" t="str">
        <f t="shared" si="170"/>
        <v xml:space="preserve">                    </v>
      </c>
      <c r="AR948" s="63"/>
      <c r="AS948" s="63"/>
      <c r="AT948" s="63"/>
      <c r="AU948" s="63"/>
      <c r="AV948" s="63"/>
      <c r="AW948" s="63"/>
      <c r="AX948" s="63"/>
      <c r="AY948" s="63"/>
      <c r="AZ948" s="63"/>
      <c r="BA948" s="63"/>
      <c r="BB948" s="63"/>
      <c r="BC948" s="63"/>
      <c r="BD948" s="63"/>
      <c r="BE948" s="63"/>
      <c r="BF948" s="63"/>
      <c r="BG948" s="63"/>
      <c r="BH948" s="63"/>
      <c r="BI948" s="63"/>
      <c r="BJ948" s="63"/>
      <c r="BK948" s="63"/>
      <c r="BL948" s="63"/>
      <c r="BM948" s="63"/>
      <c r="BN948" s="63"/>
      <c r="BO948" s="63"/>
      <c r="BP948" s="63"/>
      <c r="BQ948" s="63"/>
      <c r="BR948" s="63"/>
      <c r="BS948" s="63"/>
      <c r="BT948" s="63"/>
      <c r="BU948" s="63"/>
      <c r="BV948" s="63"/>
      <c r="BW948" s="63"/>
    </row>
    <row r="949" spans="1:75" x14ac:dyDescent="0.2">
      <c r="A949" s="63" t="str">
        <f t="shared" si="177"/>
        <v/>
      </c>
      <c r="B949" s="182"/>
      <c r="C949" s="74"/>
      <c r="D949" s="74"/>
      <c r="E949" s="74"/>
      <c r="F949" s="181"/>
      <c r="G949" s="69"/>
      <c r="AB949" s="150">
        <f t="shared" si="168"/>
        <v>0</v>
      </c>
      <c r="AC949" s="150">
        <f t="shared" si="169"/>
        <v>0</v>
      </c>
      <c r="AD949" s="98" t="str">
        <f t="shared" si="178"/>
        <v>0000000000</v>
      </c>
      <c r="AE949" s="151">
        <f t="shared" si="171"/>
        <v>0</v>
      </c>
      <c r="AF949" s="98" t="str">
        <f t="shared" si="172"/>
        <v>00</v>
      </c>
      <c r="AG949" s="98" t="str">
        <f t="shared" si="179"/>
        <v>000000000000</v>
      </c>
      <c r="AH949" s="161" t="str">
        <f t="shared" si="173"/>
        <v xml:space="preserve">                    </v>
      </c>
      <c r="AI949" s="154">
        <f t="shared" si="174"/>
        <v>0</v>
      </c>
      <c r="AJ949" s="155">
        <f t="shared" si="175"/>
        <v>0</v>
      </c>
      <c r="AP949" s="63" t="str">
        <f t="shared" si="176"/>
        <v/>
      </c>
      <c r="AQ949" s="63" t="str">
        <f t="shared" si="170"/>
        <v xml:space="preserve">                    </v>
      </c>
      <c r="AR949" s="63"/>
      <c r="AS949" s="63"/>
      <c r="AT949" s="63"/>
      <c r="AU949" s="63"/>
      <c r="AV949" s="63"/>
      <c r="AW949" s="63"/>
      <c r="AX949" s="63"/>
      <c r="AY949" s="63"/>
      <c r="AZ949" s="63"/>
      <c r="BA949" s="63"/>
      <c r="BB949" s="63"/>
      <c r="BC949" s="63"/>
      <c r="BD949" s="63"/>
      <c r="BE949" s="63"/>
      <c r="BF949" s="63"/>
      <c r="BG949" s="63"/>
      <c r="BH949" s="63"/>
      <c r="BI949" s="63"/>
      <c r="BJ949" s="63"/>
      <c r="BK949" s="63"/>
      <c r="BL949" s="63"/>
      <c r="BM949" s="63"/>
      <c r="BN949" s="63"/>
      <c r="BO949" s="63"/>
      <c r="BP949" s="63"/>
      <c r="BQ949" s="63"/>
      <c r="BR949" s="63"/>
      <c r="BS949" s="63"/>
      <c r="BT949" s="63"/>
      <c r="BU949" s="63"/>
      <c r="BV949" s="63"/>
      <c r="BW949" s="63"/>
    </row>
    <row r="950" spans="1:75" x14ac:dyDescent="0.2">
      <c r="A950" s="63" t="str">
        <f t="shared" si="177"/>
        <v/>
      </c>
      <c r="B950" s="182"/>
      <c r="C950" s="74"/>
      <c r="D950" s="74"/>
      <c r="E950" s="74"/>
      <c r="F950" s="181"/>
      <c r="G950" s="69"/>
      <c r="AB950" s="150">
        <f t="shared" si="168"/>
        <v>0</v>
      </c>
      <c r="AC950" s="150">
        <f t="shared" si="169"/>
        <v>0</v>
      </c>
      <c r="AD950" s="98" t="str">
        <f t="shared" si="178"/>
        <v>0000000000</v>
      </c>
      <c r="AE950" s="151">
        <f t="shared" si="171"/>
        <v>0</v>
      </c>
      <c r="AF950" s="98" t="str">
        <f t="shared" si="172"/>
        <v>00</v>
      </c>
      <c r="AG950" s="98" t="str">
        <f t="shared" si="179"/>
        <v>000000000000</v>
      </c>
      <c r="AH950" s="161" t="str">
        <f t="shared" si="173"/>
        <v xml:space="preserve">                    </v>
      </c>
      <c r="AI950" s="154">
        <f t="shared" si="174"/>
        <v>0</v>
      </c>
      <c r="AJ950" s="155">
        <f t="shared" si="175"/>
        <v>0</v>
      </c>
      <c r="AP950" s="63" t="str">
        <f t="shared" si="176"/>
        <v/>
      </c>
      <c r="AQ950" s="63" t="str">
        <f t="shared" si="170"/>
        <v xml:space="preserve">                    </v>
      </c>
      <c r="AR950" s="63"/>
      <c r="AS950" s="63"/>
      <c r="AT950" s="63"/>
      <c r="AU950" s="63"/>
      <c r="AV950" s="63"/>
      <c r="AW950" s="63"/>
      <c r="AX950" s="63"/>
      <c r="AY950" s="63"/>
      <c r="AZ950" s="63"/>
      <c r="BA950" s="63"/>
      <c r="BB950" s="63"/>
      <c r="BC950" s="63"/>
      <c r="BD950" s="63"/>
      <c r="BE950" s="63"/>
      <c r="BF950" s="63"/>
      <c r="BG950" s="63"/>
      <c r="BH950" s="63"/>
      <c r="BI950" s="63"/>
      <c r="BJ950" s="63"/>
      <c r="BK950" s="63"/>
      <c r="BL950" s="63"/>
      <c r="BM950" s="63"/>
      <c r="BN950" s="63"/>
      <c r="BO950" s="63"/>
      <c r="BP950" s="63"/>
      <c r="BQ950" s="63"/>
      <c r="BR950" s="63"/>
      <c r="BS950" s="63"/>
      <c r="BT950" s="63"/>
      <c r="BU950" s="63"/>
      <c r="BV950" s="63"/>
      <c r="BW950" s="63"/>
    </row>
    <row r="951" spans="1:75" x14ac:dyDescent="0.2">
      <c r="A951" s="63" t="str">
        <f t="shared" si="177"/>
        <v/>
      </c>
      <c r="B951" s="182"/>
      <c r="C951" s="74"/>
      <c r="D951" s="74"/>
      <c r="E951" s="74"/>
      <c r="F951" s="181"/>
      <c r="G951" s="69"/>
      <c r="AB951" s="150">
        <f t="shared" si="168"/>
        <v>0</v>
      </c>
      <c r="AC951" s="150">
        <f t="shared" si="169"/>
        <v>0</v>
      </c>
      <c r="AD951" s="98" t="str">
        <f t="shared" si="178"/>
        <v>0000000000</v>
      </c>
      <c r="AE951" s="151">
        <f t="shared" si="171"/>
        <v>0</v>
      </c>
      <c r="AF951" s="98" t="str">
        <f t="shared" si="172"/>
        <v>00</v>
      </c>
      <c r="AG951" s="98" t="str">
        <f t="shared" si="179"/>
        <v>000000000000</v>
      </c>
      <c r="AH951" s="161" t="str">
        <f t="shared" si="173"/>
        <v xml:space="preserve">                    </v>
      </c>
      <c r="AI951" s="154">
        <f t="shared" si="174"/>
        <v>0</v>
      </c>
      <c r="AJ951" s="155">
        <f t="shared" si="175"/>
        <v>0</v>
      </c>
      <c r="AP951" s="63" t="str">
        <f t="shared" si="176"/>
        <v/>
      </c>
      <c r="AQ951" s="63" t="str">
        <f t="shared" si="170"/>
        <v xml:space="preserve">                    </v>
      </c>
      <c r="AR951" s="63"/>
      <c r="AS951" s="63"/>
      <c r="AT951" s="63"/>
      <c r="AU951" s="63"/>
      <c r="AV951" s="63"/>
      <c r="AW951" s="63"/>
      <c r="AX951" s="63"/>
      <c r="AY951" s="63"/>
      <c r="AZ951" s="63"/>
      <c r="BA951" s="63"/>
      <c r="BB951" s="63"/>
      <c r="BC951" s="63"/>
      <c r="BD951" s="63"/>
      <c r="BE951" s="63"/>
      <c r="BF951" s="63"/>
      <c r="BG951" s="63"/>
      <c r="BH951" s="63"/>
      <c r="BI951" s="63"/>
      <c r="BJ951" s="63"/>
      <c r="BK951" s="63"/>
      <c r="BL951" s="63"/>
      <c r="BM951" s="63"/>
      <c r="BN951" s="63"/>
      <c r="BO951" s="63"/>
      <c r="BP951" s="63"/>
      <c r="BQ951" s="63"/>
      <c r="BR951" s="63"/>
      <c r="BS951" s="63"/>
      <c r="BT951" s="63"/>
      <c r="BU951" s="63"/>
      <c r="BV951" s="63"/>
      <c r="BW951" s="63"/>
    </row>
    <row r="952" spans="1:75" x14ac:dyDescent="0.2">
      <c r="A952" s="63" t="str">
        <f t="shared" si="177"/>
        <v/>
      </c>
      <c r="B952" s="182"/>
      <c r="C952" s="74"/>
      <c r="D952" s="74"/>
      <c r="E952" s="74"/>
      <c r="F952" s="181"/>
      <c r="G952" s="69"/>
      <c r="AB952" s="150">
        <f t="shared" si="168"/>
        <v>0</v>
      </c>
      <c r="AC952" s="150">
        <f t="shared" si="169"/>
        <v>0</v>
      </c>
      <c r="AD952" s="98" t="str">
        <f t="shared" si="178"/>
        <v>0000000000</v>
      </c>
      <c r="AE952" s="151">
        <f t="shared" si="171"/>
        <v>0</v>
      </c>
      <c r="AF952" s="98" t="str">
        <f t="shared" si="172"/>
        <v>00</v>
      </c>
      <c r="AG952" s="98" t="str">
        <f t="shared" si="179"/>
        <v>000000000000</v>
      </c>
      <c r="AH952" s="161" t="str">
        <f t="shared" si="173"/>
        <v xml:space="preserve">                    </v>
      </c>
      <c r="AI952" s="154">
        <f t="shared" si="174"/>
        <v>0</v>
      </c>
      <c r="AJ952" s="155">
        <f t="shared" si="175"/>
        <v>0</v>
      </c>
      <c r="AP952" s="63" t="str">
        <f t="shared" si="176"/>
        <v/>
      </c>
      <c r="AQ952" s="63" t="str">
        <f t="shared" si="170"/>
        <v xml:space="preserve">                    </v>
      </c>
      <c r="AR952" s="63"/>
      <c r="AS952" s="63"/>
      <c r="AT952" s="63"/>
      <c r="AU952" s="63"/>
      <c r="AV952" s="63"/>
      <c r="AW952" s="63"/>
      <c r="AX952" s="63"/>
      <c r="AY952" s="63"/>
      <c r="AZ952" s="63"/>
      <c r="BA952" s="63"/>
      <c r="BB952" s="63"/>
      <c r="BC952" s="63"/>
      <c r="BD952" s="63"/>
      <c r="BE952" s="63"/>
      <c r="BF952" s="63"/>
      <c r="BG952" s="63"/>
      <c r="BH952" s="63"/>
      <c r="BI952" s="63"/>
      <c r="BJ952" s="63"/>
      <c r="BK952" s="63"/>
      <c r="BL952" s="63"/>
      <c r="BM952" s="63"/>
      <c r="BN952" s="63"/>
      <c r="BO952" s="63"/>
      <c r="BP952" s="63"/>
      <c r="BQ952" s="63"/>
      <c r="BR952" s="63"/>
      <c r="BS952" s="63"/>
      <c r="BT952" s="63"/>
      <c r="BU952" s="63"/>
      <c r="BV952" s="63"/>
      <c r="BW952" s="63"/>
    </row>
    <row r="953" spans="1:75" x14ac:dyDescent="0.2">
      <c r="A953" s="63" t="str">
        <f t="shared" si="177"/>
        <v/>
      </c>
      <c r="B953" s="182"/>
      <c r="C953" s="74"/>
      <c r="D953" s="74"/>
      <c r="E953" s="74"/>
      <c r="F953" s="181"/>
      <c r="G953" s="69"/>
      <c r="AB953" s="150">
        <f t="shared" si="168"/>
        <v>0</v>
      </c>
      <c r="AC953" s="150">
        <f t="shared" si="169"/>
        <v>0</v>
      </c>
      <c r="AD953" s="98" t="str">
        <f t="shared" si="178"/>
        <v>0000000000</v>
      </c>
      <c r="AE953" s="151">
        <f t="shared" si="171"/>
        <v>0</v>
      </c>
      <c r="AF953" s="98" t="str">
        <f t="shared" si="172"/>
        <v>00</v>
      </c>
      <c r="AG953" s="98" t="str">
        <f t="shared" si="179"/>
        <v>000000000000</v>
      </c>
      <c r="AH953" s="161" t="str">
        <f t="shared" si="173"/>
        <v xml:space="preserve">                    </v>
      </c>
      <c r="AI953" s="154">
        <f t="shared" si="174"/>
        <v>0</v>
      </c>
      <c r="AJ953" s="155">
        <f t="shared" si="175"/>
        <v>0</v>
      </c>
      <c r="AP953" s="63" t="str">
        <f t="shared" si="176"/>
        <v/>
      </c>
      <c r="AQ953" s="63" t="str">
        <f t="shared" si="170"/>
        <v xml:space="preserve">                    </v>
      </c>
      <c r="AR953" s="63"/>
      <c r="AS953" s="63"/>
      <c r="AT953" s="63"/>
      <c r="AU953" s="63"/>
      <c r="AV953" s="63"/>
      <c r="AW953" s="63"/>
      <c r="AX953" s="63"/>
      <c r="AY953" s="63"/>
      <c r="AZ953" s="63"/>
      <c r="BA953" s="63"/>
      <c r="BB953" s="63"/>
      <c r="BC953" s="63"/>
      <c r="BD953" s="63"/>
      <c r="BE953" s="63"/>
      <c r="BF953" s="63"/>
      <c r="BG953" s="63"/>
      <c r="BH953" s="63"/>
      <c r="BI953" s="63"/>
      <c r="BJ953" s="63"/>
      <c r="BK953" s="63"/>
      <c r="BL953" s="63"/>
      <c r="BM953" s="63"/>
      <c r="BN953" s="63"/>
      <c r="BO953" s="63"/>
      <c r="BP953" s="63"/>
      <c r="BQ953" s="63"/>
      <c r="BR953" s="63"/>
      <c r="BS953" s="63"/>
      <c r="BT953" s="63"/>
      <c r="BU953" s="63"/>
      <c r="BV953" s="63"/>
      <c r="BW953" s="63"/>
    </row>
    <row r="954" spans="1:75" x14ac:dyDescent="0.2">
      <c r="A954" s="63" t="str">
        <f t="shared" si="177"/>
        <v/>
      </c>
      <c r="B954" s="182"/>
      <c r="C954" s="74"/>
      <c r="D954" s="74"/>
      <c r="E954" s="74"/>
      <c r="F954" s="181"/>
      <c r="G954" s="69"/>
      <c r="AB954" s="150">
        <f t="shared" si="168"/>
        <v>0</v>
      </c>
      <c r="AC954" s="150">
        <f t="shared" si="169"/>
        <v>0</v>
      </c>
      <c r="AD954" s="98" t="str">
        <f t="shared" si="178"/>
        <v>0000000000</v>
      </c>
      <c r="AE954" s="151">
        <f t="shared" si="171"/>
        <v>0</v>
      </c>
      <c r="AF954" s="98" t="str">
        <f t="shared" si="172"/>
        <v>00</v>
      </c>
      <c r="AG954" s="98" t="str">
        <f t="shared" si="179"/>
        <v>000000000000</v>
      </c>
      <c r="AH954" s="161" t="str">
        <f t="shared" si="173"/>
        <v xml:space="preserve">                    </v>
      </c>
      <c r="AI954" s="154">
        <f t="shared" si="174"/>
        <v>0</v>
      </c>
      <c r="AJ954" s="155">
        <f t="shared" si="175"/>
        <v>0</v>
      </c>
      <c r="AP954" s="63" t="str">
        <f t="shared" si="176"/>
        <v/>
      </c>
      <c r="AQ954" s="63" t="str">
        <f t="shared" si="170"/>
        <v xml:space="preserve">                    </v>
      </c>
      <c r="AR954" s="63"/>
      <c r="AS954" s="63"/>
      <c r="AT954" s="63"/>
      <c r="AU954" s="63"/>
      <c r="AV954" s="63"/>
      <c r="AW954" s="63"/>
      <c r="AX954" s="63"/>
      <c r="AY954" s="63"/>
      <c r="AZ954" s="63"/>
      <c r="BA954" s="63"/>
      <c r="BB954" s="63"/>
      <c r="BC954" s="63"/>
      <c r="BD954" s="63"/>
      <c r="BE954" s="63"/>
      <c r="BF954" s="63"/>
      <c r="BG954" s="63"/>
      <c r="BH954" s="63"/>
      <c r="BI954" s="63"/>
      <c r="BJ954" s="63"/>
      <c r="BK954" s="63"/>
      <c r="BL954" s="63"/>
      <c r="BM954" s="63"/>
      <c r="BN954" s="63"/>
      <c r="BO954" s="63"/>
      <c r="BP954" s="63"/>
      <c r="BQ954" s="63"/>
      <c r="BR954" s="63"/>
      <c r="BS954" s="63"/>
      <c r="BT954" s="63"/>
      <c r="BU954" s="63"/>
      <c r="BV954" s="63"/>
      <c r="BW954" s="63"/>
    </row>
    <row r="955" spans="1:75" x14ac:dyDescent="0.2">
      <c r="A955" s="63" t="str">
        <f t="shared" si="177"/>
        <v/>
      </c>
      <c r="B955" s="182"/>
      <c r="C955" s="74"/>
      <c r="D955" s="74"/>
      <c r="E955" s="74"/>
      <c r="F955" s="181"/>
      <c r="G955" s="69"/>
      <c r="AB955" s="150">
        <f t="shared" si="168"/>
        <v>0</v>
      </c>
      <c r="AC955" s="150">
        <f t="shared" si="169"/>
        <v>0</v>
      </c>
      <c r="AD955" s="98" t="str">
        <f t="shared" si="178"/>
        <v>0000000000</v>
      </c>
      <c r="AE955" s="151">
        <f t="shared" si="171"/>
        <v>0</v>
      </c>
      <c r="AF955" s="98" t="str">
        <f t="shared" si="172"/>
        <v>00</v>
      </c>
      <c r="AG955" s="98" t="str">
        <f t="shared" si="179"/>
        <v>000000000000</v>
      </c>
      <c r="AH955" s="161" t="str">
        <f t="shared" si="173"/>
        <v xml:space="preserve">                    </v>
      </c>
      <c r="AI955" s="154">
        <f t="shared" si="174"/>
        <v>0</v>
      </c>
      <c r="AJ955" s="155">
        <f t="shared" si="175"/>
        <v>0</v>
      </c>
      <c r="AP955" s="63" t="str">
        <f t="shared" si="176"/>
        <v/>
      </c>
      <c r="AQ955" s="63" t="str">
        <f t="shared" si="170"/>
        <v xml:space="preserve">                    </v>
      </c>
      <c r="AR955" s="63"/>
      <c r="AS955" s="63"/>
      <c r="AT955" s="63"/>
      <c r="AU955" s="63"/>
      <c r="AV955" s="63"/>
      <c r="AW955" s="63"/>
      <c r="AX955" s="63"/>
      <c r="AY955" s="63"/>
      <c r="AZ955" s="63"/>
      <c r="BA955" s="63"/>
      <c r="BB955" s="63"/>
      <c r="BC955" s="63"/>
      <c r="BD955" s="63"/>
      <c r="BE955" s="63"/>
      <c r="BF955" s="63"/>
      <c r="BG955" s="63"/>
      <c r="BH955" s="63"/>
      <c r="BI955" s="63"/>
      <c r="BJ955" s="63"/>
      <c r="BK955" s="63"/>
      <c r="BL955" s="63"/>
      <c r="BM955" s="63"/>
      <c r="BN955" s="63"/>
      <c r="BO955" s="63"/>
      <c r="BP955" s="63"/>
      <c r="BQ955" s="63"/>
      <c r="BR955" s="63"/>
      <c r="BS955" s="63"/>
      <c r="BT955" s="63"/>
      <c r="BU955" s="63"/>
      <c r="BV955" s="63"/>
      <c r="BW955" s="63"/>
    </row>
    <row r="956" spans="1:75" x14ac:dyDescent="0.2">
      <c r="A956" s="63" t="str">
        <f t="shared" si="177"/>
        <v/>
      </c>
      <c r="B956" s="182"/>
      <c r="C956" s="74"/>
      <c r="D956" s="74"/>
      <c r="E956" s="74"/>
      <c r="F956" s="181"/>
      <c r="G956" s="69"/>
      <c r="AB956" s="150">
        <f t="shared" si="168"/>
        <v>0</v>
      </c>
      <c r="AC956" s="150">
        <f t="shared" si="169"/>
        <v>0</v>
      </c>
      <c r="AD956" s="98" t="str">
        <f t="shared" si="178"/>
        <v>0000000000</v>
      </c>
      <c r="AE956" s="151">
        <f t="shared" si="171"/>
        <v>0</v>
      </c>
      <c r="AF956" s="98" t="str">
        <f t="shared" si="172"/>
        <v>00</v>
      </c>
      <c r="AG956" s="98" t="str">
        <f t="shared" si="179"/>
        <v>000000000000</v>
      </c>
      <c r="AH956" s="161" t="str">
        <f t="shared" si="173"/>
        <v xml:space="preserve">                    </v>
      </c>
      <c r="AI956" s="154">
        <f t="shared" si="174"/>
        <v>0</v>
      </c>
      <c r="AJ956" s="155">
        <f t="shared" si="175"/>
        <v>0</v>
      </c>
      <c r="AP956" s="63" t="str">
        <f t="shared" si="176"/>
        <v/>
      </c>
      <c r="AQ956" s="63" t="str">
        <f t="shared" si="170"/>
        <v xml:space="preserve">                    </v>
      </c>
      <c r="AR956" s="63"/>
      <c r="AS956" s="63"/>
      <c r="AT956" s="63"/>
      <c r="AU956" s="63"/>
      <c r="AV956" s="63"/>
      <c r="AW956" s="63"/>
      <c r="AX956" s="63"/>
      <c r="AY956" s="63"/>
      <c r="AZ956" s="63"/>
      <c r="BA956" s="63"/>
      <c r="BB956" s="63"/>
      <c r="BC956" s="63"/>
      <c r="BD956" s="63"/>
      <c r="BE956" s="63"/>
      <c r="BF956" s="63"/>
      <c r="BG956" s="63"/>
      <c r="BH956" s="63"/>
      <c r="BI956" s="63"/>
      <c r="BJ956" s="63"/>
      <c r="BK956" s="63"/>
      <c r="BL956" s="63"/>
      <c r="BM956" s="63"/>
      <c r="BN956" s="63"/>
      <c r="BO956" s="63"/>
      <c r="BP956" s="63"/>
      <c r="BQ956" s="63"/>
      <c r="BR956" s="63"/>
      <c r="BS956" s="63"/>
      <c r="BT956" s="63"/>
      <c r="BU956" s="63"/>
      <c r="BV956" s="63"/>
      <c r="BW956" s="63"/>
    </row>
    <row r="957" spans="1:75" x14ac:dyDescent="0.2">
      <c r="A957" s="63" t="str">
        <f t="shared" si="177"/>
        <v/>
      </c>
      <c r="B957" s="182"/>
      <c r="C957" s="74"/>
      <c r="D957" s="74"/>
      <c r="E957" s="74"/>
      <c r="F957" s="181"/>
      <c r="G957" s="69"/>
      <c r="AB957" s="150">
        <f t="shared" si="168"/>
        <v>0</v>
      </c>
      <c r="AC957" s="150">
        <f t="shared" si="169"/>
        <v>0</v>
      </c>
      <c r="AD957" s="98" t="str">
        <f t="shared" si="178"/>
        <v>0000000000</v>
      </c>
      <c r="AE957" s="151">
        <f t="shared" si="171"/>
        <v>0</v>
      </c>
      <c r="AF957" s="98" t="str">
        <f t="shared" si="172"/>
        <v>00</v>
      </c>
      <c r="AG957" s="98" t="str">
        <f t="shared" si="179"/>
        <v>000000000000</v>
      </c>
      <c r="AH957" s="161" t="str">
        <f t="shared" si="173"/>
        <v xml:space="preserve">                    </v>
      </c>
      <c r="AI957" s="154">
        <f t="shared" si="174"/>
        <v>0</v>
      </c>
      <c r="AJ957" s="155">
        <f t="shared" si="175"/>
        <v>0</v>
      </c>
      <c r="AP957" s="63" t="str">
        <f t="shared" si="176"/>
        <v/>
      </c>
      <c r="AQ957" s="63" t="str">
        <f t="shared" si="170"/>
        <v xml:space="preserve">                    </v>
      </c>
      <c r="AR957" s="63"/>
      <c r="AS957" s="63"/>
      <c r="AT957" s="63"/>
      <c r="AU957" s="63"/>
      <c r="AV957" s="63"/>
      <c r="AW957" s="63"/>
      <c r="AX957" s="63"/>
      <c r="AY957" s="63"/>
      <c r="AZ957" s="63"/>
      <c r="BA957" s="63"/>
      <c r="BB957" s="63"/>
      <c r="BC957" s="63"/>
      <c r="BD957" s="63"/>
      <c r="BE957" s="63"/>
      <c r="BF957" s="63"/>
      <c r="BG957" s="63"/>
      <c r="BH957" s="63"/>
      <c r="BI957" s="63"/>
      <c r="BJ957" s="63"/>
      <c r="BK957" s="63"/>
      <c r="BL957" s="63"/>
      <c r="BM957" s="63"/>
      <c r="BN957" s="63"/>
      <c r="BO957" s="63"/>
      <c r="BP957" s="63"/>
      <c r="BQ957" s="63"/>
      <c r="BR957" s="63"/>
      <c r="BS957" s="63"/>
      <c r="BT957" s="63"/>
      <c r="BU957" s="63"/>
      <c r="BV957" s="63"/>
      <c r="BW957" s="63"/>
    </row>
    <row r="958" spans="1:75" x14ac:dyDescent="0.2">
      <c r="A958" s="63" t="str">
        <f t="shared" si="177"/>
        <v/>
      </c>
      <c r="B958" s="182"/>
      <c r="C958" s="74"/>
      <c r="D958" s="74"/>
      <c r="E958" s="74"/>
      <c r="F958" s="181"/>
      <c r="G958" s="69"/>
      <c r="AB958" s="150">
        <f t="shared" si="168"/>
        <v>0</v>
      </c>
      <c r="AC958" s="150">
        <f t="shared" si="169"/>
        <v>0</v>
      </c>
      <c r="AD958" s="98" t="str">
        <f t="shared" si="178"/>
        <v>0000000000</v>
      </c>
      <c r="AE958" s="151">
        <f t="shared" si="171"/>
        <v>0</v>
      </c>
      <c r="AF958" s="98" t="str">
        <f t="shared" si="172"/>
        <v>00</v>
      </c>
      <c r="AG958" s="98" t="str">
        <f t="shared" si="179"/>
        <v>000000000000</v>
      </c>
      <c r="AH958" s="161" t="str">
        <f t="shared" si="173"/>
        <v xml:space="preserve">                    </v>
      </c>
      <c r="AI958" s="154">
        <f t="shared" si="174"/>
        <v>0</v>
      </c>
      <c r="AJ958" s="155">
        <f t="shared" si="175"/>
        <v>0</v>
      </c>
      <c r="AP958" s="63" t="str">
        <f t="shared" si="176"/>
        <v/>
      </c>
      <c r="AQ958" s="63" t="str">
        <f t="shared" si="170"/>
        <v xml:space="preserve">                    </v>
      </c>
      <c r="AR958" s="63"/>
      <c r="AS958" s="63"/>
      <c r="AT958" s="63"/>
      <c r="AU958" s="63"/>
      <c r="AV958" s="63"/>
      <c r="AW958" s="63"/>
      <c r="AX958" s="63"/>
      <c r="AY958" s="63"/>
      <c r="AZ958" s="63"/>
      <c r="BA958" s="63"/>
      <c r="BB958" s="63"/>
      <c r="BC958" s="63"/>
      <c r="BD958" s="63"/>
      <c r="BE958" s="63"/>
      <c r="BF958" s="63"/>
      <c r="BG958" s="63"/>
      <c r="BH958" s="63"/>
      <c r="BI958" s="63"/>
      <c r="BJ958" s="63"/>
      <c r="BK958" s="63"/>
      <c r="BL958" s="63"/>
      <c r="BM958" s="63"/>
      <c r="BN958" s="63"/>
      <c r="BO958" s="63"/>
      <c r="BP958" s="63"/>
      <c r="BQ958" s="63"/>
      <c r="BR958" s="63"/>
      <c r="BS958" s="63"/>
      <c r="BT958" s="63"/>
      <c r="BU958" s="63"/>
      <c r="BV958" s="63"/>
      <c r="BW958" s="63"/>
    </row>
    <row r="959" spans="1:75" x14ac:dyDescent="0.2">
      <c r="A959" s="63" t="str">
        <f t="shared" si="177"/>
        <v/>
      </c>
      <c r="B959" s="182"/>
      <c r="C959" s="74"/>
      <c r="D959" s="74"/>
      <c r="E959" s="74"/>
      <c r="F959" s="181"/>
      <c r="G959" s="69"/>
      <c r="AB959" s="150">
        <f t="shared" si="168"/>
        <v>0</v>
      </c>
      <c r="AC959" s="150">
        <f t="shared" si="169"/>
        <v>0</v>
      </c>
      <c r="AD959" s="98" t="str">
        <f t="shared" si="178"/>
        <v>0000000000</v>
      </c>
      <c r="AE959" s="151">
        <f t="shared" si="171"/>
        <v>0</v>
      </c>
      <c r="AF959" s="98" t="str">
        <f t="shared" si="172"/>
        <v>00</v>
      </c>
      <c r="AG959" s="98" t="str">
        <f t="shared" si="179"/>
        <v>000000000000</v>
      </c>
      <c r="AH959" s="161" t="str">
        <f t="shared" si="173"/>
        <v xml:space="preserve">                    </v>
      </c>
      <c r="AI959" s="154">
        <f t="shared" si="174"/>
        <v>0</v>
      </c>
      <c r="AJ959" s="155">
        <f t="shared" si="175"/>
        <v>0</v>
      </c>
      <c r="AP959" s="63" t="str">
        <f t="shared" si="176"/>
        <v/>
      </c>
      <c r="AQ959" s="63" t="str">
        <f t="shared" si="170"/>
        <v xml:space="preserve">                    </v>
      </c>
      <c r="AR959" s="63"/>
      <c r="AS959" s="63"/>
      <c r="AT959" s="63"/>
      <c r="AU959" s="63"/>
      <c r="AV959" s="63"/>
      <c r="AW959" s="63"/>
      <c r="AX959" s="63"/>
      <c r="AY959" s="63"/>
      <c r="AZ959" s="63"/>
      <c r="BA959" s="63"/>
      <c r="BB959" s="63"/>
      <c r="BC959" s="63"/>
      <c r="BD959" s="63"/>
      <c r="BE959" s="63"/>
      <c r="BF959" s="63"/>
      <c r="BG959" s="63"/>
      <c r="BH959" s="63"/>
      <c r="BI959" s="63"/>
      <c r="BJ959" s="63"/>
      <c r="BK959" s="63"/>
      <c r="BL959" s="63"/>
      <c r="BM959" s="63"/>
      <c r="BN959" s="63"/>
      <c r="BO959" s="63"/>
      <c r="BP959" s="63"/>
      <c r="BQ959" s="63"/>
      <c r="BR959" s="63"/>
      <c r="BS959" s="63"/>
      <c r="BT959" s="63"/>
      <c r="BU959" s="63"/>
      <c r="BV959" s="63"/>
      <c r="BW959" s="63"/>
    </row>
    <row r="960" spans="1:75" x14ac:dyDescent="0.2">
      <c r="A960" s="63" t="str">
        <f t="shared" si="177"/>
        <v/>
      </c>
      <c r="B960" s="182"/>
      <c r="C960" s="74"/>
      <c r="D960" s="74"/>
      <c r="E960" s="74"/>
      <c r="F960" s="181"/>
      <c r="G960" s="69"/>
      <c r="AB960" s="150">
        <f t="shared" si="168"/>
        <v>0</v>
      </c>
      <c r="AC960" s="150">
        <f t="shared" si="169"/>
        <v>0</v>
      </c>
      <c r="AD960" s="98" t="str">
        <f t="shared" si="178"/>
        <v>0000000000</v>
      </c>
      <c r="AE960" s="151">
        <f t="shared" si="171"/>
        <v>0</v>
      </c>
      <c r="AF960" s="98" t="str">
        <f t="shared" si="172"/>
        <v>00</v>
      </c>
      <c r="AG960" s="98" t="str">
        <f t="shared" si="179"/>
        <v>000000000000</v>
      </c>
      <c r="AH960" s="161" t="str">
        <f t="shared" si="173"/>
        <v xml:space="preserve">                    </v>
      </c>
      <c r="AI960" s="154">
        <f t="shared" si="174"/>
        <v>0</v>
      </c>
      <c r="AJ960" s="155">
        <f t="shared" si="175"/>
        <v>0</v>
      </c>
      <c r="AP960" s="63" t="str">
        <f t="shared" si="176"/>
        <v/>
      </c>
      <c r="AQ960" s="63" t="str">
        <f t="shared" si="170"/>
        <v xml:space="preserve">                    </v>
      </c>
      <c r="AR960" s="63"/>
      <c r="AS960" s="63"/>
      <c r="AT960" s="63"/>
      <c r="AU960" s="63"/>
      <c r="AV960" s="63"/>
      <c r="AW960" s="63"/>
      <c r="AX960" s="63"/>
      <c r="AY960" s="63"/>
      <c r="AZ960" s="63"/>
      <c r="BA960" s="63"/>
      <c r="BB960" s="63"/>
      <c r="BC960" s="63"/>
      <c r="BD960" s="63"/>
      <c r="BE960" s="63"/>
      <c r="BF960" s="63"/>
      <c r="BG960" s="63"/>
      <c r="BH960" s="63"/>
      <c r="BI960" s="63"/>
      <c r="BJ960" s="63"/>
      <c r="BK960" s="63"/>
      <c r="BL960" s="63"/>
      <c r="BM960" s="63"/>
      <c r="BN960" s="63"/>
      <c r="BO960" s="63"/>
      <c r="BP960" s="63"/>
      <c r="BQ960" s="63"/>
      <c r="BR960" s="63"/>
      <c r="BS960" s="63"/>
      <c r="BT960" s="63"/>
      <c r="BU960" s="63"/>
      <c r="BV960" s="63"/>
      <c r="BW960" s="63"/>
    </row>
    <row r="961" spans="1:75" x14ac:dyDescent="0.2">
      <c r="A961" s="63" t="str">
        <f t="shared" si="177"/>
        <v/>
      </c>
      <c r="B961" s="182"/>
      <c r="C961" s="74"/>
      <c r="D961" s="74"/>
      <c r="E961" s="74"/>
      <c r="F961" s="181"/>
      <c r="G961" s="69"/>
      <c r="AB961" s="150">
        <f t="shared" si="168"/>
        <v>0</v>
      </c>
      <c r="AC961" s="150">
        <f t="shared" si="169"/>
        <v>0</v>
      </c>
      <c r="AD961" s="98" t="str">
        <f t="shared" si="178"/>
        <v>0000000000</v>
      </c>
      <c r="AE961" s="151">
        <f t="shared" si="171"/>
        <v>0</v>
      </c>
      <c r="AF961" s="98" t="str">
        <f t="shared" si="172"/>
        <v>00</v>
      </c>
      <c r="AG961" s="98" t="str">
        <f t="shared" si="179"/>
        <v>000000000000</v>
      </c>
      <c r="AH961" s="161" t="str">
        <f t="shared" si="173"/>
        <v xml:space="preserve">                    </v>
      </c>
      <c r="AI961" s="154">
        <f t="shared" si="174"/>
        <v>0</v>
      </c>
      <c r="AJ961" s="155">
        <f t="shared" si="175"/>
        <v>0</v>
      </c>
      <c r="AP961" s="63" t="str">
        <f t="shared" si="176"/>
        <v/>
      </c>
      <c r="AQ961" s="63" t="str">
        <f t="shared" si="170"/>
        <v xml:space="preserve">                    </v>
      </c>
      <c r="AR961" s="63"/>
      <c r="AS961" s="63"/>
      <c r="AT961" s="63"/>
      <c r="AU961" s="63"/>
      <c r="AV961" s="63"/>
      <c r="AW961" s="63"/>
      <c r="AX961" s="63"/>
      <c r="AY961" s="63"/>
      <c r="AZ961" s="63"/>
      <c r="BA961" s="63"/>
      <c r="BB961" s="63"/>
      <c r="BC961" s="63"/>
      <c r="BD961" s="63"/>
      <c r="BE961" s="63"/>
      <c r="BF961" s="63"/>
      <c r="BG961" s="63"/>
      <c r="BH961" s="63"/>
      <c r="BI961" s="63"/>
      <c r="BJ961" s="63"/>
      <c r="BK961" s="63"/>
      <c r="BL961" s="63"/>
      <c r="BM961" s="63"/>
      <c r="BN961" s="63"/>
      <c r="BO961" s="63"/>
      <c r="BP961" s="63"/>
      <c r="BQ961" s="63"/>
      <c r="BR961" s="63"/>
      <c r="BS961" s="63"/>
      <c r="BT961" s="63"/>
      <c r="BU961" s="63"/>
      <c r="BV961" s="63"/>
      <c r="BW961" s="63"/>
    </row>
    <row r="962" spans="1:75" x14ac:dyDescent="0.2">
      <c r="A962" s="63" t="str">
        <f t="shared" si="177"/>
        <v/>
      </c>
      <c r="B962" s="182"/>
      <c r="C962" s="74"/>
      <c r="D962" s="74"/>
      <c r="E962" s="74"/>
      <c r="F962" s="181"/>
      <c r="G962" s="69"/>
      <c r="AB962" s="150">
        <f t="shared" si="168"/>
        <v>0</v>
      </c>
      <c r="AC962" s="150">
        <f t="shared" si="169"/>
        <v>0</v>
      </c>
      <c r="AD962" s="98" t="str">
        <f t="shared" si="178"/>
        <v>0000000000</v>
      </c>
      <c r="AE962" s="151">
        <f t="shared" si="171"/>
        <v>0</v>
      </c>
      <c r="AF962" s="98" t="str">
        <f t="shared" si="172"/>
        <v>00</v>
      </c>
      <c r="AG962" s="98" t="str">
        <f t="shared" si="179"/>
        <v>000000000000</v>
      </c>
      <c r="AH962" s="161" t="str">
        <f t="shared" si="173"/>
        <v xml:space="preserve">                    </v>
      </c>
      <c r="AI962" s="154">
        <f t="shared" si="174"/>
        <v>0</v>
      </c>
      <c r="AJ962" s="155">
        <f t="shared" si="175"/>
        <v>0</v>
      </c>
      <c r="AP962" s="63" t="str">
        <f t="shared" si="176"/>
        <v/>
      </c>
      <c r="AQ962" s="63" t="str">
        <f t="shared" si="170"/>
        <v xml:space="preserve">                    </v>
      </c>
      <c r="AR962" s="63"/>
      <c r="AS962" s="63"/>
      <c r="AT962" s="63"/>
      <c r="AU962" s="63"/>
      <c r="AV962" s="63"/>
      <c r="AW962" s="63"/>
      <c r="AX962" s="63"/>
      <c r="AY962" s="63"/>
      <c r="AZ962" s="63"/>
      <c r="BA962" s="63"/>
      <c r="BB962" s="63"/>
      <c r="BC962" s="63"/>
      <c r="BD962" s="63"/>
      <c r="BE962" s="63"/>
      <c r="BF962" s="63"/>
      <c r="BG962" s="63"/>
      <c r="BH962" s="63"/>
      <c r="BI962" s="63"/>
      <c r="BJ962" s="63"/>
      <c r="BK962" s="63"/>
      <c r="BL962" s="63"/>
      <c r="BM962" s="63"/>
      <c r="BN962" s="63"/>
      <c r="BO962" s="63"/>
      <c r="BP962" s="63"/>
      <c r="BQ962" s="63"/>
      <c r="BR962" s="63"/>
      <c r="BS962" s="63"/>
      <c r="BT962" s="63"/>
      <c r="BU962" s="63"/>
      <c r="BV962" s="63"/>
      <c r="BW962" s="63"/>
    </row>
    <row r="963" spans="1:75" x14ac:dyDescent="0.2">
      <c r="A963" s="63" t="str">
        <f t="shared" si="177"/>
        <v/>
      </c>
      <c r="B963" s="182"/>
      <c r="C963" s="74"/>
      <c r="D963" s="74"/>
      <c r="E963" s="74"/>
      <c r="F963" s="181"/>
      <c r="G963" s="69"/>
      <c r="AB963" s="150">
        <f t="shared" ref="AB963:AB1000" si="180">INT(F963)</f>
        <v>0</v>
      </c>
      <c r="AC963" s="150">
        <f t="shared" ref="AC963:AC1000" si="181">F963-AB963</f>
        <v>0</v>
      </c>
      <c r="AD963" s="98" t="str">
        <f t="shared" si="178"/>
        <v>0000000000</v>
      </c>
      <c r="AE963" s="151">
        <f t="shared" si="171"/>
        <v>0</v>
      </c>
      <c r="AF963" s="98" t="str">
        <f t="shared" si="172"/>
        <v>00</v>
      </c>
      <c r="AG963" s="98" t="str">
        <f t="shared" si="179"/>
        <v>000000000000</v>
      </c>
      <c r="AH963" s="161" t="str">
        <f t="shared" si="173"/>
        <v xml:space="preserve">                    </v>
      </c>
      <c r="AI963" s="154">
        <f t="shared" si="174"/>
        <v>0</v>
      </c>
      <c r="AJ963" s="155">
        <f t="shared" si="175"/>
        <v>0</v>
      </c>
      <c r="AP963" s="63" t="str">
        <f t="shared" si="176"/>
        <v/>
      </c>
      <c r="AQ963" s="63" t="str">
        <f t="shared" ref="AQ963:AQ1000" si="182">CONCATENATE(D963,REPT(" ",20-LEN(D963)))</f>
        <v xml:space="preserve">                    </v>
      </c>
      <c r="AR963" s="63"/>
      <c r="AS963" s="63"/>
      <c r="AT963" s="63"/>
      <c r="AU963" s="63"/>
      <c r="AV963" s="63"/>
      <c r="AW963" s="63"/>
      <c r="AX963" s="63"/>
      <c r="AY963" s="63"/>
      <c r="AZ963" s="63"/>
      <c r="BA963" s="63"/>
      <c r="BB963" s="63"/>
      <c r="BC963" s="63"/>
      <c r="BD963" s="63"/>
      <c r="BE963" s="63"/>
      <c r="BF963" s="63"/>
      <c r="BG963" s="63"/>
      <c r="BH963" s="63"/>
      <c r="BI963" s="63"/>
      <c r="BJ963" s="63"/>
      <c r="BK963" s="63"/>
      <c r="BL963" s="63"/>
      <c r="BM963" s="63"/>
      <c r="BN963" s="63"/>
      <c r="BO963" s="63"/>
      <c r="BP963" s="63"/>
      <c r="BQ963" s="63"/>
      <c r="BR963" s="63"/>
      <c r="BS963" s="63"/>
      <c r="BT963" s="63"/>
      <c r="BU963" s="63"/>
      <c r="BV963" s="63"/>
      <c r="BW963" s="63"/>
    </row>
    <row r="964" spans="1:75" x14ac:dyDescent="0.2">
      <c r="A964" s="63" t="str">
        <f t="shared" si="177"/>
        <v/>
      </c>
      <c r="B964" s="182"/>
      <c r="C964" s="74"/>
      <c r="D964" s="74"/>
      <c r="E964" s="74"/>
      <c r="F964" s="181"/>
      <c r="G964" s="69"/>
      <c r="AB964" s="150">
        <f t="shared" si="180"/>
        <v>0</v>
      </c>
      <c r="AC964" s="150">
        <f t="shared" si="181"/>
        <v>0</v>
      </c>
      <c r="AD964" s="98" t="str">
        <f t="shared" si="178"/>
        <v>0000000000</v>
      </c>
      <c r="AE964" s="151">
        <f t="shared" ref="AE964:AE1000" si="183">AC964*100</f>
        <v>0</v>
      </c>
      <c r="AF964" s="98" t="str">
        <f t="shared" ref="AF964:AF1000" si="184">TEXT(AE964,"00")</f>
        <v>00</v>
      </c>
      <c r="AG964" s="98" t="str">
        <f t="shared" si="179"/>
        <v>000000000000</v>
      </c>
      <c r="AH964" s="161" t="str">
        <f t="shared" ref="AH964:AH1000" si="185">CONCATENATE(C964,REPT(" ",20-LEN(C964)))</f>
        <v xml:space="preserve">                    </v>
      </c>
      <c r="AI964" s="154">
        <f t="shared" ref="AI964:AI1000" si="186">IF(E964&lt;&gt;"",IF(E964=$E$3,0,1),0)</f>
        <v>0</v>
      </c>
      <c r="AJ964" s="155">
        <f t="shared" ref="AJ964:AJ1000" si="187">IF(AI964=1,IF($E$3=1,F964*$H$14,F964/$H$14),F964)</f>
        <v>0</v>
      </c>
      <c r="AP964" s="63" t="str">
        <f t="shared" ref="AP964:AP1000" si="188">IF(B965&lt;&gt;"",CONCATENATE("000",B965,"0",E965,"2","    00000000",AG965,"            ",AQ965,AH965,"                                                                                               "),"")</f>
        <v/>
      </c>
      <c r="AQ964" s="63" t="str">
        <f t="shared" si="182"/>
        <v xml:space="preserve">                    </v>
      </c>
      <c r="AR964" s="63"/>
      <c r="AS964" s="63"/>
      <c r="AT964" s="63"/>
      <c r="AU964" s="63"/>
      <c r="AV964" s="63"/>
      <c r="AW964" s="63"/>
      <c r="AX964" s="63"/>
      <c r="AY964" s="63"/>
      <c r="AZ964" s="63"/>
      <c r="BA964" s="63"/>
      <c r="BB964" s="63"/>
      <c r="BC964" s="63"/>
      <c r="BD964" s="63"/>
      <c r="BE964" s="63"/>
      <c r="BF964" s="63"/>
      <c r="BG964" s="63"/>
      <c r="BH964" s="63"/>
      <c r="BI964" s="63"/>
      <c r="BJ964" s="63"/>
      <c r="BK964" s="63"/>
      <c r="BL964" s="63"/>
      <c r="BM964" s="63"/>
      <c r="BN964" s="63"/>
      <c r="BO964" s="63"/>
      <c r="BP964" s="63"/>
      <c r="BQ964" s="63"/>
      <c r="BR964" s="63"/>
      <c r="BS964" s="63"/>
      <c r="BT964" s="63"/>
      <c r="BU964" s="63"/>
      <c r="BV964" s="63"/>
      <c r="BW964" s="63"/>
    </row>
    <row r="965" spans="1:75" x14ac:dyDescent="0.2">
      <c r="A965" s="63" t="str">
        <f t="shared" si="177"/>
        <v/>
      </c>
      <c r="B965" s="182"/>
      <c r="C965" s="74"/>
      <c r="D965" s="74"/>
      <c r="E965" s="74"/>
      <c r="F965" s="181"/>
      <c r="G965" s="69"/>
      <c r="AB965" s="150">
        <f t="shared" si="180"/>
        <v>0</v>
      </c>
      <c r="AC965" s="150">
        <f t="shared" si="181"/>
        <v>0</v>
      </c>
      <c r="AD965" s="98" t="str">
        <f t="shared" si="178"/>
        <v>0000000000</v>
      </c>
      <c r="AE965" s="151">
        <f t="shared" si="183"/>
        <v>0</v>
      </c>
      <c r="AF965" s="98" t="str">
        <f t="shared" si="184"/>
        <v>00</v>
      </c>
      <c r="AG965" s="98" t="str">
        <f t="shared" si="179"/>
        <v>000000000000</v>
      </c>
      <c r="AH965" s="161" t="str">
        <f t="shared" si="185"/>
        <v xml:space="preserve">                    </v>
      </c>
      <c r="AI965" s="154">
        <f t="shared" si="186"/>
        <v>0</v>
      </c>
      <c r="AJ965" s="155">
        <f t="shared" si="187"/>
        <v>0</v>
      </c>
      <c r="AP965" s="63" t="str">
        <f t="shared" si="188"/>
        <v/>
      </c>
      <c r="AQ965" s="63" t="str">
        <f t="shared" si="182"/>
        <v xml:space="preserve">                    </v>
      </c>
      <c r="AR965" s="63"/>
      <c r="AS965" s="63"/>
      <c r="AT965" s="63"/>
      <c r="AU965" s="63"/>
      <c r="AV965" s="63"/>
      <c r="AW965" s="63"/>
      <c r="AX965" s="63"/>
      <c r="AY965" s="63"/>
      <c r="AZ965" s="63"/>
      <c r="BA965" s="63"/>
      <c r="BB965" s="63"/>
      <c r="BC965" s="63"/>
      <c r="BD965" s="63"/>
      <c r="BE965" s="63"/>
      <c r="BF965" s="63"/>
      <c r="BG965" s="63"/>
      <c r="BH965" s="63"/>
      <c r="BI965" s="63"/>
      <c r="BJ965" s="63"/>
      <c r="BK965" s="63"/>
      <c r="BL965" s="63"/>
      <c r="BM965" s="63"/>
      <c r="BN965" s="63"/>
      <c r="BO965" s="63"/>
      <c r="BP965" s="63"/>
      <c r="BQ965" s="63"/>
      <c r="BR965" s="63"/>
      <c r="BS965" s="63"/>
      <c r="BT965" s="63"/>
      <c r="BU965" s="63"/>
      <c r="BV965" s="63"/>
      <c r="BW965" s="63"/>
    </row>
    <row r="966" spans="1:75" x14ac:dyDescent="0.2">
      <c r="A966" s="63" t="str">
        <f t="shared" ref="A966:A1000" si="189">IF(B966&lt;&gt;"",A965+1,"")</f>
        <v/>
      </c>
      <c r="B966" s="182"/>
      <c r="C966" s="74"/>
      <c r="D966" s="74"/>
      <c r="E966" s="74"/>
      <c r="F966" s="181"/>
      <c r="G966" s="69"/>
      <c r="AB966" s="150">
        <f t="shared" si="180"/>
        <v>0</v>
      </c>
      <c r="AC966" s="150">
        <f t="shared" si="181"/>
        <v>0</v>
      </c>
      <c r="AD966" s="98" t="str">
        <f t="shared" si="178"/>
        <v>0000000000</v>
      </c>
      <c r="AE966" s="151">
        <f t="shared" si="183"/>
        <v>0</v>
      </c>
      <c r="AF966" s="98" t="str">
        <f t="shared" si="184"/>
        <v>00</v>
      </c>
      <c r="AG966" s="98" t="str">
        <f t="shared" si="179"/>
        <v>000000000000</v>
      </c>
      <c r="AH966" s="161" t="str">
        <f t="shared" si="185"/>
        <v xml:space="preserve">                    </v>
      </c>
      <c r="AI966" s="154">
        <f t="shared" si="186"/>
        <v>0</v>
      </c>
      <c r="AJ966" s="155">
        <f t="shared" si="187"/>
        <v>0</v>
      </c>
      <c r="AP966" s="63" t="str">
        <f t="shared" si="188"/>
        <v/>
      </c>
      <c r="AQ966" s="63" t="str">
        <f t="shared" si="182"/>
        <v xml:space="preserve">                    </v>
      </c>
      <c r="AR966" s="63"/>
      <c r="AS966" s="63"/>
      <c r="AT966" s="63"/>
      <c r="AU966" s="63"/>
      <c r="AV966" s="63"/>
      <c r="AW966" s="63"/>
      <c r="AX966" s="63"/>
      <c r="AY966" s="63"/>
      <c r="AZ966" s="63"/>
      <c r="BA966" s="63"/>
      <c r="BB966" s="63"/>
      <c r="BC966" s="63"/>
      <c r="BD966" s="63"/>
      <c r="BE966" s="63"/>
      <c r="BF966" s="63"/>
      <c r="BG966" s="63"/>
      <c r="BH966" s="63"/>
      <c r="BI966" s="63"/>
      <c r="BJ966" s="63"/>
      <c r="BK966" s="63"/>
      <c r="BL966" s="63"/>
      <c r="BM966" s="63"/>
      <c r="BN966" s="63"/>
      <c r="BO966" s="63"/>
      <c r="BP966" s="63"/>
      <c r="BQ966" s="63"/>
      <c r="BR966" s="63"/>
      <c r="BS966" s="63"/>
      <c r="BT966" s="63"/>
      <c r="BU966" s="63"/>
      <c r="BV966" s="63"/>
      <c r="BW966" s="63"/>
    </row>
    <row r="967" spans="1:75" x14ac:dyDescent="0.2">
      <c r="A967" s="63" t="str">
        <f t="shared" si="189"/>
        <v/>
      </c>
      <c r="B967" s="182"/>
      <c r="C967" s="74"/>
      <c r="D967" s="74"/>
      <c r="E967" s="74"/>
      <c r="F967" s="181"/>
      <c r="G967" s="69"/>
      <c r="AB967" s="150">
        <f t="shared" si="180"/>
        <v>0</v>
      </c>
      <c r="AC967" s="150">
        <f t="shared" si="181"/>
        <v>0</v>
      </c>
      <c r="AD967" s="98" t="str">
        <f t="shared" si="178"/>
        <v>0000000000</v>
      </c>
      <c r="AE967" s="151">
        <f t="shared" si="183"/>
        <v>0</v>
      </c>
      <c r="AF967" s="98" t="str">
        <f t="shared" si="184"/>
        <v>00</v>
      </c>
      <c r="AG967" s="98" t="str">
        <f t="shared" si="179"/>
        <v>000000000000</v>
      </c>
      <c r="AH967" s="161" t="str">
        <f t="shared" si="185"/>
        <v xml:space="preserve">                    </v>
      </c>
      <c r="AI967" s="154">
        <f t="shared" si="186"/>
        <v>0</v>
      </c>
      <c r="AJ967" s="155">
        <f t="shared" si="187"/>
        <v>0</v>
      </c>
      <c r="AP967" s="63" t="str">
        <f t="shared" si="188"/>
        <v/>
      </c>
      <c r="AQ967" s="63" t="str">
        <f t="shared" si="182"/>
        <v xml:space="preserve">                    </v>
      </c>
      <c r="AR967" s="63"/>
      <c r="AS967" s="63"/>
      <c r="AT967" s="63"/>
      <c r="AU967" s="63"/>
      <c r="AV967" s="63"/>
      <c r="AW967" s="63"/>
      <c r="AX967" s="63"/>
      <c r="AY967" s="63"/>
      <c r="AZ967" s="63"/>
      <c r="BA967" s="63"/>
      <c r="BB967" s="63"/>
      <c r="BC967" s="63"/>
      <c r="BD967" s="63"/>
      <c r="BE967" s="63"/>
      <c r="BF967" s="63"/>
      <c r="BG967" s="63"/>
      <c r="BH967" s="63"/>
      <c r="BI967" s="63"/>
      <c r="BJ967" s="63"/>
      <c r="BK967" s="63"/>
      <c r="BL967" s="63"/>
      <c r="BM967" s="63"/>
      <c r="BN967" s="63"/>
      <c r="BO967" s="63"/>
      <c r="BP967" s="63"/>
      <c r="BQ967" s="63"/>
      <c r="BR967" s="63"/>
      <c r="BS967" s="63"/>
      <c r="BT967" s="63"/>
      <c r="BU967" s="63"/>
      <c r="BV967" s="63"/>
      <c r="BW967" s="63"/>
    </row>
    <row r="968" spans="1:75" x14ac:dyDescent="0.2">
      <c r="A968" s="63" t="str">
        <f t="shared" si="189"/>
        <v/>
      </c>
      <c r="B968" s="182"/>
      <c r="C968" s="74"/>
      <c r="D968" s="74"/>
      <c r="E968" s="74"/>
      <c r="F968" s="181"/>
      <c r="G968" s="69"/>
      <c r="AB968" s="150">
        <f t="shared" si="180"/>
        <v>0</v>
      </c>
      <c r="AC968" s="150">
        <f t="shared" si="181"/>
        <v>0</v>
      </c>
      <c r="AD968" s="98" t="str">
        <f t="shared" ref="AD968:AD1000" si="190">TEXT(AB968,"0000000000")</f>
        <v>0000000000</v>
      </c>
      <c r="AE968" s="151">
        <f t="shared" si="183"/>
        <v>0</v>
      </c>
      <c r="AF968" s="98" t="str">
        <f t="shared" si="184"/>
        <v>00</v>
      </c>
      <c r="AG968" s="98" t="str">
        <f t="shared" ref="AG968:AG1000" si="191">CONCATENATE(AD968,AF968)</f>
        <v>000000000000</v>
      </c>
      <c r="AH968" s="161" t="str">
        <f t="shared" si="185"/>
        <v xml:space="preserve">                    </v>
      </c>
      <c r="AI968" s="154">
        <f t="shared" si="186"/>
        <v>0</v>
      </c>
      <c r="AJ968" s="155">
        <f t="shared" si="187"/>
        <v>0</v>
      </c>
      <c r="AP968" s="63" t="str">
        <f t="shared" si="188"/>
        <v/>
      </c>
      <c r="AQ968" s="63" t="str">
        <f t="shared" si="182"/>
        <v xml:space="preserve">                    </v>
      </c>
      <c r="AR968" s="63"/>
      <c r="AS968" s="63"/>
      <c r="AT968" s="63"/>
      <c r="AU968" s="63"/>
      <c r="AV968" s="63"/>
      <c r="AW968" s="63"/>
      <c r="AX968" s="63"/>
      <c r="AY968" s="63"/>
      <c r="AZ968" s="63"/>
      <c r="BA968" s="63"/>
      <c r="BB968" s="63"/>
      <c r="BC968" s="63"/>
      <c r="BD968" s="63"/>
      <c r="BE968" s="63"/>
      <c r="BF968" s="63"/>
      <c r="BG968" s="63"/>
      <c r="BH968" s="63"/>
      <c r="BI968" s="63"/>
      <c r="BJ968" s="63"/>
      <c r="BK968" s="63"/>
      <c r="BL968" s="63"/>
      <c r="BM968" s="63"/>
      <c r="BN968" s="63"/>
      <c r="BO968" s="63"/>
      <c r="BP968" s="63"/>
      <c r="BQ968" s="63"/>
      <c r="BR968" s="63"/>
      <c r="BS968" s="63"/>
      <c r="BT968" s="63"/>
      <c r="BU968" s="63"/>
      <c r="BV968" s="63"/>
      <c r="BW968" s="63"/>
    </row>
    <row r="969" spans="1:75" x14ac:dyDescent="0.2">
      <c r="A969" s="63" t="str">
        <f t="shared" si="189"/>
        <v/>
      </c>
      <c r="B969" s="182"/>
      <c r="C969" s="74"/>
      <c r="D969" s="74"/>
      <c r="E969" s="74"/>
      <c r="F969" s="181"/>
      <c r="G969" s="69"/>
      <c r="AB969" s="150">
        <f t="shared" si="180"/>
        <v>0</v>
      </c>
      <c r="AC969" s="150">
        <f t="shared" si="181"/>
        <v>0</v>
      </c>
      <c r="AD969" s="98" t="str">
        <f t="shared" si="190"/>
        <v>0000000000</v>
      </c>
      <c r="AE969" s="151">
        <f t="shared" si="183"/>
        <v>0</v>
      </c>
      <c r="AF969" s="98" t="str">
        <f t="shared" si="184"/>
        <v>00</v>
      </c>
      <c r="AG969" s="98" t="str">
        <f t="shared" si="191"/>
        <v>000000000000</v>
      </c>
      <c r="AH969" s="161" t="str">
        <f t="shared" si="185"/>
        <v xml:space="preserve">                    </v>
      </c>
      <c r="AI969" s="154">
        <f t="shared" si="186"/>
        <v>0</v>
      </c>
      <c r="AJ969" s="155">
        <f t="shared" si="187"/>
        <v>0</v>
      </c>
      <c r="AP969" s="63" t="str">
        <f t="shared" si="188"/>
        <v/>
      </c>
      <c r="AQ969" s="63" t="str">
        <f t="shared" si="182"/>
        <v xml:space="preserve">                    </v>
      </c>
      <c r="AR969" s="63"/>
      <c r="AS969" s="63"/>
      <c r="AT969" s="63"/>
      <c r="AU969" s="63"/>
      <c r="AV969" s="63"/>
      <c r="AW969" s="63"/>
      <c r="AX969" s="63"/>
      <c r="AY969" s="63"/>
      <c r="AZ969" s="63"/>
      <c r="BA969" s="63"/>
      <c r="BB969" s="63"/>
      <c r="BC969" s="63"/>
      <c r="BD969" s="63"/>
      <c r="BE969" s="63"/>
      <c r="BF969" s="63"/>
      <c r="BG969" s="63"/>
      <c r="BH969" s="63"/>
      <c r="BI969" s="63"/>
      <c r="BJ969" s="63"/>
      <c r="BK969" s="63"/>
      <c r="BL969" s="63"/>
      <c r="BM969" s="63"/>
      <c r="BN969" s="63"/>
      <c r="BO969" s="63"/>
      <c r="BP969" s="63"/>
      <c r="BQ969" s="63"/>
      <c r="BR969" s="63"/>
      <c r="BS969" s="63"/>
      <c r="BT969" s="63"/>
      <c r="BU969" s="63"/>
      <c r="BV969" s="63"/>
      <c r="BW969" s="63"/>
    </row>
    <row r="970" spans="1:75" x14ac:dyDescent="0.2">
      <c r="A970" s="63" t="str">
        <f t="shared" si="189"/>
        <v/>
      </c>
      <c r="B970" s="182"/>
      <c r="C970" s="74"/>
      <c r="D970" s="74"/>
      <c r="E970" s="74"/>
      <c r="F970" s="181"/>
      <c r="G970" s="69"/>
      <c r="AB970" s="150">
        <f t="shared" si="180"/>
        <v>0</v>
      </c>
      <c r="AC970" s="150">
        <f t="shared" si="181"/>
        <v>0</v>
      </c>
      <c r="AD970" s="98" t="str">
        <f t="shared" si="190"/>
        <v>0000000000</v>
      </c>
      <c r="AE970" s="151">
        <f t="shared" si="183"/>
        <v>0</v>
      </c>
      <c r="AF970" s="98" t="str">
        <f t="shared" si="184"/>
        <v>00</v>
      </c>
      <c r="AG970" s="98" t="str">
        <f t="shared" si="191"/>
        <v>000000000000</v>
      </c>
      <c r="AH970" s="161" t="str">
        <f t="shared" si="185"/>
        <v xml:space="preserve">                    </v>
      </c>
      <c r="AI970" s="154">
        <f t="shared" si="186"/>
        <v>0</v>
      </c>
      <c r="AJ970" s="155">
        <f t="shared" si="187"/>
        <v>0</v>
      </c>
      <c r="AP970" s="63" t="str">
        <f t="shared" si="188"/>
        <v/>
      </c>
      <c r="AQ970" s="63" t="str">
        <f t="shared" si="182"/>
        <v xml:space="preserve">                    </v>
      </c>
      <c r="AR970" s="63"/>
      <c r="AS970" s="63"/>
      <c r="AT970" s="63"/>
      <c r="AU970" s="63"/>
      <c r="AV970" s="63"/>
      <c r="AW970" s="63"/>
      <c r="AX970" s="63"/>
      <c r="AY970" s="63"/>
      <c r="AZ970" s="63"/>
      <c r="BA970" s="63"/>
      <c r="BB970" s="63"/>
      <c r="BC970" s="63"/>
      <c r="BD970" s="63"/>
      <c r="BE970" s="63"/>
      <c r="BF970" s="63"/>
      <c r="BG970" s="63"/>
      <c r="BH970" s="63"/>
      <c r="BI970" s="63"/>
      <c r="BJ970" s="63"/>
      <c r="BK970" s="63"/>
      <c r="BL970" s="63"/>
      <c r="BM970" s="63"/>
      <c r="BN970" s="63"/>
      <c r="BO970" s="63"/>
      <c r="BP970" s="63"/>
      <c r="BQ970" s="63"/>
      <c r="BR970" s="63"/>
      <c r="BS970" s="63"/>
      <c r="BT970" s="63"/>
      <c r="BU970" s="63"/>
      <c r="BV970" s="63"/>
      <c r="BW970" s="63"/>
    </row>
    <row r="971" spans="1:75" x14ac:dyDescent="0.2">
      <c r="A971" s="63" t="str">
        <f t="shared" si="189"/>
        <v/>
      </c>
      <c r="B971" s="182"/>
      <c r="C971" s="74"/>
      <c r="D971" s="74"/>
      <c r="E971" s="74"/>
      <c r="F971" s="181"/>
      <c r="G971" s="69"/>
      <c r="AB971" s="150">
        <f t="shared" si="180"/>
        <v>0</v>
      </c>
      <c r="AC971" s="150">
        <f t="shared" si="181"/>
        <v>0</v>
      </c>
      <c r="AD971" s="98" t="str">
        <f t="shared" si="190"/>
        <v>0000000000</v>
      </c>
      <c r="AE971" s="151">
        <f t="shared" si="183"/>
        <v>0</v>
      </c>
      <c r="AF971" s="98" t="str">
        <f t="shared" si="184"/>
        <v>00</v>
      </c>
      <c r="AG971" s="98" t="str">
        <f t="shared" si="191"/>
        <v>000000000000</v>
      </c>
      <c r="AH971" s="161" t="str">
        <f t="shared" si="185"/>
        <v xml:space="preserve">                    </v>
      </c>
      <c r="AI971" s="154">
        <f t="shared" si="186"/>
        <v>0</v>
      </c>
      <c r="AJ971" s="155">
        <f t="shared" si="187"/>
        <v>0</v>
      </c>
      <c r="AP971" s="63" t="str">
        <f t="shared" si="188"/>
        <v/>
      </c>
      <c r="AQ971" s="63" t="str">
        <f t="shared" si="182"/>
        <v xml:space="preserve">                    </v>
      </c>
      <c r="AR971" s="63"/>
      <c r="AS971" s="63"/>
      <c r="AT971" s="63"/>
      <c r="AU971" s="63"/>
      <c r="AV971" s="63"/>
      <c r="AW971" s="63"/>
      <c r="AX971" s="63"/>
      <c r="AY971" s="63"/>
      <c r="AZ971" s="63"/>
      <c r="BA971" s="63"/>
      <c r="BB971" s="63"/>
      <c r="BC971" s="63"/>
      <c r="BD971" s="63"/>
      <c r="BE971" s="63"/>
      <c r="BF971" s="63"/>
      <c r="BG971" s="63"/>
      <c r="BH971" s="63"/>
      <c r="BI971" s="63"/>
      <c r="BJ971" s="63"/>
      <c r="BK971" s="63"/>
      <c r="BL971" s="63"/>
      <c r="BM971" s="63"/>
      <c r="BN971" s="63"/>
      <c r="BO971" s="63"/>
      <c r="BP971" s="63"/>
      <c r="BQ971" s="63"/>
      <c r="BR971" s="63"/>
      <c r="BS971" s="63"/>
      <c r="BT971" s="63"/>
      <c r="BU971" s="63"/>
      <c r="BV971" s="63"/>
      <c r="BW971" s="63"/>
    </row>
    <row r="972" spans="1:75" x14ac:dyDescent="0.2">
      <c r="A972" s="63" t="str">
        <f t="shared" si="189"/>
        <v/>
      </c>
      <c r="B972" s="182"/>
      <c r="C972" s="74"/>
      <c r="D972" s="74"/>
      <c r="E972" s="74"/>
      <c r="F972" s="181"/>
      <c r="G972" s="69"/>
      <c r="AB972" s="150">
        <f t="shared" si="180"/>
        <v>0</v>
      </c>
      <c r="AC972" s="150">
        <f t="shared" si="181"/>
        <v>0</v>
      </c>
      <c r="AD972" s="98" t="str">
        <f t="shared" si="190"/>
        <v>0000000000</v>
      </c>
      <c r="AE972" s="151">
        <f t="shared" si="183"/>
        <v>0</v>
      </c>
      <c r="AF972" s="98" t="str">
        <f t="shared" si="184"/>
        <v>00</v>
      </c>
      <c r="AG972" s="98" t="str">
        <f t="shared" si="191"/>
        <v>000000000000</v>
      </c>
      <c r="AH972" s="161" t="str">
        <f t="shared" si="185"/>
        <v xml:space="preserve">                    </v>
      </c>
      <c r="AI972" s="154">
        <f t="shared" si="186"/>
        <v>0</v>
      </c>
      <c r="AJ972" s="155">
        <f t="shared" si="187"/>
        <v>0</v>
      </c>
      <c r="AP972" s="63" t="str">
        <f t="shared" si="188"/>
        <v/>
      </c>
      <c r="AQ972" s="63" t="str">
        <f t="shared" si="182"/>
        <v xml:space="preserve">                    </v>
      </c>
      <c r="AR972" s="63"/>
      <c r="AS972" s="63"/>
      <c r="AT972" s="63"/>
      <c r="AU972" s="63"/>
      <c r="AV972" s="63"/>
      <c r="AW972" s="63"/>
      <c r="AX972" s="63"/>
      <c r="AY972" s="63"/>
      <c r="AZ972" s="63"/>
      <c r="BA972" s="63"/>
      <c r="BB972" s="63"/>
      <c r="BC972" s="63"/>
      <c r="BD972" s="63"/>
      <c r="BE972" s="63"/>
      <c r="BF972" s="63"/>
      <c r="BG972" s="63"/>
      <c r="BH972" s="63"/>
      <c r="BI972" s="63"/>
      <c r="BJ972" s="63"/>
      <c r="BK972" s="63"/>
      <c r="BL972" s="63"/>
      <c r="BM972" s="63"/>
      <c r="BN972" s="63"/>
      <c r="BO972" s="63"/>
      <c r="BP972" s="63"/>
      <c r="BQ972" s="63"/>
      <c r="BR972" s="63"/>
      <c r="BS972" s="63"/>
      <c r="BT972" s="63"/>
      <c r="BU972" s="63"/>
      <c r="BV972" s="63"/>
      <c r="BW972" s="63"/>
    </row>
    <row r="973" spans="1:75" x14ac:dyDescent="0.2">
      <c r="A973" s="63" t="str">
        <f t="shared" si="189"/>
        <v/>
      </c>
      <c r="B973" s="182"/>
      <c r="C973" s="74"/>
      <c r="D973" s="74"/>
      <c r="E973" s="74"/>
      <c r="F973" s="181"/>
      <c r="G973" s="69"/>
      <c r="AB973" s="150">
        <f t="shared" si="180"/>
        <v>0</v>
      </c>
      <c r="AC973" s="150">
        <f t="shared" si="181"/>
        <v>0</v>
      </c>
      <c r="AD973" s="98" t="str">
        <f t="shared" si="190"/>
        <v>0000000000</v>
      </c>
      <c r="AE973" s="151">
        <f t="shared" si="183"/>
        <v>0</v>
      </c>
      <c r="AF973" s="98" t="str">
        <f t="shared" si="184"/>
        <v>00</v>
      </c>
      <c r="AG973" s="98" t="str">
        <f t="shared" si="191"/>
        <v>000000000000</v>
      </c>
      <c r="AH973" s="161" t="str">
        <f t="shared" si="185"/>
        <v xml:space="preserve">                    </v>
      </c>
      <c r="AI973" s="154">
        <f t="shared" si="186"/>
        <v>0</v>
      </c>
      <c r="AJ973" s="155">
        <f t="shared" si="187"/>
        <v>0</v>
      </c>
      <c r="AP973" s="63" t="str">
        <f t="shared" si="188"/>
        <v/>
      </c>
      <c r="AQ973" s="63" t="str">
        <f t="shared" si="182"/>
        <v xml:space="preserve">                    </v>
      </c>
      <c r="AR973" s="63"/>
      <c r="AS973" s="63"/>
      <c r="AT973" s="63"/>
      <c r="AU973" s="63"/>
      <c r="AV973" s="63"/>
      <c r="AW973" s="63"/>
      <c r="AX973" s="63"/>
      <c r="AY973" s="63"/>
      <c r="AZ973" s="63"/>
      <c r="BA973" s="63"/>
      <c r="BB973" s="63"/>
      <c r="BC973" s="63"/>
      <c r="BD973" s="63"/>
      <c r="BE973" s="63"/>
      <c r="BF973" s="63"/>
      <c r="BG973" s="63"/>
      <c r="BH973" s="63"/>
      <c r="BI973" s="63"/>
      <c r="BJ973" s="63"/>
      <c r="BK973" s="63"/>
      <c r="BL973" s="63"/>
      <c r="BM973" s="63"/>
      <c r="BN973" s="63"/>
      <c r="BO973" s="63"/>
      <c r="BP973" s="63"/>
      <c r="BQ973" s="63"/>
      <c r="BR973" s="63"/>
      <c r="BS973" s="63"/>
      <c r="BT973" s="63"/>
      <c r="BU973" s="63"/>
      <c r="BV973" s="63"/>
      <c r="BW973" s="63"/>
    </row>
    <row r="974" spans="1:75" x14ac:dyDescent="0.2">
      <c r="A974" s="63" t="str">
        <f t="shared" si="189"/>
        <v/>
      </c>
      <c r="B974" s="182"/>
      <c r="C974" s="74"/>
      <c r="D974" s="74"/>
      <c r="E974" s="74"/>
      <c r="F974" s="181"/>
      <c r="G974" s="69"/>
      <c r="AB974" s="150">
        <f t="shared" si="180"/>
        <v>0</v>
      </c>
      <c r="AC974" s="150">
        <f t="shared" si="181"/>
        <v>0</v>
      </c>
      <c r="AD974" s="98" t="str">
        <f t="shared" si="190"/>
        <v>0000000000</v>
      </c>
      <c r="AE974" s="151">
        <f t="shared" si="183"/>
        <v>0</v>
      </c>
      <c r="AF974" s="98" t="str">
        <f t="shared" si="184"/>
        <v>00</v>
      </c>
      <c r="AG974" s="98" t="str">
        <f t="shared" si="191"/>
        <v>000000000000</v>
      </c>
      <c r="AH974" s="161" t="str">
        <f t="shared" si="185"/>
        <v xml:space="preserve">                    </v>
      </c>
      <c r="AI974" s="154">
        <f t="shared" si="186"/>
        <v>0</v>
      </c>
      <c r="AJ974" s="155">
        <f t="shared" si="187"/>
        <v>0</v>
      </c>
      <c r="AP974" s="63" t="str">
        <f t="shared" si="188"/>
        <v/>
      </c>
      <c r="AQ974" s="63" t="str">
        <f t="shared" si="182"/>
        <v xml:space="preserve">                    </v>
      </c>
      <c r="AR974" s="63"/>
      <c r="AS974" s="63"/>
      <c r="AT974" s="63"/>
      <c r="AU974" s="63"/>
      <c r="AV974" s="63"/>
      <c r="AW974" s="63"/>
      <c r="AX974" s="63"/>
      <c r="AY974" s="63"/>
      <c r="AZ974" s="63"/>
      <c r="BA974" s="63"/>
      <c r="BB974" s="63"/>
      <c r="BC974" s="63"/>
      <c r="BD974" s="63"/>
      <c r="BE974" s="63"/>
      <c r="BF974" s="63"/>
      <c r="BG974" s="63"/>
      <c r="BH974" s="63"/>
      <c r="BI974" s="63"/>
      <c r="BJ974" s="63"/>
      <c r="BK974" s="63"/>
      <c r="BL974" s="63"/>
      <c r="BM974" s="63"/>
      <c r="BN974" s="63"/>
      <c r="BO974" s="63"/>
      <c r="BP974" s="63"/>
      <c r="BQ974" s="63"/>
      <c r="BR974" s="63"/>
      <c r="BS974" s="63"/>
      <c r="BT974" s="63"/>
      <c r="BU974" s="63"/>
      <c r="BV974" s="63"/>
      <c r="BW974" s="63"/>
    </row>
    <row r="975" spans="1:75" x14ac:dyDescent="0.2">
      <c r="A975" s="63" t="str">
        <f t="shared" si="189"/>
        <v/>
      </c>
      <c r="B975" s="182"/>
      <c r="C975" s="74"/>
      <c r="D975" s="74"/>
      <c r="E975" s="74"/>
      <c r="F975" s="181"/>
      <c r="G975" s="69"/>
      <c r="AB975" s="150">
        <f t="shared" si="180"/>
        <v>0</v>
      </c>
      <c r="AC975" s="150">
        <f t="shared" si="181"/>
        <v>0</v>
      </c>
      <c r="AD975" s="98" t="str">
        <f t="shared" si="190"/>
        <v>0000000000</v>
      </c>
      <c r="AE975" s="151">
        <f t="shared" si="183"/>
        <v>0</v>
      </c>
      <c r="AF975" s="98" t="str">
        <f t="shared" si="184"/>
        <v>00</v>
      </c>
      <c r="AG975" s="98" t="str">
        <f t="shared" si="191"/>
        <v>000000000000</v>
      </c>
      <c r="AH975" s="161" t="str">
        <f t="shared" si="185"/>
        <v xml:space="preserve">                    </v>
      </c>
      <c r="AI975" s="154">
        <f t="shared" si="186"/>
        <v>0</v>
      </c>
      <c r="AJ975" s="155">
        <f t="shared" si="187"/>
        <v>0</v>
      </c>
      <c r="AP975" s="63" t="str">
        <f t="shared" si="188"/>
        <v/>
      </c>
      <c r="AQ975" s="63" t="str">
        <f t="shared" si="182"/>
        <v xml:space="preserve">                    </v>
      </c>
      <c r="AR975" s="63"/>
      <c r="AS975" s="63"/>
      <c r="AT975" s="63"/>
      <c r="AU975" s="63"/>
      <c r="AV975" s="63"/>
      <c r="AW975" s="63"/>
      <c r="AX975" s="63"/>
      <c r="AY975" s="63"/>
      <c r="AZ975" s="63"/>
      <c r="BA975" s="63"/>
      <c r="BB975" s="63"/>
      <c r="BC975" s="63"/>
      <c r="BD975" s="63"/>
      <c r="BE975" s="63"/>
      <c r="BF975" s="63"/>
      <c r="BG975" s="63"/>
      <c r="BH975" s="63"/>
      <c r="BI975" s="63"/>
      <c r="BJ975" s="63"/>
      <c r="BK975" s="63"/>
      <c r="BL975" s="63"/>
      <c r="BM975" s="63"/>
      <c r="BN975" s="63"/>
      <c r="BO975" s="63"/>
      <c r="BP975" s="63"/>
      <c r="BQ975" s="63"/>
      <c r="BR975" s="63"/>
      <c r="BS975" s="63"/>
      <c r="BT975" s="63"/>
      <c r="BU975" s="63"/>
      <c r="BV975" s="63"/>
      <c r="BW975" s="63"/>
    </row>
    <row r="976" spans="1:75" x14ac:dyDescent="0.2">
      <c r="A976" s="63" t="str">
        <f t="shared" si="189"/>
        <v/>
      </c>
      <c r="B976" s="182"/>
      <c r="C976" s="74"/>
      <c r="D976" s="74"/>
      <c r="E976" s="74"/>
      <c r="F976" s="181"/>
      <c r="G976" s="69"/>
      <c r="AB976" s="150">
        <f t="shared" si="180"/>
        <v>0</v>
      </c>
      <c r="AC976" s="150">
        <f t="shared" si="181"/>
        <v>0</v>
      </c>
      <c r="AD976" s="98" t="str">
        <f t="shared" si="190"/>
        <v>0000000000</v>
      </c>
      <c r="AE976" s="151">
        <f t="shared" si="183"/>
        <v>0</v>
      </c>
      <c r="AF976" s="98" t="str">
        <f t="shared" si="184"/>
        <v>00</v>
      </c>
      <c r="AG976" s="98" t="str">
        <f t="shared" si="191"/>
        <v>000000000000</v>
      </c>
      <c r="AH976" s="161" t="str">
        <f t="shared" si="185"/>
        <v xml:space="preserve">                    </v>
      </c>
      <c r="AI976" s="154">
        <f t="shared" si="186"/>
        <v>0</v>
      </c>
      <c r="AJ976" s="155">
        <f t="shared" si="187"/>
        <v>0</v>
      </c>
      <c r="AP976" s="63" t="str">
        <f t="shared" si="188"/>
        <v/>
      </c>
      <c r="AQ976" s="63" t="str">
        <f t="shared" si="182"/>
        <v xml:space="preserve">                    </v>
      </c>
      <c r="AR976" s="63"/>
      <c r="AS976" s="63"/>
      <c r="AT976" s="63"/>
      <c r="AU976" s="63"/>
      <c r="AV976" s="63"/>
      <c r="AW976" s="63"/>
      <c r="AX976" s="63"/>
      <c r="AY976" s="63"/>
      <c r="AZ976" s="63"/>
      <c r="BA976" s="63"/>
      <c r="BB976" s="63"/>
      <c r="BC976" s="63"/>
      <c r="BD976" s="63"/>
      <c r="BE976" s="63"/>
      <c r="BF976" s="63"/>
      <c r="BG976" s="63"/>
      <c r="BH976" s="63"/>
      <c r="BI976" s="63"/>
      <c r="BJ976" s="63"/>
      <c r="BK976" s="63"/>
      <c r="BL976" s="63"/>
      <c r="BM976" s="63"/>
      <c r="BN976" s="63"/>
      <c r="BO976" s="63"/>
      <c r="BP976" s="63"/>
      <c r="BQ976" s="63"/>
      <c r="BR976" s="63"/>
      <c r="BS976" s="63"/>
      <c r="BT976" s="63"/>
      <c r="BU976" s="63"/>
      <c r="BV976" s="63"/>
      <c r="BW976" s="63"/>
    </row>
    <row r="977" spans="1:75" x14ac:dyDescent="0.2">
      <c r="A977" s="63" t="str">
        <f t="shared" si="189"/>
        <v/>
      </c>
      <c r="B977" s="182"/>
      <c r="C977" s="74"/>
      <c r="D977" s="74"/>
      <c r="E977" s="74"/>
      <c r="F977" s="181"/>
      <c r="G977" s="69"/>
      <c r="AB977" s="150">
        <f t="shared" si="180"/>
        <v>0</v>
      </c>
      <c r="AC977" s="150">
        <f t="shared" si="181"/>
        <v>0</v>
      </c>
      <c r="AD977" s="98" t="str">
        <f t="shared" si="190"/>
        <v>0000000000</v>
      </c>
      <c r="AE977" s="151">
        <f t="shared" si="183"/>
        <v>0</v>
      </c>
      <c r="AF977" s="98" t="str">
        <f t="shared" si="184"/>
        <v>00</v>
      </c>
      <c r="AG977" s="98" t="str">
        <f t="shared" si="191"/>
        <v>000000000000</v>
      </c>
      <c r="AH977" s="161" t="str">
        <f t="shared" si="185"/>
        <v xml:space="preserve">                    </v>
      </c>
      <c r="AI977" s="154">
        <f t="shared" si="186"/>
        <v>0</v>
      </c>
      <c r="AJ977" s="155">
        <f t="shared" si="187"/>
        <v>0</v>
      </c>
      <c r="AP977" s="63" t="str">
        <f t="shared" si="188"/>
        <v/>
      </c>
      <c r="AQ977" s="63" t="str">
        <f t="shared" si="182"/>
        <v xml:space="preserve">                    </v>
      </c>
      <c r="AR977" s="63"/>
      <c r="AS977" s="63"/>
      <c r="AT977" s="63"/>
      <c r="AU977" s="63"/>
      <c r="AV977" s="63"/>
      <c r="AW977" s="63"/>
      <c r="AX977" s="63"/>
      <c r="AY977" s="63"/>
      <c r="AZ977" s="63"/>
      <c r="BA977" s="63"/>
      <c r="BB977" s="63"/>
      <c r="BC977" s="63"/>
      <c r="BD977" s="63"/>
      <c r="BE977" s="63"/>
      <c r="BF977" s="63"/>
      <c r="BG977" s="63"/>
      <c r="BH977" s="63"/>
      <c r="BI977" s="63"/>
      <c r="BJ977" s="63"/>
      <c r="BK977" s="63"/>
      <c r="BL977" s="63"/>
      <c r="BM977" s="63"/>
      <c r="BN977" s="63"/>
      <c r="BO977" s="63"/>
      <c r="BP977" s="63"/>
      <c r="BQ977" s="63"/>
      <c r="BR977" s="63"/>
      <c r="BS977" s="63"/>
      <c r="BT977" s="63"/>
      <c r="BU977" s="63"/>
      <c r="BV977" s="63"/>
      <c r="BW977" s="63"/>
    </row>
    <row r="978" spans="1:75" x14ac:dyDescent="0.2">
      <c r="A978" s="63" t="str">
        <f t="shared" si="189"/>
        <v/>
      </c>
      <c r="B978" s="182"/>
      <c r="C978" s="74"/>
      <c r="D978" s="74"/>
      <c r="E978" s="74"/>
      <c r="F978" s="181"/>
      <c r="G978" s="69"/>
      <c r="AB978" s="150">
        <f t="shared" si="180"/>
        <v>0</v>
      </c>
      <c r="AC978" s="150">
        <f t="shared" si="181"/>
        <v>0</v>
      </c>
      <c r="AD978" s="98" t="str">
        <f t="shared" si="190"/>
        <v>0000000000</v>
      </c>
      <c r="AE978" s="151">
        <f t="shared" si="183"/>
        <v>0</v>
      </c>
      <c r="AF978" s="98" t="str">
        <f t="shared" si="184"/>
        <v>00</v>
      </c>
      <c r="AG978" s="98" t="str">
        <f t="shared" si="191"/>
        <v>000000000000</v>
      </c>
      <c r="AH978" s="161" t="str">
        <f t="shared" si="185"/>
        <v xml:space="preserve">                    </v>
      </c>
      <c r="AI978" s="154">
        <f t="shared" si="186"/>
        <v>0</v>
      </c>
      <c r="AJ978" s="155">
        <f t="shared" si="187"/>
        <v>0</v>
      </c>
      <c r="AP978" s="63" t="str">
        <f t="shared" si="188"/>
        <v/>
      </c>
      <c r="AQ978" s="63" t="str">
        <f t="shared" si="182"/>
        <v xml:space="preserve">                    </v>
      </c>
      <c r="AR978" s="63"/>
      <c r="AS978" s="63"/>
      <c r="AT978" s="63"/>
      <c r="AU978" s="63"/>
      <c r="AV978" s="63"/>
      <c r="AW978" s="63"/>
      <c r="AX978" s="63"/>
      <c r="AY978" s="63"/>
      <c r="AZ978" s="63"/>
      <c r="BA978" s="63"/>
      <c r="BB978" s="63"/>
      <c r="BC978" s="63"/>
      <c r="BD978" s="63"/>
      <c r="BE978" s="63"/>
      <c r="BF978" s="63"/>
      <c r="BG978" s="63"/>
      <c r="BH978" s="63"/>
      <c r="BI978" s="63"/>
      <c r="BJ978" s="63"/>
      <c r="BK978" s="63"/>
      <c r="BL978" s="63"/>
      <c r="BM978" s="63"/>
      <c r="BN978" s="63"/>
      <c r="BO978" s="63"/>
      <c r="BP978" s="63"/>
      <c r="BQ978" s="63"/>
      <c r="BR978" s="63"/>
      <c r="BS978" s="63"/>
      <c r="BT978" s="63"/>
      <c r="BU978" s="63"/>
      <c r="BV978" s="63"/>
      <c r="BW978" s="63"/>
    </row>
    <row r="979" spans="1:75" x14ac:dyDescent="0.2">
      <c r="A979" s="63" t="str">
        <f t="shared" si="189"/>
        <v/>
      </c>
      <c r="B979" s="182"/>
      <c r="C979" s="74"/>
      <c r="D979" s="74"/>
      <c r="E979" s="74"/>
      <c r="F979" s="181"/>
      <c r="G979" s="69"/>
      <c r="AB979" s="150">
        <f t="shared" si="180"/>
        <v>0</v>
      </c>
      <c r="AC979" s="150">
        <f t="shared" si="181"/>
        <v>0</v>
      </c>
      <c r="AD979" s="98" t="str">
        <f t="shared" si="190"/>
        <v>0000000000</v>
      </c>
      <c r="AE979" s="151">
        <f t="shared" si="183"/>
        <v>0</v>
      </c>
      <c r="AF979" s="98" t="str">
        <f t="shared" si="184"/>
        <v>00</v>
      </c>
      <c r="AG979" s="98" t="str">
        <f t="shared" si="191"/>
        <v>000000000000</v>
      </c>
      <c r="AH979" s="161" t="str">
        <f t="shared" si="185"/>
        <v xml:space="preserve">                    </v>
      </c>
      <c r="AI979" s="154">
        <f t="shared" si="186"/>
        <v>0</v>
      </c>
      <c r="AJ979" s="155">
        <f t="shared" si="187"/>
        <v>0</v>
      </c>
      <c r="AP979" s="63" t="str">
        <f t="shared" si="188"/>
        <v/>
      </c>
      <c r="AQ979" s="63" t="str">
        <f t="shared" si="182"/>
        <v xml:space="preserve">                    </v>
      </c>
      <c r="AR979" s="63"/>
      <c r="AS979" s="63"/>
      <c r="AT979" s="63"/>
      <c r="AU979" s="63"/>
      <c r="AV979" s="63"/>
      <c r="AW979" s="63"/>
      <c r="AX979" s="63"/>
      <c r="AY979" s="63"/>
      <c r="AZ979" s="63"/>
      <c r="BA979" s="63"/>
      <c r="BB979" s="63"/>
      <c r="BC979" s="63"/>
      <c r="BD979" s="63"/>
      <c r="BE979" s="63"/>
      <c r="BF979" s="63"/>
      <c r="BG979" s="63"/>
      <c r="BH979" s="63"/>
      <c r="BI979" s="63"/>
      <c r="BJ979" s="63"/>
      <c r="BK979" s="63"/>
      <c r="BL979" s="63"/>
      <c r="BM979" s="63"/>
      <c r="BN979" s="63"/>
      <c r="BO979" s="63"/>
      <c r="BP979" s="63"/>
      <c r="BQ979" s="63"/>
      <c r="BR979" s="63"/>
      <c r="BS979" s="63"/>
      <c r="BT979" s="63"/>
      <c r="BU979" s="63"/>
      <c r="BV979" s="63"/>
      <c r="BW979" s="63"/>
    </row>
    <row r="980" spans="1:75" x14ac:dyDescent="0.2">
      <c r="A980" s="63" t="str">
        <f t="shared" si="189"/>
        <v/>
      </c>
      <c r="B980" s="182"/>
      <c r="C980" s="74"/>
      <c r="D980" s="74"/>
      <c r="E980" s="74"/>
      <c r="F980" s="181"/>
      <c r="G980" s="69"/>
      <c r="AB980" s="150">
        <f t="shared" si="180"/>
        <v>0</v>
      </c>
      <c r="AC980" s="150">
        <f t="shared" si="181"/>
        <v>0</v>
      </c>
      <c r="AD980" s="98" t="str">
        <f t="shared" si="190"/>
        <v>0000000000</v>
      </c>
      <c r="AE980" s="151">
        <f t="shared" si="183"/>
        <v>0</v>
      </c>
      <c r="AF980" s="98" t="str">
        <f t="shared" si="184"/>
        <v>00</v>
      </c>
      <c r="AG980" s="98" t="str">
        <f t="shared" si="191"/>
        <v>000000000000</v>
      </c>
      <c r="AH980" s="161" t="str">
        <f t="shared" si="185"/>
        <v xml:space="preserve">                    </v>
      </c>
      <c r="AI980" s="154">
        <f t="shared" si="186"/>
        <v>0</v>
      </c>
      <c r="AJ980" s="155">
        <f t="shared" si="187"/>
        <v>0</v>
      </c>
      <c r="AP980" s="63" t="str">
        <f t="shared" si="188"/>
        <v/>
      </c>
      <c r="AQ980" s="63" t="str">
        <f t="shared" si="182"/>
        <v xml:space="preserve">                    </v>
      </c>
      <c r="AR980" s="63"/>
      <c r="AS980" s="63"/>
      <c r="AT980" s="63"/>
      <c r="AU980" s="63"/>
      <c r="AV980" s="63"/>
      <c r="AW980" s="63"/>
      <c r="AX980" s="63"/>
      <c r="AY980" s="63"/>
      <c r="AZ980" s="63"/>
      <c r="BA980" s="63"/>
      <c r="BB980" s="63"/>
      <c r="BC980" s="63"/>
      <c r="BD980" s="63"/>
      <c r="BE980" s="63"/>
      <c r="BF980" s="63"/>
      <c r="BG980" s="63"/>
      <c r="BH980" s="63"/>
      <c r="BI980" s="63"/>
      <c r="BJ980" s="63"/>
      <c r="BK980" s="63"/>
      <c r="BL980" s="63"/>
      <c r="BM980" s="63"/>
      <c r="BN980" s="63"/>
      <c r="BO980" s="63"/>
      <c r="BP980" s="63"/>
      <c r="BQ980" s="63"/>
      <c r="BR980" s="63"/>
      <c r="BS980" s="63"/>
      <c r="BT980" s="63"/>
      <c r="BU980" s="63"/>
      <c r="BV980" s="63"/>
      <c r="BW980" s="63"/>
    </row>
    <row r="981" spans="1:75" x14ac:dyDescent="0.2">
      <c r="A981" s="63" t="str">
        <f t="shared" si="189"/>
        <v/>
      </c>
      <c r="B981" s="182"/>
      <c r="C981" s="74"/>
      <c r="D981" s="74"/>
      <c r="E981" s="74"/>
      <c r="F981" s="181"/>
      <c r="G981" s="69"/>
      <c r="AB981" s="150">
        <f t="shared" si="180"/>
        <v>0</v>
      </c>
      <c r="AC981" s="150">
        <f t="shared" si="181"/>
        <v>0</v>
      </c>
      <c r="AD981" s="98" t="str">
        <f t="shared" si="190"/>
        <v>0000000000</v>
      </c>
      <c r="AE981" s="151">
        <f t="shared" si="183"/>
        <v>0</v>
      </c>
      <c r="AF981" s="98" t="str">
        <f t="shared" si="184"/>
        <v>00</v>
      </c>
      <c r="AG981" s="98" t="str">
        <f t="shared" si="191"/>
        <v>000000000000</v>
      </c>
      <c r="AH981" s="161" t="str">
        <f t="shared" si="185"/>
        <v xml:space="preserve">                    </v>
      </c>
      <c r="AI981" s="154">
        <f t="shared" si="186"/>
        <v>0</v>
      </c>
      <c r="AJ981" s="155">
        <f t="shared" si="187"/>
        <v>0</v>
      </c>
      <c r="AP981" s="63" t="str">
        <f t="shared" si="188"/>
        <v/>
      </c>
      <c r="AQ981" s="63" t="str">
        <f t="shared" si="182"/>
        <v xml:space="preserve">                    </v>
      </c>
      <c r="AR981" s="63"/>
      <c r="AS981" s="63"/>
      <c r="AT981" s="63"/>
      <c r="AU981" s="63"/>
      <c r="AV981" s="63"/>
      <c r="AW981" s="63"/>
      <c r="AX981" s="63"/>
      <c r="AY981" s="63"/>
      <c r="AZ981" s="63"/>
      <c r="BA981" s="63"/>
      <c r="BB981" s="63"/>
      <c r="BC981" s="63"/>
      <c r="BD981" s="63"/>
      <c r="BE981" s="63"/>
      <c r="BF981" s="63"/>
      <c r="BG981" s="63"/>
      <c r="BH981" s="63"/>
      <c r="BI981" s="63"/>
      <c r="BJ981" s="63"/>
      <c r="BK981" s="63"/>
      <c r="BL981" s="63"/>
      <c r="BM981" s="63"/>
      <c r="BN981" s="63"/>
      <c r="BO981" s="63"/>
      <c r="BP981" s="63"/>
      <c r="BQ981" s="63"/>
      <c r="BR981" s="63"/>
      <c r="BS981" s="63"/>
      <c r="BT981" s="63"/>
      <c r="BU981" s="63"/>
      <c r="BV981" s="63"/>
      <c r="BW981" s="63"/>
    </row>
    <row r="982" spans="1:75" x14ac:dyDescent="0.2">
      <c r="A982" s="63" t="str">
        <f t="shared" si="189"/>
        <v/>
      </c>
      <c r="B982" s="182"/>
      <c r="C982" s="74"/>
      <c r="D982" s="74"/>
      <c r="E982" s="74"/>
      <c r="F982" s="181"/>
      <c r="G982" s="69"/>
      <c r="AB982" s="150">
        <f t="shared" si="180"/>
        <v>0</v>
      </c>
      <c r="AC982" s="150">
        <f t="shared" si="181"/>
        <v>0</v>
      </c>
      <c r="AD982" s="98" t="str">
        <f t="shared" si="190"/>
        <v>0000000000</v>
      </c>
      <c r="AE982" s="151">
        <f t="shared" si="183"/>
        <v>0</v>
      </c>
      <c r="AF982" s="98" t="str">
        <f t="shared" si="184"/>
        <v>00</v>
      </c>
      <c r="AG982" s="98" t="str">
        <f t="shared" si="191"/>
        <v>000000000000</v>
      </c>
      <c r="AH982" s="161" t="str">
        <f t="shared" si="185"/>
        <v xml:space="preserve">                    </v>
      </c>
      <c r="AI982" s="154">
        <f t="shared" si="186"/>
        <v>0</v>
      </c>
      <c r="AJ982" s="155">
        <f t="shared" si="187"/>
        <v>0</v>
      </c>
      <c r="AP982" s="63" t="str">
        <f t="shared" si="188"/>
        <v/>
      </c>
      <c r="AQ982" s="63" t="str">
        <f t="shared" si="182"/>
        <v xml:space="preserve">                    </v>
      </c>
      <c r="AR982" s="63"/>
      <c r="AS982" s="63"/>
      <c r="AT982" s="63"/>
      <c r="AU982" s="63"/>
      <c r="AV982" s="63"/>
      <c r="AW982" s="63"/>
      <c r="AX982" s="63"/>
      <c r="AY982" s="63"/>
      <c r="AZ982" s="63"/>
      <c r="BA982" s="63"/>
      <c r="BB982" s="63"/>
      <c r="BC982" s="63"/>
      <c r="BD982" s="63"/>
      <c r="BE982" s="63"/>
      <c r="BF982" s="63"/>
      <c r="BG982" s="63"/>
      <c r="BH982" s="63"/>
      <c r="BI982" s="63"/>
      <c r="BJ982" s="63"/>
      <c r="BK982" s="63"/>
      <c r="BL982" s="63"/>
      <c r="BM982" s="63"/>
      <c r="BN982" s="63"/>
      <c r="BO982" s="63"/>
      <c r="BP982" s="63"/>
      <c r="BQ982" s="63"/>
      <c r="BR982" s="63"/>
      <c r="BS982" s="63"/>
      <c r="BT982" s="63"/>
      <c r="BU982" s="63"/>
      <c r="BV982" s="63"/>
      <c r="BW982" s="63"/>
    </row>
    <row r="983" spans="1:75" x14ac:dyDescent="0.2">
      <c r="A983" s="63" t="str">
        <f t="shared" si="189"/>
        <v/>
      </c>
      <c r="B983" s="182"/>
      <c r="C983" s="74"/>
      <c r="D983" s="74"/>
      <c r="E983" s="74"/>
      <c r="F983" s="181"/>
      <c r="G983" s="69"/>
      <c r="AB983" s="150">
        <f t="shared" si="180"/>
        <v>0</v>
      </c>
      <c r="AC983" s="150">
        <f t="shared" si="181"/>
        <v>0</v>
      </c>
      <c r="AD983" s="98" t="str">
        <f t="shared" si="190"/>
        <v>0000000000</v>
      </c>
      <c r="AE983" s="151">
        <f t="shared" si="183"/>
        <v>0</v>
      </c>
      <c r="AF983" s="98" t="str">
        <f t="shared" si="184"/>
        <v>00</v>
      </c>
      <c r="AG983" s="98" t="str">
        <f t="shared" si="191"/>
        <v>000000000000</v>
      </c>
      <c r="AH983" s="161" t="str">
        <f t="shared" si="185"/>
        <v xml:space="preserve">                    </v>
      </c>
      <c r="AI983" s="154">
        <f t="shared" si="186"/>
        <v>0</v>
      </c>
      <c r="AJ983" s="155">
        <f t="shared" si="187"/>
        <v>0</v>
      </c>
      <c r="AP983" s="63" t="str">
        <f t="shared" si="188"/>
        <v/>
      </c>
      <c r="AQ983" s="63" t="str">
        <f t="shared" si="182"/>
        <v xml:space="preserve">                    </v>
      </c>
      <c r="AR983" s="63"/>
      <c r="AS983" s="63"/>
      <c r="AT983" s="63"/>
      <c r="AU983" s="63"/>
      <c r="AV983" s="63"/>
      <c r="AW983" s="63"/>
      <c r="AX983" s="63"/>
      <c r="AY983" s="63"/>
      <c r="AZ983" s="63"/>
      <c r="BA983" s="63"/>
      <c r="BB983" s="63"/>
      <c r="BC983" s="63"/>
      <c r="BD983" s="63"/>
      <c r="BE983" s="63"/>
      <c r="BF983" s="63"/>
      <c r="BG983" s="63"/>
      <c r="BH983" s="63"/>
      <c r="BI983" s="63"/>
      <c r="BJ983" s="63"/>
      <c r="BK983" s="63"/>
      <c r="BL983" s="63"/>
      <c r="BM983" s="63"/>
      <c r="BN983" s="63"/>
      <c r="BO983" s="63"/>
      <c r="BP983" s="63"/>
      <c r="BQ983" s="63"/>
      <c r="BR983" s="63"/>
      <c r="BS983" s="63"/>
      <c r="BT983" s="63"/>
      <c r="BU983" s="63"/>
      <c r="BV983" s="63"/>
      <c r="BW983" s="63"/>
    </row>
    <row r="984" spans="1:75" x14ac:dyDescent="0.2">
      <c r="A984" s="63" t="str">
        <f t="shared" si="189"/>
        <v/>
      </c>
      <c r="B984" s="182"/>
      <c r="C984" s="74"/>
      <c r="D984" s="74"/>
      <c r="E984" s="74"/>
      <c r="F984" s="181"/>
      <c r="G984" s="69"/>
      <c r="AB984" s="150">
        <f t="shared" si="180"/>
        <v>0</v>
      </c>
      <c r="AC984" s="150">
        <f t="shared" si="181"/>
        <v>0</v>
      </c>
      <c r="AD984" s="98" t="str">
        <f t="shared" si="190"/>
        <v>0000000000</v>
      </c>
      <c r="AE984" s="151">
        <f t="shared" si="183"/>
        <v>0</v>
      </c>
      <c r="AF984" s="98" t="str">
        <f t="shared" si="184"/>
        <v>00</v>
      </c>
      <c r="AG984" s="98" t="str">
        <f t="shared" si="191"/>
        <v>000000000000</v>
      </c>
      <c r="AH984" s="161" t="str">
        <f t="shared" si="185"/>
        <v xml:space="preserve">                    </v>
      </c>
      <c r="AI984" s="154">
        <f t="shared" si="186"/>
        <v>0</v>
      </c>
      <c r="AJ984" s="155">
        <f t="shared" si="187"/>
        <v>0</v>
      </c>
      <c r="AP984" s="63" t="str">
        <f t="shared" si="188"/>
        <v/>
      </c>
      <c r="AQ984" s="63" t="str">
        <f t="shared" si="182"/>
        <v xml:space="preserve">                    </v>
      </c>
      <c r="AR984" s="63"/>
      <c r="AS984" s="63"/>
      <c r="AT984" s="63"/>
      <c r="AU984" s="63"/>
      <c r="AV984" s="63"/>
      <c r="AW984" s="63"/>
      <c r="AX984" s="63"/>
      <c r="AY984" s="63"/>
      <c r="AZ984" s="63"/>
      <c r="BA984" s="63"/>
      <c r="BB984" s="63"/>
      <c r="BC984" s="63"/>
      <c r="BD984" s="63"/>
      <c r="BE984" s="63"/>
      <c r="BF984" s="63"/>
      <c r="BG984" s="63"/>
      <c r="BH984" s="63"/>
      <c r="BI984" s="63"/>
      <c r="BJ984" s="63"/>
      <c r="BK984" s="63"/>
      <c r="BL984" s="63"/>
      <c r="BM984" s="63"/>
      <c r="BN984" s="63"/>
      <c r="BO984" s="63"/>
      <c r="BP984" s="63"/>
      <c r="BQ984" s="63"/>
      <c r="BR984" s="63"/>
      <c r="BS984" s="63"/>
      <c r="BT984" s="63"/>
      <c r="BU984" s="63"/>
      <c r="BV984" s="63"/>
      <c r="BW984" s="63"/>
    </row>
    <row r="985" spans="1:75" x14ac:dyDescent="0.2">
      <c r="A985" s="63" t="str">
        <f t="shared" si="189"/>
        <v/>
      </c>
      <c r="B985" s="182"/>
      <c r="C985" s="74"/>
      <c r="D985" s="74"/>
      <c r="E985" s="74"/>
      <c r="F985" s="181"/>
      <c r="G985" s="69"/>
      <c r="AB985" s="150">
        <f t="shared" si="180"/>
        <v>0</v>
      </c>
      <c r="AC985" s="150">
        <f t="shared" si="181"/>
        <v>0</v>
      </c>
      <c r="AD985" s="98" t="str">
        <f t="shared" si="190"/>
        <v>0000000000</v>
      </c>
      <c r="AE985" s="151">
        <f t="shared" si="183"/>
        <v>0</v>
      </c>
      <c r="AF985" s="98" t="str">
        <f t="shared" si="184"/>
        <v>00</v>
      </c>
      <c r="AG985" s="98" t="str">
        <f t="shared" si="191"/>
        <v>000000000000</v>
      </c>
      <c r="AH985" s="161" t="str">
        <f t="shared" si="185"/>
        <v xml:space="preserve">                    </v>
      </c>
      <c r="AI985" s="154">
        <f t="shared" si="186"/>
        <v>0</v>
      </c>
      <c r="AJ985" s="155">
        <f t="shared" si="187"/>
        <v>0</v>
      </c>
      <c r="AP985" s="63" t="str">
        <f t="shared" si="188"/>
        <v/>
      </c>
      <c r="AQ985" s="63" t="str">
        <f t="shared" si="182"/>
        <v xml:space="preserve">                    </v>
      </c>
      <c r="AR985" s="63"/>
      <c r="AS985" s="63"/>
      <c r="AT985" s="63"/>
      <c r="AU985" s="63"/>
      <c r="AV985" s="63"/>
      <c r="AW985" s="63"/>
      <c r="AX985" s="63"/>
      <c r="AY985" s="63"/>
      <c r="AZ985" s="63"/>
      <c r="BA985" s="63"/>
      <c r="BB985" s="63"/>
      <c r="BC985" s="63"/>
      <c r="BD985" s="63"/>
      <c r="BE985" s="63"/>
      <c r="BF985" s="63"/>
      <c r="BG985" s="63"/>
      <c r="BH985" s="63"/>
      <c r="BI985" s="63"/>
      <c r="BJ985" s="63"/>
      <c r="BK985" s="63"/>
      <c r="BL985" s="63"/>
      <c r="BM985" s="63"/>
      <c r="BN985" s="63"/>
      <c r="BO985" s="63"/>
      <c r="BP985" s="63"/>
      <c r="BQ985" s="63"/>
      <c r="BR985" s="63"/>
      <c r="BS985" s="63"/>
      <c r="BT985" s="63"/>
      <c r="BU985" s="63"/>
      <c r="BV985" s="63"/>
      <c r="BW985" s="63"/>
    </row>
    <row r="986" spans="1:75" x14ac:dyDescent="0.2">
      <c r="A986" s="63" t="str">
        <f t="shared" si="189"/>
        <v/>
      </c>
      <c r="B986" s="182"/>
      <c r="C986" s="74"/>
      <c r="D986" s="74"/>
      <c r="E986" s="74"/>
      <c r="F986" s="181"/>
      <c r="G986" s="69"/>
      <c r="AB986" s="150">
        <f t="shared" si="180"/>
        <v>0</v>
      </c>
      <c r="AC986" s="150">
        <f t="shared" si="181"/>
        <v>0</v>
      </c>
      <c r="AD986" s="98" t="str">
        <f t="shared" si="190"/>
        <v>0000000000</v>
      </c>
      <c r="AE986" s="151">
        <f t="shared" si="183"/>
        <v>0</v>
      </c>
      <c r="AF986" s="98" t="str">
        <f t="shared" si="184"/>
        <v>00</v>
      </c>
      <c r="AG986" s="98" t="str">
        <f t="shared" si="191"/>
        <v>000000000000</v>
      </c>
      <c r="AH986" s="161" t="str">
        <f t="shared" si="185"/>
        <v xml:space="preserve">                    </v>
      </c>
      <c r="AI986" s="154">
        <f t="shared" si="186"/>
        <v>0</v>
      </c>
      <c r="AJ986" s="155">
        <f t="shared" si="187"/>
        <v>0</v>
      </c>
      <c r="AP986" s="63" t="str">
        <f t="shared" si="188"/>
        <v/>
      </c>
      <c r="AQ986" s="63" t="str">
        <f t="shared" si="182"/>
        <v xml:space="preserve">                    </v>
      </c>
      <c r="AR986" s="63"/>
      <c r="AS986" s="63"/>
      <c r="AT986" s="63"/>
      <c r="AU986" s="63"/>
      <c r="AV986" s="63"/>
      <c r="AW986" s="63"/>
      <c r="AX986" s="63"/>
      <c r="AY986" s="63"/>
      <c r="AZ986" s="63"/>
      <c r="BA986" s="63"/>
      <c r="BB986" s="63"/>
      <c r="BC986" s="63"/>
      <c r="BD986" s="63"/>
      <c r="BE986" s="63"/>
      <c r="BF986" s="63"/>
      <c r="BG986" s="63"/>
      <c r="BH986" s="63"/>
      <c r="BI986" s="63"/>
      <c r="BJ986" s="63"/>
      <c r="BK986" s="63"/>
      <c r="BL986" s="63"/>
      <c r="BM986" s="63"/>
      <c r="BN986" s="63"/>
      <c r="BO986" s="63"/>
      <c r="BP986" s="63"/>
      <c r="BQ986" s="63"/>
      <c r="BR986" s="63"/>
      <c r="BS986" s="63"/>
      <c r="BT986" s="63"/>
      <c r="BU986" s="63"/>
      <c r="BV986" s="63"/>
      <c r="BW986" s="63"/>
    </row>
    <row r="987" spans="1:75" x14ac:dyDescent="0.2">
      <c r="A987" s="63" t="str">
        <f t="shared" si="189"/>
        <v/>
      </c>
      <c r="B987" s="182"/>
      <c r="C987" s="74"/>
      <c r="D987" s="74"/>
      <c r="E987" s="74"/>
      <c r="F987" s="181"/>
      <c r="G987" s="69"/>
      <c r="AB987" s="150">
        <f t="shared" si="180"/>
        <v>0</v>
      </c>
      <c r="AC987" s="150">
        <f t="shared" si="181"/>
        <v>0</v>
      </c>
      <c r="AD987" s="98" t="str">
        <f t="shared" si="190"/>
        <v>0000000000</v>
      </c>
      <c r="AE987" s="151">
        <f t="shared" si="183"/>
        <v>0</v>
      </c>
      <c r="AF987" s="98" t="str">
        <f t="shared" si="184"/>
        <v>00</v>
      </c>
      <c r="AG987" s="98" t="str">
        <f t="shared" si="191"/>
        <v>000000000000</v>
      </c>
      <c r="AH987" s="161" t="str">
        <f t="shared" si="185"/>
        <v xml:space="preserve">                    </v>
      </c>
      <c r="AI987" s="154">
        <f t="shared" si="186"/>
        <v>0</v>
      </c>
      <c r="AJ987" s="155">
        <f t="shared" si="187"/>
        <v>0</v>
      </c>
      <c r="AP987" s="63" t="str">
        <f t="shared" si="188"/>
        <v/>
      </c>
      <c r="AQ987" s="63" t="str">
        <f t="shared" si="182"/>
        <v xml:space="preserve">                    </v>
      </c>
      <c r="AR987" s="63"/>
      <c r="AS987" s="63"/>
      <c r="AT987" s="63"/>
      <c r="AU987" s="63"/>
      <c r="AV987" s="63"/>
      <c r="AW987" s="63"/>
      <c r="AX987" s="63"/>
      <c r="AY987" s="63"/>
      <c r="AZ987" s="63"/>
      <c r="BA987" s="63"/>
      <c r="BB987" s="63"/>
      <c r="BC987" s="63"/>
      <c r="BD987" s="63"/>
      <c r="BE987" s="63"/>
      <c r="BF987" s="63"/>
      <c r="BG987" s="63"/>
      <c r="BH987" s="63"/>
      <c r="BI987" s="63"/>
      <c r="BJ987" s="63"/>
      <c r="BK987" s="63"/>
      <c r="BL987" s="63"/>
      <c r="BM987" s="63"/>
      <c r="BN987" s="63"/>
      <c r="BO987" s="63"/>
      <c r="BP987" s="63"/>
      <c r="BQ987" s="63"/>
      <c r="BR987" s="63"/>
      <c r="BS987" s="63"/>
      <c r="BT987" s="63"/>
      <c r="BU987" s="63"/>
      <c r="BV987" s="63"/>
      <c r="BW987" s="63"/>
    </row>
    <row r="988" spans="1:75" x14ac:dyDescent="0.2">
      <c r="A988" s="63" t="str">
        <f t="shared" si="189"/>
        <v/>
      </c>
      <c r="B988" s="182"/>
      <c r="C988" s="74"/>
      <c r="D988" s="74"/>
      <c r="E988" s="74"/>
      <c r="F988" s="181"/>
      <c r="G988" s="69"/>
      <c r="AB988" s="150">
        <f t="shared" si="180"/>
        <v>0</v>
      </c>
      <c r="AC988" s="150">
        <f t="shared" si="181"/>
        <v>0</v>
      </c>
      <c r="AD988" s="98" t="str">
        <f t="shared" si="190"/>
        <v>0000000000</v>
      </c>
      <c r="AE988" s="151">
        <f t="shared" si="183"/>
        <v>0</v>
      </c>
      <c r="AF988" s="98" t="str">
        <f t="shared" si="184"/>
        <v>00</v>
      </c>
      <c r="AG988" s="98" t="str">
        <f t="shared" si="191"/>
        <v>000000000000</v>
      </c>
      <c r="AH988" s="161" t="str">
        <f t="shared" si="185"/>
        <v xml:space="preserve">                    </v>
      </c>
      <c r="AI988" s="154">
        <f t="shared" si="186"/>
        <v>0</v>
      </c>
      <c r="AJ988" s="155">
        <f t="shared" si="187"/>
        <v>0</v>
      </c>
      <c r="AP988" s="63" t="str">
        <f t="shared" si="188"/>
        <v/>
      </c>
      <c r="AQ988" s="63" t="str">
        <f t="shared" si="182"/>
        <v xml:space="preserve">                    </v>
      </c>
      <c r="AR988" s="63"/>
      <c r="AS988" s="63"/>
      <c r="AT988" s="63"/>
      <c r="AU988" s="63"/>
      <c r="AV988" s="63"/>
      <c r="AW988" s="63"/>
      <c r="AX988" s="63"/>
      <c r="AY988" s="63"/>
      <c r="AZ988" s="63"/>
      <c r="BA988" s="63"/>
      <c r="BB988" s="63"/>
      <c r="BC988" s="63"/>
      <c r="BD988" s="63"/>
      <c r="BE988" s="63"/>
      <c r="BF988" s="63"/>
      <c r="BG988" s="63"/>
      <c r="BH988" s="63"/>
      <c r="BI988" s="63"/>
      <c r="BJ988" s="63"/>
      <c r="BK988" s="63"/>
      <c r="BL988" s="63"/>
      <c r="BM988" s="63"/>
      <c r="BN988" s="63"/>
      <c r="BO988" s="63"/>
      <c r="BP988" s="63"/>
      <c r="BQ988" s="63"/>
      <c r="BR988" s="63"/>
      <c r="BS988" s="63"/>
      <c r="BT988" s="63"/>
      <c r="BU988" s="63"/>
      <c r="BV988" s="63"/>
      <c r="BW988" s="63"/>
    </row>
    <row r="989" spans="1:75" x14ac:dyDescent="0.2">
      <c r="A989" s="63" t="str">
        <f t="shared" si="189"/>
        <v/>
      </c>
      <c r="B989" s="182"/>
      <c r="C989" s="74"/>
      <c r="D989" s="74"/>
      <c r="E989" s="74"/>
      <c r="F989" s="181"/>
      <c r="G989" s="69"/>
      <c r="AB989" s="150">
        <f t="shared" si="180"/>
        <v>0</v>
      </c>
      <c r="AC989" s="150">
        <f t="shared" si="181"/>
        <v>0</v>
      </c>
      <c r="AD989" s="98" t="str">
        <f t="shared" si="190"/>
        <v>0000000000</v>
      </c>
      <c r="AE989" s="151">
        <f t="shared" si="183"/>
        <v>0</v>
      </c>
      <c r="AF989" s="98" t="str">
        <f t="shared" si="184"/>
        <v>00</v>
      </c>
      <c r="AG989" s="98" t="str">
        <f t="shared" si="191"/>
        <v>000000000000</v>
      </c>
      <c r="AH989" s="161" t="str">
        <f t="shared" si="185"/>
        <v xml:space="preserve">                    </v>
      </c>
      <c r="AI989" s="154">
        <f t="shared" si="186"/>
        <v>0</v>
      </c>
      <c r="AJ989" s="155">
        <f t="shared" si="187"/>
        <v>0</v>
      </c>
      <c r="AP989" s="63" t="str">
        <f t="shared" si="188"/>
        <v/>
      </c>
      <c r="AQ989" s="63" t="str">
        <f t="shared" si="182"/>
        <v xml:space="preserve">                    </v>
      </c>
      <c r="AR989" s="63"/>
      <c r="AS989" s="63"/>
      <c r="AT989" s="63"/>
      <c r="AU989" s="63"/>
      <c r="AV989" s="63"/>
      <c r="AW989" s="63"/>
      <c r="AX989" s="63"/>
      <c r="AY989" s="63"/>
      <c r="AZ989" s="63"/>
      <c r="BA989" s="63"/>
      <c r="BB989" s="63"/>
      <c r="BC989" s="63"/>
      <c r="BD989" s="63"/>
      <c r="BE989" s="63"/>
      <c r="BF989" s="63"/>
      <c r="BG989" s="63"/>
      <c r="BH989" s="63"/>
      <c r="BI989" s="63"/>
      <c r="BJ989" s="63"/>
      <c r="BK989" s="63"/>
      <c r="BL989" s="63"/>
      <c r="BM989" s="63"/>
      <c r="BN989" s="63"/>
      <c r="BO989" s="63"/>
      <c r="BP989" s="63"/>
      <c r="BQ989" s="63"/>
      <c r="BR989" s="63"/>
      <c r="BS989" s="63"/>
      <c r="BT989" s="63"/>
      <c r="BU989" s="63"/>
      <c r="BV989" s="63"/>
      <c r="BW989" s="63"/>
    </row>
    <row r="990" spans="1:75" x14ac:dyDescent="0.2">
      <c r="A990" s="63" t="str">
        <f t="shared" si="189"/>
        <v/>
      </c>
      <c r="B990" s="182"/>
      <c r="C990" s="74"/>
      <c r="D990" s="74"/>
      <c r="E990" s="74"/>
      <c r="F990" s="181"/>
      <c r="G990" s="69"/>
      <c r="AB990" s="150">
        <f t="shared" si="180"/>
        <v>0</v>
      </c>
      <c r="AC990" s="150">
        <f t="shared" si="181"/>
        <v>0</v>
      </c>
      <c r="AD990" s="98" t="str">
        <f t="shared" si="190"/>
        <v>0000000000</v>
      </c>
      <c r="AE990" s="151">
        <f t="shared" si="183"/>
        <v>0</v>
      </c>
      <c r="AF990" s="98" t="str">
        <f t="shared" si="184"/>
        <v>00</v>
      </c>
      <c r="AG990" s="98" t="str">
        <f t="shared" si="191"/>
        <v>000000000000</v>
      </c>
      <c r="AH990" s="161" t="str">
        <f t="shared" si="185"/>
        <v xml:space="preserve">                    </v>
      </c>
      <c r="AI990" s="154">
        <f t="shared" si="186"/>
        <v>0</v>
      </c>
      <c r="AJ990" s="155">
        <f t="shared" si="187"/>
        <v>0</v>
      </c>
      <c r="AP990" s="63" t="str">
        <f t="shared" si="188"/>
        <v/>
      </c>
      <c r="AQ990" s="63" t="str">
        <f t="shared" si="182"/>
        <v xml:space="preserve">                    </v>
      </c>
      <c r="AR990" s="63"/>
      <c r="AS990" s="63"/>
      <c r="AT990" s="63"/>
      <c r="AU990" s="63"/>
      <c r="AV990" s="63"/>
      <c r="AW990" s="63"/>
      <c r="AX990" s="63"/>
      <c r="AY990" s="63"/>
      <c r="AZ990" s="63"/>
      <c r="BA990" s="63"/>
      <c r="BB990" s="63"/>
      <c r="BC990" s="63"/>
      <c r="BD990" s="63"/>
      <c r="BE990" s="63"/>
      <c r="BF990" s="63"/>
      <c r="BG990" s="63"/>
      <c r="BH990" s="63"/>
      <c r="BI990" s="63"/>
      <c r="BJ990" s="63"/>
      <c r="BK990" s="63"/>
      <c r="BL990" s="63"/>
      <c r="BM990" s="63"/>
      <c r="BN990" s="63"/>
      <c r="BO990" s="63"/>
      <c r="BP990" s="63"/>
      <c r="BQ990" s="63"/>
      <c r="BR990" s="63"/>
      <c r="BS990" s="63"/>
      <c r="BT990" s="63"/>
      <c r="BU990" s="63"/>
      <c r="BV990" s="63"/>
      <c r="BW990" s="63"/>
    </row>
    <row r="991" spans="1:75" x14ac:dyDescent="0.2">
      <c r="A991" s="63" t="str">
        <f t="shared" si="189"/>
        <v/>
      </c>
      <c r="B991" s="182"/>
      <c r="C991" s="74"/>
      <c r="D991" s="74"/>
      <c r="E991" s="74"/>
      <c r="F991" s="181"/>
      <c r="G991" s="69"/>
      <c r="AB991" s="150">
        <f t="shared" si="180"/>
        <v>0</v>
      </c>
      <c r="AC991" s="150">
        <f t="shared" si="181"/>
        <v>0</v>
      </c>
      <c r="AD991" s="98" t="str">
        <f t="shared" si="190"/>
        <v>0000000000</v>
      </c>
      <c r="AE991" s="151">
        <f t="shared" si="183"/>
        <v>0</v>
      </c>
      <c r="AF991" s="98" t="str">
        <f t="shared" si="184"/>
        <v>00</v>
      </c>
      <c r="AG991" s="98" t="str">
        <f t="shared" si="191"/>
        <v>000000000000</v>
      </c>
      <c r="AH991" s="161" t="str">
        <f t="shared" si="185"/>
        <v xml:space="preserve">                    </v>
      </c>
      <c r="AI991" s="154">
        <f t="shared" si="186"/>
        <v>0</v>
      </c>
      <c r="AJ991" s="155">
        <f t="shared" si="187"/>
        <v>0</v>
      </c>
      <c r="AP991" s="63" t="str">
        <f t="shared" si="188"/>
        <v/>
      </c>
      <c r="AQ991" s="63" t="str">
        <f t="shared" si="182"/>
        <v xml:space="preserve">                    </v>
      </c>
      <c r="AR991" s="63"/>
      <c r="AS991" s="63"/>
      <c r="AT991" s="63"/>
      <c r="AU991" s="63"/>
      <c r="AV991" s="63"/>
      <c r="AW991" s="63"/>
      <c r="AX991" s="63"/>
      <c r="AY991" s="63"/>
      <c r="AZ991" s="63"/>
      <c r="BA991" s="63"/>
      <c r="BB991" s="63"/>
      <c r="BC991" s="63"/>
      <c r="BD991" s="63"/>
      <c r="BE991" s="63"/>
      <c r="BF991" s="63"/>
      <c r="BG991" s="63"/>
      <c r="BH991" s="63"/>
      <c r="BI991" s="63"/>
      <c r="BJ991" s="63"/>
      <c r="BK991" s="63"/>
      <c r="BL991" s="63"/>
      <c r="BM991" s="63"/>
      <c r="BN991" s="63"/>
      <c r="BO991" s="63"/>
      <c r="BP991" s="63"/>
      <c r="BQ991" s="63"/>
      <c r="BR991" s="63"/>
      <c r="BS991" s="63"/>
      <c r="BT991" s="63"/>
      <c r="BU991" s="63"/>
      <c r="BV991" s="63"/>
      <c r="BW991" s="63"/>
    </row>
    <row r="992" spans="1:75" x14ac:dyDescent="0.2">
      <c r="A992" s="63" t="str">
        <f t="shared" si="189"/>
        <v/>
      </c>
      <c r="B992" s="182"/>
      <c r="C992" s="74"/>
      <c r="D992" s="74"/>
      <c r="E992" s="74"/>
      <c r="F992" s="181"/>
      <c r="G992" s="69"/>
      <c r="AB992" s="150">
        <f t="shared" si="180"/>
        <v>0</v>
      </c>
      <c r="AC992" s="150">
        <f t="shared" si="181"/>
        <v>0</v>
      </c>
      <c r="AD992" s="98" t="str">
        <f t="shared" si="190"/>
        <v>0000000000</v>
      </c>
      <c r="AE992" s="151">
        <f t="shared" si="183"/>
        <v>0</v>
      </c>
      <c r="AF992" s="98" t="str">
        <f t="shared" si="184"/>
        <v>00</v>
      </c>
      <c r="AG992" s="98" t="str">
        <f t="shared" si="191"/>
        <v>000000000000</v>
      </c>
      <c r="AH992" s="161" t="str">
        <f t="shared" si="185"/>
        <v xml:space="preserve">                    </v>
      </c>
      <c r="AI992" s="154">
        <f t="shared" si="186"/>
        <v>0</v>
      </c>
      <c r="AJ992" s="155">
        <f t="shared" si="187"/>
        <v>0</v>
      </c>
      <c r="AP992" s="63" t="str">
        <f t="shared" si="188"/>
        <v/>
      </c>
      <c r="AQ992" s="63" t="str">
        <f t="shared" si="182"/>
        <v xml:space="preserve">                    </v>
      </c>
      <c r="AR992" s="63"/>
      <c r="AS992" s="63"/>
      <c r="AT992" s="63"/>
      <c r="AU992" s="63"/>
      <c r="AV992" s="63"/>
      <c r="AW992" s="63"/>
      <c r="AX992" s="63"/>
      <c r="AY992" s="63"/>
      <c r="AZ992" s="63"/>
      <c r="BA992" s="63"/>
      <c r="BB992" s="63"/>
      <c r="BC992" s="63"/>
      <c r="BD992" s="63"/>
      <c r="BE992" s="63"/>
      <c r="BF992" s="63"/>
      <c r="BG992" s="63"/>
      <c r="BH992" s="63"/>
      <c r="BI992" s="63"/>
      <c r="BJ992" s="63"/>
      <c r="BK992" s="63"/>
      <c r="BL992" s="63"/>
      <c r="BM992" s="63"/>
      <c r="BN992" s="63"/>
      <c r="BO992" s="63"/>
      <c r="BP992" s="63"/>
      <c r="BQ992" s="63"/>
      <c r="BR992" s="63"/>
      <c r="BS992" s="63"/>
      <c r="BT992" s="63"/>
      <c r="BU992" s="63"/>
      <c r="BV992" s="63"/>
      <c r="BW992" s="63"/>
    </row>
    <row r="993" spans="1:75" x14ac:dyDescent="0.2">
      <c r="A993" s="63" t="str">
        <f t="shared" si="189"/>
        <v/>
      </c>
      <c r="B993" s="182"/>
      <c r="C993" s="74"/>
      <c r="D993" s="74"/>
      <c r="E993" s="74"/>
      <c r="F993" s="181"/>
      <c r="G993" s="69"/>
      <c r="AB993" s="150">
        <f t="shared" si="180"/>
        <v>0</v>
      </c>
      <c r="AC993" s="150">
        <f t="shared" si="181"/>
        <v>0</v>
      </c>
      <c r="AD993" s="98" t="str">
        <f t="shared" si="190"/>
        <v>0000000000</v>
      </c>
      <c r="AE993" s="151">
        <f t="shared" si="183"/>
        <v>0</v>
      </c>
      <c r="AF993" s="98" t="str">
        <f t="shared" si="184"/>
        <v>00</v>
      </c>
      <c r="AG993" s="98" t="str">
        <f t="shared" si="191"/>
        <v>000000000000</v>
      </c>
      <c r="AH993" s="161" t="str">
        <f t="shared" si="185"/>
        <v xml:space="preserve">                    </v>
      </c>
      <c r="AI993" s="154">
        <f t="shared" si="186"/>
        <v>0</v>
      </c>
      <c r="AJ993" s="155">
        <f t="shared" si="187"/>
        <v>0</v>
      </c>
      <c r="AP993" s="63" t="str">
        <f t="shared" si="188"/>
        <v/>
      </c>
      <c r="AQ993" s="63" t="str">
        <f t="shared" si="182"/>
        <v xml:space="preserve">                    </v>
      </c>
      <c r="AR993" s="63"/>
      <c r="AS993" s="63"/>
      <c r="AT993" s="63"/>
      <c r="AU993" s="63"/>
      <c r="AV993" s="63"/>
      <c r="AW993" s="63"/>
      <c r="AX993" s="63"/>
      <c r="AY993" s="63"/>
      <c r="AZ993" s="63"/>
      <c r="BA993" s="63"/>
      <c r="BB993" s="63"/>
      <c r="BC993" s="63"/>
      <c r="BD993" s="63"/>
      <c r="BE993" s="63"/>
      <c r="BF993" s="63"/>
      <c r="BG993" s="63"/>
      <c r="BH993" s="63"/>
      <c r="BI993" s="63"/>
      <c r="BJ993" s="63"/>
      <c r="BK993" s="63"/>
      <c r="BL993" s="63"/>
      <c r="BM993" s="63"/>
      <c r="BN993" s="63"/>
      <c r="BO993" s="63"/>
      <c r="BP993" s="63"/>
      <c r="BQ993" s="63"/>
      <c r="BR993" s="63"/>
      <c r="BS993" s="63"/>
      <c r="BT993" s="63"/>
      <c r="BU993" s="63"/>
      <c r="BV993" s="63"/>
      <c r="BW993" s="63"/>
    </row>
    <row r="994" spans="1:75" x14ac:dyDescent="0.2">
      <c r="A994" s="63" t="str">
        <f t="shared" si="189"/>
        <v/>
      </c>
      <c r="B994" s="182"/>
      <c r="C994" s="74"/>
      <c r="D994" s="74"/>
      <c r="E994" s="74"/>
      <c r="F994" s="181"/>
      <c r="G994" s="69"/>
      <c r="AB994" s="150">
        <f t="shared" si="180"/>
        <v>0</v>
      </c>
      <c r="AC994" s="150">
        <f t="shared" si="181"/>
        <v>0</v>
      </c>
      <c r="AD994" s="98" t="str">
        <f t="shared" si="190"/>
        <v>0000000000</v>
      </c>
      <c r="AE994" s="151">
        <f t="shared" si="183"/>
        <v>0</v>
      </c>
      <c r="AF994" s="98" t="str">
        <f t="shared" si="184"/>
        <v>00</v>
      </c>
      <c r="AG994" s="98" t="str">
        <f t="shared" si="191"/>
        <v>000000000000</v>
      </c>
      <c r="AH994" s="161" t="str">
        <f t="shared" si="185"/>
        <v xml:space="preserve">                    </v>
      </c>
      <c r="AI994" s="154">
        <f t="shared" si="186"/>
        <v>0</v>
      </c>
      <c r="AJ994" s="155">
        <f t="shared" si="187"/>
        <v>0</v>
      </c>
      <c r="AP994" s="63" t="str">
        <f t="shared" si="188"/>
        <v/>
      </c>
      <c r="AQ994" s="63" t="str">
        <f t="shared" si="182"/>
        <v xml:space="preserve">                    </v>
      </c>
      <c r="AR994" s="63"/>
      <c r="AS994" s="63"/>
      <c r="AT994" s="63"/>
      <c r="AU994" s="63"/>
      <c r="AV994" s="63"/>
      <c r="AW994" s="63"/>
      <c r="AX994" s="63"/>
      <c r="AY994" s="63"/>
      <c r="AZ994" s="63"/>
      <c r="BA994" s="63"/>
      <c r="BB994" s="63"/>
      <c r="BC994" s="63"/>
      <c r="BD994" s="63"/>
      <c r="BE994" s="63"/>
      <c r="BF994" s="63"/>
      <c r="BG994" s="63"/>
      <c r="BH994" s="63"/>
      <c r="BI994" s="63"/>
      <c r="BJ994" s="63"/>
      <c r="BK994" s="63"/>
      <c r="BL994" s="63"/>
      <c r="BM994" s="63"/>
      <c r="BN994" s="63"/>
      <c r="BO994" s="63"/>
      <c r="BP994" s="63"/>
      <c r="BQ994" s="63"/>
      <c r="BR994" s="63"/>
      <c r="BS994" s="63"/>
      <c r="BT994" s="63"/>
      <c r="BU994" s="63"/>
      <c r="BV994" s="63"/>
      <c r="BW994" s="63"/>
    </row>
    <row r="995" spans="1:75" x14ac:dyDescent="0.2">
      <c r="A995" s="63" t="str">
        <f t="shared" si="189"/>
        <v/>
      </c>
      <c r="B995" s="182"/>
      <c r="C995" s="74"/>
      <c r="D995" s="74"/>
      <c r="E995" s="74"/>
      <c r="F995" s="181"/>
      <c r="G995" s="69"/>
      <c r="AB995" s="150">
        <f t="shared" si="180"/>
        <v>0</v>
      </c>
      <c r="AC995" s="150">
        <f t="shared" si="181"/>
        <v>0</v>
      </c>
      <c r="AD995" s="98" t="str">
        <f t="shared" si="190"/>
        <v>0000000000</v>
      </c>
      <c r="AE995" s="151">
        <f t="shared" si="183"/>
        <v>0</v>
      </c>
      <c r="AF995" s="98" t="str">
        <f t="shared" si="184"/>
        <v>00</v>
      </c>
      <c r="AG995" s="98" t="str">
        <f t="shared" si="191"/>
        <v>000000000000</v>
      </c>
      <c r="AH995" s="161" t="str">
        <f t="shared" si="185"/>
        <v xml:space="preserve">                    </v>
      </c>
      <c r="AI995" s="154">
        <f t="shared" si="186"/>
        <v>0</v>
      </c>
      <c r="AJ995" s="155">
        <f t="shared" si="187"/>
        <v>0</v>
      </c>
      <c r="AP995" s="63" t="str">
        <f t="shared" si="188"/>
        <v/>
      </c>
      <c r="AQ995" s="63" t="str">
        <f t="shared" si="182"/>
        <v xml:space="preserve">                    </v>
      </c>
      <c r="AR995" s="63"/>
      <c r="AS995" s="63"/>
      <c r="AT995" s="63"/>
      <c r="AU995" s="63"/>
      <c r="AV995" s="63"/>
      <c r="AW995" s="63"/>
      <c r="AX995" s="63"/>
      <c r="AY995" s="63"/>
      <c r="AZ995" s="63"/>
      <c r="BA995" s="63"/>
      <c r="BB995" s="63"/>
      <c r="BC995" s="63"/>
      <c r="BD995" s="63"/>
      <c r="BE995" s="63"/>
      <c r="BF995" s="63"/>
      <c r="BG995" s="63"/>
      <c r="BH995" s="63"/>
      <c r="BI995" s="63"/>
      <c r="BJ995" s="63"/>
      <c r="BK995" s="63"/>
      <c r="BL995" s="63"/>
      <c r="BM995" s="63"/>
      <c r="BN995" s="63"/>
      <c r="BO995" s="63"/>
      <c r="BP995" s="63"/>
      <c r="BQ995" s="63"/>
      <c r="BR995" s="63"/>
      <c r="BS995" s="63"/>
      <c r="BT995" s="63"/>
      <c r="BU995" s="63"/>
      <c r="BV995" s="63"/>
      <c r="BW995" s="63"/>
    </row>
    <row r="996" spans="1:75" x14ac:dyDescent="0.2">
      <c r="A996" s="63" t="str">
        <f t="shared" si="189"/>
        <v/>
      </c>
      <c r="B996" s="182"/>
      <c r="C996" s="74"/>
      <c r="D996" s="74"/>
      <c r="E996" s="74"/>
      <c r="F996" s="181"/>
      <c r="G996" s="69"/>
      <c r="AB996" s="150">
        <f t="shared" si="180"/>
        <v>0</v>
      </c>
      <c r="AC996" s="150">
        <f t="shared" si="181"/>
        <v>0</v>
      </c>
      <c r="AD996" s="98" t="str">
        <f t="shared" si="190"/>
        <v>0000000000</v>
      </c>
      <c r="AE996" s="151">
        <f t="shared" si="183"/>
        <v>0</v>
      </c>
      <c r="AF996" s="98" t="str">
        <f t="shared" si="184"/>
        <v>00</v>
      </c>
      <c r="AG996" s="98" t="str">
        <f t="shared" si="191"/>
        <v>000000000000</v>
      </c>
      <c r="AH996" s="161" t="str">
        <f t="shared" si="185"/>
        <v xml:space="preserve">                    </v>
      </c>
      <c r="AI996" s="154">
        <f t="shared" si="186"/>
        <v>0</v>
      </c>
      <c r="AJ996" s="155">
        <f t="shared" si="187"/>
        <v>0</v>
      </c>
      <c r="AP996" s="63" t="str">
        <f t="shared" si="188"/>
        <v/>
      </c>
      <c r="AQ996" s="63" t="str">
        <f t="shared" si="182"/>
        <v xml:space="preserve">                    </v>
      </c>
      <c r="AR996" s="63"/>
      <c r="AS996" s="63"/>
      <c r="AT996" s="63"/>
      <c r="AU996" s="63"/>
      <c r="AV996" s="63"/>
      <c r="AW996" s="63"/>
      <c r="AX996" s="63"/>
      <c r="AY996" s="63"/>
      <c r="AZ996" s="63"/>
      <c r="BA996" s="63"/>
      <c r="BB996" s="63"/>
      <c r="BC996" s="63"/>
      <c r="BD996" s="63"/>
      <c r="BE996" s="63"/>
      <c r="BF996" s="63"/>
      <c r="BG996" s="63"/>
      <c r="BH996" s="63"/>
      <c r="BI996" s="63"/>
      <c r="BJ996" s="63"/>
      <c r="BK996" s="63"/>
      <c r="BL996" s="63"/>
      <c r="BM996" s="63"/>
      <c r="BN996" s="63"/>
      <c r="BO996" s="63"/>
      <c r="BP996" s="63"/>
      <c r="BQ996" s="63"/>
      <c r="BR996" s="63"/>
      <c r="BS996" s="63"/>
      <c r="BT996" s="63"/>
      <c r="BU996" s="63"/>
      <c r="BV996" s="63"/>
      <c r="BW996" s="63"/>
    </row>
    <row r="997" spans="1:75" x14ac:dyDescent="0.2">
      <c r="A997" s="63" t="str">
        <f t="shared" si="189"/>
        <v/>
      </c>
      <c r="B997" s="182"/>
      <c r="C997" s="74"/>
      <c r="D997" s="74"/>
      <c r="E997" s="74"/>
      <c r="F997" s="181"/>
      <c r="G997" s="69"/>
      <c r="AB997" s="150">
        <f t="shared" si="180"/>
        <v>0</v>
      </c>
      <c r="AC997" s="150">
        <f t="shared" si="181"/>
        <v>0</v>
      </c>
      <c r="AD997" s="98" t="str">
        <f t="shared" si="190"/>
        <v>0000000000</v>
      </c>
      <c r="AE997" s="151">
        <f t="shared" si="183"/>
        <v>0</v>
      </c>
      <c r="AF997" s="98" t="str">
        <f t="shared" si="184"/>
        <v>00</v>
      </c>
      <c r="AG997" s="98" t="str">
        <f t="shared" si="191"/>
        <v>000000000000</v>
      </c>
      <c r="AH997" s="161" t="str">
        <f t="shared" si="185"/>
        <v xml:space="preserve">                    </v>
      </c>
      <c r="AI997" s="154">
        <f t="shared" si="186"/>
        <v>0</v>
      </c>
      <c r="AJ997" s="155">
        <f t="shared" si="187"/>
        <v>0</v>
      </c>
      <c r="AP997" s="63" t="str">
        <f t="shared" si="188"/>
        <v/>
      </c>
      <c r="AQ997" s="63" t="str">
        <f t="shared" si="182"/>
        <v xml:space="preserve">                    </v>
      </c>
      <c r="AR997" s="63"/>
      <c r="AS997" s="63"/>
      <c r="AT997" s="63"/>
      <c r="AU997" s="63"/>
      <c r="AV997" s="63"/>
      <c r="AW997" s="63"/>
      <c r="AX997" s="63"/>
      <c r="AY997" s="63"/>
      <c r="AZ997" s="63"/>
      <c r="BA997" s="63"/>
      <c r="BB997" s="63"/>
      <c r="BC997" s="63"/>
      <c r="BD997" s="63"/>
      <c r="BE997" s="63"/>
      <c r="BF997" s="63"/>
      <c r="BG997" s="63"/>
      <c r="BH997" s="63"/>
      <c r="BI997" s="63"/>
      <c r="BJ997" s="63"/>
      <c r="BK997" s="63"/>
      <c r="BL997" s="63"/>
      <c r="BM997" s="63"/>
      <c r="BN997" s="63"/>
      <c r="BO997" s="63"/>
      <c r="BP997" s="63"/>
      <c r="BQ997" s="63"/>
      <c r="BR997" s="63"/>
      <c r="BS997" s="63"/>
      <c r="BT997" s="63"/>
      <c r="BU997" s="63"/>
      <c r="BV997" s="63"/>
      <c r="BW997" s="63"/>
    </row>
    <row r="998" spans="1:75" x14ac:dyDescent="0.2">
      <c r="A998" s="63" t="str">
        <f t="shared" si="189"/>
        <v/>
      </c>
      <c r="B998" s="179"/>
      <c r="C998" s="74"/>
      <c r="D998" s="74"/>
      <c r="E998" s="74"/>
      <c r="F998" s="181"/>
      <c r="G998" s="69"/>
      <c r="AB998" s="150">
        <f t="shared" si="180"/>
        <v>0</v>
      </c>
      <c r="AC998" s="150">
        <f t="shared" si="181"/>
        <v>0</v>
      </c>
      <c r="AD998" s="98" t="str">
        <f t="shared" si="190"/>
        <v>0000000000</v>
      </c>
      <c r="AE998" s="151">
        <f t="shared" si="183"/>
        <v>0</v>
      </c>
      <c r="AF998" s="98" t="str">
        <f t="shared" si="184"/>
        <v>00</v>
      </c>
      <c r="AG998" s="98" t="str">
        <f t="shared" si="191"/>
        <v>000000000000</v>
      </c>
      <c r="AH998" s="161" t="str">
        <f t="shared" si="185"/>
        <v xml:space="preserve">                    </v>
      </c>
      <c r="AI998" s="154">
        <f t="shared" si="186"/>
        <v>0</v>
      </c>
      <c r="AJ998" s="155">
        <f t="shared" si="187"/>
        <v>0</v>
      </c>
      <c r="AP998" s="63" t="str">
        <f t="shared" si="188"/>
        <v/>
      </c>
      <c r="AQ998" s="63" t="str">
        <f t="shared" si="182"/>
        <v xml:space="preserve">                    </v>
      </c>
      <c r="AR998" s="63"/>
      <c r="AS998" s="63"/>
      <c r="AT998" s="63"/>
      <c r="AU998" s="63"/>
      <c r="AV998" s="63"/>
      <c r="AW998" s="63"/>
      <c r="AX998" s="63"/>
      <c r="AY998" s="63"/>
      <c r="AZ998" s="63"/>
      <c r="BA998" s="63"/>
      <c r="BB998" s="63"/>
      <c r="BC998" s="63"/>
      <c r="BD998" s="63"/>
      <c r="BE998" s="63"/>
      <c r="BF998" s="63"/>
      <c r="BG998" s="63"/>
      <c r="BH998" s="63"/>
      <c r="BI998" s="63"/>
      <c r="BJ998" s="63"/>
      <c r="BK998" s="63"/>
      <c r="BL998" s="63"/>
      <c r="BM998" s="63"/>
      <c r="BN998" s="63"/>
      <c r="BO998" s="63"/>
      <c r="BP998" s="63"/>
      <c r="BQ998" s="63"/>
      <c r="BR998" s="63"/>
      <c r="BS998" s="63"/>
      <c r="BT998" s="63"/>
      <c r="BU998" s="63"/>
      <c r="BV998" s="63"/>
      <c r="BW998" s="63"/>
    </row>
    <row r="999" spans="1:75" x14ac:dyDescent="0.2">
      <c r="A999" s="63" t="str">
        <f t="shared" si="189"/>
        <v/>
      </c>
      <c r="B999" s="182"/>
      <c r="C999" s="74"/>
      <c r="D999" s="74"/>
      <c r="E999" s="74"/>
      <c r="F999" s="181"/>
      <c r="G999" s="69"/>
      <c r="AB999" s="150">
        <f t="shared" si="180"/>
        <v>0</v>
      </c>
      <c r="AC999" s="150">
        <f t="shared" si="181"/>
        <v>0</v>
      </c>
      <c r="AD999" s="98" t="str">
        <f t="shared" si="190"/>
        <v>0000000000</v>
      </c>
      <c r="AE999" s="151">
        <f t="shared" si="183"/>
        <v>0</v>
      </c>
      <c r="AF999" s="98" t="str">
        <f t="shared" si="184"/>
        <v>00</v>
      </c>
      <c r="AG999" s="98" t="str">
        <f t="shared" si="191"/>
        <v>000000000000</v>
      </c>
      <c r="AH999" s="161" t="str">
        <f t="shared" si="185"/>
        <v xml:space="preserve">                    </v>
      </c>
      <c r="AI999" s="154">
        <f t="shared" si="186"/>
        <v>0</v>
      </c>
      <c r="AJ999" s="155">
        <f t="shared" si="187"/>
        <v>0</v>
      </c>
      <c r="AP999" s="63" t="str">
        <f t="shared" si="188"/>
        <v/>
      </c>
      <c r="AQ999" s="63" t="str">
        <f t="shared" si="182"/>
        <v xml:space="preserve">                    </v>
      </c>
      <c r="AR999" s="63"/>
      <c r="AS999" s="63"/>
      <c r="AT999" s="63"/>
      <c r="AU999" s="63"/>
      <c r="AV999" s="63"/>
      <c r="AW999" s="63"/>
      <c r="AX999" s="63"/>
      <c r="AY999" s="63"/>
      <c r="AZ999" s="63"/>
      <c r="BA999" s="63"/>
      <c r="BB999" s="63"/>
      <c r="BC999" s="63"/>
      <c r="BD999" s="63"/>
      <c r="BE999" s="63"/>
      <c r="BF999" s="63"/>
      <c r="BG999" s="63"/>
      <c r="BH999" s="63"/>
      <c r="BI999" s="63"/>
      <c r="BJ999" s="63"/>
      <c r="BK999" s="63"/>
      <c r="BL999" s="63"/>
      <c r="BM999" s="63"/>
      <c r="BN999" s="63"/>
      <c r="BO999" s="63"/>
      <c r="BP999" s="63"/>
      <c r="BQ999" s="63"/>
      <c r="BR999" s="63"/>
      <c r="BS999" s="63"/>
      <c r="BT999" s="63"/>
      <c r="BU999" s="63"/>
      <c r="BV999" s="63"/>
      <c r="BW999" s="63"/>
    </row>
    <row r="1000" spans="1:75" x14ac:dyDescent="0.2">
      <c r="A1000" s="63" t="str">
        <f t="shared" si="189"/>
        <v/>
      </c>
      <c r="B1000" s="182"/>
      <c r="C1000" s="74"/>
      <c r="D1000" s="74"/>
      <c r="E1000" s="74"/>
      <c r="F1000" s="181"/>
      <c r="G1000" s="69"/>
      <c r="AB1000" s="150">
        <f t="shared" si="180"/>
        <v>0</v>
      </c>
      <c r="AC1000" s="150">
        <f t="shared" si="181"/>
        <v>0</v>
      </c>
      <c r="AD1000" s="98" t="str">
        <f t="shared" si="190"/>
        <v>0000000000</v>
      </c>
      <c r="AE1000" s="151">
        <f t="shared" si="183"/>
        <v>0</v>
      </c>
      <c r="AF1000" s="98" t="str">
        <f t="shared" si="184"/>
        <v>00</v>
      </c>
      <c r="AG1000" s="98" t="str">
        <f t="shared" si="191"/>
        <v>000000000000</v>
      </c>
      <c r="AH1000" s="161" t="str">
        <f t="shared" si="185"/>
        <v xml:space="preserve">                    </v>
      </c>
      <c r="AI1000" s="154">
        <f t="shared" si="186"/>
        <v>0</v>
      </c>
      <c r="AJ1000" s="155">
        <f t="shared" si="187"/>
        <v>0</v>
      </c>
      <c r="AP1000" s="63" t="str">
        <f t="shared" si="188"/>
        <v/>
      </c>
      <c r="AQ1000" s="63" t="str">
        <f t="shared" si="182"/>
        <v xml:space="preserve">                    </v>
      </c>
      <c r="AR1000" s="63"/>
      <c r="AS1000" s="63"/>
      <c r="AT1000" s="63"/>
      <c r="AU1000" s="63"/>
      <c r="AV1000" s="63"/>
      <c r="AW1000" s="63"/>
      <c r="AX1000" s="63"/>
      <c r="AY1000" s="63"/>
      <c r="AZ1000" s="63"/>
      <c r="BA1000" s="63"/>
      <c r="BB1000" s="63"/>
      <c r="BC1000" s="63"/>
      <c r="BD1000" s="63"/>
      <c r="BE1000" s="63"/>
      <c r="BF1000" s="63"/>
      <c r="BG1000" s="63"/>
      <c r="BH1000" s="63"/>
      <c r="BI1000" s="63"/>
      <c r="BJ1000" s="63"/>
      <c r="BK1000" s="63"/>
      <c r="BL1000" s="63"/>
      <c r="BM1000" s="63"/>
      <c r="BN1000" s="63"/>
      <c r="BO1000" s="63"/>
      <c r="BP1000" s="63"/>
      <c r="BQ1000" s="63"/>
      <c r="BR1000" s="63"/>
      <c r="BS1000" s="63"/>
      <c r="BT1000" s="63"/>
      <c r="BU1000" s="63"/>
      <c r="BV1000" s="63"/>
      <c r="BW1000" s="63"/>
    </row>
    <row r="1001" spans="1:75" s="63" customFormat="1" x14ac:dyDescent="0.2">
      <c r="B1001" s="169"/>
      <c r="F1001" s="143"/>
      <c r="G1001" s="143"/>
      <c r="AB1001" s="150"/>
      <c r="AC1001" s="150"/>
      <c r="AH1001" s="154"/>
      <c r="AI1001" s="154"/>
      <c r="AJ1001" s="155"/>
    </row>
    <row r="1002" spans="1:75" hidden="1" x14ac:dyDescent="0.2"/>
    <row r="1003" spans="1:75" hidden="1" x14ac:dyDescent="0.2"/>
    <row r="1004" spans="1:75" hidden="1" x14ac:dyDescent="0.2"/>
    <row r="1005" spans="1:75" hidden="1" x14ac:dyDescent="0.2"/>
    <row r="1006" spans="1:75" hidden="1" x14ac:dyDescent="0.2"/>
    <row r="1007" spans="1:75" hidden="1" x14ac:dyDescent="0.2"/>
    <row r="1008" spans="1:75" hidden="1" x14ac:dyDescent="0.2"/>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sheetData>
  <sheetProtection password="CCCB" sheet="1" objects="1" scenarios="1"/>
  <protectedRanges>
    <protectedRange password="C6E2" sqref="B3:E3 B2:C2 E2" name="Rango1"/>
    <protectedRange password="C6E2" sqref="D2" name="Rango1_1"/>
  </protectedRanges>
  <mergeCells count="3">
    <mergeCell ref="AK6:AL18"/>
    <mergeCell ref="H10:H13"/>
    <mergeCell ref="H16:L22"/>
  </mergeCells>
  <conditionalFormatting sqref="A4:A1000">
    <cfRule type="cellIs" dxfId="2" priority="2" operator="lessThan">
      <formula>998</formula>
    </cfRule>
  </conditionalFormatting>
  <conditionalFormatting sqref="H14">
    <cfRule type="expression" dxfId="1" priority="1">
      <formula>AI3&gt;0</formula>
    </cfRule>
  </conditionalFormatting>
  <dataValidations count="7">
    <dataValidation type="textLength" operator="lessThan" allowBlank="1" showInputMessage="1" showErrorMessage="1" errorTitle="Moneda incorrecta" error="El código de la moneda no corresponde." sqref="E1:E1048576">
      <formula1>2</formula1>
    </dataValidation>
    <dataValidation type="textLength" allowBlank="1" showInputMessage="1" showErrorMessage="1" errorTitle="Descipción incorrecta" error="La descripción ser entre 15 y 20 campos." sqref="D1 C1:C2 D1001:D1048576 C4:C1048576">
      <formula1>16</formula1>
      <formula2>20</formula2>
    </dataValidation>
    <dataValidation operator="lessThan" allowBlank="1" showInputMessage="1" showErrorMessage="1" errorTitle="Cuenta incorrecta" error="La cuenta no puede ser mayor de 8 campos." sqref="B1:B3 B1001:B1048576"/>
    <dataValidation type="textLength" operator="equal" showInputMessage="1" showErrorMessage="1" errorTitle="Cuenta incorrecta" error="La cuenta cliente debe ser de 17 campos." sqref="B4:B1000">
      <formula1>17</formula1>
    </dataValidation>
    <dataValidation type="textLength" operator="lessThan" allowBlank="1" showInputMessage="1" showErrorMessage="1" errorTitle="Descipción incorrecta" error="La descripción ser entre 15 y 20 campos." sqref="C3:D3">
      <formula1>31</formula1>
    </dataValidation>
    <dataValidation allowBlank="1" showInputMessage="1" showErrorMessage="1" errorTitle="N° documento incorrecto" error="El número de documento no puede ser mayor de 8 números." sqref="D2"/>
    <dataValidation type="whole" allowBlank="1" showInputMessage="1" showErrorMessage="1" errorTitle="Identificación incorrecta" error="El número de identificación es incorrecto." sqref="D4:D1000">
      <formula1>99</formula1>
      <formula2>999999999999</formula2>
    </dataValidation>
  </dataValidations>
  <pageMargins left="0.75" right="0.75" top="1" bottom="1" header="0" footer="0"/>
  <pageSetup paperSize="9" scale="67" orientation="portrait" r:id="rId1"/>
  <headerFooter alignWithMargins="0">
    <oddHeader>&amp;L&amp;G&amp;R
&amp;12&amp;K03+039BCR Empresas</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7" r:id="rId5" name="Button 1">
              <controlPr locked="0" defaultSize="0" print="0" autoFill="0" autoPict="0" macro="[0]!Botón1_Haga_clic_en">
                <anchor moveWithCells="1">
                  <from>
                    <xdr:col>7</xdr:col>
                    <xdr:colOff>19050</xdr:colOff>
                    <xdr:row>3</xdr:row>
                    <xdr:rowOff>95250</xdr:rowOff>
                  </from>
                  <to>
                    <xdr:col>7</xdr:col>
                    <xdr:colOff>781050</xdr:colOff>
                    <xdr:row>6</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rgb="FF00B050"/>
  </sheetPr>
  <dimension ref="B1:AS1001"/>
  <sheetViews>
    <sheetView showGridLines="0" showRowColHeaders="0" zoomScale="90" zoomScaleNormal="90" workbookViewId="0">
      <selection activeCell="E16" sqref="E16"/>
    </sheetView>
  </sheetViews>
  <sheetFormatPr baseColWidth="10" defaultColWidth="11.42578125" defaultRowHeight="15" zeroHeight="1" x14ac:dyDescent="0.2"/>
  <cols>
    <col min="1" max="1" width="11.42578125" customWidth="1"/>
    <col min="2" max="2" width="16.28515625" style="1" customWidth="1"/>
    <col min="3" max="3" width="22.5703125" style="1" customWidth="1"/>
    <col min="4" max="4" width="39.140625" bestFit="1" customWidth="1"/>
    <col min="5" max="27" width="11.42578125" customWidth="1"/>
    <col min="28" max="28" width="13" customWidth="1"/>
    <col min="29" max="32" width="11.42578125" customWidth="1"/>
    <col min="33" max="33" width="18.5703125" customWidth="1"/>
    <col min="34" max="34" width="11.42578125" customWidth="1"/>
    <col min="35" max="35" width="14.42578125" customWidth="1"/>
    <col min="36" max="37" width="11.42578125" customWidth="1"/>
    <col min="38" max="38" width="16.7109375" customWidth="1"/>
    <col min="39" max="39" width="39.140625" customWidth="1"/>
    <col min="40" max="41" width="11.42578125" customWidth="1"/>
    <col min="42" max="42" width="104.28515625" customWidth="1"/>
    <col min="43" max="43" width="17.140625" customWidth="1"/>
    <col min="44" max="44" width="3.5703125" customWidth="1"/>
    <col min="45" max="45" width="18.140625" customWidth="1"/>
  </cols>
  <sheetData>
    <row r="1" spans="2:45" ht="16.5" thickBot="1" x14ac:dyDescent="0.3">
      <c r="F1" s="43" t="s">
        <v>27</v>
      </c>
      <c r="AB1" s="78" t="str">
        <f>CONCATENATE(REPT("0",12-LEN('Datos Empresa'!E5)),'Datos Empresa'!E5)</f>
        <v>003004535222</v>
      </c>
      <c r="AC1" t="str">
        <f>TEXT('Datos Empresa'!E19,"ddmme")</f>
        <v>13112015</v>
      </c>
      <c r="AG1" s="59" t="s">
        <v>10</v>
      </c>
      <c r="AH1" s="60" t="s">
        <v>11</v>
      </c>
      <c r="AI1" s="61" t="s">
        <v>12</v>
      </c>
      <c r="AJ1" s="61" t="s">
        <v>13</v>
      </c>
      <c r="AK1" s="61" t="s">
        <v>14</v>
      </c>
      <c r="AL1" s="62" t="s">
        <v>3</v>
      </c>
      <c r="AP1" t="str">
        <f>CONCATENATE("000",AB1,AB2,"      ",AC2,"                                                ")</f>
        <v xml:space="preserve">000003004535222005      000800870767                                                </v>
      </c>
      <c r="AQ1" s="50" t="str">
        <f>"1234567891234567"</f>
        <v>1234567891234567</v>
      </c>
    </row>
    <row r="2" spans="2:45" ht="34.5" customHeight="1" thickBot="1" x14ac:dyDescent="0.25">
      <c r="B2" s="83" t="s">
        <v>30</v>
      </c>
      <c r="C2" s="84" t="s">
        <v>3</v>
      </c>
      <c r="D2" s="85" t="s">
        <v>31</v>
      </c>
      <c r="AB2" t="str">
        <f>CONCATENATE(REPT("0",3-LEN('Datos Empresa'!E15)),'Datos Empresa'!E15)</f>
        <v>005</v>
      </c>
      <c r="AC2" t="str">
        <f>CONCATENATE(REPT("0",12-LEN('Datos Empresa'!E17)),'Datos Empresa'!E17)</f>
        <v>000800870767</v>
      </c>
      <c r="AF2" t="str">
        <f t="shared" ref="AF2:AF9" si="0">CONCATENATE(REPT("0",8-LEN(B3)),B3)</f>
        <v>00000000</v>
      </c>
      <c r="AG2" s="81">
        <f>INT(C3)</f>
        <v>0</v>
      </c>
      <c r="AH2" s="81">
        <f>C3-AG2</f>
        <v>0</v>
      </c>
      <c r="AI2" t="str">
        <f>TEXT(AG2,"0000000000")</f>
        <v>0000000000</v>
      </c>
      <c r="AJ2" t="str">
        <f>TEXT(AH2,".00")</f>
        <v>.00</v>
      </c>
      <c r="AK2" t="str">
        <f>MID(AJ2,2,2)</f>
        <v>00</v>
      </c>
      <c r="AL2" t="str">
        <f>CONCATENATE(AI2,AK2)</f>
        <v>000000000000</v>
      </c>
      <c r="AM2" t="str">
        <f>CONCATENATE(D3,REPT(" ",30-LEN(D3)))</f>
        <v xml:space="preserve">                              </v>
      </c>
      <c r="AP2" t="str">
        <f>IF(B3&lt;&gt;"",CONCATENATE("000",$AA$3,"     ",$AB$3,$AC$3,$AD$3,"30000",AF2,AL2,$AC$1,AM2),"")</f>
        <v/>
      </c>
      <c r="AQ2" t="str">
        <f>CONCATENATE("1520",AA3,AB3,AC3)</f>
        <v>1520135900003158</v>
      </c>
      <c r="AR2">
        <f>MOD(SUM(VALUE(MID($AQ$1,1,1)) * VALUE(MID(AQ2,1,1)),VALUE(MID($AQ$1,2,1)) * VALUE(MID(AQ2,2,1)),VALUE(MID($AQ$1,3,1)) * VALUE(MID(AQ2,3,1)),VALUE(MID($AQ$1,4,1)) * VALUE(MID(AQ2,4,1)),VALUE(MID($AQ$1,5,1)) * VALUE(MID(AQ2,5,1)),VALUE(MID($AQ$1,6,1)) * VALUE(MID(AQ2,6,1)),VALUE(MID($AQ$1,7,1)) * VALUE(MID(AQ2,7,1)),VALUE(MID($AQ$1,8,1)) * VALUE(MID(AQ2,8,1)),VALUE(MID($AQ$1,9,1)) * VALUE(MID(AQ2,9,1)),VALUE(MID($AQ$1,10,1)) * VALUE(MID(AQ2,10,1)),VALUE(MID($AQ$1,11,1)) * VALUE(MID(AQ2,11,1)),VALUE(MID($AQ$1,12,1)) * VALUE(MID(AQ2,12,1)),VALUE(MID($AQ$1,13,1)) * VALUE(MID(AQ2,13,1)),VALUE(MID($AQ$1,14,1)) * VALUE(MID(AQ2,14,1)),VALUE(MID($AQ$1,15,1)) * VALUE(MID(AQ2,15,1)),VALUE(MID($AQ$1,16,1)) * VALUE(MID(AQ2,16,1))),11)</f>
        <v>8</v>
      </c>
      <c r="AS2" t="str">
        <f>CONCATENATE(AQ2,IF(AR2&gt;9,"1",AR2))</f>
        <v>15201359000031588</v>
      </c>
    </row>
    <row r="3" spans="2:45" x14ac:dyDescent="0.2">
      <c r="B3" s="86"/>
      <c r="C3" s="82"/>
      <c r="D3" s="87"/>
      <c r="AA3">
        <f>IF('Datos Empresa'!E9="Cuenta Ahorros",2,1)</f>
        <v>1</v>
      </c>
      <c r="AB3" t="str">
        <f>CONCATENATE(REPT("0",3-LEN('Datos Empresa'!G9)),'Datos Empresa'!G9)</f>
        <v>359</v>
      </c>
      <c r="AC3" t="str">
        <f>CONCATENATE(REPT("0",8-LEN('Datos Empresa'!I9)),'Datos Empresa'!I9)</f>
        <v>00003158</v>
      </c>
      <c r="AD3">
        <f>IF('Datos Empresa'!E11="Colones",1,2)</f>
        <v>1</v>
      </c>
      <c r="AF3" t="str">
        <f t="shared" si="0"/>
        <v>00000000</v>
      </c>
      <c r="AG3" s="81">
        <f t="shared" ref="AG3:AG9" si="1">INT(C4)</f>
        <v>0</v>
      </c>
      <c r="AH3" s="81">
        <f t="shared" ref="AH3:AH9" si="2">C4-AG3</f>
        <v>0</v>
      </c>
      <c r="AI3" t="str">
        <f t="shared" ref="AI3:AI9" si="3">TEXT(AG3,"0000000000")</f>
        <v>0000000000</v>
      </c>
      <c r="AJ3" t="str">
        <f t="shared" ref="AJ3:AJ9" si="4">TEXT(AH3,".00")</f>
        <v>.00</v>
      </c>
      <c r="AK3" t="str">
        <f t="shared" ref="AK3:AK9" si="5">MID(AJ3,2,2)</f>
        <v>00</v>
      </c>
      <c r="AL3" t="str">
        <f t="shared" ref="AL3:AL9" si="6">CONCATENATE(AI3,AK3)</f>
        <v>000000000000</v>
      </c>
      <c r="AM3" t="str">
        <f t="shared" ref="AM3:AM66" si="7">CONCATENATE(D4,REPT(" ",30-LEN(D4)))</f>
        <v xml:space="preserve">                              </v>
      </c>
      <c r="AP3" t="str">
        <f t="shared" ref="AP3:AP66" si="8">IF(B4&lt;&gt;"",CONCATENATE("000",$AA$3,"     ",$AB$3,$AC$3,$AD$3,"30000",AF3,AL3,$AC$1,AM3),"")</f>
        <v/>
      </c>
    </row>
    <row r="4" spans="2:45" x14ac:dyDescent="0.2">
      <c r="B4" s="88"/>
      <c r="C4" s="80"/>
      <c r="D4" s="75"/>
      <c r="AF4" t="str">
        <f t="shared" si="0"/>
        <v>00000000</v>
      </c>
      <c r="AG4" s="81">
        <f t="shared" si="1"/>
        <v>0</v>
      </c>
      <c r="AH4" s="81">
        <f t="shared" si="2"/>
        <v>0</v>
      </c>
      <c r="AI4" t="str">
        <f t="shared" si="3"/>
        <v>0000000000</v>
      </c>
      <c r="AJ4" t="str">
        <f t="shared" si="4"/>
        <v>.00</v>
      </c>
      <c r="AK4" t="str">
        <f t="shared" si="5"/>
        <v>00</v>
      </c>
      <c r="AL4" t="str">
        <f t="shared" si="6"/>
        <v>000000000000</v>
      </c>
      <c r="AM4" t="str">
        <f t="shared" si="7"/>
        <v xml:space="preserve">                              </v>
      </c>
      <c r="AP4" t="str">
        <f t="shared" si="8"/>
        <v/>
      </c>
    </row>
    <row r="5" spans="2:45" x14ac:dyDescent="0.2">
      <c r="B5" s="88"/>
      <c r="C5" s="80"/>
      <c r="D5" s="75"/>
      <c r="AF5" t="str">
        <f t="shared" si="0"/>
        <v>00000000</v>
      </c>
      <c r="AG5" s="81">
        <f t="shared" si="1"/>
        <v>0</v>
      </c>
      <c r="AH5" s="81">
        <f t="shared" si="2"/>
        <v>0</v>
      </c>
      <c r="AI5" t="str">
        <f t="shared" si="3"/>
        <v>0000000000</v>
      </c>
      <c r="AJ5" t="str">
        <f t="shared" si="4"/>
        <v>.00</v>
      </c>
      <c r="AK5" t="str">
        <f t="shared" si="5"/>
        <v>00</v>
      </c>
      <c r="AL5" t="str">
        <f t="shared" si="6"/>
        <v>000000000000</v>
      </c>
      <c r="AM5" t="str">
        <f t="shared" si="7"/>
        <v xml:space="preserve">                              </v>
      </c>
      <c r="AP5" t="str">
        <f t="shared" si="8"/>
        <v/>
      </c>
    </row>
    <row r="6" spans="2:45" x14ac:dyDescent="0.2">
      <c r="B6" s="88"/>
      <c r="C6" s="80"/>
      <c r="D6" s="75"/>
      <c r="AF6" t="str">
        <f t="shared" si="0"/>
        <v>00000000</v>
      </c>
      <c r="AG6" s="81">
        <f t="shared" si="1"/>
        <v>0</v>
      </c>
      <c r="AH6" s="81">
        <f t="shared" si="2"/>
        <v>0</v>
      </c>
      <c r="AI6" t="str">
        <f t="shared" si="3"/>
        <v>0000000000</v>
      </c>
      <c r="AJ6" t="str">
        <f t="shared" si="4"/>
        <v>.00</v>
      </c>
      <c r="AK6" t="str">
        <f t="shared" si="5"/>
        <v>00</v>
      </c>
      <c r="AL6" t="str">
        <f t="shared" si="6"/>
        <v>000000000000</v>
      </c>
      <c r="AM6" t="str">
        <f t="shared" si="7"/>
        <v xml:space="preserve">                              </v>
      </c>
      <c r="AP6" t="str">
        <f t="shared" si="8"/>
        <v/>
      </c>
    </row>
    <row r="7" spans="2:45" x14ac:dyDescent="0.2">
      <c r="B7" s="88"/>
      <c r="C7" s="80"/>
      <c r="D7" s="75"/>
      <c r="AF7" t="str">
        <f t="shared" si="0"/>
        <v>00000000</v>
      </c>
      <c r="AG7" s="81">
        <f t="shared" si="1"/>
        <v>0</v>
      </c>
      <c r="AH7" s="81">
        <f t="shared" si="2"/>
        <v>0</v>
      </c>
      <c r="AI7" t="str">
        <f t="shared" si="3"/>
        <v>0000000000</v>
      </c>
      <c r="AJ7" t="str">
        <f t="shared" si="4"/>
        <v>.00</v>
      </c>
      <c r="AK7" t="str">
        <f t="shared" si="5"/>
        <v>00</v>
      </c>
      <c r="AL7" t="str">
        <f t="shared" si="6"/>
        <v>000000000000</v>
      </c>
      <c r="AM7" t="str">
        <f t="shared" si="7"/>
        <v xml:space="preserve">                              </v>
      </c>
      <c r="AP7" t="str">
        <f t="shared" si="8"/>
        <v/>
      </c>
    </row>
    <row r="8" spans="2:45" x14ac:dyDescent="0.2">
      <c r="B8" s="88"/>
      <c r="C8" s="80"/>
      <c r="D8" s="75"/>
      <c r="AD8" s="79"/>
      <c r="AF8" t="str">
        <f t="shared" si="0"/>
        <v>00000000</v>
      </c>
      <c r="AG8" s="81">
        <f t="shared" si="1"/>
        <v>0</v>
      </c>
      <c r="AH8" s="81">
        <f t="shared" si="2"/>
        <v>0</v>
      </c>
      <c r="AI8" t="str">
        <f t="shared" si="3"/>
        <v>0000000000</v>
      </c>
      <c r="AJ8" t="str">
        <f t="shared" si="4"/>
        <v>.00</v>
      </c>
      <c r="AK8" t="str">
        <f t="shared" si="5"/>
        <v>00</v>
      </c>
      <c r="AL8" t="str">
        <f t="shared" si="6"/>
        <v>000000000000</v>
      </c>
      <c r="AM8" t="str">
        <f t="shared" si="7"/>
        <v xml:space="preserve">                              </v>
      </c>
      <c r="AP8" t="str">
        <f t="shared" si="8"/>
        <v/>
      </c>
    </row>
    <row r="9" spans="2:45" x14ac:dyDescent="0.2">
      <c r="B9" s="88"/>
      <c r="C9" s="80"/>
      <c r="D9" s="75"/>
      <c r="AF9" t="str">
        <f t="shared" si="0"/>
        <v>00000000</v>
      </c>
      <c r="AG9" s="81">
        <f t="shared" si="1"/>
        <v>0</v>
      </c>
      <c r="AH9" s="81">
        <f t="shared" si="2"/>
        <v>0</v>
      </c>
      <c r="AI9" t="str">
        <f t="shared" si="3"/>
        <v>0000000000</v>
      </c>
      <c r="AJ9" t="str">
        <f t="shared" si="4"/>
        <v>.00</v>
      </c>
      <c r="AK9" t="str">
        <f t="shared" si="5"/>
        <v>00</v>
      </c>
      <c r="AL9" t="str">
        <f t="shared" si="6"/>
        <v>000000000000</v>
      </c>
      <c r="AM9" t="str">
        <f t="shared" si="7"/>
        <v xml:space="preserve">                              </v>
      </c>
      <c r="AP9" t="str">
        <f t="shared" si="8"/>
        <v/>
      </c>
    </row>
    <row r="10" spans="2:45" x14ac:dyDescent="0.2">
      <c r="B10" s="88"/>
      <c r="C10" s="80"/>
      <c r="D10" s="75"/>
      <c r="AF10" t="str">
        <f t="shared" ref="AF10:AF73" si="9">CONCATENATE(REPT("0",8-LEN(B11)),B11)</f>
        <v>00000000</v>
      </c>
      <c r="AG10" s="81">
        <f t="shared" ref="AG10:AG73" si="10">INT(C11)</f>
        <v>0</v>
      </c>
      <c r="AH10" s="81">
        <f t="shared" ref="AH10:AH73" si="11">C11-AG10</f>
        <v>0</v>
      </c>
      <c r="AI10" t="str">
        <f t="shared" ref="AI10:AI73" si="12">TEXT(AG10,"0000000000")</f>
        <v>0000000000</v>
      </c>
      <c r="AJ10" t="str">
        <f t="shared" ref="AJ10:AJ73" si="13">TEXT(AH10,".00")</f>
        <v>.00</v>
      </c>
      <c r="AK10" t="str">
        <f t="shared" ref="AK10:AK73" si="14">MID(AJ10,2,2)</f>
        <v>00</v>
      </c>
      <c r="AL10" t="str">
        <f t="shared" ref="AL10:AL73" si="15">CONCATENATE(AI10,AK10)</f>
        <v>000000000000</v>
      </c>
      <c r="AM10" t="str">
        <f t="shared" si="7"/>
        <v xml:space="preserve">                              </v>
      </c>
      <c r="AP10" t="str">
        <f t="shared" si="8"/>
        <v/>
      </c>
    </row>
    <row r="11" spans="2:45" x14ac:dyDescent="0.2">
      <c r="B11" s="88"/>
      <c r="C11" s="80"/>
      <c r="D11" s="75"/>
      <c r="AF11" t="str">
        <f t="shared" si="9"/>
        <v>00000000</v>
      </c>
      <c r="AG11" s="81">
        <f t="shared" si="10"/>
        <v>0</v>
      </c>
      <c r="AH11" s="81">
        <f t="shared" si="11"/>
        <v>0</v>
      </c>
      <c r="AI11" t="str">
        <f t="shared" si="12"/>
        <v>0000000000</v>
      </c>
      <c r="AJ11" t="str">
        <f t="shared" si="13"/>
        <v>.00</v>
      </c>
      <c r="AK11" t="str">
        <f t="shared" si="14"/>
        <v>00</v>
      </c>
      <c r="AL11" t="str">
        <f t="shared" si="15"/>
        <v>000000000000</v>
      </c>
      <c r="AM11" t="str">
        <f t="shared" si="7"/>
        <v xml:space="preserve">                              </v>
      </c>
      <c r="AP11" t="str">
        <f t="shared" si="8"/>
        <v/>
      </c>
    </row>
    <row r="12" spans="2:45" x14ac:dyDescent="0.2">
      <c r="B12" s="88"/>
      <c r="C12" s="80"/>
      <c r="D12" s="75"/>
      <c r="AF12" t="str">
        <f t="shared" si="9"/>
        <v>00000000</v>
      </c>
      <c r="AG12" s="81">
        <f t="shared" si="10"/>
        <v>0</v>
      </c>
      <c r="AH12" s="81">
        <f t="shared" si="11"/>
        <v>0</v>
      </c>
      <c r="AI12" t="str">
        <f t="shared" si="12"/>
        <v>0000000000</v>
      </c>
      <c r="AJ12" t="str">
        <f t="shared" si="13"/>
        <v>.00</v>
      </c>
      <c r="AK12" t="str">
        <f t="shared" si="14"/>
        <v>00</v>
      </c>
      <c r="AL12" t="str">
        <f t="shared" si="15"/>
        <v>000000000000</v>
      </c>
      <c r="AM12" t="str">
        <f t="shared" si="7"/>
        <v xml:space="preserve">                              </v>
      </c>
      <c r="AP12" t="str">
        <f t="shared" si="8"/>
        <v/>
      </c>
    </row>
    <row r="13" spans="2:45" x14ac:dyDescent="0.2">
      <c r="B13" s="88"/>
      <c r="C13" s="80"/>
      <c r="D13" s="75"/>
      <c r="AF13" t="str">
        <f t="shared" si="9"/>
        <v>00000000</v>
      </c>
      <c r="AG13" s="81">
        <f t="shared" si="10"/>
        <v>0</v>
      </c>
      <c r="AH13" s="81">
        <f t="shared" si="11"/>
        <v>0</v>
      </c>
      <c r="AI13" t="str">
        <f t="shared" si="12"/>
        <v>0000000000</v>
      </c>
      <c r="AJ13" t="str">
        <f t="shared" si="13"/>
        <v>.00</v>
      </c>
      <c r="AK13" t="str">
        <f t="shared" si="14"/>
        <v>00</v>
      </c>
      <c r="AL13" t="str">
        <f t="shared" si="15"/>
        <v>000000000000</v>
      </c>
      <c r="AM13" t="str">
        <f t="shared" si="7"/>
        <v xml:space="preserve">                              </v>
      </c>
      <c r="AP13" t="str">
        <f t="shared" si="8"/>
        <v/>
      </c>
    </row>
    <row r="14" spans="2:45" x14ac:dyDescent="0.2">
      <c r="B14" s="88"/>
      <c r="C14" s="80"/>
      <c r="D14" s="75"/>
      <c r="AF14" t="str">
        <f t="shared" si="9"/>
        <v>00000000</v>
      </c>
      <c r="AG14" s="81">
        <f t="shared" si="10"/>
        <v>0</v>
      </c>
      <c r="AH14" s="81">
        <f t="shared" si="11"/>
        <v>0</v>
      </c>
      <c r="AI14" t="str">
        <f t="shared" si="12"/>
        <v>0000000000</v>
      </c>
      <c r="AJ14" t="str">
        <f t="shared" si="13"/>
        <v>.00</v>
      </c>
      <c r="AK14" t="str">
        <f t="shared" si="14"/>
        <v>00</v>
      </c>
      <c r="AL14" t="str">
        <f t="shared" si="15"/>
        <v>000000000000</v>
      </c>
      <c r="AM14" t="str">
        <f t="shared" si="7"/>
        <v xml:space="preserve">                              </v>
      </c>
      <c r="AP14" t="str">
        <f t="shared" si="8"/>
        <v/>
      </c>
    </row>
    <row r="15" spans="2:45" x14ac:dyDescent="0.2">
      <c r="B15" s="88"/>
      <c r="C15" s="80"/>
      <c r="D15" s="75"/>
      <c r="AF15" t="str">
        <f t="shared" si="9"/>
        <v>00000000</v>
      </c>
      <c r="AG15" s="81">
        <f t="shared" si="10"/>
        <v>0</v>
      </c>
      <c r="AH15" s="81">
        <f t="shared" si="11"/>
        <v>0</v>
      </c>
      <c r="AI15" t="str">
        <f t="shared" si="12"/>
        <v>0000000000</v>
      </c>
      <c r="AJ15" t="str">
        <f t="shared" si="13"/>
        <v>.00</v>
      </c>
      <c r="AK15" t="str">
        <f t="shared" si="14"/>
        <v>00</v>
      </c>
      <c r="AL15" t="str">
        <f t="shared" si="15"/>
        <v>000000000000</v>
      </c>
      <c r="AM15" t="str">
        <f t="shared" si="7"/>
        <v xml:space="preserve">                              </v>
      </c>
      <c r="AP15" t="str">
        <f t="shared" si="8"/>
        <v/>
      </c>
    </row>
    <row r="16" spans="2:45" x14ac:dyDescent="0.2">
      <c r="B16" s="88"/>
      <c r="C16" s="80"/>
      <c r="D16" s="74"/>
      <c r="AF16" t="str">
        <f t="shared" si="9"/>
        <v>00000000</v>
      </c>
      <c r="AG16" s="81">
        <f t="shared" si="10"/>
        <v>0</v>
      </c>
      <c r="AH16" s="81">
        <f t="shared" si="11"/>
        <v>0</v>
      </c>
      <c r="AI16" t="str">
        <f t="shared" si="12"/>
        <v>0000000000</v>
      </c>
      <c r="AJ16" t="str">
        <f t="shared" si="13"/>
        <v>.00</v>
      </c>
      <c r="AK16" t="str">
        <f t="shared" si="14"/>
        <v>00</v>
      </c>
      <c r="AL16" t="str">
        <f t="shared" si="15"/>
        <v>000000000000</v>
      </c>
      <c r="AM16" t="str">
        <f t="shared" si="7"/>
        <v xml:space="preserve">                              </v>
      </c>
      <c r="AP16" t="str">
        <f t="shared" si="8"/>
        <v/>
      </c>
    </row>
    <row r="17" spans="2:42" x14ac:dyDescent="0.2">
      <c r="B17" s="88"/>
      <c r="C17" s="80"/>
      <c r="D17" s="74"/>
      <c r="AF17" t="str">
        <f t="shared" si="9"/>
        <v>00000000</v>
      </c>
      <c r="AG17" s="81">
        <f t="shared" si="10"/>
        <v>0</v>
      </c>
      <c r="AH17" s="81">
        <f t="shared" si="11"/>
        <v>0</v>
      </c>
      <c r="AI17" t="str">
        <f t="shared" si="12"/>
        <v>0000000000</v>
      </c>
      <c r="AJ17" t="str">
        <f t="shared" si="13"/>
        <v>.00</v>
      </c>
      <c r="AK17" t="str">
        <f t="shared" si="14"/>
        <v>00</v>
      </c>
      <c r="AL17" t="str">
        <f t="shared" si="15"/>
        <v>000000000000</v>
      </c>
      <c r="AM17" t="str">
        <f t="shared" si="7"/>
        <v xml:space="preserve">                              </v>
      </c>
      <c r="AP17" t="str">
        <f t="shared" si="8"/>
        <v/>
      </c>
    </row>
    <row r="18" spans="2:42" x14ac:dyDescent="0.2">
      <c r="B18" s="88"/>
      <c r="C18" s="80"/>
      <c r="D18" s="74"/>
      <c r="AF18" t="str">
        <f t="shared" si="9"/>
        <v>00000000</v>
      </c>
      <c r="AG18" s="81">
        <f t="shared" si="10"/>
        <v>0</v>
      </c>
      <c r="AH18" s="81">
        <f t="shared" si="11"/>
        <v>0</v>
      </c>
      <c r="AI18" t="str">
        <f t="shared" si="12"/>
        <v>0000000000</v>
      </c>
      <c r="AJ18" t="str">
        <f t="shared" si="13"/>
        <v>.00</v>
      </c>
      <c r="AK18" t="str">
        <f t="shared" si="14"/>
        <v>00</v>
      </c>
      <c r="AL18" t="str">
        <f t="shared" si="15"/>
        <v>000000000000</v>
      </c>
      <c r="AM18" t="str">
        <f t="shared" si="7"/>
        <v xml:space="preserve">                              </v>
      </c>
      <c r="AP18" t="str">
        <f t="shared" si="8"/>
        <v/>
      </c>
    </row>
    <row r="19" spans="2:42" x14ac:dyDescent="0.2">
      <c r="B19" s="88"/>
      <c r="C19" s="80"/>
      <c r="D19" s="74"/>
      <c r="AF19" t="str">
        <f t="shared" si="9"/>
        <v>00000000</v>
      </c>
      <c r="AG19" s="81">
        <f t="shared" si="10"/>
        <v>0</v>
      </c>
      <c r="AH19" s="81">
        <f t="shared" si="11"/>
        <v>0</v>
      </c>
      <c r="AI19" t="str">
        <f t="shared" si="12"/>
        <v>0000000000</v>
      </c>
      <c r="AJ19" t="str">
        <f t="shared" si="13"/>
        <v>.00</v>
      </c>
      <c r="AK19" t="str">
        <f t="shared" si="14"/>
        <v>00</v>
      </c>
      <c r="AL19" t="str">
        <f t="shared" si="15"/>
        <v>000000000000</v>
      </c>
      <c r="AM19" t="str">
        <f t="shared" si="7"/>
        <v xml:space="preserve">                              </v>
      </c>
      <c r="AP19" t="str">
        <f t="shared" si="8"/>
        <v/>
      </c>
    </row>
    <row r="20" spans="2:42" x14ac:dyDescent="0.2">
      <c r="B20" s="88"/>
      <c r="C20" s="80"/>
      <c r="D20" s="74"/>
      <c r="AF20" t="str">
        <f t="shared" si="9"/>
        <v>00000000</v>
      </c>
      <c r="AG20" s="81">
        <f t="shared" si="10"/>
        <v>0</v>
      </c>
      <c r="AH20" s="81">
        <f t="shared" si="11"/>
        <v>0</v>
      </c>
      <c r="AI20" t="str">
        <f t="shared" si="12"/>
        <v>0000000000</v>
      </c>
      <c r="AJ20" t="str">
        <f t="shared" si="13"/>
        <v>.00</v>
      </c>
      <c r="AK20" t="str">
        <f t="shared" si="14"/>
        <v>00</v>
      </c>
      <c r="AL20" t="str">
        <f t="shared" si="15"/>
        <v>000000000000</v>
      </c>
      <c r="AM20" t="str">
        <f t="shared" si="7"/>
        <v xml:space="preserve">                              </v>
      </c>
      <c r="AP20" t="str">
        <f t="shared" si="8"/>
        <v/>
      </c>
    </row>
    <row r="21" spans="2:42" x14ac:dyDescent="0.2">
      <c r="B21" s="88"/>
      <c r="C21" s="80"/>
      <c r="D21" s="74"/>
      <c r="AF21" t="str">
        <f t="shared" si="9"/>
        <v>00000000</v>
      </c>
      <c r="AG21" s="81">
        <f t="shared" si="10"/>
        <v>0</v>
      </c>
      <c r="AH21" s="81">
        <f t="shared" si="11"/>
        <v>0</v>
      </c>
      <c r="AI21" t="str">
        <f t="shared" si="12"/>
        <v>0000000000</v>
      </c>
      <c r="AJ21" t="str">
        <f t="shared" si="13"/>
        <v>.00</v>
      </c>
      <c r="AK21" t="str">
        <f t="shared" si="14"/>
        <v>00</v>
      </c>
      <c r="AL21" t="str">
        <f t="shared" si="15"/>
        <v>000000000000</v>
      </c>
      <c r="AM21" t="str">
        <f t="shared" si="7"/>
        <v xml:space="preserve">                              </v>
      </c>
      <c r="AP21" t="str">
        <f t="shared" si="8"/>
        <v/>
      </c>
    </row>
    <row r="22" spans="2:42" x14ac:dyDescent="0.2">
      <c r="B22" s="88"/>
      <c r="C22" s="80"/>
      <c r="D22" s="74"/>
      <c r="AF22" t="str">
        <f t="shared" si="9"/>
        <v>00000000</v>
      </c>
      <c r="AG22" s="81">
        <f t="shared" si="10"/>
        <v>0</v>
      </c>
      <c r="AH22" s="81">
        <f t="shared" si="11"/>
        <v>0</v>
      </c>
      <c r="AI22" t="str">
        <f t="shared" si="12"/>
        <v>0000000000</v>
      </c>
      <c r="AJ22" t="str">
        <f t="shared" si="13"/>
        <v>.00</v>
      </c>
      <c r="AK22" t="str">
        <f t="shared" si="14"/>
        <v>00</v>
      </c>
      <c r="AL22" t="str">
        <f t="shared" si="15"/>
        <v>000000000000</v>
      </c>
      <c r="AM22" t="str">
        <f t="shared" si="7"/>
        <v xml:space="preserve">                              </v>
      </c>
      <c r="AP22" t="str">
        <f t="shared" si="8"/>
        <v/>
      </c>
    </row>
    <row r="23" spans="2:42" x14ac:dyDescent="0.2">
      <c r="B23" s="88"/>
      <c r="C23" s="80"/>
      <c r="D23" s="74"/>
      <c r="AF23" t="str">
        <f t="shared" si="9"/>
        <v>00000000</v>
      </c>
      <c r="AG23" s="81">
        <f t="shared" si="10"/>
        <v>0</v>
      </c>
      <c r="AH23" s="81">
        <f t="shared" si="11"/>
        <v>0</v>
      </c>
      <c r="AI23" t="str">
        <f t="shared" si="12"/>
        <v>0000000000</v>
      </c>
      <c r="AJ23" t="str">
        <f t="shared" si="13"/>
        <v>.00</v>
      </c>
      <c r="AK23" t="str">
        <f t="shared" si="14"/>
        <v>00</v>
      </c>
      <c r="AL23" t="str">
        <f t="shared" si="15"/>
        <v>000000000000</v>
      </c>
      <c r="AM23" t="str">
        <f t="shared" si="7"/>
        <v xml:space="preserve">                              </v>
      </c>
      <c r="AP23" t="str">
        <f t="shared" si="8"/>
        <v/>
      </c>
    </row>
    <row r="24" spans="2:42" x14ac:dyDescent="0.2">
      <c r="B24" s="88"/>
      <c r="C24" s="80"/>
      <c r="D24" s="74"/>
      <c r="AF24" t="str">
        <f t="shared" si="9"/>
        <v>00000000</v>
      </c>
      <c r="AG24" s="81">
        <f t="shared" si="10"/>
        <v>0</v>
      </c>
      <c r="AH24" s="81">
        <f t="shared" si="11"/>
        <v>0</v>
      </c>
      <c r="AI24" t="str">
        <f t="shared" si="12"/>
        <v>0000000000</v>
      </c>
      <c r="AJ24" t="str">
        <f t="shared" si="13"/>
        <v>.00</v>
      </c>
      <c r="AK24" t="str">
        <f t="shared" si="14"/>
        <v>00</v>
      </c>
      <c r="AL24" t="str">
        <f t="shared" si="15"/>
        <v>000000000000</v>
      </c>
      <c r="AM24" t="str">
        <f t="shared" si="7"/>
        <v xml:space="preserve">                              </v>
      </c>
      <c r="AP24" t="str">
        <f t="shared" si="8"/>
        <v/>
      </c>
    </row>
    <row r="25" spans="2:42" x14ac:dyDescent="0.2">
      <c r="B25" s="88"/>
      <c r="C25" s="80"/>
      <c r="D25" s="74"/>
      <c r="AF25" t="str">
        <f t="shared" si="9"/>
        <v>00000000</v>
      </c>
      <c r="AG25" s="81">
        <f t="shared" si="10"/>
        <v>0</v>
      </c>
      <c r="AH25" s="81">
        <f t="shared" si="11"/>
        <v>0</v>
      </c>
      <c r="AI25" t="str">
        <f t="shared" si="12"/>
        <v>0000000000</v>
      </c>
      <c r="AJ25" t="str">
        <f t="shared" si="13"/>
        <v>.00</v>
      </c>
      <c r="AK25" t="str">
        <f t="shared" si="14"/>
        <v>00</v>
      </c>
      <c r="AL25" t="str">
        <f t="shared" si="15"/>
        <v>000000000000</v>
      </c>
      <c r="AM25" t="str">
        <f t="shared" si="7"/>
        <v xml:space="preserve">                              </v>
      </c>
      <c r="AP25" t="str">
        <f t="shared" si="8"/>
        <v/>
      </c>
    </row>
    <row r="26" spans="2:42" x14ac:dyDescent="0.2">
      <c r="B26" s="88"/>
      <c r="C26" s="80"/>
      <c r="D26" s="74"/>
      <c r="AF26" t="str">
        <f t="shared" si="9"/>
        <v>00000000</v>
      </c>
      <c r="AG26" s="81">
        <f t="shared" si="10"/>
        <v>0</v>
      </c>
      <c r="AH26" s="81">
        <f t="shared" si="11"/>
        <v>0</v>
      </c>
      <c r="AI26" t="str">
        <f t="shared" si="12"/>
        <v>0000000000</v>
      </c>
      <c r="AJ26" t="str">
        <f t="shared" si="13"/>
        <v>.00</v>
      </c>
      <c r="AK26" t="str">
        <f t="shared" si="14"/>
        <v>00</v>
      </c>
      <c r="AL26" t="str">
        <f t="shared" si="15"/>
        <v>000000000000</v>
      </c>
      <c r="AM26" t="str">
        <f t="shared" si="7"/>
        <v xml:space="preserve">                              </v>
      </c>
      <c r="AP26" t="str">
        <f t="shared" si="8"/>
        <v/>
      </c>
    </row>
    <row r="27" spans="2:42" x14ac:dyDescent="0.2">
      <c r="B27" s="88"/>
      <c r="C27" s="80"/>
      <c r="D27" s="74"/>
      <c r="AF27" t="str">
        <f t="shared" si="9"/>
        <v>00000000</v>
      </c>
      <c r="AG27" s="81">
        <f t="shared" si="10"/>
        <v>0</v>
      </c>
      <c r="AH27" s="81">
        <f t="shared" si="11"/>
        <v>0</v>
      </c>
      <c r="AI27" t="str">
        <f t="shared" si="12"/>
        <v>0000000000</v>
      </c>
      <c r="AJ27" t="str">
        <f t="shared" si="13"/>
        <v>.00</v>
      </c>
      <c r="AK27" t="str">
        <f t="shared" si="14"/>
        <v>00</v>
      </c>
      <c r="AL27" t="str">
        <f t="shared" si="15"/>
        <v>000000000000</v>
      </c>
      <c r="AM27" t="str">
        <f t="shared" si="7"/>
        <v xml:space="preserve">                              </v>
      </c>
      <c r="AP27" t="str">
        <f t="shared" si="8"/>
        <v/>
      </c>
    </row>
    <row r="28" spans="2:42" x14ac:dyDescent="0.2">
      <c r="B28" s="88"/>
      <c r="C28" s="80"/>
      <c r="D28" s="74"/>
      <c r="AF28" t="str">
        <f t="shared" si="9"/>
        <v>00000000</v>
      </c>
      <c r="AG28" s="81">
        <f t="shared" si="10"/>
        <v>0</v>
      </c>
      <c r="AH28" s="81">
        <f t="shared" si="11"/>
        <v>0</v>
      </c>
      <c r="AI28" t="str">
        <f t="shared" si="12"/>
        <v>0000000000</v>
      </c>
      <c r="AJ28" t="str">
        <f t="shared" si="13"/>
        <v>.00</v>
      </c>
      <c r="AK28" t="str">
        <f t="shared" si="14"/>
        <v>00</v>
      </c>
      <c r="AL28" t="str">
        <f t="shared" si="15"/>
        <v>000000000000</v>
      </c>
      <c r="AM28" t="str">
        <f t="shared" si="7"/>
        <v xml:space="preserve">                              </v>
      </c>
      <c r="AP28" t="str">
        <f t="shared" si="8"/>
        <v/>
      </c>
    </row>
    <row r="29" spans="2:42" x14ac:dyDescent="0.2">
      <c r="B29" s="88"/>
      <c r="C29" s="80"/>
      <c r="D29" s="74"/>
      <c r="AF29" t="str">
        <f t="shared" si="9"/>
        <v>00000000</v>
      </c>
      <c r="AG29" s="81">
        <f t="shared" si="10"/>
        <v>0</v>
      </c>
      <c r="AH29" s="81">
        <f t="shared" si="11"/>
        <v>0</v>
      </c>
      <c r="AI29" t="str">
        <f t="shared" si="12"/>
        <v>0000000000</v>
      </c>
      <c r="AJ29" t="str">
        <f t="shared" si="13"/>
        <v>.00</v>
      </c>
      <c r="AK29" t="str">
        <f t="shared" si="14"/>
        <v>00</v>
      </c>
      <c r="AL29" t="str">
        <f t="shared" si="15"/>
        <v>000000000000</v>
      </c>
      <c r="AM29" t="str">
        <f t="shared" si="7"/>
        <v xml:space="preserve">                              </v>
      </c>
      <c r="AP29" t="str">
        <f t="shared" si="8"/>
        <v/>
      </c>
    </row>
    <row r="30" spans="2:42" x14ac:dyDescent="0.2">
      <c r="B30" s="88"/>
      <c r="C30" s="80"/>
      <c r="D30" s="74"/>
      <c r="AF30" t="str">
        <f t="shared" si="9"/>
        <v>00000000</v>
      </c>
      <c r="AG30" s="81">
        <f t="shared" si="10"/>
        <v>0</v>
      </c>
      <c r="AH30" s="81">
        <f t="shared" si="11"/>
        <v>0</v>
      </c>
      <c r="AI30" t="str">
        <f t="shared" si="12"/>
        <v>0000000000</v>
      </c>
      <c r="AJ30" t="str">
        <f t="shared" si="13"/>
        <v>.00</v>
      </c>
      <c r="AK30" t="str">
        <f t="shared" si="14"/>
        <v>00</v>
      </c>
      <c r="AL30" t="str">
        <f t="shared" si="15"/>
        <v>000000000000</v>
      </c>
      <c r="AM30" t="str">
        <f t="shared" si="7"/>
        <v xml:space="preserve">                              </v>
      </c>
      <c r="AP30" t="str">
        <f t="shared" si="8"/>
        <v/>
      </c>
    </row>
    <row r="31" spans="2:42" x14ac:dyDescent="0.2">
      <c r="B31" s="88"/>
      <c r="C31" s="80"/>
      <c r="D31" s="74"/>
      <c r="AF31" t="str">
        <f t="shared" si="9"/>
        <v>00000000</v>
      </c>
      <c r="AG31" s="81">
        <f t="shared" si="10"/>
        <v>0</v>
      </c>
      <c r="AH31" s="81">
        <f t="shared" si="11"/>
        <v>0</v>
      </c>
      <c r="AI31" t="str">
        <f t="shared" si="12"/>
        <v>0000000000</v>
      </c>
      <c r="AJ31" t="str">
        <f t="shared" si="13"/>
        <v>.00</v>
      </c>
      <c r="AK31" t="str">
        <f t="shared" si="14"/>
        <v>00</v>
      </c>
      <c r="AL31" t="str">
        <f t="shared" si="15"/>
        <v>000000000000</v>
      </c>
      <c r="AM31" t="str">
        <f t="shared" si="7"/>
        <v xml:space="preserve">                              </v>
      </c>
      <c r="AP31" t="str">
        <f t="shared" si="8"/>
        <v/>
      </c>
    </row>
    <row r="32" spans="2:42" x14ac:dyDescent="0.2">
      <c r="B32" s="88"/>
      <c r="C32" s="80"/>
      <c r="D32" s="74"/>
      <c r="AF32" t="str">
        <f t="shared" si="9"/>
        <v>00000000</v>
      </c>
      <c r="AG32" s="81">
        <f t="shared" si="10"/>
        <v>0</v>
      </c>
      <c r="AH32" s="81">
        <f t="shared" si="11"/>
        <v>0</v>
      </c>
      <c r="AI32" t="str">
        <f t="shared" si="12"/>
        <v>0000000000</v>
      </c>
      <c r="AJ32" t="str">
        <f t="shared" si="13"/>
        <v>.00</v>
      </c>
      <c r="AK32" t="str">
        <f t="shared" si="14"/>
        <v>00</v>
      </c>
      <c r="AL32" t="str">
        <f t="shared" si="15"/>
        <v>000000000000</v>
      </c>
      <c r="AM32" t="str">
        <f t="shared" si="7"/>
        <v xml:space="preserve">                              </v>
      </c>
      <c r="AP32" t="str">
        <f t="shared" si="8"/>
        <v/>
      </c>
    </row>
    <row r="33" spans="2:42" x14ac:dyDescent="0.2">
      <c r="B33" s="88"/>
      <c r="C33" s="80"/>
      <c r="D33" s="74"/>
      <c r="AF33" t="str">
        <f t="shared" si="9"/>
        <v>00000000</v>
      </c>
      <c r="AG33" s="81">
        <f t="shared" si="10"/>
        <v>0</v>
      </c>
      <c r="AH33" s="81">
        <f t="shared" si="11"/>
        <v>0</v>
      </c>
      <c r="AI33" t="str">
        <f t="shared" si="12"/>
        <v>0000000000</v>
      </c>
      <c r="AJ33" t="str">
        <f t="shared" si="13"/>
        <v>.00</v>
      </c>
      <c r="AK33" t="str">
        <f t="shared" si="14"/>
        <v>00</v>
      </c>
      <c r="AL33" t="str">
        <f t="shared" si="15"/>
        <v>000000000000</v>
      </c>
      <c r="AM33" t="str">
        <f t="shared" si="7"/>
        <v xml:space="preserve">                              </v>
      </c>
      <c r="AP33" t="str">
        <f t="shared" si="8"/>
        <v/>
      </c>
    </row>
    <row r="34" spans="2:42" x14ac:dyDescent="0.2">
      <c r="B34" s="88"/>
      <c r="C34" s="80"/>
      <c r="D34" s="74"/>
      <c r="AF34" t="str">
        <f t="shared" si="9"/>
        <v>00000000</v>
      </c>
      <c r="AG34" s="81">
        <f t="shared" si="10"/>
        <v>0</v>
      </c>
      <c r="AH34" s="81">
        <f t="shared" si="11"/>
        <v>0</v>
      </c>
      <c r="AI34" t="str">
        <f t="shared" si="12"/>
        <v>0000000000</v>
      </c>
      <c r="AJ34" t="str">
        <f t="shared" si="13"/>
        <v>.00</v>
      </c>
      <c r="AK34" t="str">
        <f t="shared" si="14"/>
        <v>00</v>
      </c>
      <c r="AL34" t="str">
        <f t="shared" si="15"/>
        <v>000000000000</v>
      </c>
      <c r="AM34" t="str">
        <f t="shared" si="7"/>
        <v xml:space="preserve">                              </v>
      </c>
      <c r="AP34" t="str">
        <f t="shared" si="8"/>
        <v/>
      </c>
    </row>
    <row r="35" spans="2:42" x14ac:dyDescent="0.2">
      <c r="B35" s="88"/>
      <c r="C35" s="80"/>
      <c r="D35" s="74"/>
      <c r="AF35" t="str">
        <f t="shared" si="9"/>
        <v>00000000</v>
      </c>
      <c r="AG35" s="81">
        <f t="shared" si="10"/>
        <v>0</v>
      </c>
      <c r="AH35" s="81">
        <f t="shared" si="11"/>
        <v>0</v>
      </c>
      <c r="AI35" t="str">
        <f t="shared" si="12"/>
        <v>0000000000</v>
      </c>
      <c r="AJ35" t="str">
        <f t="shared" si="13"/>
        <v>.00</v>
      </c>
      <c r="AK35" t="str">
        <f t="shared" si="14"/>
        <v>00</v>
      </c>
      <c r="AL35" t="str">
        <f t="shared" si="15"/>
        <v>000000000000</v>
      </c>
      <c r="AM35" t="str">
        <f t="shared" si="7"/>
        <v xml:space="preserve">                              </v>
      </c>
      <c r="AP35" t="str">
        <f t="shared" si="8"/>
        <v/>
      </c>
    </row>
    <row r="36" spans="2:42" x14ac:dyDescent="0.2">
      <c r="B36" s="88"/>
      <c r="C36" s="80"/>
      <c r="D36" s="74"/>
      <c r="AF36" t="str">
        <f t="shared" si="9"/>
        <v>00000000</v>
      </c>
      <c r="AG36" s="81">
        <f t="shared" si="10"/>
        <v>0</v>
      </c>
      <c r="AH36" s="81">
        <f t="shared" si="11"/>
        <v>0</v>
      </c>
      <c r="AI36" t="str">
        <f t="shared" si="12"/>
        <v>0000000000</v>
      </c>
      <c r="AJ36" t="str">
        <f t="shared" si="13"/>
        <v>.00</v>
      </c>
      <c r="AK36" t="str">
        <f t="shared" si="14"/>
        <v>00</v>
      </c>
      <c r="AL36" t="str">
        <f t="shared" si="15"/>
        <v>000000000000</v>
      </c>
      <c r="AM36" t="str">
        <f t="shared" si="7"/>
        <v xml:space="preserve">                              </v>
      </c>
      <c r="AP36" t="str">
        <f t="shared" si="8"/>
        <v/>
      </c>
    </row>
    <row r="37" spans="2:42" x14ac:dyDescent="0.2">
      <c r="B37" s="88"/>
      <c r="C37" s="80"/>
      <c r="D37" s="74"/>
      <c r="AF37" t="str">
        <f t="shared" si="9"/>
        <v>00000000</v>
      </c>
      <c r="AG37" s="81">
        <f t="shared" si="10"/>
        <v>0</v>
      </c>
      <c r="AH37" s="81">
        <f t="shared" si="11"/>
        <v>0</v>
      </c>
      <c r="AI37" t="str">
        <f t="shared" si="12"/>
        <v>0000000000</v>
      </c>
      <c r="AJ37" t="str">
        <f t="shared" si="13"/>
        <v>.00</v>
      </c>
      <c r="AK37" t="str">
        <f t="shared" si="14"/>
        <v>00</v>
      </c>
      <c r="AL37" t="str">
        <f t="shared" si="15"/>
        <v>000000000000</v>
      </c>
      <c r="AM37" t="str">
        <f t="shared" si="7"/>
        <v xml:space="preserve">                              </v>
      </c>
      <c r="AP37" t="str">
        <f t="shared" si="8"/>
        <v/>
      </c>
    </row>
    <row r="38" spans="2:42" x14ac:dyDescent="0.2">
      <c r="B38" s="88"/>
      <c r="C38" s="80"/>
      <c r="D38" s="74"/>
      <c r="AF38" t="str">
        <f t="shared" si="9"/>
        <v>00000000</v>
      </c>
      <c r="AG38" s="81">
        <f t="shared" si="10"/>
        <v>0</v>
      </c>
      <c r="AH38" s="81">
        <f t="shared" si="11"/>
        <v>0</v>
      </c>
      <c r="AI38" t="str">
        <f t="shared" si="12"/>
        <v>0000000000</v>
      </c>
      <c r="AJ38" t="str">
        <f t="shared" si="13"/>
        <v>.00</v>
      </c>
      <c r="AK38" t="str">
        <f t="shared" si="14"/>
        <v>00</v>
      </c>
      <c r="AL38" t="str">
        <f t="shared" si="15"/>
        <v>000000000000</v>
      </c>
      <c r="AM38" t="str">
        <f t="shared" si="7"/>
        <v xml:space="preserve">                              </v>
      </c>
      <c r="AP38" t="str">
        <f t="shared" si="8"/>
        <v/>
      </c>
    </row>
    <row r="39" spans="2:42" x14ac:dyDescent="0.2">
      <c r="B39" s="88"/>
      <c r="C39" s="80"/>
      <c r="D39" s="74"/>
      <c r="AF39" t="str">
        <f t="shared" si="9"/>
        <v>00000000</v>
      </c>
      <c r="AG39" s="81">
        <f t="shared" si="10"/>
        <v>0</v>
      </c>
      <c r="AH39" s="81">
        <f t="shared" si="11"/>
        <v>0</v>
      </c>
      <c r="AI39" t="str">
        <f t="shared" si="12"/>
        <v>0000000000</v>
      </c>
      <c r="AJ39" t="str">
        <f t="shared" si="13"/>
        <v>.00</v>
      </c>
      <c r="AK39" t="str">
        <f t="shared" si="14"/>
        <v>00</v>
      </c>
      <c r="AL39" t="str">
        <f t="shared" si="15"/>
        <v>000000000000</v>
      </c>
      <c r="AM39" t="str">
        <f t="shared" si="7"/>
        <v xml:space="preserve">                              </v>
      </c>
      <c r="AP39" t="str">
        <f t="shared" si="8"/>
        <v/>
      </c>
    </row>
    <row r="40" spans="2:42" x14ac:dyDescent="0.2">
      <c r="B40" s="88"/>
      <c r="C40" s="80"/>
      <c r="D40" s="74"/>
      <c r="AF40" t="str">
        <f t="shared" si="9"/>
        <v>00000000</v>
      </c>
      <c r="AG40" s="81">
        <f t="shared" si="10"/>
        <v>0</v>
      </c>
      <c r="AH40" s="81">
        <f t="shared" si="11"/>
        <v>0</v>
      </c>
      <c r="AI40" t="str">
        <f t="shared" si="12"/>
        <v>0000000000</v>
      </c>
      <c r="AJ40" t="str">
        <f t="shared" si="13"/>
        <v>.00</v>
      </c>
      <c r="AK40" t="str">
        <f t="shared" si="14"/>
        <v>00</v>
      </c>
      <c r="AL40" t="str">
        <f t="shared" si="15"/>
        <v>000000000000</v>
      </c>
      <c r="AM40" t="str">
        <f t="shared" si="7"/>
        <v xml:space="preserve">                              </v>
      </c>
      <c r="AP40" t="str">
        <f t="shared" si="8"/>
        <v/>
      </c>
    </row>
    <row r="41" spans="2:42" x14ac:dyDescent="0.2">
      <c r="B41" s="88"/>
      <c r="C41" s="80"/>
      <c r="D41" s="74"/>
      <c r="AF41" t="str">
        <f t="shared" si="9"/>
        <v>00000000</v>
      </c>
      <c r="AG41" s="81">
        <f t="shared" si="10"/>
        <v>0</v>
      </c>
      <c r="AH41" s="81">
        <f t="shared" si="11"/>
        <v>0</v>
      </c>
      <c r="AI41" t="str">
        <f t="shared" si="12"/>
        <v>0000000000</v>
      </c>
      <c r="AJ41" t="str">
        <f t="shared" si="13"/>
        <v>.00</v>
      </c>
      <c r="AK41" t="str">
        <f t="shared" si="14"/>
        <v>00</v>
      </c>
      <c r="AL41" t="str">
        <f t="shared" si="15"/>
        <v>000000000000</v>
      </c>
      <c r="AM41" t="str">
        <f t="shared" si="7"/>
        <v xml:space="preserve">                              </v>
      </c>
      <c r="AP41" t="str">
        <f t="shared" si="8"/>
        <v/>
      </c>
    </row>
    <row r="42" spans="2:42" x14ac:dyDescent="0.2">
      <c r="B42" s="88"/>
      <c r="C42" s="80"/>
      <c r="D42" s="74"/>
      <c r="AF42" t="str">
        <f t="shared" si="9"/>
        <v>00000000</v>
      </c>
      <c r="AG42" s="81">
        <f t="shared" si="10"/>
        <v>0</v>
      </c>
      <c r="AH42" s="81">
        <f t="shared" si="11"/>
        <v>0</v>
      </c>
      <c r="AI42" t="str">
        <f t="shared" si="12"/>
        <v>0000000000</v>
      </c>
      <c r="AJ42" t="str">
        <f t="shared" si="13"/>
        <v>.00</v>
      </c>
      <c r="AK42" t="str">
        <f t="shared" si="14"/>
        <v>00</v>
      </c>
      <c r="AL42" t="str">
        <f t="shared" si="15"/>
        <v>000000000000</v>
      </c>
      <c r="AM42" t="str">
        <f t="shared" si="7"/>
        <v xml:space="preserve">                              </v>
      </c>
      <c r="AP42" t="str">
        <f t="shared" si="8"/>
        <v/>
      </c>
    </row>
    <row r="43" spans="2:42" x14ac:dyDescent="0.2">
      <c r="B43" s="88"/>
      <c r="C43" s="80"/>
      <c r="D43" s="74"/>
      <c r="AF43" t="str">
        <f t="shared" si="9"/>
        <v>00000000</v>
      </c>
      <c r="AG43" s="81">
        <f t="shared" si="10"/>
        <v>0</v>
      </c>
      <c r="AH43" s="81">
        <f t="shared" si="11"/>
        <v>0</v>
      </c>
      <c r="AI43" t="str">
        <f t="shared" si="12"/>
        <v>0000000000</v>
      </c>
      <c r="AJ43" t="str">
        <f t="shared" si="13"/>
        <v>.00</v>
      </c>
      <c r="AK43" t="str">
        <f t="shared" si="14"/>
        <v>00</v>
      </c>
      <c r="AL43" t="str">
        <f t="shared" si="15"/>
        <v>000000000000</v>
      </c>
      <c r="AM43" t="str">
        <f t="shared" si="7"/>
        <v xml:space="preserve">                              </v>
      </c>
      <c r="AP43" t="str">
        <f t="shared" si="8"/>
        <v/>
      </c>
    </row>
    <row r="44" spans="2:42" x14ac:dyDescent="0.2">
      <c r="B44" s="88"/>
      <c r="C44" s="80"/>
      <c r="D44" s="74"/>
      <c r="AF44" t="str">
        <f t="shared" si="9"/>
        <v>00000000</v>
      </c>
      <c r="AG44" s="81">
        <f t="shared" si="10"/>
        <v>0</v>
      </c>
      <c r="AH44" s="81">
        <f t="shared" si="11"/>
        <v>0</v>
      </c>
      <c r="AI44" t="str">
        <f t="shared" si="12"/>
        <v>0000000000</v>
      </c>
      <c r="AJ44" t="str">
        <f t="shared" si="13"/>
        <v>.00</v>
      </c>
      <c r="AK44" t="str">
        <f t="shared" si="14"/>
        <v>00</v>
      </c>
      <c r="AL44" t="str">
        <f t="shared" si="15"/>
        <v>000000000000</v>
      </c>
      <c r="AM44" t="str">
        <f t="shared" si="7"/>
        <v xml:space="preserve">                              </v>
      </c>
      <c r="AP44" t="str">
        <f t="shared" si="8"/>
        <v/>
      </c>
    </row>
    <row r="45" spans="2:42" x14ac:dyDescent="0.2">
      <c r="B45" s="88"/>
      <c r="C45" s="80"/>
      <c r="D45" s="74"/>
      <c r="AF45" t="str">
        <f t="shared" si="9"/>
        <v>00000000</v>
      </c>
      <c r="AG45" s="81">
        <f t="shared" si="10"/>
        <v>0</v>
      </c>
      <c r="AH45" s="81">
        <f t="shared" si="11"/>
        <v>0</v>
      </c>
      <c r="AI45" t="str">
        <f t="shared" si="12"/>
        <v>0000000000</v>
      </c>
      <c r="AJ45" t="str">
        <f t="shared" si="13"/>
        <v>.00</v>
      </c>
      <c r="AK45" t="str">
        <f t="shared" si="14"/>
        <v>00</v>
      </c>
      <c r="AL45" t="str">
        <f t="shared" si="15"/>
        <v>000000000000</v>
      </c>
      <c r="AM45" t="str">
        <f t="shared" si="7"/>
        <v xml:space="preserve">                              </v>
      </c>
      <c r="AP45" t="str">
        <f t="shared" si="8"/>
        <v/>
      </c>
    </row>
    <row r="46" spans="2:42" x14ac:dyDescent="0.2">
      <c r="B46" s="88"/>
      <c r="C46" s="80"/>
      <c r="D46" s="74"/>
      <c r="AF46" t="str">
        <f t="shared" si="9"/>
        <v>00000000</v>
      </c>
      <c r="AG46" s="81">
        <f t="shared" si="10"/>
        <v>0</v>
      </c>
      <c r="AH46" s="81">
        <f t="shared" si="11"/>
        <v>0</v>
      </c>
      <c r="AI46" t="str">
        <f t="shared" si="12"/>
        <v>0000000000</v>
      </c>
      <c r="AJ46" t="str">
        <f t="shared" si="13"/>
        <v>.00</v>
      </c>
      <c r="AK46" t="str">
        <f t="shared" si="14"/>
        <v>00</v>
      </c>
      <c r="AL46" t="str">
        <f t="shared" si="15"/>
        <v>000000000000</v>
      </c>
      <c r="AM46" t="str">
        <f t="shared" si="7"/>
        <v xml:space="preserve">                              </v>
      </c>
      <c r="AP46" t="str">
        <f t="shared" si="8"/>
        <v/>
      </c>
    </row>
    <row r="47" spans="2:42" x14ac:dyDescent="0.2">
      <c r="B47" s="88"/>
      <c r="C47" s="80"/>
      <c r="D47" s="74"/>
      <c r="AF47" t="str">
        <f t="shared" si="9"/>
        <v>00000000</v>
      </c>
      <c r="AG47" s="81">
        <f t="shared" si="10"/>
        <v>0</v>
      </c>
      <c r="AH47" s="81">
        <f t="shared" si="11"/>
        <v>0</v>
      </c>
      <c r="AI47" t="str">
        <f t="shared" si="12"/>
        <v>0000000000</v>
      </c>
      <c r="AJ47" t="str">
        <f t="shared" si="13"/>
        <v>.00</v>
      </c>
      <c r="AK47" t="str">
        <f t="shared" si="14"/>
        <v>00</v>
      </c>
      <c r="AL47" t="str">
        <f t="shared" si="15"/>
        <v>000000000000</v>
      </c>
      <c r="AM47" t="str">
        <f t="shared" si="7"/>
        <v xml:space="preserve">                              </v>
      </c>
      <c r="AP47" t="str">
        <f t="shared" si="8"/>
        <v/>
      </c>
    </row>
    <row r="48" spans="2:42" x14ac:dyDescent="0.2">
      <c r="B48" s="88"/>
      <c r="C48" s="80"/>
      <c r="D48" s="74"/>
      <c r="AF48" t="str">
        <f t="shared" si="9"/>
        <v>00000000</v>
      </c>
      <c r="AG48" s="81">
        <f t="shared" si="10"/>
        <v>0</v>
      </c>
      <c r="AH48" s="81">
        <f t="shared" si="11"/>
        <v>0</v>
      </c>
      <c r="AI48" t="str">
        <f t="shared" si="12"/>
        <v>0000000000</v>
      </c>
      <c r="AJ48" t="str">
        <f t="shared" si="13"/>
        <v>.00</v>
      </c>
      <c r="AK48" t="str">
        <f t="shared" si="14"/>
        <v>00</v>
      </c>
      <c r="AL48" t="str">
        <f t="shared" si="15"/>
        <v>000000000000</v>
      </c>
      <c r="AM48" t="str">
        <f t="shared" si="7"/>
        <v xml:space="preserve">                              </v>
      </c>
      <c r="AP48" t="str">
        <f t="shared" si="8"/>
        <v/>
      </c>
    </row>
    <row r="49" spans="2:42" x14ac:dyDescent="0.2">
      <c r="B49" s="88"/>
      <c r="C49" s="80"/>
      <c r="D49" s="74"/>
      <c r="AF49" t="str">
        <f t="shared" si="9"/>
        <v>00000000</v>
      </c>
      <c r="AG49" s="81">
        <f t="shared" si="10"/>
        <v>0</v>
      </c>
      <c r="AH49" s="81">
        <f t="shared" si="11"/>
        <v>0</v>
      </c>
      <c r="AI49" t="str">
        <f t="shared" si="12"/>
        <v>0000000000</v>
      </c>
      <c r="AJ49" t="str">
        <f t="shared" si="13"/>
        <v>.00</v>
      </c>
      <c r="AK49" t="str">
        <f t="shared" si="14"/>
        <v>00</v>
      </c>
      <c r="AL49" t="str">
        <f t="shared" si="15"/>
        <v>000000000000</v>
      </c>
      <c r="AM49" t="str">
        <f t="shared" si="7"/>
        <v xml:space="preserve">                              </v>
      </c>
      <c r="AP49" t="str">
        <f t="shared" si="8"/>
        <v/>
      </c>
    </row>
    <row r="50" spans="2:42" x14ac:dyDescent="0.2">
      <c r="B50" s="88"/>
      <c r="C50" s="80"/>
      <c r="D50" s="74"/>
      <c r="AF50" t="str">
        <f t="shared" si="9"/>
        <v>00000000</v>
      </c>
      <c r="AG50" s="81">
        <f t="shared" si="10"/>
        <v>0</v>
      </c>
      <c r="AH50" s="81">
        <f t="shared" si="11"/>
        <v>0</v>
      </c>
      <c r="AI50" t="str">
        <f t="shared" si="12"/>
        <v>0000000000</v>
      </c>
      <c r="AJ50" t="str">
        <f t="shared" si="13"/>
        <v>.00</v>
      </c>
      <c r="AK50" t="str">
        <f t="shared" si="14"/>
        <v>00</v>
      </c>
      <c r="AL50" t="str">
        <f t="shared" si="15"/>
        <v>000000000000</v>
      </c>
      <c r="AM50" t="str">
        <f t="shared" si="7"/>
        <v xml:space="preserve">                              </v>
      </c>
      <c r="AP50" t="str">
        <f t="shared" si="8"/>
        <v/>
      </c>
    </row>
    <row r="51" spans="2:42" x14ac:dyDescent="0.2">
      <c r="B51" s="88"/>
      <c r="C51" s="80"/>
      <c r="D51" s="74"/>
      <c r="AF51" t="str">
        <f t="shared" si="9"/>
        <v>00000000</v>
      </c>
      <c r="AG51" s="81">
        <f t="shared" si="10"/>
        <v>0</v>
      </c>
      <c r="AH51" s="81">
        <f t="shared" si="11"/>
        <v>0</v>
      </c>
      <c r="AI51" t="str">
        <f t="shared" si="12"/>
        <v>0000000000</v>
      </c>
      <c r="AJ51" t="str">
        <f t="shared" si="13"/>
        <v>.00</v>
      </c>
      <c r="AK51" t="str">
        <f t="shared" si="14"/>
        <v>00</v>
      </c>
      <c r="AL51" t="str">
        <f t="shared" si="15"/>
        <v>000000000000</v>
      </c>
      <c r="AM51" t="str">
        <f t="shared" si="7"/>
        <v xml:space="preserve">                              </v>
      </c>
      <c r="AP51" t="str">
        <f t="shared" si="8"/>
        <v/>
      </c>
    </row>
    <row r="52" spans="2:42" x14ac:dyDescent="0.2">
      <c r="B52" s="88"/>
      <c r="C52" s="80"/>
      <c r="D52" s="74"/>
      <c r="AF52" t="str">
        <f t="shared" si="9"/>
        <v>00000000</v>
      </c>
      <c r="AG52" s="81">
        <f t="shared" si="10"/>
        <v>0</v>
      </c>
      <c r="AH52" s="81">
        <f t="shared" si="11"/>
        <v>0</v>
      </c>
      <c r="AI52" t="str">
        <f t="shared" si="12"/>
        <v>0000000000</v>
      </c>
      <c r="AJ52" t="str">
        <f t="shared" si="13"/>
        <v>.00</v>
      </c>
      <c r="AK52" t="str">
        <f t="shared" si="14"/>
        <v>00</v>
      </c>
      <c r="AL52" t="str">
        <f t="shared" si="15"/>
        <v>000000000000</v>
      </c>
      <c r="AM52" t="str">
        <f t="shared" si="7"/>
        <v xml:space="preserve">                              </v>
      </c>
      <c r="AP52" t="str">
        <f t="shared" si="8"/>
        <v/>
      </c>
    </row>
    <row r="53" spans="2:42" x14ac:dyDescent="0.2">
      <c r="B53" s="88"/>
      <c r="C53" s="80"/>
      <c r="D53" s="74"/>
      <c r="AF53" t="str">
        <f t="shared" si="9"/>
        <v>00000000</v>
      </c>
      <c r="AG53" s="81">
        <f t="shared" si="10"/>
        <v>0</v>
      </c>
      <c r="AH53" s="81">
        <f t="shared" si="11"/>
        <v>0</v>
      </c>
      <c r="AI53" t="str">
        <f t="shared" si="12"/>
        <v>0000000000</v>
      </c>
      <c r="AJ53" t="str">
        <f t="shared" si="13"/>
        <v>.00</v>
      </c>
      <c r="AK53" t="str">
        <f t="shared" si="14"/>
        <v>00</v>
      </c>
      <c r="AL53" t="str">
        <f t="shared" si="15"/>
        <v>000000000000</v>
      </c>
      <c r="AM53" t="str">
        <f t="shared" si="7"/>
        <v xml:space="preserve">                              </v>
      </c>
      <c r="AP53" t="str">
        <f t="shared" si="8"/>
        <v/>
      </c>
    </row>
    <row r="54" spans="2:42" x14ac:dyDescent="0.2">
      <c r="B54" s="88"/>
      <c r="C54" s="80"/>
      <c r="D54" s="74"/>
      <c r="AF54" t="str">
        <f t="shared" si="9"/>
        <v>00000000</v>
      </c>
      <c r="AG54" s="81">
        <f t="shared" si="10"/>
        <v>0</v>
      </c>
      <c r="AH54" s="81">
        <f t="shared" si="11"/>
        <v>0</v>
      </c>
      <c r="AI54" t="str">
        <f t="shared" si="12"/>
        <v>0000000000</v>
      </c>
      <c r="AJ54" t="str">
        <f t="shared" si="13"/>
        <v>.00</v>
      </c>
      <c r="AK54" t="str">
        <f t="shared" si="14"/>
        <v>00</v>
      </c>
      <c r="AL54" t="str">
        <f t="shared" si="15"/>
        <v>000000000000</v>
      </c>
      <c r="AM54" t="str">
        <f t="shared" si="7"/>
        <v xml:space="preserve">                              </v>
      </c>
      <c r="AP54" t="str">
        <f t="shared" si="8"/>
        <v/>
      </c>
    </row>
    <row r="55" spans="2:42" x14ac:dyDescent="0.2">
      <c r="B55" s="88"/>
      <c r="C55" s="80"/>
      <c r="D55" s="74"/>
      <c r="AF55" t="str">
        <f t="shared" si="9"/>
        <v>00000000</v>
      </c>
      <c r="AG55" s="81">
        <f t="shared" si="10"/>
        <v>0</v>
      </c>
      <c r="AH55" s="81">
        <f t="shared" si="11"/>
        <v>0</v>
      </c>
      <c r="AI55" t="str">
        <f t="shared" si="12"/>
        <v>0000000000</v>
      </c>
      <c r="AJ55" t="str">
        <f t="shared" si="13"/>
        <v>.00</v>
      </c>
      <c r="AK55" t="str">
        <f t="shared" si="14"/>
        <v>00</v>
      </c>
      <c r="AL55" t="str">
        <f t="shared" si="15"/>
        <v>000000000000</v>
      </c>
      <c r="AM55" t="str">
        <f t="shared" si="7"/>
        <v xml:space="preserve">                              </v>
      </c>
      <c r="AP55" t="str">
        <f t="shared" si="8"/>
        <v/>
      </c>
    </row>
    <row r="56" spans="2:42" x14ac:dyDescent="0.2">
      <c r="B56" s="88"/>
      <c r="C56" s="80"/>
      <c r="D56" s="74"/>
      <c r="AF56" t="str">
        <f t="shared" si="9"/>
        <v>00000000</v>
      </c>
      <c r="AG56" s="81">
        <f t="shared" si="10"/>
        <v>0</v>
      </c>
      <c r="AH56" s="81">
        <f t="shared" si="11"/>
        <v>0</v>
      </c>
      <c r="AI56" t="str">
        <f t="shared" si="12"/>
        <v>0000000000</v>
      </c>
      <c r="AJ56" t="str">
        <f t="shared" si="13"/>
        <v>.00</v>
      </c>
      <c r="AK56" t="str">
        <f t="shared" si="14"/>
        <v>00</v>
      </c>
      <c r="AL56" t="str">
        <f t="shared" si="15"/>
        <v>000000000000</v>
      </c>
      <c r="AM56" t="str">
        <f t="shared" si="7"/>
        <v xml:space="preserve">                              </v>
      </c>
      <c r="AP56" t="str">
        <f t="shared" si="8"/>
        <v/>
      </c>
    </row>
    <row r="57" spans="2:42" x14ac:dyDescent="0.2">
      <c r="B57" s="88"/>
      <c r="C57" s="80"/>
      <c r="D57" s="74"/>
      <c r="AF57" t="str">
        <f t="shared" si="9"/>
        <v>00000000</v>
      </c>
      <c r="AG57" s="81">
        <f t="shared" si="10"/>
        <v>0</v>
      </c>
      <c r="AH57" s="81">
        <f t="shared" si="11"/>
        <v>0</v>
      </c>
      <c r="AI57" t="str">
        <f t="shared" si="12"/>
        <v>0000000000</v>
      </c>
      <c r="AJ57" t="str">
        <f t="shared" si="13"/>
        <v>.00</v>
      </c>
      <c r="AK57" t="str">
        <f t="shared" si="14"/>
        <v>00</v>
      </c>
      <c r="AL57" t="str">
        <f t="shared" si="15"/>
        <v>000000000000</v>
      </c>
      <c r="AM57" t="str">
        <f t="shared" si="7"/>
        <v xml:space="preserve">                              </v>
      </c>
      <c r="AP57" t="str">
        <f t="shared" si="8"/>
        <v/>
      </c>
    </row>
    <row r="58" spans="2:42" x14ac:dyDescent="0.2">
      <c r="B58" s="88"/>
      <c r="C58" s="80"/>
      <c r="D58" s="74"/>
      <c r="AF58" t="str">
        <f t="shared" si="9"/>
        <v>00000000</v>
      </c>
      <c r="AG58" s="81">
        <f t="shared" si="10"/>
        <v>0</v>
      </c>
      <c r="AH58" s="81">
        <f t="shared" si="11"/>
        <v>0</v>
      </c>
      <c r="AI58" t="str">
        <f t="shared" si="12"/>
        <v>0000000000</v>
      </c>
      <c r="AJ58" t="str">
        <f t="shared" si="13"/>
        <v>.00</v>
      </c>
      <c r="AK58" t="str">
        <f t="shared" si="14"/>
        <v>00</v>
      </c>
      <c r="AL58" t="str">
        <f t="shared" si="15"/>
        <v>000000000000</v>
      </c>
      <c r="AM58" t="str">
        <f t="shared" si="7"/>
        <v xml:space="preserve">                              </v>
      </c>
      <c r="AP58" t="str">
        <f t="shared" si="8"/>
        <v/>
      </c>
    </row>
    <row r="59" spans="2:42" x14ac:dyDescent="0.2">
      <c r="B59" s="88"/>
      <c r="C59" s="80"/>
      <c r="D59" s="74"/>
      <c r="AF59" t="str">
        <f t="shared" si="9"/>
        <v>00000000</v>
      </c>
      <c r="AG59" s="81">
        <f t="shared" si="10"/>
        <v>0</v>
      </c>
      <c r="AH59" s="81">
        <f t="shared" si="11"/>
        <v>0</v>
      </c>
      <c r="AI59" t="str">
        <f t="shared" si="12"/>
        <v>0000000000</v>
      </c>
      <c r="AJ59" t="str">
        <f t="shared" si="13"/>
        <v>.00</v>
      </c>
      <c r="AK59" t="str">
        <f t="shared" si="14"/>
        <v>00</v>
      </c>
      <c r="AL59" t="str">
        <f t="shared" si="15"/>
        <v>000000000000</v>
      </c>
      <c r="AM59" t="str">
        <f t="shared" si="7"/>
        <v xml:space="preserve">                              </v>
      </c>
      <c r="AP59" t="str">
        <f t="shared" si="8"/>
        <v/>
      </c>
    </row>
    <row r="60" spans="2:42" x14ac:dyDescent="0.2">
      <c r="B60" s="88"/>
      <c r="C60" s="80"/>
      <c r="D60" s="74"/>
      <c r="AF60" t="str">
        <f t="shared" si="9"/>
        <v>00000000</v>
      </c>
      <c r="AG60" s="81">
        <f t="shared" si="10"/>
        <v>0</v>
      </c>
      <c r="AH60" s="81">
        <f t="shared" si="11"/>
        <v>0</v>
      </c>
      <c r="AI60" t="str">
        <f t="shared" si="12"/>
        <v>0000000000</v>
      </c>
      <c r="AJ60" t="str">
        <f t="shared" si="13"/>
        <v>.00</v>
      </c>
      <c r="AK60" t="str">
        <f t="shared" si="14"/>
        <v>00</v>
      </c>
      <c r="AL60" t="str">
        <f t="shared" si="15"/>
        <v>000000000000</v>
      </c>
      <c r="AM60" t="str">
        <f t="shared" si="7"/>
        <v xml:space="preserve">                              </v>
      </c>
      <c r="AP60" t="str">
        <f t="shared" si="8"/>
        <v/>
      </c>
    </row>
    <row r="61" spans="2:42" x14ac:dyDescent="0.2">
      <c r="B61" s="88"/>
      <c r="C61" s="80"/>
      <c r="D61" s="74"/>
      <c r="AF61" t="str">
        <f t="shared" si="9"/>
        <v>00000000</v>
      </c>
      <c r="AG61" s="81">
        <f t="shared" si="10"/>
        <v>0</v>
      </c>
      <c r="AH61" s="81">
        <f t="shared" si="11"/>
        <v>0</v>
      </c>
      <c r="AI61" t="str">
        <f t="shared" si="12"/>
        <v>0000000000</v>
      </c>
      <c r="AJ61" t="str">
        <f t="shared" si="13"/>
        <v>.00</v>
      </c>
      <c r="AK61" t="str">
        <f t="shared" si="14"/>
        <v>00</v>
      </c>
      <c r="AL61" t="str">
        <f t="shared" si="15"/>
        <v>000000000000</v>
      </c>
      <c r="AM61" t="str">
        <f t="shared" si="7"/>
        <v xml:space="preserve">                              </v>
      </c>
      <c r="AP61" t="str">
        <f t="shared" si="8"/>
        <v/>
      </c>
    </row>
    <row r="62" spans="2:42" x14ac:dyDescent="0.2">
      <c r="B62" s="88"/>
      <c r="C62" s="80"/>
      <c r="D62" s="74"/>
      <c r="AF62" t="str">
        <f t="shared" si="9"/>
        <v>00000000</v>
      </c>
      <c r="AG62" s="81">
        <f t="shared" si="10"/>
        <v>0</v>
      </c>
      <c r="AH62" s="81">
        <f t="shared" si="11"/>
        <v>0</v>
      </c>
      <c r="AI62" t="str">
        <f t="shared" si="12"/>
        <v>0000000000</v>
      </c>
      <c r="AJ62" t="str">
        <f t="shared" si="13"/>
        <v>.00</v>
      </c>
      <c r="AK62" t="str">
        <f t="shared" si="14"/>
        <v>00</v>
      </c>
      <c r="AL62" t="str">
        <f t="shared" si="15"/>
        <v>000000000000</v>
      </c>
      <c r="AM62" t="str">
        <f t="shared" si="7"/>
        <v xml:space="preserve">                              </v>
      </c>
      <c r="AP62" t="str">
        <f t="shared" si="8"/>
        <v/>
      </c>
    </row>
    <row r="63" spans="2:42" x14ac:dyDescent="0.2">
      <c r="B63" s="88"/>
      <c r="C63" s="80"/>
      <c r="D63" s="74"/>
      <c r="AF63" t="str">
        <f t="shared" si="9"/>
        <v>00000000</v>
      </c>
      <c r="AG63" s="81">
        <f t="shared" si="10"/>
        <v>0</v>
      </c>
      <c r="AH63" s="81">
        <f t="shared" si="11"/>
        <v>0</v>
      </c>
      <c r="AI63" t="str">
        <f t="shared" si="12"/>
        <v>0000000000</v>
      </c>
      <c r="AJ63" t="str">
        <f t="shared" si="13"/>
        <v>.00</v>
      </c>
      <c r="AK63" t="str">
        <f t="shared" si="14"/>
        <v>00</v>
      </c>
      <c r="AL63" t="str">
        <f t="shared" si="15"/>
        <v>000000000000</v>
      </c>
      <c r="AM63" t="str">
        <f t="shared" si="7"/>
        <v xml:space="preserve">                              </v>
      </c>
      <c r="AP63" t="str">
        <f t="shared" si="8"/>
        <v/>
      </c>
    </row>
    <row r="64" spans="2:42" x14ac:dyDescent="0.2">
      <c r="B64" s="88"/>
      <c r="C64" s="80"/>
      <c r="D64" s="74"/>
      <c r="AF64" t="str">
        <f t="shared" si="9"/>
        <v>00000000</v>
      </c>
      <c r="AG64" s="81">
        <f t="shared" si="10"/>
        <v>0</v>
      </c>
      <c r="AH64" s="81">
        <f t="shared" si="11"/>
        <v>0</v>
      </c>
      <c r="AI64" t="str">
        <f t="shared" si="12"/>
        <v>0000000000</v>
      </c>
      <c r="AJ64" t="str">
        <f t="shared" si="13"/>
        <v>.00</v>
      </c>
      <c r="AK64" t="str">
        <f t="shared" si="14"/>
        <v>00</v>
      </c>
      <c r="AL64" t="str">
        <f t="shared" si="15"/>
        <v>000000000000</v>
      </c>
      <c r="AM64" t="str">
        <f t="shared" si="7"/>
        <v xml:space="preserve">                              </v>
      </c>
      <c r="AP64" t="str">
        <f t="shared" si="8"/>
        <v/>
      </c>
    </row>
    <row r="65" spans="2:42" x14ac:dyDescent="0.2">
      <c r="B65" s="88"/>
      <c r="C65" s="80"/>
      <c r="D65" s="74"/>
      <c r="AF65" t="str">
        <f t="shared" si="9"/>
        <v>00000000</v>
      </c>
      <c r="AG65" s="81">
        <f t="shared" si="10"/>
        <v>0</v>
      </c>
      <c r="AH65" s="81">
        <f t="shared" si="11"/>
        <v>0</v>
      </c>
      <c r="AI65" t="str">
        <f t="shared" si="12"/>
        <v>0000000000</v>
      </c>
      <c r="AJ65" t="str">
        <f t="shared" si="13"/>
        <v>.00</v>
      </c>
      <c r="AK65" t="str">
        <f t="shared" si="14"/>
        <v>00</v>
      </c>
      <c r="AL65" t="str">
        <f t="shared" si="15"/>
        <v>000000000000</v>
      </c>
      <c r="AM65" t="str">
        <f t="shared" si="7"/>
        <v xml:space="preserve">                              </v>
      </c>
      <c r="AP65" t="str">
        <f t="shared" si="8"/>
        <v/>
      </c>
    </row>
    <row r="66" spans="2:42" x14ac:dyDescent="0.2">
      <c r="B66" s="88"/>
      <c r="C66" s="80"/>
      <c r="D66" s="74"/>
      <c r="AF66" t="str">
        <f t="shared" si="9"/>
        <v>00000000</v>
      </c>
      <c r="AG66" s="81">
        <f t="shared" si="10"/>
        <v>0</v>
      </c>
      <c r="AH66" s="81">
        <f t="shared" si="11"/>
        <v>0</v>
      </c>
      <c r="AI66" t="str">
        <f t="shared" si="12"/>
        <v>0000000000</v>
      </c>
      <c r="AJ66" t="str">
        <f t="shared" si="13"/>
        <v>.00</v>
      </c>
      <c r="AK66" t="str">
        <f t="shared" si="14"/>
        <v>00</v>
      </c>
      <c r="AL66" t="str">
        <f t="shared" si="15"/>
        <v>000000000000</v>
      </c>
      <c r="AM66" t="str">
        <f t="shared" si="7"/>
        <v xml:space="preserve">                              </v>
      </c>
      <c r="AP66" t="str">
        <f t="shared" si="8"/>
        <v/>
      </c>
    </row>
    <row r="67" spans="2:42" x14ac:dyDescent="0.2">
      <c r="B67" s="88"/>
      <c r="C67" s="80"/>
      <c r="D67" s="74"/>
      <c r="AF67" t="str">
        <f t="shared" si="9"/>
        <v>00000000</v>
      </c>
      <c r="AG67" s="81">
        <f t="shared" si="10"/>
        <v>0</v>
      </c>
      <c r="AH67" s="81">
        <f t="shared" si="11"/>
        <v>0</v>
      </c>
      <c r="AI67" t="str">
        <f t="shared" si="12"/>
        <v>0000000000</v>
      </c>
      <c r="AJ67" t="str">
        <f t="shared" si="13"/>
        <v>.00</v>
      </c>
      <c r="AK67" t="str">
        <f t="shared" si="14"/>
        <v>00</v>
      </c>
      <c r="AL67" t="str">
        <f t="shared" si="15"/>
        <v>000000000000</v>
      </c>
      <c r="AM67" t="str">
        <f t="shared" ref="AM67:AM130" si="16">CONCATENATE(D68,REPT(" ",30-LEN(D68)))</f>
        <v xml:space="preserve">                              </v>
      </c>
      <c r="AP67" t="str">
        <f t="shared" ref="AP67:AP130" si="17">IF(B68&lt;&gt;"",CONCATENATE("000",$AA$3,"     ",$AB$3,$AC$3,$AD$3,"30000",AF67,AL67,$AC$1,AM67),"")</f>
        <v/>
      </c>
    </row>
    <row r="68" spans="2:42" x14ac:dyDescent="0.2">
      <c r="B68" s="88"/>
      <c r="C68" s="80"/>
      <c r="D68" s="74"/>
      <c r="AF68" t="str">
        <f t="shared" si="9"/>
        <v>00000000</v>
      </c>
      <c r="AG68" s="81">
        <f t="shared" si="10"/>
        <v>0</v>
      </c>
      <c r="AH68" s="81">
        <f t="shared" si="11"/>
        <v>0</v>
      </c>
      <c r="AI68" t="str">
        <f t="shared" si="12"/>
        <v>0000000000</v>
      </c>
      <c r="AJ68" t="str">
        <f t="shared" si="13"/>
        <v>.00</v>
      </c>
      <c r="AK68" t="str">
        <f t="shared" si="14"/>
        <v>00</v>
      </c>
      <c r="AL68" t="str">
        <f t="shared" si="15"/>
        <v>000000000000</v>
      </c>
      <c r="AM68" t="str">
        <f t="shared" si="16"/>
        <v xml:space="preserve">                              </v>
      </c>
      <c r="AP68" t="str">
        <f t="shared" si="17"/>
        <v/>
      </c>
    </row>
    <row r="69" spans="2:42" x14ac:dyDescent="0.2">
      <c r="B69" s="88"/>
      <c r="C69" s="80"/>
      <c r="D69" s="74"/>
      <c r="AF69" t="str">
        <f t="shared" si="9"/>
        <v>00000000</v>
      </c>
      <c r="AG69" s="81">
        <f t="shared" si="10"/>
        <v>0</v>
      </c>
      <c r="AH69" s="81">
        <f t="shared" si="11"/>
        <v>0</v>
      </c>
      <c r="AI69" t="str">
        <f t="shared" si="12"/>
        <v>0000000000</v>
      </c>
      <c r="AJ69" t="str">
        <f t="shared" si="13"/>
        <v>.00</v>
      </c>
      <c r="AK69" t="str">
        <f t="shared" si="14"/>
        <v>00</v>
      </c>
      <c r="AL69" t="str">
        <f t="shared" si="15"/>
        <v>000000000000</v>
      </c>
      <c r="AM69" t="str">
        <f t="shared" si="16"/>
        <v xml:space="preserve">                              </v>
      </c>
      <c r="AP69" t="str">
        <f t="shared" si="17"/>
        <v/>
      </c>
    </row>
    <row r="70" spans="2:42" x14ac:dyDescent="0.2">
      <c r="B70" s="88"/>
      <c r="C70" s="80"/>
      <c r="D70" s="74"/>
      <c r="AF70" t="str">
        <f t="shared" si="9"/>
        <v>00000000</v>
      </c>
      <c r="AG70" s="81">
        <f t="shared" si="10"/>
        <v>0</v>
      </c>
      <c r="AH70" s="81">
        <f t="shared" si="11"/>
        <v>0</v>
      </c>
      <c r="AI70" t="str">
        <f t="shared" si="12"/>
        <v>0000000000</v>
      </c>
      <c r="AJ70" t="str">
        <f t="shared" si="13"/>
        <v>.00</v>
      </c>
      <c r="AK70" t="str">
        <f t="shared" si="14"/>
        <v>00</v>
      </c>
      <c r="AL70" t="str">
        <f t="shared" si="15"/>
        <v>000000000000</v>
      </c>
      <c r="AM70" t="str">
        <f t="shared" si="16"/>
        <v xml:space="preserve">                              </v>
      </c>
      <c r="AP70" t="str">
        <f t="shared" si="17"/>
        <v/>
      </c>
    </row>
    <row r="71" spans="2:42" x14ac:dyDescent="0.2">
      <c r="B71" s="88"/>
      <c r="C71" s="80"/>
      <c r="D71" s="74"/>
      <c r="AF71" t="str">
        <f t="shared" si="9"/>
        <v>00000000</v>
      </c>
      <c r="AG71" s="81">
        <f t="shared" si="10"/>
        <v>0</v>
      </c>
      <c r="AH71" s="81">
        <f t="shared" si="11"/>
        <v>0</v>
      </c>
      <c r="AI71" t="str">
        <f t="shared" si="12"/>
        <v>0000000000</v>
      </c>
      <c r="AJ71" t="str">
        <f t="shared" si="13"/>
        <v>.00</v>
      </c>
      <c r="AK71" t="str">
        <f t="shared" si="14"/>
        <v>00</v>
      </c>
      <c r="AL71" t="str">
        <f t="shared" si="15"/>
        <v>000000000000</v>
      </c>
      <c r="AM71" t="str">
        <f t="shared" si="16"/>
        <v xml:space="preserve">                              </v>
      </c>
      <c r="AP71" t="str">
        <f t="shared" si="17"/>
        <v/>
      </c>
    </row>
    <row r="72" spans="2:42" x14ac:dyDescent="0.2">
      <c r="B72" s="88"/>
      <c r="C72" s="80"/>
      <c r="D72" s="74"/>
      <c r="AF72" t="str">
        <f t="shared" si="9"/>
        <v>00000000</v>
      </c>
      <c r="AG72" s="81">
        <f t="shared" si="10"/>
        <v>0</v>
      </c>
      <c r="AH72" s="81">
        <f t="shared" si="11"/>
        <v>0</v>
      </c>
      <c r="AI72" t="str">
        <f t="shared" si="12"/>
        <v>0000000000</v>
      </c>
      <c r="AJ72" t="str">
        <f t="shared" si="13"/>
        <v>.00</v>
      </c>
      <c r="AK72" t="str">
        <f t="shared" si="14"/>
        <v>00</v>
      </c>
      <c r="AL72" t="str">
        <f t="shared" si="15"/>
        <v>000000000000</v>
      </c>
      <c r="AM72" t="str">
        <f t="shared" si="16"/>
        <v xml:space="preserve">                              </v>
      </c>
      <c r="AP72" t="str">
        <f t="shared" si="17"/>
        <v/>
      </c>
    </row>
    <row r="73" spans="2:42" x14ac:dyDescent="0.2">
      <c r="B73" s="88"/>
      <c r="C73" s="80"/>
      <c r="D73" s="74"/>
      <c r="AF73" t="str">
        <f t="shared" si="9"/>
        <v>00000000</v>
      </c>
      <c r="AG73" s="81">
        <f t="shared" si="10"/>
        <v>0</v>
      </c>
      <c r="AH73" s="81">
        <f t="shared" si="11"/>
        <v>0</v>
      </c>
      <c r="AI73" t="str">
        <f t="shared" si="12"/>
        <v>0000000000</v>
      </c>
      <c r="AJ73" t="str">
        <f t="shared" si="13"/>
        <v>.00</v>
      </c>
      <c r="AK73" t="str">
        <f t="shared" si="14"/>
        <v>00</v>
      </c>
      <c r="AL73" t="str">
        <f t="shared" si="15"/>
        <v>000000000000</v>
      </c>
      <c r="AM73" t="str">
        <f t="shared" si="16"/>
        <v xml:space="preserve">                              </v>
      </c>
      <c r="AP73" t="str">
        <f t="shared" si="17"/>
        <v/>
      </c>
    </row>
    <row r="74" spans="2:42" x14ac:dyDescent="0.2">
      <c r="B74" s="88"/>
      <c r="C74" s="80"/>
      <c r="D74" s="74"/>
      <c r="AF74" t="str">
        <f t="shared" ref="AF74:AF137" si="18">CONCATENATE(REPT("0",8-LEN(B75)),B75)</f>
        <v>00000000</v>
      </c>
      <c r="AG74" s="81">
        <f t="shared" ref="AG74:AG137" si="19">INT(C75)</f>
        <v>0</v>
      </c>
      <c r="AH74" s="81">
        <f t="shared" ref="AH74:AH137" si="20">C75-AG74</f>
        <v>0</v>
      </c>
      <c r="AI74" t="str">
        <f t="shared" ref="AI74:AI137" si="21">TEXT(AG74,"0000000000")</f>
        <v>0000000000</v>
      </c>
      <c r="AJ74" t="str">
        <f t="shared" ref="AJ74:AJ137" si="22">TEXT(AH74,".00")</f>
        <v>.00</v>
      </c>
      <c r="AK74" t="str">
        <f t="shared" ref="AK74:AK137" si="23">MID(AJ74,2,2)</f>
        <v>00</v>
      </c>
      <c r="AL74" t="str">
        <f t="shared" ref="AL74:AL137" si="24">CONCATENATE(AI74,AK74)</f>
        <v>000000000000</v>
      </c>
      <c r="AM74" t="str">
        <f t="shared" si="16"/>
        <v xml:space="preserve">                              </v>
      </c>
      <c r="AP74" t="str">
        <f t="shared" si="17"/>
        <v/>
      </c>
    </row>
    <row r="75" spans="2:42" x14ac:dyDescent="0.2">
      <c r="B75" s="88"/>
      <c r="C75" s="80"/>
      <c r="D75" s="74"/>
      <c r="AF75" t="str">
        <f t="shared" si="18"/>
        <v>00000000</v>
      </c>
      <c r="AG75" s="81">
        <f t="shared" si="19"/>
        <v>0</v>
      </c>
      <c r="AH75" s="81">
        <f t="shared" si="20"/>
        <v>0</v>
      </c>
      <c r="AI75" t="str">
        <f t="shared" si="21"/>
        <v>0000000000</v>
      </c>
      <c r="AJ75" t="str">
        <f t="shared" si="22"/>
        <v>.00</v>
      </c>
      <c r="AK75" t="str">
        <f t="shared" si="23"/>
        <v>00</v>
      </c>
      <c r="AL75" t="str">
        <f t="shared" si="24"/>
        <v>000000000000</v>
      </c>
      <c r="AM75" t="str">
        <f t="shared" si="16"/>
        <v xml:space="preserve">                              </v>
      </c>
      <c r="AP75" t="str">
        <f t="shared" si="17"/>
        <v/>
      </c>
    </row>
    <row r="76" spans="2:42" x14ac:dyDescent="0.2">
      <c r="B76" s="88"/>
      <c r="C76" s="80"/>
      <c r="D76" s="74"/>
      <c r="AF76" t="str">
        <f t="shared" si="18"/>
        <v>00000000</v>
      </c>
      <c r="AG76" s="81">
        <f t="shared" si="19"/>
        <v>0</v>
      </c>
      <c r="AH76" s="81">
        <f t="shared" si="20"/>
        <v>0</v>
      </c>
      <c r="AI76" t="str">
        <f t="shared" si="21"/>
        <v>0000000000</v>
      </c>
      <c r="AJ76" t="str">
        <f t="shared" si="22"/>
        <v>.00</v>
      </c>
      <c r="AK76" t="str">
        <f t="shared" si="23"/>
        <v>00</v>
      </c>
      <c r="AL76" t="str">
        <f t="shared" si="24"/>
        <v>000000000000</v>
      </c>
      <c r="AM76" t="str">
        <f t="shared" si="16"/>
        <v xml:space="preserve">                              </v>
      </c>
      <c r="AP76" t="str">
        <f t="shared" si="17"/>
        <v/>
      </c>
    </row>
    <row r="77" spans="2:42" x14ac:dyDescent="0.2">
      <c r="B77" s="88"/>
      <c r="C77" s="80"/>
      <c r="D77" s="74"/>
      <c r="AF77" t="str">
        <f t="shared" si="18"/>
        <v>00000000</v>
      </c>
      <c r="AG77" s="81">
        <f t="shared" si="19"/>
        <v>0</v>
      </c>
      <c r="AH77" s="81">
        <f t="shared" si="20"/>
        <v>0</v>
      </c>
      <c r="AI77" t="str">
        <f t="shared" si="21"/>
        <v>0000000000</v>
      </c>
      <c r="AJ77" t="str">
        <f t="shared" si="22"/>
        <v>.00</v>
      </c>
      <c r="AK77" t="str">
        <f t="shared" si="23"/>
        <v>00</v>
      </c>
      <c r="AL77" t="str">
        <f t="shared" si="24"/>
        <v>000000000000</v>
      </c>
      <c r="AM77" t="str">
        <f t="shared" si="16"/>
        <v xml:space="preserve">                              </v>
      </c>
      <c r="AP77" t="str">
        <f t="shared" si="17"/>
        <v/>
      </c>
    </row>
    <row r="78" spans="2:42" x14ac:dyDescent="0.2">
      <c r="B78" s="88"/>
      <c r="C78" s="80"/>
      <c r="D78" s="74"/>
      <c r="AF78" t="str">
        <f t="shared" si="18"/>
        <v>00000000</v>
      </c>
      <c r="AG78" s="81">
        <f t="shared" si="19"/>
        <v>0</v>
      </c>
      <c r="AH78" s="81">
        <f t="shared" si="20"/>
        <v>0</v>
      </c>
      <c r="AI78" t="str">
        <f t="shared" si="21"/>
        <v>0000000000</v>
      </c>
      <c r="AJ78" t="str">
        <f t="shared" si="22"/>
        <v>.00</v>
      </c>
      <c r="AK78" t="str">
        <f t="shared" si="23"/>
        <v>00</v>
      </c>
      <c r="AL78" t="str">
        <f t="shared" si="24"/>
        <v>000000000000</v>
      </c>
      <c r="AM78" t="str">
        <f t="shared" si="16"/>
        <v xml:space="preserve">                              </v>
      </c>
      <c r="AP78" t="str">
        <f t="shared" si="17"/>
        <v/>
      </c>
    </row>
    <row r="79" spans="2:42" x14ac:dyDescent="0.2">
      <c r="B79" s="88"/>
      <c r="C79" s="80"/>
      <c r="D79" s="74"/>
      <c r="AF79" t="str">
        <f t="shared" si="18"/>
        <v>00000000</v>
      </c>
      <c r="AG79" s="81">
        <f t="shared" si="19"/>
        <v>0</v>
      </c>
      <c r="AH79" s="81">
        <f t="shared" si="20"/>
        <v>0</v>
      </c>
      <c r="AI79" t="str">
        <f t="shared" si="21"/>
        <v>0000000000</v>
      </c>
      <c r="AJ79" t="str">
        <f t="shared" si="22"/>
        <v>.00</v>
      </c>
      <c r="AK79" t="str">
        <f t="shared" si="23"/>
        <v>00</v>
      </c>
      <c r="AL79" t="str">
        <f t="shared" si="24"/>
        <v>000000000000</v>
      </c>
      <c r="AM79" t="str">
        <f t="shared" si="16"/>
        <v xml:space="preserve">                              </v>
      </c>
      <c r="AP79" t="str">
        <f t="shared" si="17"/>
        <v/>
      </c>
    </row>
    <row r="80" spans="2:42" x14ac:dyDescent="0.2">
      <c r="B80" s="88"/>
      <c r="C80" s="80"/>
      <c r="D80" s="74"/>
      <c r="AF80" t="str">
        <f t="shared" si="18"/>
        <v>00000000</v>
      </c>
      <c r="AG80" s="81">
        <f t="shared" si="19"/>
        <v>0</v>
      </c>
      <c r="AH80" s="81">
        <f t="shared" si="20"/>
        <v>0</v>
      </c>
      <c r="AI80" t="str">
        <f t="shared" si="21"/>
        <v>0000000000</v>
      </c>
      <c r="AJ80" t="str">
        <f t="shared" si="22"/>
        <v>.00</v>
      </c>
      <c r="AK80" t="str">
        <f t="shared" si="23"/>
        <v>00</v>
      </c>
      <c r="AL80" t="str">
        <f t="shared" si="24"/>
        <v>000000000000</v>
      </c>
      <c r="AM80" t="str">
        <f t="shared" si="16"/>
        <v xml:space="preserve">                              </v>
      </c>
      <c r="AP80" t="str">
        <f t="shared" si="17"/>
        <v/>
      </c>
    </row>
    <row r="81" spans="2:42" x14ac:dyDescent="0.2">
      <c r="B81" s="88"/>
      <c r="C81" s="80"/>
      <c r="D81" s="74"/>
      <c r="AF81" t="str">
        <f t="shared" si="18"/>
        <v>00000000</v>
      </c>
      <c r="AG81" s="81">
        <f t="shared" si="19"/>
        <v>0</v>
      </c>
      <c r="AH81" s="81">
        <f t="shared" si="20"/>
        <v>0</v>
      </c>
      <c r="AI81" t="str">
        <f t="shared" si="21"/>
        <v>0000000000</v>
      </c>
      <c r="AJ81" t="str">
        <f t="shared" si="22"/>
        <v>.00</v>
      </c>
      <c r="AK81" t="str">
        <f t="shared" si="23"/>
        <v>00</v>
      </c>
      <c r="AL81" t="str">
        <f t="shared" si="24"/>
        <v>000000000000</v>
      </c>
      <c r="AM81" t="str">
        <f t="shared" si="16"/>
        <v xml:space="preserve">                              </v>
      </c>
      <c r="AP81" t="str">
        <f t="shared" si="17"/>
        <v/>
      </c>
    </row>
    <row r="82" spans="2:42" x14ac:dyDescent="0.2">
      <c r="B82" s="88"/>
      <c r="C82" s="80"/>
      <c r="D82" s="74"/>
      <c r="AF82" t="str">
        <f t="shared" si="18"/>
        <v>00000000</v>
      </c>
      <c r="AG82" s="81">
        <f t="shared" si="19"/>
        <v>0</v>
      </c>
      <c r="AH82" s="81">
        <f t="shared" si="20"/>
        <v>0</v>
      </c>
      <c r="AI82" t="str">
        <f t="shared" si="21"/>
        <v>0000000000</v>
      </c>
      <c r="AJ82" t="str">
        <f t="shared" si="22"/>
        <v>.00</v>
      </c>
      <c r="AK82" t="str">
        <f t="shared" si="23"/>
        <v>00</v>
      </c>
      <c r="AL82" t="str">
        <f t="shared" si="24"/>
        <v>000000000000</v>
      </c>
      <c r="AM82" t="str">
        <f t="shared" si="16"/>
        <v xml:space="preserve">                              </v>
      </c>
      <c r="AP82" t="str">
        <f t="shared" si="17"/>
        <v/>
      </c>
    </row>
    <row r="83" spans="2:42" x14ac:dyDescent="0.2">
      <c r="B83" s="88"/>
      <c r="C83" s="80"/>
      <c r="D83" s="74"/>
      <c r="AF83" t="str">
        <f t="shared" si="18"/>
        <v>00000000</v>
      </c>
      <c r="AG83" s="81">
        <f t="shared" si="19"/>
        <v>0</v>
      </c>
      <c r="AH83" s="81">
        <f t="shared" si="20"/>
        <v>0</v>
      </c>
      <c r="AI83" t="str">
        <f t="shared" si="21"/>
        <v>0000000000</v>
      </c>
      <c r="AJ83" t="str">
        <f t="shared" si="22"/>
        <v>.00</v>
      </c>
      <c r="AK83" t="str">
        <f t="shared" si="23"/>
        <v>00</v>
      </c>
      <c r="AL83" t="str">
        <f t="shared" si="24"/>
        <v>000000000000</v>
      </c>
      <c r="AM83" t="str">
        <f t="shared" si="16"/>
        <v xml:space="preserve">                              </v>
      </c>
      <c r="AP83" t="str">
        <f t="shared" si="17"/>
        <v/>
      </c>
    </row>
    <row r="84" spans="2:42" x14ac:dyDescent="0.2">
      <c r="B84" s="88"/>
      <c r="C84" s="80"/>
      <c r="D84" s="74"/>
      <c r="AF84" t="str">
        <f t="shared" si="18"/>
        <v>00000000</v>
      </c>
      <c r="AG84" s="81">
        <f t="shared" si="19"/>
        <v>0</v>
      </c>
      <c r="AH84" s="81">
        <f t="shared" si="20"/>
        <v>0</v>
      </c>
      <c r="AI84" t="str">
        <f t="shared" si="21"/>
        <v>0000000000</v>
      </c>
      <c r="AJ84" t="str">
        <f t="shared" si="22"/>
        <v>.00</v>
      </c>
      <c r="AK84" t="str">
        <f t="shared" si="23"/>
        <v>00</v>
      </c>
      <c r="AL84" t="str">
        <f t="shared" si="24"/>
        <v>000000000000</v>
      </c>
      <c r="AM84" t="str">
        <f t="shared" si="16"/>
        <v xml:space="preserve">                              </v>
      </c>
      <c r="AP84" t="str">
        <f t="shared" si="17"/>
        <v/>
      </c>
    </row>
    <row r="85" spans="2:42" x14ac:dyDescent="0.2">
      <c r="B85" s="88"/>
      <c r="C85" s="80"/>
      <c r="D85" s="74"/>
      <c r="AF85" t="str">
        <f t="shared" si="18"/>
        <v>00000000</v>
      </c>
      <c r="AG85" s="81">
        <f t="shared" si="19"/>
        <v>0</v>
      </c>
      <c r="AH85" s="81">
        <f t="shared" si="20"/>
        <v>0</v>
      </c>
      <c r="AI85" t="str">
        <f t="shared" si="21"/>
        <v>0000000000</v>
      </c>
      <c r="AJ85" t="str">
        <f t="shared" si="22"/>
        <v>.00</v>
      </c>
      <c r="AK85" t="str">
        <f t="shared" si="23"/>
        <v>00</v>
      </c>
      <c r="AL85" t="str">
        <f t="shared" si="24"/>
        <v>000000000000</v>
      </c>
      <c r="AM85" t="str">
        <f t="shared" si="16"/>
        <v xml:space="preserve">                              </v>
      </c>
      <c r="AP85" t="str">
        <f t="shared" si="17"/>
        <v/>
      </c>
    </row>
    <row r="86" spans="2:42" x14ac:dyDescent="0.2">
      <c r="B86" s="88"/>
      <c r="C86" s="80"/>
      <c r="D86" s="74"/>
      <c r="AF86" t="str">
        <f t="shared" si="18"/>
        <v>00000000</v>
      </c>
      <c r="AG86" s="81">
        <f t="shared" si="19"/>
        <v>0</v>
      </c>
      <c r="AH86" s="81">
        <f t="shared" si="20"/>
        <v>0</v>
      </c>
      <c r="AI86" t="str">
        <f t="shared" si="21"/>
        <v>0000000000</v>
      </c>
      <c r="AJ86" t="str">
        <f t="shared" si="22"/>
        <v>.00</v>
      </c>
      <c r="AK86" t="str">
        <f t="shared" si="23"/>
        <v>00</v>
      </c>
      <c r="AL86" t="str">
        <f t="shared" si="24"/>
        <v>000000000000</v>
      </c>
      <c r="AM86" t="str">
        <f t="shared" si="16"/>
        <v xml:space="preserve">                              </v>
      </c>
      <c r="AP86" t="str">
        <f t="shared" si="17"/>
        <v/>
      </c>
    </row>
    <row r="87" spans="2:42" x14ac:dyDescent="0.2">
      <c r="B87" s="88"/>
      <c r="C87" s="80"/>
      <c r="D87" s="74"/>
      <c r="AF87" t="str">
        <f t="shared" si="18"/>
        <v>00000000</v>
      </c>
      <c r="AG87" s="81">
        <f t="shared" si="19"/>
        <v>0</v>
      </c>
      <c r="AH87" s="81">
        <f t="shared" si="20"/>
        <v>0</v>
      </c>
      <c r="AI87" t="str">
        <f t="shared" si="21"/>
        <v>0000000000</v>
      </c>
      <c r="AJ87" t="str">
        <f t="shared" si="22"/>
        <v>.00</v>
      </c>
      <c r="AK87" t="str">
        <f t="shared" si="23"/>
        <v>00</v>
      </c>
      <c r="AL87" t="str">
        <f t="shared" si="24"/>
        <v>000000000000</v>
      </c>
      <c r="AM87" t="str">
        <f t="shared" si="16"/>
        <v xml:space="preserve">                              </v>
      </c>
      <c r="AP87" t="str">
        <f t="shared" si="17"/>
        <v/>
      </c>
    </row>
    <row r="88" spans="2:42" x14ac:dyDescent="0.2">
      <c r="B88" s="88"/>
      <c r="C88" s="80"/>
      <c r="D88" s="74"/>
      <c r="AF88" t="str">
        <f t="shared" si="18"/>
        <v>00000000</v>
      </c>
      <c r="AG88" s="81">
        <f t="shared" si="19"/>
        <v>0</v>
      </c>
      <c r="AH88" s="81">
        <f t="shared" si="20"/>
        <v>0</v>
      </c>
      <c r="AI88" t="str">
        <f t="shared" si="21"/>
        <v>0000000000</v>
      </c>
      <c r="AJ88" t="str">
        <f t="shared" si="22"/>
        <v>.00</v>
      </c>
      <c r="AK88" t="str">
        <f t="shared" si="23"/>
        <v>00</v>
      </c>
      <c r="AL88" t="str">
        <f t="shared" si="24"/>
        <v>000000000000</v>
      </c>
      <c r="AM88" t="str">
        <f t="shared" si="16"/>
        <v xml:space="preserve">                              </v>
      </c>
      <c r="AP88" t="str">
        <f t="shared" si="17"/>
        <v/>
      </c>
    </row>
    <row r="89" spans="2:42" x14ac:dyDescent="0.2">
      <c r="B89" s="88"/>
      <c r="C89" s="80"/>
      <c r="D89" s="74"/>
      <c r="AF89" t="str">
        <f t="shared" si="18"/>
        <v>00000000</v>
      </c>
      <c r="AG89" s="81">
        <f t="shared" si="19"/>
        <v>0</v>
      </c>
      <c r="AH89" s="81">
        <f t="shared" si="20"/>
        <v>0</v>
      </c>
      <c r="AI89" t="str">
        <f t="shared" si="21"/>
        <v>0000000000</v>
      </c>
      <c r="AJ89" t="str">
        <f t="shared" si="22"/>
        <v>.00</v>
      </c>
      <c r="AK89" t="str">
        <f t="shared" si="23"/>
        <v>00</v>
      </c>
      <c r="AL89" t="str">
        <f t="shared" si="24"/>
        <v>000000000000</v>
      </c>
      <c r="AM89" t="str">
        <f t="shared" si="16"/>
        <v xml:space="preserve">                              </v>
      </c>
      <c r="AP89" t="str">
        <f t="shared" si="17"/>
        <v/>
      </c>
    </row>
    <row r="90" spans="2:42" x14ac:dyDescent="0.2">
      <c r="B90" s="88"/>
      <c r="C90" s="80"/>
      <c r="D90" s="74"/>
      <c r="AF90" t="str">
        <f t="shared" si="18"/>
        <v>00000000</v>
      </c>
      <c r="AG90" s="81">
        <f t="shared" si="19"/>
        <v>0</v>
      </c>
      <c r="AH90" s="81">
        <f t="shared" si="20"/>
        <v>0</v>
      </c>
      <c r="AI90" t="str">
        <f t="shared" si="21"/>
        <v>0000000000</v>
      </c>
      <c r="AJ90" t="str">
        <f t="shared" si="22"/>
        <v>.00</v>
      </c>
      <c r="AK90" t="str">
        <f t="shared" si="23"/>
        <v>00</v>
      </c>
      <c r="AL90" t="str">
        <f t="shared" si="24"/>
        <v>000000000000</v>
      </c>
      <c r="AM90" t="str">
        <f t="shared" si="16"/>
        <v xml:space="preserve">                              </v>
      </c>
      <c r="AP90" t="str">
        <f t="shared" si="17"/>
        <v/>
      </c>
    </row>
    <row r="91" spans="2:42" x14ac:dyDescent="0.2">
      <c r="B91" s="88"/>
      <c r="C91" s="80"/>
      <c r="D91" s="74"/>
      <c r="AF91" t="str">
        <f t="shared" si="18"/>
        <v>00000000</v>
      </c>
      <c r="AG91" s="81">
        <f t="shared" si="19"/>
        <v>0</v>
      </c>
      <c r="AH91" s="81">
        <f t="shared" si="20"/>
        <v>0</v>
      </c>
      <c r="AI91" t="str">
        <f t="shared" si="21"/>
        <v>0000000000</v>
      </c>
      <c r="AJ91" t="str">
        <f t="shared" si="22"/>
        <v>.00</v>
      </c>
      <c r="AK91" t="str">
        <f t="shared" si="23"/>
        <v>00</v>
      </c>
      <c r="AL91" t="str">
        <f t="shared" si="24"/>
        <v>000000000000</v>
      </c>
      <c r="AM91" t="str">
        <f t="shared" si="16"/>
        <v xml:space="preserve">                              </v>
      </c>
      <c r="AP91" t="str">
        <f t="shared" si="17"/>
        <v/>
      </c>
    </row>
    <row r="92" spans="2:42" x14ac:dyDescent="0.2">
      <c r="B92" s="88"/>
      <c r="C92" s="80"/>
      <c r="D92" s="74"/>
      <c r="AF92" t="str">
        <f t="shared" si="18"/>
        <v>00000000</v>
      </c>
      <c r="AG92" s="81">
        <f t="shared" si="19"/>
        <v>0</v>
      </c>
      <c r="AH92" s="81">
        <f t="shared" si="20"/>
        <v>0</v>
      </c>
      <c r="AI92" t="str">
        <f t="shared" si="21"/>
        <v>0000000000</v>
      </c>
      <c r="AJ92" t="str">
        <f t="shared" si="22"/>
        <v>.00</v>
      </c>
      <c r="AK92" t="str">
        <f t="shared" si="23"/>
        <v>00</v>
      </c>
      <c r="AL92" t="str">
        <f t="shared" si="24"/>
        <v>000000000000</v>
      </c>
      <c r="AM92" t="str">
        <f t="shared" si="16"/>
        <v xml:space="preserve">                              </v>
      </c>
      <c r="AP92" t="str">
        <f t="shared" si="17"/>
        <v/>
      </c>
    </row>
    <row r="93" spans="2:42" x14ac:dyDescent="0.2">
      <c r="B93" s="88"/>
      <c r="C93" s="80"/>
      <c r="D93" s="74"/>
      <c r="AF93" t="str">
        <f t="shared" si="18"/>
        <v>00000000</v>
      </c>
      <c r="AG93" s="81">
        <f t="shared" si="19"/>
        <v>0</v>
      </c>
      <c r="AH93" s="81">
        <f t="shared" si="20"/>
        <v>0</v>
      </c>
      <c r="AI93" t="str">
        <f t="shared" si="21"/>
        <v>0000000000</v>
      </c>
      <c r="AJ93" t="str">
        <f t="shared" si="22"/>
        <v>.00</v>
      </c>
      <c r="AK93" t="str">
        <f t="shared" si="23"/>
        <v>00</v>
      </c>
      <c r="AL93" t="str">
        <f t="shared" si="24"/>
        <v>000000000000</v>
      </c>
      <c r="AM93" t="str">
        <f t="shared" si="16"/>
        <v xml:space="preserve">                              </v>
      </c>
      <c r="AP93" t="str">
        <f t="shared" si="17"/>
        <v/>
      </c>
    </row>
    <row r="94" spans="2:42" x14ac:dyDescent="0.2">
      <c r="B94" s="88"/>
      <c r="C94" s="80"/>
      <c r="D94" s="74"/>
      <c r="AF94" t="str">
        <f t="shared" si="18"/>
        <v>00000000</v>
      </c>
      <c r="AG94" s="81">
        <f t="shared" si="19"/>
        <v>0</v>
      </c>
      <c r="AH94" s="81">
        <f t="shared" si="20"/>
        <v>0</v>
      </c>
      <c r="AI94" t="str">
        <f t="shared" si="21"/>
        <v>0000000000</v>
      </c>
      <c r="AJ94" t="str">
        <f t="shared" si="22"/>
        <v>.00</v>
      </c>
      <c r="AK94" t="str">
        <f t="shared" si="23"/>
        <v>00</v>
      </c>
      <c r="AL94" t="str">
        <f t="shared" si="24"/>
        <v>000000000000</v>
      </c>
      <c r="AM94" t="str">
        <f t="shared" si="16"/>
        <v xml:space="preserve">                              </v>
      </c>
      <c r="AP94" t="str">
        <f t="shared" si="17"/>
        <v/>
      </c>
    </row>
    <row r="95" spans="2:42" x14ac:dyDescent="0.2">
      <c r="B95" s="88"/>
      <c r="C95" s="80"/>
      <c r="D95" s="74"/>
      <c r="AF95" t="str">
        <f t="shared" si="18"/>
        <v>00000000</v>
      </c>
      <c r="AG95" s="81">
        <f t="shared" si="19"/>
        <v>0</v>
      </c>
      <c r="AH95" s="81">
        <f t="shared" si="20"/>
        <v>0</v>
      </c>
      <c r="AI95" t="str">
        <f t="shared" si="21"/>
        <v>0000000000</v>
      </c>
      <c r="AJ95" t="str">
        <f t="shared" si="22"/>
        <v>.00</v>
      </c>
      <c r="AK95" t="str">
        <f t="shared" si="23"/>
        <v>00</v>
      </c>
      <c r="AL95" t="str">
        <f t="shared" si="24"/>
        <v>000000000000</v>
      </c>
      <c r="AM95" t="str">
        <f t="shared" si="16"/>
        <v xml:space="preserve">                              </v>
      </c>
      <c r="AP95" t="str">
        <f t="shared" si="17"/>
        <v/>
      </c>
    </row>
    <row r="96" spans="2:42" x14ac:dyDescent="0.2">
      <c r="B96" s="88"/>
      <c r="C96" s="80"/>
      <c r="D96" s="74"/>
      <c r="AF96" t="str">
        <f t="shared" si="18"/>
        <v>00000000</v>
      </c>
      <c r="AG96" s="81">
        <f t="shared" si="19"/>
        <v>0</v>
      </c>
      <c r="AH96" s="81">
        <f t="shared" si="20"/>
        <v>0</v>
      </c>
      <c r="AI96" t="str">
        <f t="shared" si="21"/>
        <v>0000000000</v>
      </c>
      <c r="AJ96" t="str">
        <f t="shared" si="22"/>
        <v>.00</v>
      </c>
      <c r="AK96" t="str">
        <f t="shared" si="23"/>
        <v>00</v>
      </c>
      <c r="AL96" t="str">
        <f t="shared" si="24"/>
        <v>000000000000</v>
      </c>
      <c r="AM96" t="str">
        <f t="shared" si="16"/>
        <v xml:space="preserve">                              </v>
      </c>
      <c r="AP96" t="str">
        <f t="shared" si="17"/>
        <v/>
      </c>
    </row>
    <row r="97" spans="2:42" x14ac:dyDescent="0.2">
      <c r="B97" s="88"/>
      <c r="C97" s="80"/>
      <c r="D97" s="74"/>
      <c r="AF97" t="str">
        <f t="shared" si="18"/>
        <v>00000000</v>
      </c>
      <c r="AG97" s="81">
        <f t="shared" si="19"/>
        <v>0</v>
      </c>
      <c r="AH97" s="81">
        <f t="shared" si="20"/>
        <v>0</v>
      </c>
      <c r="AI97" t="str">
        <f t="shared" si="21"/>
        <v>0000000000</v>
      </c>
      <c r="AJ97" t="str">
        <f t="shared" si="22"/>
        <v>.00</v>
      </c>
      <c r="AK97" t="str">
        <f t="shared" si="23"/>
        <v>00</v>
      </c>
      <c r="AL97" t="str">
        <f t="shared" si="24"/>
        <v>000000000000</v>
      </c>
      <c r="AM97" t="str">
        <f t="shared" si="16"/>
        <v xml:space="preserve">                              </v>
      </c>
      <c r="AP97" t="str">
        <f t="shared" si="17"/>
        <v/>
      </c>
    </row>
    <row r="98" spans="2:42" x14ac:dyDescent="0.2">
      <c r="B98" s="88"/>
      <c r="C98" s="80"/>
      <c r="D98" s="74"/>
      <c r="AF98" t="str">
        <f t="shared" si="18"/>
        <v>00000000</v>
      </c>
      <c r="AG98" s="81">
        <f t="shared" si="19"/>
        <v>0</v>
      </c>
      <c r="AH98" s="81">
        <f t="shared" si="20"/>
        <v>0</v>
      </c>
      <c r="AI98" t="str">
        <f t="shared" si="21"/>
        <v>0000000000</v>
      </c>
      <c r="AJ98" t="str">
        <f t="shared" si="22"/>
        <v>.00</v>
      </c>
      <c r="AK98" t="str">
        <f t="shared" si="23"/>
        <v>00</v>
      </c>
      <c r="AL98" t="str">
        <f t="shared" si="24"/>
        <v>000000000000</v>
      </c>
      <c r="AM98" t="str">
        <f t="shared" si="16"/>
        <v xml:space="preserve">                              </v>
      </c>
      <c r="AP98" t="str">
        <f t="shared" si="17"/>
        <v/>
      </c>
    </row>
    <row r="99" spans="2:42" x14ac:dyDescent="0.2">
      <c r="B99" s="88"/>
      <c r="C99" s="80"/>
      <c r="D99" s="74"/>
      <c r="AF99" t="str">
        <f t="shared" si="18"/>
        <v>00000000</v>
      </c>
      <c r="AG99" s="81">
        <f t="shared" si="19"/>
        <v>0</v>
      </c>
      <c r="AH99" s="81">
        <f t="shared" si="20"/>
        <v>0</v>
      </c>
      <c r="AI99" t="str">
        <f t="shared" si="21"/>
        <v>0000000000</v>
      </c>
      <c r="AJ99" t="str">
        <f t="shared" si="22"/>
        <v>.00</v>
      </c>
      <c r="AK99" t="str">
        <f t="shared" si="23"/>
        <v>00</v>
      </c>
      <c r="AL99" t="str">
        <f t="shared" si="24"/>
        <v>000000000000</v>
      </c>
      <c r="AM99" t="str">
        <f t="shared" si="16"/>
        <v xml:space="preserve">                              </v>
      </c>
      <c r="AP99" t="str">
        <f t="shared" si="17"/>
        <v/>
      </c>
    </row>
    <row r="100" spans="2:42" x14ac:dyDescent="0.2">
      <c r="B100" s="88"/>
      <c r="C100" s="80"/>
      <c r="D100" s="74"/>
      <c r="AF100" t="str">
        <f t="shared" si="18"/>
        <v>00000000</v>
      </c>
      <c r="AG100" s="81">
        <f t="shared" si="19"/>
        <v>0</v>
      </c>
      <c r="AH100" s="81">
        <f t="shared" si="20"/>
        <v>0</v>
      </c>
      <c r="AI100" t="str">
        <f t="shared" si="21"/>
        <v>0000000000</v>
      </c>
      <c r="AJ100" t="str">
        <f t="shared" si="22"/>
        <v>.00</v>
      </c>
      <c r="AK100" t="str">
        <f t="shared" si="23"/>
        <v>00</v>
      </c>
      <c r="AL100" t="str">
        <f t="shared" si="24"/>
        <v>000000000000</v>
      </c>
      <c r="AM100" t="str">
        <f t="shared" si="16"/>
        <v xml:space="preserve">                              </v>
      </c>
      <c r="AP100" t="str">
        <f t="shared" si="17"/>
        <v/>
      </c>
    </row>
    <row r="101" spans="2:42" x14ac:dyDescent="0.2">
      <c r="B101" s="88"/>
      <c r="C101" s="80"/>
      <c r="D101" s="74"/>
      <c r="AF101" t="str">
        <f t="shared" si="18"/>
        <v>00000000</v>
      </c>
      <c r="AG101" s="81">
        <f t="shared" si="19"/>
        <v>0</v>
      </c>
      <c r="AH101" s="81">
        <f t="shared" si="20"/>
        <v>0</v>
      </c>
      <c r="AI101" t="str">
        <f t="shared" si="21"/>
        <v>0000000000</v>
      </c>
      <c r="AJ101" t="str">
        <f t="shared" si="22"/>
        <v>.00</v>
      </c>
      <c r="AK101" t="str">
        <f t="shared" si="23"/>
        <v>00</v>
      </c>
      <c r="AL101" t="str">
        <f t="shared" si="24"/>
        <v>000000000000</v>
      </c>
      <c r="AM101" t="str">
        <f t="shared" si="16"/>
        <v xml:space="preserve">                              </v>
      </c>
      <c r="AP101" t="str">
        <f t="shared" si="17"/>
        <v/>
      </c>
    </row>
    <row r="102" spans="2:42" x14ac:dyDescent="0.2">
      <c r="B102" s="88"/>
      <c r="C102" s="80"/>
      <c r="D102" s="74"/>
      <c r="AF102" t="str">
        <f t="shared" si="18"/>
        <v>00000000</v>
      </c>
      <c r="AG102" s="81">
        <f t="shared" si="19"/>
        <v>0</v>
      </c>
      <c r="AH102" s="81">
        <f t="shared" si="20"/>
        <v>0</v>
      </c>
      <c r="AI102" t="str">
        <f t="shared" si="21"/>
        <v>0000000000</v>
      </c>
      <c r="AJ102" t="str">
        <f t="shared" si="22"/>
        <v>.00</v>
      </c>
      <c r="AK102" t="str">
        <f t="shared" si="23"/>
        <v>00</v>
      </c>
      <c r="AL102" t="str">
        <f t="shared" si="24"/>
        <v>000000000000</v>
      </c>
      <c r="AM102" t="str">
        <f t="shared" si="16"/>
        <v xml:space="preserve">                              </v>
      </c>
      <c r="AP102" t="str">
        <f t="shared" si="17"/>
        <v/>
      </c>
    </row>
    <row r="103" spans="2:42" x14ac:dyDescent="0.2">
      <c r="B103" s="88"/>
      <c r="C103" s="80"/>
      <c r="D103" s="74"/>
      <c r="AF103" t="str">
        <f t="shared" si="18"/>
        <v>00000000</v>
      </c>
      <c r="AG103" s="81">
        <f t="shared" si="19"/>
        <v>0</v>
      </c>
      <c r="AH103" s="81">
        <f t="shared" si="20"/>
        <v>0</v>
      </c>
      <c r="AI103" t="str">
        <f t="shared" si="21"/>
        <v>0000000000</v>
      </c>
      <c r="AJ103" t="str">
        <f t="shared" si="22"/>
        <v>.00</v>
      </c>
      <c r="AK103" t="str">
        <f t="shared" si="23"/>
        <v>00</v>
      </c>
      <c r="AL103" t="str">
        <f t="shared" si="24"/>
        <v>000000000000</v>
      </c>
      <c r="AM103" t="str">
        <f t="shared" si="16"/>
        <v xml:space="preserve">                              </v>
      </c>
      <c r="AP103" t="str">
        <f t="shared" si="17"/>
        <v/>
      </c>
    </row>
    <row r="104" spans="2:42" x14ac:dyDescent="0.2">
      <c r="B104" s="88"/>
      <c r="C104" s="80"/>
      <c r="D104" s="74"/>
      <c r="AF104" t="str">
        <f t="shared" si="18"/>
        <v>00000000</v>
      </c>
      <c r="AG104" s="81">
        <f t="shared" si="19"/>
        <v>0</v>
      </c>
      <c r="AH104" s="81">
        <f t="shared" si="20"/>
        <v>0</v>
      </c>
      <c r="AI104" t="str">
        <f t="shared" si="21"/>
        <v>0000000000</v>
      </c>
      <c r="AJ104" t="str">
        <f t="shared" si="22"/>
        <v>.00</v>
      </c>
      <c r="AK104" t="str">
        <f t="shared" si="23"/>
        <v>00</v>
      </c>
      <c r="AL104" t="str">
        <f t="shared" si="24"/>
        <v>000000000000</v>
      </c>
      <c r="AM104" t="str">
        <f t="shared" si="16"/>
        <v xml:space="preserve">                              </v>
      </c>
      <c r="AP104" t="str">
        <f t="shared" si="17"/>
        <v/>
      </c>
    </row>
    <row r="105" spans="2:42" x14ac:dyDescent="0.2">
      <c r="B105" s="88"/>
      <c r="C105" s="80"/>
      <c r="D105" s="74"/>
      <c r="AF105" t="str">
        <f t="shared" si="18"/>
        <v>00000000</v>
      </c>
      <c r="AG105" s="81">
        <f t="shared" si="19"/>
        <v>0</v>
      </c>
      <c r="AH105" s="81">
        <f t="shared" si="20"/>
        <v>0</v>
      </c>
      <c r="AI105" t="str">
        <f t="shared" si="21"/>
        <v>0000000000</v>
      </c>
      <c r="AJ105" t="str">
        <f t="shared" si="22"/>
        <v>.00</v>
      </c>
      <c r="AK105" t="str">
        <f t="shared" si="23"/>
        <v>00</v>
      </c>
      <c r="AL105" t="str">
        <f t="shared" si="24"/>
        <v>000000000000</v>
      </c>
      <c r="AM105" t="str">
        <f t="shared" si="16"/>
        <v xml:space="preserve">                              </v>
      </c>
      <c r="AP105" t="str">
        <f t="shared" si="17"/>
        <v/>
      </c>
    </row>
    <row r="106" spans="2:42" x14ac:dyDescent="0.2">
      <c r="B106" s="88"/>
      <c r="C106" s="80"/>
      <c r="D106" s="74"/>
      <c r="AF106" t="str">
        <f t="shared" si="18"/>
        <v>00000000</v>
      </c>
      <c r="AG106" s="81">
        <f t="shared" si="19"/>
        <v>0</v>
      </c>
      <c r="AH106" s="81">
        <f t="shared" si="20"/>
        <v>0</v>
      </c>
      <c r="AI106" t="str">
        <f t="shared" si="21"/>
        <v>0000000000</v>
      </c>
      <c r="AJ106" t="str">
        <f t="shared" si="22"/>
        <v>.00</v>
      </c>
      <c r="AK106" t="str">
        <f t="shared" si="23"/>
        <v>00</v>
      </c>
      <c r="AL106" t="str">
        <f t="shared" si="24"/>
        <v>000000000000</v>
      </c>
      <c r="AM106" t="str">
        <f t="shared" si="16"/>
        <v xml:space="preserve">                              </v>
      </c>
      <c r="AP106" t="str">
        <f t="shared" si="17"/>
        <v/>
      </c>
    </row>
    <row r="107" spans="2:42" x14ac:dyDescent="0.2">
      <c r="B107" s="88"/>
      <c r="C107" s="80"/>
      <c r="D107" s="74"/>
      <c r="AF107" t="str">
        <f t="shared" si="18"/>
        <v>00000000</v>
      </c>
      <c r="AG107" s="81">
        <f t="shared" si="19"/>
        <v>0</v>
      </c>
      <c r="AH107" s="81">
        <f t="shared" si="20"/>
        <v>0</v>
      </c>
      <c r="AI107" t="str">
        <f t="shared" si="21"/>
        <v>0000000000</v>
      </c>
      <c r="AJ107" t="str">
        <f t="shared" si="22"/>
        <v>.00</v>
      </c>
      <c r="AK107" t="str">
        <f t="shared" si="23"/>
        <v>00</v>
      </c>
      <c r="AL107" t="str">
        <f t="shared" si="24"/>
        <v>000000000000</v>
      </c>
      <c r="AM107" t="str">
        <f t="shared" si="16"/>
        <v xml:space="preserve">                              </v>
      </c>
      <c r="AP107" t="str">
        <f t="shared" si="17"/>
        <v/>
      </c>
    </row>
    <row r="108" spans="2:42" x14ac:dyDescent="0.2">
      <c r="B108" s="88"/>
      <c r="C108" s="80"/>
      <c r="D108" s="74"/>
      <c r="AF108" t="str">
        <f t="shared" si="18"/>
        <v>00000000</v>
      </c>
      <c r="AG108" s="81">
        <f t="shared" si="19"/>
        <v>0</v>
      </c>
      <c r="AH108" s="81">
        <f t="shared" si="20"/>
        <v>0</v>
      </c>
      <c r="AI108" t="str">
        <f t="shared" si="21"/>
        <v>0000000000</v>
      </c>
      <c r="AJ108" t="str">
        <f t="shared" si="22"/>
        <v>.00</v>
      </c>
      <c r="AK108" t="str">
        <f t="shared" si="23"/>
        <v>00</v>
      </c>
      <c r="AL108" t="str">
        <f t="shared" si="24"/>
        <v>000000000000</v>
      </c>
      <c r="AM108" t="str">
        <f t="shared" si="16"/>
        <v xml:space="preserve">                              </v>
      </c>
      <c r="AP108" t="str">
        <f t="shared" si="17"/>
        <v/>
      </c>
    </row>
    <row r="109" spans="2:42" x14ac:dyDescent="0.2">
      <c r="B109" s="88"/>
      <c r="C109" s="80"/>
      <c r="D109" s="74"/>
      <c r="AF109" t="str">
        <f t="shared" si="18"/>
        <v>00000000</v>
      </c>
      <c r="AG109" s="81">
        <f t="shared" si="19"/>
        <v>0</v>
      </c>
      <c r="AH109" s="81">
        <f t="shared" si="20"/>
        <v>0</v>
      </c>
      <c r="AI109" t="str">
        <f t="shared" si="21"/>
        <v>0000000000</v>
      </c>
      <c r="AJ109" t="str">
        <f t="shared" si="22"/>
        <v>.00</v>
      </c>
      <c r="AK109" t="str">
        <f t="shared" si="23"/>
        <v>00</v>
      </c>
      <c r="AL109" t="str">
        <f t="shared" si="24"/>
        <v>000000000000</v>
      </c>
      <c r="AM109" t="str">
        <f t="shared" si="16"/>
        <v xml:space="preserve">                              </v>
      </c>
      <c r="AP109" t="str">
        <f t="shared" si="17"/>
        <v/>
      </c>
    </row>
    <row r="110" spans="2:42" x14ac:dyDescent="0.2">
      <c r="B110" s="88"/>
      <c r="C110" s="80"/>
      <c r="D110" s="74"/>
      <c r="AF110" t="str">
        <f t="shared" si="18"/>
        <v>00000000</v>
      </c>
      <c r="AG110" s="81">
        <f t="shared" si="19"/>
        <v>0</v>
      </c>
      <c r="AH110" s="81">
        <f t="shared" si="20"/>
        <v>0</v>
      </c>
      <c r="AI110" t="str">
        <f t="shared" si="21"/>
        <v>0000000000</v>
      </c>
      <c r="AJ110" t="str">
        <f t="shared" si="22"/>
        <v>.00</v>
      </c>
      <c r="AK110" t="str">
        <f t="shared" si="23"/>
        <v>00</v>
      </c>
      <c r="AL110" t="str">
        <f t="shared" si="24"/>
        <v>000000000000</v>
      </c>
      <c r="AM110" t="str">
        <f t="shared" si="16"/>
        <v xml:space="preserve">                              </v>
      </c>
      <c r="AP110" t="str">
        <f t="shared" si="17"/>
        <v/>
      </c>
    </row>
    <row r="111" spans="2:42" x14ac:dyDescent="0.2">
      <c r="B111" s="88"/>
      <c r="C111" s="80"/>
      <c r="D111" s="74"/>
      <c r="AF111" t="str">
        <f t="shared" si="18"/>
        <v>00000000</v>
      </c>
      <c r="AG111" s="81">
        <f t="shared" si="19"/>
        <v>0</v>
      </c>
      <c r="AH111" s="81">
        <f t="shared" si="20"/>
        <v>0</v>
      </c>
      <c r="AI111" t="str">
        <f t="shared" si="21"/>
        <v>0000000000</v>
      </c>
      <c r="AJ111" t="str">
        <f t="shared" si="22"/>
        <v>.00</v>
      </c>
      <c r="AK111" t="str">
        <f t="shared" si="23"/>
        <v>00</v>
      </c>
      <c r="AL111" t="str">
        <f t="shared" si="24"/>
        <v>000000000000</v>
      </c>
      <c r="AM111" t="str">
        <f t="shared" si="16"/>
        <v xml:space="preserve">                              </v>
      </c>
      <c r="AP111" t="str">
        <f t="shared" si="17"/>
        <v/>
      </c>
    </row>
    <row r="112" spans="2:42" x14ac:dyDescent="0.2">
      <c r="B112" s="88"/>
      <c r="C112" s="80"/>
      <c r="D112" s="74"/>
      <c r="AF112" t="str">
        <f t="shared" si="18"/>
        <v>00000000</v>
      </c>
      <c r="AG112" s="81">
        <f t="shared" si="19"/>
        <v>0</v>
      </c>
      <c r="AH112" s="81">
        <f t="shared" si="20"/>
        <v>0</v>
      </c>
      <c r="AI112" t="str">
        <f t="shared" si="21"/>
        <v>0000000000</v>
      </c>
      <c r="AJ112" t="str">
        <f t="shared" si="22"/>
        <v>.00</v>
      </c>
      <c r="AK112" t="str">
        <f t="shared" si="23"/>
        <v>00</v>
      </c>
      <c r="AL112" t="str">
        <f t="shared" si="24"/>
        <v>000000000000</v>
      </c>
      <c r="AM112" t="str">
        <f t="shared" si="16"/>
        <v xml:space="preserve">                              </v>
      </c>
      <c r="AP112" t="str">
        <f t="shared" si="17"/>
        <v/>
      </c>
    </row>
    <row r="113" spans="2:42" x14ac:dyDescent="0.2">
      <c r="B113" s="88"/>
      <c r="C113" s="80"/>
      <c r="D113" s="74"/>
      <c r="AF113" t="str">
        <f t="shared" si="18"/>
        <v>00000000</v>
      </c>
      <c r="AG113" s="81">
        <f t="shared" si="19"/>
        <v>0</v>
      </c>
      <c r="AH113" s="81">
        <f t="shared" si="20"/>
        <v>0</v>
      </c>
      <c r="AI113" t="str">
        <f t="shared" si="21"/>
        <v>0000000000</v>
      </c>
      <c r="AJ113" t="str">
        <f t="shared" si="22"/>
        <v>.00</v>
      </c>
      <c r="AK113" t="str">
        <f t="shared" si="23"/>
        <v>00</v>
      </c>
      <c r="AL113" t="str">
        <f t="shared" si="24"/>
        <v>000000000000</v>
      </c>
      <c r="AM113" t="str">
        <f t="shared" si="16"/>
        <v xml:space="preserve">                              </v>
      </c>
      <c r="AP113" t="str">
        <f t="shared" si="17"/>
        <v/>
      </c>
    </row>
    <row r="114" spans="2:42" x14ac:dyDescent="0.2">
      <c r="B114" s="88"/>
      <c r="C114" s="80"/>
      <c r="D114" s="74"/>
      <c r="AF114" t="str">
        <f t="shared" si="18"/>
        <v>00000000</v>
      </c>
      <c r="AG114" s="81">
        <f t="shared" si="19"/>
        <v>0</v>
      </c>
      <c r="AH114" s="81">
        <f t="shared" si="20"/>
        <v>0</v>
      </c>
      <c r="AI114" t="str">
        <f t="shared" si="21"/>
        <v>0000000000</v>
      </c>
      <c r="AJ114" t="str">
        <f t="shared" si="22"/>
        <v>.00</v>
      </c>
      <c r="AK114" t="str">
        <f t="shared" si="23"/>
        <v>00</v>
      </c>
      <c r="AL114" t="str">
        <f t="shared" si="24"/>
        <v>000000000000</v>
      </c>
      <c r="AM114" t="str">
        <f t="shared" si="16"/>
        <v xml:space="preserve">                              </v>
      </c>
      <c r="AP114" t="str">
        <f t="shared" si="17"/>
        <v/>
      </c>
    </row>
    <row r="115" spans="2:42" x14ac:dyDescent="0.2">
      <c r="B115" s="88"/>
      <c r="C115" s="80"/>
      <c r="D115" s="74"/>
      <c r="AF115" t="str">
        <f t="shared" si="18"/>
        <v>00000000</v>
      </c>
      <c r="AG115" s="81">
        <f t="shared" si="19"/>
        <v>0</v>
      </c>
      <c r="AH115" s="81">
        <f t="shared" si="20"/>
        <v>0</v>
      </c>
      <c r="AI115" t="str">
        <f t="shared" si="21"/>
        <v>0000000000</v>
      </c>
      <c r="AJ115" t="str">
        <f t="shared" si="22"/>
        <v>.00</v>
      </c>
      <c r="AK115" t="str">
        <f t="shared" si="23"/>
        <v>00</v>
      </c>
      <c r="AL115" t="str">
        <f t="shared" si="24"/>
        <v>000000000000</v>
      </c>
      <c r="AM115" t="str">
        <f t="shared" si="16"/>
        <v xml:space="preserve">                              </v>
      </c>
      <c r="AP115" t="str">
        <f t="shared" si="17"/>
        <v/>
      </c>
    </row>
    <row r="116" spans="2:42" x14ac:dyDescent="0.2">
      <c r="B116" s="88"/>
      <c r="C116" s="80"/>
      <c r="D116" s="74"/>
      <c r="AF116" t="str">
        <f t="shared" si="18"/>
        <v>00000000</v>
      </c>
      <c r="AG116" s="81">
        <f t="shared" si="19"/>
        <v>0</v>
      </c>
      <c r="AH116" s="81">
        <f t="shared" si="20"/>
        <v>0</v>
      </c>
      <c r="AI116" t="str">
        <f t="shared" si="21"/>
        <v>0000000000</v>
      </c>
      <c r="AJ116" t="str">
        <f t="shared" si="22"/>
        <v>.00</v>
      </c>
      <c r="AK116" t="str">
        <f t="shared" si="23"/>
        <v>00</v>
      </c>
      <c r="AL116" t="str">
        <f t="shared" si="24"/>
        <v>000000000000</v>
      </c>
      <c r="AM116" t="str">
        <f t="shared" si="16"/>
        <v xml:space="preserve">                              </v>
      </c>
      <c r="AP116" t="str">
        <f t="shared" si="17"/>
        <v/>
      </c>
    </row>
    <row r="117" spans="2:42" x14ac:dyDescent="0.2">
      <c r="B117" s="88"/>
      <c r="C117" s="80"/>
      <c r="D117" s="74"/>
      <c r="AF117" t="str">
        <f t="shared" si="18"/>
        <v>00000000</v>
      </c>
      <c r="AG117" s="81">
        <f t="shared" si="19"/>
        <v>0</v>
      </c>
      <c r="AH117" s="81">
        <f t="shared" si="20"/>
        <v>0</v>
      </c>
      <c r="AI117" t="str">
        <f t="shared" si="21"/>
        <v>0000000000</v>
      </c>
      <c r="AJ117" t="str">
        <f t="shared" si="22"/>
        <v>.00</v>
      </c>
      <c r="AK117" t="str">
        <f t="shared" si="23"/>
        <v>00</v>
      </c>
      <c r="AL117" t="str">
        <f t="shared" si="24"/>
        <v>000000000000</v>
      </c>
      <c r="AM117" t="str">
        <f t="shared" si="16"/>
        <v xml:space="preserve">                              </v>
      </c>
      <c r="AP117" t="str">
        <f t="shared" si="17"/>
        <v/>
      </c>
    </row>
    <row r="118" spans="2:42" x14ac:dyDescent="0.2">
      <c r="B118" s="88"/>
      <c r="C118" s="80"/>
      <c r="D118" s="74"/>
      <c r="AF118" t="str">
        <f t="shared" si="18"/>
        <v>00000000</v>
      </c>
      <c r="AG118" s="81">
        <f t="shared" si="19"/>
        <v>0</v>
      </c>
      <c r="AH118" s="81">
        <f t="shared" si="20"/>
        <v>0</v>
      </c>
      <c r="AI118" t="str">
        <f t="shared" si="21"/>
        <v>0000000000</v>
      </c>
      <c r="AJ118" t="str">
        <f t="shared" si="22"/>
        <v>.00</v>
      </c>
      <c r="AK118" t="str">
        <f t="shared" si="23"/>
        <v>00</v>
      </c>
      <c r="AL118" t="str">
        <f t="shared" si="24"/>
        <v>000000000000</v>
      </c>
      <c r="AM118" t="str">
        <f t="shared" si="16"/>
        <v xml:space="preserve">                              </v>
      </c>
      <c r="AP118" t="str">
        <f t="shared" si="17"/>
        <v/>
      </c>
    </row>
    <row r="119" spans="2:42" x14ac:dyDescent="0.2">
      <c r="B119" s="88"/>
      <c r="C119" s="80"/>
      <c r="D119" s="74"/>
      <c r="AF119" t="str">
        <f t="shared" si="18"/>
        <v>00000000</v>
      </c>
      <c r="AG119" s="81">
        <f t="shared" si="19"/>
        <v>0</v>
      </c>
      <c r="AH119" s="81">
        <f t="shared" si="20"/>
        <v>0</v>
      </c>
      <c r="AI119" t="str">
        <f t="shared" si="21"/>
        <v>0000000000</v>
      </c>
      <c r="AJ119" t="str">
        <f t="shared" si="22"/>
        <v>.00</v>
      </c>
      <c r="AK119" t="str">
        <f t="shared" si="23"/>
        <v>00</v>
      </c>
      <c r="AL119" t="str">
        <f t="shared" si="24"/>
        <v>000000000000</v>
      </c>
      <c r="AM119" t="str">
        <f t="shared" si="16"/>
        <v xml:space="preserve">                              </v>
      </c>
      <c r="AP119" t="str">
        <f t="shared" si="17"/>
        <v/>
      </c>
    </row>
    <row r="120" spans="2:42" x14ac:dyDescent="0.2">
      <c r="B120" s="88"/>
      <c r="C120" s="80"/>
      <c r="D120" s="74"/>
      <c r="AF120" t="str">
        <f t="shared" si="18"/>
        <v>00000000</v>
      </c>
      <c r="AG120" s="81">
        <f t="shared" si="19"/>
        <v>0</v>
      </c>
      <c r="AH120" s="81">
        <f t="shared" si="20"/>
        <v>0</v>
      </c>
      <c r="AI120" t="str">
        <f t="shared" si="21"/>
        <v>0000000000</v>
      </c>
      <c r="AJ120" t="str">
        <f t="shared" si="22"/>
        <v>.00</v>
      </c>
      <c r="AK120" t="str">
        <f t="shared" si="23"/>
        <v>00</v>
      </c>
      <c r="AL120" t="str">
        <f t="shared" si="24"/>
        <v>000000000000</v>
      </c>
      <c r="AM120" t="str">
        <f t="shared" si="16"/>
        <v xml:space="preserve">                              </v>
      </c>
      <c r="AP120" t="str">
        <f t="shared" si="17"/>
        <v/>
      </c>
    </row>
    <row r="121" spans="2:42" x14ac:dyDescent="0.2">
      <c r="B121" s="88"/>
      <c r="C121" s="80"/>
      <c r="D121" s="74"/>
      <c r="AF121" t="str">
        <f t="shared" si="18"/>
        <v>00000000</v>
      </c>
      <c r="AG121" s="81">
        <f t="shared" si="19"/>
        <v>0</v>
      </c>
      <c r="AH121" s="81">
        <f t="shared" si="20"/>
        <v>0</v>
      </c>
      <c r="AI121" t="str">
        <f t="shared" si="21"/>
        <v>0000000000</v>
      </c>
      <c r="AJ121" t="str">
        <f t="shared" si="22"/>
        <v>.00</v>
      </c>
      <c r="AK121" t="str">
        <f t="shared" si="23"/>
        <v>00</v>
      </c>
      <c r="AL121" t="str">
        <f t="shared" si="24"/>
        <v>000000000000</v>
      </c>
      <c r="AM121" t="str">
        <f t="shared" si="16"/>
        <v xml:space="preserve">                              </v>
      </c>
      <c r="AP121" t="str">
        <f t="shared" si="17"/>
        <v/>
      </c>
    </row>
    <row r="122" spans="2:42" x14ac:dyDescent="0.2">
      <c r="B122" s="88"/>
      <c r="C122" s="80"/>
      <c r="D122" s="74"/>
      <c r="AF122" t="str">
        <f t="shared" si="18"/>
        <v>00000000</v>
      </c>
      <c r="AG122" s="81">
        <f t="shared" si="19"/>
        <v>0</v>
      </c>
      <c r="AH122" s="81">
        <f t="shared" si="20"/>
        <v>0</v>
      </c>
      <c r="AI122" t="str">
        <f t="shared" si="21"/>
        <v>0000000000</v>
      </c>
      <c r="AJ122" t="str">
        <f t="shared" si="22"/>
        <v>.00</v>
      </c>
      <c r="AK122" t="str">
        <f t="shared" si="23"/>
        <v>00</v>
      </c>
      <c r="AL122" t="str">
        <f t="shared" si="24"/>
        <v>000000000000</v>
      </c>
      <c r="AM122" t="str">
        <f t="shared" si="16"/>
        <v xml:space="preserve">                              </v>
      </c>
      <c r="AP122" t="str">
        <f t="shared" si="17"/>
        <v/>
      </c>
    </row>
    <row r="123" spans="2:42" x14ac:dyDescent="0.2">
      <c r="B123" s="88"/>
      <c r="C123" s="80"/>
      <c r="D123" s="74"/>
      <c r="AF123" t="str">
        <f t="shared" si="18"/>
        <v>00000000</v>
      </c>
      <c r="AG123" s="81">
        <f t="shared" si="19"/>
        <v>0</v>
      </c>
      <c r="AH123" s="81">
        <f t="shared" si="20"/>
        <v>0</v>
      </c>
      <c r="AI123" t="str">
        <f t="shared" si="21"/>
        <v>0000000000</v>
      </c>
      <c r="AJ123" t="str">
        <f t="shared" si="22"/>
        <v>.00</v>
      </c>
      <c r="AK123" t="str">
        <f t="shared" si="23"/>
        <v>00</v>
      </c>
      <c r="AL123" t="str">
        <f t="shared" si="24"/>
        <v>000000000000</v>
      </c>
      <c r="AM123" t="str">
        <f t="shared" si="16"/>
        <v xml:space="preserve">                              </v>
      </c>
      <c r="AP123" t="str">
        <f t="shared" si="17"/>
        <v/>
      </c>
    </row>
    <row r="124" spans="2:42" x14ac:dyDescent="0.2">
      <c r="B124" s="88"/>
      <c r="C124" s="80"/>
      <c r="D124" s="74"/>
      <c r="AF124" t="str">
        <f t="shared" si="18"/>
        <v>00000000</v>
      </c>
      <c r="AG124" s="81">
        <f t="shared" si="19"/>
        <v>0</v>
      </c>
      <c r="AH124" s="81">
        <f t="shared" si="20"/>
        <v>0</v>
      </c>
      <c r="AI124" t="str">
        <f t="shared" si="21"/>
        <v>0000000000</v>
      </c>
      <c r="AJ124" t="str">
        <f t="shared" si="22"/>
        <v>.00</v>
      </c>
      <c r="AK124" t="str">
        <f t="shared" si="23"/>
        <v>00</v>
      </c>
      <c r="AL124" t="str">
        <f t="shared" si="24"/>
        <v>000000000000</v>
      </c>
      <c r="AM124" t="str">
        <f t="shared" si="16"/>
        <v xml:space="preserve">                              </v>
      </c>
      <c r="AP124" t="str">
        <f t="shared" si="17"/>
        <v/>
      </c>
    </row>
    <row r="125" spans="2:42" x14ac:dyDescent="0.2">
      <c r="B125" s="88"/>
      <c r="C125" s="80"/>
      <c r="D125" s="74"/>
      <c r="AF125" t="str">
        <f t="shared" si="18"/>
        <v>00000000</v>
      </c>
      <c r="AG125" s="81">
        <f t="shared" si="19"/>
        <v>0</v>
      </c>
      <c r="AH125" s="81">
        <f t="shared" si="20"/>
        <v>0</v>
      </c>
      <c r="AI125" t="str">
        <f t="shared" si="21"/>
        <v>0000000000</v>
      </c>
      <c r="AJ125" t="str">
        <f t="shared" si="22"/>
        <v>.00</v>
      </c>
      <c r="AK125" t="str">
        <f t="shared" si="23"/>
        <v>00</v>
      </c>
      <c r="AL125" t="str">
        <f t="shared" si="24"/>
        <v>000000000000</v>
      </c>
      <c r="AM125" t="str">
        <f t="shared" si="16"/>
        <v xml:space="preserve">                              </v>
      </c>
      <c r="AP125" t="str">
        <f t="shared" si="17"/>
        <v/>
      </c>
    </row>
    <row r="126" spans="2:42" x14ac:dyDescent="0.2">
      <c r="B126" s="88"/>
      <c r="C126" s="80"/>
      <c r="D126" s="74"/>
      <c r="AF126" t="str">
        <f t="shared" si="18"/>
        <v>00000000</v>
      </c>
      <c r="AG126" s="81">
        <f t="shared" si="19"/>
        <v>0</v>
      </c>
      <c r="AH126" s="81">
        <f t="shared" si="20"/>
        <v>0</v>
      </c>
      <c r="AI126" t="str">
        <f t="shared" si="21"/>
        <v>0000000000</v>
      </c>
      <c r="AJ126" t="str">
        <f t="shared" si="22"/>
        <v>.00</v>
      </c>
      <c r="AK126" t="str">
        <f t="shared" si="23"/>
        <v>00</v>
      </c>
      <c r="AL126" t="str">
        <f t="shared" si="24"/>
        <v>000000000000</v>
      </c>
      <c r="AM126" t="str">
        <f t="shared" si="16"/>
        <v xml:space="preserve">                              </v>
      </c>
      <c r="AP126" t="str">
        <f t="shared" si="17"/>
        <v/>
      </c>
    </row>
    <row r="127" spans="2:42" x14ac:dyDescent="0.2">
      <c r="B127" s="88"/>
      <c r="C127" s="80"/>
      <c r="D127" s="74"/>
      <c r="AF127" t="str">
        <f t="shared" si="18"/>
        <v>00000000</v>
      </c>
      <c r="AG127" s="81">
        <f t="shared" si="19"/>
        <v>0</v>
      </c>
      <c r="AH127" s="81">
        <f t="shared" si="20"/>
        <v>0</v>
      </c>
      <c r="AI127" t="str">
        <f t="shared" si="21"/>
        <v>0000000000</v>
      </c>
      <c r="AJ127" t="str">
        <f t="shared" si="22"/>
        <v>.00</v>
      </c>
      <c r="AK127" t="str">
        <f t="shared" si="23"/>
        <v>00</v>
      </c>
      <c r="AL127" t="str">
        <f t="shared" si="24"/>
        <v>000000000000</v>
      </c>
      <c r="AM127" t="str">
        <f t="shared" si="16"/>
        <v xml:space="preserve">                              </v>
      </c>
      <c r="AP127" t="str">
        <f t="shared" si="17"/>
        <v/>
      </c>
    </row>
    <row r="128" spans="2:42" x14ac:dyDescent="0.2">
      <c r="B128" s="88"/>
      <c r="C128" s="80"/>
      <c r="D128" s="74"/>
      <c r="AF128" t="str">
        <f t="shared" si="18"/>
        <v>00000000</v>
      </c>
      <c r="AG128" s="81">
        <f t="shared" si="19"/>
        <v>0</v>
      </c>
      <c r="AH128" s="81">
        <f t="shared" si="20"/>
        <v>0</v>
      </c>
      <c r="AI128" t="str">
        <f t="shared" si="21"/>
        <v>0000000000</v>
      </c>
      <c r="AJ128" t="str">
        <f t="shared" si="22"/>
        <v>.00</v>
      </c>
      <c r="AK128" t="str">
        <f t="shared" si="23"/>
        <v>00</v>
      </c>
      <c r="AL128" t="str">
        <f t="shared" si="24"/>
        <v>000000000000</v>
      </c>
      <c r="AM128" t="str">
        <f t="shared" si="16"/>
        <v xml:space="preserve">                              </v>
      </c>
      <c r="AP128" t="str">
        <f t="shared" si="17"/>
        <v/>
      </c>
    </row>
    <row r="129" spans="2:42" x14ac:dyDescent="0.2">
      <c r="B129" s="88"/>
      <c r="C129" s="80"/>
      <c r="D129" s="74"/>
      <c r="AF129" t="str">
        <f t="shared" si="18"/>
        <v>00000000</v>
      </c>
      <c r="AG129" s="81">
        <f t="shared" si="19"/>
        <v>0</v>
      </c>
      <c r="AH129" s="81">
        <f t="shared" si="20"/>
        <v>0</v>
      </c>
      <c r="AI129" t="str">
        <f t="shared" si="21"/>
        <v>0000000000</v>
      </c>
      <c r="AJ129" t="str">
        <f t="shared" si="22"/>
        <v>.00</v>
      </c>
      <c r="AK129" t="str">
        <f t="shared" si="23"/>
        <v>00</v>
      </c>
      <c r="AL129" t="str">
        <f t="shared" si="24"/>
        <v>000000000000</v>
      </c>
      <c r="AM129" t="str">
        <f t="shared" si="16"/>
        <v xml:space="preserve">                              </v>
      </c>
      <c r="AP129" t="str">
        <f t="shared" si="17"/>
        <v/>
      </c>
    </row>
    <row r="130" spans="2:42" x14ac:dyDescent="0.2">
      <c r="B130" s="88"/>
      <c r="C130" s="80"/>
      <c r="D130" s="74"/>
      <c r="AF130" t="str">
        <f t="shared" si="18"/>
        <v>00000000</v>
      </c>
      <c r="AG130" s="81">
        <f t="shared" si="19"/>
        <v>0</v>
      </c>
      <c r="AH130" s="81">
        <f t="shared" si="20"/>
        <v>0</v>
      </c>
      <c r="AI130" t="str">
        <f t="shared" si="21"/>
        <v>0000000000</v>
      </c>
      <c r="AJ130" t="str">
        <f t="shared" si="22"/>
        <v>.00</v>
      </c>
      <c r="AK130" t="str">
        <f t="shared" si="23"/>
        <v>00</v>
      </c>
      <c r="AL130" t="str">
        <f t="shared" si="24"/>
        <v>000000000000</v>
      </c>
      <c r="AM130" t="str">
        <f t="shared" si="16"/>
        <v xml:space="preserve">                              </v>
      </c>
      <c r="AP130" t="str">
        <f t="shared" si="17"/>
        <v/>
      </c>
    </row>
    <row r="131" spans="2:42" x14ac:dyDescent="0.2">
      <c r="B131" s="88"/>
      <c r="C131" s="80"/>
      <c r="D131" s="74"/>
      <c r="AF131" t="str">
        <f t="shared" si="18"/>
        <v>00000000</v>
      </c>
      <c r="AG131" s="81">
        <f t="shared" si="19"/>
        <v>0</v>
      </c>
      <c r="AH131" s="81">
        <f t="shared" si="20"/>
        <v>0</v>
      </c>
      <c r="AI131" t="str">
        <f t="shared" si="21"/>
        <v>0000000000</v>
      </c>
      <c r="AJ131" t="str">
        <f t="shared" si="22"/>
        <v>.00</v>
      </c>
      <c r="AK131" t="str">
        <f t="shared" si="23"/>
        <v>00</v>
      </c>
      <c r="AL131" t="str">
        <f t="shared" si="24"/>
        <v>000000000000</v>
      </c>
      <c r="AM131" t="str">
        <f t="shared" ref="AM131:AM194" si="25">CONCATENATE(D132,REPT(" ",30-LEN(D132)))</f>
        <v xml:space="preserve">                              </v>
      </c>
      <c r="AP131" t="str">
        <f t="shared" ref="AP131:AP194" si="26">IF(B132&lt;&gt;"",CONCATENATE("000",$AA$3,"     ",$AB$3,$AC$3,$AD$3,"30000",AF131,AL131,$AC$1,AM131),"")</f>
        <v/>
      </c>
    </row>
    <row r="132" spans="2:42" x14ac:dyDescent="0.2">
      <c r="B132" s="88"/>
      <c r="C132" s="80"/>
      <c r="D132" s="74"/>
      <c r="AF132" t="str">
        <f t="shared" si="18"/>
        <v>00000000</v>
      </c>
      <c r="AG132" s="81">
        <f t="shared" si="19"/>
        <v>0</v>
      </c>
      <c r="AH132" s="81">
        <f t="shared" si="20"/>
        <v>0</v>
      </c>
      <c r="AI132" t="str">
        <f t="shared" si="21"/>
        <v>0000000000</v>
      </c>
      <c r="AJ132" t="str">
        <f t="shared" si="22"/>
        <v>.00</v>
      </c>
      <c r="AK132" t="str">
        <f t="shared" si="23"/>
        <v>00</v>
      </c>
      <c r="AL132" t="str">
        <f t="shared" si="24"/>
        <v>000000000000</v>
      </c>
      <c r="AM132" t="str">
        <f t="shared" si="25"/>
        <v xml:space="preserve">                              </v>
      </c>
      <c r="AP132" t="str">
        <f t="shared" si="26"/>
        <v/>
      </c>
    </row>
    <row r="133" spans="2:42" x14ac:dyDescent="0.2">
      <c r="B133" s="88"/>
      <c r="C133" s="80"/>
      <c r="D133" s="74"/>
      <c r="AF133" t="str">
        <f t="shared" si="18"/>
        <v>00000000</v>
      </c>
      <c r="AG133" s="81">
        <f t="shared" si="19"/>
        <v>0</v>
      </c>
      <c r="AH133" s="81">
        <f t="shared" si="20"/>
        <v>0</v>
      </c>
      <c r="AI133" t="str">
        <f t="shared" si="21"/>
        <v>0000000000</v>
      </c>
      <c r="AJ133" t="str">
        <f t="shared" si="22"/>
        <v>.00</v>
      </c>
      <c r="AK133" t="str">
        <f t="shared" si="23"/>
        <v>00</v>
      </c>
      <c r="AL133" t="str">
        <f t="shared" si="24"/>
        <v>000000000000</v>
      </c>
      <c r="AM133" t="str">
        <f t="shared" si="25"/>
        <v xml:space="preserve">                              </v>
      </c>
      <c r="AP133" t="str">
        <f t="shared" si="26"/>
        <v/>
      </c>
    </row>
    <row r="134" spans="2:42" x14ac:dyDescent="0.2">
      <c r="B134" s="88"/>
      <c r="C134" s="80"/>
      <c r="D134" s="74"/>
      <c r="AF134" t="str">
        <f t="shared" si="18"/>
        <v>00000000</v>
      </c>
      <c r="AG134" s="81">
        <f t="shared" si="19"/>
        <v>0</v>
      </c>
      <c r="AH134" s="81">
        <f t="shared" si="20"/>
        <v>0</v>
      </c>
      <c r="AI134" t="str">
        <f t="shared" si="21"/>
        <v>0000000000</v>
      </c>
      <c r="AJ134" t="str">
        <f t="shared" si="22"/>
        <v>.00</v>
      </c>
      <c r="AK134" t="str">
        <f t="shared" si="23"/>
        <v>00</v>
      </c>
      <c r="AL134" t="str">
        <f t="shared" si="24"/>
        <v>000000000000</v>
      </c>
      <c r="AM134" t="str">
        <f t="shared" si="25"/>
        <v xml:space="preserve">                              </v>
      </c>
      <c r="AP134" t="str">
        <f t="shared" si="26"/>
        <v/>
      </c>
    </row>
    <row r="135" spans="2:42" x14ac:dyDescent="0.2">
      <c r="B135" s="88"/>
      <c r="C135" s="80"/>
      <c r="D135" s="74"/>
      <c r="AF135" t="str">
        <f t="shared" si="18"/>
        <v>00000000</v>
      </c>
      <c r="AG135" s="81">
        <f t="shared" si="19"/>
        <v>0</v>
      </c>
      <c r="AH135" s="81">
        <f t="shared" si="20"/>
        <v>0</v>
      </c>
      <c r="AI135" t="str">
        <f t="shared" si="21"/>
        <v>0000000000</v>
      </c>
      <c r="AJ135" t="str">
        <f t="shared" si="22"/>
        <v>.00</v>
      </c>
      <c r="AK135" t="str">
        <f t="shared" si="23"/>
        <v>00</v>
      </c>
      <c r="AL135" t="str">
        <f t="shared" si="24"/>
        <v>000000000000</v>
      </c>
      <c r="AM135" t="str">
        <f t="shared" si="25"/>
        <v xml:space="preserve">                              </v>
      </c>
      <c r="AP135" t="str">
        <f t="shared" si="26"/>
        <v/>
      </c>
    </row>
    <row r="136" spans="2:42" x14ac:dyDescent="0.2">
      <c r="B136" s="88"/>
      <c r="C136" s="80"/>
      <c r="D136" s="74"/>
      <c r="AF136" t="str">
        <f t="shared" si="18"/>
        <v>00000000</v>
      </c>
      <c r="AG136" s="81">
        <f t="shared" si="19"/>
        <v>0</v>
      </c>
      <c r="AH136" s="81">
        <f t="shared" si="20"/>
        <v>0</v>
      </c>
      <c r="AI136" t="str">
        <f t="shared" si="21"/>
        <v>0000000000</v>
      </c>
      <c r="AJ136" t="str">
        <f t="shared" si="22"/>
        <v>.00</v>
      </c>
      <c r="AK136" t="str">
        <f t="shared" si="23"/>
        <v>00</v>
      </c>
      <c r="AL136" t="str">
        <f t="shared" si="24"/>
        <v>000000000000</v>
      </c>
      <c r="AM136" t="str">
        <f t="shared" si="25"/>
        <v xml:space="preserve">                              </v>
      </c>
      <c r="AP136" t="str">
        <f t="shared" si="26"/>
        <v/>
      </c>
    </row>
    <row r="137" spans="2:42" x14ac:dyDescent="0.2">
      <c r="B137" s="88"/>
      <c r="C137" s="80"/>
      <c r="D137" s="74"/>
      <c r="AF137" t="str">
        <f t="shared" si="18"/>
        <v>00000000</v>
      </c>
      <c r="AG137" s="81">
        <f t="shared" si="19"/>
        <v>0</v>
      </c>
      <c r="AH137" s="81">
        <f t="shared" si="20"/>
        <v>0</v>
      </c>
      <c r="AI137" t="str">
        <f t="shared" si="21"/>
        <v>0000000000</v>
      </c>
      <c r="AJ137" t="str">
        <f t="shared" si="22"/>
        <v>.00</v>
      </c>
      <c r="AK137" t="str">
        <f t="shared" si="23"/>
        <v>00</v>
      </c>
      <c r="AL137" t="str">
        <f t="shared" si="24"/>
        <v>000000000000</v>
      </c>
      <c r="AM137" t="str">
        <f t="shared" si="25"/>
        <v xml:space="preserve">                              </v>
      </c>
      <c r="AP137" t="str">
        <f t="shared" si="26"/>
        <v/>
      </c>
    </row>
    <row r="138" spans="2:42" x14ac:dyDescent="0.2">
      <c r="B138" s="88"/>
      <c r="C138" s="80"/>
      <c r="D138" s="74"/>
      <c r="AF138" t="str">
        <f t="shared" ref="AF138:AF201" si="27">CONCATENATE(REPT("0",8-LEN(B139)),B139)</f>
        <v>00000000</v>
      </c>
      <c r="AG138" s="81">
        <f t="shared" ref="AG138:AG201" si="28">INT(C139)</f>
        <v>0</v>
      </c>
      <c r="AH138" s="81">
        <f t="shared" ref="AH138:AH201" si="29">C139-AG138</f>
        <v>0</v>
      </c>
      <c r="AI138" t="str">
        <f t="shared" ref="AI138:AI201" si="30">TEXT(AG138,"0000000000")</f>
        <v>0000000000</v>
      </c>
      <c r="AJ138" t="str">
        <f t="shared" ref="AJ138:AJ201" si="31">TEXT(AH138,".00")</f>
        <v>.00</v>
      </c>
      <c r="AK138" t="str">
        <f t="shared" ref="AK138:AK201" si="32">MID(AJ138,2,2)</f>
        <v>00</v>
      </c>
      <c r="AL138" t="str">
        <f t="shared" ref="AL138:AL201" si="33">CONCATENATE(AI138,AK138)</f>
        <v>000000000000</v>
      </c>
      <c r="AM138" t="str">
        <f t="shared" si="25"/>
        <v xml:space="preserve">                              </v>
      </c>
      <c r="AP138" t="str">
        <f t="shared" si="26"/>
        <v/>
      </c>
    </row>
    <row r="139" spans="2:42" x14ac:dyDescent="0.2">
      <c r="B139" s="88"/>
      <c r="C139" s="80"/>
      <c r="D139" s="74"/>
      <c r="AF139" t="str">
        <f t="shared" si="27"/>
        <v>00000000</v>
      </c>
      <c r="AG139" s="81">
        <f t="shared" si="28"/>
        <v>0</v>
      </c>
      <c r="AH139" s="81">
        <f t="shared" si="29"/>
        <v>0</v>
      </c>
      <c r="AI139" t="str">
        <f t="shared" si="30"/>
        <v>0000000000</v>
      </c>
      <c r="AJ139" t="str">
        <f t="shared" si="31"/>
        <v>.00</v>
      </c>
      <c r="AK139" t="str">
        <f t="shared" si="32"/>
        <v>00</v>
      </c>
      <c r="AL139" t="str">
        <f t="shared" si="33"/>
        <v>000000000000</v>
      </c>
      <c r="AM139" t="str">
        <f t="shared" si="25"/>
        <v xml:space="preserve">                              </v>
      </c>
      <c r="AP139" t="str">
        <f t="shared" si="26"/>
        <v/>
      </c>
    </row>
    <row r="140" spans="2:42" x14ac:dyDescent="0.2">
      <c r="B140" s="88"/>
      <c r="C140" s="80"/>
      <c r="D140" s="74"/>
      <c r="AF140" t="str">
        <f t="shared" si="27"/>
        <v>00000000</v>
      </c>
      <c r="AG140" s="81">
        <f t="shared" si="28"/>
        <v>0</v>
      </c>
      <c r="AH140" s="81">
        <f t="shared" si="29"/>
        <v>0</v>
      </c>
      <c r="AI140" t="str">
        <f t="shared" si="30"/>
        <v>0000000000</v>
      </c>
      <c r="AJ140" t="str">
        <f t="shared" si="31"/>
        <v>.00</v>
      </c>
      <c r="AK140" t="str">
        <f t="shared" si="32"/>
        <v>00</v>
      </c>
      <c r="AL140" t="str">
        <f t="shared" si="33"/>
        <v>000000000000</v>
      </c>
      <c r="AM140" t="str">
        <f t="shared" si="25"/>
        <v xml:space="preserve">                              </v>
      </c>
      <c r="AP140" t="str">
        <f t="shared" si="26"/>
        <v/>
      </c>
    </row>
    <row r="141" spans="2:42" x14ac:dyDescent="0.2">
      <c r="B141" s="88"/>
      <c r="C141" s="80"/>
      <c r="D141" s="74"/>
      <c r="AF141" t="str">
        <f t="shared" si="27"/>
        <v>00000000</v>
      </c>
      <c r="AG141" s="81">
        <f t="shared" si="28"/>
        <v>0</v>
      </c>
      <c r="AH141" s="81">
        <f t="shared" si="29"/>
        <v>0</v>
      </c>
      <c r="AI141" t="str">
        <f t="shared" si="30"/>
        <v>0000000000</v>
      </c>
      <c r="AJ141" t="str">
        <f t="shared" si="31"/>
        <v>.00</v>
      </c>
      <c r="AK141" t="str">
        <f t="shared" si="32"/>
        <v>00</v>
      </c>
      <c r="AL141" t="str">
        <f t="shared" si="33"/>
        <v>000000000000</v>
      </c>
      <c r="AM141" t="str">
        <f t="shared" si="25"/>
        <v xml:space="preserve">                              </v>
      </c>
      <c r="AP141" t="str">
        <f t="shared" si="26"/>
        <v/>
      </c>
    </row>
    <row r="142" spans="2:42" x14ac:dyDescent="0.2">
      <c r="B142" s="88"/>
      <c r="C142" s="80"/>
      <c r="D142" s="74"/>
      <c r="AF142" t="str">
        <f t="shared" si="27"/>
        <v>00000000</v>
      </c>
      <c r="AG142" s="81">
        <f t="shared" si="28"/>
        <v>0</v>
      </c>
      <c r="AH142" s="81">
        <f t="shared" si="29"/>
        <v>0</v>
      </c>
      <c r="AI142" t="str">
        <f t="shared" si="30"/>
        <v>0000000000</v>
      </c>
      <c r="AJ142" t="str">
        <f t="shared" si="31"/>
        <v>.00</v>
      </c>
      <c r="AK142" t="str">
        <f t="shared" si="32"/>
        <v>00</v>
      </c>
      <c r="AL142" t="str">
        <f t="shared" si="33"/>
        <v>000000000000</v>
      </c>
      <c r="AM142" t="str">
        <f t="shared" si="25"/>
        <v xml:space="preserve">                              </v>
      </c>
      <c r="AP142" t="str">
        <f t="shared" si="26"/>
        <v/>
      </c>
    </row>
    <row r="143" spans="2:42" x14ac:dyDescent="0.2">
      <c r="B143" s="88"/>
      <c r="C143" s="80"/>
      <c r="D143" s="74"/>
      <c r="AF143" t="str">
        <f t="shared" si="27"/>
        <v>00000000</v>
      </c>
      <c r="AG143" s="81">
        <f t="shared" si="28"/>
        <v>0</v>
      </c>
      <c r="AH143" s="81">
        <f t="shared" si="29"/>
        <v>0</v>
      </c>
      <c r="AI143" t="str">
        <f t="shared" si="30"/>
        <v>0000000000</v>
      </c>
      <c r="AJ143" t="str">
        <f t="shared" si="31"/>
        <v>.00</v>
      </c>
      <c r="AK143" t="str">
        <f t="shared" si="32"/>
        <v>00</v>
      </c>
      <c r="AL143" t="str">
        <f t="shared" si="33"/>
        <v>000000000000</v>
      </c>
      <c r="AM143" t="str">
        <f t="shared" si="25"/>
        <v xml:space="preserve">                              </v>
      </c>
      <c r="AP143" t="str">
        <f t="shared" si="26"/>
        <v/>
      </c>
    </row>
    <row r="144" spans="2:42" x14ac:dyDescent="0.2">
      <c r="B144" s="88"/>
      <c r="C144" s="80"/>
      <c r="D144" s="74"/>
      <c r="AF144" t="str">
        <f t="shared" si="27"/>
        <v>00000000</v>
      </c>
      <c r="AG144" s="81">
        <f t="shared" si="28"/>
        <v>0</v>
      </c>
      <c r="AH144" s="81">
        <f t="shared" si="29"/>
        <v>0</v>
      </c>
      <c r="AI144" t="str">
        <f t="shared" si="30"/>
        <v>0000000000</v>
      </c>
      <c r="AJ144" t="str">
        <f t="shared" si="31"/>
        <v>.00</v>
      </c>
      <c r="AK144" t="str">
        <f t="shared" si="32"/>
        <v>00</v>
      </c>
      <c r="AL144" t="str">
        <f t="shared" si="33"/>
        <v>000000000000</v>
      </c>
      <c r="AM144" t="str">
        <f t="shared" si="25"/>
        <v xml:space="preserve">                              </v>
      </c>
      <c r="AP144" t="str">
        <f t="shared" si="26"/>
        <v/>
      </c>
    </row>
    <row r="145" spans="2:42" x14ac:dyDescent="0.2">
      <c r="B145" s="88"/>
      <c r="C145" s="80"/>
      <c r="D145" s="74"/>
      <c r="AF145" t="str">
        <f t="shared" si="27"/>
        <v>00000000</v>
      </c>
      <c r="AG145" s="81">
        <f t="shared" si="28"/>
        <v>0</v>
      </c>
      <c r="AH145" s="81">
        <f t="shared" si="29"/>
        <v>0</v>
      </c>
      <c r="AI145" t="str">
        <f t="shared" si="30"/>
        <v>0000000000</v>
      </c>
      <c r="AJ145" t="str">
        <f t="shared" si="31"/>
        <v>.00</v>
      </c>
      <c r="AK145" t="str">
        <f t="shared" si="32"/>
        <v>00</v>
      </c>
      <c r="AL145" t="str">
        <f t="shared" si="33"/>
        <v>000000000000</v>
      </c>
      <c r="AM145" t="str">
        <f t="shared" si="25"/>
        <v xml:space="preserve">                              </v>
      </c>
      <c r="AP145" t="str">
        <f t="shared" si="26"/>
        <v/>
      </c>
    </row>
    <row r="146" spans="2:42" x14ac:dyDescent="0.2">
      <c r="B146" s="88"/>
      <c r="C146" s="80"/>
      <c r="D146" s="74"/>
      <c r="AF146" t="str">
        <f t="shared" si="27"/>
        <v>00000000</v>
      </c>
      <c r="AG146" s="81">
        <f t="shared" si="28"/>
        <v>0</v>
      </c>
      <c r="AH146" s="81">
        <f t="shared" si="29"/>
        <v>0</v>
      </c>
      <c r="AI146" t="str">
        <f t="shared" si="30"/>
        <v>0000000000</v>
      </c>
      <c r="AJ146" t="str">
        <f t="shared" si="31"/>
        <v>.00</v>
      </c>
      <c r="AK146" t="str">
        <f t="shared" si="32"/>
        <v>00</v>
      </c>
      <c r="AL146" t="str">
        <f t="shared" si="33"/>
        <v>000000000000</v>
      </c>
      <c r="AM146" t="str">
        <f t="shared" si="25"/>
        <v xml:space="preserve">                              </v>
      </c>
      <c r="AP146" t="str">
        <f t="shared" si="26"/>
        <v/>
      </c>
    </row>
    <row r="147" spans="2:42" x14ac:dyDescent="0.2">
      <c r="B147" s="88"/>
      <c r="C147" s="80"/>
      <c r="D147" s="74"/>
      <c r="AF147" t="str">
        <f t="shared" si="27"/>
        <v>00000000</v>
      </c>
      <c r="AG147" s="81">
        <f t="shared" si="28"/>
        <v>0</v>
      </c>
      <c r="AH147" s="81">
        <f t="shared" si="29"/>
        <v>0</v>
      </c>
      <c r="AI147" t="str">
        <f t="shared" si="30"/>
        <v>0000000000</v>
      </c>
      <c r="AJ147" t="str">
        <f t="shared" si="31"/>
        <v>.00</v>
      </c>
      <c r="AK147" t="str">
        <f t="shared" si="32"/>
        <v>00</v>
      </c>
      <c r="AL147" t="str">
        <f t="shared" si="33"/>
        <v>000000000000</v>
      </c>
      <c r="AM147" t="str">
        <f t="shared" si="25"/>
        <v xml:space="preserve">                              </v>
      </c>
      <c r="AP147" t="str">
        <f t="shared" si="26"/>
        <v/>
      </c>
    </row>
    <row r="148" spans="2:42" x14ac:dyDescent="0.2">
      <c r="B148" s="88"/>
      <c r="C148" s="80"/>
      <c r="D148" s="74"/>
      <c r="AF148" t="str">
        <f t="shared" si="27"/>
        <v>00000000</v>
      </c>
      <c r="AG148" s="81">
        <f t="shared" si="28"/>
        <v>0</v>
      </c>
      <c r="AH148" s="81">
        <f t="shared" si="29"/>
        <v>0</v>
      </c>
      <c r="AI148" t="str">
        <f t="shared" si="30"/>
        <v>0000000000</v>
      </c>
      <c r="AJ148" t="str">
        <f t="shared" si="31"/>
        <v>.00</v>
      </c>
      <c r="AK148" t="str">
        <f t="shared" si="32"/>
        <v>00</v>
      </c>
      <c r="AL148" t="str">
        <f t="shared" si="33"/>
        <v>000000000000</v>
      </c>
      <c r="AM148" t="str">
        <f t="shared" si="25"/>
        <v xml:space="preserve">                              </v>
      </c>
      <c r="AP148" t="str">
        <f t="shared" si="26"/>
        <v/>
      </c>
    </row>
    <row r="149" spans="2:42" x14ac:dyDescent="0.2">
      <c r="B149" s="88"/>
      <c r="C149" s="80"/>
      <c r="D149" s="74"/>
      <c r="AF149" t="str">
        <f t="shared" si="27"/>
        <v>00000000</v>
      </c>
      <c r="AG149" s="81">
        <f t="shared" si="28"/>
        <v>0</v>
      </c>
      <c r="AH149" s="81">
        <f t="shared" si="29"/>
        <v>0</v>
      </c>
      <c r="AI149" t="str">
        <f t="shared" si="30"/>
        <v>0000000000</v>
      </c>
      <c r="AJ149" t="str">
        <f t="shared" si="31"/>
        <v>.00</v>
      </c>
      <c r="AK149" t="str">
        <f t="shared" si="32"/>
        <v>00</v>
      </c>
      <c r="AL149" t="str">
        <f t="shared" si="33"/>
        <v>000000000000</v>
      </c>
      <c r="AM149" t="str">
        <f t="shared" si="25"/>
        <v xml:space="preserve">                              </v>
      </c>
      <c r="AP149" t="str">
        <f t="shared" si="26"/>
        <v/>
      </c>
    </row>
    <row r="150" spans="2:42" x14ac:dyDescent="0.2">
      <c r="B150" s="88"/>
      <c r="C150" s="80"/>
      <c r="D150" s="74"/>
      <c r="AF150" t="str">
        <f t="shared" si="27"/>
        <v>00000000</v>
      </c>
      <c r="AG150" s="81">
        <f t="shared" si="28"/>
        <v>0</v>
      </c>
      <c r="AH150" s="81">
        <f t="shared" si="29"/>
        <v>0</v>
      </c>
      <c r="AI150" t="str">
        <f t="shared" si="30"/>
        <v>0000000000</v>
      </c>
      <c r="AJ150" t="str">
        <f t="shared" si="31"/>
        <v>.00</v>
      </c>
      <c r="AK150" t="str">
        <f t="shared" si="32"/>
        <v>00</v>
      </c>
      <c r="AL150" t="str">
        <f t="shared" si="33"/>
        <v>000000000000</v>
      </c>
      <c r="AM150" t="str">
        <f t="shared" si="25"/>
        <v xml:space="preserve">                              </v>
      </c>
      <c r="AP150" t="str">
        <f t="shared" si="26"/>
        <v/>
      </c>
    </row>
    <row r="151" spans="2:42" x14ac:dyDescent="0.2">
      <c r="B151" s="88"/>
      <c r="C151" s="80"/>
      <c r="D151" s="74"/>
      <c r="AF151" t="str">
        <f t="shared" si="27"/>
        <v>00000000</v>
      </c>
      <c r="AG151" s="81">
        <f t="shared" si="28"/>
        <v>0</v>
      </c>
      <c r="AH151" s="81">
        <f t="shared" si="29"/>
        <v>0</v>
      </c>
      <c r="AI151" t="str">
        <f t="shared" si="30"/>
        <v>0000000000</v>
      </c>
      <c r="AJ151" t="str">
        <f t="shared" si="31"/>
        <v>.00</v>
      </c>
      <c r="AK151" t="str">
        <f t="shared" si="32"/>
        <v>00</v>
      </c>
      <c r="AL151" t="str">
        <f t="shared" si="33"/>
        <v>000000000000</v>
      </c>
      <c r="AM151" t="str">
        <f t="shared" si="25"/>
        <v xml:space="preserve">                              </v>
      </c>
      <c r="AP151" t="str">
        <f t="shared" si="26"/>
        <v/>
      </c>
    </row>
    <row r="152" spans="2:42" x14ac:dyDescent="0.2">
      <c r="B152" s="88"/>
      <c r="C152" s="80"/>
      <c r="D152" s="74"/>
      <c r="AF152" t="str">
        <f t="shared" si="27"/>
        <v>00000000</v>
      </c>
      <c r="AG152" s="81">
        <f t="shared" si="28"/>
        <v>0</v>
      </c>
      <c r="AH152" s="81">
        <f t="shared" si="29"/>
        <v>0</v>
      </c>
      <c r="AI152" t="str">
        <f t="shared" si="30"/>
        <v>0000000000</v>
      </c>
      <c r="AJ152" t="str">
        <f t="shared" si="31"/>
        <v>.00</v>
      </c>
      <c r="AK152" t="str">
        <f t="shared" si="32"/>
        <v>00</v>
      </c>
      <c r="AL152" t="str">
        <f t="shared" si="33"/>
        <v>000000000000</v>
      </c>
      <c r="AM152" t="str">
        <f t="shared" si="25"/>
        <v xml:space="preserve">                              </v>
      </c>
      <c r="AP152" t="str">
        <f t="shared" si="26"/>
        <v/>
      </c>
    </row>
    <row r="153" spans="2:42" x14ac:dyDescent="0.2">
      <c r="B153" s="88"/>
      <c r="C153" s="80"/>
      <c r="D153" s="74"/>
      <c r="AF153" t="str">
        <f t="shared" si="27"/>
        <v>00000000</v>
      </c>
      <c r="AG153" s="81">
        <f t="shared" si="28"/>
        <v>0</v>
      </c>
      <c r="AH153" s="81">
        <f t="shared" si="29"/>
        <v>0</v>
      </c>
      <c r="AI153" t="str">
        <f t="shared" si="30"/>
        <v>0000000000</v>
      </c>
      <c r="AJ153" t="str">
        <f t="shared" si="31"/>
        <v>.00</v>
      </c>
      <c r="AK153" t="str">
        <f t="shared" si="32"/>
        <v>00</v>
      </c>
      <c r="AL153" t="str">
        <f t="shared" si="33"/>
        <v>000000000000</v>
      </c>
      <c r="AM153" t="str">
        <f t="shared" si="25"/>
        <v xml:space="preserve">                              </v>
      </c>
      <c r="AP153" t="str">
        <f t="shared" si="26"/>
        <v/>
      </c>
    </row>
    <row r="154" spans="2:42" x14ac:dyDescent="0.2">
      <c r="B154" s="88"/>
      <c r="C154" s="80"/>
      <c r="D154" s="74"/>
      <c r="AF154" t="str">
        <f t="shared" si="27"/>
        <v>00000000</v>
      </c>
      <c r="AG154" s="81">
        <f t="shared" si="28"/>
        <v>0</v>
      </c>
      <c r="AH154" s="81">
        <f t="shared" si="29"/>
        <v>0</v>
      </c>
      <c r="AI154" t="str">
        <f t="shared" si="30"/>
        <v>0000000000</v>
      </c>
      <c r="AJ154" t="str">
        <f t="shared" si="31"/>
        <v>.00</v>
      </c>
      <c r="AK154" t="str">
        <f t="shared" si="32"/>
        <v>00</v>
      </c>
      <c r="AL154" t="str">
        <f t="shared" si="33"/>
        <v>000000000000</v>
      </c>
      <c r="AM154" t="str">
        <f t="shared" si="25"/>
        <v xml:space="preserve">                              </v>
      </c>
      <c r="AP154" t="str">
        <f t="shared" si="26"/>
        <v/>
      </c>
    </row>
    <row r="155" spans="2:42" x14ac:dyDescent="0.2">
      <c r="B155" s="88"/>
      <c r="C155" s="80"/>
      <c r="D155" s="74"/>
      <c r="AF155" t="str">
        <f t="shared" si="27"/>
        <v>00000000</v>
      </c>
      <c r="AG155" s="81">
        <f t="shared" si="28"/>
        <v>0</v>
      </c>
      <c r="AH155" s="81">
        <f t="shared" si="29"/>
        <v>0</v>
      </c>
      <c r="AI155" t="str">
        <f t="shared" si="30"/>
        <v>0000000000</v>
      </c>
      <c r="AJ155" t="str">
        <f t="shared" si="31"/>
        <v>.00</v>
      </c>
      <c r="AK155" t="str">
        <f t="shared" si="32"/>
        <v>00</v>
      </c>
      <c r="AL155" t="str">
        <f t="shared" si="33"/>
        <v>000000000000</v>
      </c>
      <c r="AM155" t="str">
        <f t="shared" si="25"/>
        <v xml:space="preserve">                              </v>
      </c>
      <c r="AP155" t="str">
        <f t="shared" si="26"/>
        <v/>
      </c>
    </row>
    <row r="156" spans="2:42" x14ac:dyDescent="0.2">
      <c r="B156" s="88"/>
      <c r="C156" s="80"/>
      <c r="D156" s="74"/>
      <c r="AF156" t="str">
        <f t="shared" si="27"/>
        <v>00000000</v>
      </c>
      <c r="AG156" s="81">
        <f t="shared" si="28"/>
        <v>0</v>
      </c>
      <c r="AH156" s="81">
        <f t="shared" si="29"/>
        <v>0</v>
      </c>
      <c r="AI156" t="str">
        <f t="shared" si="30"/>
        <v>0000000000</v>
      </c>
      <c r="AJ156" t="str">
        <f t="shared" si="31"/>
        <v>.00</v>
      </c>
      <c r="AK156" t="str">
        <f t="shared" si="32"/>
        <v>00</v>
      </c>
      <c r="AL156" t="str">
        <f t="shared" si="33"/>
        <v>000000000000</v>
      </c>
      <c r="AM156" t="str">
        <f t="shared" si="25"/>
        <v xml:space="preserve">                              </v>
      </c>
      <c r="AP156" t="str">
        <f t="shared" si="26"/>
        <v/>
      </c>
    </row>
    <row r="157" spans="2:42" x14ac:dyDescent="0.2">
      <c r="B157" s="88"/>
      <c r="C157" s="80"/>
      <c r="D157" s="74"/>
      <c r="AF157" t="str">
        <f t="shared" si="27"/>
        <v>00000000</v>
      </c>
      <c r="AG157" s="81">
        <f t="shared" si="28"/>
        <v>0</v>
      </c>
      <c r="AH157" s="81">
        <f t="shared" si="29"/>
        <v>0</v>
      </c>
      <c r="AI157" t="str">
        <f t="shared" si="30"/>
        <v>0000000000</v>
      </c>
      <c r="AJ157" t="str">
        <f t="shared" si="31"/>
        <v>.00</v>
      </c>
      <c r="AK157" t="str">
        <f t="shared" si="32"/>
        <v>00</v>
      </c>
      <c r="AL157" t="str">
        <f t="shared" si="33"/>
        <v>000000000000</v>
      </c>
      <c r="AM157" t="str">
        <f t="shared" si="25"/>
        <v xml:space="preserve">                              </v>
      </c>
      <c r="AP157" t="str">
        <f t="shared" si="26"/>
        <v/>
      </c>
    </row>
    <row r="158" spans="2:42" x14ac:dyDescent="0.2">
      <c r="B158" s="88"/>
      <c r="C158" s="80"/>
      <c r="D158" s="74"/>
      <c r="AF158" t="str">
        <f t="shared" si="27"/>
        <v>00000000</v>
      </c>
      <c r="AG158" s="81">
        <f t="shared" si="28"/>
        <v>0</v>
      </c>
      <c r="AH158" s="81">
        <f t="shared" si="29"/>
        <v>0</v>
      </c>
      <c r="AI158" t="str">
        <f t="shared" si="30"/>
        <v>0000000000</v>
      </c>
      <c r="AJ158" t="str">
        <f t="shared" si="31"/>
        <v>.00</v>
      </c>
      <c r="AK158" t="str">
        <f t="shared" si="32"/>
        <v>00</v>
      </c>
      <c r="AL158" t="str">
        <f t="shared" si="33"/>
        <v>000000000000</v>
      </c>
      <c r="AM158" t="str">
        <f t="shared" si="25"/>
        <v xml:space="preserve">                              </v>
      </c>
      <c r="AP158" t="str">
        <f t="shared" si="26"/>
        <v/>
      </c>
    </row>
    <row r="159" spans="2:42" x14ac:dyDescent="0.2">
      <c r="B159" s="88"/>
      <c r="C159" s="80"/>
      <c r="D159" s="74"/>
      <c r="AF159" t="str">
        <f t="shared" si="27"/>
        <v>00000000</v>
      </c>
      <c r="AG159" s="81">
        <f t="shared" si="28"/>
        <v>0</v>
      </c>
      <c r="AH159" s="81">
        <f t="shared" si="29"/>
        <v>0</v>
      </c>
      <c r="AI159" t="str">
        <f t="shared" si="30"/>
        <v>0000000000</v>
      </c>
      <c r="AJ159" t="str">
        <f t="shared" si="31"/>
        <v>.00</v>
      </c>
      <c r="AK159" t="str">
        <f t="shared" si="32"/>
        <v>00</v>
      </c>
      <c r="AL159" t="str">
        <f t="shared" si="33"/>
        <v>000000000000</v>
      </c>
      <c r="AM159" t="str">
        <f t="shared" si="25"/>
        <v xml:space="preserve">                              </v>
      </c>
      <c r="AP159" t="str">
        <f t="shared" si="26"/>
        <v/>
      </c>
    </row>
    <row r="160" spans="2:42" x14ac:dyDescent="0.2">
      <c r="B160" s="88"/>
      <c r="C160" s="80"/>
      <c r="D160" s="74"/>
      <c r="AF160" t="str">
        <f t="shared" si="27"/>
        <v>00000000</v>
      </c>
      <c r="AG160" s="81">
        <f t="shared" si="28"/>
        <v>0</v>
      </c>
      <c r="AH160" s="81">
        <f t="shared" si="29"/>
        <v>0</v>
      </c>
      <c r="AI160" t="str">
        <f t="shared" si="30"/>
        <v>0000000000</v>
      </c>
      <c r="AJ160" t="str">
        <f t="shared" si="31"/>
        <v>.00</v>
      </c>
      <c r="AK160" t="str">
        <f t="shared" si="32"/>
        <v>00</v>
      </c>
      <c r="AL160" t="str">
        <f t="shared" si="33"/>
        <v>000000000000</v>
      </c>
      <c r="AM160" t="str">
        <f t="shared" si="25"/>
        <v xml:space="preserve">                              </v>
      </c>
      <c r="AP160" t="str">
        <f t="shared" si="26"/>
        <v/>
      </c>
    </row>
    <row r="161" spans="2:42" x14ac:dyDescent="0.2">
      <c r="B161" s="88"/>
      <c r="C161" s="80"/>
      <c r="D161" s="74"/>
      <c r="AF161" t="str">
        <f t="shared" si="27"/>
        <v>00000000</v>
      </c>
      <c r="AG161" s="81">
        <f t="shared" si="28"/>
        <v>0</v>
      </c>
      <c r="AH161" s="81">
        <f t="shared" si="29"/>
        <v>0</v>
      </c>
      <c r="AI161" t="str">
        <f t="shared" si="30"/>
        <v>0000000000</v>
      </c>
      <c r="AJ161" t="str">
        <f t="shared" si="31"/>
        <v>.00</v>
      </c>
      <c r="AK161" t="str">
        <f t="shared" si="32"/>
        <v>00</v>
      </c>
      <c r="AL161" t="str">
        <f t="shared" si="33"/>
        <v>000000000000</v>
      </c>
      <c r="AM161" t="str">
        <f t="shared" si="25"/>
        <v xml:space="preserve">                              </v>
      </c>
      <c r="AP161" t="str">
        <f t="shared" si="26"/>
        <v/>
      </c>
    </row>
    <row r="162" spans="2:42" x14ac:dyDescent="0.2">
      <c r="B162" s="88"/>
      <c r="C162" s="80"/>
      <c r="D162" s="74"/>
      <c r="AF162" t="str">
        <f t="shared" si="27"/>
        <v>00000000</v>
      </c>
      <c r="AG162" s="81">
        <f t="shared" si="28"/>
        <v>0</v>
      </c>
      <c r="AH162" s="81">
        <f t="shared" si="29"/>
        <v>0</v>
      </c>
      <c r="AI162" t="str">
        <f t="shared" si="30"/>
        <v>0000000000</v>
      </c>
      <c r="AJ162" t="str">
        <f t="shared" si="31"/>
        <v>.00</v>
      </c>
      <c r="AK162" t="str">
        <f t="shared" si="32"/>
        <v>00</v>
      </c>
      <c r="AL162" t="str">
        <f t="shared" si="33"/>
        <v>000000000000</v>
      </c>
      <c r="AM162" t="str">
        <f t="shared" si="25"/>
        <v xml:space="preserve">                              </v>
      </c>
      <c r="AP162" t="str">
        <f t="shared" si="26"/>
        <v/>
      </c>
    </row>
    <row r="163" spans="2:42" x14ac:dyDescent="0.2">
      <c r="B163" s="88"/>
      <c r="C163" s="80"/>
      <c r="D163" s="74"/>
      <c r="AF163" t="str">
        <f t="shared" si="27"/>
        <v>00000000</v>
      </c>
      <c r="AG163" s="81">
        <f t="shared" si="28"/>
        <v>0</v>
      </c>
      <c r="AH163" s="81">
        <f t="shared" si="29"/>
        <v>0</v>
      </c>
      <c r="AI163" t="str">
        <f t="shared" si="30"/>
        <v>0000000000</v>
      </c>
      <c r="AJ163" t="str">
        <f t="shared" si="31"/>
        <v>.00</v>
      </c>
      <c r="AK163" t="str">
        <f t="shared" si="32"/>
        <v>00</v>
      </c>
      <c r="AL163" t="str">
        <f t="shared" si="33"/>
        <v>000000000000</v>
      </c>
      <c r="AM163" t="str">
        <f t="shared" si="25"/>
        <v xml:space="preserve">                              </v>
      </c>
      <c r="AP163" t="str">
        <f t="shared" si="26"/>
        <v/>
      </c>
    </row>
    <row r="164" spans="2:42" x14ac:dyDescent="0.2">
      <c r="B164" s="88"/>
      <c r="C164" s="80"/>
      <c r="D164" s="74"/>
      <c r="AF164" t="str">
        <f t="shared" si="27"/>
        <v>00000000</v>
      </c>
      <c r="AG164" s="81">
        <f t="shared" si="28"/>
        <v>0</v>
      </c>
      <c r="AH164" s="81">
        <f t="shared" si="29"/>
        <v>0</v>
      </c>
      <c r="AI164" t="str">
        <f t="shared" si="30"/>
        <v>0000000000</v>
      </c>
      <c r="AJ164" t="str">
        <f t="shared" si="31"/>
        <v>.00</v>
      </c>
      <c r="AK164" t="str">
        <f t="shared" si="32"/>
        <v>00</v>
      </c>
      <c r="AL164" t="str">
        <f t="shared" si="33"/>
        <v>000000000000</v>
      </c>
      <c r="AM164" t="str">
        <f t="shared" si="25"/>
        <v xml:space="preserve">                              </v>
      </c>
      <c r="AP164" t="str">
        <f t="shared" si="26"/>
        <v/>
      </c>
    </row>
    <row r="165" spans="2:42" x14ac:dyDescent="0.2">
      <c r="B165" s="88"/>
      <c r="C165" s="80"/>
      <c r="D165" s="74"/>
      <c r="AF165" t="str">
        <f t="shared" si="27"/>
        <v>00000000</v>
      </c>
      <c r="AG165" s="81">
        <f t="shared" si="28"/>
        <v>0</v>
      </c>
      <c r="AH165" s="81">
        <f t="shared" si="29"/>
        <v>0</v>
      </c>
      <c r="AI165" t="str">
        <f t="shared" si="30"/>
        <v>0000000000</v>
      </c>
      <c r="AJ165" t="str">
        <f t="shared" si="31"/>
        <v>.00</v>
      </c>
      <c r="AK165" t="str">
        <f t="shared" si="32"/>
        <v>00</v>
      </c>
      <c r="AL165" t="str">
        <f t="shared" si="33"/>
        <v>000000000000</v>
      </c>
      <c r="AM165" t="str">
        <f t="shared" si="25"/>
        <v xml:space="preserve">                              </v>
      </c>
      <c r="AP165" t="str">
        <f t="shared" si="26"/>
        <v/>
      </c>
    </row>
    <row r="166" spans="2:42" x14ac:dyDescent="0.2">
      <c r="B166" s="88"/>
      <c r="C166" s="80"/>
      <c r="D166" s="74"/>
      <c r="AF166" t="str">
        <f t="shared" si="27"/>
        <v>00000000</v>
      </c>
      <c r="AG166" s="81">
        <f t="shared" si="28"/>
        <v>0</v>
      </c>
      <c r="AH166" s="81">
        <f t="shared" si="29"/>
        <v>0</v>
      </c>
      <c r="AI166" t="str">
        <f t="shared" si="30"/>
        <v>0000000000</v>
      </c>
      <c r="AJ166" t="str">
        <f t="shared" si="31"/>
        <v>.00</v>
      </c>
      <c r="AK166" t="str">
        <f t="shared" si="32"/>
        <v>00</v>
      </c>
      <c r="AL166" t="str">
        <f t="shared" si="33"/>
        <v>000000000000</v>
      </c>
      <c r="AM166" t="str">
        <f t="shared" si="25"/>
        <v xml:space="preserve">                              </v>
      </c>
      <c r="AP166" t="str">
        <f t="shared" si="26"/>
        <v/>
      </c>
    </row>
    <row r="167" spans="2:42" x14ac:dyDescent="0.2">
      <c r="B167" s="88"/>
      <c r="C167" s="80"/>
      <c r="D167" s="74"/>
      <c r="AF167" t="str">
        <f t="shared" si="27"/>
        <v>00000000</v>
      </c>
      <c r="AG167" s="81">
        <f t="shared" si="28"/>
        <v>0</v>
      </c>
      <c r="AH167" s="81">
        <f t="shared" si="29"/>
        <v>0</v>
      </c>
      <c r="AI167" t="str">
        <f t="shared" si="30"/>
        <v>0000000000</v>
      </c>
      <c r="AJ167" t="str">
        <f t="shared" si="31"/>
        <v>.00</v>
      </c>
      <c r="AK167" t="str">
        <f t="shared" si="32"/>
        <v>00</v>
      </c>
      <c r="AL167" t="str">
        <f t="shared" si="33"/>
        <v>000000000000</v>
      </c>
      <c r="AM167" t="str">
        <f t="shared" si="25"/>
        <v xml:space="preserve">                              </v>
      </c>
      <c r="AP167" t="str">
        <f t="shared" si="26"/>
        <v/>
      </c>
    </row>
    <row r="168" spans="2:42" x14ac:dyDescent="0.2">
      <c r="B168" s="88"/>
      <c r="C168" s="80"/>
      <c r="D168" s="74"/>
      <c r="AF168" t="str">
        <f t="shared" si="27"/>
        <v>00000000</v>
      </c>
      <c r="AG168" s="81">
        <f t="shared" si="28"/>
        <v>0</v>
      </c>
      <c r="AH168" s="81">
        <f t="shared" si="29"/>
        <v>0</v>
      </c>
      <c r="AI168" t="str">
        <f t="shared" si="30"/>
        <v>0000000000</v>
      </c>
      <c r="AJ168" t="str">
        <f t="shared" si="31"/>
        <v>.00</v>
      </c>
      <c r="AK168" t="str">
        <f t="shared" si="32"/>
        <v>00</v>
      </c>
      <c r="AL168" t="str">
        <f t="shared" si="33"/>
        <v>000000000000</v>
      </c>
      <c r="AM168" t="str">
        <f t="shared" si="25"/>
        <v xml:space="preserve">                              </v>
      </c>
      <c r="AP168" t="str">
        <f t="shared" si="26"/>
        <v/>
      </c>
    </row>
    <row r="169" spans="2:42" x14ac:dyDescent="0.2">
      <c r="B169" s="88"/>
      <c r="C169" s="80"/>
      <c r="D169" s="74"/>
      <c r="AF169" t="str">
        <f t="shared" si="27"/>
        <v>00000000</v>
      </c>
      <c r="AG169" s="81">
        <f t="shared" si="28"/>
        <v>0</v>
      </c>
      <c r="AH169" s="81">
        <f t="shared" si="29"/>
        <v>0</v>
      </c>
      <c r="AI169" t="str">
        <f t="shared" si="30"/>
        <v>0000000000</v>
      </c>
      <c r="AJ169" t="str">
        <f t="shared" si="31"/>
        <v>.00</v>
      </c>
      <c r="AK169" t="str">
        <f t="shared" si="32"/>
        <v>00</v>
      </c>
      <c r="AL169" t="str">
        <f t="shared" si="33"/>
        <v>000000000000</v>
      </c>
      <c r="AM169" t="str">
        <f t="shared" si="25"/>
        <v xml:space="preserve">                              </v>
      </c>
      <c r="AP169" t="str">
        <f t="shared" si="26"/>
        <v/>
      </c>
    </row>
    <row r="170" spans="2:42" x14ac:dyDescent="0.2">
      <c r="B170" s="88"/>
      <c r="C170" s="80"/>
      <c r="D170" s="74"/>
      <c r="AF170" t="str">
        <f t="shared" si="27"/>
        <v>00000000</v>
      </c>
      <c r="AG170" s="81">
        <f t="shared" si="28"/>
        <v>0</v>
      </c>
      <c r="AH170" s="81">
        <f t="shared" si="29"/>
        <v>0</v>
      </c>
      <c r="AI170" t="str">
        <f t="shared" si="30"/>
        <v>0000000000</v>
      </c>
      <c r="AJ170" t="str">
        <f t="shared" si="31"/>
        <v>.00</v>
      </c>
      <c r="AK170" t="str">
        <f t="shared" si="32"/>
        <v>00</v>
      </c>
      <c r="AL170" t="str">
        <f t="shared" si="33"/>
        <v>000000000000</v>
      </c>
      <c r="AM170" t="str">
        <f t="shared" si="25"/>
        <v xml:space="preserve">                              </v>
      </c>
      <c r="AP170" t="str">
        <f t="shared" si="26"/>
        <v/>
      </c>
    </row>
    <row r="171" spans="2:42" x14ac:dyDescent="0.2">
      <c r="B171" s="88"/>
      <c r="C171" s="80"/>
      <c r="D171" s="74"/>
      <c r="AF171" t="str">
        <f t="shared" si="27"/>
        <v>00000000</v>
      </c>
      <c r="AG171" s="81">
        <f t="shared" si="28"/>
        <v>0</v>
      </c>
      <c r="AH171" s="81">
        <f t="shared" si="29"/>
        <v>0</v>
      </c>
      <c r="AI171" t="str">
        <f t="shared" si="30"/>
        <v>0000000000</v>
      </c>
      <c r="AJ171" t="str">
        <f t="shared" si="31"/>
        <v>.00</v>
      </c>
      <c r="AK171" t="str">
        <f t="shared" si="32"/>
        <v>00</v>
      </c>
      <c r="AL171" t="str">
        <f t="shared" si="33"/>
        <v>000000000000</v>
      </c>
      <c r="AM171" t="str">
        <f t="shared" si="25"/>
        <v xml:space="preserve">                              </v>
      </c>
      <c r="AP171" t="str">
        <f t="shared" si="26"/>
        <v/>
      </c>
    </row>
    <row r="172" spans="2:42" x14ac:dyDescent="0.2">
      <c r="B172" s="88"/>
      <c r="C172" s="80"/>
      <c r="D172" s="74"/>
      <c r="AF172" t="str">
        <f t="shared" si="27"/>
        <v>00000000</v>
      </c>
      <c r="AG172" s="81">
        <f t="shared" si="28"/>
        <v>0</v>
      </c>
      <c r="AH172" s="81">
        <f t="shared" si="29"/>
        <v>0</v>
      </c>
      <c r="AI172" t="str">
        <f t="shared" si="30"/>
        <v>0000000000</v>
      </c>
      <c r="AJ172" t="str">
        <f t="shared" si="31"/>
        <v>.00</v>
      </c>
      <c r="AK172" t="str">
        <f t="shared" si="32"/>
        <v>00</v>
      </c>
      <c r="AL172" t="str">
        <f t="shared" si="33"/>
        <v>000000000000</v>
      </c>
      <c r="AM172" t="str">
        <f t="shared" si="25"/>
        <v xml:space="preserve">                              </v>
      </c>
      <c r="AP172" t="str">
        <f t="shared" si="26"/>
        <v/>
      </c>
    </row>
    <row r="173" spans="2:42" x14ac:dyDescent="0.2">
      <c r="B173" s="88"/>
      <c r="C173" s="80"/>
      <c r="D173" s="74"/>
      <c r="AF173" t="str">
        <f t="shared" si="27"/>
        <v>00000000</v>
      </c>
      <c r="AG173" s="81">
        <f t="shared" si="28"/>
        <v>0</v>
      </c>
      <c r="AH173" s="81">
        <f t="shared" si="29"/>
        <v>0</v>
      </c>
      <c r="AI173" t="str">
        <f t="shared" si="30"/>
        <v>0000000000</v>
      </c>
      <c r="AJ173" t="str">
        <f t="shared" si="31"/>
        <v>.00</v>
      </c>
      <c r="AK173" t="str">
        <f t="shared" si="32"/>
        <v>00</v>
      </c>
      <c r="AL173" t="str">
        <f t="shared" si="33"/>
        <v>000000000000</v>
      </c>
      <c r="AM173" t="str">
        <f t="shared" si="25"/>
        <v xml:space="preserve">                              </v>
      </c>
      <c r="AP173" t="str">
        <f t="shared" si="26"/>
        <v/>
      </c>
    </row>
    <row r="174" spans="2:42" x14ac:dyDescent="0.2">
      <c r="B174" s="88"/>
      <c r="C174" s="80"/>
      <c r="D174" s="74"/>
      <c r="AF174" t="str">
        <f t="shared" si="27"/>
        <v>00000000</v>
      </c>
      <c r="AG174" s="81">
        <f t="shared" si="28"/>
        <v>0</v>
      </c>
      <c r="AH174" s="81">
        <f t="shared" si="29"/>
        <v>0</v>
      </c>
      <c r="AI174" t="str">
        <f t="shared" si="30"/>
        <v>0000000000</v>
      </c>
      <c r="AJ174" t="str">
        <f t="shared" si="31"/>
        <v>.00</v>
      </c>
      <c r="AK174" t="str">
        <f t="shared" si="32"/>
        <v>00</v>
      </c>
      <c r="AL174" t="str">
        <f t="shared" si="33"/>
        <v>000000000000</v>
      </c>
      <c r="AM174" t="str">
        <f t="shared" si="25"/>
        <v xml:space="preserve">                              </v>
      </c>
      <c r="AP174" t="str">
        <f t="shared" si="26"/>
        <v/>
      </c>
    </row>
    <row r="175" spans="2:42" x14ac:dyDescent="0.2">
      <c r="B175" s="88"/>
      <c r="C175" s="80"/>
      <c r="D175" s="74"/>
      <c r="AF175" t="str">
        <f t="shared" si="27"/>
        <v>00000000</v>
      </c>
      <c r="AG175" s="81">
        <f t="shared" si="28"/>
        <v>0</v>
      </c>
      <c r="AH175" s="81">
        <f t="shared" si="29"/>
        <v>0</v>
      </c>
      <c r="AI175" t="str">
        <f t="shared" si="30"/>
        <v>0000000000</v>
      </c>
      <c r="AJ175" t="str">
        <f t="shared" si="31"/>
        <v>.00</v>
      </c>
      <c r="AK175" t="str">
        <f t="shared" si="32"/>
        <v>00</v>
      </c>
      <c r="AL175" t="str">
        <f t="shared" si="33"/>
        <v>000000000000</v>
      </c>
      <c r="AM175" t="str">
        <f t="shared" si="25"/>
        <v xml:space="preserve">                              </v>
      </c>
      <c r="AP175" t="str">
        <f t="shared" si="26"/>
        <v/>
      </c>
    </row>
    <row r="176" spans="2:42" x14ac:dyDescent="0.2">
      <c r="B176" s="88"/>
      <c r="C176" s="80"/>
      <c r="D176" s="74"/>
      <c r="AF176" t="str">
        <f t="shared" si="27"/>
        <v>00000000</v>
      </c>
      <c r="AG176" s="81">
        <f t="shared" si="28"/>
        <v>0</v>
      </c>
      <c r="AH176" s="81">
        <f t="shared" si="29"/>
        <v>0</v>
      </c>
      <c r="AI176" t="str">
        <f t="shared" si="30"/>
        <v>0000000000</v>
      </c>
      <c r="AJ176" t="str">
        <f t="shared" si="31"/>
        <v>.00</v>
      </c>
      <c r="AK176" t="str">
        <f t="shared" si="32"/>
        <v>00</v>
      </c>
      <c r="AL176" t="str">
        <f t="shared" si="33"/>
        <v>000000000000</v>
      </c>
      <c r="AM176" t="str">
        <f t="shared" si="25"/>
        <v xml:space="preserve">                              </v>
      </c>
      <c r="AP176" t="str">
        <f t="shared" si="26"/>
        <v/>
      </c>
    </row>
    <row r="177" spans="2:42" x14ac:dyDescent="0.2">
      <c r="B177" s="88"/>
      <c r="C177" s="80"/>
      <c r="D177" s="74"/>
      <c r="AF177" t="str">
        <f t="shared" si="27"/>
        <v>00000000</v>
      </c>
      <c r="AG177" s="81">
        <f t="shared" si="28"/>
        <v>0</v>
      </c>
      <c r="AH177" s="81">
        <f t="shared" si="29"/>
        <v>0</v>
      </c>
      <c r="AI177" t="str">
        <f t="shared" si="30"/>
        <v>0000000000</v>
      </c>
      <c r="AJ177" t="str">
        <f t="shared" si="31"/>
        <v>.00</v>
      </c>
      <c r="AK177" t="str">
        <f t="shared" si="32"/>
        <v>00</v>
      </c>
      <c r="AL177" t="str">
        <f t="shared" si="33"/>
        <v>000000000000</v>
      </c>
      <c r="AM177" t="str">
        <f t="shared" si="25"/>
        <v xml:space="preserve">                              </v>
      </c>
      <c r="AP177" t="str">
        <f t="shared" si="26"/>
        <v/>
      </c>
    </row>
    <row r="178" spans="2:42" x14ac:dyDescent="0.2">
      <c r="B178" s="88"/>
      <c r="C178" s="80"/>
      <c r="D178" s="74"/>
      <c r="AF178" t="str">
        <f t="shared" si="27"/>
        <v>00000000</v>
      </c>
      <c r="AG178" s="81">
        <f t="shared" si="28"/>
        <v>0</v>
      </c>
      <c r="AH178" s="81">
        <f t="shared" si="29"/>
        <v>0</v>
      </c>
      <c r="AI178" t="str">
        <f t="shared" si="30"/>
        <v>0000000000</v>
      </c>
      <c r="AJ178" t="str">
        <f t="shared" si="31"/>
        <v>.00</v>
      </c>
      <c r="AK178" t="str">
        <f t="shared" si="32"/>
        <v>00</v>
      </c>
      <c r="AL178" t="str">
        <f t="shared" si="33"/>
        <v>000000000000</v>
      </c>
      <c r="AM178" t="str">
        <f t="shared" si="25"/>
        <v xml:space="preserve">                              </v>
      </c>
      <c r="AP178" t="str">
        <f t="shared" si="26"/>
        <v/>
      </c>
    </row>
    <row r="179" spans="2:42" x14ac:dyDescent="0.2">
      <c r="B179" s="88"/>
      <c r="C179" s="80"/>
      <c r="D179" s="74"/>
      <c r="AF179" t="str">
        <f t="shared" si="27"/>
        <v>00000000</v>
      </c>
      <c r="AG179" s="81">
        <f t="shared" si="28"/>
        <v>0</v>
      </c>
      <c r="AH179" s="81">
        <f t="shared" si="29"/>
        <v>0</v>
      </c>
      <c r="AI179" t="str">
        <f t="shared" si="30"/>
        <v>0000000000</v>
      </c>
      <c r="AJ179" t="str">
        <f t="shared" si="31"/>
        <v>.00</v>
      </c>
      <c r="AK179" t="str">
        <f t="shared" si="32"/>
        <v>00</v>
      </c>
      <c r="AL179" t="str">
        <f t="shared" si="33"/>
        <v>000000000000</v>
      </c>
      <c r="AM179" t="str">
        <f t="shared" si="25"/>
        <v xml:space="preserve">                              </v>
      </c>
      <c r="AP179" t="str">
        <f t="shared" si="26"/>
        <v/>
      </c>
    </row>
    <row r="180" spans="2:42" x14ac:dyDescent="0.2">
      <c r="B180" s="88"/>
      <c r="C180" s="80"/>
      <c r="D180" s="74"/>
      <c r="AF180" t="str">
        <f t="shared" si="27"/>
        <v>00000000</v>
      </c>
      <c r="AG180" s="81">
        <f t="shared" si="28"/>
        <v>0</v>
      </c>
      <c r="AH180" s="81">
        <f t="shared" si="29"/>
        <v>0</v>
      </c>
      <c r="AI180" t="str">
        <f t="shared" si="30"/>
        <v>0000000000</v>
      </c>
      <c r="AJ180" t="str">
        <f t="shared" si="31"/>
        <v>.00</v>
      </c>
      <c r="AK180" t="str">
        <f t="shared" si="32"/>
        <v>00</v>
      </c>
      <c r="AL180" t="str">
        <f t="shared" si="33"/>
        <v>000000000000</v>
      </c>
      <c r="AM180" t="str">
        <f t="shared" si="25"/>
        <v xml:space="preserve">                              </v>
      </c>
      <c r="AP180" t="str">
        <f t="shared" si="26"/>
        <v/>
      </c>
    </row>
    <row r="181" spans="2:42" x14ac:dyDescent="0.2">
      <c r="B181" s="88"/>
      <c r="C181" s="80"/>
      <c r="D181" s="74"/>
      <c r="AF181" t="str">
        <f t="shared" si="27"/>
        <v>00000000</v>
      </c>
      <c r="AG181" s="81">
        <f t="shared" si="28"/>
        <v>0</v>
      </c>
      <c r="AH181" s="81">
        <f t="shared" si="29"/>
        <v>0</v>
      </c>
      <c r="AI181" t="str">
        <f t="shared" si="30"/>
        <v>0000000000</v>
      </c>
      <c r="AJ181" t="str">
        <f t="shared" si="31"/>
        <v>.00</v>
      </c>
      <c r="AK181" t="str">
        <f t="shared" si="32"/>
        <v>00</v>
      </c>
      <c r="AL181" t="str">
        <f t="shared" si="33"/>
        <v>000000000000</v>
      </c>
      <c r="AM181" t="str">
        <f t="shared" si="25"/>
        <v xml:space="preserve">                              </v>
      </c>
      <c r="AP181" t="str">
        <f t="shared" si="26"/>
        <v/>
      </c>
    </row>
    <row r="182" spans="2:42" x14ac:dyDescent="0.2">
      <c r="B182" s="88"/>
      <c r="C182" s="80"/>
      <c r="D182" s="74"/>
      <c r="AF182" t="str">
        <f t="shared" si="27"/>
        <v>00000000</v>
      </c>
      <c r="AG182" s="81">
        <f t="shared" si="28"/>
        <v>0</v>
      </c>
      <c r="AH182" s="81">
        <f t="shared" si="29"/>
        <v>0</v>
      </c>
      <c r="AI182" t="str">
        <f t="shared" si="30"/>
        <v>0000000000</v>
      </c>
      <c r="AJ182" t="str">
        <f t="shared" si="31"/>
        <v>.00</v>
      </c>
      <c r="AK182" t="str">
        <f t="shared" si="32"/>
        <v>00</v>
      </c>
      <c r="AL182" t="str">
        <f t="shared" si="33"/>
        <v>000000000000</v>
      </c>
      <c r="AM182" t="str">
        <f t="shared" si="25"/>
        <v xml:space="preserve">                              </v>
      </c>
      <c r="AP182" t="str">
        <f t="shared" si="26"/>
        <v/>
      </c>
    </row>
    <row r="183" spans="2:42" x14ac:dyDescent="0.2">
      <c r="B183" s="88"/>
      <c r="C183" s="80"/>
      <c r="D183" s="74"/>
      <c r="AF183" t="str">
        <f t="shared" si="27"/>
        <v>00000000</v>
      </c>
      <c r="AG183" s="81">
        <f t="shared" si="28"/>
        <v>0</v>
      </c>
      <c r="AH183" s="81">
        <f t="shared" si="29"/>
        <v>0</v>
      </c>
      <c r="AI183" t="str">
        <f t="shared" si="30"/>
        <v>0000000000</v>
      </c>
      <c r="AJ183" t="str">
        <f t="shared" si="31"/>
        <v>.00</v>
      </c>
      <c r="AK183" t="str">
        <f t="shared" si="32"/>
        <v>00</v>
      </c>
      <c r="AL183" t="str">
        <f t="shared" si="33"/>
        <v>000000000000</v>
      </c>
      <c r="AM183" t="str">
        <f t="shared" si="25"/>
        <v xml:space="preserve">                              </v>
      </c>
      <c r="AP183" t="str">
        <f t="shared" si="26"/>
        <v/>
      </c>
    </row>
    <row r="184" spans="2:42" x14ac:dyDescent="0.2">
      <c r="B184" s="88"/>
      <c r="C184" s="80"/>
      <c r="D184" s="74"/>
      <c r="AF184" t="str">
        <f t="shared" si="27"/>
        <v>00000000</v>
      </c>
      <c r="AG184" s="81">
        <f t="shared" si="28"/>
        <v>0</v>
      </c>
      <c r="AH184" s="81">
        <f t="shared" si="29"/>
        <v>0</v>
      </c>
      <c r="AI184" t="str">
        <f t="shared" si="30"/>
        <v>0000000000</v>
      </c>
      <c r="AJ184" t="str">
        <f t="shared" si="31"/>
        <v>.00</v>
      </c>
      <c r="AK184" t="str">
        <f t="shared" si="32"/>
        <v>00</v>
      </c>
      <c r="AL184" t="str">
        <f t="shared" si="33"/>
        <v>000000000000</v>
      </c>
      <c r="AM184" t="str">
        <f t="shared" si="25"/>
        <v xml:space="preserve">                              </v>
      </c>
      <c r="AP184" t="str">
        <f t="shared" si="26"/>
        <v/>
      </c>
    </row>
    <row r="185" spans="2:42" x14ac:dyDescent="0.2">
      <c r="B185" s="88"/>
      <c r="C185" s="80"/>
      <c r="D185" s="74"/>
      <c r="AF185" t="str">
        <f t="shared" si="27"/>
        <v>00000000</v>
      </c>
      <c r="AG185" s="81">
        <f t="shared" si="28"/>
        <v>0</v>
      </c>
      <c r="AH185" s="81">
        <f t="shared" si="29"/>
        <v>0</v>
      </c>
      <c r="AI185" t="str">
        <f t="shared" si="30"/>
        <v>0000000000</v>
      </c>
      <c r="AJ185" t="str">
        <f t="shared" si="31"/>
        <v>.00</v>
      </c>
      <c r="AK185" t="str">
        <f t="shared" si="32"/>
        <v>00</v>
      </c>
      <c r="AL185" t="str">
        <f t="shared" si="33"/>
        <v>000000000000</v>
      </c>
      <c r="AM185" t="str">
        <f t="shared" si="25"/>
        <v xml:space="preserve">                              </v>
      </c>
      <c r="AP185" t="str">
        <f t="shared" si="26"/>
        <v/>
      </c>
    </row>
    <row r="186" spans="2:42" x14ac:dyDescent="0.2">
      <c r="B186" s="88"/>
      <c r="C186" s="80"/>
      <c r="D186" s="74"/>
      <c r="AF186" t="str">
        <f t="shared" si="27"/>
        <v>00000000</v>
      </c>
      <c r="AG186" s="81">
        <f t="shared" si="28"/>
        <v>0</v>
      </c>
      <c r="AH186" s="81">
        <f t="shared" si="29"/>
        <v>0</v>
      </c>
      <c r="AI186" t="str">
        <f t="shared" si="30"/>
        <v>0000000000</v>
      </c>
      <c r="AJ186" t="str">
        <f t="shared" si="31"/>
        <v>.00</v>
      </c>
      <c r="AK186" t="str">
        <f t="shared" si="32"/>
        <v>00</v>
      </c>
      <c r="AL186" t="str">
        <f t="shared" si="33"/>
        <v>000000000000</v>
      </c>
      <c r="AM186" t="str">
        <f t="shared" si="25"/>
        <v xml:space="preserve">                              </v>
      </c>
      <c r="AP186" t="str">
        <f t="shared" si="26"/>
        <v/>
      </c>
    </row>
    <row r="187" spans="2:42" x14ac:dyDescent="0.2">
      <c r="B187" s="88"/>
      <c r="C187" s="80"/>
      <c r="D187" s="74"/>
      <c r="AF187" t="str">
        <f t="shared" si="27"/>
        <v>00000000</v>
      </c>
      <c r="AG187" s="81">
        <f t="shared" si="28"/>
        <v>0</v>
      </c>
      <c r="AH187" s="81">
        <f t="shared" si="29"/>
        <v>0</v>
      </c>
      <c r="AI187" t="str">
        <f t="shared" si="30"/>
        <v>0000000000</v>
      </c>
      <c r="AJ187" t="str">
        <f t="shared" si="31"/>
        <v>.00</v>
      </c>
      <c r="AK187" t="str">
        <f t="shared" si="32"/>
        <v>00</v>
      </c>
      <c r="AL187" t="str">
        <f t="shared" si="33"/>
        <v>000000000000</v>
      </c>
      <c r="AM187" t="str">
        <f t="shared" si="25"/>
        <v xml:space="preserve">                              </v>
      </c>
      <c r="AP187" t="str">
        <f t="shared" si="26"/>
        <v/>
      </c>
    </row>
    <row r="188" spans="2:42" x14ac:dyDescent="0.2">
      <c r="B188" s="88"/>
      <c r="C188" s="80"/>
      <c r="D188" s="74"/>
      <c r="AF188" t="str">
        <f t="shared" si="27"/>
        <v>00000000</v>
      </c>
      <c r="AG188" s="81">
        <f t="shared" si="28"/>
        <v>0</v>
      </c>
      <c r="AH188" s="81">
        <f t="shared" si="29"/>
        <v>0</v>
      </c>
      <c r="AI188" t="str">
        <f t="shared" si="30"/>
        <v>0000000000</v>
      </c>
      <c r="AJ188" t="str">
        <f t="shared" si="31"/>
        <v>.00</v>
      </c>
      <c r="AK188" t="str">
        <f t="shared" si="32"/>
        <v>00</v>
      </c>
      <c r="AL188" t="str">
        <f t="shared" si="33"/>
        <v>000000000000</v>
      </c>
      <c r="AM188" t="str">
        <f t="shared" si="25"/>
        <v xml:space="preserve">                              </v>
      </c>
      <c r="AP188" t="str">
        <f t="shared" si="26"/>
        <v/>
      </c>
    </row>
    <row r="189" spans="2:42" x14ac:dyDescent="0.2">
      <c r="B189" s="88"/>
      <c r="C189" s="80"/>
      <c r="D189" s="74"/>
      <c r="AF189" t="str">
        <f t="shared" si="27"/>
        <v>00000000</v>
      </c>
      <c r="AG189" s="81">
        <f t="shared" si="28"/>
        <v>0</v>
      </c>
      <c r="AH189" s="81">
        <f t="shared" si="29"/>
        <v>0</v>
      </c>
      <c r="AI189" t="str">
        <f t="shared" si="30"/>
        <v>0000000000</v>
      </c>
      <c r="AJ189" t="str">
        <f t="shared" si="31"/>
        <v>.00</v>
      </c>
      <c r="AK189" t="str">
        <f t="shared" si="32"/>
        <v>00</v>
      </c>
      <c r="AL189" t="str">
        <f t="shared" si="33"/>
        <v>000000000000</v>
      </c>
      <c r="AM189" t="str">
        <f t="shared" si="25"/>
        <v xml:space="preserve">                              </v>
      </c>
      <c r="AP189" t="str">
        <f t="shared" si="26"/>
        <v/>
      </c>
    </row>
    <row r="190" spans="2:42" x14ac:dyDescent="0.2">
      <c r="B190" s="88"/>
      <c r="C190" s="80"/>
      <c r="D190" s="74"/>
      <c r="AF190" t="str">
        <f t="shared" si="27"/>
        <v>00000000</v>
      </c>
      <c r="AG190" s="81">
        <f t="shared" si="28"/>
        <v>0</v>
      </c>
      <c r="AH190" s="81">
        <f t="shared" si="29"/>
        <v>0</v>
      </c>
      <c r="AI190" t="str">
        <f t="shared" si="30"/>
        <v>0000000000</v>
      </c>
      <c r="AJ190" t="str">
        <f t="shared" si="31"/>
        <v>.00</v>
      </c>
      <c r="AK190" t="str">
        <f t="shared" si="32"/>
        <v>00</v>
      </c>
      <c r="AL190" t="str">
        <f t="shared" si="33"/>
        <v>000000000000</v>
      </c>
      <c r="AM190" t="str">
        <f t="shared" si="25"/>
        <v xml:space="preserve">                              </v>
      </c>
      <c r="AP190" t="str">
        <f t="shared" si="26"/>
        <v/>
      </c>
    </row>
    <row r="191" spans="2:42" x14ac:dyDescent="0.2">
      <c r="B191" s="88"/>
      <c r="C191" s="80"/>
      <c r="D191" s="74"/>
      <c r="AF191" t="str">
        <f t="shared" si="27"/>
        <v>00000000</v>
      </c>
      <c r="AG191" s="81">
        <f t="shared" si="28"/>
        <v>0</v>
      </c>
      <c r="AH191" s="81">
        <f t="shared" si="29"/>
        <v>0</v>
      </c>
      <c r="AI191" t="str">
        <f t="shared" si="30"/>
        <v>0000000000</v>
      </c>
      <c r="AJ191" t="str">
        <f t="shared" si="31"/>
        <v>.00</v>
      </c>
      <c r="AK191" t="str">
        <f t="shared" si="32"/>
        <v>00</v>
      </c>
      <c r="AL191" t="str">
        <f t="shared" si="33"/>
        <v>000000000000</v>
      </c>
      <c r="AM191" t="str">
        <f t="shared" si="25"/>
        <v xml:space="preserve">                              </v>
      </c>
      <c r="AP191" t="str">
        <f t="shared" si="26"/>
        <v/>
      </c>
    </row>
    <row r="192" spans="2:42" x14ac:dyDescent="0.2">
      <c r="B192" s="88"/>
      <c r="C192" s="80"/>
      <c r="D192" s="74"/>
      <c r="AF192" t="str">
        <f t="shared" si="27"/>
        <v>00000000</v>
      </c>
      <c r="AG192" s="81">
        <f t="shared" si="28"/>
        <v>0</v>
      </c>
      <c r="AH192" s="81">
        <f t="shared" si="29"/>
        <v>0</v>
      </c>
      <c r="AI192" t="str">
        <f t="shared" si="30"/>
        <v>0000000000</v>
      </c>
      <c r="AJ192" t="str">
        <f t="shared" si="31"/>
        <v>.00</v>
      </c>
      <c r="AK192" t="str">
        <f t="shared" si="32"/>
        <v>00</v>
      </c>
      <c r="AL192" t="str">
        <f t="shared" si="33"/>
        <v>000000000000</v>
      </c>
      <c r="AM192" t="str">
        <f t="shared" si="25"/>
        <v xml:space="preserve">                              </v>
      </c>
      <c r="AP192" t="str">
        <f t="shared" si="26"/>
        <v/>
      </c>
    </row>
    <row r="193" spans="2:42" x14ac:dyDescent="0.2">
      <c r="B193" s="88"/>
      <c r="C193" s="80"/>
      <c r="D193" s="74"/>
      <c r="AF193" t="str">
        <f t="shared" si="27"/>
        <v>00000000</v>
      </c>
      <c r="AG193" s="81">
        <f t="shared" si="28"/>
        <v>0</v>
      </c>
      <c r="AH193" s="81">
        <f t="shared" si="29"/>
        <v>0</v>
      </c>
      <c r="AI193" t="str">
        <f t="shared" si="30"/>
        <v>0000000000</v>
      </c>
      <c r="AJ193" t="str">
        <f t="shared" si="31"/>
        <v>.00</v>
      </c>
      <c r="AK193" t="str">
        <f t="shared" si="32"/>
        <v>00</v>
      </c>
      <c r="AL193" t="str">
        <f t="shared" si="33"/>
        <v>000000000000</v>
      </c>
      <c r="AM193" t="str">
        <f t="shared" si="25"/>
        <v xml:space="preserve">                              </v>
      </c>
      <c r="AP193" t="str">
        <f t="shared" si="26"/>
        <v/>
      </c>
    </row>
    <row r="194" spans="2:42" x14ac:dyDescent="0.2">
      <c r="B194" s="88"/>
      <c r="C194" s="80"/>
      <c r="D194" s="74"/>
      <c r="AF194" t="str">
        <f t="shared" si="27"/>
        <v>00000000</v>
      </c>
      <c r="AG194" s="81">
        <f t="shared" si="28"/>
        <v>0</v>
      </c>
      <c r="AH194" s="81">
        <f t="shared" si="29"/>
        <v>0</v>
      </c>
      <c r="AI194" t="str">
        <f t="shared" si="30"/>
        <v>0000000000</v>
      </c>
      <c r="AJ194" t="str">
        <f t="shared" si="31"/>
        <v>.00</v>
      </c>
      <c r="AK194" t="str">
        <f t="shared" si="32"/>
        <v>00</v>
      </c>
      <c r="AL194" t="str">
        <f t="shared" si="33"/>
        <v>000000000000</v>
      </c>
      <c r="AM194" t="str">
        <f t="shared" si="25"/>
        <v xml:space="preserve">                              </v>
      </c>
      <c r="AP194" t="str">
        <f t="shared" si="26"/>
        <v/>
      </c>
    </row>
    <row r="195" spans="2:42" x14ac:dyDescent="0.2">
      <c r="B195" s="88"/>
      <c r="C195" s="80"/>
      <c r="D195" s="74"/>
      <c r="AF195" t="str">
        <f t="shared" si="27"/>
        <v>00000000</v>
      </c>
      <c r="AG195" s="81">
        <f t="shared" si="28"/>
        <v>0</v>
      </c>
      <c r="AH195" s="81">
        <f t="shared" si="29"/>
        <v>0</v>
      </c>
      <c r="AI195" t="str">
        <f t="shared" si="30"/>
        <v>0000000000</v>
      </c>
      <c r="AJ195" t="str">
        <f t="shared" si="31"/>
        <v>.00</v>
      </c>
      <c r="AK195" t="str">
        <f t="shared" si="32"/>
        <v>00</v>
      </c>
      <c r="AL195" t="str">
        <f t="shared" si="33"/>
        <v>000000000000</v>
      </c>
      <c r="AM195" t="str">
        <f t="shared" ref="AM195:AM258" si="34">CONCATENATE(D196,REPT(" ",30-LEN(D196)))</f>
        <v xml:space="preserve">                              </v>
      </c>
      <c r="AP195" t="str">
        <f t="shared" ref="AP195:AP258" si="35">IF(B196&lt;&gt;"",CONCATENATE("000",$AA$3,"     ",$AB$3,$AC$3,$AD$3,"30000",AF195,AL195,$AC$1,AM195),"")</f>
        <v/>
      </c>
    </row>
    <row r="196" spans="2:42" x14ac:dyDescent="0.2">
      <c r="B196" s="88"/>
      <c r="C196" s="80"/>
      <c r="D196" s="74"/>
      <c r="AF196" t="str">
        <f t="shared" si="27"/>
        <v>00000000</v>
      </c>
      <c r="AG196" s="81">
        <f t="shared" si="28"/>
        <v>0</v>
      </c>
      <c r="AH196" s="81">
        <f t="shared" si="29"/>
        <v>0</v>
      </c>
      <c r="AI196" t="str">
        <f t="shared" si="30"/>
        <v>0000000000</v>
      </c>
      <c r="AJ196" t="str">
        <f t="shared" si="31"/>
        <v>.00</v>
      </c>
      <c r="AK196" t="str">
        <f t="shared" si="32"/>
        <v>00</v>
      </c>
      <c r="AL196" t="str">
        <f t="shared" si="33"/>
        <v>000000000000</v>
      </c>
      <c r="AM196" t="str">
        <f t="shared" si="34"/>
        <v xml:space="preserve">                              </v>
      </c>
      <c r="AP196" t="str">
        <f t="shared" si="35"/>
        <v/>
      </c>
    </row>
    <row r="197" spans="2:42" x14ac:dyDescent="0.2">
      <c r="B197" s="88"/>
      <c r="C197" s="80"/>
      <c r="D197" s="74"/>
      <c r="AF197" t="str">
        <f t="shared" si="27"/>
        <v>00000000</v>
      </c>
      <c r="AG197" s="81">
        <f t="shared" si="28"/>
        <v>0</v>
      </c>
      <c r="AH197" s="81">
        <f t="shared" si="29"/>
        <v>0</v>
      </c>
      <c r="AI197" t="str">
        <f t="shared" si="30"/>
        <v>0000000000</v>
      </c>
      <c r="AJ197" t="str">
        <f t="shared" si="31"/>
        <v>.00</v>
      </c>
      <c r="AK197" t="str">
        <f t="shared" si="32"/>
        <v>00</v>
      </c>
      <c r="AL197" t="str">
        <f t="shared" si="33"/>
        <v>000000000000</v>
      </c>
      <c r="AM197" t="str">
        <f t="shared" si="34"/>
        <v xml:space="preserve">                              </v>
      </c>
      <c r="AP197" t="str">
        <f t="shared" si="35"/>
        <v/>
      </c>
    </row>
    <row r="198" spans="2:42" x14ac:dyDescent="0.2">
      <c r="B198" s="88"/>
      <c r="C198" s="80"/>
      <c r="D198" s="74"/>
      <c r="AF198" t="str">
        <f t="shared" si="27"/>
        <v>00000000</v>
      </c>
      <c r="AG198" s="81">
        <f t="shared" si="28"/>
        <v>0</v>
      </c>
      <c r="AH198" s="81">
        <f t="shared" si="29"/>
        <v>0</v>
      </c>
      <c r="AI198" t="str">
        <f t="shared" si="30"/>
        <v>0000000000</v>
      </c>
      <c r="AJ198" t="str">
        <f t="shared" si="31"/>
        <v>.00</v>
      </c>
      <c r="AK198" t="str">
        <f t="shared" si="32"/>
        <v>00</v>
      </c>
      <c r="AL198" t="str">
        <f t="shared" si="33"/>
        <v>000000000000</v>
      </c>
      <c r="AM198" t="str">
        <f t="shared" si="34"/>
        <v xml:space="preserve">                              </v>
      </c>
      <c r="AP198" t="str">
        <f t="shared" si="35"/>
        <v/>
      </c>
    </row>
    <row r="199" spans="2:42" x14ac:dyDescent="0.2">
      <c r="B199" s="88"/>
      <c r="C199" s="80"/>
      <c r="D199" s="74"/>
      <c r="AF199" t="str">
        <f t="shared" si="27"/>
        <v>00000000</v>
      </c>
      <c r="AG199" s="81">
        <f t="shared" si="28"/>
        <v>0</v>
      </c>
      <c r="AH199" s="81">
        <f t="shared" si="29"/>
        <v>0</v>
      </c>
      <c r="AI199" t="str">
        <f t="shared" si="30"/>
        <v>0000000000</v>
      </c>
      <c r="AJ199" t="str">
        <f t="shared" si="31"/>
        <v>.00</v>
      </c>
      <c r="AK199" t="str">
        <f t="shared" si="32"/>
        <v>00</v>
      </c>
      <c r="AL199" t="str">
        <f t="shared" si="33"/>
        <v>000000000000</v>
      </c>
      <c r="AM199" t="str">
        <f t="shared" si="34"/>
        <v xml:space="preserve">                              </v>
      </c>
      <c r="AP199" t="str">
        <f t="shared" si="35"/>
        <v/>
      </c>
    </row>
    <row r="200" spans="2:42" x14ac:dyDescent="0.2">
      <c r="B200" s="88"/>
      <c r="C200" s="80"/>
      <c r="D200" s="74"/>
      <c r="AF200" t="str">
        <f t="shared" si="27"/>
        <v>00000000</v>
      </c>
      <c r="AG200" s="81">
        <f t="shared" si="28"/>
        <v>0</v>
      </c>
      <c r="AH200" s="81">
        <f t="shared" si="29"/>
        <v>0</v>
      </c>
      <c r="AI200" t="str">
        <f t="shared" si="30"/>
        <v>0000000000</v>
      </c>
      <c r="AJ200" t="str">
        <f t="shared" si="31"/>
        <v>.00</v>
      </c>
      <c r="AK200" t="str">
        <f t="shared" si="32"/>
        <v>00</v>
      </c>
      <c r="AL200" t="str">
        <f t="shared" si="33"/>
        <v>000000000000</v>
      </c>
      <c r="AM200" t="str">
        <f t="shared" si="34"/>
        <v xml:space="preserve">                              </v>
      </c>
      <c r="AP200" t="str">
        <f t="shared" si="35"/>
        <v/>
      </c>
    </row>
    <row r="201" spans="2:42" x14ac:dyDescent="0.2">
      <c r="B201" s="88"/>
      <c r="C201" s="80"/>
      <c r="D201" s="74"/>
      <c r="AF201" t="str">
        <f t="shared" si="27"/>
        <v>00000000</v>
      </c>
      <c r="AG201" s="81">
        <f t="shared" si="28"/>
        <v>0</v>
      </c>
      <c r="AH201" s="81">
        <f t="shared" si="29"/>
        <v>0</v>
      </c>
      <c r="AI201" t="str">
        <f t="shared" si="30"/>
        <v>0000000000</v>
      </c>
      <c r="AJ201" t="str">
        <f t="shared" si="31"/>
        <v>.00</v>
      </c>
      <c r="AK201" t="str">
        <f t="shared" si="32"/>
        <v>00</v>
      </c>
      <c r="AL201" t="str">
        <f t="shared" si="33"/>
        <v>000000000000</v>
      </c>
      <c r="AM201" t="str">
        <f t="shared" si="34"/>
        <v xml:space="preserve">                              </v>
      </c>
      <c r="AP201" t="str">
        <f t="shared" si="35"/>
        <v/>
      </c>
    </row>
    <row r="202" spans="2:42" x14ac:dyDescent="0.2">
      <c r="B202" s="88"/>
      <c r="C202" s="80"/>
      <c r="D202" s="74"/>
      <c r="AF202" t="str">
        <f t="shared" ref="AF202:AF265" si="36">CONCATENATE(REPT("0",8-LEN(B203)),B203)</f>
        <v>00000000</v>
      </c>
      <c r="AG202" s="81">
        <f t="shared" ref="AG202:AG265" si="37">INT(C203)</f>
        <v>0</v>
      </c>
      <c r="AH202" s="81">
        <f t="shared" ref="AH202:AH265" si="38">C203-AG202</f>
        <v>0</v>
      </c>
      <c r="AI202" t="str">
        <f t="shared" ref="AI202:AI265" si="39">TEXT(AG202,"0000000000")</f>
        <v>0000000000</v>
      </c>
      <c r="AJ202" t="str">
        <f t="shared" ref="AJ202:AJ265" si="40">TEXT(AH202,".00")</f>
        <v>.00</v>
      </c>
      <c r="AK202" t="str">
        <f t="shared" ref="AK202:AK265" si="41">MID(AJ202,2,2)</f>
        <v>00</v>
      </c>
      <c r="AL202" t="str">
        <f t="shared" ref="AL202:AL265" si="42">CONCATENATE(AI202,AK202)</f>
        <v>000000000000</v>
      </c>
      <c r="AM202" t="str">
        <f t="shared" si="34"/>
        <v xml:space="preserve">                              </v>
      </c>
      <c r="AP202" t="str">
        <f t="shared" si="35"/>
        <v/>
      </c>
    </row>
    <row r="203" spans="2:42" x14ac:dyDescent="0.2">
      <c r="B203" s="88"/>
      <c r="C203" s="80"/>
      <c r="D203" s="74"/>
      <c r="AF203" t="str">
        <f t="shared" si="36"/>
        <v>00000000</v>
      </c>
      <c r="AG203" s="81">
        <f t="shared" si="37"/>
        <v>0</v>
      </c>
      <c r="AH203" s="81">
        <f t="shared" si="38"/>
        <v>0</v>
      </c>
      <c r="AI203" t="str">
        <f t="shared" si="39"/>
        <v>0000000000</v>
      </c>
      <c r="AJ203" t="str">
        <f t="shared" si="40"/>
        <v>.00</v>
      </c>
      <c r="AK203" t="str">
        <f t="shared" si="41"/>
        <v>00</v>
      </c>
      <c r="AL203" t="str">
        <f t="shared" si="42"/>
        <v>000000000000</v>
      </c>
      <c r="AM203" t="str">
        <f t="shared" si="34"/>
        <v xml:space="preserve">                              </v>
      </c>
      <c r="AP203" t="str">
        <f t="shared" si="35"/>
        <v/>
      </c>
    </row>
    <row r="204" spans="2:42" x14ac:dyDescent="0.2">
      <c r="B204" s="88"/>
      <c r="C204" s="80"/>
      <c r="D204" s="74"/>
      <c r="AF204" t="str">
        <f t="shared" si="36"/>
        <v>00000000</v>
      </c>
      <c r="AG204" s="81">
        <f t="shared" si="37"/>
        <v>0</v>
      </c>
      <c r="AH204" s="81">
        <f t="shared" si="38"/>
        <v>0</v>
      </c>
      <c r="AI204" t="str">
        <f t="shared" si="39"/>
        <v>0000000000</v>
      </c>
      <c r="AJ204" t="str">
        <f t="shared" si="40"/>
        <v>.00</v>
      </c>
      <c r="AK204" t="str">
        <f t="shared" si="41"/>
        <v>00</v>
      </c>
      <c r="AL204" t="str">
        <f t="shared" si="42"/>
        <v>000000000000</v>
      </c>
      <c r="AM204" t="str">
        <f t="shared" si="34"/>
        <v xml:space="preserve">                              </v>
      </c>
      <c r="AP204" t="str">
        <f t="shared" si="35"/>
        <v/>
      </c>
    </row>
    <row r="205" spans="2:42" x14ac:dyDescent="0.2">
      <c r="B205" s="88"/>
      <c r="C205" s="80"/>
      <c r="D205" s="74"/>
      <c r="AF205" t="str">
        <f t="shared" si="36"/>
        <v>00000000</v>
      </c>
      <c r="AG205" s="81">
        <f t="shared" si="37"/>
        <v>0</v>
      </c>
      <c r="AH205" s="81">
        <f t="shared" si="38"/>
        <v>0</v>
      </c>
      <c r="AI205" t="str">
        <f t="shared" si="39"/>
        <v>0000000000</v>
      </c>
      <c r="AJ205" t="str">
        <f t="shared" si="40"/>
        <v>.00</v>
      </c>
      <c r="AK205" t="str">
        <f t="shared" si="41"/>
        <v>00</v>
      </c>
      <c r="AL205" t="str">
        <f t="shared" si="42"/>
        <v>000000000000</v>
      </c>
      <c r="AM205" t="str">
        <f t="shared" si="34"/>
        <v xml:space="preserve">                              </v>
      </c>
      <c r="AP205" t="str">
        <f t="shared" si="35"/>
        <v/>
      </c>
    </row>
    <row r="206" spans="2:42" x14ac:dyDescent="0.2">
      <c r="B206" s="88"/>
      <c r="C206" s="80"/>
      <c r="D206" s="74"/>
      <c r="AF206" t="str">
        <f t="shared" si="36"/>
        <v>00000000</v>
      </c>
      <c r="AG206" s="81">
        <f t="shared" si="37"/>
        <v>0</v>
      </c>
      <c r="AH206" s="81">
        <f t="shared" si="38"/>
        <v>0</v>
      </c>
      <c r="AI206" t="str">
        <f t="shared" si="39"/>
        <v>0000000000</v>
      </c>
      <c r="AJ206" t="str">
        <f t="shared" si="40"/>
        <v>.00</v>
      </c>
      <c r="AK206" t="str">
        <f t="shared" si="41"/>
        <v>00</v>
      </c>
      <c r="AL206" t="str">
        <f t="shared" si="42"/>
        <v>000000000000</v>
      </c>
      <c r="AM206" t="str">
        <f t="shared" si="34"/>
        <v xml:space="preserve">                              </v>
      </c>
      <c r="AP206" t="str">
        <f t="shared" si="35"/>
        <v/>
      </c>
    </row>
    <row r="207" spans="2:42" x14ac:dyDescent="0.2">
      <c r="B207" s="88"/>
      <c r="C207" s="80"/>
      <c r="D207" s="74"/>
      <c r="AF207" t="str">
        <f t="shared" si="36"/>
        <v>00000000</v>
      </c>
      <c r="AG207" s="81">
        <f t="shared" si="37"/>
        <v>0</v>
      </c>
      <c r="AH207" s="81">
        <f t="shared" si="38"/>
        <v>0</v>
      </c>
      <c r="AI207" t="str">
        <f t="shared" si="39"/>
        <v>0000000000</v>
      </c>
      <c r="AJ207" t="str">
        <f t="shared" si="40"/>
        <v>.00</v>
      </c>
      <c r="AK207" t="str">
        <f t="shared" si="41"/>
        <v>00</v>
      </c>
      <c r="AL207" t="str">
        <f t="shared" si="42"/>
        <v>000000000000</v>
      </c>
      <c r="AM207" t="str">
        <f t="shared" si="34"/>
        <v xml:space="preserve">                              </v>
      </c>
      <c r="AP207" t="str">
        <f t="shared" si="35"/>
        <v/>
      </c>
    </row>
    <row r="208" spans="2:42" x14ac:dyDescent="0.2">
      <c r="B208" s="88"/>
      <c r="C208" s="80"/>
      <c r="D208" s="74"/>
      <c r="AF208" t="str">
        <f t="shared" si="36"/>
        <v>00000000</v>
      </c>
      <c r="AG208" s="81">
        <f t="shared" si="37"/>
        <v>0</v>
      </c>
      <c r="AH208" s="81">
        <f t="shared" si="38"/>
        <v>0</v>
      </c>
      <c r="AI208" t="str">
        <f t="shared" si="39"/>
        <v>0000000000</v>
      </c>
      <c r="AJ208" t="str">
        <f t="shared" si="40"/>
        <v>.00</v>
      </c>
      <c r="AK208" t="str">
        <f t="shared" si="41"/>
        <v>00</v>
      </c>
      <c r="AL208" t="str">
        <f t="shared" si="42"/>
        <v>000000000000</v>
      </c>
      <c r="AM208" t="str">
        <f t="shared" si="34"/>
        <v xml:space="preserve">                              </v>
      </c>
      <c r="AP208" t="str">
        <f t="shared" si="35"/>
        <v/>
      </c>
    </row>
    <row r="209" spans="2:42" x14ac:dyDescent="0.2">
      <c r="B209" s="88"/>
      <c r="C209" s="80"/>
      <c r="D209" s="74"/>
      <c r="AF209" t="str">
        <f t="shared" si="36"/>
        <v>00000000</v>
      </c>
      <c r="AG209" s="81">
        <f t="shared" si="37"/>
        <v>0</v>
      </c>
      <c r="AH209" s="81">
        <f t="shared" si="38"/>
        <v>0</v>
      </c>
      <c r="AI209" t="str">
        <f t="shared" si="39"/>
        <v>0000000000</v>
      </c>
      <c r="AJ209" t="str">
        <f t="shared" si="40"/>
        <v>.00</v>
      </c>
      <c r="AK209" t="str">
        <f t="shared" si="41"/>
        <v>00</v>
      </c>
      <c r="AL209" t="str">
        <f t="shared" si="42"/>
        <v>000000000000</v>
      </c>
      <c r="AM209" t="str">
        <f t="shared" si="34"/>
        <v xml:space="preserve">                              </v>
      </c>
      <c r="AP209" t="str">
        <f t="shared" si="35"/>
        <v/>
      </c>
    </row>
    <row r="210" spans="2:42" x14ac:dyDescent="0.2">
      <c r="B210" s="88"/>
      <c r="C210" s="80"/>
      <c r="D210" s="74"/>
      <c r="AF210" t="str">
        <f t="shared" si="36"/>
        <v>00000000</v>
      </c>
      <c r="AG210" s="81">
        <f t="shared" si="37"/>
        <v>0</v>
      </c>
      <c r="AH210" s="81">
        <f t="shared" si="38"/>
        <v>0</v>
      </c>
      <c r="AI210" t="str">
        <f t="shared" si="39"/>
        <v>0000000000</v>
      </c>
      <c r="AJ210" t="str">
        <f t="shared" si="40"/>
        <v>.00</v>
      </c>
      <c r="AK210" t="str">
        <f t="shared" si="41"/>
        <v>00</v>
      </c>
      <c r="AL210" t="str">
        <f t="shared" si="42"/>
        <v>000000000000</v>
      </c>
      <c r="AM210" t="str">
        <f t="shared" si="34"/>
        <v xml:space="preserve">                              </v>
      </c>
      <c r="AP210" t="str">
        <f t="shared" si="35"/>
        <v/>
      </c>
    </row>
    <row r="211" spans="2:42" x14ac:dyDescent="0.2">
      <c r="B211" s="88"/>
      <c r="C211" s="80"/>
      <c r="D211" s="74"/>
      <c r="AF211" t="str">
        <f t="shared" si="36"/>
        <v>00000000</v>
      </c>
      <c r="AG211" s="81">
        <f t="shared" si="37"/>
        <v>0</v>
      </c>
      <c r="AH211" s="81">
        <f t="shared" si="38"/>
        <v>0</v>
      </c>
      <c r="AI211" t="str">
        <f t="shared" si="39"/>
        <v>0000000000</v>
      </c>
      <c r="AJ211" t="str">
        <f t="shared" si="40"/>
        <v>.00</v>
      </c>
      <c r="AK211" t="str">
        <f t="shared" si="41"/>
        <v>00</v>
      </c>
      <c r="AL211" t="str">
        <f t="shared" si="42"/>
        <v>000000000000</v>
      </c>
      <c r="AM211" t="str">
        <f t="shared" si="34"/>
        <v xml:space="preserve">                              </v>
      </c>
      <c r="AP211" t="str">
        <f t="shared" si="35"/>
        <v/>
      </c>
    </row>
    <row r="212" spans="2:42" x14ac:dyDescent="0.2">
      <c r="B212" s="88"/>
      <c r="C212" s="80"/>
      <c r="D212" s="74"/>
      <c r="AF212" t="str">
        <f t="shared" si="36"/>
        <v>00000000</v>
      </c>
      <c r="AG212" s="81">
        <f t="shared" si="37"/>
        <v>0</v>
      </c>
      <c r="AH212" s="81">
        <f t="shared" si="38"/>
        <v>0</v>
      </c>
      <c r="AI212" t="str">
        <f t="shared" si="39"/>
        <v>0000000000</v>
      </c>
      <c r="AJ212" t="str">
        <f t="shared" si="40"/>
        <v>.00</v>
      </c>
      <c r="AK212" t="str">
        <f t="shared" si="41"/>
        <v>00</v>
      </c>
      <c r="AL212" t="str">
        <f t="shared" si="42"/>
        <v>000000000000</v>
      </c>
      <c r="AM212" t="str">
        <f t="shared" si="34"/>
        <v xml:space="preserve">                              </v>
      </c>
      <c r="AP212" t="str">
        <f t="shared" si="35"/>
        <v/>
      </c>
    </row>
    <row r="213" spans="2:42" x14ac:dyDescent="0.2">
      <c r="B213" s="88"/>
      <c r="C213" s="80"/>
      <c r="D213" s="74"/>
      <c r="AF213" t="str">
        <f t="shared" si="36"/>
        <v>00000000</v>
      </c>
      <c r="AG213" s="81">
        <f t="shared" si="37"/>
        <v>0</v>
      </c>
      <c r="AH213" s="81">
        <f t="shared" si="38"/>
        <v>0</v>
      </c>
      <c r="AI213" t="str">
        <f t="shared" si="39"/>
        <v>0000000000</v>
      </c>
      <c r="AJ213" t="str">
        <f t="shared" si="40"/>
        <v>.00</v>
      </c>
      <c r="AK213" t="str">
        <f t="shared" si="41"/>
        <v>00</v>
      </c>
      <c r="AL213" t="str">
        <f t="shared" si="42"/>
        <v>000000000000</v>
      </c>
      <c r="AM213" t="str">
        <f t="shared" si="34"/>
        <v xml:space="preserve">                              </v>
      </c>
      <c r="AP213" t="str">
        <f t="shared" si="35"/>
        <v/>
      </c>
    </row>
    <row r="214" spans="2:42" x14ac:dyDescent="0.2">
      <c r="B214" s="88"/>
      <c r="C214" s="80"/>
      <c r="D214" s="74"/>
      <c r="AF214" t="str">
        <f t="shared" si="36"/>
        <v>00000000</v>
      </c>
      <c r="AG214" s="81">
        <f t="shared" si="37"/>
        <v>0</v>
      </c>
      <c r="AH214" s="81">
        <f t="shared" si="38"/>
        <v>0</v>
      </c>
      <c r="AI214" t="str">
        <f t="shared" si="39"/>
        <v>0000000000</v>
      </c>
      <c r="AJ214" t="str">
        <f t="shared" si="40"/>
        <v>.00</v>
      </c>
      <c r="AK214" t="str">
        <f t="shared" si="41"/>
        <v>00</v>
      </c>
      <c r="AL214" t="str">
        <f t="shared" si="42"/>
        <v>000000000000</v>
      </c>
      <c r="AM214" t="str">
        <f t="shared" si="34"/>
        <v xml:space="preserve">                              </v>
      </c>
      <c r="AP214" t="str">
        <f t="shared" si="35"/>
        <v/>
      </c>
    </row>
    <row r="215" spans="2:42" x14ac:dyDescent="0.2">
      <c r="B215" s="88"/>
      <c r="C215" s="80"/>
      <c r="D215" s="74"/>
      <c r="AF215" t="str">
        <f t="shared" si="36"/>
        <v>00000000</v>
      </c>
      <c r="AG215" s="81">
        <f t="shared" si="37"/>
        <v>0</v>
      </c>
      <c r="AH215" s="81">
        <f t="shared" si="38"/>
        <v>0</v>
      </c>
      <c r="AI215" t="str">
        <f t="shared" si="39"/>
        <v>0000000000</v>
      </c>
      <c r="AJ215" t="str">
        <f t="shared" si="40"/>
        <v>.00</v>
      </c>
      <c r="AK215" t="str">
        <f t="shared" si="41"/>
        <v>00</v>
      </c>
      <c r="AL215" t="str">
        <f t="shared" si="42"/>
        <v>000000000000</v>
      </c>
      <c r="AM215" t="str">
        <f t="shared" si="34"/>
        <v xml:space="preserve">                              </v>
      </c>
      <c r="AP215" t="str">
        <f t="shared" si="35"/>
        <v/>
      </c>
    </row>
    <row r="216" spans="2:42" x14ac:dyDescent="0.2">
      <c r="B216" s="88"/>
      <c r="C216" s="80"/>
      <c r="D216" s="74"/>
      <c r="AF216" t="str">
        <f t="shared" si="36"/>
        <v>00000000</v>
      </c>
      <c r="AG216" s="81">
        <f t="shared" si="37"/>
        <v>0</v>
      </c>
      <c r="AH216" s="81">
        <f t="shared" si="38"/>
        <v>0</v>
      </c>
      <c r="AI216" t="str">
        <f t="shared" si="39"/>
        <v>0000000000</v>
      </c>
      <c r="AJ216" t="str">
        <f t="shared" si="40"/>
        <v>.00</v>
      </c>
      <c r="AK216" t="str">
        <f t="shared" si="41"/>
        <v>00</v>
      </c>
      <c r="AL216" t="str">
        <f t="shared" si="42"/>
        <v>000000000000</v>
      </c>
      <c r="AM216" t="str">
        <f t="shared" si="34"/>
        <v xml:space="preserve">                              </v>
      </c>
      <c r="AP216" t="str">
        <f t="shared" si="35"/>
        <v/>
      </c>
    </row>
    <row r="217" spans="2:42" x14ac:dyDescent="0.2">
      <c r="B217" s="88"/>
      <c r="C217" s="80"/>
      <c r="D217" s="74"/>
      <c r="AF217" t="str">
        <f t="shared" si="36"/>
        <v>00000000</v>
      </c>
      <c r="AG217" s="81">
        <f t="shared" si="37"/>
        <v>0</v>
      </c>
      <c r="AH217" s="81">
        <f t="shared" si="38"/>
        <v>0</v>
      </c>
      <c r="AI217" t="str">
        <f t="shared" si="39"/>
        <v>0000000000</v>
      </c>
      <c r="AJ217" t="str">
        <f t="shared" si="40"/>
        <v>.00</v>
      </c>
      <c r="AK217" t="str">
        <f t="shared" si="41"/>
        <v>00</v>
      </c>
      <c r="AL217" t="str">
        <f t="shared" si="42"/>
        <v>000000000000</v>
      </c>
      <c r="AM217" t="str">
        <f t="shared" si="34"/>
        <v xml:space="preserve">                              </v>
      </c>
      <c r="AP217" t="str">
        <f t="shared" si="35"/>
        <v/>
      </c>
    </row>
    <row r="218" spans="2:42" x14ac:dyDescent="0.2">
      <c r="B218" s="88"/>
      <c r="C218" s="80"/>
      <c r="D218" s="74"/>
      <c r="AF218" t="str">
        <f t="shared" si="36"/>
        <v>00000000</v>
      </c>
      <c r="AG218" s="81">
        <f t="shared" si="37"/>
        <v>0</v>
      </c>
      <c r="AH218" s="81">
        <f t="shared" si="38"/>
        <v>0</v>
      </c>
      <c r="AI218" t="str">
        <f t="shared" si="39"/>
        <v>0000000000</v>
      </c>
      <c r="AJ218" t="str">
        <f t="shared" si="40"/>
        <v>.00</v>
      </c>
      <c r="AK218" t="str">
        <f t="shared" si="41"/>
        <v>00</v>
      </c>
      <c r="AL218" t="str">
        <f t="shared" si="42"/>
        <v>000000000000</v>
      </c>
      <c r="AM218" t="str">
        <f t="shared" si="34"/>
        <v xml:space="preserve">                              </v>
      </c>
      <c r="AP218" t="str">
        <f t="shared" si="35"/>
        <v/>
      </c>
    </row>
    <row r="219" spans="2:42" x14ac:dyDescent="0.2">
      <c r="B219" s="88"/>
      <c r="C219" s="80"/>
      <c r="D219" s="74"/>
      <c r="AF219" t="str">
        <f t="shared" si="36"/>
        <v>00000000</v>
      </c>
      <c r="AG219" s="81">
        <f t="shared" si="37"/>
        <v>0</v>
      </c>
      <c r="AH219" s="81">
        <f t="shared" si="38"/>
        <v>0</v>
      </c>
      <c r="AI219" t="str">
        <f t="shared" si="39"/>
        <v>0000000000</v>
      </c>
      <c r="AJ219" t="str">
        <f t="shared" si="40"/>
        <v>.00</v>
      </c>
      <c r="AK219" t="str">
        <f t="shared" si="41"/>
        <v>00</v>
      </c>
      <c r="AL219" t="str">
        <f t="shared" si="42"/>
        <v>000000000000</v>
      </c>
      <c r="AM219" t="str">
        <f t="shared" si="34"/>
        <v xml:space="preserve">                              </v>
      </c>
      <c r="AP219" t="str">
        <f t="shared" si="35"/>
        <v/>
      </c>
    </row>
    <row r="220" spans="2:42" x14ac:dyDescent="0.2">
      <c r="B220" s="88"/>
      <c r="C220" s="80"/>
      <c r="D220" s="74"/>
      <c r="AF220" t="str">
        <f t="shared" si="36"/>
        <v>00000000</v>
      </c>
      <c r="AG220" s="81">
        <f t="shared" si="37"/>
        <v>0</v>
      </c>
      <c r="AH220" s="81">
        <f t="shared" si="38"/>
        <v>0</v>
      </c>
      <c r="AI220" t="str">
        <f t="shared" si="39"/>
        <v>0000000000</v>
      </c>
      <c r="AJ220" t="str">
        <f t="shared" si="40"/>
        <v>.00</v>
      </c>
      <c r="AK220" t="str">
        <f t="shared" si="41"/>
        <v>00</v>
      </c>
      <c r="AL220" t="str">
        <f t="shared" si="42"/>
        <v>000000000000</v>
      </c>
      <c r="AM220" t="str">
        <f t="shared" si="34"/>
        <v xml:space="preserve">                              </v>
      </c>
      <c r="AP220" t="str">
        <f t="shared" si="35"/>
        <v/>
      </c>
    </row>
    <row r="221" spans="2:42" x14ac:dyDescent="0.2">
      <c r="B221" s="88"/>
      <c r="C221" s="80"/>
      <c r="D221" s="74"/>
      <c r="AF221" t="str">
        <f t="shared" si="36"/>
        <v>00000000</v>
      </c>
      <c r="AG221" s="81">
        <f t="shared" si="37"/>
        <v>0</v>
      </c>
      <c r="AH221" s="81">
        <f t="shared" si="38"/>
        <v>0</v>
      </c>
      <c r="AI221" t="str">
        <f t="shared" si="39"/>
        <v>0000000000</v>
      </c>
      <c r="AJ221" t="str">
        <f t="shared" si="40"/>
        <v>.00</v>
      </c>
      <c r="AK221" t="str">
        <f t="shared" si="41"/>
        <v>00</v>
      </c>
      <c r="AL221" t="str">
        <f t="shared" si="42"/>
        <v>000000000000</v>
      </c>
      <c r="AM221" t="str">
        <f t="shared" si="34"/>
        <v xml:space="preserve">                              </v>
      </c>
      <c r="AP221" t="str">
        <f t="shared" si="35"/>
        <v/>
      </c>
    </row>
    <row r="222" spans="2:42" x14ac:dyDescent="0.2">
      <c r="B222" s="88"/>
      <c r="C222" s="80"/>
      <c r="D222" s="74"/>
      <c r="AF222" t="str">
        <f t="shared" si="36"/>
        <v>00000000</v>
      </c>
      <c r="AG222" s="81">
        <f t="shared" si="37"/>
        <v>0</v>
      </c>
      <c r="AH222" s="81">
        <f t="shared" si="38"/>
        <v>0</v>
      </c>
      <c r="AI222" t="str">
        <f t="shared" si="39"/>
        <v>0000000000</v>
      </c>
      <c r="AJ222" t="str">
        <f t="shared" si="40"/>
        <v>.00</v>
      </c>
      <c r="AK222" t="str">
        <f t="shared" si="41"/>
        <v>00</v>
      </c>
      <c r="AL222" t="str">
        <f t="shared" si="42"/>
        <v>000000000000</v>
      </c>
      <c r="AM222" t="str">
        <f t="shared" si="34"/>
        <v xml:space="preserve">                              </v>
      </c>
      <c r="AP222" t="str">
        <f t="shared" si="35"/>
        <v/>
      </c>
    </row>
    <row r="223" spans="2:42" x14ac:dyDescent="0.2">
      <c r="B223" s="88"/>
      <c r="C223" s="80"/>
      <c r="D223" s="74"/>
      <c r="AF223" t="str">
        <f t="shared" si="36"/>
        <v>00000000</v>
      </c>
      <c r="AG223" s="81">
        <f t="shared" si="37"/>
        <v>0</v>
      </c>
      <c r="AH223" s="81">
        <f t="shared" si="38"/>
        <v>0</v>
      </c>
      <c r="AI223" t="str">
        <f t="shared" si="39"/>
        <v>0000000000</v>
      </c>
      <c r="AJ223" t="str">
        <f t="shared" si="40"/>
        <v>.00</v>
      </c>
      <c r="AK223" t="str">
        <f t="shared" si="41"/>
        <v>00</v>
      </c>
      <c r="AL223" t="str">
        <f t="shared" si="42"/>
        <v>000000000000</v>
      </c>
      <c r="AM223" t="str">
        <f t="shared" si="34"/>
        <v xml:space="preserve">                              </v>
      </c>
      <c r="AP223" t="str">
        <f t="shared" si="35"/>
        <v/>
      </c>
    </row>
    <row r="224" spans="2:42" x14ac:dyDescent="0.2">
      <c r="B224" s="88"/>
      <c r="C224" s="80"/>
      <c r="D224" s="74"/>
      <c r="AF224" t="str">
        <f t="shared" si="36"/>
        <v>00000000</v>
      </c>
      <c r="AG224" s="81">
        <f t="shared" si="37"/>
        <v>0</v>
      </c>
      <c r="AH224" s="81">
        <f t="shared" si="38"/>
        <v>0</v>
      </c>
      <c r="AI224" t="str">
        <f t="shared" si="39"/>
        <v>0000000000</v>
      </c>
      <c r="AJ224" t="str">
        <f t="shared" si="40"/>
        <v>.00</v>
      </c>
      <c r="AK224" t="str">
        <f t="shared" si="41"/>
        <v>00</v>
      </c>
      <c r="AL224" t="str">
        <f t="shared" si="42"/>
        <v>000000000000</v>
      </c>
      <c r="AM224" t="str">
        <f t="shared" si="34"/>
        <v xml:space="preserve">                              </v>
      </c>
      <c r="AP224" t="str">
        <f t="shared" si="35"/>
        <v/>
      </c>
    </row>
    <row r="225" spans="2:42" x14ac:dyDescent="0.2">
      <c r="B225" s="88"/>
      <c r="C225" s="80"/>
      <c r="D225" s="74"/>
      <c r="AF225" t="str">
        <f t="shared" si="36"/>
        <v>00000000</v>
      </c>
      <c r="AG225" s="81">
        <f t="shared" si="37"/>
        <v>0</v>
      </c>
      <c r="AH225" s="81">
        <f t="shared" si="38"/>
        <v>0</v>
      </c>
      <c r="AI225" t="str">
        <f t="shared" si="39"/>
        <v>0000000000</v>
      </c>
      <c r="AJ225" t="str">
        <f t="shared" si="40"/>
        <v>.00</v>
      </c>
      <c r="AK225" t="str">
        <f t="shared" si="41"/>
        <v>00</v>
      </c>
      <c r="AL225" t="str">
        <f t="shared" si="42"/>
        <v>000000000000</v>
      </c>
      <c r="AM225" t="str">
        <f t="shared" si="34"/>
        <v xml:space="preserve">                              </v>
      </c>
      <c r="AP225" t="str">
        <f t="shared" si="35"/>
        <v/>
      </c>
    </row>
    <row r="226" spans="2:42" x14ac:dyDescent="0.2">
      <c r="B226" s="88"/>
      <c r="C226" s="80"/>
      <c r="D226" s="74"/>
      <c r="AF226" t="str">
        <f t="shared" si="36"/>
        <v>00000000</v>
      </c>
      <c r="AG226" s="81">
        <f t="shared" si="37"/>
        <v>0</v>
      </c>
      <c r="AH226" s="81">
        <f t="shared" si="38"/>
        <v>0</v>
      </c>
      <c r="AI226" t="str">
        <f t="shared" si="39"/>
        <v>0000000000</v>
      </c>
      <c r="AJ226" t="str">
        <f t="shared" si="40"/>
        <v>.00</v>
      </c>
      <c r="AK226" t="str">
        <f t="shared" si="41"/>
        <v>00</v>
      </c>
      <c r="AL226" t="str">
        <f t="shared" si="42"/>
        <v>000000000000</v>
      </c>
      <c r="AM226" t="str">
        <f t="shared" si="34"/>
        <v xml:space="preserve">                              </v>
      </c>
      <c r="AP226" t="str">
        <f t="shared" si="35"/>
        <v/>
      </c>
    </row>
    <row r="227" spans="2:42" x14ac:dyDescent="0.2">
      <c r="B227" s="88"/>
      <c r="C227" s="80"/>
      <c r="D227" s="74"/>
      <c r="AF227" t="str">
        <f t="shared" si="36"/>
        <v>00000000</v>
      </c>
      <c r="AG227" s="81">
        <f t="shared" si="37"/>
        <v>0</v>
      </c>
      <c r="AH227" s="81">
        <f t="shared" si="38"/>
        <v>0</v>
      </c>
      <c r="AI227" t="str">
        <f t="shared" si="39"/>
        <v>0000000000</v>
      </c>
      <c r="AJ227" t="str">
        <f t="shared" si="40"/>
        <v>.00</v>
      </c>
      <c r="AK227" t="str">
        <f t="shared" si="41"/>
        <v>00</v>
      </c>
      <c r="AL227" t="str">
        <f t="shared" si="42"/>
        <v>000000000000</v>
      </c>
      <c r="AM227" t="str">
        <f t="shared" si="34"/>
        <v xml:space="preserve">                              </v>
      </c>
      <c r="AP227" t="str">
        <f t="shared" si="35"/>
        <v/>
      </c>
    </row>
    <row r="228" spans="2:42" x14ac:dyDescent="0.2">
      <c r="B228" s="88"/>
      <c r="C228" s="80"/>
      <c r="D228" s="74"/>
      <c r="AF228" t="str">
        <f t="shared" si="36"/>
        <v>00000000</v>
      </c>
      <c r="AG228" s="81">
        <f t="shared" si="37"/>
        <v>0</v>
      </c>
      <c r="AH228" s="81">
        <f t="shared" si="38"/>
        <v>0</v>
      </c>
      <c r="AI228" t="str">
        <f t="shared" si="39"/>
        <v>0000000000</v>
      </c>
      <c r="AJ228" t="str">
        <f t="shared" si="40"/>
        <v>.00</v>
      </c>
      <c r="AK228" t="str">
        <f t="shared" si="41"/>
        <v>00</v>
      </c>
      <c r="AL228" t="str">
        <f t="shared" si="42"/>
        <v>000000000000</v>
      </c>
      <c r="AM228" t="str">
        <f t="shared" si="34"/>
        <v xml:space="preserve">                              </v>
      </c>
      <c r="AP228" t="str">
        <f t="shared" si="35"/>
        <v/>
      </c>
    </row>
    <row r="229" spans="2:42" x14ac:dyDescent="0.2">
      <c r="B229" s="88"/>
      <c r="C229" s="80"/>
      <c r="D229" s="74"/>
      <c r="AF229" t="str">
        <f t="shared" si="36"/>
        <v>00000000</v>
      </c>
      <c r="AG229" s="81">
        <f t="shared" si="37"/>
        <v>0</v>
      </c>
      <c r="AH229" s="81">
        <f t="shared" si="38"/>
        <v>0</v>
      </c>
      <c r="AI229" t="str">
        <f t="shared" si="39"/>
        <v>0000000000</v>
      </c>
      <c r="AJ229" t="str">
        <f t="shared" si="40"/>
        <v>.00</v>
      </c>
      <c r="AK229" t="str">
        <f t="shared" si="41"/>
        <v>00</v>
      </c>
      <c r="AL229" t="str">
        <f t="shared" si="42"/>
        <v>000000000000</v>
      </c>
      <c r="AM229" t="str">
        <f t="shared" si="34"/>
        <v xml:space="preserve">                              </v>
      </c>
      <c r="AP229" t="str">
        <f t="shared" si="35"/>
        <v/>
      </c>
    </row>
    <row r="230" spans="2:42" x14ac:dyDescent="0.2">
      <c r="B230" s="88"/>
      <c r="C230" s="80"/>
      <c r="D230" s="74"/>
      <c r="AF230" t="str">
        <f t="shared" si="36"/>
        <v>00000000</v>
      </c>
      <c r="AG230" s="81">
        <f t="shared" si="37"/>
        <v>0</v>
      </c>
      <c r="AH230" s="81">
        <f t="shared" si="38"/>
        <v>0</v>
      </c>
      <c r="AI230" t="str">
        <f t="shared" si="39"/>
        <v>0000000000</v>
      </c>
      <c r="AJ230" t="str">
        <f t="shared" si="40"/>
        <v>.00</v>
      </c>
      <c r="AK230" t="str">
        <f t="shared" si="41"/>
        <v>00</v>
      </c>
      <c r="AL230" t="str">
        <f t="shared" si="42"/>
        <v>000000000000</v>
      </c>
      <c r="AM230" t="str">
        <f t="shared" si="34"/>
        <v xml:space="preserve">                              </v>
      </c>
      <c r="AP230" t="str">
        <f t="shared" si="35"/>
        <v/>
      </c>
    </row>
    <row r="231" spans="2:42" x14ac:dyDescent="0.2">
      <c r="B231" s="88"/>
      <c r="C231" s="80"/>
      <c r="D231" s="74"/>
      <c r="AF231" t="str">
        <f t="shared" si="36"/>
        <v>00000000</v>
      </c>
      <c r="AG231" s="81">
        <f t="shared" si="37"/>
        <v>0</v>
      </c>
      <c r="AH231" s="81">
        <f t="shared" si="38"/>
        <v>0</v>
      </c>
      <c r="AI231" t="str">
        <f t="shared" si="39"/>
        <v>0000000000</v>
      </c>
      <c r="AJ231" t="str">
        <f t="shared" si="40"/>
        <v>.00</v>
      </c>
      <c r="AK231" t="str">
        <f t="shared" si="41"/>
        <v>00</v>
      </c>
      <c r="AL231" t="str">
        <f t="shared" si="42"/>
        <v>000000000000</v>
      </c>
      <c r="AM231" t="str">
        <f t="shared" si="34"/>
        <v xml:space="preserve">                              </v>
      </c>
      <c r="AP231" t="str">
        <f t="shared" si="35"/>
        <v/>
      </c>
    </row>
    <row r="232" spans="2:42" x14ac:dyDescent="0.2">
      <c r="B232" s="88"/>
      <c r="C232" s="80"/>
      <c r="D232" s="74"/>
      <c r="AF232" t="str">
        <f t="shared" si="36"/>
        <v>00000000</v>
      </c>
      <c r="AG232" s="81">
        <f t="shared" si="37"/>
        <v>0</v>
      </c>
      <c r="AH232" s="81">
        <f t="shared" si="38"/>
        <v>0</v>
      </c>
      <c r="AI232" t="str">
        <f t="shared" si="39"/>
        <v>0000000000</v>
      </c>
      <c r="AJ232" t="str">
        <f t="shared" si="40"/>
        <v>.00</v>
      </c>
      <c r="AK232" t="str">
        <f t="shared" si="41"/>
        <v>00</v>
      </c>
      <c r="AL232" t="str">
        <f t="shared" si="42"/>
        <v>000000000000</v>
      </c>
      <c r="AM232" t="str">
        <f t="shared" si="34"/>
        <v xml:space="preserve">                              </v>
      </c>
      <c r="AP232" t="str">
        <f t="shared" si="35"/>
        <v/>
      </c>
    </row>
    <row r="233" spans="2:42" x14ac:dyDescent="0.2">
      <c r="B233" s="88"/>
      <c r="C233" s="80"/>
      <c r="D233" s="74"/>
      <c r="AF233" t="str">
        <f t="shared" si="36"/>
        <v>00000000</v>
      </c>
      <c r="AG233" s="81">
        <f t="shared" si="37"/>
        <v>0</v>
      </c>
      <c r="AH233" s="81">
        <f t="shared" si="38"/>
        <v>0</v>
      </c>
      <c r="AI233" t="str">
        <f t="shared" si="39"/>
        <v>0000000000</v>
      </c>
      <c r="AJ233" t="str">
        <f t="shared" si="40"/>
        <v>.00</v>
      </c>
      <c r="AK233" t="str">
        <f t="shared" si="41"/>
        <v>00</v>
      </c>
      <c r="AL233" t="str">
        <f t="shared" si="42"/>
        <v>000000000000</v>
      </c>
      <c r="AM233" t="str">
        <f t="shared" si="34"/>
        <v xml:space="preserve">                              </v>
      </c>
      <c r="AP233" t="str">
        <f t="shared" si="35"/>
        <v/>
      </c>
    </row>
    <row r="234" spans="2:42" x14ac:dyDescent="0.2">
      <c r="B234" s="88"/>
      <c r="C234" s="80"/>
      <c r="D234" s="74"/>
      <c r="AF234" t="str">
        <f t="shared" si="36"/>
        <v>00000000</v>
      </c>
      <c r="AG234" s="81">
        <f t="shared" si="37"/>
        <v>0</v>
      </c>
      <c r="AH234" s="81">
        <f t="shared" si="38"/>
        <v>0</v>
      </c>
      <c r="AI234" t="str">
        <f t="shared" si="39"/>
        <v>0000000000</v>
      </c>
      <c r="AJ234" t="str">
        <f t="shared" si="40"/>
        <v>.00</v>
      </c>
      <c r="AK234" t="str">
        <f t="shared" si="41"/>
        <v>00</v>
      </c>
      <c r="AL234" t="str">
        <f t="shared" si="42"/>
        <v>000000000000</v>
      </c>
      <c r="AM234" t="str">
        <f t="shared" si="34"/>
        <v xml:space="preserve">                              </v>
      </c>
      <c r="AP234" t="str">
        <f t="shared" si="35"/>
        <v/>
      </c>
    </row>
    <row r="235" spans="2:42" x14ac:dyDescent="0.2">
      <c r="B235" s="88"/>
      <c r="C235" s="80"/>
      <c r="D235" s="74"/>
      <c r="AF235" t="str">
        <f t="shared" si="36"/>
        <v>00000000</v>
      </c>
      <c r="AG235" s="81">
        <f t="shared" si="37"/>
        <v>0</v>
      </c>
      <c r="AH235" s="81">
        <f t="shared" si="38"/>
        <v>0</v>
      </c>
      <c r="AI235" t="str">
        <f t="shared" si="39"/>
        <v>0000000000</v>
      </c>
      <c r="AJ235" t="str">
        <f t="shared" si="40"/>
        <v>.00</v>
      </c>
      <c r="AK235" t="str">
        <f t="shared" si="41"/>
        <v>00</v>
      </c>
      <c r="AL235" t="str">
        <f t="shared" si="42"/>
        <v>000000000000</v>
      </c>
      <c r="AM235" t="str">
        <f t="shared" si="34"/>
        <v xml:space="preserve">                              </v>
      </c>
      <c r="AP235" t="str">
        <f t="shared" si="35"/>
        <v/>
      </c>
    </row>
    <row r="236" spans="2:42" x14ac:dyDescent="0.2">
      <c r="B236" s="88"/>
      <c r="C236" s="80"/>
      <c r="D236" s="74"/>
      <c r="AF236" t="str">
        <f t="shared" si="36"/>
        <v>00000000</v>
      </c>
      <c r="AG236" s="81">
        <f t="shared" si="37"/>
        <v>0</v>
      </c>
      <c r="AH236" s="81">
        <f t="shared" si="38"/>
        <v>0</v>
      </c>
      <c r="AI236" t="str">
        <f t="shared" si="39"/>
        <v>0000000000</v>
      </c>
      <c r="AJ236" t="str">
        <f t="shared" si="40"/>
        <v>.00</v>
      </c>
      <c r="AK236" t="str">
        <f t="shared" si="41"/>
        <v>00</v>
      </c>
      <c r="AL236" t="str">
        <f t="shared" si="42"/>
        <v>000000000000</v>
      </c>
      <c r="AM236" t="str">
        <f t="shared" si="34"/>
        <v xml:space="preserve">                              </v>
      </c>
      <c r="AP236" t="str">
        <f t="shared" si="35"/>
        <v/>
      </c>
    </row>
    <row r="237" spans="2:42" x14ac:dyDescent="0.2">
      <c r="B237" s="88"/>
      <c r="C237" s="80"/>
      <c r="D237" s="74"/>
      <c r="AF237" t="str">
        <f t="shared" si="36"/>
        <v>00000000</v>
      </c>
      <c r="AG237" s="81">
        <f t="shared" si="37"/>
        <v>0</v>
      </c>
      <c r="AH237" s="81">
        <f t="shared" si="38"/>
        <v>0</v>
      </c>
      <c r="AI237" t="str">
        <f t="shared" si="39"/>
        <v>0000000000</v>
      </c>
      <c r="AJ237" t="str">
        <f t="shared" si="40"/>
        <v>.00</v>
      </c>
      <c r="AK237" t="str">
        <f t="shared" si="41"/>
        <v>00</v>
      </c>
      <c r="AL237" t="str">
        <f t="shared" si="42"/>
        <v>000000000000</v>
      </c>
      <c r="AM237" t="str">
        <f t="shared" si="34"/>
        <v xml:space="preserve">                              </v>
      </c>
      <c r="AP237" t="str">
        <f t="shared" si="35"/>
        <v/>
      </c>
    </row>
    <row r="238" spans="2:42" x14ac:dyDescent="0.2">
      <c r="B238" s="88"/>
      <c r="C238" s="80"/>
      <c r="D238" s="74"/>
      <c r="AF238" t="str">
        <f t="shared" si="36"/>
        <v>00000000</v>
      </c>
      <c r="AG238" s="81">
        <f t="shared" si="37"/>
        <v>0</v>
      </c>
      <c r="AH238" s="81">
        <f t="shared" si="38"/>
        <v>0</v>
      </c>
      <c r="AI238" t="str">
        <f t="shared" si="39"/>
        <v>0000000000</v>
      </c>
      <c r="AJ238" t="str">
        <f t="shared" si="40"/>
        <v>.00</v>
      </c>
      <c r="AK238" t="str">
        <f t="shared" si="41"/>
        <v>00</v>
      </c>
      <c r="AL238" t="str">
        <f t="shared" si="42"/>
        <v>000000000000</v>
      </c>
      <c r="AM238" t="str">
        <f t="shared" si="34"/>
        <v xml:space="preserve">                              </v>
      </c>
      <c r="AP238" t="str">
        <f t="shared" si="35"/>
        <v/>
      </c>
    </row>
    <row r="239" spans="2:42" x14ac:dyDescent="0.2">
      <c r="B239" s="88"/>
      <c r="C239" s="80"/>
      <c r="D239" s="74"/>
      <c r="AF239" t="str">
        <f t="shared" si="36"/>
        <v>00000000</v>
      </c>
      <c r="AG239" s="81">
        <f t="shared" si="37"/>
        <v>0</v>
      </c>
      <c r="AH239" s="81">
        <f t="shared" si="38"/>
        <v>0</v>
      </c>
      <c r="AI239" t="str">
        <f t="shared" si="39"/>
        <v>0000000000</v>
      </c>
      <c r="AJ239" t="str">
        <f t="shared" si="40"/>
        <v>.00</v>
      </c>
      <c r="AK239" t="str">
        <f t="shared" si="41"/>
        <v>00</v>
      </c>
      <c r="AL239" t="str">
        <f t="shared" si="42"/>
        <v>000000000000</v>
      </c>
      <c r="AM239" t="str">
        <f t="shared" si="34"/>
        <v xml:space="preserve">                              </v>
      </c>
      <c r="AP239" t="str">
        <f t="shared" si="35"/>
        <v/>
      </c>
    </row>
    <row r="240" spans="2:42" x14ac:dyDescent="0.2">
      <c r="B240" s="88"/>
      <c r="C240" s="80"/>
      <c r="D240" s="74"/>
      <c r="AF240" t="str">
        <f t="shared" si="36"/>
        <v>00000000</v>
      </c>
      <c r="AG240" s="81">
        <f t="shared" si="37"/>
        <v>0</v>
      </c>
      <c r="AH240" s="81">
        <f t="shared" si="38"/>
        <v>0</v>
      </c>
      <c r="AI240" t="str">
        <f t="shared" si="39"/>
        <v>0000000000</v>
      </c>
      <c r="AJ240" t="str">
        <f t="shared" si="40"/>
        <v>.00</v>
      </c>
      <c r="AK240" t="str">
        <f t="shared" si="41"/>
        <v>00</v>
      </c>
      <c r="AL240" t="str">
        <f t="shared" si="42"/>
        <v>000000000000</v>
      </c>
      <c r="AM240" t="str">
        <f t="shared" si="34"/>
        <v xml:space="preserve">                              </v>
      </c>
      <c r="AP240" t="str">
        <f t="shared" si="35"/>
        <v/>
      </c>
    </row>
    <row r="241" spans="2:42" x14ac:dyDescent="0.2">
      <c r="B241" s="88"/>
      <c r="C241" s="80"/>
      <c r="D241" s="74"/>
      <c r="AF241" t="str">
        <f t="shared" si="36"/>
        <v>00000000</v>
      </c>
      <c r="AG241" s="81">
        <f t="shared" si="37"/>
        <v>0</v>
      </c>
      <c r="AH241" s="81">
        <f t="shared" si="38"/>
        <v>0</v>
      </c>
      <c r="AI241" t="str">
        <f t="shared" si="39"/>
        <v>0000000000</v>
      </c>
      <c r="AJ241" t="str">
        <f t="shared" si="40"/>
        <v>.00</v>
      </c>
      <c r="AK241" t="str">
        <f t="shared" si="41"/>
        <v>00</v>
      </c>
      <c r="AL241" t="str">
        <f t="shared" si="42"/>
        <v>000000000000</v>
      </c>
      <c r="AM241" t="str">
        <f t="shared" si="34"/>
        <v xml:space="preserve">                              </v>
      </c>
      <c r="AP241" t="str">
        <f t="shared" si="35"/>
        <v/>
      </c>
    </row>
    <row r="242" spans="2:42" x14ac:dyDescent="0.2">
      <c r="B242" s="88"/>
      <c r="C242" s="80"/>
      <c r="D242" s="74"/>
      <c r="AF242" t="str">
        <f t="shared" si="36"/>
        <v>00000000</v>
      </c>
      <c r="AG242" s="81">
        <f t="shared" si="37"/>
        <v>0</v>
      </c>
      <c r="AH242" s="81">
        <f t="shared" si="38"/>
        <v>0</v>
      </c>
      <c r="AI242" t="str">
        <f t="shared" si="39"/>
        <v>0000000000</v>
      </c>
      <c r="AJ242" t="str">
        <f t="shared" si="40"/>
        <v>.00</v>
      </c>
      <c r="AK242" t="str">
        <f t="shared" si="41"/>
        <v>00</v>
      </c>
      <c r="AL242" t="str">
        <f t="shared" si="42"/>
        <v>000000000000</v>
      </c>
      <c r="AM242" t="str">
        <f t="shared" si="34"/>
        <v xml:space="preserve">                              </v>
      </c>
      <c r="AP242" t="str">
        <f t="shared" si="35"/>
        <v/>
      </c>
    </row>
    <row r="243" spans="2:42" x14ac:dyDescent="0.2">
      <c r="B243" s="88"/>
      <c r="C243" s="80"/>
      <c r="D243" s="74"/>
      <c r="AF243" t="str">
        <f t="shared" si="36"/>
        <v>00000000</v>
      </c>
      <c r="AG243" s="81">
        <f t="shared" si="37"/>
        <v>0</v>
      </c>
      <c r="AH243" s="81">
        <f t="shared" si="38"/>
        <v>0</v>
      </c>
      <c r="AI243" t="str">
        <f t="shared" si="39"/>
        <v>0000000000</v>
      </c>
      <c r="AJ243" t="str">
        <f t="shared" si="40"/>
        <v>.00</v>
      </c>
      <c r="AK243" t="str">
        <f t="shared" si="41"/>
        <v>00</v>
      </c>
      <c r="AL243" t="str">
        <f t="shared" si="42"/>
        <v>000000000000</v>
      </c>
      <c r="AM243" t="str">
        <f t="shared" si="34"/>
        <v xml:space="preserve">                              </v>
      </c>
      <c r="AP243" t="str">
        <f t="shared" si="35"/>
        <v/>
      </c>
    </row>
    <row r="244" spans="2:42" x14ac:dyDescent="0.2">
      <c r="B244" s="88"/>
      <c r="C244" s="80"/>
      <c r="D244" s="74"/>
      <c r="AF244" t="str">
        <f t="shared" si="36"/>
        <v>00000000</v>
      </c>
      <c r="AG244" s="81">
        <f t="shared" si="37"/>
        <v>0</v>
      </c>
      <c r="AH244" s="81">
        <f t="shared" si="38"/>
        <v>0</v>
      </c>
      <c r="AI244" t="str">
        <f t="shared" si="39"/>
        <v>0000000000</v>
      </c>
      <c r="AJ244" t="str">
        <f t="shared" si="40"/>
        <v>.00</v>
      </c>
      <c r="AK244" t="str">
        <f t="shared" si="41"/>
        <v>00</v>
      </c>
      <c r="AL244" t="str">
        <f t="shared" si="42"/>
        <v>000000000000</v>
      </c>
      <c r="AM244" t="str">
        <f t="shared" si="34"/>
        <v xml:space="preserve">                              </v>
      </c>
      <c r="AP244" t="str">
        <f t="shared" si="35"/>
        <v/>
      </c>
    </row>
    <row r="245" spans="2:42" x14ac:dyDescent="0.2">
      <c r="B245" s="88"/>
      <c r="C245" s="80"/>
      <c r="D245" s="74"/>
      <c r="AF245" t="str">
        <f t="shared" si="36"/>
        <v>00000000</v>
      </c>
      <c r="AG245" s="81">
        <f t="shared" si="37"/>
        <v>0</v>
      </c>
      <c r="AH245" s="81">
        <f t="shared" si="38"/>
        <v>0</v>
      </c>
      <c r="AI245" t="str">
        <f t="shared" si="39"/>
        <v>0000000000</v>
      </c>
      <c r="AJ245" t="str">
        <f t="shared" si="40"/>
        <v>.00</v>
      </c>
      <c r="AK245" t="str">
        <f t="shared" si="41"/>
        <v>00</v>
      </c>
      <c r="AL245" t="str">
        <f t="shared" si="42"/>
        <v>000000000000</v>
      </c>
      <c r="AM245" t="str">
        <f t="shared" si="34"/>
        <v xml:space="preserve">                              </v>
      </c>
      <c r="AP245" t="str">
        <f t="shared" si="35"/>
        <v/>
      </c>
    </row>
    <row r="246" spans="2:42" x14ac:dyDescent="0.2">
      <c r="B246" s="88"/>
      <c r="C246" s="80"/>
      <c r="D246" s="74"/>
      <c r="AF246" t="str">
        <f t="shared" si="36"/>
        <v>00000000</v>
      </c>
      <c r="AG246" s="81">
        <f t="shared" si="37"/>
        <v>0</v>
      </c>
      <c r="AH246" s="81">
        <f t="shared" si="38"/>
        <v>0</v>
      </c>
      <c r="AI246" t="str">
        <f t="shared" si="39"/>
        <v>0000000000</v>
      </c>
      <c r="AJ246" t="str">
        <f t="shared" si="40"/>
        <v>.00</v>
      </c>
      <c r="AK246" t="str">
        <f t="shared" si="41"/>
        <v>00</v>
      </c>
      <c r="AL246" t="str">
        <f t="shared" si="42"/>
        <v>000000000000</v>
      </c>
      <c r="AM246" t="str">
        <f t="shared" si="34"/>
        <v xml:space="preserve">                              </v>
      </c>
      <c r="AP246" t="str">
        <f t="shared" si="35"/>
        <v/>
      </c>
    </row>
    <row r="247" spans="2:42" x14ac:dyDescent="0.2">
      <c r="B247" s="88"/>
      <c r="C247" s="80"/>
      <c r="D247" s="74"/>
      <c r="AF247" t="str">
        <f t="shared" si="36"/>
        <v>00000000</v>
      </c>
      <c r="AG247" s="81">
        <f t="shared" si="37"/>
        <v>0</v>
      </c>
      <c r="AH247" s="81">
        <f t="shared" si="38"/>
        <v>0</v>
      </c>
      <c r="AI247" t="str">
        <f t="shared" si="39"/>
        <v>0000000000</v>
      </c>
      <c r="AJ247" t="str">
        <f t="shared" si="40"/>
        <v>.00</v>
      </c>
      <c r="AK247" t="str">
        <f t="shared" si="41"/>
        <v>00</v>
      </c>
      <c r="AL247" t="str">
        <f t="shared" si="42"/>
        <v>000000000000</v>
      </c>
      <c r="AM247" t="str">
        <f t="shared" si="34"/>
        <v xml:space="preserve">                              </v>
      </c>
      <c r="AP247" t="str">
        <f t="shared" si="35"/>
        <v/>
      </c>
    </row>
    <row r="248" spans="2:42" x14ac:dyDescent="0.2">
      <c r="B248" s="88"/>
      <c r="C248" s="80"/>
      <c r="D248" s="74"/>
      <c r="AF248" t="str">
        <f t="shared" si="36"/>
        <v>00000000</v>
      </c>
      <c r="AG248" s="81">
        <f t="shared" si="37"/>
        <v>0</v>
      </c>
      <c r="AH248" s="81">
        <f t="shared" si="38"/>
        <v>0</v>
      </c>
      <c r="AI248" t="str">
        <f t="shared" si="39"/>
        <v>0000000000</v>
      </c>
      <c r="AJ248" t="str">
        <f t="shared" si="40"/>
        <v>.00</v>
      </c>
      <c r="AK248" t="str">
        <f t="shared" si="41"/>
        <v>00</v>
      </c>
      <c r="AL248" t="str">
        <f t="shared" si="42"/>
        <v>000000000000</v>
      </c>
      <c r="AM248" t="str">
        <f t="shared" si="34"/>
        <v xml:space="preserve">                              </v>
      </c>
      <c r="AP248" t="str">
        <f t="shared" si="35"/>
        <v/>
      </c>
    </row>
    <row r="249" spans="2:42" x14ac:dyDescent="0.2">
      <c r="B249" s="88"/>
      <c r="C249" s="80"/>
      <c r="D249" s="74"/>
      <c r="AF249" t="str">
        <f t="shared" si="36"/>
        <v>00000000</v>
      </c>
      <c r="AG249" s="81">
        <f t="shared" si="37"/>
        <v>0</v>
      </c>
      <c r="AH249" s="81">
        <f t="shared" si="38"/>
        <v>0</v>
      </c>
      <c r="AI249" t="str">
        <f t="shared" si="39"/>
        <v>0000000000</v>
      </c>
      <c r="AJ249" t="str">
        <f t="shared" si="40"/>
        <v>.00</v>
      </c>
      <c r="AK249" t="str">
        <f t="shared" si="41"/>
        <v>00</v>
      </c>
      <c r="AL249" t="str">
        <f t="shared" si="42"/>
        <v>000000000000</v>
      </c>
      <c r="AM249" t="str">
        <f t="shared" si="34"/>
        <v xml:space="preserve">                              </v>
      </c>
      <c r="AP249" t="str">
        <f t="shared" si="35"/>
        <v/>
      </c>
    </row>
    <row r="250" spans="2:42" x14ac:dyDescent="0.2">
      <c r="B250" s="88"/>
      <c r="C250" s="80"/>
      <c r="D250" s="74"/>
      <c r="AF250" t="str">
        <f t="shared" si="36"/>
        <v>00000000</v>
      </c>
      <c r="AG250" s="81">
        <f t="shared" si="37"/>
        <v>0</v>
      </c>
      <c r="AH250" s="81">
        <f t="shared" si="38"/>
        <v>0</v>
      </c>
      <c r="AI250" t="str">
        <f t="shared" si="39"/>
        <v>0000000000</v>
      </c>
      <c r="AJ250" t="str">
        <f t="shared" si="40"/>
        <v>.00</v>
      </c>
      <c r="AK250" t="str">
        <f t="shared" si="41"/>
        <v>00</v>
      </c>
      <c r="AL250" t="str">
        <f t="shared" si="42"/>
        <v>000000000000</v>
      </c>
      <c r="AM250" t="str">
        <f t="shared" si="34"/>
        <v xml:space="preserve">                              </v>
      </c>
      <c r="AP250" t="str">
        <f t="shared" si="35"/>
        <v/>
      </c>
    </row>
    <row r="251" spans="2:42" x14ac:dyDescent="0.2">
      <c r="B251" s="88"/>
      <c r="C251" s="80"/>
      <c r="D251" s="74"/>
      <c r="AF251" t="str">
        <f t="shared" si="36"/>
        <v>00000000</v>
      </c>
      <c r="AG251" s="81">
        <f t="shared" si="37"/>
        <v>0</v>
      </c>
      <c r="AH251" s="81">
        <f t="shared" si="38"/>
        <v>0</v>
      </c>
      <c r="AI251" t="str">
        <f t="shared" si="39"/>
        <v>0000000000</v>
      </c>
      <c r="AJ251" t="str">
        <f t="shared" si="40"/>
        <v>.00</v>
      </c>
      <c r="AK251" t="str">
        <f t="shared" si="41"/>
        <v>00</v>
      </c>
      <c r="AL251" t="str">
        <f t="shared" si="42"/>
        <v>000000000000</v>
      </c>
      <c r="AM251" t="str">
        <f t="shared" si="34"/>
        <v xml:space="preserve">                              </v>
      </c>
      <c r="AP251" t="str">
        <f t="shared" si="35"/>
        <v/>
      </c>
    </row>
    <row r="252" spans="2:42" x14ac:dyDescent="0.2">
      <c r="B252" s="88"/>
      <c r="C252" s="80"/>
      <c r="D252" s="74"/>
      <c r="AF252" t="str">
        <f t="shared" si="36"/>
        <v>00000000</v>
      </c>
      <c r="AG252" s="81">
        <f t="shared" si="37"/>
        <v>0</v>
      </c>
      <c r="AH252" s="81">
        <f t="shared" si="38"/>
        <v>0</v>
      </c>
      <c r="AI252" t="str">
        <f t="shared" si="39"/>
        <v>0000000000</v>
      </c>
      <c r="AJ252" t="str">
        <f t="shared" si="40"/>
        <v>.00</v>
      </c>
      <c r="AK252" t="str">
        <f t="shared" si="41"/>
        <v>00</v>
      </c>
      <c r="AL252" t="str">
        <f t="shared" si="42"/>
        <v>000000000000</v>
      </c>
      <c r="AM252" t="str">
        <f t="shared" si="34"/>
        <v xml:space="preserve">                              </v>
      </c>
      <c r="AP252" t="str">
        <f t="shared" si="35"/>
        <v/>
      </c>
    </row>
    <row r="253" spans="2:42" x14ac:dyDescent="0.2">
      <c r="B253" s="88"/>
      <c r="C253" s="80"/>
      <c r="D253" s="74"/>
      <c r="AF253" t="str">
        <f t="shared" si="36"/>
        <v>00000000</v>
      </c>
      <c r="AG253" s="81">
        <f t="shared" si="37"/>
        <v>0</v>
      </c>
      <c r="AH253" s="81">
        <f t="shared" si="38"/>
        <v>0</v>
      </c>
      <c r="AI253" t="str">
        <f t="shared" si="39"/>
        <v>0000000000</v>
      </c>
      <c r="AJ253" t="str">
        <f t="shared" si="40"/>
        <v>.00</v>
      </c>
      <c r="AK253" t="str">
        <f t="shared" si="41"/>
        <v>00</v>
      </c>
      <c r="AL253" t="str">
        <f t="shared" si="42"/>
        <v>000000000000</v>
      </c>
      <c r="AM253" t="str">
        <f t="shared" si="34"/>
        <v xml:space="preserve">                              </v>
      </c>
      <c r="AP253" t="str">
        <f t="shared" si="35"/>
        <v/>
      </c>
    </row>
    <row r="254" spans="2:42" x14ac:dyDescent="0.2">
      <c r="B254" s="88"/>
      <c r="C254" s="80"/>
      <c r="D254" s="74"/>
      <c r="AF254" t="str">
        <f t="shared" si="36"/>
        <v>00000000</v>
      </c>
      <c r="AG254" s="81">
        <f t="shared" si="37"/>
        <v>0</v>
      </c>
      <c r="AH254" s="81">
        <f t="shared" si="38"/>
        <v>0</v>
      </c>
      <c r="AI254" t="str">
        <f t="shared" si="39"/>
        <v>0000000000</v>
      </c>
      <c r="AJ254" t="str">
        <f t="shared" si="40"/>
        <v>.00</v>
      </c>
      <c r="AK254" t="str">
        <f t="shared" si="41"/>
        <v>00</v>
      </c>
      <c r="AL254" t="str">
        <f t="shared" si="42"/>
        <v>000000000000</v>
      </c>
      <c r="AM254" t="str">
        <f t="shared" si="34"/>
        <v xml:space="preserve">                              </v>
      </c>
      <c r="AP254" t="str">
        <f t="shared" si="35"/>
        <v/>
      </c>
    </row>
    <row r="255" spans="2:42" x14ac:dyDescent="0.2">
      <c r="B255" s="88"/>
      <c r="C255" s="80"/>
      <c r="D255" s="74"/>
      <c r="AF255" t="str">
        <f t="shared" si="36"/>
        <v>00000000</v>
      </c>
      <c r="AG255" s="81">
        <f t="shared" si="37"/>
        <v>0</v>
      </c>
      <c r="AH255" s="81">
        <f t="shared" si="38"/>
        <v>0</v>
      </c>
      <c r="AI255" t="str">
        <f t="shared" si="39"/>
        <v>0000000000</v>
      </c>
      <c r="AJ255" t="str">
        <f t="shared" si="40"/>
        <v>.00</v>
      </c>
      <c r="AK255" t="str">
        <f t="shared" si="41"/>
        <v>00</v>
      </c>
      <c r="AL255" t="str">
        <f t="shared" si="42"/>
        <v>000000000000</v>
      </c>
      <c r="AM255" t="str">
        <f t="shared" si="34"/>
        <v xml:space="preserve">                              </v>
      </c>
      <c r="AP255" t="str">
        <f t="shared" si="35"/>
        <v/>
      </c>
    </row>
    <row r="256" spans="2:42" x14ac:dyDescent="0.2">
      <c r="B256" s="88"/>
      <c r="C256" s="80"/>
      <c r="D256" s="74"/>
      <c r="AF256" t="str">
        <f t="shared" si="36"/>
        <v>00000000</v>
      </c>
      <c r="AG256" s="81">
        <f t="shared" si="37"/>
        <v>0</v>
      </c>
      <c r="AH256" s="81">
        <f t="shared" si="38"/>
        <v>0</v>
      </c>
      <c r="AI256" t="str">
        <f t="shared" si="39"/>
        <v>0000000000</v>
      </c>
      <c r="AJ256" t="str">
        <f t="shared" si="40"/>
        <v>.00</v>
      </c>
      <c r="AK256" t="str">
        <f t="shared" si="41"/>
        <v>00</v>
      </c>
      <c r="AL256" t="str">
        <f t="shared" si="42"/>
        <v>000000000000</v>
      </c>
      <c r="AM256" t="str">
        <f t="shared" si="34"/>
        <v xml:space="preserve">                              </v>
      </c>
      <c r="AP256" t="str">
        <f t="shared" si="35"/>
        <v/>
      </c>
    </row>
    <row r="257" spans="2:42" x14ac:dyDescent="0.2">
      <c r="B257" s="88"/>
      <c r="C257" s="80"/>
      <c r="D257" s="74"/>
      <c r="AF257" t="str">
        <f t="shared" si="36"/>
        <v>00000000</v>
      </c>
      <c r="AG257" s="81">
        <f t="shared" si="37"/>
        <v>0</v>
      </c>
      <c r="AH257" s="81">
        <f t="shared" si="38"/>
        <v>0</v>
      </c>
      <c r="AI257" t="str">
        <f t="shared" si="39"/>
        <v>0000000000</v>
      </c>
      <c r="AJ257" t="str">
        <f t="shared" si="40"/>
        <v>.00</v>
      </c>
      <c r="AK257" t="str">
        <f t="shared" si="41"/>
        <v>00</v>
      </c>
      <c r="AL257" t="str">
        <f t="shared" si="42"/>
        <v>000000000000</v>
      </c>
      <c r="AM257" t="str">
        <f t="shared" si="34"/>
        <v xml:space="preserve">                              </v>
      </c>
      <c r="AP257" t="str">
        <f t="shared" si="35"/>
        <v/>
      </c>
    </row>
    <row r="258" spans="2:42" x14ac:dyDescent="0.2">
      <c r="B258" s="88"/>
      <c r="C258" s="80"/>
      <c r="D258" s="74"/>
      <c r="AF258" t="str">
        <f t="shared" si="36"/>
        <v>00000000</v>
      </c>
      <c r="AG258" s="81">
        <f t="shared" si="37"/>
        <v>0</v>
      </c>
      <c r="AH258" s="81">
        <f t="shared" si="38"/>
        <v>0</v>
      </c>
      <c r="AI258" t="str">
        <f t="shared" si="39"/>
        <v>0000000000</v>
      </c>
      <c r="AJ258" t="str">
        <f t="shared" si="40"/>
        <v>.00</v>
      </c>
      <c r="AK258" t="str">
        <f t="shared" si="41"/>
        <v>00</v>
      </c>
      <c r="AL258" t="str">
        <f t="shared" si="42"/>
        <v>000000000000</v>
      </c>
      <c r="AM258" t="str">
        <f t="shared" si="34"/>
        <v xml:space="preserve">                              </v>
      </c>
      <c r="AP258" t="str">
        <f t="shared" si="35"/>
        <v/>
      </c>
    </row>
    <row r="259" spans="2:42" x14ac:dyDescent="0.2">
      <c r="B259" s="88"/>
      <c r="C259" s="80"/>
      <c r="D259" s="74"/>
      <c r="AF259" t="str">
        <f t="shared" si="36"/>
        <v>00000000</v>
      </c>
      <c r="AG259" s="81">
        <f t="shared" si="37"/>
        <v>0</v>
      </c>
      <c r="AH259" s="81">
        <f t="shared" si="38"/>
        <v>0</v>
      </c>
      <c r="AI259" t="str">
        <f t="shared" si="39"/>
        <v>0000000000</v>
      </c>
      <c r="AJ259" t="str">
        <f t="shared" si="40"/>
        <v>.00</v>
      </c>
      <c r="AK259" t="str">
        <f t="shared" si="41"/>
        <v>00</v>
      </c>
      <c r="AL259" t="str">
        <f t="shared" si="42"/>
        <v>000000000000</v>
      </c>
      <c r="AM259" t="str">
        <f t="shared" ref="AM259:AM322" si="43">CONCATENATE(D260,REPT(" ",30-LEN(D260)))</f>
        <v xml:space="preserve">                              </v>
      </c>
      <c r="AP259" t="str">
        <f t="shared" ref="AP259:AP322" si="44">IF(B260&lt;&gt;"",CONCATENATE("000",$AA$3,"     ",$AB$3,$AC$3,$AD$3,"30000",AF259,AL259,$AC$1,AM259),"")</f>
        <v/>
      </c>
    </row>
    <row r="260" spans="2:42" x14ac:dyDescent="0.2">
      <c r="B260" s="88"/>
      <c r="C260" s="80"/>
      <c r="D260" s="74"/>
      <c r="AF260" t="str">
        <f t="shared" si="36"/>
        <v>00000000</v>
      </c>
      <c r="AG260" s="81">
        <f t="shared" si="37"/>
        <v>0</v>
      </c>
      <c r="AH260" s="81">
        <f t="shared" si="38"/>
        <v>0</v>
      </c>
      <c r="AI260" t="str">
        <f t="shared" si="39"/>
        <v>0000000000</v>
      </c>
      <c r="AJ260" t="str">
        <f t="shared" si="40"/>
        <v>.00</v>
      </c>
      <c r="AK260" t="str">
        <f t="shared" si="41"/>
        <v>00</v>
      </c>
      <c r="AL260" t="str">
        <f t="shared" si="42"/>
        <v>000000000000</v>
      </c>
      <c r="AM260" t="str">
        <f t="shared" si="43"/>
        <v xml:space="preserve">                              </v>
      </c>
      <c r="AP260" t="str">
        <f t="shared" si="44"/>
        <v/>
      </c>
    </row>
    <row r="261" spans="2:42" x14ac:dyDescent="0.2">
      <c r="B261" s="88"/>
      <c r="C261" s="80"/>
      <c r="D261" s="74"/>
      <c r="AF261" t="str">
        <f t="shared" si="36"/>
        <v>00000000</v>
      </c>
      <c r="AG261" s="81">
        <f t="shared" si="37"/>
        <v>0</v>
      </c>
      <c r="AH261" s="81">
        <f t="shared" si="38"/>
        <v>0</v>
      </c>
      <c r="AI261" t="str">
        <f t="shared" si="39"/>
        <v>0000000000</v>
      </c>
      <c r="AJ261" t="str">
        <f t="shared" si="40"/>
        <v>.00</v>
      </c>
      <c r="AK261" t="str">
        <f t="shared" si="41"/>
        <v>00</v>
      </c>
      <c r="AL261" t="str">
        <f t="shared" si="42"/>
        <v>000000000000</v>
      </c>
      <c r="AM261" t="str">
        <f t="shared" si="43"/>
        <v xml:space="preserve">                              </v>
      </c>
      <c r="AP261" t="str">
        <f t="shared" si="44"/>
        <v/>
      </c>
    </row>
    <row r="262" spans="2:42" x14ac:dyDescent="0.2">
      <c r="B262" s="88"/>
      <c r="C262" s="80"/>
      <c r="D262" s="74"/>
      <c r="AF262" t="str">
        <f t="shared" si="36"/>
        <v>00000000</v>
      </c>
      <c r="AG262" s="81">
        <f t="shared" si="37"/>
        <v>0</v>
      </c>
      <c r="AH262" s="81">
        <f t="shared" si="38"/>
        <v>0</v>
      </c>
      <c r="AI262" t="str">
        <f t="shared" si="39"/>
        <v>0000000000</v>
      </c>
      <c r="AJ262" t="str">
        <f t="shared" si="40"/>
        <v>.00</v>
      </c>
      <c r="AK262" t="str">
        <f t="shared" si="41"/>
        <v>00</v>
      </c>
      <c r="AL262" t="str">
        <f t="shared" si="42"/>
        <v>000000000000</v>
      </c>
      <c r="AM262" t="str">
        <f t="shared" si="43"/>
        <v xml:space="preserve">                              </v>
      </c>
      <c r="AP262" t="str">
        <f t="shared" si="44"/>
        <v/>
      </c>
    </row>
    <row r="263" spans="2:42" x14ac:dyDescent="0.2">
      <c r="B263" s="88"/>
      <c r="C263" s="80"/>
      <c r="D263" s="74"/>
      <c r="AF263" t="str">
        <f t="shared" si="36"/>
        <v>00000000</v>
      </c>
      <c r="AG263" s="81">
        <f t="shared" si="37"/>
        <v>0</v>
      </c>
      <c r="AH263" s="81">
        <f t="shared" si="38"/>
        <v>0</v>
      </c>
      <c r="AI263" t="str">
        <f t="shared" si="39"/>
        <v>0000000000</v>
      </c>
      <c r="AJ263" t="str">
        <f t="shared" si="40"/>
        <v>.00</v>
      </c>
      <c r="AK263" t="str">
        <f t="shared" si="41"/>
        <v>00</v>
      </c>
      <c r="AL263" t="str">
        <f t="shared" si="42"/>
        <v>000000000000</v>
      </c>
      <c r="AM263" t="str">
        <f t="shared" si="43"/>
        <v xml:space="preserve">                              </v>
      </c>
      <c r="AP263" t="str">
        <f t="shared" si="44"/>
        <v/>
      </c>
    </row>
    <row r="264" spans="2:42" x14ac:dyDescent="0.2">
      <c r="B264" s="88"/>
      <c r="C264" s="80"/>
      <c r="D264" s="74"/>
      <c r="AF264" t="str">
        <f t="shared" si="36"/>
        <v>00000000</v>
      </c>
      <c r="AG264" s="81">
        <f t="shared" si="37"/>
        <v>0</v>
      </c>
      <c r="AH264" s="81">
        <f t="shared" si="38"/>
        <v>0</v>
      </c>
      <c r="AI264" t="str">
        <f t="shared" si="39"/>
        <v>0000000000</v>
      </c>
      <c r="AJ264" t="str">
        <f t="shared" si="40"/>
        <v>.00</v>
      </c>
      <c r="AK264" t="str">
        <f t="shared" si="41"/>
        <v>00</v>
      </c>
      <c r="AL264" t="str">
        <f t="shared" si="42"/>
        <v>000000000000</v>
      </c>
      <c r="AM264" t="str">
        <f t="shared" si="43"/>
        <v xml:space="preserve">                              </v>
      </c>
      <c r="AP264" t="str">
        <f t="shared" si="44"/>
        <v/>
      </c>
    </row>
    <row r="265" spans="2:42" x14ac:dyDescent="0.2">
      <c r="B265" s="88"/>
      <c r="C265" s="80"/>
      <c r="D265" s="74"/>
      <c r="AF265" t="str">
        <f t="shared" si="36"/>
        <v>00000000</v>
      </c>
      <c r="AG265" s="81">
        <f t="shared" si="37"/>
        <v>0</v>
      </c>
      <c r="AH265" s="81">
        <f t="shared" si="38"/>
        <v>0</v>
      </c>
      <c r="AI265" t="str">
        <f t="shared" si="39"/>
        <v>0000000000</v>
      </c>
      <c r="AJ265" t="str">
        <f t="shared" si="40"/>
        <v>.00</v>
      </c>
      <c r="AK265" t="str">
        <f t="shared" si="41"/>
        <v>00</v>
      </c>
      <c r="AL265" t="str">
        <f t="shared" si="42"/>
        <v>000000000000</v>
      </c>
      <c r="AM265" t="str">
        <f t="shared" si="43"/>
        <v xml:space="preserve">                              </v>
      </c>
      <c r="AP265" t="str">
        <f t="shared" si="44"/>
        <v/>
      </c>
    </row>
    <row r="266" spans="2:42" x14ac:dyDescent="0.2">
      <c r="B266" s="88"/>
      <c r="C266" s="80"/>
      <c r="D266" s="74"/>
      <c r="AF266" t="str">
        <f t="shared" ref="AF266:AF329" si="45">CONCATENATE(REPT("0",8-LEN(B267)),B267)</f>
        <v>00000000</v>
      </c>
      <c r="AG266" s="81">
        <f t="shared" ref="AG266:AG329" si="46">INT(C267)</f>
        <v>0</v>
      </c>
      <c r="AH266" s="81">
        <f t="shared" ref="AH266:AH329" si="47">C267-AG266</f>
        <v>0</v>
      </c>
      <c r="AI266" t="str">
        <f t="shared" ref="AI266:AI329" si="48">TEXT(AG266,"0000000000")</f>
        <v>0000000000</v>
      </c>
      <c r="AJ266" t="str">
        <f t="shared" ref="AJ266:AJ329" si="49">TEXT(AH266,".00")</f>
        <v>.00</v>
      </c>
      <c r="AK266" t="str">
        <f t="shared" ref="AK266:AK329" si="50">MID(AJ266,2,2)</f>
        <v>00</v>
      </c>
      <c r="AL266" t="str">
        <f t="shared" ref="AL266:AL329" si="51">CONCATENATE(AI266,AK266)</f>
        <v>000000000000</v>
      </c>
      <c r="AM266" t="str">
        <f t="shared" si="43"/>
        <v xml:space="preserve">                              </v>
      </c>
      <c r="AP266" t="str">
        <f t="shared" si="44"/>
        <v/>
      </c>
    </row>
    <row r="267" spans="2:42" x14ac:dyDescent="0.2">
      <c r="B267" s="88"/>
      <c r="C267" s="80"/>
      <c r="D267" s="74"/>
      <c r="AF267" t="str">
        <f t="shared" si="45"/>
        <v>00000000</v>
      </c>
      <c r="AG267" s="81">
        <f t="shared" si="46"/>
        <v>0</v>
      </c>
      <c r="AH267" s="81">
        <f t="shared" si="47"/>
        <v>0</v>
      </c>
      <c r="AI267" t="str">
        <f t="shared" si="48"/>
        <v>0000000000</v>
      </c>
      <c r="AJ267" t="str">
        <f t="shared" si="49"/>
        <v>.00</v>
      </c>
      <c r="AK267" t="str">
        <f t="shared" si="50"/>
        <v>00</v>
      </c>
      <c r="AL267" t="str">
        <f t="shared" si="51"/>
        <v>000000000000</v>
      </c>
      <c r="AM267" t="str">
        <f t="shared" si="43"/>
        <v xml:space="preserve">                              </v>
      </c>
      <c r="AP267" t="str">
        <f t="shared" si="44"/>
        <v/>
      </c>
    </row>
    <row r="268" spans="2:42" x14ac:dyDescent="0.2">
      <c r="B268" s="88"/>
      <c r="C268" s="80"/>
      <c r="D268" s="74"/>
      <c r="AF268" t="str">
        <f t="shared" si="45"/>
        <v>00000000</v>
      </c>
      <c r="AG268" s="81">
        <f t="shared" si="46"/>
        <v>0</v>
      </c>
      <c r="AH268" s="81">
        <f t="shared" si="47"/>
        <v>0</v>
      </c>
      <c r="AI268" t="str">
        <f t="shared" si="48"/>
        <v>0000000000</v>
      </c>
      <c r="AJ268" t="str">
        <f t="shared" si="49"/>
        <v>.00</v>
      </c>
      <c r="AK268" t="str">
        <f t="shared" si="50"/>
        <v>00</v>
      </c>
      <c r="AL268" t="str">
        <f t="shared" si="51"/>
        <v>000000000000</v>
      </c>
      <c r="AM268" t="str">
        <f t="shared" si="43"/>
        <v xml:space="preserve">                              </v>
      </c>
      <c r="AP268" t="str">
        <f t="shared" si="44"/>
        <v/>
      </c>
    </row>
    <row r="269" spans="2:42" x14ac:dyDescent="0.2">
      <c r="B269" s="88"/>
      <c r="C269" s="80"/>
      <c r="D269" s="74"/>
      <c r="AF269" t="str">
        <f t="shared" si="45"/>
        <v>00000000</v>
      </c>
      <c r="AG269" s="81">
        <f t="shared" si="46"/>
        <v>0</v>
      </c>
      <c r="AH269" s="81">
        <f t="shared" si="47"/>
        <v>0</v>
      </c>
      <c r="AI269" t="str">
        <f t="shared" si="48"/>
        <v>0000000000</v>
      </c>
      <c r="AJ269" t="str">
        <f t="shared" si="49"/>
        <v>.00</v>
      </c>
      <c r="AK269" t="str">
        <f t="shared" si="50"/>
        <v>00</v>
      </c>
      <c r="AL269" t="str">
        <f t="shared" si="51"/>
        <v>000000000000</v>
      </c>
      <c r="AM269" t="str">
        <f t="shared" si="43"/>
        <v xml:space="preserve">                              </v>
      </c>
      <c r="AP269" t="str">
        <f t="shared" si="44"/>
        <v/>
      </c>
    </row>
    <row r="270" spans="2:42" x14ac:dyDescent="0.2">
      <c r="B270" s="88"/>
      <c r="C270" s="80"/>
      <c r="D270" s="74"/>
      <c r="AF270" t="str">
        <f t="shared" si="45"/>
        <v>00000000</v>
      </c>
      <c r="AG270" s="81">
        <f t="shared" si="46"/>
        <v>0</v>
      </c>
      <c r="AH270" s="81">
        <f t="shared" si="47"/>
        <v>0</v>
      </c>
      <c r="AI270" t="str">
        <f t="shared" si="48"/>
        <v>0000000000</v>
      </c>
      <c r="AJ270" t="str">
        <f t="shared" si="49"/>
        <v>.00</v>
      </c>
      <c r="AK270" t="str">
        <f t="shared" si="50"/>
        <v>00</v>
      </c>
      <c r="AL270" t="str">
        <f t="shared" si="51"/>
        <v>000000000000</v>
      </c>
      <c r="AM270" t="str">
        <f t="shared" si="43"/>
        <v xml:space="preserve">                              </v>
      </c>
      <c r="AP270" t="str">
        <f t="shared" si="44"/>
        <v/>
      </c>
    </row>
    <row r="271" spans="2:42" x14ac:dyDescent="0.2">
      <c r="B271" s="88"/>
      <c r="C271" s="80"/>
      <c r="D271" s="74"/>
      <c r="AF271" t="str">
        <f t="shared" si="45"/>
        <v>00000000</v>
      </c>
      <c r="AG271" s="81">
        <f t="shared" si="46"/>
        <v>0</v>
      </c>
      <c r="AH271" s="81">
        <f t="shared" si="47"/>
        <v>0</v>
      </c>
      <c r="AI271" t="str">
        <f t="shared" si="48"/>
        <v>0000000000</v>
      </c>
      <c r="AJ271" t="str">
        <f t="shared" si="49"/>
        <v>.00</v>
      </c>
      <c r="AK271" t="str">
        <f t="shared" si="50"/>
        <v>00</v>
      </c>
      <c r="AL271" t="str">
        <f t="shared" si="51"/>
        <v>000000000000</v>
      </c>
      <c r="AM271" t="str">
        <f t="shared" si="43"/>
        <v xml:space="preserve">                              </v>
      </c>
      <c r="AP271" t="str">
        <f t="shared" si="44"/>
        <v/>
      </c>
    </row>
    <row r="272" spans="2:42" x14ac:dyDescent="0.2">
      <c r="B272" s="88"/>
      <c r="C272" s="80"/>
      <c r="D272" s="74"/>
      <c r="AF272" t="str">
        <f t="shared" si="45"/>
        <v>00000000</v>
      </c>
      <c r="AG272" s="81">
        <f t="shared" si="46"/>
        <v>0</v>
      </c>
      <c r="AH272" s="81">
        <f t="shared" si="47"/>
        <v>0</v>
      </c>
      <c r="AI272" t="str">
        <f t="shared" si="48"/>
        <v>0000000000</v>
      </c>
      <c r="AJ272" t="str">
        <f t="shared" si="49"/>
        <v>.00</v>
      </c>
      <c r="AK272" t="str">
        <f t="shared" si="50"/>
        <v>00</v>
      </c>
      <c r="AL272" t="str">
        <f t="shared" si="51"/>
        <v>000000000000</v>
      </c>
      <c r="AM272" t="str">
        <f t="shared" si="43"/>
        <v xml:space="preserve">                              </v>
      </c>
      <c r="AP272" t="str">
        <f t="shared" si="44"/>
        <v/>
      </c>
    </row>
    <row r="273" spans="2:42" x14ac:dyDescent="0.2">
      <c r="B273" s="88"/>
      <c r="C273" s="80"/>
      <c r="D273" s="74"/>
      <c r="AF273" t="str">
        <f t="shared" si="45"/>
        <v>00000000</v>
      </c>
      <c r="AG273" s="81">
        <f t="shared" si="46"/>
        <v>0</v>
      </c>
      <c r="AH273" s="81">
        <f t="shared" si="47"/>
        <v>0</v>
      </c>
      <c r="AI273" t="str">
        <f t="shared" si="48"/>
        <v>0000000000</v>
      </c>
      <c r="AJ273" t="str">
        <f t="shared" si="49"/>
        <v>.00</v>
      </c>
      <c r="AK273" t="str">
        <f t="shared" si="50"/>
        <v>00</v>
      </c>
      <c r="AL273" t="str">
        <f t="shared" si="51"/>
        <v>000000000000</v>
      </c>
      <c r="AM273" t="str">
        <f t="shared" si="43"/>
        <v xml:space="preserve">                              </v>
      </c>
      <c r="AP273" t="str">
        <f t="shared" si="44"/>
        <v/>
      </c>
    </row>
    <row r="274" spans="2:42" x14ac:dyDescent="0.2">
      <c r="B274" s="88"/>
      <c r="C274" s="80"/>
      <c r="D274" s="74"/>
      <c r="AF274" t="str">
        <f t="shared" si="45"/>
        <v>00000000</v>
      </c>
      <c r="AG274" s="81">
        <f t="shared" si="46"/>
        <v>0</v>
      </c>
      <c r="AH274" s="81">
        <f t="shared" si="47"/>
        <v>0</v>
      </c>
      <c r="AI274" t="str">
        <f t="shared" si="48"/>
        <v>0000000000</v>
      </c>
      <c r="AJ274" t="str">
        <f t="shared" si="49"/>
        <v>.00</v>
      </c>
      <c r="AK274" t="str">
        <f t="shared" si="50"/>
        <v>00</v>
      </c>
      <c r="AL274" t="str">
        <f t="shared" si="51"/>
        <v>000000000000</v>
      </c>
      <c r="AM274" t="str">
        <f t="shared" si="43"/>
        <v xml:space="preserve">                              </v>
      </c>
      <c r="AP274" t="str">
        <f t="shared" si="44"/>
        <v/>
      </c>
    </row>
    <row r="275" spans="2:42" x14ac:dyDescent="0.2">
      <c r="B275" s="88"/>
      <c r="C275" s="80"/>
      <c r="D275" s="74"/>
      <c r="AF275" t="str">
        <f t="shared" si="45"/>
        <v>00000000</v>
      </c>
      <c r="AG275" s="81">
        <f t="shared" si="46"/>
        <v>0</v>
      </c>
      <c r="AH275" s="81">
        <f t="shared" si="47"/>
        <v>0</v>
      </c>
      <c r="AI275" t="str">
        <f t="shared" si="48"/>
        <v>0000000000</v>
      </c>
      <c r="AJ275" t="str">
        <f t="shared" si="49"/>
        <v>.00</v>
      </c>
      <c r="AK275" t="str">
        <f t="shared" si="50"/>
        <v>00</v>
      </c>
      <c r="AL275" t="str">
        <f t="shared" si="51"/>
        <v>000000000000</v>
      </c>
      <c r="AM275" t="str">
        <f t="shared" si="43"/>
        <v xml:space="preserve">                              </v>
      </c>
      <c r="AP275" t="str">
        <f t="shared" si="44"/>
        <v/>
      </c>
    </row>
    <row r="276" spans="2:42" x14ac:dyDescent="0.2">
      <c r="B276" s="88"/>
      <c r="C276" s="80"/>
      <c r="D276" s="74"/>
      <c r="AF276" t="str">
        <f t="shared" si="45"/>
        <v>00000000</v>
      </c>
      <c r="AG276" s="81">
        <f t="shared" si="46"/>
        <v>0</v>
      </c>
      <c r="AH276" s="81">
        <f t="shared" si="47"/>
        <v>0</v>
      </c>
      <c r="AI276" t="str">
        <f t="shared" si="48"/>
        <v>0000000000</v>
      </c>
      <c r="AJ276" t="str">
        <f t="shared" si="49"/>
        <v>.00</v>
      </c>
      <c r="AK276" t="str">
        <f t="shared" si="50"/>
        <v>00</v>
      </c>
      <c r="AL276" t="str">
        <f t="shared" si="51"/>
        <v>000000000000</v>
      </c>
      <c r="AM276" t="str">
        <f t="shared" si="43"/>
        <v xml:space="preserve">                              </v>
      </c>
      <c r="AP276" t="str">
        <f t="shared" si="44"/>
        <v/>
      </c>
    </row>
    <row r="277" spans="2:42" x14ac:dyDescent="0.2">
      <c r="B277" s="88"/>
      <c r="C277" s="80"/>
      <c r="D277" s="74"/>
      <c r="AF277" t="str">
        <f t="shared" si="45"/>
        <v>00000000</v>
      </c>
      <c r="AG277" s="81">
        <f t="shared" si="46"/>
        <v>0</v>
      </c>
      <c r="AH277" s="81">
        <f t="shared" si="47"/>
        <v>0</v>
      </c>
      <c r="AI277" t="str">
        <f t="shared" si="48"/>
        <v>0000000000</v>
      </c>
      <c r="AJ277" t="str">
        <f t="shared" si="49"/>
        <v>.00</v>
      </c>
      <c r="AK277" t="str">
        <f t="shared" si="50"/>
        <v>00</v>
      </c>
      <c r="AL277" t="str">
        <f t="shared" si="51"/>
        <v>000000000000</v>
      </c>
      <c r="AM277" t="str">
        <f t="shared" si="43"/>
        <v xml:space="preserve">                              </v>
      </c>
      <c r="AP277" t="str">
        <f t="shared" si="44"/>
        <v/>
      </c>
    </row>
    <row r="278" spans="2:42" x14ac:dyDescent="0.2">
      <c r="B278" s="88"/>
      <c r="C278" s="80"/>
      <c r="D278" s="74"/>
      <c r="AF278" t="str">
        <f t="shared" si="45"/>
        <v>00000000</v>
      </c>
      <c r="AG278" s="81">
        <f t="shared" si="46"/>
        <v>0</v>
      </c>
      <c r="AH278" s="81">
        <f t="shared" si="47"/>
        <v>0</v>
      </c>
      <c r="AI278" t="str">
        <f t="shared" si="48"/>
        <v>0000000000</v>
      </c>
      <c r="AJ278" t="str">
        <f t="shared" si="49"/>
        <v>.00</v>
      </c>
      <c r="AK278" t="str">
        <f t="shared" si="50"/>
        <v>00</v>
      </c>
      <c r="AL278" t="str">
        <f t="shared" si="51"/>
        <v>000000000000</v>
      </c>
      <c r="AM278" t="str">
        <f t="shared" si="43"/>
        <v xml:space="preserve">                              </v>
      </c>
      <c r="AP278" t="str">
        <f t="shared" si="44"/>
        <v/>
      </c>
    </row>
    <row r="279" spans="2:42" x14ac:dyDescent="0.2">
      <c r="B279" s="88"/>
      <c r="C279" s="80"/>
      <c r="D279" s="74"/>
      <c r="AF279" t="str">
        <f t="shared" si="45"/>
        <v>00000000</v>
      </c>
      <c r="AG279" s="81">
        <f t="shared" si="46"/>
        <v>0</v>
      </c>
      <c r="AH279" s="81">
        <f t="shared" si="47"/>
        <v>0</v>
      </c>
      <c r="AI279" t="str">
        <f t="shared" si="48"/>
        <v>0000000000</v>
      </c>
      <c r="AJ279" t="str">
        <f t="shared" si="49"/>
        <v>.00</v>
      </c>
      <c r="AK279" t="str">
        <f t="shared" si="50"/>
        <v>00</v>
      </c>
      <c r="AL279" t="str">
        <f t="shared" si="51"/>
        <v>000000000000</v>
      </c>
      <c r="AM279" t="str">
        <f t="shared" si="43"/>
        <v xml:space="preserve">                              </v>
      </c>
      <c r="AP279" t="str">
        <f t="shared" si="44"/>
        <v/>
      </c>
    </row>
    <row r="280" spans="2:42" x14ac:dyDescent="0.2">
      <c r="B280" s="88"/>
      <c r="C280" s="80"/>
      <c r="D280" s="74"/>
      <c r="AF280" t="str">
        <f t="shared" si="45"/>
        <v>00000000</v>
      </c>
      <c r="AG280" s="81">
        <f t="shared" si="46"/>
        <v>0</v>
      </c>
      <c r="AH280" s="81">
        <f t="shared" si="47"/>
        <v>0</v>
      </c>
      <c r="AI280" t="str">
        <f t="shared" si="48"/>
        <v>0000000000</v>
      </c>
      <c r="AJ280" t="str">
        <f t="shared" si="49"/>
        <v>.00</v>
      </c>
      <c r="AK280" t="str">
        <f t="shared" si="50"/>
        <v>00</v>
      </c>
      <c r="AL280" t="str">
        <f t="shared" si="51"/>
        <v>000000000000</v>
      </c>
      <c r="AM280" t="str">
        <f t="shared" si="43"/>
        <v xml:space="preserve">                              </v>
      </c>
      <c r="AP280" t="str">
        <f t="shared" si="44"/>
        <v/>
      </c>
    </row>
    <row r="281" spans="2:42" x14ac:dyDescent="0.2">
      <c r="B281" s="88"/>
      <c r="C281" s="80"/>
      <c r="D281" s="74"/>
      <c r="AF281" t="str">
        <f t="shared" si="45"/>
        <v>00000000</v>
      </c>
      <c r="AG281" s="81">
        <f t="shared" si="46"/>
        <v>0</v>
      </c>
      <c r="AH281" s="81">
        <f t="shared" si="47"/>
        <v>0</v>
      </c>
      <c r="AI281" t="str">
        <f t="shared" si="48"/>
        <v>0000000000</v>
      </c>
      <c r="AJ281" t="str">
        <f t="shared" si="49"/>
        <v>.00</v>
      </c>
      <c r="AK281" t="str">
        <f t="shared" si="50"/>
        <v>00</v>
      </c>
      <c r="AL281" t="str">
        <f t="shared" si="51"/>
        <v>000000000000</v>
      </c>
      <c r="AM281" t="str">
        <f t="shared" si="43"/>
        <v xml:space="preserve">                              </v>
      </c>
      <c r="AP281" t="str">
        <f t="shared" si="44"/>
        <v/>
      </c>
    </row>
    <row r="282" spans="2:42" x14ac:dyDescent="0.2">
      <c r="B282" s="88"/>
      <c r="C282" s="80"/>
      <c r="D282" s="74"/>
      <c r="AF282" t="str">
        <f t="shared" si="45"/>
        <v>00000000</v>
      </c>
      <c r="AG282" s="81">
        <f t="shared" si="46"/>
        <v>0</v>
      </c>
      <c r="AH282" s="81">
        <f t="shared" si="47"/>
        <v>0</v>
      </c>
      <c r="AI282" t="str">
        <f t="shared" si="48"/>
        <v>0000000000</v>
      </c>
      <c r="AJ282" t="str">
        <f t="shared" si="49"/>
        <v>.00</v>
      </c>
      <c r="AK282" t="str">
        <f t="shared" si="50"/>
        <v>00</v>
      </c>
      <c r="AL282" t="str">
        <f t="shared" si="51"/>
        <v>000000000000</v>
      </c>
      <c r="AM282" t="str">
        <f t="shared" si="43"/>
        <v xml:space="preserve">                              </v>
      </c>
      <c r="AP282" t="str">
        <f t="shared" si="44"/>
        <v/>
      </c>
    </row>
    <row r="283" spans="2:42" x14ac:dyDescent="0.2">
      <c r="B283" s="88"/>
      <c r="C283" s="80"/>
      <c r="D283" s="74"/>
      <c r="AF283" t="str">
        <f t="shared" si="45"/>
        <v>00000000</v>
      </c>
      <c r="AG283" s="81">
        <f t="shared" si="46"/>
        <v>0</v>
      </c>
      <c r="AH283" s="81">
        <f t="shared" si="47"/>
        <v>0</v>
      </c>
      <c r="AI283" t="str">
        <f t="shared" si="48"/>
        <v>0000000000</v>
      </c>
      <c r="AJ283" t="str">
        <f t="shared" si="49"/>
        <v>.00</v>
      </c>
      <c r="AK283" t="str">
        <f t="shared" si="50"/>
        <v>00</v>
      </c>
      <c r="AL283" t="str">
        <f t="shared" si="51"/>
        <v>000000000000</v>
      </c>
      <c r="AM283" t="str">
        <f t="shared" si="43"/>
        <v xml:space="preserve">                              </v>
      </c>
      <c r="AP283" t="str">
        <f t="shared" si="44"/>
        <v/>
      </c>
    </row>
    <row r="284" spans="2:42" x14ac:dyDescent="0.2">
      <c r="B284" s="88"/>
      <c r="C284" s="80"/>
      <c r="D284" s="74"/>
      <c r="AF284" t="str">
        <f t="shared" si="45"/>
        <v>00000000</v>
      </c>
      <c r="AG284" s="81">
        <f t="shared" si="46"/>
        <v>0</v>
      </c>
      <c r="AH284" s="81">
        <f t="shared" si="47"/>
        <v>0</v>
      </c>
      <c r="AI284" t="str">
        <f t="shared" si="48"/>
        <v>0000000000</v>
      </c>
      <c r="AJ284" t="str">
        <f t="shared" si="49"/>
        <v>.00</v>
      </c>
      <c r="AK284" t="str">
        <f t="shared" si="50"/>
        <v>00</v>
      </c>
      <c r="AL284" t="str">
        <f t="shared" si="51"/>
        <v>000000000000</v>
      </c>
      <c r="AM284" t="str">
        <f t="shared" si="43"/>
        <v xml:space="preserve">                              </v>
      </c>
      <c r="AP284" t="str">
        <f t="shared" si="44"/>
        <v/>
      </c>
    </row>
    <row r="285" spans="2:42" x14ac:dyDescent="0.2">
      <c r="B285" s="88"/>
      <c r="C285" s="80"/>
      <c r="D285" s="74"/>
      <c r="AF285" t="str">
        <f t="shared" si="45"/>
        <v>00000000</v>
      </c>
      <c r="AG285" s="81">
        <f t="shared" si="46"/>
        <v>0</v>
      </c>
      <c r="AH285" s="81">
        <f t="shared" si="47"/>
        <v>0</v>
      </c>
      <c r="AI285" t="str">
        <f t="shared" si="48"/>
        <v>0000000000</v>
      </c>
      <c r="AJ285" t="str">
        <f t="shared" si="49"/>
        <v>.00</v>
      </c>
      <c r="AK285" t="str">
        <f t="shared" si="50"/>
        <v>00</v>
      </c>
      <c r="AL285" t="str">
        <f t="shared" si="51"/>
        <v>000000000000</v>
      </c>
      <c r="AM285" t="str">
        <f t="shared" si="43"/>
        <v xml:space="preserve">                              </v>
      </c>
      <c r="AP285" t="str">
        <f t="shared" si="44"/>
        <v/>
      </c>
    </row>
    <row r="286" spans="2:42" x14ac:dyDescent="0.2">
      <c r="B286" s="88"/>
      <c r="C286" s="80"/>
      <c r="D286" s="74"/>
      <c r="AF286" t="str">
        <f t="shared" si="45"/>
        <v>00000000</v>
      </c>
      <c r="AG286" s="81">
        <f t="shared" si="46"/>
        <v>0</v>
      </c>
      <c r="AH286" s="81">
        <f t="shared" si="47"/>
        <v>0</v>
      </c>
      <c r="AI286" t="str">
        <f t="shared" si="48"/>
        <v>0000000000</v>
      </c>
      <c r="AJ286" t="str">
        <f t="shared" si="49"/>
        <v>.00</v>
      </c>
      <c r="AK286" t="str">
        <f t="shared" si="50"/>
        <v>00</v>
      </c>
      <c r="AL286" t="str">
        <f t="shared" si="51"/>
        <v>000000000000</v>
      </c>
      <c r="AM286" t="str">
        <f t="shared" si="43"/>
        <v xml:space="preserve">                              </v>
      </c>
      <c r="AP286" t="str">
        <f t="shared" si="44"/>
        <v/>
      </c>
    </row>
    <row r="287" spans="2:42" x14ac:dyDescent="0.2">
      <c r="B287" s="88"/>
      <c r="C287" s="80"/>
      <c r="D287" s="74"/>
      <c r="AF287" t="str">
        <f t="shared" si="45"/>
        <v>00000000</v>
      </c>
      <c r="AG287" s="81">
        <f t="shared" si="46"/>
        <v>0</v>
      </c>
      <c r="AH287" s="81">
        <f t="shared" si="47"/>
        <v>0</v>
      </c>
      <c r="AI287" t="str">
        <f t="shared" si="48"/>
        <v>0000000000</v>
      </c>
      <c r="AJ287" t="str">
        <f t="shared" si="49"/>
        <v>.00</v>
      </c>
      <c r="AK287" t="str">
        <f t="shared" si="50"/>
        <v>00</v>
      </c>
      <c r="AL287" t="str">
        <f t="shared" si="51"/>
        <v>000000000000</v>
      </c>
      <c r="AM287" t="str">
        <f t="shared" si="43"/>
        <v xml:space="preserve">                              </v>
      </c>
      <c r="AP287" t="str">
        <f t="shared" si="44"/>
        <v/>
      </c>
    </row>
    <row r="288" spans="2:42" x14ac:dyDescent="0.2">
      <c r="B288" s="88"/>
      <c r="C288" s="80"/>
      <c r="D288" s="74"/>
      <c r="AF288" t="str">
        <f t="shared" si="45"/>
        <v>00000000</v>
      </c>
      <c r="AG288" s="81">
        <f t="shared" si="46"/>
        <v>0</v>
      </c>
      <c r="AH288" s="81">
        <f t="shared" si="47"/>
        <v>0</v>
      </c>
      <c r="AI288" t="str">
        <f t="shared" si="48"/>
        <v>0000000000</v>
      </c>
      <c r="AJ288" t="str">
        <f t="shared" si="49"/>
        <v>.00</v>
      </c>
      <c r="AK288" t="str">
        <f t="shared" si="50"/>
        <v>00</v>
      </c>
      <c r="AL288" t="str">
        <f t="shared" si="51"/>
        <v>000000000000</v>
      </c>
      <c r="AM288" t="str">
        <f t="shared" si="43"/>
        <v xml:space="preserve">                              </v>
      </c>
      <c r="AP288" t="str">
        <f t="shared" si="44"/>
        <v/>
      </c>
    </row>
    <row r="289" spans="2:42" x14ac:dyDescent="0.2">
      <c r="B289" s="88"/>
      <c r="C289" s="80"/>
      <c r="D289" s="74"/>
      <c r="AF289" t="str">
        <f t="shared" si="45"/>
        <v>00000000</v>
      </c>
      <c r="AG289" s="81">
        <f t="shared" si="46"/>
        <v>0</v>
      </c>
      <c r="AH289" s="81">
        <f t="shared" si="47"/>
        <v>0</v>
      </c>
      <c r="AI289" t="str">
        <f t="shared" si="48"/>
        <v>0000000000</v>
      </c>
      <c r="AJ289" t="str">
        <f t="shared" si="49"/>
        <v>.00</v>
      </c>
      <c r="AK289" t="str">
        <f t="shared" si="50"/>
        <v>00</v>
      </c>
      <c r="AL289" t="str">
        <f t="shared" si="51"/>
        <v>000000000000</v>
      </c>
      <c r="AM289" t="str">
        <f t="shared" si="43"/>
        <v xml:space="preserve">                              </v>
      </c>
      <c r="AP289" t="str">
        <f t="shared" si="44"/>
        <v/>
      </c>
    </row>
    <row r="290" spans="2:42" x14ac:dyDescent="0.2">
      <c r="B290" s="88"/>
      <c r="C290" s="80"/>
      <c r="D290" s="74"/>
      <c r="AF290" t="str">
        <f t="shared" si="45"/>
        <v>00000000</v>
      </c>
      <c r="AG290" s="81">
        <f t="shared" si="46"/>
        <v>0</v>
      </c>
      <c r="AH290" s="81">
        <f t="shared" si="47"/>
        <v>0</v>
      </c>
      <c r="AI290" t="str">
        <f t="shared" si="48"/>
        <v>0000000000</v>
      </c>
      <c r="AJ290" t="str">
        <f t="shared" si="49"/>
        <v>.00</v>
      </c>
      <c r="AK290" t="str">
        <f t="shared" si="50"/>
        <v>00</v>
      </c>
      <c r="AL290" t="str">
        <f t="shared" si="51"/>
        <v>000000000000</v>
      </c>
      <c r="AM290" t="str">
        <f t="shared" si="43"/>
        <v xml:space="preserve">                              </v>
      </c>
      <c r="AP290" t="str">
        <f t="shared" si="44"/>
        <v/>
      </c>
    </row>
    <row r="291" spans="2:42" x14ac:dyDescent="0.2">
      <c r="B291" s="88"/>
      <c r="C291" s="80"/>
      <c r="D291" s="74"/>
      <c r="AF291" t="str">
        <f t="shared" si="45"/>
        <v>00000000</v>
      </c>
      <c r="AG291" s="81">
        <f t="shared" si="46"/>
        <v>0</v>
      </c>
      <c r="AH291" s="81">
        <f t="shared" si="47"/>
        <v>0</v>
      </c>
      <c r="AI291" t="str">
        <f t="shared" si="48"/>
        <v>0000000000</v>
      </c>
      <c r="AJ291" t="str">
        <f t="shared" si="49"/>
        <v>.00</v>
      </c>
      <c r="AK291" t="str">
        <f t="shared" si="50"/>
        <v>00</v>
      </c>
      <c r="AL291" t="str">
        <f t="shared" si="51"/>
        <v>000000000000</v>
      </c>
      <c r="AM291" t="str">
        <f t="shared" si="43"/>
        <v xml:space="preserve">                              </v>
      </c>
      <c r="AP291" t="str">
        <f t="shared" si="44"/>
        <v/>
      </c>
    </row>
    <row r="292" spans="2:42" x14ac:dyDescent="0.2">
      <c r="B292" s="88"/>
      <c r="C292" s="80"/>
      <c r="D292" s="74"/>
      <c r="AF292" t="str">
        <f t="shared" si="45"/>
        <v>00000000</v>
      </c>
      <c r="AG292" s="81">
        <f t="shared" si="46"/>
        <v>0</v>
      </c>
      <c r="AH292" s="81">
        <f t="shared" si="47"/>
        <v>0</v>
      </c>
      <c r="AI292" t="str">
        <f t="shared" si="48"/>
        <v>0000000000</v>
      </c>
      <c r="AJ292" t="str">
        <f t="shared" si="49"/>
        <v>.00</v>
      </c>
      <c r="AK292" t="str">
        <f t="shared" si="50"/>
        <v>00</v>
      </c>
      <c r="AL292" t="str">
        <f t="shared" si="51"/>
        <v>000000000000</v>
      </c>
      <c r="AM292" t="str">
        <f t="shared" si="43"/>
        <v xml:space="preserve">                              </v>
      </c>
      <c r="AP292" t="str">
        <f t="shared" si="44"/>
        <v/>
      </c>
    </row>
    <row r="293" spans="2:42" x14ac:dyDescent="0.2">
      <c r="B293" s="88"/>
      <c r="C293" s="80"/>
      <c r="D293" s="74"/>
      <c r="AF293" t="str">
        <f t="shared" si="45"/>
        <v>00000000</v>
      </c>
      <c r="AG293" s="81">
        <f t="shared" si="46"/>
        <v>0</v>
      </c>
      <c r="AH293" s="81">
        <f t="shared" si="47"/>
        <v>0</v>
      </c>
      <c r="AI293" t="str">
        <f t="shared" si="48"/>
        <v>0000000000</v>
      </c>
      <c r="AJ293" t="str">
        <f t="shared" si="49"/>
        <v>.00</v>
      </c>
      <c r="AK293" t="str">
        <f t="shared" si="50"/>
        <v>00</v>
      </c>
      <c r="AL293" t="str">
        <f t="shared" si="51"/>
        <v>000000000000</v>
      </c>
      <c r="AM293" t="str">
        <f t="shared" si="43"/>
        <v xml:space="preserve">                              </v>
      </c>
      <c r="AP293" t="str">
        <f t="shared" si="44"/>
        <v/>
      </c>
    </row>
    <row r="294" spans="2:42" x14ac:dyDescent="0.2">
      <c r="B294" s="88"/>
      <c r="C294" s="80"/>
      <c r="D294" s="74"/>
      <c r="AF294" t="str">
        <f t="shared" si="45"/>
        <v>00000000</v>
      </c>
      <c r="AG294" s="81">
        <f t="shared" si="46"/>
        <v>0</v>
      </c>
      <c r="AH294" s="81">
        <f t="shared" si="47"/>
        <v>0</v>
      </c>
      <c r="AI294" t="str">
        <f t="shared" si="48"/>
        <v>0000000000</v>
      </c>
      <c r="AJ294" t="str">
        <f t="shared" si="49"/>
        <v>.00</v>
      </c>
      <c r="AK294" t="str">
        <f t="shared" si="50"/>
        <v>00</v>
      </c>
      <c r="AL294" t="str">
        <f t="shared" si="51"/>
        <v>000000000000</v>
      </c>
      <c r="AM294" t="str">
        <f t="shared" si="43"/>
        <v xml:space="preserve">                              </v>
      </c>
      <c r="AP294" t="str">
        <f t="shared" si="44"/>
        <v/>
      </c>
    </row>
    <row r="295" spans="2:42" x14ac:dyDescent="0.2">
      <c r="B295" s="88"/>
      <c r="C295" s="80"/>
      <c r="D295" s="74"/>
      <c r="AF295" t="str">
        <f t="shared" si="45"/>
        <v>00000000</v>
      </c>
      <c r="AG295" s="81">
        <f t="shared" si="46"/>
        <v>0</v>
      </c>
      <c r="AH295" s="81">
        <f t="shared" si="47"/>
        <v>0</v>
      </c>
      <c r="AI295" t="str">
        <f t="shared" si="48"/>
        <v>0000000000</v>
      </c>
      <c r="AJ295" t="str">
        <f t="shared" si="49"/>
        <v>.00</v>
      </c>
      <c r="AK295" t="str">
        <f t="shared" si="50"/>
        <v>00</v>
      </c>
      <c r="AL295" t="str">
        <f t="shared" si="51"/>
        <v>000000000000</v>
      </c>
      <c r="AM295" t="str">
        <f t="shared" si="43"/>
        <v xml:space="preserve">                              </v>
      </c>
      <c r="AP295" t="str">
        <f t="shared" si="44"/>
        <v/>
      </c>
    </row>
    <row r="296" spans="2:42" x14ac:dyDescent="0.2">
      <c r="B296" s="88"/>
      <c r="C296" s="80"/>
      <c r="D296" s="74"/>
      <c r="AF296" t="str">
        <f t="shared" si="45"/>
        <v>00000000</v>
      </c>
      <c r="AG296" s="81">
        <f t="shared" si="46"/>
        <v>0</v>
      </c>
      <c r="AH296" s="81">
        <f t="shared" si="47"/>
        <v>0</v>
      </c>
      <c r="AI296" t="str">
        <f t="shared" si="48"/>
        <v>0000000000</v>
      </c>
      <c r="AJ296" t="str">
        <f t="shared" si="49"/>
        <v>.00</v>
      </c>
      <c r="AK296" t="str">
        <f t="shared" si="50"/>
        <v>00</v>
      </c>
      <c r="AL296" t="str">
        <f t="shared" si="51"/>
        <v>000000000000</v>
      </c>
      <c r="AM296" t="str">
        <f t="shared" si="43"/>
        <v xml:space="preserve">                              </v>
      </c>
      <c r="AP296" t="str">
        <f t="shared" si="44"/>
        <v/>
      </c>
    </row>
    <row r="297" spans="2:42" x14ac:dyDescent="0.2">
      <c r="B297" s="88"/>
      <c r="C297" s="80"/>
      <c r="D297" s="74"/>
      <c r="AF297" t="str">
        <f t="shared" si="45"/>
        <v>00000000</v>
      </c>
      <c r="AG297" s="81">
        <f t="shared" si="46"/>
        <v>0</v>
      </c>
      <c r="AH297" s="81">
        <f t="shared" si="47"/>
        <v>0</v>
      </c>
      <c r="AI297" t="str">
        <f t="shared" si="48"/>
        <v>0000000000</v>
      </c>
      <c r="AJ297" t="str">
        <f t="shared" si="49"/>
        <v>.00</v>
      </c>
      <c r="AK297" t="str">
        <f t="shared" si="50"/>
        <v>00</v>
      </c>
      <c r="AL297" t="str">
        <f t="shared" si="51"/>
        <v>000000000000</v>
      </c>
      <c r="AM297" t="str">
        <f t="shared" si="43"/>
        <v xml:space="preserve">                              </v>
      </c>
      <c r="AP297" t="str">
        <f t="shared" si="44"/>
        <v/>
      </c>
    </row>
    <row r="298" spans="2:42" x14ac:dyDescent="0.2">
      <c r="B298" s="88"/>
      <c r="C298" s="80"/>
      <c r="D298" s="74"/>
      <c r="AF298" t="str">
        <f t="shared" si="45"/>
        <v>00000000</v>
      </c>
      <c r="AG298" s="81">
        <f t="shared" si="46"/>
        <v>0</v>
      </c>
      <c r="AH298" s="81">
        <f t="shared" si="47"/>
        <v>0</v>
      </c>
      <c r="AI298" t="str">
        <f t="shared" si="48"/>
        <v>0000000000</v>
      </c>
      <c r="AJ298" t="str">
        <f t="shared" si="49"/>
        <v>.00</v>
      </c>
      <c r="AK298" t="str">
        <f t="shared" si="50"/>
        <v>00</v>
      </c>
      <c r="AL298" t="str">
        <f t="shared" si="51"/>
        <v>000000000000</v>
      </c>
      <c r="AM298" t="str">
        <f t="shared" si="43"/>
        <v xml:space="preserve">                              </v>
      </c>
      <c r="AP298" t="str">
        <f t="shared" si="44"/>
        <v/>
      </c>
    </row>
    <row r="299" spans="2:42" x14ac:dyDescent="0.2">
      <c r="B299" s="88"/>
      <c r="C299" s="80"/>
      <c r="D299" s="74"/>
      <c r="AF299" t="str">
        <f t="shared" si="45"/>
        <v>00000000</v>
      </c>
      <c r="AG299" s="81">
        <f t="shared" si="46"/>
        <v>0</v>
      </c>
      <c r="AH299" s="81">
        <f t="shared" si="47"/>
        <v>0</v>
      </c>
      <c r="AI299" t="str">
        <f t="shared" si="48"/>
        <v>0000000000</v>
      </c>
      <c r="AJ299" t="str">
        <f t="shared" si="49"/>
        <v>.00</v>
      </c>
      <c r="AK299" t="str">
        <f t="shared" si="50"/>
        <v>00</v>
      </c>
      <c r="AL299" t="str">
        <f t="shared" si="51"/>
        <v>000000000000</v>
      </c>
      <c r="AM299" t="str">
        <f t="shared" si="43"/>
        <v xml:space="preserve">                              </v>
      </c>
      <c r="AP299" t="str">
        <f t="shared" si="44"/>
        <v/>
      </c>
    </row>
    <row r="300" spans="2:42" x14ac:dyDescent="0.2">
      <c r="B300" s="88"/>
      <c r="C300" s="80"/>
      <c r="D300" s="74"/>
      <c r="AF300" t="str">
        <f t="shared" si="45"/>
        <v>00000000</v>
      </c>
      <c r="AG300" s="81">
        <f t="shared" si="46"/>
        <v>0</v>
      </c>
      <c r="AH300" s="81">
        <f t="shared" si="47"/>
        <v>0</v>
      </c>
      <c r="AI300" t="str">
        <f t="shared" si="48"/>
        <v>0000000000</v>
      </c>
      <c r="AJ300" t="str">
        <f t="shared" si="49"/>
        <v>.00</v>
      </c>
      <c r="AK300" t="str">
        <f t="shared" si="50"/>
        <v>00</v>
      </c>
      <c r="AL300" t="str">
        <f t="shared" si="51"/>
        <v>000000000000</v>
      </c>
      <c r="AM300" t="str">
        <f t="shared" si="43"/>
        <v xml:space="preserve">                              </v>
      </c>
      <c r="AP300" t="str">
        <f t="shared" si="44"/>
        <v/>
      </c>
    </row>
    <row r="301" spans="2:42" x14ac:dyDescent="0.2">
      <c r="B301" s="88"/>
      <c r="C301" s="80"/>
      <c r="D301" s="74"/>
      <c r="AF301" t="str">
        <f t="shared" si="45"/>
        <v>00000000</v>
      </c>
      <c r="AG301" s="81">
        <f t="shared" si="46"/>
        <v>0</v>
      </c>
      <c r="AH301" s="81">
        <f t="shared" si="47"/>
        <v>0</v>
      </c>
      <c r="AI301" t="str">
        <f t="shared" si="48"/>
        <v>0000000000</v>
      </c>
      <c r="AJ301" t="str">
        <f t="shared" si="49"/>
        <v>.00</v>
      </c>
      <c r="AK301" t="str">
        <f t="shared" si="50"/>
        <v>00</v>
      </c>
      <c r="AL301" t="str">
        <f t="shared" si="51"/>
        <v>000000000000</v>
      </c>
      <c r="AM301" t="str">
        <f t="shared" si="43"/>
        <v xml:space="preserve">                              </v>
      </c>
      <c r="AP301" t="str">
        <f t="shared" si="44"/>
        <v/>
      </c>
    </row>
    <row r="302" spans="2:42" x14ac:dyDescent="0.2">
      <c r="B302" s="88"/>
      <c r="C302" s="80"/>
      <c r="D302" s="74"/>
      <c r="AF302" t="str">
        <f t="shared" si="45"/>
        <v>00000000</v>
      </c>
      <c r="AG302" s="81">
        <f t="shared" si="46"/>
        <v>0</v>
      </c>
      <c r="AH302" s="81">
        <f t="shared" si="47"/>
        <v>0</v>
      </c>
      <c r="AI302" t="str">
        <f t="shared" si="48"/>
        <v>0000000000</v>
      </c>
      <c r="AJ302" t="str">
        <f t="shared" si="49"/>
        <v>.00</v>
      </c>
      <c r="AK302" t="str">
        <f t="shared" si="50"/>
        <v>00</v>
      </c>
      <c r="AL302" t="str">
        <f t="shared" si="51"/>
        <v>000000000000</v>
      </c>
      <c r="AM302" t="str">
        <f t="shared" si="43"/>
        <v xml:space="preserve">                              </v>
      </c>
      <c r="AP302" t="str">
        <f t="shared" si="44"/>
        <v/>
      </c>
    </row>
    <row r="303" spans="2:42" x14ac:dyDescent="0.2">
      <c r="B303" s="88"/>
      <c r="C303" s="80"/>
      <c r="D303" s="74"/>
      <c r="AF303" t="str">
        <f t="shared" si="45"/>
        <v>00000000</v>
      </c>
      <c r="AG303" s="81">
        <f t="shared" si="46"/>
        <v>0</v>
      </c>
      <c r="AH303" s="81">
        <f t="shared" si="47"/>
        <v>0</v>
      </c>
      <c r="AI303" t="str">
        <f t="shared" si="48"/>
        <v>0000000000</v>
      </c>
      <c r="AJ303" t="str">
        <f t="shared" si="49"/>
        <v>.00</v>
      </c>
      <c r="AK303" t="str">
        <f t="shared" si="50"/>
        <v>00</v>
      </c>
      <c r="AL303" t="str">
        <f t="shared" si="51"/>
        <v>000000000000</v>
      </c>
      <c r="AM303" t="str">
        <f t="shared" si="43"/>
        <v xml:space="preserve">                              </v>
      </c>
      <c r="AP303" t="str">
        <f t="shared" si="44"/>
        <v/>
      </c>
    </row>
    <row r="304" spans="2:42" x14ac:dyDescent="0.2">
      <c r="B304" s="88"/>
      <c r="C304" s="80"/>
      <c r="D304" s="74"/>
      <c r="AF304" t="str">
        <f t="shared" si="45"/>
        <v>00000000</v>
      </c>
      <c r="AG304" s="81">
        <f t="shared" si="46"/>
        <v>0</v>
      </c>
      <c r="AH304" s="81">
        <f t="shared" si="47"/>
        <v>0</v>
      </c>
      <c r="AI304" t="str">
        <f t="shared" si="48"/>
        <v>0000000000</v>
      </c>
      <c r="AJ304" t="str">
        <f t="shared" si="49"/>
        <v>.00</v>
      </c>
      <c r="AK304" t="str">
        <f t="shared" si="50"/>
        <v>00</v>
      </c>
      <c r="AL304" t="str">
        <f t="shared" si="51"/>
        <v>000000000000</v>
      </c>
      <c r="AM304" t="str">
        <f t="shared" si="43"/>
        <v xml:space="preserve">                              </v>
      </c>
      <c r="AP304" t="str">
        <f t="shared" si="44"/>
        <v/>
      </c>
    </row>
    <row r="305" spans="2:42" x14ac:dyDescent="0.2">
      <c r="B305" s="88"/>
      <c r="C305" s="80"/>
      <c r="D305" s="74"/>
      <c r="AF305" t="str">
        <f t="shared" si="45"/>
        <v>00000000</v>
      </c>
      <c r="AG305" s="81">
        <f t="shared" si="46"/>
        <v>0</v>
      </c>
      <c r="AH305" s="81">
        <f t="shared" si="47"/>
        <v>0</v>
      </c>
      <c r="AI305" t="str">
        <f t="shared" si="48"/>
        <v>0000000000</v>
      </c>
      <c r="AJ305" t="str">
        <f t="shared" si="49"/>
        <v>.00</v>
      </c>
      <c r="AK305" t="str">
        <f t="shared" si="50"/>
        <v>00</v>
      </c>
      <c r="AL305" t="str">
        <f t="shared" si="51"/>
        <v>000000000000</v>
      </c>
      <c r="AM305" t="str">
        <f t="shared" si="43"/>
        <v xml:space="preserve">                              </v>
      </c>
      <c r="AP305" t="str">
        <f t="shared" si="44"/>
        <v/>
      </c>
    </row>
    <row r="306" spans="2:42" x14ac:dyDescent="0.2">
      <c r="B306" s="88"/>
      <c r="C306" s="80"/>
      <c r="D306" s="74"/>
      <c r="AF306" t="str">
        <f t="shared" si="45"/>
        <v>00000000</v>
      </c>
      <c r="AG306" s="81">
        <f t="shared" si="46"/>
        <v>0</v>
      </c>
      <c r="AH306" s="81">
        <f t="shared" si="47"/>
        <v>0</v>
      </c>
      <c r="AI306" t="str">
        <f t="shared" si="48"/>
        <v>0000000000</v>
      </c>
      <c r="AJ306" t="str">
        <f t="shared" si="49"/>
        <v>.00</v>
      </c>
      <c r="AK306" t="str">
        <f t="shared" si="50"/>
        <v>00</v>
      </c>
      <c r="AL306" t="str">
        <f t="shared" si="51"/>
        <v>000000000000</v>
      </c>
      <c r="AM306" t="str">
        <f t="shared" si="43"/>
        <v xml:space="preserve">                              </v>
      </c>
      <c r="AP306" t="str">
        <f t="shared" si="44"/>
        <v/>
      </c>
    </row>
    <row r="307" spans="2:42" x14ac:dyDescent="0.2">
      <c r="B307" s="88"/>
      <c r="C307" s="80"/>
      <c r="D307" s="74"/>
      <c r="AF307" t="str">
        <f t="shared" si="45"/>
        <v>00000000</v>
      </c>
      <c r="AG307" s="81">
        <f t="shared" si="46"/>
        <v>0</v>
      </c>
      <c r="AH307" s="81">
        <f t="shared" si="47"/>
        <v>0</v>
      </c>
      <c r="AI307" t="str">
        <f t="shared" si="48"/>
        <v>0000000000</v>
      </c>
      <c r="AJ307" t="str">
        <f t="shared" si="49"/>
        <v>.00</v>
      </c>
      <c r="AK307" t="str">
        <f t="shared" si="50"/>
        <v>00</v>
      </c>
      <c r="AL307" t="str">
        <f t="shared" si="51"/>
        <v>000000000000</v>
      </c>
      <c r="AM307" t="str">
        <f t="shared" si="43"/>
        <v xml:space="preserve">                              </v>
      </c>
      <c r="AP307" t="str">
        <f t="shared" si="44"/>
        <v/>
      </c>
    </row>
    <row r="308" spans="2:42" x14ac:dyDescent="0.2">
      <c r="B308" s="88"/>
      <c r="C308" s="80"/>
      <c r="D308" s="74"/>
      <c r="AF308" t="str">
        <f t="shared" si="45"/>
        <v>00000000</v>
      </c>
      <c r="AG308" s="81">
        <f t="shared" si="46"/>
        <v>0</v>
      </c>
      <c r="AH308" s="81">
        <f t="shared" si="47"/>
        <v>0</v>
      </c>
      <c r="AI308" t="str">
        <f t="shared" si="48"/>
        <v>0000000000</v>
      </c>
      <c r="AJ308" t="str">
        <f t="shared" si="49"/>
        <v>.00</v>
      </c>
      <c r="AK308" t="str">
        <f t="shared" si="50"/>
        <v>00</v>
      </c>
      <c r="AL308" t="str">
        <f t="shared" si="51"/>
        <v>000000000000</v>
      </c>
      <c r="AM308" t="str">
        <f t="shared" si="43"/>
        <v xml:space="preserve">                              </v>
      </c>
      <c r="AP308" t="str">
        <f t="shared" si="44"/>
        <v/>
      </c>
    </row>
    <row r="309" spans="2:42" x14ac:dyDescent="0.2">
      <c r="B309" s="88"/>
      <c r="C309" s="80"/>
      <c r="D309" s="74"/>
      <c r="AF309" t="str">
        <f t="shared" si="45"/>
        <v>00000000</v>
      </c>
      <c r="AG309" s="81">
        <f t="shared" si="46"/>
        <v>0</v>
      </c>
      <c r="AH309" s="81">
        <f t="shared" si="47"/>
        <v>0</v>
      </c>
      <c r="AI309" t="str">
        <f t="shared" si="48"/>
        <v>0000000000</v>
      </c>
      <c r="AJ309" t="str">
        <f t="shared" si="49"/>
        <v>.00</v>
      </c>
      <c r="AK309" t="str">
        <f t="shared" si="50"/>
        <v>00</v>
      </c>
      <c r="AL309" t="str">
        <f t="shared" si="51"/>
        <v>000000000000</v>
      </c>
      <c r="AM309" t="str">
        <f t="shared" si="43"/>
        <v xml:space="preserve">                              </v>
      </c>
      <c r="AP309" t="str">
        <f t="shared" si="44"/>
        <v/>
      </c>
    </row>
    <row r="310" spans="2:42" x14ac:dyDescent="0.2">
      <c r="B310" s="88"/>
      <c r="C310" s="80"/>
      <c r="D310" s="74"/>
      <c r="AF310" t="str">
        <f t="shared" si="45"/>
        <v>00000000</v>
      </c>
      <c r="AG310" s="81">
        <f t="shared" si="46"/>
        <v>0</v>
      </c>
      <c r="AH310" s="81">
        <f t="shared" si="47"/>
        <v>0</v>
      </c>
      <c r="AI310" t="str">
        <f t="shared" si="48"/>
        <v>0000000000</v>
      </c>
      <c r="AJ310" t="str">
        <f t="shared" si="49"/>
        <v>.00</v>
      </c>
      <c r="AK310" t="str">
        <f t="shared" si="50"/>
        <v>00</v>
      </c>
      <c r="AL310" t="str">
        <f t="shared" si="51"/>
        <v>000000000000</v>
      </c>
      <c r="AM310" t="str">
        <f t="shared" si="43"/>
        <v xml:space="preserve">                              </v>
      </c>
      <c r="AP310" t="str">
        <f t="shared" si="44"/>
        <v/>
      </c>
    </row>
    <row r="311" spans="2:42" x14ac:dyDescent="0.2">
      <c r="B311" s="88"/>
      <c r="C311" s="80"/>
      <c r="D311" s="74"/>
      <c r="AF311" t="str">
        <f t="shared" si="45"/>
        <v>00000000</v>
      </c>
      <c r="AG311" s="81">
        <f t="shared" si="46"/>
        <v>0</v>
      </c>
      <c r="AH311" s="81">
        <f t="shared" si="47"/>
        <v>0</v>
      </c>
      <c r="AI311" t="str">
        <f t="shared" si="48"/>
        <v>0000000000</v>
      </c>
      <c r="AJ311" t="str">
        <f t="shared" si="49"/>
        <v>.00</v>
      </c>
      <c r="AK311" t="str">
        <f t="shared" si="50"/>
        <v>00</v>
      </c>
      <c r="AL311" t="str">
        <f t="shared" si="51"/>
        <v>000000000000</v>
      </c>
      <c r="AM311" t="str">
        <f t="shared" si="43"/>
        <v xml:space="preserve">                              </v>
      </c>
      <c r="AP311" t="str">
        <f t="shared" si="44"/>
        <v/>
      </c>
    </row>
    <row r="312" spans="2:42" x14ac:dyDescent="0.2">
      <c r="B312" s="88"/>
      <c r="C312" s="80"/>
      <c r="D312" s="74"/>
      <c r="AF312" t="str">
        <f t="shared" si="45"/>
        <v>00000000</v>
      </c>
      <c r="AG312" s="81">
        <f t="shared" si="46"/>
        <v>0</v>
      </c>
      <c r="AH312" s="81">
        <f t="shared" si="47"/>
        <v>0</v>
      </c>
      <c r="AI312" t="str">
        <f t="shared" si="48"/>
        <v>0000000000</v>
      </c>
      <c r="AJ312" t="str">
        <f t="shared" si="49"/>
        <v>.00</v>
      </c>
      <c r="AK312" t="str">
        <f t="shared" si="50"/>
        <v>00</v>
      </c>
      <c r="AL312" t="str">
        <f t="shared" si="51"/>
        <v>000000000000</v>
      </c>
      <c r="AM312" t="str">
        <f t="shared" si="43"/>
        <v xml:space="preserve">                              </v>
      </c>
      <c r="AP312" t="str">
        <f t="shared" si="44"/>
        <v/>
      </c>
    </row>
    <row r="313" spans="2:42" x14ac:dyDescent="0.2">
      <c r="B313" s="88"/>
      <c r="C313" s="80"/>
      <c r="D313" s="74"/>
      <c r="AF313" t="str">
        <f t="shared" si="45"/>
        <v>00000000</v>
      </c>
      <c r="AG313" s="81">
        <f t="shared" si="46"/>
        <v>0</v>
      </c>
      <c r="AH313" s="81">
        <f t="shared" si="47"/>
        <v>0</v>
      </c>
      <c r="AI313" t="str">
        <f t="shared" si="48"/>
        <v>0000000000</v>
      </c>
      <c r="AJ313" t="str">
        <f t="shared" si="49"/>
        <v>.00</v>
      </c>
      <c r="AK313" t="str">
        <f t="shared" si="50"/>
        <v>00</v>
      </c>
      <c r="AL313" t="str">
        <f t="shared" si="51"/>
        <v>000000000000</v>
      </c>
      <c r="AM313" t="str">
        <f t="shared" si="43"/>
        <v xml:space="preserve">                              </v>
      </c>
      <c r="AP313" t="str">
        <f t="shared" si="44"/>
        <v/>
      </c>
    </row>
    <row r="314" spans="2:42" x14ac:dyDescent="0.2">
      <c r="B314" s="88"/>
      <c r="C314" s="80"/>
      <c r="D314" s="74"/>
      <c r="AF314" t="str">
        <f t="shared" si="45"/>
        <v>00000000</v>
      </c>
      <c r="AG314" s="81">
        <f t="shared" si="46"/>
        <v>0</v>
      </c>
      <c r="AH314" s="81">
        <f t="shared" si="47"/>
        <v>0</v>
      </c>
      <c r="AI314" t="str">
        <f t="shared" si="48"/>
        <v>0000000000</v>
      </c>
      <c r="AJ314" t="str">
        <f t="shared" si="49"/>
        <v>.00</v>
      </c>
      <c r="AK314" t="str">
        <f t="shared" si="50"/>
        <v>00</v>
      </c>
      <c r="AL314" t="str">
        <f t="shared" si="51"/>
        <v>000000000000</v>
      </c>
      <c r="AM314" t="str">
        <f t="shared" si="43"/>
        <v xml:space="preserve">                              </v>
      </c>
      <c r="AP314" t="str">
        <f t="shared" si="44"/>
        <v/>
      </c>
    </row>
    <row r="315" spans="2:42" x14ac:dyDescent="0.2">
      <c r="B315" s="88"/>
      <c r="C315" s="80"/>
      <c r="D315" s="74"/>
      <c r="AF315" t="str">
        <f t="shared" si="45"/>
        <v>00000000</v>
      </c>
      <c r="AG315" s="81">
        <f t="shared" si="46"/>
        <v>0</v>
      </c>
      <c r="AH315" s="81">
        <f t="shared" si="47"/>
        <v>0</v>
      </c>
      <c r="AI315" t="str">
        <f t="shared" si="48"/>
        <v>0000000000</v>
      </c>
      <c r="AJ315" t="str">
        <f t="shared" si="49"/>
        <v>.00</v>
      </c>
      <c r="AK315" t="str">
        <f t="shared" si="50"/>
        <v>00</v>
      </c>
      <c r="AL315" t="str">
        <f t="shared" si="51"/>
        <v>000000000000</v>
      </c>
      <c r="AM315" t="str">
        <f t="shared" si="43"/>
        <v xml:space="preserve">                              </v>
      </c>
      <c r="AP315" t="str">
        <f t="shared" si="44"/>
        <v/>
      </c>
    </row>
    <row r="316" spans="2:42" x14ac:dyDescent="0.2">
      <c r="B316" s="88"/>
      <c r="C316" s="80"/>
      <c r="D316" s="74"/>
      <c r="AF316" t="str">
        <f t="shared" si="45"/>
        <v>00000000</v>
      </c>
      <c r="AG316" s="81">
        <f t="shared" si="46"/>
        <v>0</v>
      </c>
      <c r="AH316" s="81">
        <f t="shared" si="47"/>
        <v>0</v>
      </c>
      <c r="AI316" t="str">
        <f t="shared" si="48"/>
        <v>0000000000</v>
      </c>
      <c r="AJ316" t="str">
        <f t="shared" si="49"/>
        <v>.00</v>
      </c>
      <c r="AK316" t="str">
        <f t="shared" si="50"/>
        <v>00</v>
      </c>
      <c r="AL316" t="str">
        <f t="shared" si="51"/>
        <v>000000000000</v>
      </c>
      <c r="AM316" t="str">
        <f t="shared" si="43"/>
        <v xml:space="preserve">                              </v>
      </c>
      <c r="AP316" t="str">
        <f t="shared" si="44"/>
        <v/>
      </c>
    </row>
    <row r="317" spans="2:42" x14ac:dyDescent="0.2">
      <c r="B317" s="88"/>
      <c r="C317" s="80"/>
      <c r="D317" s="74"/>
      <c r="AF317" t="str">
        <f t="shared" si="45"/>
        <v>00000000</v>
      </c>
      <c r="AG317" s="81">
        <f t="shared" si="46"/>
        <v>0</v>
      </c>
      <c r="AH317" s="81">
        <f t="shared" si="47"/>
        <v>0</v>
      </c>
      <c r="AI317" t="str">
        <f t="shared" si="48"/>
        <v>0000000000</v>
      </c>
      <c r="AJ317" t="str">
        <f t="shared" si="49"/>
        <v>.00</v>
      </c>
      <c r="AK317" t="str">
        <f t="shared" si="50"/>
        <v>00</v>
      </c>
      <c r="AL317" t="str">
        <f t="shared" si="51"/>
        <v>000000000000</v>
      </c>
      <c r="AM317" t="str">
        <f t="shared" si="43"/>
        <v xml:space="preserve">                              </v>
      </c>
      <c r="AP317" t="str">
        <f t="shared" si="44"/>
        <v/>
      </c>
    </row>
    <row r="318" spans="2:42" x14ac:dyDescent="0.2">
      <c r="B318" s="88"/>
      <c r="C318" s="80"/>
      <c r="D318" s="74"/>
      <c r="AF318" t="str">
        <f t="shared" si="45"/>
        <v>00000000</v>
      </c>
      <c r="AG318" s="81">
        <f t="shared" si="46"/>
        <v>0</v>
      </c>
      <c r="AH318" s="81">
        <f t="shared" si="47"/>
        <v>0</v>
      </c>
      <c r="AI318" t="str">
        <f t="shared" si="48"/>
        <v>0000000000</v>
      </c>
      <c r="AJ318" t="str">
        <f t="shared" si="49"/>
        <v>.00</v>
      </c>
      <c r="AK318" t="str">
        <f t="shared" si="50"/>
        <v>00</v>
      </c>
      <c r="AL318" t="str">
        <f t="shared" si="51"/>
        <v>000000000000</v>
      </c>
      <c r="AM318" t="str">
        <f t="shared" si="43"/>
        <v xml:space="preserve">                              </v>
      </c>
      <c r="AP318" t="str">
        <f t="shared" si="44"/>
        <v/>
      </c>
    </row>
    <row r="319" spans="2:42" x14ac:dyDescent="0.2">
      <c r="B319" s="88"/>
      <c r="C319" s="80"/>
      <c r="D319" s="74"/>
      <c r="AF319" t="str">
        <f t="shared" si="45"/>
        <v>00000000</v>
      </c>
      <c r="AG319" s="81">
        <f t="shared" si="46"/>
        <v>0</v>
      </c>
      <c r="AH319" s="81">
        <f t="shared" si="47"/>
        <v>0</v>
      </c>
      <c r="AI319" t="str">
        <f t="shared" si="48"/>
        <v>0000000000</v>
      </c>
      <c r="AJ319" t="str">
        <f t="shared" si="49"/>
        <v>.00</v>
      </c>
      <c r="AK319" t="str">
        <f t="shared" si="50"/>
        <v>00</v>
      </c>
      <c r="AL319" t="str">
        <f t="shared" si="51"/>
        <v>000000000000</v>
      </c>
      <c r="AM319" t="str">
        <f t="shared" si="43"/>
        <v xml:space="preserve">                              </v>
      </c>
      <c r="AP319" t="str">
        <f t="shared" si="44"/>
        <v/>
      </c>
    </row>
    <row r="320" spans="2:42" x14ac:dyDescent="0.2">
      <c r="B320" s="88"/>
      <c r="C320" s="80"/>
      <c r="D320" s="74"/>
      <c r="AF320" t="str">
        <f t="shared" si="45"/>
        <v>00000000</v>
      </c>
      <c r="AG320" s="81">
        <f t="shared" si="46"/>
        <v>0</v>
      </c>
      <c r="AH320" s="81">
        <f t="shared" si="47"/>
        <v>0</v>
      </c>
      <c r="AI320" t="str">
        <f t="shared" si="48"/>
        <v>0000000000</v>
      </c>
      <c r="AJ320" t="str">
        <f t="shared" si="49"/>
        <v>.00</v>
      </c>
      <c r="AK320" t="str">
        <f t="shared" si="50"/>
        <v>00</v>
      </c>
      <c r="AL320" t="str">
        <f t="shared" si="51"/>
        <v>000000000000</v>
      </c>
      <c r="AM320" t="str">
        <f t="shared" si="43"/>
        <v xml:space="preserve">                              </v>
      </c>
      <c r="AP320" t="str">
        <f t="shared" si="44"/>
        <v/>
      </c>
    </row>
    <row r="321" spans="2:42" x14ac:dyDescent="0.2">
      <c r="B321" s="88"/>
      <c r="C321" s="80"/>
      <c r="D321" s="74"/>
      <c r="AF321" t="str">
        <f t="shared" si="45"/>
        <v>00000000</v>
      </c>
      <c r="AG321" s="81">
        <f t="shared" si="46"/>
        <v>0</v>
      </c>
      <c r="AH321" s="81">
        <f t="shared" si="47"/>
        <v>0</v>
      </c>
      <c r="AI321" t="str">
        <f t="shared" si="48"/>
        <v>0000000000</v>
      </c>
      <c r="AJ321" t="str">
        <f t="shared" si="49"/>
        <v>.00</v>
      </c>
      <c r="AK321" t="str">
        <f t="shared" si="50"/>
        <v>00</v>
      </c>
      <c r="AL321" t="str">
        <f t="shared" si="51"/>
        <v>000000000000</v>
      </c>
      <c r="AM321" t="str">
        <f t="shared" si="43"/>
        <v xml:space="preserve">                              </v>
      </c>
      <c r="AP321" t="str">
        <f t="shared" si="44"/>
        <v/>
      </c>
    </row>
    <row r="322" spans="2:42" x14ac:dyDescent="0.2">
      <c r="B322" s="88"/>
      <c r="C322" s="80"/>
      <c r="D322" s="74"/>
      <c r="AF322" t="str">
        <f t="shared" si="45"/>
        <v>00000000</v>
      </c>
      <c r="AG322" s="81">
        <f t="shared" si="46"/>
        <v>0</v>
      </c>
      <c r="AH322" s="81">
        <f t="shared" si="47"/>
        <v>0</v>
      </c>
      <c r="AI322" t="str">
        <f t="shared" si="48"/>
        <v>0000000000</v>
      </c>
      <c r="AJ322" t="str">
        <f t="shared" si="49"/>
        <v>.00</v>
      </c>
      <c r="AK322" t="str">
        <f t="shared" si="50"/>
        <v>00</v>
      </c>
      <c r="AL322" t="str">
        <f t="shared" si="51"/>
        <v>000000000000</v>
      </c>
      <c r="AM322" t="str">
        <f t="shared" si="43"/>
        <v xml:space="preserve">                              </v>
      </c>
      <c r="AP322" t="str">
        <f t="shared" si="44"/>
        <v/>
      </c>
    </row>
    <row r="323" spans="2:42" x14ac:dyDescent="0.2">
      <c r="B323" s="88"/>
      <c r="C323" s="80"/>
      <c r="D323" s="74"/>
      <c r="AF323" t="str">
        <f t="shared" si="45"/>
        <v>00000000</v>
      </c>
      <c r="AG323" s="81">
        <f t="shared" si="46"/>
        <v>0</v>
      </c>
      <c r="AH323" s="81">
        <f t="shared" si="47"/>
        <v>0</v>
      </c>
      <c r="AI323" t="str">
        <f t="shared" si="48"/>
        <v>0000000000</v>
      </c>
      <c r="AJ323" t="str">
        <f t="shared" si="49"/>
        <v>.00</v>
      </c>
      <c r="AK323" t="str">
        <f t="shared" si="50"/>
        <v>00</v>
      </c>
      <c r="AL323" t="str">
        <f t="shared" si="51"/>
        <v>000000000000</v>
      </c>
      <c r="AM323" t="str">
        <f t="shared" ref="AM323:AM386" si="52">CONCATENATE(D324,REPT(" ",30-LEN(D324)))</f>
        <v xml:space="preserve">                              </v>
      </c>
      <c r="AP323" t="str">
        <f t="shared" ref="AP323:AP386" si="53">IF(B324&lt;&gt;"",CONCATENATE("000",$AA$3,"     ",$AB$3,$AC$3,$AD$3,"30000",AF323,AL323,$AC$1,AM323),"")</f>
        <v/>
      </c>
    </row>
    <row r="324" spans="2:42" x14ac:dyDescent="0.2">
      <c r="B324" s="88"/>
      <c r="C324" s="80"/>
      <c r="D324" s="74"/>
      <c r="AF324" t="str">
        <f t="shared" si="45"/>
        <v>00000000</v>
      </c>
      <c r="AG324" s="81">
        <f t="shared" si="46"/>
        <v>0</v>
      </c>
      <c r="AH324" s="81">
        <f t="shared" si="47"/>
        <v>0</v>
      </c>
      <c r="AI324" t="str">
        <f t="shared" si="48"/>
        <v>0000000000</v>
      </c>
      <c r="AJ324" t="str">
        <f t="shared" si="49"/>
        <v>.00</v>
      </c>
      <c r="AK324" t="str">
        <f t="shared" si="50"/>
        <v>00</v>
      </c>
      <c r="AL324" t="str">
        <f t="shared" si="51"/>
        <v>000000000000</v>
      </c>
      <c r="AM324" t="str">
        <f t="shared" si="52"/>
        <v xml:space="preserve">                              </v>
      </c>
      <c r="AP324" t="str">
        <f t="shared" si="53"/>
        <v/>
      </c>
    </row>
    <row r="325" spans="2:42" x14ac:dyDescent="0.2">
      <c r="B325" s="88"/>
      <c r="C325" s="80"/>
      <c r="D325" s="74"/>
      <c r="AF325" t="str">
        <f t="shared" si="45"/>
        <v>00000000</v>
      </c>
      <c r="AG325" s="81">
        <f t="shared" si="46"/>
        <v>0</v>
      </c>
      <c r="AH325" s="81">
        <f t="shared" si="47"/>
        <v>0</v>
      </c>
      <c r="AI325" t="str">
        <f t="shared" si="48"/>
        <v>0000000000</v>
      </c>
      <c r="AJ325" t="str">
        <f t="shared" si="49"/>
        <v>.00</v>
      </c>
      <c r="AK325" t="str">
        <f t="shared" si="50"/>
        <v>00</v>
      </c>
      <c r="AL325" t="str">
        <f t="shared" si="51"/>
        <v>000000000000</v>
      </c>
      <c r="AM325" t="str">
        <f t="shared" si="52"/>
        <v xml:space="preserve">                              </v>
      </c>
      <c r="AP325" t="str">
        <f t="shared" si="53"/>
        <v/>
      </c>
    </row>
    <row r="326" spans="2:42" x14ac:dyDescent="0.2">
      <c r="B326" s="88"/>
      <c r="C326" s="80"/>
      <c r="D326" s="74"/>
      <c r="AF326" t="str">
        <f t="shared" si="45"/>
        <v>00000000</v>
      </c>
      <c r="AG326" s="81">
        <f t="shared" si="46"/>
        <v>0</v>
      </c>
      <c r="AH326" s="81">
        <f t="shared" si="47"/>
        <v>0</v>
      </c>
      <c r="AI326" t="str">
        <f t="shared" si="48"/>
        <v>0000000000</v>
      </c>
      <c r="AJ326" t="str">
        <f t="shared" si="49"/>
        <v>.00</v>
      </c>
      <c r="AK326" t="str">
        <f t="shared" si="50"/>
        <v>00</v>
      </c>
      <c r="AL326" t="str">
        <f t="shared" si="51"/>
        <v>000000000000</v>
      </c>
      <c r="AM326" t="str">
        <f t="shared" si="52"/>
        <v xml:space="preserve">                              </v>
      </c>
      <c r="AP326" t="str">
        <f t="shared" si="53"/>
        <v/>
      </c>
    </row>
    <row r="327" spans="2:42" x14ac:dyDescent="0.2">
      <c r="B327" s="88"/>
      <c r="C327" s="80"/>
      <c r="D327" s="74"/>
      <c r="AF327" t="str">
        <f t="shared" si="45"/>
        <v>00000000</v>
      </c>
      <c r="AG327" s="81">
        <f t="shared" si="46"/>
        <v>0</v>
      </c>
      <c r="AH327" s="81">
        <f t="shared" si="47"/>
        <v>0</v>
      </c>
      <c r="AI327" t="str">
        <f t="shared" si="48"/>
        <v>0000000000</v>
      </c>
      <c r="AJ327" t="str">
        <f t="shared" si="49"/>
        <v>.00</v>
      </c>
      <c r="AK327" t="str">
        <f t="shared" si="50"/>
        <v>00</v>
      </c>
      <c r="AL327" t="str">
        <f t="shared" si="51"/>
        <v>000000000000</v>
      </c>
      <c r="AM327" t="str">
        <f t="shared" si="52"/>
        <v xml:space="preserve">                              </v>
      </c>
      <c r="AP327" t="str">
        <f t="shared" si="53"/>
        <v/>
      </c>
    </row>
    <row r="328" spans="2:42" x14ac:dyDescent="0.2">
      <c r="B328" s="88"/>
      <c r="C328" s="80"/>
      <c r="D328" s="74"/>
      <c r="AF328" t="str">
        <f t="shared" si="45"/>
        <v>00000000</v>
      </c>
      <c r="AG328" s="81">
        <f t="shared" si="46"/>
        <v>0</v>
      </c>
      <c r="AH328" s="81">
        <f t="shared" si="47"/>
        <v>0</v>
      </c>
      <c r="AI328" t="str">
        <f t="shared" si="48"/>
        <v>0000000000</v>
      </c>
      <c r="AJ328" t="str">
        <f t="shared" si="49"/>
        <v>.00</v>
      </c>
      <c r="AK328" t="str">
        <f t="shared" si="50"/>
        <v>00</v>
      </c>
      <c r="AL328" t="str">
        <f t="shared" si="51"/>
        <v>000000000000</v>
      </c>
      <c r="AM328" t="str">
        <f t="shared" si="52"/>
        <v xml:space="preserve">                              </v>
      </c>
      <c r="AP328" t="str">
        <f t="shared" si="53"/>
        <v/>
      </c>
    </row>
    <row r="329" spans="2:42" x14ac:dyDescent="0.2">
      <c r="B329" s="88"/>
      <c r="C329" s="80"/>
      <c r="D329" s="74"/>
      <c r="AF329" t="str">
        <f t="shared" si="45"/>
        <v>00000000</v>
      </c>
      <c r="AG329" s="81">
        <f t="shared" si="46"/>
        <v>0</v>
      </c>
      <c r="AH329" s="81">
        <f t="shared" si="47"/>
        <v>0</v>
      </c>
      <c r="AI329" t="str">
        <f t="shared" si="48"/>
        <v>0000000000</v>
      </c>
      <c r="AJ329" t="str">
        <f t="shared" si="49"/>
        <v>.00</v>
      </c>
      <c r="AK329" t="str">
        <f t="shared" si="50"/>
        <v>00</v>
      </c>
      <c r="AL329" t="str">
        <f t="shared" si="51"/>
        <v>000000000000</v>
      </c>
      <c r="AM329" t="str">
        <f t="shared" si="52"/>
        <v xml:space="preserve">                              </v>
      </c>
      <c r="AP329" t="str">
        <f t="shared" si="53"/>
        <v/>
      </c>
    </row>
    <row r="330" spans="2:42" x14ac:dyDescent="0.2">
      <c r="B330" s="88"/>
      <c r="C330" s="80"/>
      <c r="D330" s="74"/>
      <c r="AF330" t="str">
        <f t="shared" ref="AF330:AF393" si="54">CONCATENATE(REPT("0",8-LEN(B331)),B331)</f>
        <v>00000000</v>
      </c>
      <c r="AG330" s="81">
        <f t="shared" ref="AG330:AG393" si="55">INT(C331)</f>
        <v>0</v>
      </c>
      <c r="AH330" s="81">
        <f t="shared" ref="AH330:AH393" si="56">C331-AG330</f>
        <v>0</v>
      </c>
      <c r="AI330" t="str">
        <f t="shared" ref="AI330:AI393" si="57">TEXT(AG330,"0000000000")</f>
        <v>0000000000</v>
      </c>
      <c r="AJ330" t="str">
        <f t="shared" ref="AJ330:AJ393" si="58">TEXT(AH330,".00")</f>
        <v>.00</v>
      </c>
      <c r="AK330" t="str">
        <f t="shared" ref="AK330:AK393" si="59">MID(AJ330,2,2)</f>
        <v>00</v>
      </c>
      <c r="AL330" t="str">
        <f t="shared" ref="AL330:AL393" si="60">CONCATENATE(AI330,AK330)</f>
        <v>000000000000</v>
      </c>
      <c r="AM330" t="str">
        <f t="shared" si="52"/>
        <v xml:space="preserve">                              </v>
      </c>
      <c r="AP330" t="str">
        <f t="shared" si="53"/>
        <v/>
      </c>
    </row>
    <row r="331" spans="2:42" x14ac:dyDescent="0.2">
      <c r="B331" s="88"/>
      <c r="C331" s="80"/>
      <c r="D331" s="74"/>
      <c r="AF331" t="str">
        <f t="shared" si="54"/>
        <v>00000000</v>
      </c>
      <c r="AG331" s="81">
        <f t="shared" si="55"/>
        <v>0</v>
      </c>
      <c r="AH331" s="81">
        <f t="shared" si="56"/>
        <v>0</v>
      </c>
      <c r="AI331" t="str">
        <f t="shared" si="57"/>
        <v>0000000000</v>
      </c>
      <c r="AJ331" t="str">
        <f t="shared" si="58"/>
        <v>.00</v>
      </c>
      <c r="AK331" t="str">
        <f t="shared" si="59"/>
        <v>00</v>
      </c>
      <c r="AL331" t="str">
        <f t="shared" si="60"/>
        <v>000000000000</v>
      </c>
      <c r="AM331" t="str">
        <f t="shared" si="52"/>
        <v xml:space="preserve">                              </v>
      </c>
      <c r="AP331" t="str">
        <f t="shared" si="53"/>
        <v/>
      </c>
    </row>
    <row r="332" spans="2:42" x14ac:dyDescent="0.2">
      <c r="B332" s="88"/>
      <c r="C332" s="80"/>
      <c r="D332" s="74"/>
      <c r="AF332" t="str">
        <f t="shared" si="54"/>
        <v>00000000</v>
      </c>
      <c r="AG332" s="81">
        <f t="shared" si="55"/>
        <v>0</v>
      </c>
      <c r="AH332" s="81">
        <f t="shared" si="56"/>
        <v>0</v>
      </c>
      <c r="AI332" t="str">
        <f t="shared" si="57"/>
        <v>0000000000</v>
      </c>
      <c r="AJ332" t="str">
        <f t="shared" si="58"/>
        <v>.00</v>
      </c>
      <c r="AK332" t="str">
        <f t="shared" si="59"/>
        <v>00</v>
      </c>
      <c r="AL332" t="str">
        <f t="shared" si="60"/>
        <v>000000000000</v>
      </c>
      <c r="AM332" t="str">
        <f t="shared" si="52"/>
        <v xml:space="preserve">                              </v>
      </c>
      <c r="AP332" t="str">
        <f t="shared" si="53"/>
        <v/>
      </c>
    </row>
    <row r="333" spans="2:42" x14ac:dyDescent="0.2">
      <c r="B333" s="88"/>
      <c r="C333" s="80"/>
      <c r="D333" s="74"/>
      <c r="AF333" t="str">
        <f t="shared" si="54"/>
        <v>00000000</v>
      </c>
      <c r="AG333" s="81">
        <f t="shared" si="55"/>
        <v>0</v>
      </c>
      <c r="AH333" s="81">
        <f t="shared" si="56"/>
        <v>0</v>
      </c>
      <c r="AI333" t="str">
        <f t="shared" si="57"/>
        <v>0000000000</v>
      </c>
      <c r="AJ333" t="str">
        <f t="shared" si="58"/>
        <v>.00</v>
      </c>
      <c r="AK333" t="str">
        <f t="shared" si="59"/>
        <v>00</v>
      </c>
      <c r="AL333" t="str">
        <f t="shared" si="60"/>
        <v>000000000000</v>
      </c>
      <c r="AM333" t="str">
        <f t="shared" si="52"/>
        <v xml:space="preserve">                              </v>
      </c>
      <c r="AP333" t="str">
        <f t="shared" si="53"/>
        <v/>
      </c>
    </row>
    <row r="334" spans="2:42" x14ac:dyDescent="0.2">
      <c r="B334" s="88"/>
      <c r="C334" s="80"/>
      <c r="D334" s="74"/>
      <c r="AF334" t="str">
        <f t="shared" si="54"/>
        <v>00000000</v>
      </c>
      <c r="AG334" s="81">
        <f t="shared" si="55"/>
        <v>0</v>
      </c>
      <c r="AH334" s="81">
        <f t="shared" si="56"/>
        <v>0</v>
      </c>
      <c r="AI334" t="str">
        <f t="shared" si="57"/>
        <v>0000000000</v>
      </c>
      <c r="AJ334" t="str">
        <f t="shared" si="58"/>
        <v>.00</v>
      </c>
      <c r="AK334" t="str">
        <f t="shared" si="59"/>
        <v>00</v>
      </c>
      <c r="AL334" t="str">
        <f t="shared" si="60"/>
        <v>000000000000</v>
      </c>
      <c r="AM334" t="str">
        <f t="shared" si="52"/>
        <v xml:space="preserve">                              </v>
      </c>
      <c r="AP334" t="str">
        <f t="shared" si="53"/>
        <v/>
      </c>
    </row>
    <row r="335" spans="2:42" x14ac:dyDescent="0.2">
      <c r="B335" s="88"/>
      <c r="C335" s="80"/>
      <c r="D335" s="74"/>
      <c r="AF335" t="str">
        <f t="shared" si="54"/>
        <v>00000000</v>
      </c>
      <c r="AG335" s="81">
        <f t="shared" si="55"/>
        <v>0</v>
      </c>
      <c r="AH335" s="81">
        <f t="shared" si="56"/>
        <v>0</v>
      </c>
      <c r="AI335" t="str">
        <f t="shared" si="57"/>
        <v>0000000000</v>
      </c>
      <c r="AJ335" t="str">
        <f t="shared" si="58"/>
        <v>.00</v>
      </c>
      <c r="AK335" t="str">
        <f t="shared" si="59"/>
        <v>00</v>
      </c>
      <c r="AL335" t="str">
        <f t="shared" si="60"/>
        <v>000000000000</v>
      </c>
      <c r="AM335" t="str">
        <f t="shared" si="52"/>
        <v xml:space="preserve">                              </v>
      </c>
      <c r="AP335" t="str">
        <f t="shared" si="53"/>
        <v/>
      </c>
    </row>
    <row r="336" spans="2:42" x14ac:dyDescent="0.2">
      <c r="B336" s="88"/>
      <c r="C336" s="80"/>
      <c r="D336" s="74"/>
      <c r="AF336" t="str">
        <f t="shared" si="54"/>
        <v>00000000</v>
      </c>
      <c r="AG336" s="81">
        <f t="shared" si="55"/>
        <v>0</v>
      </c>
      <c r="AH336" s="81">
        <f t="shared" si="56"/>
        <v>0</v>
      </c>
      <c r="AI336" t="str">
        <f t="shared" si="57"/>
        <v>0000000000</v>
      </c>
      <c r="AJ336" t="str">
        <f t="shared" si="58"/>
        <v>.00</v>
      </c>
      <c r="AK336" t="str">
        <f t="shared" si="59"/>
        <v>00</v>
      </c>
      <c r="AL336" t="str">
        <f t="shared" si="60"/>
        <v>000000000000</v>
      </c>
      <c r="AM336" t="str">
        <f t="shared" si="52"/>
        <v xml:space="preserve">                              </v>
      </c>
      <c r="AP336" t="str">
        <f t="shared" si="53"/>
        <v/>
      </c>
    </row>
    <row r="337" spans="2:42" x14ac:dyDescent="0.2">
      <c r="B337" s="88"/>
      <c r="C337" s="80"/>
      <c r="D337" s="74"/>
      <c r="AF337" t="str">
        <f t="shared" si="54"/>
        <v>00000000</v>
      </c>
      <c r="AG337" s="81">
        <f t="shared" si="55"/>
        <v>0</v>
      </c>
      <c r="AH337" s="81">
        <f t="shared" si="56"/>
        <v>0</v>
      </c>
      <c r="AI337" t="str">
        <f t="shared" si="57"/>
        <v>0000000000</v>
      </c>
      <c r="AJ337" t="str">
        <f t="shared" si="58"/>
        <v>.00</v>
      </c>
      <c r="AK337" t="str">
        <f t="shared" si="59"/>
        <v>00</v>
      </c>
      <c r="AL337" t="str">
        <f t="shared" si="60"/>
        <v>000000000000</v>
      </c>
      <c r="AM337" t="str">
        <f t="shared" si="52"/>
        <v xml:space="preserve">                              </v>
      </c>
      <c r="AP337" t="str">
        <f t="shared" si="53"/>
        <v/>
      </c>
    </row>
    <row r="338" spans="2:42" x14ac:dyDescent="0.2">
      <c r="B338" s="88"/>
      <c r="C338" s="80"/>
      <c r="D338" s="74"/>
      <c r="AF338" t="str">
        <f t="shared" si="54"/>
        <v>00000000</v>
      </c>
      <c r="AG338" s="81">
        <f t="shared" si="55"/>
        <v>0</v>
      </c>
      <c r="AH338" s="81">
        <f t="shared" si="56"/>
        <v>0</v>
      </c>
      <c r="AI338" t="str">
        <f t="shared" si="57"/>
        <v>0000000000</v>
      </c>
      <c r="AJ338" t="str">
        <f t="shared" si="58"/>
        <v>.00</v>
      </c>
      <c r="AK338" t="str">
        <f t="shared" si="59"/>
        <v>00</v>
      </c>
      <c r="AL338" t="str">
        <f t="shared" si="60"/>
        <v>000000000000</v>
      </c>
      <c r="AM338" t="str">
        <f t="shared" si="52"/>
        <v xml:space="preserve">                              </v>
      </c>
      <c r="AP338" t="str">
        <f t="shared" si="53"/>
        <v/>
      </c>
    </row>
    <row r="339" spans="2:42" x14ac:dyDescent="0.2">
      <c r="B339" s="88"/>
      <c r="C339" s="80"/>
      <c r="D339" s="74"/>
      <c r="AF339" t="str">
        <f t="shared" si="54"/>
        <v>00000000</v>
      </c>
      <c r="AG339" s="81">
        <f t="shared" si="55"/>
        <v>0</v>
      </c>
      <c r="AH339" s="81">
        <f t="shared" si="56"/>
        <v>0</v>
      </c>
      <c r="AI339" t="str">
        <f t="shared" si="57"/>
        <v>0000000000</v>
      </c>
      <c r="AJ339" t="str">
        <f t="shared" si="58"/>
        <v>.00</v>
      </c>
      <c r="AK339" t="str">
        <f t="shared" si="59"/>
        <v>00</v>
      </c>
      <c r="AL339" t="str">
        <f t="shared" si="60"/>
        <v>000000000000</v>
      </c>
      <c r="AM339" t="str">
        <f t="shared" si="52"/>
        <v xml:space="preserve">                              </v>
      </c>
      <c r="AP339" t="str">
        <f t="shared" si="53"/>
        <v/>
      </c>
    </row>
    <row r="340" spans="2:42" x14ac:dyDescent="0.2">
      <c r="B340" s="88"/>
      <c r="C340" s="80"/>
      <c r="D340" s="74"/>
      <c r="AF340" t="str">
        <f t="shared" si="54"/>
        <v>00000000</v>
      </c>
      <c r="AG340" s="81">
        <f t="shared" si="55"/>
        <v>0</v>
      </c>
      <c r="AH340" s="81">
        <f t="shared" si="56"/>
        <v>0</v>
      </c>
      <c r="AI340" t="str">
        <f t="shared" si="57"/>
        <v>0000000000</v>
      </c>
      <c r="AJ340" t="str">
        <f t="shared" si="58"/>
        <v>.00</v>
      </c>
      <c r="AK340" t="str">
        <f t="shared" si="59"/>
        <v>00</v>
      </c>
      <c r="AL340" t="str">
        <f t="shared" si="60"/>
        <v>000000000000</v>
      </c>
      <c r="AM340" t="str">
        <f t="shared" si="52"/>
        <v xml:space="preserve">                              </v>
      </c>
      <c r="AP340" t="str">
        <f t="shared" si="53"/>
        <v/>
      </c>
    </row>
    <row r="341" spans="2:42" x14ac:dyDescent="0.2">
      <c r="B341" s="88"/>
      <c r="C341" s="80"/>
      <c r="D341" s="74"/>
      <c r="AF341" t="str">
        <f t="shared" si="54"/>
        <v>00000000</v>
      </c>
      <c r="AG341" s="81">
        <f t="shared" si="55"/>
        <v>0</v>
      </c>
      <c r="AH341" s="81">
        <f t="shared" si="56"/>
        <v>0</v>
      </c>
      <c r="AI341" t="str">
        <f t="shared" si="57"/>
        <v>0000000000</v>
      </c>
      <c r="AJ341" t="str">
        <f t="shared" si="58"/>
        <v>.00</v>
      </c>
      <c r="AK341" t="str">
        <f t="shared" si="59"/>
        <v>00</v>
      </c>
      <c r="AL341" t="str">
        <f t="shared" si="60"/>
        <v>000000000000</v>
      </c>
      <c r="AM341" t="str">
        <f t="shared" si="52"/>
        <v xml:space="preserve">                              </v>
      </c>
      <c r="AP341" t="str">
        <f t="shared" si="53"/>
        <v/>
      </c>
    </row>
    <row r="342" spans="2:42" x14ac:dyDescent="0.2">
      <c r="B342" s="88"/>
      <c r="C342" s="80"/>
      <c r="D342" s="74"/>
      <c r="AF342" t="str">
        <f t="shared" si="54"/>
        <v>00000000</v>
      </c>
      <c r="AG342" s="81">
        <f t="shared" si="55"/>
        <v>0</v>
      </c>
      <c r="AH342" s="81">
        <f t="shared" si="56"/>
        <v>0</v>
      </c>
      <c r="AI342" t="str">
        <f t="shared" si="57"/>
        <v>0000000000</v>
      </c>
      <c r="AJ342" t="str">
        <f t="shared" si="58"/>
        <v>.00</v>
      </c>
      <c r="AK342" t="str">
        <f t="shared" si="59"/>
        <v>00</v>
      </c>
      <c r="AL342" t="str">
        <f t="shared" si="60"/>
        <v>000000000000</v>
      </c>
      <c r="AM342" t="str">
        <f t="shared" si="52"/>
        <v xml:space="preserve">                              </v>
      </c>
      <c r="AP342" t="str">
        <f t="shared" si="53"/>
        <v/>
      </c>
    </row>
    <row r="343" spans="2:42" x14ac:dyDescent="0.2">
      <c r="B343" s="88"/>
      <c r="C343" s="80"/>
      <c r="D343" s="74"/>
      <c r="AF343" t="str">
        <f t="shared" si="54"/>
        <v>00000000</v>
      </c>
      <c r="AG343" s="81">
        <f t="shared" si="55"/>
        <v>0</v>
      </c>
      <c r="AH343" s="81">
        <f t="shared" si="56"/>
        <v>0</v>
      </c>
      <c r="AI343" t="str">
        <f t="shared" si="57"/>
        <v>0000000000</v>
      </c>
      <c r="AJ343" t="str">
        <f t="shared" si="58"/>
        <v>.00</v>
      </c>
      <c r="AK343" t="str">
        <f t="shared" si="59"/>
        <v>00</v>
      </c>
      <c r="AL343" t="str">
        <f t="shared" si="60"/>
        <v>000000000000</v>
      </c>
      <c r="AM343" t="str">
        <f t="shared" si="52"/>
        <v xml:space="preserve">                              </v>
      </c>
      <c r="AP343" t="str">
        <f t="shared" si="53"/>
        <v/>
      </c>
    </row>
    <row r="344" spans="2:42" x14ac:dyDescent="0.2">
      <c r="B344" s="88"/>
      <c r="C344" s="80"/>
      <c r="D344" s="74"/>
      <c r="AF344" t="str">
        <f t="shared" si="54"/>
        <v>00000000</v>
      </c>
      <c r="AG344" s="81">
        <f t="shared" si="55"/>
        <v>0</v>
      </c>
      <c r="AH344" s="81">
        <f t="shared" si="56"/>
        <v>0</v>
      </c>
      <c r="AI344" t="str">
        <f t="shared" si="57"/>
        <v>0000000000</v>
      </c>
      <c r="AJ344" t="str">
        <f t="shared" si="58"/>
        <v>.00</v>
      </c>
      <c r="AK344" t="str">
        <f t="shared" si="59"/>
        <v>00</v>
      </c>
      <c r="AL344" t="str">
        <f t="shared" si="60"/>
        <v>000000000000</v>
      </c>
      <c r="AM344" t="str">
        <f t="shared" si="52"/>
        <v xml:space="preserve">                              </v>
      </c>
      <c r="AP344" t="str">
        <f t="shared" si="53"/>
        <v/>
      </c>
    </row>
    <row r="345" spans="2:42" x14ac:dyDescent="0.2">
      <c r="B345" s="88"/>
      <c r="C345" s="80"/>
      <c r="D345" s="74"/>
      <c r="AF345" t="str">
        <f t="shared" si="54"/>
        <v>00000000</v>
      </c>
      <c r="AG345" s="81">
        <f t="shared" si="55"/>
        <v>0</v>
      </c>
      <c r="AH345" s="81">
        <f t="shared" si="56"/>
        <v>0</v>
      </c>
      <c r="AI345" t="str">
        <f t="shared" si="57"/>
        <v>0000000000</v>
      </c>
      <c r="AJ345" t="str">
        <f t="shared" si="58"/>
        <v>.00</v>
      </c>
      <c r="AK345" t="str">
        <f t="shared" si="59"/>
        <v>00</v>
      </c>
      <c r="AL345" t="str">
        <f t="shared" si="60"/>
        <v>000000000000</v>
      </c>
      <c r="AM345" t="str">
        <f t="shared" si="52"/>
        <v xml:space="preserve">                              </v>
      </c>
      <c r="AP345" t="str">
        <f t="shared" si="53"/>
        <v/>
      </c>
    </row>
    <row r="346" spans="2:42" x14ac:dyDescent="0.2">
      <c r="B346" s="88"/>
      <c r="C346" s="80"/>
      <c r="D346" s="74"/>
      <c r="AF346" t="str">
        <f t="shared" si="54"/>
        <v>00000000</v>
      </c>
      <c r="AG346" s="81">
        <f t="shared" si="55"/>
        <v>0</v>
      </c>
      <c r="AH346" s="81">
        <f t="shared" si="56"/>
        <v>0</v>
      </c>
      <c r="AI346" t="str">
        <f t="shared" si="57"/>
        <v>0000000000</v>
      </c>
      <c r="AJ346" t="str">
        <f t="shared" si="58"/>
        <v>.00</v>
      </c>
      <c r="AK346" t="str">
        <f t="shared" si="59"/>
        <v>00</v>
      </c>
      <c r="AL346" t="str">
        <f t="shared" si="60"/>
        <v>000000000000</v>
      </c>
      <c r="AM346" t="str">
        <f t="shared" si="52"/>
        <v xml:space="preserve">                              </v>
      </c>
      <c r="AP346" t="str">
        <f t="shared" si="53"/>
        <v/>
      </c>
    </row>
    <row r="347" spans="2:42" x14ac:dyDescent="0.2">
      <c r="B347" s="88"/>
      <c r="C347" s="80"/>
      <c r="D347" s="74"/>
      <c r="AF347" t="str">
        <f t="shared" si="54"/>
        <v>00000000</v>
      </c>
      <c r="AG347" s="81">
        <f t="shared" si="55"/>
        <v>0</v>
      </c>
      <c r="AH347" s="81">
        <f t="shared" si="56"/>
        <v>0</v>
      </c>
      <c r="AI347" t="str">
        <f t="shared" si="57"/>
        <v>0000000000</v>
      </c>
      <c r="AJ347" t="str">
        <f t="shared" si="58"/>
        <v>.00</v>
      </c>
      <c r="AK347" t="str">
        <f t="shared" si="59"/>
        <v>00</v>
      </c>
      <c r="AL347" t="str">
        <f t="shared" si="60"/>
        <v>000000000000</v>
      </c>
      <c r="AM347" t="str">
        <f t="shared" si="52"/>
        <v xml:space="preserve">                              </v>
      </c>
      <c r="AP347" t="str">
        <f t="shared" si="53"/>
        <v/>
      </c>
    </row>
    <row r="348" spans="2:42" x14ac:dyDescent="0.2">
      <c r="B348" s="88"/>
      <c r="C348" s="80"/>
      <c r="D348" s="74"/>
      <c r="AF348" t="str">
        <f t="shared" si="54"/>
        <v>00000000</v>
      </c>
      <c r="AG348" s="81">
        <f t="shared" si="55"/>
        <v>0</v>
      </c>
      <c r="AH348" s="81">
        <f t="shared" si="56"/>
        <v>0</v>
      </c>
      <c r="AI348" t="str">
        <f t="shared" si="57"/>
        <v>0000000000</v>
      </c>
      <c r="AJ348" t="str">
        <f t="shared" si="58"/>
        <v>.00</v>
      </c>
      <c r="AK348" t="str">
        <f t="shared" si="59"/>
        <v>00</v>
      </c>
      <c r="AL348" t="str">
        <f t="shared" si="60"/>
        <v>000000000000</v>
      </c>
      <c r="AM348" t="str">
        <f t="shared" si="52"/>
        <v xml:space="preserve">                              </v>
      </c>
      <c r="AP348" t="str">
        <f t="shared" si="53"/>
        <v/>
      </c>
    </row>
    <row r="349" spans="2:42" x14ac:dyDescent="0.2">
      <c r="B349" s="88"/>
      <c r="C349" s="80"/>
      <c r="D349" s="74"/>
      <c r="AF349" t="str">
        <f t="shared" si="54"/>
        <v>00000000</v>
      </c>
      <c r="AG349" s="81">
        <f t="shared" si="55"/>
        <v>0</v>
      </c>
      <c r="AH349" s="81">
        <f t="shared" si="56"/>
        <v>0</v>
      </c>
      <c r="AI349" t="str">
        <f t="shared" si="57"/>
        <v>0000000000</v>
      </c>
      <c r="AJ349" t="str">
        <f t="shared" si="58"/>
        <v>.00</v>
      </c>
      <c r="AK349" t="str">
        <f t="shared" si="59"/>
        <v>00</v>
      </c>
      <c r="AL349" t="str">
        <f t="shared" si="60"/>
        <v>000000000000</v>
      </c>
      <c r="AM349" t="str">
        <f t="shared" si="52"/>
        <v xml:space="preserve">                              </v>
      </c>
      <c r="AP349" t="str">
        <f t="shared" si="53"/>
        <v/>
      </c>
    </row>
    <row r="350" spans="2:42" x14ac:dyDescent="0.2">
      <c r="B350" s="88"/>
      <c r="C350" s="80"/>
      <c r="D350" s="74"/>
      <c r="AF350" t="str">
        <f t="shared" si="54"/>
        <v>00000000</v>
      </c>
      <c r="AG350" s="81">
        <f t="shared" si="55"/>
        <v>0</v>
      </c>
      <c r="AH350" s="81">
        <f t="shared" si="56"/>
        <v>0</v>
      </c>
      <c r="AI350" t="str">
        <f t="shared" si="57"/>
        <v>0000000000</v>
      </c>
      <c r="AJ350" t="str">
        <f t="shared" si="58"/>
        <v>.00</v>
      </c>
      <c r="AK350" t="str">
        <f t="shared" si="59"/>
        <v>00</v>
      </c>
      <c r="AL350" t="str">
        <f t="shared" si="60"/>
        <v>000000000000</v>
      </c>
      <c r="AM350" t="str">
        <f t="shared" si="52"/>
        <v xml:space="preserve">                              </v>
      </c>
      <c r="AP350" t="str">
        <f t="shared" si="53"/>
        <v/>
      </c>
    </row>
    <row r="351" spans="2:42" x14ac:dyDescent="0.2">
      <c r="B351" s="88"/>
      <c r="C351" s="80"/>
      <c r="D351" s="74"/>
      <c r="AF351" t="str">
        <f t="shared" si="54"/>
        <v>00000000</v>
      </c>
      <c r="AG351" s="81">
        <f t="shared" si="55"/>
        <v>0</v>
      </c>
      <c r="AH351" s="81">
        <f t="shared" si="56"/>
        <v>0</v>
      </c>
      <c r="AI351" t="str">
        <f t="shared" si="57"/>
        <v>0000000000</v>
      </c>
      <c r="AJ351" t="str">
        <f t="shared" si="58"/>
        <v>.00</v>
      </c>
      <c r="AK351" t="str">
        <f t="shared" si="59"/>
        <v>00</v>
      </c>
      <c r="AL351" t="str">
        <f t="shared" si="60"/>
        <v>000000000000</v>
      </c>
      <c r="AM351" t="str">
        <f t="shared" si="52"/>
        <v xml:space="preserve">                              </v>
      </c>
      <c r="AP351" t="str">
        <f t="shared" si="53"/>
        <v/>
      </c>
    </row>
    <row r="352" spans="2:42" x14ac:dyDescent="0.2">
      <c r="B352" s="88"/>
      <c r="C352" s="80"/>
      <c r="D352" s="74"/>
      <c r="AF352" t="str">
        <f t="shared" si="54"/>
        <v>00000000</v>
      </c>
      <c r="AG352" s="81">
        <f t="shared" si="55"/>
        <v>0</v>
      </c>
      <c r="AH352" s="81">
        <f t="shared" si="56"/>
        <v>0</v>
      </c>
      <c r="AI352" t="str">
        <f t="shared" si="57"/>
        <v>0000000000</v>
      </c>
      <c r="AJ352" t="str">
        <f t="shared" si="58"/>
        <v>.00</v>
      </c>
      <c r="AK352" t="str">
        <f t="shared" si="59"/>
        <v>00</v>
      </c>
      <c r="AL352" t="str">
        <f t="shared" si="60"/>
        <v>000000000000</v>
      </c>
      <c r="AM352" t="str">
        <f t="shared" si="52"/>
        <v xml:space="preserve">                              </v>
      </c>
      <c r="AP352" t="str">
        <f t="shared" si="53"/>
        <v/>
      </c>
    </row>
    <row r="353" spans="2:42" x14ac:dyDescent="0.2">
      <c r="B353" s="88"/>
      <c r="C353" s="80"/>
      <c r="D353" s="74"/>
      <c r="AF353" t="str">
        <f t="shared" si="54"/>
        <v>00000000</v>
      </c>
      <c r="AG353" s="81">
        <f t="shared" si="55"/>
        <v>0</v>
      </c>
      <c r="AH353" s="81">
        <f t="shared" si="56"/>
        <v>0</v>
      </c>
      <c r="AI353" t="str">
        <f t="shared" si="57"/>
        <v>0000000000</v>
      </c>
      <c r="AJ353" t="str">
        <f t="shared" si="58"/>
        <v>.00</v>
      </c>
      <c r="AK353" t="str">
        <f t="shared" si="59"/>
        <v>00</v>
      </c>
      <c r="AL353" t="str">
        <f t="shared" si="60"/>
        <v>000000000000</v>
      </c>
      <c r="AM353" t="str">
        <f t="shared" si="52"/>
        <v xml:space="preserve">                              </v>
      </c>
      <c r="AP353" t="str">
        <f t="shared" si="53"/>
        <v/>
      </c>
    </row>
    <row r="354" spans="2:42" x14ac:dyDescent="0.2">
      <c r="B354" s="88"/>
      <c r="C354" s="80"/>
      <c r="D354" s="74"/>
      <c r="AF354" t="str">
        <f t="shared" si="54"/>
        <v>00000000</v>
      </c>
      <c r="AG354" s="81">
        <f t="shared" si="55"/>
        <v>0</v>
      </c>
      <c r="AH354" s="81">
        <f t="shared" si="56"/>
        <v>0</v>
      </c>
      <c r="AI354" t="str">
        <f t="shared" si="57"/>
        <v>0000000000</v>
      </c>
      <c r="AJ354" t="str">
        <f t="shared" si="58"/>
        <v>.00</v>
      </c>
      <c r="AK354" t="str">
        <f t="shared" si="59"/>
        <v>00</v>
      </c>
      <c r="AL354" t="str">
        <f t="shared" si="60"/>
        <v>000000000000</v>
      </c>
      <c r="AM354" t="str">
        <f t="shared" si="52"/>
        <v xml:space="preserve">                              </v>
      </c>
      <c r="AP354" t="str">
        <f t="shared" si="53"/>
        <v/>
      </c>
    </row>
    <row r="355" spans="2:42" x14ac:dyDescent="0.2">
      <c r="B355" s="88"/>
      <c r="C355" s="80"/>
      <c r="D355" s="74"/>
      <c r="AF355" t="str">
        <f t="shared" si="54"/>
        <v>00000000</v>
      </c>
      <c r="AG355" s="81">
        <f t="shared" si="55"/>
        <v>0</v>
      </c>
      <c r="AH355" s="81">
        <f t="shared" si="56"/>
        <v>0</v>
      </c>
      <c r="AI355" t="str">
        <f t="shared" si="57"/>
        <v>0000000000</v>
      </c>
      <c r="AJ355" t="str">
        <f t="shared" si="58"/>
        <v>.00</v>
      </c>
      <c r="AK355" t="str">
        <f t="shared" si="59"/>
        <v>00</v>
      </c>
      <c r="AL355" t="str">
        <f t="shared" si="60"/>
        <v>000000000000</v>
      </c>
      <c r="AM355" t="str">
        <f t="shared" si="52"/>
        <v xml:space="preserve">                              </v>
      </c>
      <c r="AP355" t="str">
        <f t="shared" si="53"/>
        <v/>
      </c>
    </row>
    <row r="356" spans="2:42" x14ac:dyDescent="0.2">
      <c r="B356" s="88"/>
      <c r="C356" s="80"/>
      <c r="D356" s="74"/>
      <c r="AF356" t="str">
        <f t="shared" si="54"/>
        <v>00000000</v>
      </c>
      <c r="AG356" s="81">
        <f t="shared" si="55"/>
        <v>0</v>
      </c>
      <c r="AH356" s="81">
        <f t="shared" si="56"/>
        <v>0</v>
      </c>
      <c r="AI356" t="str">
        <f t="shared" si="57"/>
        <v>0000000000</v>
      </c>
      <c r="AJ356" t="str">
        <f t="shared" si="58"/>
        <v>.00</v>
      </c>
      <c r="AK356" t="str">
        <f t="shared" si="59"/>
        <v>00</v>
      </c>
      <c r="AL356" t="str">
        <f t="shared" si="60"/>
        <v>000000000000</v>
      </c>
      <c r="AM356" t="str">
        <f t="shared" si="52"/>
        <v xml:space="preserve">                              </v>
      </c>
      <c r="AP356" t="str">
        <f t="shared" si="53"/>
        <v/>
      </c>
    </row>
    <row r="357" spans="2:42" x14ac:dyDescent="0.2">
      <c r="B357" s="88"/>
      <c r="C357" s="80"/>
      <c r="D357" s="74"/>
      <c r="AF357" t="str">
        <f t="shared" si="54"/>
        <v>00000000</v>
      </c>
      <c r="AG357" s="81">
        <f t="shared" si="55"/>
        <v>0</v>
      </c>
      <c r="AH357" s="81">
        <f t="shared" si="56"/>
        <v>0</v>
      </c>
      <c r="AI357" t="str">
        <f t="shared" si="57"/>
        <v>0000000000</v>
      </c>
      <c r="AJ357" t="str">
        <f t="shared" si="58"/>
        <v>.00</v>
      </c>
      <c r="AK357" t="str">
        <f t="shared" si="59"/>
        <v>00</v>
      </c>
      <c r="AL357" t="str">
        <f t="shared" si="60"/>
        <v>000000000000</v>
      </c>
      <c r="AM357" t="str">
        <f t="shared" si="52"/>
        <v xml:space="preserve">                              </v>
      </c>
      <c r="AP357" t="str">
        <f t="shared" si="53"/>
        <v/>
      </c>
    </row>
    <row r="358" spans="2:42" x14ac:dyDescent="0.2">
      <c r="B358" s="88"/>
      <c r="C358" s="80"/>
      <c r="D358" s="74"/>
      <c r="AF358" t="str">
        <f t="shared" si="54"/>
        <v>00000000</v>
      </c>
      <c r="AG358" s="81">
        <f t="shared" si="55"/>
        <v>0</v>
      </c>
      <c r="AH358" s="81">
        <f t="shared" si="56"/>
        <v>0</v>
      </c>
      <c r="AI358" t="str">
        <f t="shared" si="57"/>
        <v>0000000000</v>
      </c>
      <c r="AJ358" t="str">
        <f t="shared" si="58"/>
        <v>.00</v>
      </c>
      <c r="AK358" t="str">
        <f t="shared" si="59"/>
        <v>00</v>
      </c>
      <c r="AL358" t="str">
        <f t="shared" si="60"/>
        <v>000000000000</v>
      </c>
      <c r="AM358" t="str">
        <f t="shared" si="52"/>
        <v xml:space="preserve">                              </v>
      </c>
      <c r="AP358" t="str">
        <f t="shared" si="53"/>
        <v/>
      </c>
    </row>
    <row r="359" spans="2:42" x14ac:dyDescent="0.2">
      <c r="B359" s="88"/>
      <c r="C359" s="80"/>
      <c r="D359" s="74"/>
      <c r="AF359" t="str">
        <f t="shared" si="54"/>
        <v>00000000</v>
      </c>
      <c r="AG359" s="81">
        <f t="shared" si="55"/>
        <v>0</v>
      </c>
      <c r="AH359" s="81">
        <f t="shared" si="56"/>
        <v>0</v>
      </c>
      <c r="AI359" t="str">
        <f t="shared" si="57"/>
        <v>0000000000</v>
      </c>
      <c r="AJ359" t="str">
        <f t="shared" si="58"/>
        <v>.00</v>
      </c>
      <c r="AK359" t="str">
        <f t="shared" si="59"/>
        <v>00</v>
      </c>
      <c r="AL359" t="str">
        <f t="shared" si="60"/>
        <v>000000000000</v>
      </c>
      <c r="AM359" t="str">
        <f t="shared" si="52"/>
        <v xml:space="preserve">                              </v>
      </c>
      <c r="AP359" t="str">
        <f t="shared" si="53"/>
        <v/>
      </c>
    </row>
    <row r="360" spans="2:42" x14ac:dyDescent="0.2">
      <c r="B360" s="88"/>
      <c r="C360" s="80"/>
      <c r="D360" s="74"/>
      <c r="AF360" t="str">
        <f t="shared" si="54"/>
        <v>00000000</v>
      </c>
      <c r="AG360" s="81">
        <f t="shared" si="55"/>
        <v>0</v>
      </c>
      <c r="AH360" s="81">
        <f t="shared" si="56"/>
        <v>0</v>
      </c>
      <c r="AI360" t="str">
        <f t="shared" si="57"/>
        <v>0000000000</v>
      </c>
      <c r="AJ360" t="str">
        <f t="shared" si="58"/>
        <v>.00</v>
      </c>
      <c r="AK360" t="str">
        <f t="shared" si="59"/>
        <v>00</v>
      </c>
      <c r="AL360" t="str">
        <f t="shared" si="60"/>
        <v>000000000000</v>
      </c>
      <c r="AM360" t="str">
        <f t="shared" si="52"/>
        <v xml:space="preserve">                              </v>
      </c>
      <c r="AP360" t="str">
        <f t="shared" si="53"/>
        <v/>
      </c>
    </row>
    <row r="361" spans="2:42" x14ac:dyDescent="0.2">
      <c r="B361" s="88"/>
      <c r="C361" s="80"/>
      <c r="D361" s="74"/>
      <c r="AF361" t="str">
        <f t="shared" si="54"/>
        <v>00000000</v>
      </c>
      <c r="AG361" s="81">
        <f t="shared" si="55"/>
        <v>0</v>
      </c>
      <c r="AH361" s="81">
        <f t="shared" si="56"/>
        <v>0</v>
      </c>
      <c r="AI361" t="str">
        <f t="shared" si="57"/>
        <v>0000000000</v>
      </c>
      <c r="AJ361" t="str">
        <f t="shared" si="58"/>
        <v>.00</v>
      </c>
      <c r="AK361" t="str">
        <f t="shared" si="59"/>
        <v>00</v>
      </c>
      <c r="AL361" t="str">
        <f t="shared" si="60"/>
        <v>000000000000</v>
      </c>
      <c r="AM361" t="str">
        <f t="shared" si="52"/>
        <v xml:space="preserve">                              </v>
      </c>
      <c r="AP361" t="str">
        <f t="shared" si="53"/>
        <v/>
      </c>
    </row>
    <row r="362" spans="2:42" x14ac:dyDescent="0.2">
      <c r="B362" s="88"/>
      <c r="C362" s="80"/>
      <c r="D362" s="74"/>
      <c r="AF362" t="str">
        <f t="shared" si="54"/>
        <v>00000000</v>
      </c>
      <c r="AG362" s="81">
        <f t="shared" si="55"/>
        <v>0</v>
      </c>
      <c r="AH362" s="81">
        <f t="shared" si="56"/>
        <v>0</v>
      </c>
      <c r="AI362" t="str">
        <f t="shared" si="57"/>
        <v>0000000000</v>
      </c>
      <c r="AJ362" t="str">
        <f t="shared" si="58"/>
        <v>.00</v>
      </c>
      <c r="AK362" t="str">
        <f t="shared" si="59"/>
        <v>00</v>
      </c>
      <c r="AL362" t="str">
        <f t="shared" si="60"/>
        <v>000000000000</v>
      </c>
      <c r="AM362" t="str">
        <f t="shared" si="52"/>
        <v xml:space="preserve">                              </v>
      </c>
      <c r="AP362" t="str">
        <f t="shared" si="53"/>
        <v/>
      </c>
    </row>
    <row r="363" spans="2:42" x14ac:dyDescent="0.2">
      <c r="B363" s="88"/>
      <c r="C363" s="80"/>
      <c r="D363" s="74"/>
      <c r="AF363" t="str">
        <f t="shared" si="54"/>
        <v>00000000</v>
      </c>
      <c r="AG363" s="81">
        <f t="shared" si="55"/>
        <v>0</v>
      </c>
      <c r="AH363" s="81">
        <f t="shared" si="56"/>
        <v>0</v>
      </c>
      <c r="AI363" t="str">
        <f t="shared" si="57"/>
        <v>0000000000</v>
      </c>
      <c r="AJ363" t="str">
        <f t="shared" si="58"/>
        <v>.00</v>
      </c>
      <c r="AK363" t="str">
        <f t="shared" si="59"/>
        <v>00</v>
      </c>
      <c r="AL363" t="str">
        <f t="shared" si="60"/>
        <v>000000000000</v>
      </c>
      <c r="AM363" t="str">
        <f t="shared" si="52"/>
        <v xml:space="preserve">                              </v>
      </c>
      <c r="AP363" t="str">
        <f t="shared" si="53"/>
        <v/>
      </c>
    </row>
    <row r="364" spans="2:42" x14ac:dyDescent="0.2">
      <c r="B364" s="88"/>
      <c r="C364" s="80"/>
      <c r="D364" s="74"/>
      <c r="AF364" t="str">
        <f t="shared" si="54"/>
        <v>00000000</v>
      </c>
      <c r="AG364" s="81">
        <f t="shared" si="55"/>
        <v>0</v>
      </c>
      <c r="AH364" s="81">
        <f t="shared" si="56"/>
        <v>0</v>
      </c>
      <c r="AI364" t="str">
        <f t="shared" si="57"/>
        <v>0000000000</v>
      </c>
      <c r="AJ364" t="str">
        <f t="shared" si="58"/>
        <v>.00</v>
      </c>
      <c r="AK364" t="str">
        <f t="shared" si="59"/>
        <v>00</v>
      </c>
      <c r="AL364" t="str">
        <f t="shared" si="60"/>
        <v>000000000000</v>
      </c>
      <c r="AM364" t="str">
        <f t="shared" si="52"/>
        <v xml:space="preserve">                              </v>
      </c>
      <c r="AP364" t="str">
        <f t="shared" si="53"/>
        <v/>
      </c>
    </row>
    <row r="365" spans="2:42" x14ac:dyDescent="0.2">
      <c r="B365" s="88"/>
      <c r="C365" s="80"/>
      <c r="D365" s="74"/>
      <c r="AF365" t="str">
        <f t="shared" si="54"/>
        <v>00000000</v>
      </c>
      <c r="AG365" s="81">
        <f t="shared" si="55"/>
        <v>0</v>
      </c>
      <c r="AH365" s="81">
        <f t="shared" si="56"/>
        <v>0</v>
      </c>
      <c r="AI365" t="str">
        <f t="shared" si="57"/>
        <v>0000000000</v>
      </c>
      <c r="AJ365" t="str">
        <f t="shared" si="58"/>
        <v>.00</v>
      </c>
      <c r="AK365" t="str">
        <f t="shared" si="59"/>
        <v>00</v>
      </c>
      <c r="AL365" t="str">
        <f t="shared" si="60"/>
        <v>000000000000</v>
      </c>
      <c r="AM365" t="str">
        <f t="shared" si="52"/>
        <v xml:space="preserve">                              </v>
      </c>
      <c r="AP365" t="str">
        <f t="shared" si="53"/>
        <v/>
      </c>
    </row>
    <row r="366" spans="2:42" x14ac:dyDescent="0.2">
      <c r="B366" s="88"/>
      <c r="C366" s="80"/>
      <c r="D366" s="74"/>
      <c r="AF366" t="str">
        <f t="shared" si="54"/>
        <v>00000000</v>
      </c>
      <c r="AG366" s="81">
        <f t="shared" si="55"/>
        <v>0</v>
      </c>
      <c r="AH366" s="81">
        <f t="shared" si="56"/>
        <v>0</v>
      </c>
      <c r="AI366" t="str">
        <f t="shared" si="57"/>
        <v>0000000000</v>
      </c>
      <c r="AJ366" t="str">
        <f t="shared" si="58"/>
        <v>.00</v>
      </c>
      <c r="AK366" t="str">
        <f t="shared" si="59"/>
        <v>00</v>
      </c>
      <c r="AL366" t="str">
        <f t="shared" si="60"/>
        <v>000000000000</v>
      </c>
      <c r="AM366" t="str">
        <f t="shared" si="52"/>
        <v xml:space="preserve">                              </v>
      </c>
      <c r="AP366" t="str">
        <f t="shared" si="53"/>
        <v/>
      </c>
    </row>
    <row r="367" spans="2:42" x14ac:dyDescent="0.2">
      <c r="B367" s="88"/>
      <c r="C367" s="80"/>
      <c r="D367" s="74"/>
      <c r="AF367" t="str">
        <f t="shared" si="54"/>
        <v>00000000</v>
      </c>
      <c r="AG367" s="81">
        <f t="shared" si="55"/>
        <v>0</v>
      </c>
      <c r="AH367" s="81">
        <f t="shared" si="56"/>
        <v>0</v>
      </c>
      <c r="AI367" t="str">
        <f t="shared" si="57"/>
        <v>0000000000</v>
      </c>
      <c r="AJ367" t="str">
        <f t="shared" si="58"/>
        <v>.00</v>
      </c>
      <c r="AK367" t="str">
        <f t="shared" si="59"/>
        <v>00</v>
      </c>
      <c r="AL367" t="str">
        <f t="shared" si="60"/>
        <v>000000000000</v>
      </c>
      <c r="AM367" t="str">
        <f t="shared" si="52"/>
        <v xml:space="preserve">                              </v>
      </c>
      <c r="AP367" t="str">
        <f t="shared" si="53"/>
        <v/>
      </c>
    </row>
    <row r="368" spans="2:42" x14ac:dyDescent="0.2">
      <c r="B368" s="88"/>
      <c r="C368" s="80"/>
      <c r="D368" s="74"/>
      <c r="AF368" t="str">
        <f t="shared" si="54"/>
        <v>00000000</v>
      </c>
      <c r="AG368" s="81">
        <f t="shared" si="55"/>
        <v>0</v>
      </c>
      <c r="AH368" s="81">
        <f t="shared" si="56"/>
        <v>0</v>
      </c>
      <c r="AI368" t="str">
        <f t="shared" si="57"/>
        <v>0000000000</v>
      </c>
      <c r="AJ368" t="str">
        <f t="shared" si="58"/>
        <v>.00</v>
      </c>
      <c r="AK368" t="str">
        <f t="shared" si="59"/>
        <v>00</v>
      </c>
      <c r="AL368" t="str">
        <f t="shared" si="60"/>
        <v>000000000000</v>
      </c>
      <c r="AM368" t="str">
        <f t="shared" si="52"/>
        <v xml:space="preserve">                              </v>
      </c>
      <c r="AP368" t="str">
        <f t="shared" si="53"/>
        <v/>
      </c>
    </row>
    <row r="369" spans="2:42" x14ac:dyDescent="0.2">
      <c r="B369" s="88"/>
      <c r="C369" s="80"/>
      <c r="D369" s="74"/>
      <c r="AF369" t="str">
        <f t="shared" si="54"/>
        <v>00000000</v>
      </c>
      <c r="AG369" s="81">
        <f t="shared" si="55"/>
        <v>0</v>
      </c>
      <c r="AH369" s="81">
        <f t="shared" si="56"/>
        <v>0</v>
      </c>
      <c r="AI369" t="str">
        <f t="shared" si="57"/>
        <v>0000000000</v>
      </c>
      <c r="AJ369" t="str">
        <f t="shared" si="58"/>
        <v>.00</v>
      </c>
      <c r="AK369" t="str">
        <f t="shared" si="59"/>
        <v>00</v>
      </c>
      <c r="AL369" t="str">
        <f t="shared" si="60"/>
        <v>000000000000</v>
      </c>
      <c r="AM369" t="str">
        <f t="shared" si="52"/>
        <v xml:space="preserve">                              </v>
      </c>
      <c r="AP369" t="str">
        <f t="shared" si="53"/>
        <v/>
      </c>
    </row>
    <row r="370" spans="2:42" x14ac:dyDescent="0.2">
      <c r="B370" s="88"/>
      <c r="C370" s="80"/>
      <c r="D370" s="74"/>
      <c r="AF370" t="str">
        <f t="shared" si="54"/>
        <v>00000000</v>
      </c>
      <c r="AG370" s="81">
        <f t="shared" si="55"/>
        <v>0</v>
      </c>
      <c r="AH370" s="81">
        <f t="shared" si="56"/>
        <v>0</v>
      </c>
      <c r="AI370" t="str">
        <f t="shared" si="57"/>
        <v>0000000000</v>
      </c>
      <c r="AJ370" t="str">
        <f t="shared" si="58"/>
        <v>.00</v>
      </c>
      <c r="AK370" t="str">
        <f t="shared" si="59"/>
        <v>00</v>
      </c>
      <c r="AL370" t="str">
        <f t="shared" si="60"/>
        <v>000000000000</v>
      </c>
      <c r="AM370" t="str">
        <f t="shared" si="52"/>
        <v xml:space="preserve">                              </v>
      </c>
      <c r="AP370" t="str">
        <f t="shared" si="53"/>
        <v/>
      </c>
    </row>
    <row r="371" spans="2:42" x14ac:dyDescent="0.2">
      <c r="B371" s="88"/>
      <c r="C371" s="80"/>
      <c r="D371" s="74"/>
      <c r="AF371" t="str">
        <f t="shared" si="54"/>
        <v>00000000</v>
      </c>
      <c r="AG371" s="81">
        <f t="shared" si="55"/>
        <v>0</v>
      </c>
      <c r="AH371" s="81">
        <f t="shared" si="56"/>
        <v>0</v>
      </c>
      <c r="AI371" t="str">
        <f t="shared" si="57"/>
        <v>0000000000</v>
      </c>
      <c r="AJ371" t="str">
        <f t="shared" si="58"/>
        <v>.00</v>
      </c>
      <c r="AK371" t="str">
        <f t="shared" si="59"/>
        <v>00</v>
      </c>
      <c r="AL371" t="str">
        <f t="shared" si="60"/>
        <v>000000000000</v>
      </c>
      <c r="AM371" t="str">
        <f t="shared" si="52"/>
        <v xml:space="preserve">                              </v>
      </c>
      <c r="AP371" t="str">
        <f t="shared" si="53"/>
        <v/>
      </c>
    </row>
    <row r="372" spans="2:42" x14ac:dyDescent="0.2">
      <c r="B372" s="88"/>
      <c r="C372" s="80"/>
      <c r="D372" s="74"/>
      <c r="AF372" t="str">
        <f t="shared" si="54"/>
        <v>00000000</v>
      </c>
      <c r="AG372" s="81">
        <f t="shared" si="55"/>
        <v>0</v>
      </c>
      <c r="AH372" s="81">
        <f t="shared" si="56"/>
        <v>0</v>
      </c>
      <c r="AI372" t="str">
        <f t="shared" si="57"/>
        <v>0000000000</v>
      </c>
      <c r="AJ372" t="str">
        <f t="shared" si="58"/>
        <v>.00</v>
      </c>
      <c r="AK372" t="str">
        <f t="shared" si="59"/>
        <v>00</v>
      </c>
      <c r="AL372" t="str">
        <f t="shared" si="60"/>
        <v>000000000000</v>
      </c>
      <c r="AM372" t="str">
        <f t="shared" si="52"/>
        <v xml:space="preserve">                              </v>
      </c>
      <c r="AP372" t="str">
        <f t="shared" si="53"/>
        <v/>
      </c>
    </row>
    <row r="373" spans="2:42" x14ac:dyDescent="0.2">
      <c r="B373" s="88"/>
      <c r="C373" s="80"/>
      <c r="D373" s="74"/>
      <c r="AF373" t="str">
        <f t="shared" si="54"/>
        <v>00000000</v>
      </c>
      <c r="AG373" s="81">
        <f t="shared" si="55"/>
        <v>0</v>
      </c>
      <c r="AH373" s="81">
        <f t="shared" si="56"/>
        <v>0</v>
      </c>
      <c r="AI373" t="str">
        <f t="shared" si="57"/>
        <v>0000000000</v>
      </c>
      <c r="AJ373" t="str">
        <f t="shared" si="58"/>
        <v>.00</v>
      </c>
      <c r="AK373" t="str">
        <f t="shared" si="59"/>
        <v>00</v>
      </c>
      <c r="AL373" t="str">
        <f t="shared" si="60"/>
        <v>000000000000</v>
      </c>
      <c r="AM373" t="str">
        <f t="shared" si="52"/>
        <v xml:space="preserve">                              </v>
      </c>
      <c r="AP373" t="str">
        <f t="shared" si="53"/>
        <v/>
      </c>
    </row>
    <row r="374" spans="2:42" x14ac:dyDescent="0.2">
      <c r="B374" s="88"/>
      <c r="C374" s="80"/>
      <c r="D374" s="74"/>
      <c r="AF374" t="str">
        <f t="shared" si="54"/>
        <v>00000000</v>
      </c>
      <c r="AG374" s="81">
        <f t="shared" si="55"/>
        <v>0</v>
      </c>
      <c r="AH374" s="81">
        <f t="shared" si="56"/>
        <v>0</v>
      </c>
      <c r="AI374" t="str">
        <f t="shared" si="57"/>
        <v>0000000000</v>
      </c>
      <c r="AJ374" t="str">
        <f t="shared" si="58"/>
        <v>.00</v>
      </c>
      <c r="AK374" t="str">
        <f t="shared" si="59"/>
        <v>00</v>
      </c>
      <c r="AL374" t="str">
        <f t="shared" si="60"/>
        <v>000000000000</v>
      </c>
      <c r="AM374" t="str">
        <f t="shared" si="52"/>
        <v xml:space="preserve">                              </v>
      </c>
      <c r="AP374" t="str">
        <f t="shared" si="53"/>
        <v/>
      </c>
    </row>
    <row r="375" spans="2:42" x14ac:dyDescent="0.2">
      <c r="B375" s="88"/>
      <c r="C375" s="80"/>
      <c r="D375" s="74"/>
      <c r="AF375" t="str">
        <f t="shared" si="54"/>
        <v>00000000</v>
      </c>
      <c r="AG375" s="81">
        <f t="shared" si="55"/>
        <v>0</v>
      </c>
      <c r="AH375" s="81">
        <f t="shared" si="56"/>
        <v>0</v>
      </c>
      <c r="AI375" t="str">
        <f t="shared" si="57"/>
        <v>0000000000</v>
      </c>
      <c r="AJ375" t="str">
        <f t="shared" si="58"/>
        <v>.00</v>
      </c>
      <c r="AK375" t="str">
        <f t="shared" si="59"/>
        <v>00</v>
      </c>
      <c r="AL375" t="str">
        <f t="shared" si="60"/>
        <v>000000000000</v>
      </c>
      <c r="AM375" t="str">
        <f t="shared" si="52"/>
        <v xml:space="preserve">                              </v>
      </c>
      <c r="AP375" t="str">
        <f t="shared" si="53"/>
        <v/>
      </c>
    </row>
    <row r="376" spans="2:42" x14ac:dyDescent="0.2">
      <c r="B376" s="88"/>
      <c r="C376" s="80"/>
      <c r="D376" s="74"/>
      <c r="AF376" t="str">
        <f t="shared" si="54"/>
        <v>00000000</v>
      </c>
      <c r="AG376" s="81">
        <f t="shared" si="55"/>
        <v>0</v>
      </c>
      <c r="AH376" s="81">
        <f t="shared" si="56"/>
        <v>0</v>
      </c>
      <c r="AI376" t="str">
        <f t="shared" si="57"/>
        <v>0000000000</v>
      </c>
      <c r="AJ376" t="str">
        <f t="shared" si="58"/>
        <v>.00</v>
      </c>
      <c r="AK376" t="str">
        <f t="shared" si="59"/>
        <v>00</v>
      </c>
      <c r="AL376" t="str">
        <f t="shared" si="60"/>
        <v>000000000000</v>
      </c>
      <c r="AM376" t="str">
        <f t="shared" si="52"/>
        <v xml:space="preserve">                              </v>
      </c>
      <c r="AP376" t="str">
        <f t="shared" si="53"/>
        <v/>
      </c>
    </row>
    <row r="377" spans="2:42" x14ac:dyDescent="0.2">
      <c r="B377" s="88"/>
      <c r="C377" s="80"/>
      <c r="D377" s="74"/>
      <c r="AF377" t="str">
        <f t="shared" si="54"/>
        <v>00000000</v>
      </c>
      <c r="AG377" s="81">
        <f t="shared" si="55"/>
        <v>0</v>
      </c>
      <c r="AH377" s="81">
        <f t="shared" si="56"/>
        <v>0</v>
      </c>
      <c r="AI377" t="str">
        <f t="shared" si="57"/>
        <v>0000000000</v>
      </c>
      <c r="AJ377" t="str">
        <f t="shared" si="58"/>
        <v>.00</v>
      </c>
      <c r="AK377" t="str">
        <f t="shared" si="59"/>
        <v>00</v>
      </c>
      <c r="AL377" t="str">
        <f t="shared" si="60"/>
        <v>000000000000</v>
      </c>
      <c r="AM377" t="str">
        <f t="shared" si="52"/>
        <v xml:space="preserve">                              </v>
      </c>
      <c r="AP377" t="str">
        <f t="shared" si="53"/>
        <v/>
      </c>
    </row>
    <row r="378" spans="2:42" x14ac:dyDescent="0.2">
      <c r="B378" s="88"/>
      <c r="C378" s="80"/>
      <c r="D378" s="74"/>
      <c r="AF378" t="str">
        <f t="shared" si="54"/>
        <v>00000000</v>
      </c>
      <c r="AG378" s="81">
        <f t="shared" si="55"/>
        <v>0</v>
      </c>
      <c r="AH378" s="81">
        <f t="shared" si="56"/>
        <v>0</v>
      </c>
      <c r="AI378" t="str">
        <f t="shared" si="57"/>
        <v>0000000000</v>
      </c>
      <c r="AJ378" t="str">
        <f t="shared" si="58"/>
        <v>.00</v>
      </c>
      <c r="AK378" t="str">
        <f t="shared" si="59"/>
        <v>00</v>
      </c>
      <c r="AL378" t="str">
        <f t="shared" si="60"/>
        <v>000000000000</v>
      </c>
      <c r="AM378" t="str">
        <f t="shared" si="52"/>
        <v xml:space="preserve">                              </v>
      </c>
      <c r="AP378" t="str">
        <f t="shared" si="53"/>
        <v/>
      </c>
    </row>
    <row r="379" spans="2:42" x14ac:dyDescent="0.2">
      <c r="B379" s="88"/>
      <c r="C379" s="80"/>
      <c r="D379" s="74"/>
      <c r="AF379" t="str">
        <f t="shared" si="54"/>
        <v>00000000</v>
      </c>
      <c r="AG379" s="81">
        <f t="shared" si="55"/>
        <v>0</v>
      </c>
      <c r="AH379" s="81">
        <f t="shared" si="56"/>
        <v>0</v>
      </c>
      <c r="AI379" t="str">
        <f t="shared" si="57"/>
        <v>0000000000</v>
      </c>
      <c r="AJ379" t="str">
        <f t="shared" si="58"/>
        <v>.00</v>
      </c>
      <c r="AK379" t="str">
        <f t="shared" si="59"/>
        <v>00</v>
      </c>
      <c r="AL379" t="str">
        <f t="shared" si="60"/>
        <v>000000000000</v>
      </c>
      <c r="AM379" t="str">
        <f t="shared" si="52"/>
        <v xml:space="preserve">                              </v>
      </c>
      <c r="AP379" t="str">
        <f t="shared" si="53"/>
        <v/>
      </c>
    </row>
    <row r="380" spans="2:42" x14ac:dyDescent="0.2">
      <c r="B380" s="88"/>
      <c r="C380" s="80"/>
      <c r="D380" s="74"/>
      <c r="AF380" t="str">
        <f t="shared" si="54"/>
        <v>00000000</v>
      </c>
      <c r="AG380" s="81">
        <f t="shared" si="55"/>
        <v>0</v>
      </c>
      <c r="AH380" s="81">
        <f t="shared" si="56"/>
        <v>0</v>
      </c>
      <c r="AI380" t="str">
        <f t="shared" si="57"/>
        <v>0000000000</v>
      </c>
      <c r="AJ380" t="str">
        <f t="shared" si="58"/>
        <v>.00</v>
      </c>
      <c r="AK380" t="str">
        <f t="shared" si="59"/>
        <v>00</v>
      </c>
      <c r="AL380" t="str">
        <f t="shared" si="60"/>
        <v>000000000000</v>
      </c>
      <c r="AM380" t="str">
        <f t="shared" si="52"/>
        <v xml:space="preserve">                              </v>
      </c>
      <c r="AP380" t="str">
        <f t="shared" si="53"/>
        <v/>
      </c>
    </row>
    <row r="381" spans="2:42" x14ac:dyDescent="0.2">
      <c r="B381" s="88"/>
      <c r="C381" s="80"/>
      <c r="D381" s="74"/>
      <c r="AF381" t="str">
        <f t="shared" si="54"/>
        <v>00000000</v>
      </c>
      <c r="AG381" s="81">
        <f t="shared" si="55"/>
        <v>0</v>
      </c>
      <c r="AH381" s="81">
        <f t="shared" si="56"/>
        <v>0</v>
      </c>
      <c r="AI381" t="str">
        <f t="shared" si="57"/>
        <v>0000000000</v>
      </c>
      <c r="AJ381" t="str">
        <f t="shared" si="58"/>
        <v>.00</v>
      </c>
      <c r="AK381" t="str">
        <f t="shared" si="59"/>
        <v>00</v>
      </c>
      <c r="AL381" t="str">
        <f t="shared" si="60"/>
        <v>000000000000</v>
      </c>
      <c r="AM381" t="str">
        <f t="shared" si="52"/>
        <v xml:space="preserve">                              </v>
      </c>
      <c r="AP381" t="str">
        <f t="shared" si="53"/>
        <v/>
      </c>
    </row>
    <row r="382" spans="2:42" x14ac:dyDescent="0.2">
      <c r="B382" s="88"/>
      <c r="C382" s="80"/>
      <c r="D382" s="74"/>
      <c r="AF382" t="str">
        <f t="shared" si="54"/>
        <v>00000000</v>
      </c>
      <c r="AG382" s="81">
        <f t="shared" si="55"/>
        <v>0</v>
      </c>
      <c r="AH382" s="81">
        <f t="shared" si="56"/>
        <v>0</v>
      </c>
      <c r="AI382" t="str">
        <f t="shared" si="57"/>
        <v>0000000000</v>
      </c>
      <c r="AJ382" t="str">
        <f t="shared" si="58"/>
        <v>.00</v>
      </c>
      <c r="AK382" t="str">
        <f t="shared" si="59"/>
        <v>00</v>
      </c>
      <c r="AL382" t="str">
        <f t="shared" si="60"/>
        <v>000000000000</v>
      </c>
      <c r="AM382" t="str">
        <f t="shared" si="52"/>
        <v xml:space="preserve">                              </v>
      </c>
      <c r="AP382" t="str">
        <f t="shared" si="53"/>
        <v/>
      </c>
    </row>
    <row r="383" spans="2:42" x14ac:dyDescent="0.2">
      <c r="B383" s="88"/>
      <c r="C383" s="80"/>
      <c r="D383" s="74"/>
      <c r="AF383" t="str">
        <f t="shared" si="54"/>
        <v>00000000</v>
      </c>
      <c r="AG383" s="81">
        <f t="shared" si="55"/>
        <v>0</v>
      </c>
      <c r="AH383" s="81">
        <f t="shared" si="56"/>
        <v>0</v>
      </c>
      <c r="AI383" t="str">
        <f t="shared" si="57"/>
        <v>0000000000</v>
      </c>
      <c r="AJ383" t="str">
        <f t="shared" si="58"/>
        <v>.00</v>
      </c>
      <c r="AK383" t="str">
        <f t="shared" si="59"/>
        <v>00</v>
      </c>
      <c r="AL383" t="str">
        <f t="shared" si="60"/>
        <v>000000000000</v>
      </c>
      <c r="AM383" t="str">
        <f t="shared" si="52"/>
        <v xml:space="preserve">                              </v>
      </c>
      <c r="AP383" t="str">
        <f t="shared" si="53"/>
        <v/>
      </c>
    </row>
    <row r="384" spans="2:42" x14ac:dyDescent="0.2">
      <c r="B384" s="88"/>
      <c r="C384" s="80"/>
      <c r="D384" s="74"/>
      <c r="AF384" t="str">
        <f t="shared" si="54"/>
        <v>00000000</v>
      </c>
      <c r="AG384" s="81">
        <f t="shared" si="55"/>
        <v>0</v>
      </c>
      <c r="AH384" s="81">
        <f t="shared" si="56"/>
        <v>0</v>
      </c>
      <c r="AI384" t="str">
        <f t="shared" si="57"/>
        <v>0000000000</v>
      </c>
      <c r="AJ384" t="str">
        <f t="shared" si="58"/>
        <v>.00</v>
      </c>
      <c r="AK384" t="str">
        <f t="shared" si="59"/>
        <v>00</v>
      </c>
      <c r="AL384" t="str">
        <f t="shared" si="60"/>
        <v>000000000000</v>
      </c>
      <c r="AM384" t="str">
        <f t="shared" si="52"/>
        <v xml:space="preserve">                              </v>
      </c>
      <c r="AP384" t="str">
        <f t="shared" si="53"/>
        <v/>
      </c>
    </row>
    <row r="385" spans="2:42" x14ac:dyDescent="0.2">
      <c r="B385" s="88"/>
      <c r="C385" s="80"/>
      <c r="D385" s="74"/>
      <c r="AF385" t="str">
        <f t="shared" si="54"/>
        <v>00000000</v>
      </c>
      <c r="AG385" s="81">
        <f t="shared" si="55"/>
        <v>0</v>
      </c>
      <c r="AH385" s="81">
        <f t="shared" si="56"/>
        <v>0</v>
      </c>
      <c r="AI385" t="str">
        <f t="shared" si="57"/>
        <v>0000000000</v>
      </c>
      <c r="AJ385" t="str">
        <f t="shared" si="58"/>
        <v>.00</v>
      </c>
      <c r="AK385" t="str">
        <f t="shared" si="59"/>
        <v>00</v>
      </c>
      <c r="AL385" t="str">
        <f t="shared" si="60"/>
        <v>000000000000</v>
      </c>
      <c r="AM385" t="str">
        <f t="shared" si="52"/>
        <v xml:space="preserve">                              </v>
      </c>
      <c r="AP385" t="str">
        <f t="shared" si="53"/>
        <v/>
      </c>
    </row>
    <row r="386" spans="2:42" x14ac:dyDescent="0.2">
      <c r="B386" s="88"/>
      <c r="C386" s="80"/>
      <c r="D386" s="74"/>
      <c r="AF386" t="str">
        <f t="shared" si="54"/>
        <v>00000000</v>
      </c>
      <c r="AG386" s="81">
        <f t="shared" si="55"/>
        <v>0</v>
      </c>
      <c r="AH386" s="81">
        <f t="shared" si="56"/>
        <v>0</v>
      </c>
      <c r="AI386" t="str">
        <f t="shared" si="57"/>
        <v>0000000000</v>
      </c>
      <c r="AJ386" t="str">
        <f t="shared" si="58"/>
        <v>.00</v>
      </c>
      <c r="AK386" t="str">
        <f t="shared" si="59"/>
        <v>00</v>
      </c>
      <c r="AL386" t="str">
        <f t="shared" si="60"/>
        <v>000000000000</v>
      </c>
      <c r="AM386" t="str">
        <f t="shared" si="52"/>
        <v xml:space="preserve">                              </v>
      </c>
      <c r="AP386" t="str">
        <f t="shared" si="53"/>
        <v/>
      </c>
    </row>
    <row r="387" spans="2:42" x14ac:dyDescent="0.2">
      <c r="B387" s="88"/>
      <c r="C387" s="80"/>
      <c r="D387" s="74"/>
      <c r="AF387" t="str">
        <f t="shared" si="54"/>
        <v>00000000</v>
      </c>
      <c r="AG387" s="81">
        <f t="shared" si="55"/>
        <v>0</v>
      </c>
      <c r="AH387" s="81">
        <f t="shared" si="56"/>
        <v>0</v>
      </c>
      <c r="AI387" t="str">
        <f t="shared" si="57"/>
        <v>0000000000</v>
      </c>
      <c r="AJ387" t="str">
        <f t="shared" si="58"/>
        <v>.00</v>
      </c>
      <c r="AK387" t="str">
        <f t="shared" si="59"/>
        <v>00</v>
      </c>
      <c r="AL387" t="str">
        <f t="shared" si="60"/>
        <v>000000000000</v>
      </c>
      <c r="AM387" t="str">
        <f t="shared" ref="AM387:AM450" si="61">CONCATENATE(D388,REPT(" ",30-LEN(D388)))</f>
        <v xml:space="preserve">                              </v>
      </c>
      <c r="AP387" t="str">
        <f t="shared" ref="AP387:AP450" si="62">IF(B388&lt;&gt;"",CONCATENATE("000",$AA$3,"     ",$AB$3,$AC$3,$AD$3,"30000",AF387,AL387,$AC$1,AM387),"")</f>
        <v/>
      </c>
    </row>
    <row r="388" spans="2:42" x14ac:dyDescent="0.2">
      <c r="B388" s="88"/>
      <c r="C388" s="80"/>
      <c r="D388" s="74"/>
      <c r="AF388" t="str">
        <f t="shared" si="54"/>
        <v>00000000</v>
      </c>
      <c r="AG388" s="81">
        <f t="shared" si="55"/>
        <v>0</v>
      </c>
      <c r="AH388" s="81">
        <f t="shared" si="56"/>
        <v>0</v>
      </c>
      <c r="AI388" t="str">
        <f t="shared" si="57"/>
        <v>0000000000</v>
      </c>
      <c r="AJ388" t="str">
        <f t="shared" si="58"/>
        <v>.00</v>
      </c>
      <c r="AK388" t="str">
        <f t="shared" si="59"/>
        <v>00</v>
      </c>
      <c r="AL388" t="str">
        <f t="shared" si="60"/>
        <v>000000000000</v>
      </c>
      <c r="AM388" t="str">
        <f t="shared" si="61"/>
        <v xml:space="preserve">                              </v>
      </c>
      <c r="AP388" t="str">
        <f t="shared" si="62"/>
        <v/>
      </c>
    </row>
    <row r="389" spans="2:42" x14ac:dyDescent="0.2">
      <c r="B389" s="88"/>
      <c r="C389" s="80"/>
      <c r="D389" s="74"/>
      <c r="AF389" t="str">
        <f t="shared" si="54"/>
        <v>00000000</v>
      </c>
      <c r="AG389" s="81">
        <f t="shared" si="55"/>
        <v>0</v>
      </c>
      <c r="AH389" s="81">
        <f t="shared" si="56"/>
        <v>0</v>
      </c>
      <c r="AI389" t="str">
        <f t="shared" si="57"/>
        <v>0000000000</v>
      </c>
      <c r="AJ389" t="str">
        <f t="shared" si="58"/>
        <v>.00</v>
      </c>
      <c r="AK389" t="str">
        <f t="shared" si="59"/>
        <v>00</v>
      </c>
      <c r="AL389" t="str">
        <f t="shared" si="60"/>
        <v>000000000000</v>
      </c>
      <c r="AM389" t="str">
        <f t="shared" si="61"/>
        <v xml:space="preserve">                              </v>
      </c>
      <c r="AP389" t="str">
        <f t="shared" si="62"/>
        <v/>
      </c>
    </row>
    <row r="390" spans="2:42" x14ac:dyDescent="0.2">
      <c r="B390" s="88"/>
      <c r="C390" s="80"/>
      <c r="D390" s="74"/>
      <c r="AF390" t="str">
        <f t="shared" si="54"/>
        <v>00000000</v>
      </c>
      <c r="AG390" s="81">
        <f t="shared" si="55"/>
        <v>0</v>
      </c>
      <c r="AH390" s="81">
        <f t="shared" si="56"/>
        <v>0</v>
      </c>
      <c r="AI390" t="str">
        <f t="shared" si="57"/>
        <v>0000000000</v>
      </c>
      <c r="AJ390" t="str">
        <f t="shared" si="58"/>
        <v>.00</v>
      </c>
      <c r="AK390" t="str">
        <f t="shared" si="59"/>
        <v>00</v>
      </c>
      <c r="AL390" t="str">
        <f t="shared" si="60"/>
        <v>000000000000</v>
      </c>
      <c r="AM390" t="str">
        <f t="shared" si="61"/>
        <v xml:space="preserve">                              </v>
      </c>
      <c r="AP390" t="str">
        <f t="shared" si="62"/>
        <v/>
      </c>
    </row>
    <row r="391" spans="2:42" x14ac:dyDescent="0.2">
      <c r="B391" s="88"/>
      <c r="C391" s="80"/>
      <c r="D391" s="74"/>
      <c r="AF391" t="str">
        <f t="shared" si="54"/>
        <v>00000000</v>
      </c>
      <c r="AG391" s="81">
        <f t="shared" si="55"/>
        <v>0</v>
      </c>
      <c r="AH391" s="81">
        <f t="shared" si="56"/>
        <v>0</v>
      </c>
      <c r="AI391" t="str">
        <f t="shared" si="57"/>
        <v>0000000000</v>
      </c>
      <c r="AJ391" t="str">
        <f t="shared" si="58"/>
        <v>.00</v>
      </c>
      <c r="AK391" t="str">
        <f t="shared" si="59"/>
        <v>00</v>
      </c>
      <c r="AL391" t="str">
        <f t="shared" si="60"/>
        <v>000000000000</v>
      </c>
      <c r="AM391" t="str">
        <f t="shared" si="61"/>
        <v xml:space="preserve">                              </v>
      </c>
      <c r="AP391" t="str">
        <f t="shared" si="62"/>
        <v/>
      </c>
    </row>
    <row r="392" spans="2:42" x14ac:dyDescent="0.2">
      <c r="B392" s="88"/>
      <c r="C392" s="80"/>
      <c r="D392" s="74"/>
      <c r="AF392" t="str">
        <f t="shared" si="54"/>
        <v>00000000</v>
      </c>
      <c r="AG392" s="81">
        <f t="shared" si="55"/>
        <v>0</v>
      </c>
      <c r="AH392" s="81">
        <f t="shared" si="56"/>
        <v>0</v>
      </c>
      <c r="AI392" t="str">
        <f t="shared" si="57"/>
        <v>0000000000</v>
      </c>
      <c r="AJ392" t="str">
        <f t="shared" si="58"/>
        <v>.00</v>
      </c>
      <c r="AK392" t="str">
        <f t="shared" si="59"/>
        <v>00</v>
      </c>
      <c r="AL392" t="str">
        <f t="shared" si="60"/>
        <v>000000000000</v>
      </c>
      <c r="AM392" t="str">
        <f t="shared" si="61"/>
        <v xml:space="preserve">                              </v>
      </c>
      <c r="AP392" t="str">
        <f t="shared" si="62"/>
        <v/>
      </c>
    </row>
    <row r="393" spans="2:42" x14ac:dyDescent="0.2">
      <c r="B393" s="88"/>
      <c r="C393" s="80"/>
      <c r="D393" s="74"/>
      <c r="AF393" t="str">
        <f t="shared" si="54"/>
        <v>00000000</v>
      </c>
      <c r="AG393" s="81">
        <f t="shared" si="55"/>
        <v>0</v>
      </c>
      <c r="AH393" s="81">
        <f t="shared" si="56"/>
        <v>0</v>
      </c>
      <c r="AI393" t="str">
        <f t="shared" si="57"/>
        <v>0000000000</v>
      </c>
      <c r="AJ393" t="str">
        <f t="shared" si="58"/>
        <v>.00</v>
      </c>
      <c r="AK393" t="str">
        <f t="shared" si="59"/>
        <v>00</v>
      </c>
      <c r="AL393" t="str">
        <f t="shared" si="60"/>
        <v>000000000000</v>
      </c>
      <c r="AM393" t="str">
        <f t="shared" si="61"/>
        <v xml:space="preserve">                              </v>
      </c>
      <c r="AP393" t="str">
        <f t="shared" si="62"/>
        <v/>
      </c>
    </row>
    <row r="394" spans="2:42" x14ac:dyDescent="0.2">
      <c r="B394" s="88"/>
      <c r="C394" s="80"/>
      <c r="D394" s="74"/>
      <c r="AF394" t="str">
        <f t="shared" ref="AF394:AF457" si="63">CONCATENATE(REPT("0",8-LEN(B395)),B395)</f>
        <v>00000000</v>
      </c>
      <c r="AG394" s="81">
        <f t="shared" ref="AG394:AG457" si="64">INT(C395)</f>
        <v>0</v>
      </c>
      <c r="AH394" s="81">
        <f t="shared" ref="AH394:AH457" si="65">C395-AG394</f>
        <v>0</v>
      </c>
      <c r="AI394" t="str">
        <f t="shared" ref="AI394:AI457" si="66">TEXT(AG394,"0000000000")</f>
        <v>0000000000</v>
      </c>
      <c r="AJ394" t="str">
        <f t="shared" ref="AJ394:AJ457" si="67">TEXT(AH394,".00")</f>
        <v>.00</v>
      </c>
      <c r="AK394" t="str">
        <f t="shared" ref="AK394:AK457" si="68">MID(AJ394,2,2)</f>
        <v>00</v>
      </c>
      <c r="AL394" t="str">
        <f t="shared" ref="AL394:AL457" si="69">CONCATENATE(AI394,AK394)</f>
        <v>000000000000</v>
      </c>
      <c r="AM394" t="str">
        <f t="shared" si="61"/>
        <v xml:space="preserve">                              </v>
      </c>
      <c r="AP394" t="str">
        <f t="shared" si="62"/>
        <v/>
      </c>
    </row>
    <row r="395" spans="2:42" x14ac:dyDescent="0.2">
      <c r="B395" s="88"/>
      <c r="C395" s="80"/>
      <c r="D395" s="74"/>
      <c r="AF395" t="str">
        <f t="shared" si="63"/>
        <v>00000000</v>
      </c>
      <c r="AG395" s="81">
        <f t="shared" si="64"/>
        <v>0</v>
      </c>
      <c r="AH395" s="81">
        <f t="shared" si="65"/>
        <v>0</v>
      </c>
      <c r="AI395" t="str">
        <f t="shared" si="66"/>
        <v>0000000000</v>
      </c>
      <c r="AJ395" t="str">
        <f t="shared" si="67"/>
        <v>.00</v>
      </c>
      <c r="AK395" t="str">
        <f t="shared" si="68"/>
        <v>00</v>
      </c>
      <c r="AL395" t="str">
        <f t="shared" si="69"/>
        <v>000000000000</v>
      </c>
      <c r="AM395" t="str">
        <f t="shared" si="61"/>
        <v xml:space="preserve">                              </v>
      </c>
      <c r="AP395" t="str">
        <f t="shared" si="62"/>
        <v/>
      </c>
    </row>
    <row r="396" spans="2:42" x14ac:dyDescent="0.2">
      <c r="B396" s="88"/>
      <c r="C396" s="80"/>
      <c r="D396" s="74"/>
      <c r="AF396" t="str">
        <f t="shared" si="63"/>
        <v>00000000</v>
      </c>
      <c r="AG396" s="81">
        <f t="shared" si="64"/>
        <v>0</v>
      </c>
      <c r="AH396" s="81">
        <f t="shared" si="65"/>
        <v>0</v>
      </c>
      <c r="AI396" t="str">
        <f t="shared" si="66"/>
        <v>0000000000</v>
      </c>
      <c r="AJ396" t="str">
        <f t="shared" si="67"/>
        <v>.00</v>
      </c>
      <c r="AK396" t="str">
        <f t="shared" si="68"/>
        <v>00</v>
      </c>
      <c r="AL396" t="str">
        <f t="shared" si="69"/>
        <v>000000000000</v>
      </c>
      <c r="AM396" t="str">
        <f t="shared" si="61"/>
        <v xml:space="preserve">                              </v>
      </c>
      <c r="AP396" t="str">
        <f t="shared" si="62"/>
        <v/>
      </c>
    </row>
    <row r="397" spans="2:42" x14ac:dyDescent="0.2">
      <c r="B397" s="88"/>
      <c r="C397" s="80"/>
      <c r="D397" s="74"/>
      <c r="AF397" t="str">
        <f t="shared" si="63"/>
        <v>00000000</v>
      </c>
      <c r="AG397" s="81">
        <f t="shared" si="64"/>
        <v>0</v>
      </c>
      <c r="AH397" s="81">
        <f t="shared" si="65"/>
        <v>0</v>
      </c>
      <c r="AI397" t="str">
        <f t="shared" si="66"/>
        <v>0000000000</v>
      </c>
      <c r="AJ397" t="str">
        <f t="shared" si="67"/>
        <v>.00</v>
      </c>
      <c r="AK397" t="str">
        <f t="shared" si="68"/>
        <v>00</v>
      </c>
      <c r="AL397" t="str">
        <f t="shared" si="69"/>
        <v>000000000000</v>
      </c>
      <c r="AM397" t="str">
        <f t="shared" si="61"/>
        <v xml:space="preserve">                              </v>
      </c>
      <c r="AP397" t="str">
        <f t="shared" si="62"/>
        <v/>
      </c>
    </row>
    <row r="398" spans="2:42" x14ac:dyDescent="0.2">
      <c r="B398" s="88"/>
      <c r="C398" s="80"/>
      <c r="D398" s="74"/>
      <c r="AF398" t="str">
        <f t="shared" si="63"/>
        <v>00000000</v>
      </c>
      <c r="AG398" s="81">
        <f t="shared" si="64"/>
        <v>0</v>
      </c>
      <c r="AH398" s="81">
        <f t="shared" si="65"/>
        <v>0</v>
      </c>
      <c r="AI398" t="str">
        <f t="shared" si="66"/>
        <v>0000000000</v>
      </c>
      <c r="AJ398" t="str">
        <f t="shared" si="67"/>
        <v>.00</v>
      </c>
      <c r="AK398" t="str">
        <f t="shared" si="68"/>
        <v>00</v>
      </c>
      <c r="AL398" t="str">
        <f t="shared" si="69"/>
        <v>000000000000</v>
      </c>
      <c r="AM398" t="str">
        <f t="shared" si="61"/>
        <v xml:space="preserve">                              </v>
      </c>
      <c r="AP398" t="str">
        <f t="shared" si="62"/>
        <v/>
      </c>
    </row>
    <row r="399" spans="2:42" x14ac:dyDescent="0.2">
      <c r="B399" s="88"/>
      <c r="C399" s="80"/>
      <c r="D399" s="74"/>
      <c r="AF399" t="str">
        <f t="shared" si="63"/>
        <v>00000000</v>
      </c>
      <c r="AG399" s="81">
        <f t="shared" si="64"/>
        <v>0</v>
      </c>
      <c r="AH399" s="81">
        <f t="shared" si="65"/>
        <v>0</v>
      </c>
      <c r="AI399" t="str">
        <f t="shared" si="66"/>
        <v>0000000000</v>
      </c>
      <c r="AJ399" t="str">
        <f t="shared" si="67"/>
        <v>.00</v>
      </c>
      <c r="AK399" t="str">
        <f t="shared" si="68"/>
        <v>00</v>
      </c>
      <c r="AL399" t="str">
        <f t="shared" si="69"/>
        <v>000000000000</v>
      </c>
      <c r="AM399" t="str">
        <f t="shared" si="61"/>
        <v xml:space="preserve">                              </v>
      </c>
      <c r="AP399" t="str">
        <f t="shared" si="62"/>
        <v/>
      </c>
    </row>
    <row r="400" spans="2:42" x14ac:dyDescent="0.2">
      <c r="B400" s="88"/>
      <c r="C400" s="80"/>
      <c r="D400" s="74"/>
      <c r="AF400" t="str">
        <f t="shared" si="63"/>
        <v>00000000</v>
      </c>
      <c r="AG400" s="81">
        <f t="shared" si="64"/>
        <v>0</v>
      </c>
      <c r="AH400" s="81">
        <f t="shared" si="65"/>
        <v>0</v>
      </c>
      <c r="AI400" t="str">
        <f t="shared" si="66"/>
        <v>0000000000</v>
      </c>
      <c r="AJ400" t="str">
        <f t="shared" si="67"/>
        <v>.00</v>
      </c>
      <c r="AK400" t="str">
        <f t="shared" si="68"/>
        <v>00</v>
      </c>
      <c r="AL400" t="str">
        <f t="shared" si="69"/>
        <v>000000000000</v>
      </c>
      <c r="AM400" t="str">
        <f t="shared" si="61"/>
        <v xml:space="preserve">                              </v>
      </c>
      <c r="AP400" t="str">
        <f t="shared" si="62"/>
        <v/>
      </c>
    </row>
    <row r="401" spans="2:42" x14ac:dyDescent="0.2">
      <c r="B401" s="88"/>
      <c r="C401" s="80"/>
      <c r="D401" s="74"/>
      <c r="AF401" t="str">
        <f t="shared" si="63"/>
        <v>00000000</v>
      </c>
      <c r="AG401" s="81">
        <f t="shared" si="64"/>
        <v>0</v>
      </c>
      <c r="AH401" s="81">
        <f t="shared" si="65"/>
        <v>0</v>
      </c>
      <c r="AI401" t="str">
        <f t="shared" si="66"/>
        <v>0000000000</v>
      </c>
      <c r="AJ401" t="str">
        <f t="shared" si="67"/>
        <v>.00</v>
      </c>
      <c r="AK401" t="str">
        <f t="shared" si="68"/>
        <v>00</v>
      </c>
      <c r="AL401" t="str">
        <f t="shared" si="69"/>
        <v>000000000000</v>
      </c>
      <c r="AM401" t="str">
        <f t="shared" si="61"/>
        <v xml:space="preserve">                              </v>
      </c>
      <c r="AP401" t="str">
        <f t="shared" si="62"/>
        <v/>
      </c>
    </row>
    <row r="402" spans="2:42" x14ac:dyDescent="0.2">
      <c r="B402" s="88"/>
      <c r="C402" s="80"/>
      <c r="D402" s="74"/>
      <c r="AF402" t="str">
        <f t="shared" si="63"/>
        <v>00000000</v>
      </c>
      <c r="AG402" s="81">
        <f t="shared" si="64"/>
        <v>0</v>
      </c>
      <c r="AH402" s="81">
        <f t="shared" si="65"/>
        <v>0</v>
      </c>
      <c r="AI402" t="str">
        <f t="shared" si="66"/>
        <v>0000000000</v>
      </c>
      <c r="AJ402" t="str">
        <f t="shared" si="67"/>
        <v>.00</v>
      </c>
      <c r="AK402" t="str">
        <f t="shared" si="68"/>
        <v>00</v>
      </c>
      <c r="AL402" t="str">
        <f t="shared" si="69"/>
        <v>000000000000</v>
      </c>
      <c r="AM402" t="str">
        <f t="shared" si="61"/>
        <v xml:space="preserve">                              </v>
      </c>
      <c r="AP402" t="str">
        <f t="shared" si="62"/>
        <v/>
      </c>
    </row>
    <row r="403" spans="2:42" x14ac:dyDescent="0.2">
      <c r="B403" s="88"/>
      <c r="C403" s="80"/>
      <c r="D403" s="74"/>
      <c r="AF403" t="str">
        <f t="shared" si="63"/>
        <v>00000000</v>
      </c>
      <c r="AG403" s="81">
        <f t="shared" si="64"/>
        <v>0</v>
      </c>
      <c r="AH403" s="81">
        <f t="shared" si="65"/>
        <v>0</v>
      </c>
      <c r="AI403" t="str">
        <f t="shared" si="66"/>
        <v>0000000000</v>
      </c>
      <c r="AJ403" t="str">
        <f t="shared" si="67"/>
        <v>.00</v>
      </c>
      <c r="AK403" t="str">
        <f t="shared" si="68"/>
        <v>00</v>
      </c>
      <c r="AL403" t="str">
        <f t="shared" si="69"/>
        <v>000000000000</v>
      </c>
      <c r="AM403" t="str">
        <f t="shared" si="61"/>
        <v xml:space="preserve">                              </v>
      </c>
      <c r="AP403" t="str">
        <f t="shared" si="62"/>
        <v/>
      </c>
    </row>
    <row r="404" spans="2:42" x14ac:dyDescent="0.2">
      <c r="B404" s="88"/>
      <c r="C404" s="80"/>
      <c r="D404" s="74"/>
      <c r="AF404" t="str">
        <f t="shared" si="63"/>
        <v>00000000</v>
      </c>
      <c r="AG404" s="81">
        <f t="shared" si="64"/>
        <v>0</v>
      </c>
      <c r="AH404" s="81">
        <f t="shared" si="65"/>
        <v>0</v>
      </c>
      <c r="AI404" t="str">
        <f t="shared" si="66"/>
        <v>0000000000</v>
      </c>
      <c r="AJ404" t="str">
        <f t="shared" si="67"/>
        <v>.00</v>
      </c>
      <c r="AK404" t="str">
        <f t="shared" si="68"/>
        <v>00</v>
      </c>
      <c r="AL404" t="str">
        <f t="shared" si="69"/>
        <v>000000000000</v>
      </c>
      <c r="AM404" t="str">
        <f t="shared" si="61"/>
        <v xml:space="preserve">                              </v>
      </c>
      <c r="AP404" t="str">
        <f t="shared" si="62"/>
        <v/>
      </c>
    </row>
    <row r="405" spans="2:42" x14ac:dyDescent="0.2">
      <c r="B405" s="88"/>
      <c r="C405" s="80"/>
      <c r="D405" s="74"/>
      <c r="AF405" t="str">
        <f t="shared" si="63"/>
        <v>00000000</v>
      </c>
      <c r="AG405" s="81">
        <f t="shared" si="64"/>
        <v>0</v>
      </c>
      <c r="AH405" s="81">
        <f t="shared" si="65"/>
        <v>0</v>
      </c>
      <c r="AI405" t="str">
        <f t="shared" si="66"/>
        <v>0000000000</v>
      </c>
      <c r="AJ405" t="str">
        <f t="shared" si="67"/>
        <v>.00</v>
      </c>
      <c r="AK405" t="str">
        <f t="shared" si="68"/>
        <v>00</v>
      </c>
      <c r="AL405" t="str">
        <f t="shared" si="69"/>
        <v>000000000000</v>
      </c>
      <c r="AM405" t="str">
        <f t="shared" si="61"/>
        <v xml:space="preserve">                              </v>
      </c>
      <c r="AP405" t="str">
        <f t="shared" si="62"/>
        <v/>
      </c>
    </row>
    <row r="406" spans="2:42" x14ac:dyDescent="0.2">
      <c r="B406" s="88"/>
      <c r="C406" s="80"/>
      <c r="D406" s="74"/>
      <c r="AF406" t="str">
        <f t="shared" si="63"/>
        <v>00000000</v>
      </c>
      <c r="AG406" s="81">
        <f t="shared" si="64"/>
        <v>0</v>
      </c>
      <c r="AH406" s="81">
        <f t="shared" si="65"/>
        <v>0</v>
      </c>
      <c r="AI406" t="str">
        <f t="shared" si="66"/>
        <v>0000000000</v>
      </c>
      <c r="AJ406" t="str">
        <f t="shared" si="67"/>
        <v>.00</v>
      </c>
      <c r="AK406" t="str">
        <f t="shared" si="68"/>
        <v>00</v>
      </c>
      <c r="AL406" t="str">
        <f t="shared" si="69"/>
        <v>000000000000</v>
      </c>
      <c r="AM406" t="str">
        <f t="shared" si="61"/>
        <v xml:space="preserve">                              </v>
      </c>
      <c r="AP406" t="str">
        <f t="shared" si="62"/>
        <v/>
      </c>
    </row>
    <row r="407" spans="2:42" x14ac:dyDescent="0.2">
      <c r="B407" s="88"/>
      <c r="C407" s="80"/>
      <c r="D407" s="74"/>
      <c r="AF407" t="str">
        <f t="shared" si="63"/>
        <v>00000000</v>
      </c>
      <c r="AG407" s="81">
        <f t="shared" si="64"/>
        <v>0</v>
      </c>
      <c r="AH407" s="81">
        <f t="shared" si="65"/>
        <v>0</v>
      </c>
      <c r="AI407" t="str">
        <f t="shared" si="66"/>
        <v>0000000000</v>
      </c>
      <c r="AJ407" t="str">
        <f t="shared" si="67"/>
        <v>.00</v>
      </c>
      <c r="AK407" t="str">
        <f t="shared" si="68"/>
        <v>00</v>
      </c>
      <c r="AL407" t="str">
        <f t="shared" si="69"/>
        <v>000000000000</v>
      </c>
      <c r="AM407" t="str">
        <f t="shared" si="61"/>
        <v xml:space="preserve">                              </v>
      </c>
      <c r="AP407" t="str">
        <f t="shared" si="62"/>
        <v/>
      </c>
    </row>
    <row r="408" spans="2:42" x14ac:dyDescent="0.2">
      <c r="B408" s="88"/>
      <c r="C408" s="80"/>
      <c r="D408" s="74"/>
      <c r="AF408" t="str">
        <f t="shared" si="63"/>
        <v>00000000</v>
      </c>
      <c r="AG408" s="81">
        <f t="shared" si="64"/>
        <v>0</v>
      </c>
      <c r="AH408" s="81">
        <f t="shared" si="65"/>
        <v>0</v>
      </c>
      <c r="AI408" t="str">
        <f t="shared" si="66"/>
        <v>0000000000</v>
      </c>
      <c r="AJ408" t="str">
        <f t="shared" si="67"/>
        <v>.00</v>
      </c>
      <c r="AK408" t="str">
        <f t="shared" si="68"/>
        <v>00</v>
      </c>
      <c r="AL408" t="str">
        <f t="shared" si="69"/>
        <v>000000000000</v>
      </c>
      <c r="AM408" t="str">
        <f t="shared" si="61"/>
        <v xml:space="preserve">                              </v>
      </c>
      <c r="AP408" t="str">
        <f t="shared" si="62"/>
        <v/>
      </c>
    </row>
    <row r="409" spans="2:42" x14ac:dyDescent="0.2">
      <c r="B409" s="88"/>
      <c r="C409" s="80"/>
      <c r="D409" s="74"/>
      <c r="AF409" t="str">
        <f t="shared" si="63"/>
        <v>00000000</v>
      </c>
      <c r="AG409" s="81">
        <f t="shared" si="64"/>
        <v>0</v>
      </c>
      <c r="AH409" s="81">
        <f t="shared" si="65"/>
        <v>0</v>
      </c>
      <c r="AI409" t="str">
        <f t="shared" si="66"/>
        <v>0000000000</v>
      </c>
      <c r="AJ409" t="str">
        <f t="shared" si="67"/>
        <v>.00</v>
      </c>
      <c r="AK409" t="str">
        <f t="shared" si="68"/>
        <v>00</v>
      </c>
      <c r="AL409" t="str">
        <f t="shared" si="69"/>
        <v>000000000000</v>
      </c>
      <c r="AM409" t="str">
        <f t="shared" si="61"/>
        <v xml:space="preserve">                              </v>
      </c>
      <c r="AP409" t="str">
        <f t="shared" si="62"/>
        <v/>
      </c>
    </row>
    <row r="410" spans="2:42" x14ac:dyDescent="0.2">
      <c r="B410" s="88"/>
      <c r="C410" s="80"/>
      <c r="D410" s="74"/>
      <c r="AF410" t="str">
        <f t="shared" si="63"/>
        <v>00000000</v>
      </c>
      <c r="AG410" s="81">
        <f t="shared" si="64"/>
        <v>0</v>
      </c>
      <c r="AH410" s="81">
        <f t="shared" si="65"/>
        <v>0</v>
      </c>
      <c r="AI410" t="str">
        <f t="shared" si="66"/>
        <v>0000000000</v>
      </c>
      <c r="AJ410" t="str">
        <f t="shared" si="67"/>
        <v>.00</v>
      </c>
      <c r="AK410" t="str">
        <f t="shared" si="68"/>
        <v>00</v>
      </c>
      <c r="AL410" t="str">
        <f t="shared" si="69"/>
        <v>000000000000</v>
      </c>
      <c r="AM410" t="str">
        <f t="shared" si="61"/>
        <v xml:space="preserve">                              </v>
      </c>
      <c r="AP410" t="str">
        <f t="shared" si="62"/>
        <v/>
      </c>
    </row>
    <row r="411" spans="2:42" x14ac:dyDescent="0.2">
      <c r="B411" s="88"/>
      <c r="C411" s="80"/>
      <c r="D411" s="74"/>
      <c r="AF411" t="str">
        <f t="shared" si="63"/>
        <v>00000000</v>
      </c>
      <c r="AG411" s="81">
        <f t="shared" si="64"/>
        <v>0</v>
      </c>
      <c r="AH411" s="81">
        <f t="shared" si="65"/>
        <v>0</v>
      </c>
      <c r="AI411" t="str">
        <f t="shared" si="66"/>
        <v>0000000000</v>
      </c>
      <c r="AJ411" t="str">
        <f t="shared" si="67"/>
        <v>.00</v>
      </c>
      <c r="AK411" t="str">
        <f t="shared" si="68"/>
        <v>00</v>
      </c>
      <c r="AL411" t="str">
        <f t="shared" si="69"/>
        <v>000000000000</v>
      </c>
      <c r="AM411" t="str">
        <f t="shared" si="61"/>
        <v xml:space="preserve">                              </v>
      </c>
      <c r="AP411" t="str">
        <f t="shared" si="62"/>
        <v/>
      </c>
    </row>
    <row r="412" spans="2:42" x14ac:dyDescent="0.2">
      <c r="B412" s="88"/>
      <c r="C412" s="80"/>
      <c r="D412" s="74"/>
      <c r="AF412" t="str">
        <f t="shared" si="63"/>
        <v>00000000</v>
      </c>
      <c r="AG412" s="81">
        <f t="shared" si="64"/>
        <v>0</v>
      </c>
      <c r="AH412" s="81">
        <f t="shared" si="65"/>
        <v>0</v>
      </c>
      <c r="AI412" t="str">
        <f t="shared" si="66"/>
        <v>0000000000</v>
      </c>
      <c r="AJ412" t="str">
        <f t="shared" si="67"/>
        <v>.00</v>
      </c>
      <c r="AK412" t="str">
        <f t="shared" si="68"/>
        <v>00</v>
      </c>
      <c r="AL412" t="str">
        <f t="shared" si="69"/>
        <v>000000000000</v>
      </c>
      <c r="AM412" t="str">
        <f t="shared" si="61"/>
        <v xml:space="preserve">                              </v>
      </c>
      <c r="AP412" t="str">
        <f t="shared" si="62"/>
        <v/>
      </c>
    </row>
    <row r="413" spans="2:42" x14ac:dyDescent="0.2">
      <c r="B413" s="88"/>
      <c r="C413" s="80"/>
      <c r="D413" s="74"/>
      <c r="AF413" t="str">
        <f t="shared" si="63"/>
        <v>00000000</v>
      </c>
      <c r="AG413" s="81">
        <f t="shared" si="64"/>
        <v>0</v>
      </c>
      <c r="AH413" s="81">
        <f t="shared" si="65"/>
        <v>0</v>
      </c>
      <c r="AI413" t="str">
        <f t="shared" si="66"/>
        <v>0000000000</v>
      </c>
      <c r="AJ413" t="str">
        <f t="shared" si="67"/>
        <v>.00</v>
      </c>
      <c r="AK413" t="str">
        <f t="shared" si="68"/>
        <v>00</v>
      </c>
      <c r="AL413" t="str">
        <f t="shared" si="69"/>
        <v>000000000000</v>
      </c>
      <c r="AM413" t="str">
        <f t="shared" si="61"/>
        <v xml:space="preserve">                              </v>
      </c>
      <c r="AP413" t="str">
        <f t="shared" si="62"/>
        <v/>
      </c>
    </row>
    <row r="414" spans="2:42" x14ac:dyDescent="0.2">
      <c r="B414" s="88"/>
      <c r="C414" s="80"/>
      <c r="D414" s="74"/>
      <c r="AF414" t="str">
        <f t="shared" si="63"/>
        <v>00000000</v>
      </c>
      <c r="AG414" s="81">
        <f t="shared" si="64"/>
        <v>0</v>
      </c>
      <c r="AH414" s="81">
        <f t="shared" si="65"/>
        <v>0</v>
      </c>
      <c r="AI414" t="str">
        <f t="shared" si="66"/>
        <v>0000000000</v>
      </c>
      <c r="AJ414" t="str">
        <f t="shared" si="67"/>
        <v>.00</v>
      </c>
      <c r="AK414" t="str">
        <f t="shared" si="68"/>
        <v>00</v>
      </c>
      <c r="AL414" t="str">
        <f t="shared" si="69"/>
        <v>000000000000</v>
      </c>
      <c r="AM414" t="str">
        <f t="shared" si="61"/>
        <v xml:space="preserve">                              </v>
      </c>
      <c r="AP414" t="str">
        <f t="shared" si="62"/>
        <v/>
      </c>
    </row>
    <row r="415" spans="2:42" x14ac:dyDescent="0.2">
      <c r="B415" s="88"/>
      <c r="C415" s="80"/>
      <c r="D415" s="74"/>
      <c r="AF415" t="str">
        <f t="shared" si="63"/>
        <v>00000000</v>
      </c>
      <c r="AG415" s="81">
        <f t="shared" si="64"/>
        <v>0</v>
      </c>
      <c r="AH415" s="81">
        <f t="shared" si="65"/>
        <v>0</v>
      </c>
      <c r="AI415" t="str">
        <f t="shared" si="66"/>
        <v>0000000000</v>
      </c>
      <c r="AJ415" t="str">
        <f t="shared" si="67"/>
        <v>.00</v>
      </c>
      <c r="AK415" t="str">
        <f t="shared" si="68"/>
        <v>00</v>
      </c>
      <c r="AL415" t="str">
        <f t="shared" si="69"/>
        <v>000000000000</v>
      </c>
      <c r="AM415" t="str">
        <f t="shared" si="61"/>
        <v xml:space="preserve">                              </v>
      </c>
      <c r="AP415" t="str">
        <f t="shared" si="62"/>
        <v/>
      </c>
    </row>
    <row r="416" spans="2:42" x14ac:dyDescent="0.2">
      <c r="B416" s="88"/>
      <c r="C416" s="80"/>
      <c r="D416" s="74"/>
      <c r="AF416" t="str">
        <f t="shared" si="63"/>
        <v>00000000</v>
      </c>
      <c r="AG416" s="81">
        <f t="shared" si="64"/>
        <v>0</v>
      </c>
      <c r="AH416" s="81">
        <f t="shared" si="65"/>
        <v>0</v>
      </c>
      <c r="AI416" t="str">
        <f t="shared" si="66"/>
        <v>0000000000</v>
      </c>
      <c r="AJ416" t="str">
        <f t="shared" si="67"/>
        <v>.00</v>
      </c>
      <c r="AK416" t="str">
        <f t="shared" si="68"/>
        <v>00</v>
      </c>
      <c r="AL416" t="str">
        <f t="shared" si="69"/>
        <v>000000000000</v>
      </c>
      <c r="AM416" t="str">
        <f t="shared" si="61"/>
        <v xml:space="preserve">                              </v>
      </c>
      <c r="AP416" t="str">
        <f t="shared" si="62"/>
        <v/>
      </c>
    </row>
    <row r="417" spans="2:42" x14ac:dyDescent="0.2">
      <c r="B417" s="88"/>
      <c r="C417" s="80"/>
      <c r="D417" s="74"/>
      <c r="AF417" t="str">
        <f t="shared" si="63"/>
        <v>00000000</v>
      </c>
      <c r="AG417" s="81">
        <f t="shared" si="64"/>
        <v>0</v>
      </c>
      <c r="AH417" s="81">
        <f t="shared" si="65"/>
        <v>0</v>
      </c>
      <c r="AI417" t="str">
        <f t="shared" si="66"/>
        <v>0000000000</v>
      </c>
      <c r="AJ417" t="str">
        <f t="shared" si="67"/>
        <v>.00</v>
      </c>
      <c r="AK417" t="str">
        <f t="shared" si="68"/>
        <v>00</v>
      </c>
      <c r="AL417" t="str">
        <f t="shared" si="69"/>
        <v>000000000000</v>
      </c>
      <c r="AM417" t="str">
        <f t="shared" si="61"/>
        <v xml:space="preserve">                              </v>
      </c>
      <c r="AP417" t="str">
        <f t="shared" si="62"/>
        <v/>
      </c>
    </row>
    <row r="418" spans="2:42" x14ac:dyDescent="0.2">
      <c r="B418" s="88"/>
      <c r="C418" s="80"/>
      <c r="D418" s="74"/>
      <c r="AF418" t="str">
        <f t="shared" si="63"/>
        <v>00000000</v>
      </c>
      <c r="AG418" s="81">
        <f t="shared" si="64"/>
        <v>0</v>
      </c>
      <c r="AH418" s="81">
        <f t="shared" si="65"/>
        <v>0</v>
      </c>
      <c r="AI418" t="str">
        <f t="shared" si="66"/>
        <v>0000000000</v>
      </c>
      <c r="AJ418" t="str">
        <f t="shared" si="67"/>
        <v>.00</v>
      </c>
      <c r="AK418" t="str">
        <f t="shared" si="68"/>
        <v>00</v>
      </c>
      <c r="AL418" t="str">
        <f t="shared" si="69"/>
        <v>000000000000</v>
      </c>
      <c r="AM418" t="str">
        <f t="shared" si="61"/>
        <v xml:space="preserve">                              </v>
      </c>
      <c r="AP418" t="str">
        <f t="shared" si="62"/>
        <v/>
      </c>
    </row>
    <row r="419" spans="2:42" x14ac:dyDescent="0.2">
      <c r="B419" s="88"/>
      <c r="C419" s="80"/>
      <c r="D419" s="74"/>
      <c r="AF419" t="str">
        <f t="shared" si="63"/>
        <v>00000000</v>
      </c>
      <c r="AG419" s="81">
        <f t="shared" si="64"/>
        <v>0</v>
      </c>
      <c r="AH419" s="81">
        <f t="shared" si="65"/>
        <v>0</v>
      </c>
      <c r="AI419" t="str">
        <f t="shared" si="66"/>
        <v>0000000000</v>
      </c>
      <c r="AJ419" t="str">
        <f t="shared" si="67"/>
        <v>.00</v>
      </c>
      <c r="AK419" t="str">
        <f t="shared" si="68"/>
        <v>00</v>
      </c>
      <c r="AL419" t="str">
        <f t="shared" si="69"/>
        <v>000000000000</v>
      </c>
      <c r="AM419" t="str">
        <f t="shared" si="61"/>
        <v xml:space="preserve">                              </v>
      </c>
      <c r="AP419" t="str">
        <f t="shared" si="62"/>
        <v/>
      </c>
    </row>
    <row r="420" spans="2:42" x14ac:dyDescent="0.2">
      <c r="B420" s="88"/>
      <c r="C420" s="80"/>
      <c r="D420" s="74"/>
      <c r="AF420" t="str">
        <f t="shared" si="63"/>
        <v>00000000</v>
      </c>
      <c r="AG420" s="81">
        <f t="shared" si="64"/>
        <v>0</v>
      </c>
      <c r="AH420" s="81">
        <f t="shared" si="65"/>
        <v>0</v>
      </c>
      <c r="AI420" t="str">
        <f t="shared" si="66"/>
        <v>0000000000</v>
      </c>
      <c r="AJ420" t="str">
        <f t="shared" si="67"/>
        <v>.00</v>
      </c>
      <c r="AK420" t="str">
        <f t="shared" si="68"/>
        <v>00</v>
      </c>
      <c r="AL420" t="str">
        <f t="shared" si="69"/>
        <v>000000000000</v>
      </c>
      <c r="AM420" t="str">
        <f t="shared" si="61"/>
        <v xml:space="preserve">                              </v>
      </c>
      <c r="AP420" t="str">
        <f t="shared" si="62"/>
        <v/>
      </c>
    </row>
    <row r="421" spans="2:42" x14ac:dyDescent="0.2">
      <c r="B421" s="88"/>
      <c r="C421" s="80"/>
      <c r="D421" s="74"/>
      <c r="AF421" t="str">
        <f t="shared" si="63"/>
        <v>00000000</v>
      </c>
      <c r="AG421" s="81">
        <f t="shared" si="64"/>
        <v>0</v>
      </c>
      <c r="AH421" s="81">
        <f t="shared" si="65"/>
        <v>0</v>
      </c>
      <c r="AI421" t="str">
        <f t="shared" si="66"/>
        <v>0000000000</v>
      </c>
      <c r="AJ421" t="str">
        <f t="shared" si="67"/>
        <v>.00</v>
      </c>
      <c r="AK421" t="str">
        <f t="shared" si="68"/>
        <v>00</v>
      </c>
      <c r="AL421" t="str">
        <f t="shared" si="69"/>
        <v>000000000000</v>
      </c>
      <c r="AM421" t="str">
        <f t="shared" si="61"/>
        <v xml:space="preserve">                              </v>
      </c>
      <c r="AP421" t="str">
        <f t="shared" si="62"/>
        <v/>
      </c>
    </row>
    <row r="422" spans="2:42" x14ac:dyDescent="0.2">
      <c r="B422" s="88"/>
      <c r="C422" s="80"/>
      <c r="D422" s="74"/>
      <c r="AF422" t="str">
        <f t="shared" si="63"/>
        <v>00000000</v>
      </c>
      <c r="AG422" s="81">
        <f t="shared" si="64"/>
        <v>0</v>
      </c>
      <c r="AH422" s="81">
        <f t="shared" si="65"/>
        <v>0</v>
      </c>
      <c r="AI422" t="str">
        <f t="shared" si="66"/>
        <v>0000000000</v>
      </c>
      <c r="AJ422" t="str">
        <f t="shared" si="67"/>
        <v>.00</v>
      </c>
      <c r="AK422" t="str">
        <f t="shared" si="68"/>
        <v>00</v>
      </c>
      <c r="AL422" t="str">
        <f t="shared" si="69"/>
        <v>000000000000</v>
      </c>
      <c r="AM422" t="str">
        <f t="shared" si="61"/>
        <v xml:space="preserve">                              </v>
      </c>
      <c r="AP422" t="str">
        <f t="shared" si="62"/>
        <v/>
      </c>
    </row>
    <row r="423" spans="2:42" x14ac:dyDescent="0.2">
      <c r="B423" s="88"/>
      <c r="C423" s="80"/>
      <c r="D423" s="74"/>
      <c r="AF423" t="str">
        <f t="shared" si="63"/>
        <v>00000000</v>
      </c>
      <c r="AG423" s="81">
        <f t="shared" si="64"/>
        <v>0</v>
      </c>
      <c r="AH423" s="81">
        <f t="shared" si="65"/>
        <v>0</v>
      </c>
      <c r="AI423" t="str">
        <f t="shared" si="66"/>
        <v>0000000000</v>
      </c>
      <c r="AJ423" t="str">
        <f t="shared" si="67"/>
        <v>.00</v>
      </c>
      <c r="AK423" t="str">
        <f t="shared" si="68"/>
        <v>00</v>
      </c>
      <c r="AL423" t="str">
        <f t="shared" si="69"/>
        <v>000000000000</v>
      </c>
      <c r="AM423" t="str">
        <f t="shared" si="61"/>
        <v xml:space="preserve">                              </v>
      </c>
      <c r="AP423" t="str">
        <f t="shared" si="62"/>
        <v/>
      </c>
    </row>
    <row r="424" spans="2:42" x14ac:dyDescent="0.2">
      <c r="B424" s="88"/>
      <c r="C424" s="80"/>
      <c r="D424" s="74"/>
      <c r="AF424" t="str">
        <f t="shared" si="63"/>
        <v>00000000</v>
      </c>
      <c r="AG424" s="81">
        <f t="shared" si="64"/>
        <v>0</v>
      </c>
      <c r="AH424" s="81">
        <f t="shared" si="65"/>
        <v>0</v>
      </c>
      <c r="AI424" t="str">
        <f t="shared" si="66"/>
        <v>0000000000</v>
      </c>
      <c r="AJ424" t="str">
        <f t="shared" si="67"/>
        <v>.00</v>
      </c>
      <c r="AK424" t="str">
        <f t="shared" si="68"/>
        <v>00</v>
      </c>
      <c r="AL424" t="str">
        <f t="shared" si="69"/>
        <v>000000000000</v>
      </c>
      <c r="AM424" t="str">
        <f t="shared" si="61"/>
        <v xml:space="preserve">                              </v>
      </c>
      <c r="AP424" t="str">
        <f t="shared" si="62"/>
        <v/>
      </c>
    </row>
    <row r="425" spans="2:42" x14ac:dyDescent="0.2">
      <c r="B425" s="88"/>
      <c r="C425" s="80"/>
      <c r="D425" s="74"/>
      <c r="AF425" t="str">
        <f t="shared" si="63"/>
        <v>00000000</v>
      </c>
      <c r="AG425" s="81">
        <f t="shared" si="64"/>
        <v>0</v>
      </c>
      <c r="AH425" s="81">
        <f t="shared" si="65"/>
        <v>0</v>
      </c>
      <c r="AI425" t="str">
        <f t="shared" si="66"/>
        <v>0000000000</v>
      </c>
      <c r="AJ425" t="str">
        <f t="shared" si="67"/>
        <v>.00</v>
      </c>
      <c r="AK425" t="str">
        <f t="shared" si="68"/>
        <v>00</v>
      </c>
      <c r="AL425" t="str">
        <f t="shared" si="69"/>
        <v>000000000000</v>
      </c>
      <c r="AM425" t="str">
        <f t="shared" si="61"/>
        <v xml:space="preserve">                              </v>
      </c>
      <c r="AP425" t="str">
        <f t="shared" si="62"/>
        <v/>
      </c>
    </row>
    <row r="426" spans="2:42" x14ac:dyDescent="0.2">
      <c r="B426" s="88"/>
      <c r="C426" s="80"/>
      <c r="D426" s="74"/>
      <c r="AF426" t="str">
        <f t="shared" si="63"/>
        <v>00000000</v>
      </c>
      <c r="AG426" s="81">
        <f t="shared" si="64"/>
        <v>0</v>
      </c>
      <c r="AH426" s="81">
        <f t="shared" si="65"/>
        <v>0</v>
      </c>
      <c r="AI426" t="str">
        <f t="shared" si="66"/>
        <v>0000000000</v>
      </c>
      <c r="AJ426" t="str">
        <f t="shared" si="67"/>
        <v>.00</v>
      </c>
      <c r="AK426" t="str">
        <f t="shared" si="68"/>
        <v>00</v>
      </c>
      <c r="AL426" t="str">
        <f t="shared" si="69"/>
        <v>000000000000</v>
      </c>
      <c r="AM426" t="str">
        <f t="shared" si="61"/>
        <v xml:space="preserve">                              </v>
      </c>
      <c r="AP426" t="str">
        <f t="shared" si="62"/>
        <v/>
      </c>
    </row>
    <row r="427" spans="2:42" x14ac:dyDescent="0.2">
      <c r="B427" s="88"/>
      <c r="C427" s="80"/>
      <c r="D427" s="74"/>
      <c r="AF427" t="str">
        <f t="shared" si="63"/>
        <v>00000000</v>
      </c>
      <c r="AG427" s="81">
        <f t="shared" si="64"/>
        <v>0</v>
      </c>
      <c r="AH427" s="81">
        <f t="shared" si="65"/>
        <v>0</v>
      </c>
      <c r="AI427" t="str">
        <f t="shared" si="66"/>
        <v>0000000000</v>
      </c>
      <c r="AJ427" t="str">
        <f t="shared" si="67"/>
        <v>.00</v>
      </c>
      <c r="AK427" t="str">
        <f t="shared" si="68"/>
        <v>00</v>
      </c>
      <c r="AL427" t="str">
        <f t="shared" si="69"/>
        <v>000000000000</v>
      </c>
      <c r="AM427" t="str">
        <f t="shared" si="61"/>
        <v xml:space="preserve">                              </v>
      </c>
      <c r="AP427" t="str">
        <f t="shared" si="62"/>
        <v/>
      </c>
    </row>
    <row r="428" spans="2:42" x14ac:dyDescent="0.2">
      <c r="B428" s="88"/>
      <c r="C428" s="80"/>
      <c r="D428" s="74"/>
      <c r="AF428" t="str">
        <f t="shared" si="63"/>
        <v>00000000</v>
      </c>
      <c r="AG428" s="81">
        <f t="shared" si="64"/>
        <v>0</v>
      </c>
      <c r="AH428" s="81">
        <f t="shared" si="65"/>
        <v>0</v>
      </c>
      <c r="AI428" t="str">
        <f t="shared" si="66"/>
        <v>0000000000</v>
      </c>
      <c r="AJ428" t="str">
        <f t="shared" si="67"/>
        <v>.00</v>
      </c>
      <c r="AK428" t="str">
        <f t="shared" si="68"/>
        <v>00</v>
      </c>
      <c r="AL428" t="str">
        <f t="shared" si="69"/>
        <v>000000000000</v>
      </c>
      <c r="AM428" t="str">
        <f t="shared" si="61"/>
        <v xml:space="preserve">                              </v>
      </c>
      <c r="AP428" t="str">
        <f t="shared" si="62"/>
        <v/>
      </c>
    </row>
    <row r="429" spans="2:42" x14ac:dyDescent="0.2">
      <c r="B429" s="88"/>
      <c r="C429" s="80"/>
      <c r="D429" s="74"/>
      <c r="AF429" t="str">
        <f t="shared" si="63"/>
        <v>00000000</v>
      </c>
      <c r="AG429" s="81">
        <f t="shared" si="64"/>
        <v>0</v>
      </c>
      <c r="AH429" s="81">
        <f t="shared" si="65"/>
        <v>0</v>
      </c>
      <c r="AI429" t="str">
        <f t="shared" si="66"/>
        <v>0000000000</v>
      </c>
      <c r="AJ429" t="str">
        <f t="shared" si="67"/>
        <v>.00</v>
      </c>
      <c r="AK429" t="str">
        <f t="shared" si="68"/>
        <v>00</v>
      </c>
      <c r="AL429" t="str">
        <f t="shared" si="69"/>
        <v>000000000000</v>
      </c>
      <c r="AM429" t="str">
        <f t="shared" si="61"/>
        <v xml:space="preserve">                              </v>
      </c>
      <c r="AP429" t="str">
        <f t="shared" si="62"/>
        <v/>
      </c>
    </row>
    <row r="430" spans="2:42" x14ac:dyDescent="0.2">
      <c r="B430" s="88"/>
      <c r="C430" s="80"/>
      <c r="D430" s="74"/>
      <c r="AF430" t="str">
        <f t="shared" si="63"/>
        <v>00000000</v>
      </c>
      <c r="AG430" s="81">
        <f t="shared" si="64"/>
        <v>0</v>
      </c>
      <c r="AH430" s="81">
        <f t="shared" si="65"/>
        <v>0</v>
      </c>
      <c r="AI430" t="str">
        <f t="shared" si="66"/>
        <v>0000000000</v>
      </c>
      <c r="AJ430" t="str">
        <f t="shared" si="67"/>
        <v>.00</v>
      </c>
      <c r="AK430" t="str">
        <f t="shared" si="68"/>
        <v>00</v>
      </c>
      <c r="AL430" t="str">
        <f t="shared" si="69"/>
        <v>000000000000</v>
      </c>
      <c r="AM430" t="str">
        <f t="shared" si="61"/>
        <v xml:space="preserve">                              </v>
      </c>
      <c r="AP430" t="str">
        <f t="shared" si="62"/>
        <v/>
      </c>
    </row>
    <row r="431" spans="2:42" x14ac:dyDescent="0.2">
      <c r="B431" s="88"/>
      <c r="C431" s="80"/>
      <c r="D431" s="74"/>
      <c r="AF431" t="str">
        <f t="shared" si="63"/>
        <v>00000000</v>
      </c>
      <c r="AG431" s="81">
        <f t="shared" si="64"/>
        <v>0</v>
      </c>
      <c r="AH431" s="81">
        <f t="shared" si="65"/>
        <v>0</v>
      </c>
      <c r="AI431" t="str">
        <f t="shared" si="66"/>
        <v>0000000000</v>
      </c>
      <c r="AJ431" t="str">
        <f t="shared" si="67"/>
        <v>.00</v>
      </c>
      <c r="AK431" t="str">
        <f t="shared" si="68"/>
        <v>00</v>
      </c>
      <c r="AL431" t="str">
        <f t="shared" si="69"/>
        <v>000000000000</v>
      </c>
      <c r="AM431" t="str">
        <f t="shared" si="61"/>
        <v xml:space="preserve">                              </v>
      </c>
      <c r="AP431" t="str">
        <f t="shared" si="62"/>
        <v/>
      </c>
    </row>
    <row r="432" spans="2:42" x14ac:dyDescent="0.2">
      <c r="B432" s="88"/>
      <c r="C432" s="80"/>
      <c r="D432" s="74"/>
      <c r="AF432" t="str">
        <f t="shared" si="63"/>
        <v>00000000</v>
      </c>
      <c r="AG432" s="81">
        <f t="shared" si="64"/>
        <v>0</v>
      </c>
      <c r="AH432" s="81">
        <f t="shared" si="65"/>
        <v>0</v>
      </c>
      <c r="AI432" t="str">
        <f t="shared" si="66"/>
        <v>0000000000</v>
      </c>
      <c r="AJ432" t="str">
        <f t="shared" si="67"/>
        <v>.00</v>
      </c>
      <c r="AK432" t="str">
        <f t="shared" si="68"/>
        <v>00</v>
      </c>
      <c r="AL432" t="str">
        <f t="shared" si="69"/>
        <v>000000000000</v>
      </c>
      <c r="AM432" t="str">
        <f t="shared" si="61"/>
        <v xml:space="preserve">                              </v>
      </c>
      <c r="AP432" t="str">
        <f t="shared" si="62"/>
        <v/>
      </c>
    </row>
    <row r="433" spans="2:42" x14ac:dyDescent="0.2">
      <c r="B433" s="88"/>
      <c r="C433" s="80"/>
      <c r="D433" s="74"/>
      <c r="AF433" t="str">
        <f t="shared" si="63"/>
        <v>00000000</v>
      </c>
      <c r="AG433" s="81">
        <f t="shared" si="64"/>
        <v>0</v>
      </c>
      <c r="AH433" s="81">
        <f t="shared" si="65"/>
        <v>0</v>
      </c>
      <c r="AI433" t="str">
        <f t="shared" si="66"/>
        <v>0000000000</v>
      </c>
      <c r="AJ433" t="str">
        <f t="shared" si="67"/>
        <v>.00</v>
      </c>
      <c r="AK433" t="str">
        <f t="shared" si="68"/>
        <v>00</v>
      </c>
      <c r="AL433" t="str">
        <f t="shared" si="69"/>
        <v>000000000000</v>
      </c>
      <c r="AM433" t="str">
        <f t="shared" si="61"/>
        <v xml:space="preserve">                              </v>
      </c>
      <c r="AP433" t="str">
        <f t="shared" si="62"/>
        <v/>
      </c>
    </row>
    <row r="434" spans="2:42" x14ac:dyDescent="0.2">
      <c r="B434" s="88"/>
      <c r="C434" s="80"/>
      <c r="D434" s="74"/>
      <c r="AF434" t="str">
        <f t="shared" si="63"/>
        <v>00000000</v>
      </c>
      <c r="AG434" s="81">
        <f t="shared" si="64"/>
        <v>0</v>
      </c>
      <c r="AH434" s="81">
        <f t="shared" si="65"/>
        <v>0</v>
      </c>
      <c r="AI434" t="str">
        <f t="shared" si="66"/>
        <v>0000000000</v>
      </c>
      <c r="AJ434" t="str">
        <f t="shared" si="67"/>
        <v>.00</v>
      </c>
      <c r="AK434" t="str">
        <f t="shared" si="68"/>
        <v>00</v>
      </c>
      <c r="AL434" t="str">
        <f t="shared" si="69"/>
        <v>000000000000</v>
      </c>
      <c r="AM434" t="str">
        <f t="shared" si="61"/>
        <v xml:space="preserve">                              </v>
      </c>
      <c r="AP434" t="str">
        <f t="shared" si="62"/>
        <v/>
      </c>
    </row>
    <row r="435" spans="2:42" x14ac:dyDescent="0.2">
      <c r="B435" s="88"/>
      <c r="C435" s="80"/>
      <c r="D435" s="74"/>
      <c r="AF435" t="str">
        <f t="shared" si="63"/>
        <v>00000000</v>
      </c>
      <c r="AG435" s="81">
        <f t="shared" si="64"/>
        <v>0</v>
      </c>
      <c r="AH435" s="81">
        <f t="shared" si="65"/>
        <v>0</v>
      </c>
      <c r="AI435" t="str">
        <f t="shared" si="66"/>
        <v>0000000000</v>
      </c>
      <c r="AJ435" t="str">
        <f t="shared" si="67"/>
        <v>.00</v>
      </c>
      <c r="AK435" t="str">
        <f t="shared" si="68"/>
        <v>00</v>
      </c>
      <c r="AL435" t="str">
        <f t="shared" si="69"/>
        <v>000000000000</v>
      </c>
      <c r="AM435" t="str">
        <f t="shared" si="61"/>
        <v xml:space="preserve">                              </v>
      </c>
      <c r="AP435" t="str">
        <f t="shared" si="62"/>
        <v/>
      </c>
    </row>
    <row r="436" spans="2:42" x14ac:dyDescent="0.2">
      <c r="B436" s="88"/>
      <c r="C436" s="80"/>
      <c r="D436" s="74"/>
      <c r="AF436" t="str">
        <f t="shared" si="63"/>
        <v>00000000</v>
      </c>
      <c r="AG436" s="81">
        <f t="shared" si="64"/>
        <v>0</v>
      </c>
      <c r="AH436" s="81">
        <f t="shared" si="65"/>
        <v>0</v>
      </c>
      <c r="AI436" t="str">
        <f t="shared" si="66"/>
        <v>0000000000</v>
      </c>
      <c r="AJ436" t="str">
        <f t="shared" si="67"/>
        <v>.00</v>
      </c>
      <c r="AK436" t="str">
        <f t="shared" si="68"/>
        <v>00</v>
      </c>
      <c r="AL436" t="str">
        <f t="shared" si="69"/>
        <v>000000000000</v>
      </c>
      <c r="AM436" t="str">
        <f t="shared" si="61"/>
        <v xml:space="preserve">                              </v>
      </c>
      <c r="AP436" t="str">
        <f t="shared" si="62"/>
        <v/>
      </c>
    </row>
    <row r="437" spans="2:42" x14ac:dyDescent="0.2">
      <c r="B437" s="88"/>
      <c r="C437" s="80"/>
      <c r="D437" s="74"/>
      <c r="AF437" t="str">
        <f t="shared" si="63"/>
        <v>00000000</v>
      </c>
      <c r="AG437" s="81">
        <f t="shared" si="64"/>
        <v>0</v>
      </c>
      <c r="AH437" s="81">
        <f t="shared" si="65"/>
        <v>0</v>
      </c>
      <c r="AI437" t="str">
        <f t="shared" si="66"/>
        <v>0000000000</v>
      </c>
      <c r="AJ437" t="str">
        <f t="shared" si="67"/>
        <v>.00</v>
      </c>
      <c r="AK437" t="str">
        <f t="shared" si="68"/>
        <v>00</v>
      </c>
      <c r="AL437" t="str">
        <f t="shared" si="69"/>
        <v>000000000000</v>
      </c>
      <c r="AM437" t="str">
        <f t="shared" si="61"/>
        <v xml:space="preserve">                              </v>
      </c>
      <c r="AP437" t="str">
        <f t="shared" si="62"/>
        <v/>
      </c>
    </row>
    <row r="438" spans="2:42" x14ac:dyDescent="0.2">
      <c r="B438" s="88"/>
      <c r="C438" s="80"/>
      <c r="D438" s="74"/>
      <c r="AF438" t="str">
        <f t="shared" si="63"/>
        <v>00000000</v>
      </c>
      <c r="AG438" s="81">
        <f t="shared" si="64"/>
        <v>0</v>
      </c>
      <c r="AH438" s="81">
        <f t="shared" si="65"/>
        <v>0</v>
      </c>
      <c r="AI438" t="str">
        <f t="shared" si="66"/>
        <v>0000000000</v>
      </c>
      <c r="AJ438" t="str">
        <f t="shared" si="67"/>
        <v>.00</v>
      </c>
      <c r="AK438" t="str">
        <f t="shared" si="68"/>
        <v>00</v>
      </c>
      <c r="AL438" t="str">
        <f t="shared" si="69"/>
        <v>000000000000</v>
      </c>
      <c r="AM438" t="str">
        <f t="shared" si="61"/>
        <v xml:space="preserve">                              </v>
      </c>
      <c r="AP438" t="str">
        <f t="shared" si="62"/>
        <v/>
      </c>
    </row>
    <row r="439" spans="2:42" x14ac:dyDescent="0.2">
      <c r="B439" s="88"/>
      <c r="C439" s="80"/>
      <c r="D439" s="74"/>
      <c r="AF439" t="str">
        <f t="shared" si="63"/>
        <v>00000000</v>
      </c>
      <c r="AG439" s="81">
        <f t="shared" si="64"/>
        <v>0</v>
      </c>
      <c r="AH439" s="81">
        <f t="shared" si="65"/>
        <v>0</v>
      </c>
      <c r="AI439" t="str">
        <f t="shared" si="66"/>
        <v>0000000000</v>
      </c>
      <c r="AJ439" t="str">
        <f t="shared" si="67"/>
        <v>.00</v>
      </c>
      <c r="AK439" t="str">
        <f t="shared" si="68"/>
        <v>00</v>
      </c>
      <c r="AL439" t="str">
        <f t="shared" si="69"/>
        <v>000000000000</v>
      </c>
      <c r="AM439" t="str">
        <f t="shared" si="61"/>
        <v xml:space="preserve">                              </v>
      </c>
      <c r="AP439" t="str">
        <f t="shared" si="62"/>
        <v/>
      </c>
    </row>
    <row r="440" spans="2:42" x14ac:dyDescent="0.2">
      <c r="B440" s="88"/>
      <c r="C440" s="80"/>
      <c r="D440" s="74"/>
      <c r="AF440" t="str">
        <f t="shared" si="63"/>
        <v>00000000</v>
      </c>
      <c r="AG440" s="81">
        <f t="shared" si="64"/>
        <v>0</v>
      </c>
      <c r="AH440" s="81">
        <f t="shared" si="65"/>
        <v>0</v>
      </c>
      <c r="AI440" t="str">
        <f t="shared" si="66"/>
        <v>0000000000</v>
      </c>
      <c r="AJ440" t="str">
        <f t="shared" si="67"/>
        <v>.00</v>
      </c>
      <c r="AK440" t="str">
        <f t="shared" si="68"/>
        <v>00</v>
      </c>
      <c r="AL440" t="str">
        <f t="shared" si="69"/>
        <v>000000000000</v>
      </c>
      <c r="AM440" t="str">
        <f t="shared" si="61"/>
        <v xml:space="preserve">                              </v>
      </c>
      <c r="AP440" t="str">
        <f t="shared" si="62"/>
        <v/>
      </c>
    </row>
    <row r="441" spans="2:42" x14ac:dyDescent="0.2">
      <c r="B441" s="88"/>
      <c r="C441" s="80"/>
      <c r="D441" s="74"/>
      <c r="AF441" t="str">
        <f t="shared" si="63"/>
        <v>00000000</v>
      </c>
      <c r="AG441" s="81">
        <f t="shared" si="64"/>
        <v>0</v>
      </c>
      <c r="AH441" s="81">
        <f t="shared" si="65"/>
        <v>0</v>
      </c>
      <c r="AI441" t="str">
        <f t="shared" si="66"/>
        <v>0000000000</v>
      </c>
      <c r="AJ441" t="str">
        <f t="shared" si="67"/>
        <v>.00</v>
      </c>
      <c r="AK441" t="str">
        <f t="shared" si="68"/>
        <v>00</v>
      </c>
      <c r="AL441" t="str">
        <f t="shared" si="69"/>
        <v>000000000000</v>
      </c>
      <c r="AM441" t="str">
        <f t="shared" si="61"/>
        <v xml:space="preserve">                              </v>
      </c>
      <c r="AP441" t="str">
        <f t="shared" si="62"/>
        <v/>
      </c>
    </row>
    <row r="442" spans="2:42" x14ac:dyDescent="0.2">
      <c r="B442" s="88"/>
      <c r="C442" s="80"/>
      <c r="D442" s="74"/>
      <c r="AF442" t="str">
        <f t="shared" si="63"/>
        <v>00000000</v>
      </c>
      <c r="AG442" s="81">
        <f t="shared" si="64"/>
        <v>0</v>
      </c>
      <c r="AH442" s="81">
        <f t="shared" si="65"/>
        <v>0</v>
      </c>
      <c r="AI442" t="str">
        <f t="shared" si="66"/>
        <v>0000000000</v>
      </c>
      <c r="AJ442" t="str">
        <f t="shared" si="67"/>
        <v>.00</v>
      </c>
      <c r="AK442" t="str">
        <f t="shared" si="68"/>
        <v>00</v>
      </c>
      <c r="AL442" t="str">
        <f t="shared" si="69"/>
        <v>000000000000</v>
      </c>
      <c r="AM442" t="str">
        <f t="shared" si="61"/>
        <v xml:space="preserve">                              </v>
      </c>
      <c r="AP442" t="str">
        <f t="shared" si="62"/>
        <v/>
      </c>
    </row>
    <row r="443" spans="2:42" x14ac:dyDescent="0.2">
      <c r="B443" s="88"/>
      <c r="C443" s="80"/>
      <c r="D443" s="74"/>
      <c r="AF443" t="str">
        <f t="shared" si="63"/>
        <v>00000000</v>
      </c>
      <c r="AG443" s="81">
        <f t="shared" si="64"/>
        <v>0</v>
      </c>
      <c r="AH443" s="81">
        <f t="shared" si="65"/>
        <v>0</v>
      </c>
      <c r="AI443" t="str">
        <f t="shared" si="66"/>
        <v>0000000000</v>
      </c>
      <c r="AJ443" t="str">
        <f t="shared" si="67"/>
        <v>.00</v>
      </c>
      <c r="AK443" t="str">
        <f t="shared" si="68"/>
        <v>00</v>
      </c>
      <c r="AL443" t="str">
        <f t="shared" si="69"/>
        <v>000000000000</v>
      </c>
      <c r="AM443" t="str">
        <f t="shared" si="61"/>
        <v xml:space="preserve">                              </v>
      </c>
      <c r="AP443" t="str">
        <f t="shared" si="62"/>
        <v/>
      </c>
    </row>
    <row r="444" spans="2:42" x14ac:dyDescent="0.2">
      <c r="B444" s="88"/>
      <c r="C444" s="80"/>
      <c r="D444" s="74"/>
      <c r="AF444" t="str">
        <f t="shared" si="63"/>
        <v>00000000</v>
      </c>
      <c r="AG444" s="81">
        <f t="shared" si="64"/>
        <v>0</v>
      </c>
      <c r="AH444" s="81">
        <f t="shared" si="65"/>
        <v>0</v>
      </c>
      <c r="AI444" t="str">
        <f t="shared" si="66"/>
        <v>0000000000</v>
      </c>
      <c r="AJ444" t="str">
        <f t="shared" si="67"/>
        <v>.00</v>
      </c>
      <c r="AK444" t="str">
        <f t="shared" si="68"/>
        <v>00</v>
      </c>
      <c r="AL444" t="str">
        <f t="shared" si="69"/>
        <v>000000000000</v>
      </c>
      <c r="AM444" t="str">
        <f t="shared" si="61"/>
        <v xml:space="preserve">                              </v>
      </c>
      <c r="AP444" t="str">
        <f t="shared" si="62"/>
        <v/>
      </c>
    </row>
    <row r="445" spans="2:42" x14ac:dyDescent="0.2">
      <c r="B445" s="88"/>
      <c r="C445" s="80"/>
      <c r="D445" s="74"/>
      <c r="AF445" t="str">
        <f t="shared" si="63"/>
        <v>00000000</v>
      </c>
      <c r="AG445" s="81">
        <f t="shared" si="64"/>
        <v>0</v>
      </c>
      <c r="AH445" s="81">
        <f t="shared" si="65"/>
        <v>0</v>
      </c>
      <c r="AI445" t="str">
        <f t="shared" si="66"/>
        <v>0000000000</v>
      </c>
      <c r="AJ445" t="str">
        <f t="shared" si="67"/>
        <v>.00</v>
      </c>
      <c r="AK445" t="str">
        <f t="shared" si="68"/>
        <v>00</v>
      </c>
      <c r="AL445" t="str">
        <f t="shared" si="69"/>
        <v>000000000000</v>
      </c>
      <c r="AM445" t="str">
        <f t="shared" si="61"/>
        <v xml:space="preserve">                              </v>
      </c>
      <c r="AP445" t="str">
        <f t="shared" si="62"/>
        <v/>
      </c>
    </row>
    <row r="446" spans="2:42" x14ac:dyDescent="0.2">
      <c r="B446" s="88"/>
      <c r="C446" s="80"/>
      <c r="D446" s="74"/>
      <c r="AF446" t="str">
        <f t="shared" si="63"/>
        <v>00000000</v>
      </c>
      <c r="AG446" s="81">
        <f t="shared" si="64"/>
        <v>0</v>
      </c>
      <c r="AH446" s="81">
        <f t="shared" si="65"/>
        <v>0</v>
      </c>
      <c r="AI446" t="str">
        <f t="shared" si="66"/>
        <v>0000000000</v>
      </c>
      <c r="AJ446" t="str">
        <f t="shared" si="67"/>
        <v>.00</v>
      </c>
      <c r="AK446" t="str">
        <f t="shared" si="68"/>
        <v>00</v>
      </c>
      <c r="AL446" t="str">
        <f t="shared" si="69"/>
        <v>000000000000</v>
      </c>
      <c r="AM446" t="str">
        <f t="shared" si="61"/>
        <v xml:space="preserve">                              </v>
      </c>
      <c r="AP446" t="str">
        <f t="shared" si="62"/>
        <v/>
      </c>
    </row>
    <row r="447" spans="2:42" x14ac:dyDescent="0.2">
      <c r="B447" s="88"/>
      <c r="C447" s="80"/>
      <c r="D447" s="74"/>
      <c r="AF447" t="str">
        <f t="shared" si="63"/>
        <v>00000000</v>
      </c>
      <c r="AG447" s="81">
        <f t="shared" si="64"/>
        <v>0</v>
      </c>
      <c r="AH447" s="81">
        <f t="shared" si="65"/>
        <v>0</v>
      </c>
      <c r="AI447" t="str">
        <f t="shared" si="66"/>
        <v>0000000000</v>
      </c>
      <c r="AJ447" t="str">
        <f t="shared" si="67"/>
        <v>.00</v>
      </c>
      <c r="AK447" t="str">
        <f t="shared" si="68"/>
        <v>00</v>
      </c>
      <c r="AL447" t="str">
        <f t="shared" si="69"/>
        <v>000000000000</v>
      </c>
      <c r="AM447" t="str">
        <f t="shared" si="61"/>
        <v xml:space="preserve">                              </v>
      </c>
      <c r="AP447" t="str">
        <f t="shared" si="62"/>
        <v/>
      </c>
    </row>
    <row r="448" spans="2:42" x14ac:dyDescent="0.2">
      <c r="B448" s="88"/>
      <c r="C448" s="80"/>
      <c r="D448" s="74"/>
      <c r="AF448" t="str">
        <f t="shared" si="63"/>
        <v>00000000</v>
      </c>
      <c r="AG448" s="81">
        <f t="shared" si="64"/>
        <v>0</v>
      </c>
      <c r="AH448" s="81">
        <f t="shared" si="65"/>
        <v>0</v>
      </c>
      <c r="AI448" t="str">
        <f t="shared" si="66"/>
        <v>0000000000</v>
      </c>
      <c r="AJ448" t="str">
        <f t="shared" si="67"/>
        <v>.00</v>
      </c>
      <c r="AK448" t="str">
        <f t="shared" si="68"/>
        <v>00</v>
      </c>
      <c r="AL448" t="str">
        <f t="shared" si="69"/>
        <v>000000000000</v>
      </c>
      <c r="AM448" t="str">
        <f t="shared" si="61"/>
        <v xml:space="preserve">                              </v>
      </c>
      <c r="AP448" t="str">
        <f t="shared" si="62"/>
        <v/>
      </c>
    </row>
    <row r="449" spans="2:42" x14ac:dyDescent="0.2">
      <c r="B449" s="88"/>
      <c r="C449" s="80"/>
      <c r="D449" s="74"/>
      <c r="AF449" t="str">
        <f t="shared" si="63"/>
        <v>00000000</v>
      </c>
      <c r="AG449" s="81">
        <f t="shared" si="64"/>
        <v>0</v>
      </c>
      <c r="AH449" s="81">
        <f t="shared" si="65"/>
        <v>0</v>
      </c>
      <c r="AI449" t="str">
        <f t="shared" si="66"/>
        <v>0000000000</v>
      </c>
      <c r="AJ449" t="str">
        <f t="shared" si="67"/>
        <v>.00</v>
      </c>
      <c r="AK449" t="str">
        <f t="shared" si="68"/>
        <v>00</v>
      </c>
      <c r="AL449" t="str">
        <f t="shared" si="69"/>
        <v>000000000000</v>
      </c>
      <c r="AM449" t="str">
        <f t="shared" si="61"/>
        <v xml:space="preserve">                              </v>
      </c>
      <c r="AP449" t="str">
        <f t="shared" si="62"/>
        <v/>
      </c>
    </row>
    <row r="450" spans="2:42" x14ac:dyDescent="0.2">
      <c r="B450" s="88"/>
      <c r="C450" s="80"/>
      <c r="D450" s="74"/>
      <c r="AF450" t="str">
        <f t="shared" si="63"/>
        <v>00000000</v>
      </c>
      <c r="AG450" s="81">
        <f t="shared" si="64"/>
        <v>0</v>
      </c>
      <c r="AH450" s="81">
        <f t="shared" si="65"/>
        <v>0</v>
      </c>
      <c r="AI450" t="str">
        <f t="shared" si="66"/>
        <v>0000000000</v>
      </c>
      <c r="AJ450" t="str">
        <f t="shared" si="67"/>
        <v>.00</v>
      </c>
      <c r="AK450" t="str">
        <f t="shared" si="68"/>
        <v>00</v>
      </c>
      <c r="AL450" t="str">
        <f t="shared" si="69"/>
        <v>000000000000</v>
      </c>
      <c r="AM450" t="str">
        <f t="shared" si="61"/>
        <v xml:space="preserve">                              </v>
      </c>
      <c r="AP450" t="str">
        <f t="shared" si="62"/>
        <v/>
      </c>
    </row>
    <row r="451" spans="2:42" x14ac:dyDescent="0.2">
      <c r="B451" s="88"/>
      <c r="C451" s="80"/>
      <c r="D451" s="74"/>
      <c r="AF451" t="str">
        <f t="shared" si="63"/>
        <v>00000000</v>
      </c>
      <c r="AG451" s="81">
        <f t="shared" si="64"/>
        <v>0</v>
      </c>
      <c r="AH451" s="81">
        <f t="shared" si="65"/>
        <v>0</v>
      </c>
      <c r="AI451" t="str">
        <f t="shared" si="66"/>
        <v>0000000000</v>
      </c>
      <c r="AJ451" t="str">
        <f t="shared" si="67"/>
        <v>.00</v>
      </c>
      <c r="AK451" t="str">
        <f t="shared" si="68"/>
        <v>00</v>
      </c>
      <c r="AL451" t="str">
        <f t="shared" si="69"/>
        <v>000000000000</v>
      </c>
      <c r="AM451" t="str">
        <f t="shared" ref="AM451:AM514" si="70">CONCATENATE(D452,REPT(" ",30-LEN(D452)))</f>
        <v xml:space="preserve">                              </v>
      </c>
      <c r="AP451" t="str">
        <f t="shared" ref="AP451:AP514" si="71">IF(B452&lt;&gt;"",CONCATENATE("000",$AA$3,"     ",$AB$3,$AC$3,$AD$3,"30000",AF451,AL451,$AC$1,AM451),"")</f>
        <v/>
      </c>
    </row>
    <row r="452" spans="2:42" x14ac:dyDescent="0.2">
      <c r="B452" s="88"/>
      <c r="C452" s="80"/>
      <c r="D452" s="74"/>
      <c r="AF452" t="str">
        <f t="shared" si="63"/>
        <v>00000000</v>
      </c>
      <c r="AG452" s="81">
        <f t="shared" si="64"/>
        <v>0</v>
      </c>
      <c r="AH452" s="81">
        <f t="shared" si="65"/>
        <v>0</v>
      </c>
      <c r="AI452" t="str">
        <f t="shared" si="66"/>
        <v>0000000000</v>
      </c>
      <c r="AJ452" t="str">
        <f t="shared" si="67"/>
        <v>.00</v>
      </c>
      <c r="AK452" t="str">
        <f t="shared" si="68"/>
        <v>00</v>
      </c>
      <c r="AL452" t="str">
        <f t="shared" si="69"/>
        <v>000000000000</v>
      </c>
      <c r="AM452" t="str">
        <f t="shared" si="70"/>
        <v xml:space="preserve">                              </v>
      </c>
      <c r="AP452" t="str">
        <f t="shared" si="71"/>
        <v/>
      </c>
    </row>
    <row r="453" spans="2:42" x14ac:dyDescent="0.2">
      <c r="B453" s="88"/>
      <c r="C453" s="80"/>
      <c r="D453" s="74"/>
      <c r="AF453" t="str">
        <f t="shared" si="63"/>
        <v>00000000</v>
      </c>
      <c r="AG453" s="81">
        <f t="shared" si="64"/>
        <v>0</v>
      </c>
      <c r="AH453" s="81">
        <f t="shared" si="65"/>
        <v>0</v>
      </c>
      <c r="AI453" t="str">
        <f t="shared" si="66"/>
        <v>0000000000</v>
      </c>
      <c r="AJ453" t="str">
        <f t="shared" si="67"/>
        <v>.00</v>
      </c>
      <c r="AK453" t="str">
        <f t="shared" si="68"/>
        <v>00</v>
      </c>
      <c r="AL453" t="str">
        <f t="shared" si="69"/>
        <v>000000000000</v>
      </c>
      <c r="AM453" t="str">
        <f t="shared" si="70"/>
        <v xml:space="preserve">                              </v>
      </c>
      <c r="AP453" t="str">
        <f t="shared" si="71"/>
        <v/>
      </c>
    </row>
    <row r="454" spans="2:42" x14ac:dyDescent="0.2">
      <c r="B454" s="88"/>
      <c r="C454" s="80"/>
      <c r="D454" s="74"/>
      <c r="AF454" t="str">
        <f t="shared" si="63"/>
        <v>00000000</v>
      </c>
      <c r="AG454" s="81">
        <f t="shared" si="64"/>
        <v>0</v>
      </c>
      <c r="AH454" s="81">
        <f t="shared" si="65"/>
        <v>0</v>
      </c>
      <c r="AI454" t="str">
        <f t="shared" si="66"/>
        <v>0000000000</v>
      </c>
      <c r="AJ454" t="str">
        <f t="shared" si="67"/>
        <v>.00</v>
      </c>
      <c r="AK454" t="str">
        <f t="shared" si="68"/>
        <v>00</v>
      </c>
      <c r="AL454" t="str">
        <f t="shared" si="69"/>
        <v>000000000000</v>
      </c>
      <c r="AM454" t="str">
        <f t="shared" si="70"/>
        <v xml:space="preserve">                              </v>
      </c>
      <c r="AP454" t="str">
        <f t="shared" si="71"/>
        <v/>
      </c>
    </row>
    <row r="455" spans="2:42" x14ac:dyDescent="0.2">
      <c r="B455" s="88"/>
      <c r="C455" s="80"/>
      <c r="D455" s="74"/>
      <c r="AF455" t="str">
        <f t="shared" si="63"/>
        <v>00000000</v>
      </c>
      <c r="AG455" s="81">
        <f t="shared" si="64"/>
        <v>0</v>
      </c>
      <c r="AH455" s="81">
        <f t="shared" si="65"/>
        <v>0</v>
      </c>
      <c r="AI455" t="str">
        <f t="shared" si="66"/>
        <v>0000000000</v>
      </c>
      <c r="AJ455" t="str">
        <f t="shared" si="67"/>
        <v>.00</v>
      </c>
      <c r="AK455" t="str">
        <f t="shared" si="68"/>
        <v>00</v>
      </c>
      <c r="AL455" t="str">
        <f t="shared" si="69"/>
        <v>000000000000</v>
      </c>
      <c r="AM455" t="str">
        <f t="shared" si="70"/>
        <v xml:space="preserve">                              </v>
      </c>
      <c r="AP455" t="str">
        <f t="shared" si="71"/>
        <v/>
      </c>
    </row>
    <row r="456" spans="2:42" x14ac:dyDescent="0.2">
      <c r="B456" s="88"/>
      <c r="C456" s="80"/>
      <c r="D456" s="74"/>
      <c r="AF456" t="str">
        <f t="shared" si="63"/>
        <v>00000000</v>
      </c>
      <c r="AG456" s="81">
        <f t="shared" si="64"/>
        <v>0</v>
      </c>
      <c r="AH456" s="81">
        <f t="shared" si="65"/>
        <v>0</v>
      </c>
      <c r="AI456" t="str">
        <f t="shared" si="66"/>
        <v>0000000000</v>
      </c>
      <c r="AJ456" t="str">
        <f t="shared" si="67"/>
        <v>.00</v>
      </c>
      <c r="AK456" t="str">
        <f t="shared" si="68"/>
        <v>00</v>
      </c>
      <c r="AL456" t="str">
        <f t="shared" si="69"/>
        <v>000000000000</v>
      </c>
      <c r="AM456" t="str">
        <f t="shared" si="70"/>
        <v xml:space="preserve">                              </v>
      </c>
      <c r="AP456" t="str">
        <f t="shared" si="71"/>
        <v/>
      </c>
    </row>
    <row r="457" spans="2:42" x14ac:dyDescent="0.2">
      <c r="B457" s="88"/>
      <c r="C457" s="80"/>
      <c r="D457" s="74"/>
      <c r="AF457" t="str">
        <f t="shared" si="63"/>
        <v>00000000</v>
      </c>
      <c r="AG457" s="81">
        <f t="shared" si="64"/>
        <v>0</v>
      </c>
      <c r="AH457" s="81">
        <f t="shared" si="65"/>
        <v>0</v>
      </c>
      <c r="AI457" t="str">
        <f t="shared" si="66"/>
        <v>0000000000</v>
      </c>
      <c r="AJ457" t="str">
        <f t="shared" si="67"/>
        <v>.00</v>
      </c>
      <c r="AK457" t="str">
        <f t="shared" si="68"/>
        <v>00</v>
      </c>
      <c r="AL457" t="str">
        <f t="shared" si="69"/>
        <v>000000000000</v>
      </c>
      <c r="AM457" t="str">
        <f t="shared" si="70"/>
        <v xml:space="preserve">                              </v>
      </c>
      <c r="AP457" t="str">
        <f t="shared" si="71"/>
        <v/>
      </c>
    </row>
    <row r="458" spans="2:42" x14ac:dyDescent="0.2">
      <c r="B458" s="88"/>
      <c r="C458" s="80"/>
      <c r="D458" s="74"/>
      <c r="AF458" t="str">
        <f t="shared" ref="AF458:AF521" si="72">CONCATENATE(REPT("0",8-LEN(B459)),B459)</f>
        <v>00000000</v>
      </c>
      <c r="AG458" s="81">
        <f t="shared" ref="AG458:AG521" si="73">INT(C459)</f>
        <v>0</v>
      </c>
      <c r="AH458" s="81">
        <f t="shared" ref="AH458:AH521" si="74">C459-AG458</f>
        <v>0</v>
      </c>
      <c r="AI458" t="str">
        <f t="shared" ref="AI458:AI521" si="75">TEXT(AG458,"0000000000")</f>
        <v>0000000000</v>
      </c>
      <c r="AJ458" t="str">
        <f t="shared" ref="AJ458:AJ521" si="76">TEXT(AH458,".00")</f>
        <v>.00</v>
      </c>
      <c r="AK458" t="str">
        <f t="shared" ref="AK458:AK521" si="77">MID(AJ458,2,2)</f>
        <v>00</v>
      </c>
      <c r="AL458" t="str">
        <f t="shared" ref="AL458:AL521" si="78">CONCATENATE(AI458,AK458)</f>
        <v>000000000000</v>
      </c>
      <c r="AM458" t="str">
        <f t="shared" si="70"/>
        <v xml:space="preserve">                              </v>
      </c>
      <c r="AP458" t="str">
        <f t="shared" si="71"/>
        <v/>
      </c>
    </row>
    <row r="459" spans="2:42" x14ac:dyDescent="0.2">
      <c r="B459" s="88"/>
      <c r="C459" s="80"/>
      <c r="D459" s="74"/>
      <c r="AF459" t="str">
        <f t="shared" si="72"/>
        <v>00000000</v>
      </c>
      <c r="AG459" s="81">
        <f t="shared" si="73"/>
        <v>0</v>
      </c>
      <c r="AH459" s="81">
        <f t="shared" si="74"/>
        <v>0</v>
      </c>
      <c r="AI459" t="str">
        <f t="shared" si="75"/>
        <v>0000000000</v>
      </c>
      <c r="AJ459" t="str">
        <f t="shared" si="76"/>
        <v>.00</v>
      </c>
      <c r="AK459" t="str">
        <f t="shared" si="77"/>
        <v>00</v>
      </c>
      <c r="AL459" t="str">
        <f t="shared" si="78"/>
        <v>000000000000</v>
      </c>
      <c r="AM459" t="str">
        <f t="shared" si="70"/>
        <v xml:space="preserve">                              </v>
      </c>
      <c r="AP459" t="str">
        <f t="shared" si="71"/>
        <v/>
      </c>
    </row>
    <row r="460" spans="2:42" x14ac:dyDescent="0.2">
      <c r="B460" s="88"/>
      <c r="C460" s="80"/>
      <c r="D460" s="74"/>
      <c r="AF460" t="str">
        <f t="shared" si="72"/>
        <v>00000000</v>
      </c>
      <c r="AG460" s="81">
        <f t="shared" si="73"/>
        <v>0</v>
      </c>
      <c r="AH460" s="81">
        <f t="shared" si="74"/>
        <v>0</v>
      </c>
      <c r="AI460" t="str">
        <f t="shared" si="75"/>
        <v>0000000000</v>
      </c>
      <c r="AJ460" t="str">
        <f t="shared" si="76"/>
        <v>.00</v>
      </c>
      <c r="AK460" t="str">
        <f t="shared" si="77"/>
        <v>00</v>
      </c>
      <c r="AL460" t="str">
        <f t="shared" si="78"/>
        <v>000000000000</v>
      </c>
      <c r="AM460" t="str">
        <f t="shared" si="70"/>
        <v xml:space="preserve">                              </v>
      </c>
      <c r="AP460" t="str">
        <f t="shared" si="71"/>
        <v/>
      </c>
    </row>
    <row r="461" spans="2:42" x14ac:dyDescent="0.2">
      <c r="B461" s="88"/>
      <c r="C461" s="80"/>
      <c r="D461" s="74"/>
      <c r="AF461" t="str">
        <f t="shared" si="72"/>
        <v>00000000</v>
      </c>
      <c r="AG461" s="81">
        <f t="shared" si="73"/>
        <v>0</v>
      </c>
      <c r="AH461" s="81">
        <f t="shared" si="74"/>
        <v>0</v>
      </c>
      <c r="AI461" t="str">
        <f t="shared" si="75"/>
        <v>0000000000</v>
      </c>
      <c r="AJ461" t="str">
        <f t="shared" si="76"/>
        <v>.00</v>
      </c>
      <c r="AK461" t="str">
        <f t="shared" si="77"/>
        <v>00</v>
      </c>
      <c r="AL461" t="str">
        <f t="shared" si="78"/>
        <v>000000000000</v>
      </c>
      <c r="AM461" t="str">
        <f t="shared" si="70"/>
        <v xml:space="preserve">                              </v>
      </c>
      <c r="AP461" t="str">
        <f t="shared" si="71"/>
        <v/>
      </c>
    </row>
    <row r="462" spans="2:42" x14ac:dyDescent="0.2">
      <c r="B462" s="88"/>
      <c r="C462" s="80"/>
      <c r="D462" s="74"/>
      <c r="AF462" t="str">
        <f t="shared" si="72"/>
        <v>00000000</v>
      </c>
      <c r="AG462" s="81">
        <f t="shared" si="73"/>
        <v>0</v>
      </c>
      <c r="AH462" s="81">
        <f t="shared" si="74"/>
        <v>0</v>
      </c>
      <c r="AI462" t="str">
        <f t="shared" si="75"/>
        <v>0000000000</v>
      </c>
      <c r="AJ462" t="str">
        <f t="shared" si="76"/>
        <v>.00</v>
      </c>
      <c r="AK462" t="str">
        <f t="shared" si="77"/>
        <v>00</v>
      </c>
      <c r="AL462" t="str">
        <f t="shared" si="78"/>
        <v>000000000000</v>
      </c>
      <c r="AM462" t="str">
        <f t="shared" si="70"/>
        <v xml:space="preserve">                              </v>
      </c>
      <c r="AP462" t="str">
        <f t="shared" si="71"/>
        <v/>
      </c>
    </row>
    <row r="463" spans="2:42" x14ac:dyDescent="0.2">
      <c r="B463" s="88"/>
      <c r="C463" s="80"/>
      <c r="D463" s="74"/>
      <c r="AF463" t="str">
        <f t="shared" si="72"/>
        <v>00000000</v>
      </c>
      <c r="AG463" s="81">
        <f t="shared" si="73"/>
        <v>0</v>
      </c>
      <c r="AH463" s="81">
        <f t="shared" si="74"/>
        <v>0</v>
      </c>
      <c r="AI463" t="str">
        <f t="shared" si="75"/>
        <v>0000000000</v>
      </c>
      <c r="AJ463" t="str">
        <f t="shared" si="76"/>
        <v>.00</v>
      </c>
      <c r="AK463" t="str">
        <f t="shared" si="77"/>
        <v>00</v>
      </c>
      <c r="AL463" t="str">
        <f t="shared" si="78"/>
        <v>000000000000</v>
      </c>
      <c r="AM463" t="str">
        <f t="shared" si="70"/>
        <v xml:space="preserve">                              </v>
      </c>
      <c r="AP463" t="str">
        <f t="shared" si="71"/>
        <v/>
      </c>
    </row>
    <row r="464" spans="2:42" x14ac:dyDescent="0.2">
      <c r="B464" s="88"/>
      <c r="C464" s="80"/>
      <c r="D464" s="74"/>
      <c r="AF464" t="str">
        <f t="shared" si="72"/>
        <v>00000000</v>
      </c>
      <c r="AG464" s="81">
        <f t="shared" si="73"/>
        <v>0</v>
      </c>
      <c r="AH464" s="81">
        <f t="shared" si="74"/>
        <v>0</v>
      </c>
      <c r="AI464" t="str">
        <f t="shared" si="75"/>
        <v>0000000000</v>
      </c>
      <c r="AJ464" t="str">
        <f t="shared" si="76"/>
        <v>.00</v>
      </c>
      <c r="AK464" t="str">
        <f t="shared" si="77"/>
        <v>00</v>
      </c>
      <c r="AL464" t="str">
        <f t="shared" si="78"/>
        <v>000000000000</v>
      </c>
      <c r="AM464" t="str">
        <f t="shared" si="70"/>
        <v xml:space="preserve">                              </v>
      </c>
      <c r="AP464" t="str">
        <f t="shared" si="71"/>
        <v/>
      </c>
    </row>
    <row r="465" spans="2:42" x14ac:dyDescent="0.2">
      <c r="B465" s="88"/>
      <c r="C465" s="80"/>
      <c r="D465" s="74"/>
      <c r="AF465" t="str">
        <f t="shared" si="72"/>
        <v>00000000</v>
      </c>
      <c r="AG465" s="81">
        <f t="shared" si="73"/>
        <v>0</v>
      </c>
      <c r="AH465" s="81">
        <f t="shared" si="74"/>
        <v>0</v>
      </c>
      <c r="AI465" t="str">
        <f t="shared" si="75"/>
        <v>0000000000</v>
      </c>
      <c r="AJ465" t="str">
        <f t="shared" si="76"/>
        <v>.00</v>
      </c>
      <c r="AK465" t="str">
        <f t="shared" si="77"/>
        <v>00</v>
      </c>
      <c r="AL465" t="str">
        <f t="shared" si="78"/>
        <v>000000000000</v>
      </c>
      <c r="AM465" t="str">
        <f t="shared" si="70"/>
        <v xml:space="preserve">                              </v>
      </c>
      <c r="AP465" t="str">
        <f t="shared" si="71"/>
        <v/>
      </c>
    </row>
    <row r="466" spans="2:42" x14ac:dyDescent="0.2">
      <c r="B466" s="88"/>
      <c r="C466" s="80"/>
      <c r="D466" s="74"/>
      <c r="AF466" t="str">
        <f t="shared" si="72"/>
        <v>00000000</v>
      </c>
      <c r="AG466" s="81">
        <f t="shared" si="73"/>
        <v>0</v>
      </c>
      <c r="AH466" s="81">
        <f t="shared" si="74"/>
        <v>0</v>
      </c>
      <c r="AI466" t="str">
        <f t="shared" si="75"/>
        <v>0000000000</v>
      </c>
      <c r="AJ466" t="str">
        <f t="shared" si="76"/>
        <v>.00</v>
      </c>
      <c r="AK466" t="str">
        <f t="shared" si="77"/>
        <v>00</v>
      </c>
      <c r="AL466" t="str">
        <f t="shared" si="78"/>
        <v>000000000000</v>
      </c>
      <c r="AM466" t="str">
        <f t="shared" si="70"/>
        <v xml:space="preserve">                              </v>
      </c>
      <c r="AP466" t="str">
        <f t="shared" si="71"/>
        <v/>
      </c>
    </row>
    <row r="467" spans="2:42" x14ac:dyDescent="0.2">
      <c r="B467" s="88"/>
      <c r="C467" s="80"/>
      <c r="D467" s="74"/>
      <c r="AF467" t="str">
        <f t="shared" si="72"/>
        <v>00000000</v>
      </c>
      <c r="AG467" s="81">
        <f t="shared" si="73"/>
        <v>0</v>
      </c>
      <c r="AH467" s="81">
        <f t="shared" si="74"/>
        <v>0</v>
      </c>
      <c r="AI467" t="str">
        <f t="shared" si="75"/>
        <v>0000000000</v>
      </c>
      <c r="AJ467" t="str">
        <f t="shared" si="76"/>
        <v>.00</v>
      </c>
      <c r="AK467" t="str">
        <f t="shared" si="77"/>
        <v>00</v>
      </c>
      <c r="AL467" t="str">
        <f t="shared" si="78"/>
        <v>000000000000</v>
      </c>
      <c r="AM467" t="str">
        <f t="shared" si="70"/>
        <v xml:space="preserve">                              </v>
      </c>
      <c r="AP467" t="str">
        <f t="shared" si="71"/>
        <v/>
      </c>
    </row>
    <row r="468" spans="2:42" x14ac:dyDescent="0.2">
      <c r="B468" s="88"/>
      <c r="C468" s="80"/>
      <c r="D468" s="74"/>
      <c r="AF468" t="str">
        <f t="shared" si="72"/>
        <v>00000000</v>
      </c>
      <c r="AG468" s="81">
        <f t="shared" si="73"/>
        <v>0</v>
      </c>
      <c r="AH468" s="81">
        <f t="shared" si="74"/>
        <v>0</v>
      </c>
      <c r="AI468" t="str">
        <f t="shared" si="75"/>
        <v>0000000000</v>
      </c>
      <c r="AJ468" t="str">
        <f t="shared" si="76"/>
        <v>.00</v>
      </c>
      <c r="AK468" t="str">
        <f t="shared" si="77"/>
        <v>00</v>
      </c>
      <c r="AL468" t="str">
        <f t="shared" si="78"/>
        <v>000000000000</v>
      </c>
      <c r="AM468" t="str">
        <f t="shared" si="70"/>
        <v xml:space="preserve">                              </v>
      </c>
      <c r="AP468" t="str">
        <f t="shared" si="71"/>
        <v/>
      </c>
    </row>
    <row r="469" spans="2:42" x14ac:dyDescent="0.2">
      <c r="B469" s="88"/>
      <c r="C469" s="80"/>
      <c r="D469" s="74"/>
      <c r="AF469" t="str">
        <f t="shared" si="72"/>
        <v>00000000</v>
      </c>
      <c r="AG469" s="81">
        <f t="shared" si="73"/>
        <v>0</v>
      </c>
      <c r="AH469" s="81">
        <f t="shared" si="74"/>
        <v>0</v>
      </c>
      <c r="AI469" t="str">
        <f t="shared" si="75"/>
        <v>0000000000</v>
      </c>
      <c r="AJ469" t="str">
        <f t="shared" si="76"/>
        <v>.00</v>
      </c>
      <c r="AK469" t="str">
        <f t="shared" si="77"/>
        <v>00</v>
      </c>
      <c r="AL469" t="str">
        <f t="shared" si="78"/>
        <v>000000000000</v>
      </c>
      <c r="AM469" t="str">
        <f t="shared" si="70"/>
        <v xml:space="preserve">                              </v>
      </c>
      <c r="AP469" t="str">
        <f t="shared" si="71"/>
        <v/>
      </c>
    </row>
    <row r="470" spans="2:42" x14ac:dyDescent="0.2">
      <c r="B470" s="88"/>
      <c r="C470" s="80"/>
      <c r="D470" s="74"/>
      <c r="AF470" t="str">
        <f t="shared" si="72"/>
        <v>00000000</v>
      </c>
      <c r="AG470" s="81">
        <f t="shared" si="73"/>
        <v>0</v>
      </c>
      <c r="AH470" s="81">
        <f t="shared" si="74"/>
        <v>0</v>
      </c>
      <c r="AI470" t="str">
        <f t="shared" si="75"/>
        <v>0000000000</v>
      </c>
      <c r="AJ470" t="str">
        <f t="shared" si="76"/>
        <v>.00</v>
      </c>
      <c r="AK470" t="str">
        <f t="shared" si="77"/>
        <v>00</v>
      </c>
      <c r="AL470" t="str">
        <f t="shared" si="78"/>
        <v>000000000000</v>
      </c>
      <c r="AM470" t="str">
        <f t="shared" si="70"/>
        <v xml:space="preserve">                              </v>
      </c>
      <c r="AP470" t="str">
        <f t="shared" si="71"/>
        <v/>
      </c>
    </row>
    <row r="471" spans="2:42" x14ac:dyDescent="0.2">
      <c r="B471" s="88"/>
      <c r="C471" s="80"/>
      <c r="D471" s="74"/>
      <c r="AF471" t="str">
        <f t="shared" si="72"/>
        <v>00000000</v>
      </c>
      <c r="AG471" s="81">
        <f t="shared" si="73"/>
        <v>0</v>
      </c>
      <c r="AH471" s="81">
        <f t="shared" si="74"/>
        <v>0</v>
      </c>
      <c r="AI471" t="str">
        <f t="shared" si="75"/>
        <v>0000000000</v>
      </c>
      <c r="AJ471" t="str">
        <f t="shared" si="76"/>
        <v>.00</v>
      </c>
      <c r="AK471" t="str">
        <f t="shared" si="77"/>
        <v>00</v>
      </c>
      <c r="AL471" t="str">
        <f t="shared" si="78"/>
        <v>000000000000</v>
      </c>
      <c r="AM471" t="str">
        <f t="shared" si="70"/>
        <v xml:space="preserve">                              </v>
      </c>
      <c r="AP471" t="str">
        <f t="shared" si="71"/>
        <v/>
      </c>
    </row>
    <row r="472" spans="2:42" x14ac:dyDescent="0.2">
      <c r="B472" s="88"/>
      <c r="C472" s="80"/>
      <c r="D472" s="74"/>
      <c r="AF472" t="str">
        <f t="shared" si="72"/>
        <v>00000000</v>
      </c>
      <c r="AG472" s="81">
        <f t="shared" si="73"/>
        <v>0</v>
      </c>
      <c r="AH472" s="81">
        <f t="shared" si="74"/>
        <v>0</v>
      </c>
      <c r="AI472" t="str">
        <f t="shared" si="75"/>
        <v>0000000000</v>
      </c>
      <c r="AJ472" t="str">
        <f t="shared" si="76"/>
        <v>.00</v>
      </c>
      <c r="AK472" t="str">
        <f t="shared" si="77"/>
        <v>00</v>
      </c>
      <c r="AL472" t="str">
        <f t="shared" si="78"/>
        <v>000000000000</v>
      </c>
      <c r="AM472" t="str">
        <f t="shared" si="70"/>
        <v xml:space="preserve">                              </v>
      </c>
      <c r="AP472" t="str">
        <f t="shared" si="71"/>
        <v/>
      </c>
    </row>
    <row r="473" spans="2:42" x14ac:dyDescent="0.2">
      <c r="B473" s="88"/>
      <c r="C473" s="80"/>
      <c r="D473" s="74"/>
      <c r="AF473" t="str">
        <f t="shared" si="72"/>
        <v>00000000</v>
      </c>
      <c r="AG473" s="81">
        <f t="shared" si="73"/>
        <v>0</v>
      </c>
      <c r="AH473" s="81">
        <f t="shared" si="74"/>
        <v>0</v>
      </c>
      <c r="AI473" t="str">
        <f t="shared" si="75"/>
        <v>0000000000</v>
      </c>
      <c r="AJ473" t="str">
        <f t="shared" si="76"/>
        <v>.00</v>
      </c>
      <c r="AK473" t="str">
        <f t="shared" si="77"/>
        <v>00</v>
      </c>
      <c r="AL473" t="str">
        <f t="shared" si="78"/>
        <v>000000000000</v>
      </c>
      <c r="AM473" t="str">
        <f t="shared" si="70"/>
        <v xml:space="preserve">                              </v>
      </c>
      <c r="AP473" t="str">
        <f t="shared" si="71"/>
        <v/>
      </c>
    </row>
    <row r="474" spans="2:42" x14ac:dyDescent="0.2">
      <c r="B474" s="88"/>
      <c r="C474" s="80"/>
      <c r="D474" s="74"/>
      <c r="AF474" t="str">
        <f t="shared" si="72"/>
        <v>00000000</v>
      </c>
      <c r="AG474" s="81">
        <f t="shared" si="73"/>
        <v>0</v>
      </c>
      <c r="AH474" s="81">
        <f t="shared" si="74"/>
        <v>0</v>
      </c>
      <c r="AI474" t="str">
        <f t="shared" si="75"/>
        <v>0000000000</v>
      </c>
      <c r="AJ474" t="str">
        <f t="shared" si="76"/>
        <v>.00</v>
      </c>
      <c r="AK474" t="str">
        <f t="shared" si="77"/>
        <v>00</v>
      </c>
      <c r="AL474" t="str">
        <f t="shared" si="78"/>
        <v>000000000000</v>
      </c>
      <c r="AM474" t="str">
        <f t="shared" si="70"/>
        <v xml:space="preserve">                              </v>
      </c>
      <c r="AP474" t="str">
        <f t="shared" si="71"/>
        <v/>
      </c>
    </row>
    <row r="475" spans="2:42" x14ac:dyDescent="0.2">
      <c r="B475" s="88"/>
      <c r="C475" s="80"/>
      <c r="D475" s="74"/>
      <c r="AF475" t="str">
        <f t="shared" si="72"/>
        <v>00000000</v>
      </c>
      <c r="AG475" s="81">
        <f t="shared" si="73"/>
        <v>0</v>
      </c>
      <c r="AH475" s="81">
        <f t="shared" si="74"/>
        <v>0</v>
      </c>
      <c r="AI475" t="str">
        <f t="shared" si="75"/>
        <v>0000000000</v>
      </c>
      <c r="AJ475" t="str">
        <f t="shared" si="76"/>
        <v>.00</v>
      </c>
      <c r="AK475" t="str">
        <f t="shared" si="77"/>
        <v>00</v>
      </c>
      <c r="AL475" t="str">
        <f t="shared" si="78"/>
        <v>000000000000</v>
      </c>
      <c r="AM475" t="str">
        <f t="shared" si="70"/>
        <v xml:space="preserve">                              </v>
      </c>
      <c r="AP475" t="str">
        <f t="shared" si="71"/>
        <v/>
      </c>
    </row>
    <row r="476" spans="2:42" x14ac:dyDescent="0.2">
      <c r="B476" s="88"/>
      <c r="C476" s="80"/>
      <c r="D476" s="74"/>
      <c r="AF476" t="str">
        <f t="shared" si="72"/>
        <v>00000000</v>
      </c>
      <c r="AG476" s="81">
        <f t="shared" si="73"/>
        <v>0</v>
      </c>
      <c r="AH476" s="81">
        <f t="shared" si="74"/>
        <v>0</v>
      </c>
      <c r="AI476" t="str">
        <f t="shared" si="75"/>
        <v>0000000000</v>
      </c>
      <c r="AJ476" t="str">
        <f t="shared" si="76"/>
        <v>.00</v>
      </c>
      <c r="AK476" t="str">
        <f t="shared" si="77"/>
        <v>00</v>
      </c>
      <c r="AL476" t="str">
        <f t="shared" si="78"/>
        <v>000000000000</v>
      </c>
      <c r="AM476" t="str">
        <f t="shared" si="70"/>
        <v xml:space="preserve">                              </v>
      </c>
      <c r="AP476" t="str">
        <f t="shared" si="71"/>
        <v/>
      </c>
    </row>
    <row r="477" spans="2:42" x14ac:dyDescent="0.2">
      <c r="B477" s="88"/>
      <c r="C477" s="80"/>
      <c r="D477" s="74"/>
      <c r="AF477" t="str">
        <f t="shared" si="72"/>
        <v>00000000</v>
      </c>
      <c r="AG477" s="81">
        <f t="shared" si="73"/>
        <v>0</v>
      </c>
      <c r="AH477" s="81">
        <f t="shared" si="74"/>
        <v>0</v>
      </c>
      <c r="AI477" t="str">
        <f t="shared" si="75"/>
        <v>0000000000</v>
      </c>
      <c r="AJ477" t="str">
        <f t="shared" si="76"/>
        <v>.00</v>
      </c>
      <c r="AK477" t="str">
        <f t="shared" si="77"/>
        <v>00</v>
      </c>
      <c r="AL477" t="str">
        <f t="shared" si="78"/>
        <v>000000000000</v>
      </c>
      <c r="AM477" t="str">
        <f t="shared" si="70"/>
        <v xml:space="preserve">                              </v>
      </c>
      <c r="AP477" t="str">
        <f t="shared" si="71"/>
        <v/>
      </c>
    </row>
    <row r="478" spans="2:42" x14ac:dyDescent="0.2">
      <c r="B478" s="88"/>
      <c r="C478" s="80"/>
      <c r="D478" s="74"/>
      <c r="AF478" t="str">
        <f t="shared" si="72"/>
        <v>00000000</v>
      </c>
      <c r="AG478" s="81">
        <f t="shared" si="73"/>
        <v>0</v>
      </c>
      <c r="AH478" s="81">
        <f t="shared" si="74"/>
        <v>0</v>
      </c>
      <c r="AI478" t="str">
        <f t="shared" si="75"/>
        <v>0000000000</v>
      </c>
      <c r="AJ478" t="str">
        <f t="shared" si="76"/>
        <v>.00</v>
      </c>
      <c r="AK478" t="str">
        <f t="shared" si="77"/>
        <v>00</v>
      </c>
      <c r="AL478" t="str">
        <f t="shared" si="78"/>
        <v>000000000000</v>
      </c>
      <c r="AM478" t="str">
        <f t="shared" si="70"/>
        <v xml:space="preserve">                              </v>
      </c>
      <c r="AP478" t="str">
        <f t="shared" si="71"/>
        <v/>
      </c>
    </row>
    <row r="479" spans="2:42" x14ac:dyDescent="0.2">
      <c r="B479" s="88"/>
      <c r="C479" s="80"/>
      <c r="D479" s="74"/>
      <c r="AF479" t="str">
        <f t="shared" si="72"/>
        <v>00000000</v>
      </c>
      <c r="AG479" s="81">
        <f t="shared" si="73"/>
        <v>0</v>
      </c>
      <c r="AH479" s="81">
        <f t="shared" si="74"/>
        <v>0</v>
      </c>
      <c r="AI479" t="str">
        <f t="shared" si="75"/>
        <v>0000000000</v>
      </c>
      <c r="AJ479" t="str">
        <f t="shared" si="76"/>
        <v>.00</v>
      </c>
      <c r="AK479" t="str">
        <f t="shared" si="77"/>
        <v>00</v>
      </c>
      <c r="AL479" t="str">
        <f t="shared" si="78"/>
        <v>000000000000</v>
      </c>
      <c r="AM479" t="str">
        <f t="shared" si="70"/>
        <v xml:space="preserve">                              </v>
      </c>
      <c r="AP479" t="str">
        <f t="shared" si="71"/>
        <v/>
      </c>
    </row>
    <row r="480" spans="2:42" x14ac:dyDescent="0.2">
      <c r="B480" s="88"/>
      <c r="C480" s="80"/>
      <c r="D480" s="74"/>
      <c r="AF480" t="str">
        <f t="shared" si="72"/>
        <v>00000000</v>
      </c>
      <c r="AG480" s="81">
        <f t="shared" si="73"/>
        <v>0</v>
      </c>
      <c r="AH480" s="81">
        <f t="shared" si="74"/>
        <v>0</v>
      </c>
      <c r="AI480" t="str">
        <f t="shared" si="75"/>
        <v>0000000000</v>
      </c>
      <c r="AJ480" t="str">
        <f t="shared" si="76"/>
        <v>.00</v>
      </c>
      <c r="AK480" t="str">
        <f t="shared" si="77"/>
        <v>00</v>
      </c>
      <c r="AL480" t="str">
        <f t="shared" si="78"/>
        <v>000000000000</v>
      </c>
      <c r="AM480" t="str">
        <f t="shared" si="70"/>
        <v xml:space="preserve">                              </v>
      </c>
      <c r="AP480" t="str">
        <f t="shared" si="71"/>
        <v/>
      </c>
    </row>
    <row r="481" spans="2:42" x14ac:dyDescent="0.2">
      <c r="B481" s="88"/>
      <c r="C481" s="80"/>
      <c r="D481" s="74"/>
      <c r="AF481" t="str">
        <f t="shared" si="72"/>
        <v>00000000</v>
      </c>
      <c r="AG481" s="81">
        <f t="shared" si="73"/>
        <v>0</v>
      </c>
      <c r="AH481" s="81">
        <f t="shared" si="74"/>
        <v>0</v>
      </c>
      <c r="AI481" t="str">
        <f t="shared" si="75"/>
        <v>0000000000</v>
      </c>
      <c r="AJ481" t="str">
        <f t="shared" si="76"/>
        <v>.00</v>
      </c>
      <c r="AK481" t="str">
        <f t="shared" si="77"/>
        <v>00</v>
      </c>
      <c r="AL481" t="str">
        <f t="shared" si="78"/>
        <v>000000000000</v>
      </c>
      <c r="AM481" t="str">
        <f t="shared" si="70"/>
        <v xml:space="preserve">                              </v>
      </c>
      <c r="AP481" t="str">
        <f t="shared" si="71"/>
        <v/>
      </c>
    </row>
    <row r="482" spans="2:42" x14ac:dyDescent="0.2">
      <c r="B482" s="88"/>
      <c r="C482" s="80"/>
      <c r="D482" s="74"/>
      <c r="AF482" t="str">
        <f t="shared" si="72"/>
        <v>00000000</v>
      </c>
      <c r="AG482" s="81">
        <f t="shared" si="73"/>
        <v>0</v>
      </c>
      <c r="AH482" s="81">
        <f t="shared" si="74"/>
        <v>0</v>
      </c>
      <c r="AI482" t="str">
        <f t="shared" si="75"/>
        <v>0000000000</v>
      </c>
      <c r="AJ482" t="str">
        <f t="shared" si="76"/>
        <v>.00</v>
      </c>
      <c r="AK482" t="str">
        <f t="shared" si="77"/>
        <v>00</v>
      </c>
      <c r="AL482" t="str">
        <f t="shared" si="78"/>
        <v>000000000000</v>
      </c>
      <c r="AM482" t="str">
        <f t="shared" si="70"/>
        <v xml:space="preserve">                              </v>
      </c>
      <c r="AP482" t="str">
        <f t="shared" si="71"/>
        <v/>
      </c>
    </row>
    <row r="483" spans="2:42" x14ac:dyDescent="0.2">
      <c r="B483" s="88"/>
      <c r="C483" s="80"/>
      <c r="D483" s="74"/>
      <c r="AF483" t="str">
        <f t="shared" si="72"/>
        <v>00000000</v>
      </c>
      <c r="AG483" s="81">
        <f t="shared" si="73"/>
        <v>0</v>
      </c>
      <c r="AH483" s="81">
        <f t="shared" si="74"/>
        <v>0</v>
      </c>
      <c r="AI483" t="str">
        <f t="shared" si="75"/>
        <v>0000000000</v>
      </c>
      <c r="AJ483" t="str">
        <f t="shared" si="76"/>
        <v>.00</v>
      </c>
      <c r="AK483" t="str">
        <f t="shared" si="77"/>
        <v>00</v>
      </c>
      <c r="AL483" t="str">
        <f t="shared" si="78"/>
        <v>000000000000</v>
      </c>
      <c r="AM483" t="str">
        <f t="shared" si="70"/>
        <v xml:space="preserve">                              </v>
      </c>
      <c r="AP483" t="str">
        <f t="shared" si="71"/>
        <v/>
      </c>
    </row>
    <row r="484" spans="2:42" x14ac:dyDescent="0.2">
      <c r="B484" s="88"/>
      <c r="C484" s="80"/>
      <c r="D484" s="74"/>
      <c r="AF484" t="str">
        <f t="shared" si="72"/>
        <v>00000000</v>
      </c>
      <c r="AG484" s="81">
        <f t="shared" si="73"/>
        <v>0</v>
      </c>
      <c r="AH484" s="81">
        <f t="shared" si="74"/>
        <v>0</v>
      </c>
      <c r="AI484" t="str">
        <f t="shared" si="75"/>
        <v>0000000000</v>
      </c>
      <c r="AJ484" t="str">
        <f t="shared" si="76"/>
        <v>.00</v>
      </c>
      <c r="AK484" t="str">
        <f t="shared" si="77"/>
        <v>00</v>
      </c>
      <c r="AL484" t="str">
        <f t="shared" si="78"/>
        <v>000000000000</v>
      </c>
      <c r="AM484" t="str">
        <f t="shared" si="70"/>
        <v xml:space="preserve">                              </v>
      </c>
      <c r="AP484" t="str">
        <f t="shared" si="71"/>
        <v/>
      </c>
    </row>
    <row r="485" spans="2:42" x14ac:dyDescent="0.2">
      <c r="B485" s="88"/>
      <c r="C485" s="80"/>
      <c r="D485" s="74"/>
      <c r="AF485" t="str">
        <f t="shared" si="72"/>
        <v>00000000</v>
      </c>
      <c r="AG485" s="81">
        <f t="shared" si="73"/>
        <v>0</v>
      </c>
      <c r="AH485" s="81">
        <f t="shared" si="74"/>
        <v>0</v>
      </c>
      <c r="AI485" t="str">
        <f t="shared" si="75"/>
        <v>0000000000</v>
      </c>
      <c r="AJ485" t="str">
        <f t="shared" si="76"/>
        <v>.00</v>
      </c>
      <c r="AK485" t="str">
        <f t="shared" si="77"/>
        <v>00</v>
      </c>
      <c r="AL485" t="str">
        <f t="shared" si="78"/>
        <v>000000000000</v>
      </c>
      <c r="AM485" t="str">
        <f t="shared" si="70"/>
        <v xml:space="preserve">                              </v>
      </c>
      <c r="AP485" t="str">
        <f t="shared" si="71"/>
        <v/>
      </c>
    </row>
    <row r="486" spans="2:42" x14ac:dyDescent="0.2">
      <c r="B486" s="88"/>
      <c r="C486" s="80"/>
      <c r="D486" s="74"/>
      <c r="AF486" t="str">
        <f t="shared" si="72"/>
        <v>00000000</v>
      </c>
      <c r="AG486" s="81">
        <f t="shared" si="73"/>
        <v>0</v>
      </c>
      <c r="AH486" s="81">
        <f t="shared" si="74"/>
        <v>0</v>
      </c>
      <c r="AI486" t="str">
        <f t="shared" si="75"/>
        <v>0000000000</v>
      </c>
      <c r="AJ486" t="str">
        <f t="shared" si="76"/>
        <v>.00</v>
      </c>
      <c r="AK486" t="str">
        <f t="shared" si="77"/>
        <v>00</v>
      </c>
      <c r="AL486" t="str">
        <f t="shared" si="78"/>
        <v>000000000000</v>
      </c>
      <c r="AM486" t="str">
        <f t="shared" si="70"/>
        <v xml:space="preserve">                              </v>
      </c>
      <c r="AP486" t="str">
        <f t="shared" si="71"/>
        <v/>
      </c>
    </row>
    <row r="487" spans="2:42" x14ac:dyDescent="0.2">
      <c r="B487" s="88"/>
      <c r="C487" s="80"/>
      <c r="D487" s="74"/>
      <c r="AF487" t="str">
        <f t="shared" si="72"/>
        <v>00000000</v>
      </c>
      <c r="AG487" s="81">
        <f t="shared" si="73"/>
        <v>0</v>
      </c>
      <c r="AH487" s="81">
        <f t="shared" si="74"/>
        <v>0</v>
      </c>
      <c r="AI487" t="str">
        <f t="shared" si="75"/>
        <v>0000000000</v>
      </c>
      <c r="AJ487" t="str">
        <f t="shared" si="76"/>
        <v>.00</v>
      </c>
      <c r="AK487" t="str">
        <f t="shared" si="77"/>
        <v>00</v>
      </c>
      <c r="AL487" t="str">
        <f t="shared" si="78"/>
        <v>000000000000</v>
      </c>
      <c r="AM487" t="str">
        <f t="shared" si="70"/>
        <v xml:space="preserve">                              </v>
      </c>
      <c r="AP487" t="str">
        <f t="shared" si="71"/>
        <v/>
      </c>
    </row>
    <row r="488" spans="2:42" x14ac:dyDescent="0.2">
      <c r="B488" s="88"/>
      <c r="C488" s="80"/>
      <c r="D488" s="74"/>
      <c r="AF488" t="str">
        <f t="shared" si="72"/>
        <v>00000000</v>
      </c>
      <c r="AG488" s="81">
        <f t="shared" si="73"/>
        <v>0</v>
      </c>
      <c r="AH488" s="81">
        <f t="shared" si="74"/>
        <v>0</v>
      </c>
      <c r="AI488" t="str">
        <f t="shared" si="75"/>
        <v>0000000000</v>
      </c>
      <c r="AJ488" t="str">
        <f t="shared" si="76"/>
        <v>.00</v>
      </c>
      <c r="AK488" t="str">
        <f t="shared" si="77"/>
        <v>00</v>
      </c>
      <c r="AL488" t="str">
        <f t="shared" si="78"/>
        <v>000000000000</v>
      </c>
      <c r="AM488" t="str">
        <f t="shared" si="70"/>
        <v xml:space="preserve">                              </v>
      </c>
      <c r="AP488" t="str">
        <f t="shared" si="71"/>
        <v/>
      </c>
    </row>
    <row r="489" spans="2:42" x14ac:dyDescent="0.2">
      <c r="B489" s="88"/>
      <c r="C489" s="80"/>
      <c r="D489" s="74"/>
      <c r="AF489" t="str">
        <f t="shared" si="72"/>
        <v>00000000</v>
      </c>
      <c r="AG489" s="81">
        <f t="shared" si="73"/>
        <v>0</v>
      </c>
      <c r="AH489" s="81">
        <f t="shared" si="74"/>
        <v>0</v>
      </c>
      <c r="AI489" t="str">
        <f t="shared" si="75"/>
        <v>0000000000</v>
      </c>
      <c r="AJ489" t="str">
        <f t="shared" si="76"/>
        <v>.00</v>
      </c>
      <c r="AK489" t="str">
        <f t="shared" si="77"/>
        <v>00</v>
      </c>
      <c r="AL489" t="str">
        <f t="shared" si="78"/>
        <v>000000000000</v>
      </c>
      <c r="AM489" t="str">
        <f t="shared" si="70"/>
        <v xml:space="preserve">                              </v>
      </c>
      <c r="AP489" t="str">
        <f t="shared" si="71"/>
        <v/>
      </c>
    </row>
    <row r="490" spans="2:42" x14ac:dyDescent="0.2">
      <c r="B490" s="88"/>
      <c r="C490" s="80"/>
      <c r="D490" s="74"/>
      <c r="AF490" t="str">
        <f t="shared" si="72"/>
        <v>00000000</v>
      </c>
      <c r="AG490" s="81">
        <f t="shared" si="73"/>
        <v>0</v>
      </c>
      <c r="AH490" s="81">
        <f t="shared" si="74"/>
        <v>0</v>
      </c>
      <c r="AI490" t="str">
        <f t="shared" si="75"/>
        <v>0000000000</v>
      </c>
      <c r="AJ490" t="str">
        <f t="shared" si="76"/>
        <v>.00</v>
      </c>
      <c r="AK490" t="str">
        <f t="shared" si="77"/>
        <v>00</v>
      </c>
      <c r="AL490" t="str">
        <f t="shared" si="78"/>
        <v>000000000000</v>
      </c>
      <c r="AM490" t="str">
        <f t="shared" si="70"/>
        <v xml:space="preserve">                              </v>
      </c>
      <c r="AP490" t="str">
        <f t="shared" si="71"/>
        <v/>
      </c>
    </row>
    <row r="491" spans="2:42" x14ac:dyDescent="0.2">
      <c r="B491" s="88"/>
      <c r="C491" s="80"/>
      <c r="D491" s="74"/>
      <c r="AF491" t="str">
        <f t="shared" si="72"/>
        <v>00000000</v>
      </c>
      <c r="AG491" s="81">
        <f t="shared" si="73"/>
        <v>0</v>
      </c>
      <c r="AH491" s="81">
        <f t="shared" si="74"/>
        <v>0</v>
      </c>
      <c r="AI491" t="str">
        <f t="shared" si="75"/>
        <v>0000000000</v>
      </c>
      <c r="AJ491" t="str">
        <f t="shared" si="76"/>
        <v>.00</v>
      </c>
      <c r="AK491" t="str">
        <f t="shared" si="77"/>
        <v>00</v>
      </c>
      <c r="AL491" t="str">
        <f t="shared" si="78"/>
        <v>000000000000</v>
      </c>
      <c r="AM491" t="str">
        <f t="shared" si="70"/>
        <v xml:space="preserve">                              </v>
      </c>
      <c r="AP491" t="str">
        <f t="shared" si="71"/>
        <v/>
      </c>
    </row>
    <row r="492" spans="2:42" x14ac:dyDescent="0.2">
      <c r="B492" s="88"/>
      <c r="C492" s="80"/>
      <c r="D492" s="74"/>
      <c r="AF492" t="str">
        <f t="shared" si="72"/>
        <v>00000000</v>
      </c>
      <c r="AG492" s="81">
        <f t="shared" si="73"/>
        <v>0</v>
      </c>
      <c r="AH492" s="81">
        <f t="shared" si="74"/>
        <v>0</v>
      </c>
      <c r="AI492" t="str">
        <f t="shared" si="75"/>
        <v>0000000000</v>
      </c>
      <c r="AJ492" t="str">
        <f t="shared" si="76"/>
        <v>.00</v>
      </c>
      <c r="AK492" t="str">
        <f t="shared" si="77"/>
        <v>00</v>
      </c>
      <c r="AL492" t="str">
        <f t="shared" si="78"/>
        <v>000000000000</v>
      </c>
      <c r="AM492" t="str">
        <f t="shared" si="70"/>
        <v xml:space="preserve">                              </v>
      </c>
      <c r="AP492" t="str">
        <f t="shared" si="71"/>
        <v/>
      </c>
    </row>
    <row r="493" spans="2:42" x14ac:dyDescent="0.2">
      <c r="B493" s="88"/>
      <c r="C493" s="80"/>
      <c r="D493" s="74"/>
      <c r="AF493" t="str">
        <f t="shared" si="72"/>
        <v>00000000</v>
      </c>
      <c r="AG493" s="81">
        <f t="shared" si="73"/>
        <v>0</v>
      </c>
      <c r="AH493" s="81">
        <f t="shared" si="74"/>
        <v>0</v>
      </c>
      <c r="AI493" t="str">
        <f t="shared" si="75"/>
        <v>0000000000</v>
      </c>
      <c r="AJ493" t="str">
        <f t="shared" si="76"/>
        <v>.00</v>
      </c>
      <c r="AK493" t="str">
        <f t="shared" si="77"/>
        <v>00</v>
      </c>
      <c r="AL493" t="str">
        <f t="shared" si="78"/>
        <v>000000000000</v>
      </c>
      <c r="AM493" t="str">
        <f t="shared" si="70"/>
        <v xml:space="preserve">                              </v>
      </c>
      <c r="AP493" t="str">
        <f t="shared" si="71"/>
        <v/>
      </c>
    </row>
    <row r="494" spans="2:42" x14ac:dyDescent="0.2">
      <c r="B494" s="88"/>
      <c r="C494" s="80"/>
      <c r="D494" s="74"/>
      <c r="AF494" t="str">
        <f t="shared" si="72"/>
        <v>00000000</v>
      </c>
      <c r="AG494" s="81">
        <f t="shared" si="73"/>
        <v>0</v>
      </c>
      <c r="AH494" s="81">
        <f t="shared" si="74"/>
        <v>0</v>
      </c>
      <c r="AI494" t="str">
        <f t="shared" si="75"/>
        <v>0000000000</v>
      </c>
      <c r="AJ494" t="str">
        <f t="shared" si="76"/>
        <v>.00</v>
      </c>
      <c r="AK494" t="str">
        <f t="shared" si="77"/>
        <v>00</v>
      </c>
      <c r="AL494" t="str">
        <f t="shared" si="78"/>
        <v>000000000000</v>
      </c>
      <c r="AM494" t="str">
        <f t="shared" si="70"/>
        <v xml:space="preserve">                              </v>
      </c>
      <c r="AP494" t="str">
        <f t="shared" si="71"/>
        <v/>
      </c>
    </row>
    <row r="495" spans="2:42" x14ac:dyDescent="0.2">
      <c r="B495" s="88"/>
      <c r="C495" s="80"/>
      <c r="D495" s="74"/>
      <c r="AF495" t="str">
        <f t="shared" si="72"/>
        <v>00000000</v>
      </c>
      <c r="AG495" s="81">
        <f t="shared" si="73"/>
        <v>0</v>
      </c>
      <c r="AH495" s="81">
        <f t="shared" si="74"/>
        <v>0</v>
      </c>
      <c r="AI495" t="str">
        <f t="shared" si="75"/>
        <v>0000000000</v>
      </c>
      <c r="AJ495" t="str">
        <f t="shared" si="76"/>
        <v>.00</v>
      </c>
      <c r="AK495" t="str">
        <f t="shared" si="77"/>
        <v>00</v>
      </c>
      <c r="AL495" t="str">
        <f t="shared" si="78"/>
        <v>000000000000</v>
      </c>
      <c r="AM495" t="str">
        <f t="shared" si="70"/>
        <v xml:space="preserve">                              </v>
      </c>
      <c r="AP495" t="str">
        <f t="shared" si="71"/>
        <v/>
      </c>
    </row>
    <row r="496" spans="2:42" x14ac:dyDescent="0.2">
      <c r="B496" s="88"/>
      <c r="C496" s="80"/>
      <c r="D496" s="74"/>
      <c r="AF496" t="str">
        <f t="shared" si="72"/>
        <v>00000000</v>
      </c>
      <c r="AG496" s="81">
        <f t="shared" si="73"/>
        <v>0</v>
      </c>
      <c r="AH496" s="81">
        <f t="shared" si="74"/>
        <v>0</v>
      </c>
      <c r="AI496" t="str">
        <f t="shared" si="75"/>
        <v>0000000000</v>
      </c>
      <c r="AJ496" t="str">
        <f t="shared" si="76"/>
        <v>.00</v>
      </c>
      <c r="AK496" t="str">
        <f t="shared" si="77"/>
        <v>00</v>
      </c>
      <c r="AL496" t="str">
        <f t="shared" si="78"/>
        <v>000000000000</v>
      </c>
      <c r="AM496" t="str">
        <f t="shared" si="70"/>
        <v xml:space="preserve">                              </v>
      </c>
      <c r="AP496" t="str">
        <f t="shared" si="71"/>
        <v/>
      </c>
    </row>
    <row r="497" spans="2:42" x14ac:dyDescent="0.2">
      <c r="B497" s="88"/>
      <c r="C497" s="80"/>
      <c r="D497" s="74"/>
      <c r="AF497" t="str">
        <f t="shared" si="72"/>
        <v>00000000</v>
      </c>
      <c r="AG497" s="81">
        <f t="shared" si="73"/>
        <v>0</v>
      </c>
      <c r="AH497" s="81">
        <f t="shared" si="74"/>
        <v>0</v>
      </c>
      <c r="AI497" t="str">
        <f t="shared" si="75"/>
        <v>0000000000</v>
      </c>
      <c r="AJ497" t="str">
        <f t="shared" si="76"/>
        <v>.00</v>
      </c>
      <c r="AK497" t="str">
        <f t="shared" si="77"/>
        <v>00</v>
      </c>
      <c r="AL497" t="str">
        <f t="shared" si="78"/>
        <v>000000000000</v>
      </c>
      <c r="AM497" t="str">
        <f t="shared" si="70"/>
        <v xml:space="preserve">                              </v>
      </c>
      <c r="AP497" t="str">
        <f t="shared" si="71"/>
        <v/>
      </c>
    </row>
    <row r="498" spans="2:42" x14ac:dyDescent="0.2">
      <c r="B498" s="88"/>
      <c r="C498" s="80"/>
      <c r="D498" s="74"/>
      <c r="AF498" t="str">
        <f t="shared" si="72"/>
        <v>00000000</v>
      </c>
      <c r="AG498" s="81">
        <f t="shared" si="73"/>
        <v>0</v>
      </c>
      <c r="AH498" s="81">
        <f t="shared" si="74"/>
        <v>0</v>
      </c>
      <c r="AI498" t="str">
        <f t="shared" si="75"/>
        <v>0000000000</v>
      </c>
      <c r="AJ498" t="str">
        <f t="shared" si="76"/>
        <v>.00</v>
      </c>
      <c r="AK498" t="str">
        <f t="shared" si="77"/>
        <v>00</v>
      </c>
      <c r="AL498" t="str">
        <f t="shared" si="78"/>
        <v>000000000000</v>
      </c>
      <c r="AM498" t="str">
        <f t="shared" si="70"/>
        <v xml:space="preserve">                              </v>
      </c>
      <c r="AP498" t="str">
        <f t="shared" si="71"/>
        <v/>
      </c>
    </row>
    <row r="499" spans="2:42" x14ac:dyDescent="0.2">
      <c r="B499" s="88"/>
      <c r="C499" s="80"/>
      <c r="D499" s="74"/>
      <c r="AF499" t="str">
        <f t="shared" si="72"/>
        <v>00000000</v>
      </c>
      <c r="AG499" s="81">
        <f t="shared" si="73"/>
        <v>0</v>
      </c>
      <c r="AH499" s="81">
        <f t="shared" si="74"/>
        <v>0</v>
      </c>
      <c r="AI499" t="str">
        <f t="shared" si="75"/>
        <v>0000000000</v>
      </c>
      <c r="AJ499" t="str">
        <f t="shared" si="76"/>
        <v>.00</v>
      </c>
      <c r="AK499" t="str">
        <f t="shared" si="77"/>
        <v>00</v>
      </c>
      <c r="AL499" t="str">
        <f t="shared" si="78"/>
        <v>000000000000</v>
      </c>
      <c r="AM499" t="str">
        <f t="shared" si="70"/>
        <v xml:space="preserve">                              </v>
      </c>
      <c r="AP499" t="str">
        <f t="shared" si="71"/>
        <v/>
      </c>
    </row>
    <row r="500" spans="2:42" x14ac:dyDescent="0.2">
      <c r="B500" s="88"/>
      <c r="C500" s="80"/>
      <c r="D500" s="74"/>
      <c r="AF500" t="str">
        <f t="shared" si="72"/>
        <v>00000000</v>
      </c>
      <c r="AG500" s="81">
        <f t="shared" si="73"/>
        <v>0</v>
      </c>
      <c r="AH500" s="81">
        <f t="shared" si="74"/>
        <v>0</v>
      </c>
      <c r="AI500" t="str">
        <f t="shared" si="75"/>
        <v>0000000000</v>
      </c>
      <c r="AJ500" t="str">
        <f t="shared" si="76"/>
        <v>.00</v>
      </c>
      <c r="AK500" t="str">
        <f t="shared" si="77"/>
        <v>00</v>
      </c>
      <c r="AL500" t="str">
        <f t="shared" si="78"/>
        <v>000000000000</v>
      </c>
      <c r="AM500" t="str">
        <f t="shared" si="70"/>
        <v xml:space="preserve">                              </v>
      </c>
      <c r="AP500" t="str">
        <f t="shared" si="71"/>
        <v/>
      </c>
    </row>
    <row r="501" spans="2:42" x14ac:dyDescent="0.2">
      <c r="B501" s="88"/>
      <c r="C501" s="80"/>
      <c r="D501" s="74"/>
      <c r="AF501" t="str">
        <f t="shared" si="72"/>
        <v>00000000</v>
      </c>
      <c r="AG501" s="81">
        <f t="shared" si="73"/>
        <v>0</v>
      </c>
      <c r="AH501" s="81">
        <f t="shared" si="74"/>
        <v>0</v>
      </c>
      <c r="AI501" t="str">
        <f t="shared" si="75"/>
        <v>0000000000</v>
      </c>
      <c r="AJ501" t="str">
        <f t="shared" si="76"/>
        <v>.00</v>
      </c>
      <c r="AK501" t="str">
        <f t="shared" si="77"/>
        <v>00</v>
      </c>
      <c r="AL501" t="str">
        <f t="shared" si="78"/>
        <v>000000000000</v>
      </c>
      <c r="AM501" t="str">
        <f t="shared" si="70"/>
        <v xml:space="preserve">                              </v>
      </c>
      <c r="AP501" t="str">
        <f t="shared" si="71"/>
        <v/>
      </c>
    </row>
    <row r="502" spans="2:42" x14ac:dyDescent="0.2">
      <c r="B502" s="88"/>
      <c r="C502" s="80"/>
      <c r="D502" s="74"/>
      <c r="AF502" t="str">
        <f t="shared" si="72"/>
        <v>00000000</v>
      </c>
      <c r="AG502" s="81">
        <f t="shared" si="73"/>
        <v>0</v>
      </c>
      <c r="AH502" s="81">
        <f t="shared" si="74"/>
        <v>0</v>
      </c>
      <c r="AI502" t="str">
        <f t="shared" si="75"/>
        <v>0000000000</v>
      </c>
      <c r="AJ502" t="str">
        <f t="shared" si="76"/>
        <v>.00</v>
      </c>
      <c r="AK502" t="str">
        <f t="shared" si="77"/>
        <v>00</v>
      </c>
      <c r="AL502" t="str">
        <f t="shared" si="78"/>
        <v>000000000000</v>
      </c>
      <c r="AM502" t="str">
        <f t="shared" si="70"/>
        <v xml:space="preserve">                              </v>
      </c>
      <c r="AP502" t="str">
        <f t="shared" si="71"/>
        <v/>
      </c>
    </row>
    <row r="503" spans="2:42" x14ac:dyDescent="0.2">
      <c r="B503" s="88"/>
      <c r="C503" s="80"/>
      <c r="D503" s="74"/>
      <c r="AF503" t="str">
        <f t="shared" si="72"/>
        <v>00000000</v>
      </c>
      <c r="AG503" s="81">
        <f t="shared" si="73"/>
        <v>0</v>
      </c>
      <c r="AH503" s="81">
        <f t="shared" si="74"/>
        <v>0</v>
      </c>
      <c r="AI503" t="str">
        <f t="shared" si="75"/>
        <v>0000000000</v>
      </c>
      <c r="AJ503" t="str">
        <f t="shared" si="76"/>
        <v>.00</v>
      </c>
      <c r="AK503" t="str">
        <f t="shared" si="77"/>
        <v>00</v>
      </c>
      <c r="AL503" t="str">
        <f t="shared" si="78"/>
        <v>000000000000</v>
      </c>
      <c r="AM503" t="str">
        <f t="shared" si="70"/>
        <v xml:space="preserve">                              </v>
      </c>
      <c r="AP503" t="str">
        <f t="shared" si="71"/>
        <v/>
      </c>
    </row>
    <row r="504" spans="2:42" x14ac:dyDescent="0.2">
      <c r="B504" s="88"/>
      <c r="C504" s="80"/>
      <c r="D504" s="74"/>
      <c r="AF504" t="str">
        <f t="shared" si="72"/>
        <v>00000000</v>
      </c>
      <c r="AG504" s="81">
        <f t="shared" si="73"/>
        <v>0</v>
      </c>
      <c r="AH504" s="81">
        <f t="shared" si="74"/>
        <v>0</v>
      </c>
      <c r="AI504" t="str">
        <f t="shared" si="75"/>
        <v>0000000000</v>
      </c>
      <c r="AJ504" t="str">
        <f t="shared" si="76"/>
        <v>.00</v>
      </c>
      <c r="AK504" t="str">
        <f t="shared" si="77"/>
        <v>00</v>
      </c>
      <c r="AL504" t="str">
        <f t="shared" si="78"/>
        <v>000000000000</v>
      </c>
      <c r="AM504" t="str">
        <f t="shared" si="70"/>
        <v xml:space="preserve">                              </v>
      </c>
      <c r="AP504" t="str">
        <f t="shared" si="71"/>
        <v/>
      </c>
    </row>
    <row r="505" spans="2:42" x14ac:dyDescent="0.2">
      <c r="B505" s="88"/>
      <c r="C505" s="80"/>
      <c r="D505" s="74"/>
      <c r="AF505" t="str">
        <f t="shared" si="72"/>
        <v>00000000</v>
      </c>
      <c r="AG505" s="81">
        <f t="shared" si="73"/>
        <v>0</v>
      </c>
      <c r="AH505" s="81">
        <f t="shared" si="74"/>
        <v>0</v>
      </c>
      <c r="AI505" t="str">
        <f t="shared" si="75"/>
        <v>0000000000</v>
      </c>
      <c r="AJ505" t="str">
        <f t="shared" si="76"/>
        <v>.00</v>
      </c>
      <c r="AK505" t="str">
        <f t="shared" si="77"/>
        <v>00</v>
      </c>
      <c r="AL505" t="str">
        <f t="shared" si="78"/>
        <v>000000000000</v>
      </c>
      <c r="AM505" t="str">
        <f t="shared" si="70"/>
        <v xml:space="preserve">                              </v>
      </c>
      <c r="AP505" t="str">
        <f t="shared" si="71"/>
        <v/>
      </c>
    </row>
    <row r="506" spans="2:42" x14ac:dyDescent="0.2">
      <c r="B506" s="88"/>
      <c r="C506" s="80"/>
      <c r="D506" s="74"/>
      <c r="AF506" t="str">
        <f t="shared" si="72"/>
        <v>00000000</v>
      </c>
      <c r="AG506" s="81">
        <f t="shared" si="73"/>
        <v>0</v>
      </c>
      <c r="AH506" s="81">
        <f t="shared" si="74"/>
        <v>0</v>
      </c>
      <c r="AI506" t="str">
        <f t="shared" si="75"/>
        <v>0000000000</v>
      </c>
      <c r="AJ506" t="str">
        <f t="shared" si="76"/>
        <v>.00</v>
      </c>
      <c r="AK506" t="str">
        <f t="shared" si="77"/>
        <v>00</v>
      </c>
      <c r="AL506" t="str">
        <f t="shared" si="78"/>
        <v>000000000000</v>
      </c>
      <c r="AM506" t="str">
        <f t="shared" si="70"/>
        <v xml:space="preserve">                              </v>
      </c>
      <c r="AP506" t="str">
        <f t="shared" si="71"/>
        <v/>
      </c>
    </row>
    <row r="507" spans="2:42" x14ac:dyDescent="0.2">
      <c r="B507" s="88"/>
      <c r="C507" s="80"/>
      <c r="D507" s="74"/>
      <c r="AF507" t="str">
        <f t="shared" si="72"/>
        <v>00000000</v>
      </c>
      <c r="AG507" s="81">
        <f t="shared" si="73"/>
        <v>0</v>
      </c>
      <c r="AH507" s="81">
        <f t="shared" si="74"/>
        <v>0</v>
      </c>
      <c r="AI507" t="str">
        <f t="shared" si="75"/>
        <v>0000000000</v>
      </c>
      <c r="AJ507" t="str">
        <f t="shared" si="76"/>
        <v>.00</v>
      </c>
      <c r="AK507" t="str">
        <f t="shared" si="77"/>
        <v>00</v>
      </c>
      <c r="AL507" t="str">
        <f t="shared" si="78"/>
        <v>000000000000</v>
      </c>
      <c r="AM507" t="str">
        <f t="shared" si="70"/>
        <v xml:space="preserve">                              </v>
      </c>
      <c r="AP507" t="str">
        <f t="shared" si="71"/>
        <v/>
      </c>
    </row>
    <row r="508" spans="2:42" x14ac:dyDescent="0.2">
      <c r="B508" s="88"/>
      <c r="C508" s="80"/>
      <c r="D508" s="74"/>
      <c r="AF508" t="str">
        <f t="shared" si="72"/>
        <v>00000000</v>
      </c>
      <c r="AG508" s="81">
        <f t="shared" si="73"/>
        <v>0</v>
      </c>
      <c r="AH508" s="81">
        <f t="shared" si="74"/>
        <v>0</v>
      </c>
      <c r="AI508" t="str">
        <f t="shared" si="75"/>
        <v>0000000000</v>
      </c>
      <c r="AJ508" t="str">
        <f t="shared" si="76"/>
        <v>.00</v>
      </c>
      <c r="AK508" t="str">
        <f t="shared" si="77"/>
        <v>00</v>
      </c>
      <c r="AL508" t="str">
        <f t="shared" si="78"/>
        <v>000000000000</v>
      </c>
      <c r="AM508" t="str">
        <f t="shared" si="70"/>
        <v xml:space="preserve">                              </v>
      </c>
      <c r="AP508" t="str">
        <f t="shared" si="71"/>
        <v/>
      </c>
    </row>
    <row r="509" spans="2:42" x14ac:dyDescent="0.2">
      <c r="B509" s="88"/>
      <c r="C509" s="80"/>
      <c r="D509" s="74"/>
      <c r="AF509" t="str">
        <f t="shared" si="72"/>
        <v>00000000</v>
      </c>
      <c r="AG509" s="81">
        <f t="shared" si="73"/>
        <v>0</v>
      </c>
      <c r="AH509" s="81">
        <f t="shared" si="74"/>
        <v>0</v>
      </c>
      <c r="AI509" t="str">
        <f t="shared" si="75"/>
        <v>0000000000</v>
      </c>
      <c r="AJ509" t="str">
        <f t="shared" si="76"/>
        <v>.00</v>
      </c>
      <c r="AK509" t="str">
        <f t="shared" si="77"/>
        <v>00</v>
      </c>
      <c r="AL509" t="str">
        <f t="shared" si="78"/>
        <v>000000000000</v>
      </c>
      <c r="AM509" t="str">
        <f t="shared" si="70"/>
        <v xml:space="preserve">                              </v>
      </c>
      <c r="AP509" t="str">
        <f t="shared" si="71"/>
        <v/>
      </c>
    </row>
    <row r="510" spans="2:42" x14ac:dyDescent="0.2">
      <c r="B510" s="88"/>
      <c r="C510" s="80"/>
      <c r="D510" s="74"/>
      <c r="AF510" t="str">
        <f t="shared" si="72"/>
        <v>00000000</v>
      </c>
      <c r="AG510" s="81">
        <f t="shared" si="73"/>
        <v>0</v>
      </c>
      <c r="AH510" s="81">
        <f t="shared" si="74"/>
        <v>0</v>
      </c>
      <c r="AI510" t="str">
        <f t="shared" si="75"/>
        <v>0000000000</v>
      </c>
      <c r="AJ510" t="str">
        <f t="shared" si="76"/>
        <v>.00</v>
      </c>
      <c r="AK510" t="str">
        <f t="shared" si="77"/>
        <v>00</v>
      </c>
      <c r="AL510" t="str">
        <f t="shared" si="78"/>
        <v>000000000000</v>
      </c>
      <c r="AM510" t="str">
        <f t="shared" si="70"/>
        <v xml:space="preserve">                              </v>
      </c>
      <c r="AP510" t="str">
        <f t="shared" si="71"/>
        <v/>
      </c>
    </row>
    <row r="511" spans="2:42" x14ac:dyDescent="0.2">
      <c r="B511" s="88"/>
      <c r="C511" s="80"/>
      <c r="D511" s="74"/>
      <c r="AF511" t="str">
        <f t="shared" si="72"/>
        <v>00000000</v>
      </c>
      <c r="AG511" s="81">
        <f t="shared" si="73"/>
        <v>0</v>
      </c>
      <c r="AH511" s="81">
        <f t="shared" si="74"/>
        <v>0</v>
      </c>
      <c r="AI511" t="str">
        <f t="shared" si="75"/>
        <v>0000000000</v>
      </c>
      <c r="AJ511" t="str">
        <f t="shared" si="76"/>
        <v>.00</v>
      </c>
      <c r="AK511" t="str">
        <f t="shared" si="77"/>
        <v>00</v>
      </c>
      <c r="AL511" t="str">
        <f t="shared" si="78"/>
        <v>000000000000</v>
      </c>
      <c r="AM511" t="str">
        <f t="shared" si="70"/>
        <v xml:space="preserve">                              </v>
      </c>
      <c r="AP511" t="str">
        <f t="shared" si="71"/>
        <v/>
      </c>
    </row>
    <row r="512" spans="2:42" x14ac:dyDescent="0.2">
      <c r="B512" s="88"/>
      <c r="C512" s="80"/>
      <c r="D512" s="74"/>
      <c r="AF512" t="str">
        <f t="shared" si="72"/>
        <v>00000000</v>
      </c>
      <c r="AG512" s="81">
        <f t="shared" si="73"/>
        <v>0</v>
      </c>
      <c r="AH512" s="81">
        <f t="shared" si="74"/>
        <v>0</v>
      </c>
      <c r="AI512" t="str">
        <f t="shared" si="75"/>
        <v>0000000000</v>
      </c>
      <c r="AJ512" t="str">
        <f t="shared" si="76"/>
        <v>.00</v>
      </c>
      <c r="AK512" t="str">
        <f t="shared" si="77"/>
        <v>00</v>
      </c>
      <c r="AL512" t="str">
        <f t="shared" si="78"/>
        <v>000000000000</v>
      </c>
      <c r="AM512" t="str">
        <f t="shared" si="70"/>
        <v xml:space="preserve">                              </v>
      </c>
      <c r="AP512" t="str">
        <f t="shared" si="71"/>
        <v/>
      </c>
    </row>
    <row r="513" spans="2:42" x14ac:dyDescent="0.2">
      <c r="B513" s="88"/>
      <c r="C513" s="80"/>
      <c r="D513" s="74"/>
      <c r="AF513" t="str">
        <f t="shared" si="72"/>
        <v>00000000</v>
      </c>
      <c r="AG513" s="81">
        <f t="shared" si="73"/>
        <v>0</v>
      </c>
      <c r="AH513" s="81">
        <f t="shared" si="74"/>
        <v>0</v>
      </c>
      <c r="AI513" t="str">
        <f t="shared" si="75"/>
        <v>0000000000</v>
      </c>
      <c r="AJ513" t="str">
        <f t="shared" si="76"/>
        <v>.00</v>
      </c>
      <c r="AK513" t="str">
        <f t="shared" si="77"/>
        <v>00</v>
      </c>
      <c r="AL513" t="str">
        <f t="shared" si="78"/>
        <v>000000000000</v>
      </c>
      <c r="AM513" t="str">
        <f t="shared" si="70"/>
        <v xml:space="preserve">                              </v>
      </c>
      <c r="AP513" t="str">
        <f t="shared" si="71"/>
        <v/>
      </c>
    </row>
    <row r="514" spans="2:42" x14ac:dyDescent="0.2">
      <c r="B514" s="88"/>
      <c r="C514" s="80"/>
      <c r="D514" s="74"/>
      <c r="AF514" t="str">
        <f t="shared" si="72"/>
        <v>00000000</v>
      </c>
      <c r="AG514" s="81">
        <f t="shared" si="73"/>
        <v>0</v>
      </c>
      <c r="AH514" s="81">
        <f t="shared" si="74"/>
        <v>0</v>
      </c>
      <c r="AI514" t="str">
        <f t="shared" si="75"/>
        <v>0000000000</v>
      </c>
      <c r="AJ514" t="str">
        <f t="shared" si="76"/>
        <v>.00</v>
      </c>
      <c r="AK514" t="str">
        <f t="shared" si="77"/>
        <v>00</v>
      </c>
      <c r="AL514" t="str">
        <f t="shared" si="78"/>
        <v>000000000000</v>
      </c>
      <c r="AM514" t="str">
        <f t="shared" si="70"/>
        <v xml:space="preserve">                              </v>
      </c>
      <c r="AP514" t="str">
        <f t="shared" si="71"/>
        <v/>
      </c>
    </row>
    <row r="515" spans="2:42" x14ac:dyDescent="0.2">
      <c r="B515" s="88"/>
      <c r="C515" s="80"/>
      <c r="D515" s="74"/>
      <c r="AF515" t="str">
        <f t="shared" si="72"/>
        <v>00000000</v>
      </c>
      <c r="AG515" s="81">
        <f t="shared" si="73"/>
        <v>0</v>
      </c>
      <c r="AH515" s="81">
        <f t="shared" si="74"/>
        <v>0</v>
      </c>
      <c r="AI515" t="str">
        <f t="shared" si="75"/>
        <v>0000000000</v>
      </c>
      <c r="AJ515" t="str">
        <f t="shared" si="76"/>
        <v>.00</v>
      </c>
      <c r="AK515" t="str">
        <f t="shared" si="77"/>
        <v>00</v>
      </c>
      <c r="AL515" t="str">
        <f t="shared" si="78"/>
        <v>000000000000</v>
      </c>
      <c r="AM515" t="str">
        <f t="shared" ref="AM515:AM578" si="79">CONCATENATE(D516,REPT(" ",30-LEN(D516)))</f>
        <v xml:space="preserve">                              </v>
      </c>
      <c r="AP515" t="str">
        <f t="shared" ref="AP515:AP578" si="80">IF(B516&lt;&gt;"",CONCATENATE("000",$AA$3,"     ",$AB$3,$AC$3,$AD$3,"30000",AF515,AL515,$AC$1,AM515),"")</f>
        <v/>
      </c>
    </row>
    <row r="516" spans="2:42" x14ac:dyDescent="0.2">
      <c r="B516" s="88"/>
      <c r="C516" s="80"/>
      <c r="D516" s="74"/>
      <c r="AF516" t="str">
        <f t="shared" si="72"/>
        <v>00000000</v>
      </c>
      <c r="AG516" s="81">
        <f t="shared" si="73"/>
        <v>0</v>
      </c>
      <c r="AH516" s="81">
        <f t="shared" si="74"/>
        <v>0</v>
      </c>
      <c r="AI516" t="str">
        <f t="shared" si="75"/>
        <v>0000000000</v>
      </c>
      <c r="AJ516" t="str">
        <f t="shared" si="76"/>
        <v>.00</v>
      </c>
      <c r="AK516" t="str">
        <f t="shared" si="77"/>
        <v>00</v>
      </c>
      <c r="AL516" t="str">
        <f t="shared" si="78"/>
        <v>000000000000</v>
      </c>
      <c r="AM516" t="str">
        <f t="shared" si="79"/>
        <v xml:space="preserve">                              </v>
      </c>
      <c r="AP516" t="str">
        <f t="shared" si="80"/>
        <v/>
      </c>
    </row>
    <row r="517" spans="2:42" x14ac:dyDescent="0.2">
      <c r="B517" s="88"/>
      <c r="C517" s="80"/>
      <c r="D517" s="74"/>
      <c r="AF517" t="str">
        <f t="shared" si="72"/>
        <v>00000000</v>
      </c>
      <c r="AG517" s="81">
        <f t="shared" si="73"/>
        <v>0</v>
      </c>
      <c r="AH517" s="81">
        <f t="shared" si="74"/>
        <v>0</v>
      </c>
      <c r="AI517" t="str">
        <f t="shared" si="75"/>
        <v>0000000000</v>
      </c>
      <c r="AJ517" t="str">
        <f t="shared" si="76"/>
        <v>.00</v>
      </c>
      <c r="AK517" t="str">
        <f t="shared" si="77"/>
        <v>00</v>
      </c>
      <c r="AL517" t="str">
        <f t="shared" si="78"/>
        <v>000000000000</v>
      </c>
      <c r="AM517" t="str">
        <f t="shared" si="79"/>
        <v xml:space="preserve">                              </v>
      </c>
      <c r="AP517" t="str">
        <f t="shared" si="80"/>
        <v/>
      </c>
    </row>
    <row r="518" spans="2:42" x14ac:dyDescent="0.2">
      <c r="B518" s="88"/>
      <c r="C518" s="80"/>
      <c r="D518" s="74"/>
      <c r="AF518" t="str">
        <f t="shared" si="72"/>
        <v>00000000</v>
      </c>
      <c r="AG518" s="81">
        <f t="shared" si="73"/>
        <v>0</v>
      </c>
      <c r="AH518" s="81">
        <f t="shared" si="74"/>
        <v>0</v>
      </c>
      <c r="AI518" t="str">
        <f t="shared" si="75"/>
        <v>0000000000</v>
      </c>
      <c r="AJ518" t="str">
        <f t="shared" si="76"/>
        <v>.00</v>
      </c>
      <c r="AK518" t="str">
        <f t="shared" si="77"/>
        <v>00</v>
      </c>
      <c r="AL518" t="str">
        <f t="shared" si="78"/>
        <v>000000000000</v>
      </c>
      <c r="AM518" t="str">
        <f t="shared" si="79"/>
        <v xml:space="preserve">                              </v>
      </c>
      <c r="AP518" t="str">
        <f t="shared" si="80"/>
        <v/>
      </c>
    </row>
    <row r="519" spans="2:42" x14ac:dyDescent="0.2">
      <c r="B519" s="88"/>
      <c r="C519" s="80"/>
      <c r="D519" s="74"/>
      <c r="AF519" t="str">
        <f t="shared" si="72"/>
        <v>00000000</v>
      </c>
      <c r="AG519" s="81">
        <f t="shared" si="73"/>
        <v>0</v>
      </c>
      <c r="AH519" s="81">
        <f t="shared" si="74"/>
        <v>0</v>
      </c>
      <c r="AI519" t="str">
        <f t="shared" si="75"/>
        <v>0000000000</v>
      </c>
      <c r="AJ519" t="str">
        <f t="shared" si="76"/>
        <v>.00</v>
      </c>
      <c r="AK519" t="str">
        <f t="shared" si="77"/>
        <v>00</v>
      </c>
      <c r="AL519" t="str">
        <f t="shared" si="78"/>
        <v>000000000000</v>
      </c>
      <c r="AM519" t="str">
        <f t="shared" si="79"/>
        <v xml:space="preserve">                              </v>
      </c>
      <c r="AP519" t="str">
        <f t="shared" si="80"/>
        <v/>
      </c>
    </row>
    <row r="520" spans="2:42" x14ac:dyDescent="0.2">
      <c r="B520" s="88"/>
      <c r="C520" s="80"/>
      <c r="D520" s="74"/>
      <c r="AF520" t="str">
        <f t="shared" si="72"/>
        <v>00000000</v>
      </c>
      <c r="AG520" s="81">
        <f t="shared" si="73"/>
        <v>0</v>
      </c>
      <c r="AH520" s="81">
        <f t="shared" si="74"/>
        <v>0</v>
      </c>
      <c r="AI520" t="str">
        <f t="shared" si="75"/>
        <v>0000000000</v>
      </c>
      <c r="AJ520" t="str">
        <f t="shared" si="76"/>
        <v>.00</v>
      </c>
      <c r="AK520" t="str">
        <f t="shared" si="77"/>
        <v>00</v>
      </c>
      <c r="AL520" t="str">
        <f t="shared" si="78"/>
        <v>000000000000</v>
      </c>
      <c r="AM520" t="str">
        <f t="shared" si="79"/>
        <v xml:space="preserve">                              </v>
      </c>
      <c r="AP520" t="str">
        <f t="shared" si="80"/>
        <v/>
      </c>
    </row>
    <row r="521" spans="2:42" x14ac:dyDescent="0.2">
      <c r="B521" s="88"/>
      <c r="C521" s="80"/>
      <c r="D521" s="74"/>
      <c r="AF521" t="str">
        <f t="shared" si="72"/>
        <v>00000000</v>
      </c>
      <c r="AG521" s="81">
        <f t="shared" si="73"/>
        <v>0</v>
      </c>
      <c r="AH521" s="81">
        <f t="shared" si="74"/>
        <v>0</v>
      </c>
      <c r="AI521" t="str">
        <f t="shared" si="75"/>
        <v>0000000000</v>
      </c>
      <c r="AJ521" t="str">
        <f t="shared" si="76"/>
        <v>.00</v>
      </c>
      <c r="AK521" t="str">
        <f t="shared" si="77"/>
        <v>00</v>
      </c>
      <c r="AL521" t="str">
        <f t="shared" si="78"/>
        <v>000000000000</v>
      </c>
      <c r="AM521" t="str">
        <f t="shared" si="79"/>
        <v xml:space="preserve">                              </v>
      </c>
      <c r="AP521" t="str">
        <f t="shared" si="80"/>
        <v/>
      </c>
    </row>
    <row r="522" spans="2:42" x14ac:dyDescent="0.2">
      <c r="B522" s="88"/>
      <c r="C522" s="80"/>
      <c r="D522" s="74"/>
      <c r="AF522" t="str">
        <f t="shared" ref="AF522:AF585" si="81">CONCATENATE(REPT("0",8-LEN(B523)),B523)</f>
        <v>00000000</v>
      </c>
      <c r="AG522" s="81">
        <f t="shared" ref="AG522:AG585" si="82">INT(C523)</f>
        <v>0</v>
      </c>
      <c r="AH522" s="81">
        <f t="shared" ref="AH522:AH585" si="83">C523-AG522</f>
        <v>0</v>
      </c>
      <c r="AI522" t="str">
        <f t="shared" ref="AI522:AI585" si="84">TEXT(AG522,"0000000000")</f>
        <v>0000000000</v>
      </c>
      <c r="AJ522" t="str">
        <f t="shared" ref="AJ522:AJ585" si="85">TEXT(AH522,".00")</f>
        <v>.00</v>
      </c>
      <c r="AK522" t="str">
        <f t="shared" ref="AK522:AK585" si="86">MID(AJ522,2,2)</f>
        <v>00</v>
      </c>
      <c r="AL522" t="str">
        <f t="shared" ref="AL522:AL585" si="87">CONCATENATE(AI522,AK522)</f>
        <v>000000000000</v>
      </c>
      <c r="AM522" t="str">
        <f t="shared" si="79"/>
        <v xml:space="preserve">                              </v>
      </c>
      <c r="AP522" t="str">
        <f t="shared" si="80"/>
        <v/>
      </c>
    </row>
    <row r="523" spans="2:42" x14ac:dyDescent="0.2">
      <c r="B523" s="88"/>
      <c r="C523" s="80"/>
      <c r="D523" s="74"/>
      <c r="AF523" t="str">
        <f t="shared" si="81"/>
        <v>00000000</v>
      </c>
      <c r="AG523" s="81">
        <f t="shared" si="82"/>
        <v>0</v>
      </c>
      <c r="AH523" s="81">
        <f t="shared" si="83"/>
        <v>0</v>
      </c>
      <c r="AI523" t="str">
        <f t="shared" si="84"/>
        <v>0000000000</v>
      </c>
      <c r="AJ523" t="str">
        <f t="shared" si="85"/>
        <v>.00</v>
      </c>
      <c r="AK523" t="str">
        <f t="shared" si="86"/>
        <v>00</v>
      </c>
      <c r="AL523" t="str">
        <f t="shared" si="87"/>
        <v>000000000000</v>
      </c>
      <c r="AM523" t="str">
        <f t="shared" si="79"/>
        <v xml:space="preserve">                              </v>
      </c>
      <c r="AP523" t="str">
        <f t="shared" si="80"/>
        <v/>
      </c>
    </row>
    <row r="524" spans="2:42" x14ac:dyDescent="0.2">
      <c r="B524" s="88"/>
      <c r="C524" s="80"/>
      <c r="D524" s="74"/>
      <c r="AF524" t="str">
        <f t="shared" si="81"/>
        <v>00000000</v>
      </c>
      <c r="AG524" s="81">
        <f t="shared" si="82"/>
        <v>0</v>
      </c>
      <c r="AH524" s="81">
        <f t="shared" si="83"/>
        <v>0</v>
      </c>
      <c r="AI524" t="str">
        <f t="shared" si="84"/>
        <v>0000000000</v>
      </c>
      <c r="AJ524" t="str">
        <f t="shared" si="85"/>
        <v>.00</v>
      </c>
      <c r="AK524" t="str">
        <f t="shared" si="86"/>
        <v>00</v>
      </c>
      <c r="AL524" t="str">
        <f t="shared" si="87"/>
        <v>000000000000</v>
      </c>
      <c r="AM524" t="str">
        <f t="shared" si="79"/>
        <v xml:space="preserve">                              </v>
      </c>
      <c r="AP524" t="str">
        <f t="shared" si="80"/>
        <v/>
      </c>
    </row>
    <row r="525" spans="2:42" x14ac:dyDescent="0.2">
      <c r="B525" s="88"/>
      <c r="C525" s="80"/>
      <c r="D525" s="74"/>
      <c r="AF525" t="str">
        <f t="shared" si="81"/>
        <v>00000000</v>
      </c>
      <c r="AG525" s="81">
        <f t="shared" si="82"/>
        <v>0</v>
      </c>
      <c r="AH525" s="81">
        <f t="shared" si="83"/>
        <v>0</v>
      </c>
      <c r="AI525" t="str">
        <f t="shared" si="84"/>
        <v>0000000000</v>
      </c>
      <c r="AJ525" t="str">
        <f t="shared" si="85"/>
        <v>.00</v>
      </c>
      <c r="AK525" t="str">
        <f t="shared" si="86"/>
        <v>00</v>
      </c>
      <c r="AL525" t="str">
        <f t="shared" si="87"/>
        <v>000000000000</v>
      </c>
      <c r="AM525" t="str">
        <f t="shared" si="79"/>
        <v xml:space="preserve">                              </v>
      </c>
      <c r="AP525" t="str">
        <f t="shared" si="80"/>
        <v/>
      </c>
    </row>
    <row r="526" spans="2:42" x14ac:dyDescent="0.2">
      <c r="B526" s="88"/>
      <c r="C526" s="80"/>
      <c r="D526" s="74"/>
      <c r="AF526" t="str">
        <f t="shared" si="81"/>
        <v>00000000</v>
      </c>
      <c r="AG526" s="81">
        <f t="shared" si="82"/>
        <v>0</v>
      </c>
      <c r="AH526" s="81">
        <f t="shared" si="83"/>
        <v>0</v>
      </c>
      <c r="AI526" t="str">
        <f t="shared" si="84"/>
        <v>0000000000</v>
      </c>
      <c r="AJ526" t="str">
        <f t="shared" si="85"/>
        <v>.00</v>
      </c>
      <c r="AK526" t="str">
        <f t="shared" si="86"/>
        <v>00</v>
      </c>
      <c r="AL526" t="str">
        <f t="shared" si="87"/>
        <v>000000000000</v>
      </c>
      <c r="AM526" t="str">
        <f t="shared" si="79"/>
        <v xml:space="preserve">                              </v>
      </c>
      <c r="AP526" t="str">
        <f t="shared" si="80"/>
        <v/>
      </c>
    </row>
    <row r="527" spans="2:42" x14ac:dyDescent="0.2">
      <c r="B527" s="88"/>
      <c r="C527" s="80"/>
      <c r="D527" s="74"/>
      <c r="AF527" t="str">
        <f t="shared" si="81"/>
        <v>00000000</v>
      </c>
      <c r="AG527" s="81">
        <f t="shared" si="82"/>
        <v>0</v>
      </c>
      <c r="AH527" s="81">
        <f t="shared" si="83"/>
        <v>0</v>
      </c>
      <c r="AI527" t="str">
        <f t="shared" si="84"/>
        <v>0000000000</v>
      </c>
      <c r="AJ527" t="str">
        <f t="shared" si="85"/>
        <v>.00</v>
      </c>
      <c r="AK527" t="str">
        <f t="shared" si="86"/>
        <v>00</v>
      </c>
      <c r="AL527" t="str">
        <f t="shared" si="87"/>
        <v>000000000000</v>
      </c>
      <c r="AM527" t="str">
        <f t="shared" si="79"/>
        <v xml:space="preserve">                              </v>
      </c>
      <c r="AP527" t="str">
        <f t="shared" si="80"/>
        <v/>
      </c>
    </row>
    <row r="528" spans="2:42" x14ac:dyDescent="0.2">
      <c r="B528" s="88"/>
      <c r="C528" s="80"/>
      <c r="D528" s="74"/>
      <c r="AF528" t="str">
        <f t="shared" si="81"/>
        <v>00000000</v>
      </c>
      <c r="AG528" s="81">
        <f t="shared" si="82"/>
        <v>0</v>
      </c>
      <c r="AH528" s="81">
        <f t="shared" si="83"/>
        <v>0</v>
      </c>
      <c r="AI528" t="str">
        <f t="shared" si="84"/>
        <v>0000000000</v>
      </c>
      <c r="AJ528" t="str">
        <f t="shared" si="85"/>
        <v>.00</v>
      </c>
      <c r="AK528" t="str">
        <f t="shared" si="86"/>
        <v>00</v>
      </c>
      <c r="AL528" t="str">
        <f t="shared" si="87"/>
        <v>000000000000</v>
      </c>
      <c r="AM528" t="str">
        <f t="shared" si="79"/>
        <v xml:space="preserve">                              </v>
      </c>
      <c r="AP528" t="str">
        <f t="shared" si="80"/>
        <v/>
      </c>
    </row>
    <row r="529" spans="2:42" x14ac:dyDescent="0.2">
      <c r="B529" s="88"/>
      <c r="C529" s="80"/>
      <c r="D529" s="74"/>
      <c r="AF529" t="str">
        <f t="shared" si="81"/>
        <v>00000000</v>
      </c>
      <c r="AG529" s="81">
        <f t="shared" si="82"/>
        <v>0</v>
      </c>
      <c r="AH529" s="81">
        <f t="shared" si="83"/>
        <v>0</v>
      </c>
      <c r="AI529" t="str">
        <f t="shared" si="84"/>
        <v>0000000000</v>
      </c>
      <c r="AJ529" t="str">
        <f t="shared" si="85"/>
        <v>.00</v>
      </c>
      <c r="AK529" t="str">
        <f t="shared" si="86"/>
        <v>00</v>
      </c>
      <c r="AL529" t="str">
        <f t="shared" si="87"/>
        <v>000000000000</v>
      </c>
      <c r="AM529" t="str">
        <f t="shared" si="79"/>
        <v xml:space="preserve">                              </v>
      </c>
      <c r="AP529" t="str">
        <f t="shared" si="80"/>
        <v/>
      </c>
    </row>
    <row r="530" spans="2:42" x14ac:dyDescent="0.2">
      <c r="B530" s="88"/>
      <c r="C530" s="80"/>
      <c r="D530" s="74"/>
      <c r="AF530" t="str">
        <f t="shared" si="81"/>
        <v>00000000</v>
      </c>
      <c r="AG530" s="81">
        <f t="shared" si="82"/>
        <v>0</v>
      </c>
      <c r="AH530" s="81">
        <f t="shared" si="83"/>
        <v>0</v>
      </c>
      <c r="AI530" t="str">
        <f t="shared" si="84"/>
        <v>0000000000</v>
      </c>
      <c r="AJ530" t="str">
        <f t="shared" si="85"/>
        <v>.00</v>
      </c>
      <c r="AK530" t="str">
        <f t="shared" si="86"/>
        <v>00</v>
      </c>
      <c r="AL530" t="str">
        <f t="shared" si="87"/>
        <v>000000000000</v>
      </c>
      <c r="AM530" t="str">
        <f t="shared" si="79"/>
        <v xml:space="preserve">                              </v>
      </c>
      <c r="AP530" t="str">
        <f t="shared" si="80"/>
        <v/>
      </c>
    </row>
    <row r="531" spans="2:42" x14ac:dyDescent="0.2">
      <c r="B531" s="88"/>
      <c r="C531" s="80"/>
      <c r="D531" s="74"/>
      <c r="AF531" t="str">
        <f t="shared" si="81"/>
        <v>00000000</v>
      </c>
      <c r="AG531" s="81">
        <f t="shared" si="82"/>
        <v>0</v>
      </c>
      <c r="AH531" s="81">
        <f t="shared" si="83"/>
        <v>0</v>
      </c>
      <c r="AI531" t="str">
        <f t="shared" si="84"/>
        <v>0000000000</v>
      </c>
      <c r="AJ531" t="str">
        <f t="shared" si="85"/>
        <v>.00</v>
      </c>
      <c r="AK531" t="str">
        <f t="shared" si="86"/>
        <v>00</v>
      </c>
      <c r="AL531" t="str">
        <f t="shared" si="87"/>
        <v>000000000000</v>
      </c>
      <c r="AM531" t="str">
        <f t="shared" si="79"/>
        <v xml:space="preserve">                              </v>
      </c>
      <c r="AP531" t="str">
        <f t="shared" si="80"/>
        <v/>
      </c>
    </row>
    <row r="532" spans="2:42" x14ac:dyDescent="0.2">
      <c r="B532" s="88"/>
      <c r="C532" s="80"/>
      <c r="D532" s="74"/>
      <c r="AF532" t="str">
        <f t="shared" si="81"/>
        <v>00000000</v>
      </c>
      <c r="AG532" s="81">
        <f t="shared" si="82"/>
        <v>0</v>
      </c>
      <c r="AH532" s="81">
        <f t="shared" si="83"/>
        <v>0</v>
      </c>
      <c r="AI532" t="str">
        <f t="shared" si="84"/>
        <v>0000000000</v>
      </c>
      <c r="AJ532" t="str">
        <f t="shared" si="85"/>
        <v>.00</v>
      </c>
      <c r="AK532" t="str">
        <f t="shared" si="86"/>
        <v>00</v>
      </c>
      <c r="AL532" t="str">
        <f t="shared" si="87"/>
        <v>000000000000</v>
      </c>
      <c r="AM532" t="str">
        <f t="shared" si="79"/>
        <v xml:space="preserve">                              </v>
      </c>
      <c r="AP532" t="str">
        <f t="shared" si="80"/>
        <v/>
      </c>
    </row>
    <row r="533" spans="2:42" x14ac:dyDescent="0.2">
      <c r="B533" s="88"/>
      <c r="C533" s="80"/>
      <c r="D533" s="74"/>
      <c r="AF533" t="str">
        <f t="shared" si="81"/>
        <v>00000000</v>
      </c>
      <c r="AG533" s="81">
        <f t="shared" si="82"/>
        <v>0</v>
      </c>
      <c r="AH533" s="81">
        <f t="shared" si="83"/>
        <v>0</v>
      </c>
      <c r="AI533" t="str">
        <f t="shared" si="84"/>
        <v>0000000000</v>
      </c>
      <c r="AJ533" t="str">
        <f t="shared" si="85"/>
        <v>.00</v>
      </c>
      <c r="AK533" t="str">
        <f t="shared" si="86"/>
        <v>00</v>
      </c>
      <c r="AL533" t="str">
        <f t="shared" si="87"/>
        <v>000000000000</v>
      </c>
      <c r="AM533" t="str">
        <f t="shared" si="79"/>
        <v xml:space="preserve">                              </v>
      </c>
      <c r="AP533" t="str">
        <f t="shared" si="80"/>
        <v/>
      </c>
    </row>
    <row r="534" spans="2:42" x14ac:dyDescent="0.2">
      <c r="B534" s="88"/>
      <c r="C534" s="80"/>
      <c r="D534" s="74"/>
      <c r="AF534" t="str">
        <f t="shared" si="81"/>
        <v>00000000</v>
      </c>
      <c r="AG534" s="81">
        <f t="shared" si="82"/>
        <v>0</v>
      </c>
      <c r="AH534" s="81">
        <f t="shared" si="83"/>
        <v>0</v>
      </c>
      <c r="AI534" t="str">
        <f t="shared" si="84"/>
        <v>0000000000</v>
      </c>
      <c r="AJ534" t="str">
        <f t="shared" si="85"/>
        <v>.00</v>
      </c>
      <c r="AK534" t="str">
        <f t="shared" si="86"/>
        <v>00</v>
      </c>
      <c r="AL534" t="str">
        <f t="shared" si="87"/>
        <v>000000000000</v>
      </c>
      <c r="AM534" t="str">
        <f t="shared" si="79"/>
        <v xml:space="preserve">                              </v>
      </c>
      <c r="AP534" t="str">
        <f t="shared" si="80"/>
        <v/>
      </c>
    </row>
    <row r="535" spans="2:42" x14ac:dyDescent="0.2">
      <c r="B535" s="88"/>
      <c r="C535" s="80"/>
      <c r="D535" s="74"/>
      <c r="AF535" t="str">
        <f t="shared" si="81"/>
        <v>00000000</v>
      </c>
      <c r="AG535" s="81">
        <f t="shared" si="82"/>
        <v>0</v>
      </c>
      <c r="AH535" s="81">
        <f t="shared" si="83"/>
        <v>0</v>
      </c>
      <c r="AI535" t="str">
        <f t="shared" si="84"/>
        <v>0000000000</v>
      </c>
      <c r="AJ535" t="str">
        <f t="shared" si="85"/>
        <v>.00</v>
      </c>
      <c r="AK535" t="str">
        <f t="shared" si="86"/>
        <v>00</v>
      </c>
      <c r="AL535" t="str">
        <f t="shared" si="87"/>
        <v>000000000000</v>
      </c>
      <c r="AM535" t="str">
        <f t="shared" si="79"/>
        <v xml:space="preserve">                              </v>
      </c>
      <c r="AP535" t="str">
        <f t="shared" si="80"/>
        <v/>
      </c>
    </row>
    <row r="536" spans="2:42" x14ac:dyDescent="0.2">
      <c r="B536" s="88"/>
      <c r="C536" s="80"/>
      <c r="D536" s="74"/>
      <c r="AF536" t="str">
        <f t="shared" si="81"/>
        <v>00000000</v>
      </c>
      <c r="AG536" s="81">
        <f t="shared" si="82"/>
        <v>0</v>
      </c>
      <c r="AH536" s="81">
        <f t="shared" si="83"/>
        <v>0</v>
      </c>
      <c r="AI536" t="str">
        <f t="shared" si="84"/>
        <v>0000000000</v>
      </c>
      <c r="AJ536" t="str">
        <f t="shared" si="85"/>
        <v>.00</v>
      </c>
      <c r="AK536" t="str">
        <f t="shared" si="86"/>
        <v>00</v>
      </c>
      <c r="AL536" t="str">
        <f t="shared" si="87"/>
        <v>000000000000</v>
      </c>
      <c r="AM536" t="str">
        <f t="shared" si="79"/>
        <v xml:space="preserve">                              </v>
      </c>
      <c r="AP536" t="str">
        <f t="shared" si="80"/>
        <v/>
      </c>
    </row>
    <row r="537" spans="2:42" x14ac:dyDescent="0.2">
      <c r="B537" s="88"/>
      <c r="C537" s="80"/>
      <c r="D537" s="74"/>
      <c r="AF537" t="str">
        <f t="shared" si="81"/>
        <v>00000000</v>
      </c>
      <c r="AG537" s="81">
        <f t="shared" si="82"/>
        <v>0</v>
      </c>
      <c r="AH537" s="81">
        <f t="shared" si="83"/>
        <v>0</v>
      </c>
      <c r="AI537" t="str">
        <f t="shared" si="84"/>
        <v>0000000000</v>
      </c>
      <c r="AJ537" t="str">
        <f t="shared" si="85"/>
        <v>.00</v>
      </c>
      <c r="AK537" t="str">
        <f t="shared" si="86"/>
        <v>00</v>
      </c>
      <c r="AL537" t="str">
        <f t="shared" si="87"/>
        <v>000000000000</v>
      </c>
      <c r="AM537" t="str">
        <f t="shared" si="79"/>
        <v xml:space="preserve">                              </v>
      </c>
      <c r="AP537" t="str">
        <f t="shared" si="80"/>
        <v/>
      </c>
    </row>
    <row r="538" spans="2:42" x14ac:dyDescent="0.2">
      <c r="B538" s="88"/>
      <c r="C538" s="80"/>
      <c r="D538" s="74"/>
      <c r="AF538" t="str">
        <f t="shared" si="81"/>
        <v>00000000</v>
      </c>
      <c r="AG538" s="81">
        <f t="shared" si="82"/>
        <v>0</v>
      </c>
      <c r="AH538" s="81">
        <f t="shared" si="83"/>
        <v>0</v>
      </c>
      <c r="AI538" t="str">
        <f t="shared" si="84"/>
        <v>0000000000</v>
      </c>
      <c r="AJ538" t="str">
        <f t="shared" si="85"/>
        <v>.00</v>
      </c>
      <c r="AK538" t="str">
        <f t="shared" si="86"/>
        <v>00</v>
      </c>
      <c r="AL538" t="str">
        <f t="shared" si="87"/>
        <v>000000000000</v>
      </c>
      <c r="AM538" t="str">
        <f t="shared" si="79"/>
        <v xml:space="preserve">                              </v>
      </c>
      <c r="AP538" t="str">
        <f t="shared" si="80"/>
        <v/>
      </c>
    </row>
    <row r="539" spans="2:42" x14ac:dyDescent="0.2">
      <c r="B539" s="88"/>
      <c r="C539" s="80"/>
      <c r="D539" s="74"/>
      <c r="AF539" t="str">
        <f t="shared" si="81"/>
        <v>00000000</v>
      </c>
      <c r="AG539" s="81">
        <f t="shared" si="82"/>
        <v>0</v>
      </c>
      <c r="AH539" s="81">
        <f t="shared" si="83"/>
        <v>0</v>
      </c>
      <c r="AI539" t="str">
        <f t="shared" si="84"/>
        <v>0000000000</v>
      </c>
      <c r="AJ539" t="str">
        <f t="shared" si="85"/>
        <v>.00</v>
      </c>
      <c r="AK539" t="str">
        <f t="shared" si="86"/>
        <v>00</v>
      </c>
      <c r="AL539" t="str">
        <f t="shared" si="87"/>
        <v>000000000000</v>
      </c>
      <c r="AM539" t="str">
        <f t="shared" si="79"/>
        <v xml:space="preserve">                              </v>
      </c>
      <c r="AP539" t="str">
        <f t="shared" si="80"/>
        <v/>
      </c>
    </row>
    <row r="540" spans="2:42" x14ac:dyDescent="0.2">
      <c r="B540" s="88"/>
      <c r="C540" s="80"/>
      <c r="D540" s="74"/>
      <c r="AF540" t="str">
        <f t="shared" si="81"/>
        <v>00000000</v>
      </c>
      <c r="AG540" s="81">
        <f t="shared" si="82"/>
        <v>0</v>
      </c>
      <c r="AH540" s="81">
        <f t="shared" si="83"/>
        <v>0</v>
      </c>
      <c r="AI540" t="str">
        <f t="shared" si="84"/>
        <v>0000000000</v>
      </c>
      <c r="AJ540" t="str">
        <f t="shared" si="85"/>
        <v>.00</v>
      </c>
      <c r="AK540" t="str">
        <f t="shared" si="86"/>
        <v>00</v>
      </c>
      <c r="AL540" t="str">
        <f t="shared" si="87"/>
        <v>000000000000</v>
      </c>
      <c r="AM540" t="str">
        <f t="shared" si="79"/>
        <v xml:space="preserve">                              </v>
      </c>
      <c r="AP540" t="str">
        <f t="shared" si="80"/>
        <v/>
      </c>
    </row>
    <row r="541" spans="2:42" x14ac:dyDescent="0.2">
      <c r="B541" s="88"/>
      <c r="C541" s="80"/>
      <c r="D541" s="74"/>
      <c r="AF541" t="str">
        <f t="shared" si="81"/>
        <v>00000000</v>
      </c>
      <c r="AG541" s="81">
        <f t="shared" si="82"/>
        <v>0</v>
      </c>
      <c r="AH541" s="81">
        <f t="shared" si="83"/>
        <v>0</v>
      </c>
      <c r="AI541" t="str">
        <f t="shared" si="84"/>
        <v>0000000000</v>
      </c>
      <c r="AJ541" t="str">
        <f t="shared" si="85"/>
        <v>.00</v>
      </c>
      <c r="AK541" t="str">
        <f t="shared" si="86"/>
        <v>00</v>
      </c>
      <c r="AL541" t="str">
        <f t="shared" si="87"/>
        <v>000000000000</v>
      </c>
      <c r="AM541" t="str">
        <f t="shared" si="79"/>
        <v xml:space="preserve">                              </v>
      </c>
      <c r="AP541" t="str">
        <f t="shared" si="80"/>
        <v/>
      </c>
    </row>
    <row r="542" spans="2:42" x14ac:dyDescent="0.2">
      <c r="B542" s="88"/>
      <c r="C542" s="80"/>
      <c r="D542" s="74"/>
      <c r="AF542" t="str">
        <f t="shared" si="81"/>
        <v>00000000</v>
      </c>
      <c r="AG542" s="81">
        <f t="shared" si="82"/>
        <v>0</v>
      </c>
      <c r="AH542" s="81">
        <f t="shared" si="83"/>
        <v>0</v>
      </c>
      <c r="AI542" t="str">
        <f t="shared" si="84"/>
        <v>0000000000</v>
      </c>
      <c r="AJ542" t="str">
        <f t="shared" si="85"/>
        <v>.00</v>
      </c>
      <c r="AK542" t="str">
        <f t="shared" si="86"/>
        <v>00</v>
      </c>
      <c r="AL542" t="str">
        <f t="shared" si="87"/>
        <v>000000000000</v>
      </c>
      <c r="AM542" t="str">
        <f t="shared" si="79"/>
        <v xml:space="preserve">                              </v>
      </c>
      <c r="AP542" t="str">
        <f t="shared" si="80"/>
        <v/>
      </c>
    </row>
    <row r="543" spans="2:42" x14ac:dyDescent="0.2">
      <c r="B543" s="88"/>
      <c r="C543" s="80"/>
      <c r="D543" s="74"/>
      <c r="AF543" t="str">
        <f t="shared" si="81"/>
        <v>00000000</v>
      </c>
      <c r="AG543" s="81">
        <f t="shared" si="82"/>
        <v>0</v>
      </c>
      <c r="AH543" s="81">
        <f t="shared" si="83"/>
        <v>0</v>
      </c>
      <c r="AI543" t="str">
        <f t="shared" si="84"/>
        <v>0000000000</v>
      </c>
      <c r="AJ543" t="str">
        <f t="shared" si="85"/>
        <v>.00</v>
      </c>
      <c r="AK543" t="str">
        <f t="shared" si="86"/>
        <v>00</v>
      </c>
      <c r="AL543" t="str">
        <f t="shared" si="87"/>
        <v>000000000000</v>
      </c>
      <c r="AM543" t="str">
        <f t="shared" si="79"/>
        <v xml:space="preserve">                              </v>
      </c>
      <c r="AP543" t="str">
        <f t="shared" si="80"/>
        <v/>
      </c>
    </row>
    <row r="544" spans="2:42" x14ac:dyDescent="0.2">
      <c r="B544" s="88"/>
      <c r="C544" s="80"/>
      <c r="D544" s="74"/>
      <c r="AF544" t="str">
        <f t="shared" si="81"/>
        <v>00000000</v>
      </c>
      <c r="AG544" s="81">
        <f t="shared" si="82"/>
        <v>0</v>
      </c>
      <c r="AH544" s="81">
        <f t="shared" si="83"/>
        <v>0</v>
      </c>
      <c r="AI544" t="str">
        <f t="shared" si="84"/>
        <v>0000000000</v>
      </c>
      <c r="AJ544" t="str">
        <f t="shared" si="85"/>
        <v>.00</v>
      </c>
      <c r="AK544" t="str">
        <f t="shared" si="86"/>
        <v>00</v>
      </c>
      <c r="AL544" t="str">
        <f t="shared" si="87"/>
        <v>000000000000</v>
      </c>
      <c r="AM544" t="str">
        <f t="shared" si="79"/>
        <v xml:space="preserve">                              </v>
      </c>
      <c r="AP544" t="str">
        <f t="shared" si="80"/>
        <v/>
      </c>
    </row>
    <row r="545" spans="2:42" x14ac:dyDescent="0.2">
      <c r="B545" s="88"/>
      <c r="C545" s="80"/>
      <c r="D545" s="74"/>
      <c r="AF545" t="str">
        <f t="shared" si="81"/>
        <v>00000000</v>
      </c>
      <c r="AG545" s="81">
        <f t="shared" si="82"/>
        <v>0</v>
      </c>
      <c r="AH545" s="81">
        <f t="shared" si="83"/>
        <v>0</v>
      </c>
      <c r="AI545" t="str">
        <f t="shared" si="84"/>
        <v>0000000000</v>
      </c>
      <c r="AJ545" t="str">
        <f t="shared" si="85"/>
        <v>.00</v>
      </c>
      <c r="AK545" t="str">
        <f t="shared" si="86"/>
        <v>00</v>
      </c>
      <c r="AL545" t="str">
        <f t="shared" si="87"/>
        <v>000000000000</v>
      </c>
      <c r="AM545" t="str">
        <f t="shared" si="79"/>
        <v xml:space="preserve">                              </v>
      </c>
      <c r="AP545" t="str">
        <f t="shared" si="80"/>
        <v/>
      </c>
    </row>
    <row r="546" spans="2:42" x14ac:dyDescent="0.2">
      <c r="B546" s="88"/>
      <c r="C546" s="80"/>
      <c r="D546" s="74"/>
      <c r="AF546" t="str">
        <f t="shared" si="81"/>
        <v>00000000</v>
      </c>
      <c r="AG546" s="81">
        <f t="shared" si="82"/>
        <v>0</v>
      </c>
      <c r="AH546" s="81">
        <f t="shared" si="83"/>
        <v>0</v>
      </c>
      <c r="AI546" t="str">
        <f t="shared" si="84"/>
        <v>0000000000</v>
      </c>
      <c r="AJ546" t="str">
        <f t="shared" si="85"/>
        <v>.00</v>
      </c>
      <c r="AK546" t="str">
        <f t="shared" si="86"/>
        <v>00</v>
      </c>
      <c r="AL546" t="str">
        <f t="shared" si="87"/>
        <v>000000000000</v>
      </c>
      <c r="AM546" t="str">
        <f t="shared" si="79"/>
        <v xml:space="preserve">                              </v>
      </c>
      <c r="AP546" t="str">
        <f t="shared" si="80"/>
        <v/>
      </c>
    </row>
    <row r="547" spans="2:42" x14ac:dyDescent="0.2">
      <c r="B547" s="88"/>
      <c r="C547" s="80"/>
      <c r="D547" s="74"/>
      <c r="AF547" t="str">
        <f t="shared" si="81"/>
        <v>00000000</v>
      </c>
      <c r="AG547" s="81">
        <f t="shared" si="82"/>
        <v>0</v>
      </c>
      <c r="AH547" s="81">
        <f t="shared" si="83"/>
        <v>0</v>
      </c>
      <c r="AI547" t="str">
        <f t="shared" si="84"/>
        <v>0000000000</v>
      </c>
      <c r="AJ547" t="str">
        <f t="shared" si="85"/>
        <v>.00</v>
      </c>
      <c r="AK547" t="str">
        <f t="shared" si="86"/>
        <v>00</v>
      </c>
      <c r="AL547" t="str">
        <f t="shared" si="87"/>
        <v>000000000000</v>
      </c>
      <c r="AM547" t="str">
        <f t="shared" si="79"/>
        <v xml:space="preserve">                              </v>
      </c>
      <c r="AP547" t="str">
        <f t="shared" si="80"/>
        <v/>
      </c>
    </row>
    <row r="548" spans="2:42" x14ac:dyDescent="0.2">
      <c r="B548" s="88"/>
      <c r="C548" s="80"/>
      <c r="D548" s="74"/>
      <c r="AF548" t="str">
        <f t="shared" si="81"/>
        <v>00000000</v>
      </c>
      <c r="AG548" s="81">
        <f t="shared" si="82"/>
        <v>0</v>
      </c>
      <c r="AH548" s="81">
        <f t="shared" si="83"/>
        <v>0</v>
      </c>
      <c r="AI548" t="str">
        <f t="shared" si="84"/>
        <v>0000000000</v>
      </c>
      <c r="AJ548" t="str">
        <f t="shared" si="85"/>
        <v>.00</v>
      </c>
      <c r="AK548" t="str">
        <f t="shared" si="86"/>
        <v>00</v>
      </c>
      <c r="AL548" t="str">
        <f t="shared" si="87"/>
        <v>000000000000</v>
      </c>
      <c r="AM548" t="str">
        <f t="shared" si="79"/>
        <v xml:space="preserve">                              </v>
      </c>
      <c r="AP548" t="str">
        <f t="shared" si="80"/>
        <v/>
      </c>
    </row>
    <row r="549" spans="2:42" x14ac:dyDescent="0.2">
      <c r="B549" s="88"/>
      <c r="C549" s="80"/>
      <c r="D549" s="74"/>
      <c r="AF549" t="str">
        <f t="shared" si="81"/>
        <v>00000000</v>
      </c>
      <c r="AG549" s="81">
        <f t="shared" si="82"/>
        <v>0</v>
      </c>
      <c r="AH549" s="81">
        <f t="shared" si="83"/>
        <v>0</v>
      </c>
      <c r="AI549" t="str">
        <f t="shared" si="84"/>
        <v>0000000000</v>
      </c>
      <c r="AJ549" t="str">
        <f t="shared" si="85"/>
        <v>.00</v>
      </c>
      <c r="AK549" t="str">
        <f t="shared" si="86"/>
        <v>00</v>
      </c>
      <c r="AL549" t="str">
        <f t="shared" si="87"/>
        <v>000000000000</v>
      </c>
      <c r="AM549" t="str">
        <f t="shared" si="79"/>
        <v xml:space="preserve">                              </v>
      </c>
      <c r="AP549" t="str">
        <f t="shared" si="80"/>
        <v/>
      </c>
    </row>
    <row r="550" spans="2:42" x14ac:dyDescent="0.2">
      <c r="B550" s="88"/>
      <c r="C550" s="80"/>
      <c r="D550" s="74"/>
      <c r="AF550" t="str">
        <f t="shared" si="81"/>
        <v>00000000</v>
      </c>
      <c r="AG550" s="81">
        <f t="shared" si="82"/>
        <v>0</v>
      </c>
      <c r="AH550" s="81">
        <f t="shared" si="83"/>
        <v>0</v>
      </c>
      <c r="AI550" t="str">
        <f t="shared" si="84"/>
        <v>0000000000</v>
      </c>
      <c r="AJ550" t="str">
        <f t="shared" si="85"/>
        <v>.00</v>
      </c>
      <c r="AK550" t="str">
        <f t="shared" si="86"/>
        <v>00</v>
      </c>
      <c r="AL550" t="str">
        <f t="shared" si="87"/>
        <v>000000000000</v>
      </c>
      <c r="AM550" t="str">
        <f t="shared" si="79"/>
        <v xml:space="preserve">                              </v>
      </c>
      <c r="AP550" t="str">
        <f t="shared" si="80"/>
        <v/>
      </c>
    </row>
    <row r="551" spans="2:42" x14ac:dyDescent="0.2">
      <c r="B551" s="88"/>
      <c r="C551" s="80"/>
      <c r="D551" s="74"/>
      <c r="AF551" t="str">
        <f t="shared" si="81"/>
        <v>00000000</v>
      </c>
      <c r="AG551" s="81">
        <f t="shared" si="82"/>
        <v>0</v>
      </c>
      <c r="AH551" s="81">
        <f t="shared" si="83"/>
        <v>0</v>
      </c>
      <c r="AI551" t="str">
        <f t="shared" si="84"/>
        <v>0000000000</v>
      </c>
      <c r="AJ551" t="str">
        <f t="shared" si="85"/>
        <v>.00</v>
      </c>
      <c r="AK551" t="str">
        <f t="shared" si="86"/>
        <v>00</v>
      </c>
      <c r="AL551" t="str">
        <f t="shared" si="87"/>
        <v>000000000000</v>
      </c>
      <c r="AM551" t="str">
        <f t="shared" si="79"/>
        <v xml:space="preserve">                              </v>
      </c>
      <c r="AP551" t="str">
        <f t="shared" si="80"/>
        <v/>
      </c>
    </row>
    <row r="552" spans="2:42" x14ac:dyDescent="0.2">
      <c r="B552" s="88"/>
      <c r="C552" s="80"/>
      <c r="D552" s="74"/>
      <c r="AF552" t="str">
        <f t="shared" si="81"/>
        <v>00000000</v>
      </c>
      <c r="AG552" s="81">
        <f t="shared" si="82"/>
        <v>0</v>
      </c>
      <c r="AH552" s="81">
        <f t="shared" si="83"/>
        <v>0</v>
      </c>
      <c r="AI552" t="str">
        <f t="shared" si="84"/>
        <v>0000000000</v>
      </c>
      <c r="AJ552" t="str">
        <f t="shared" si="85"/>
        <v>.00</v>
      </c>
      <c r="AK552" t="str">
        <f t="shared" si="86"/>
        <v>00</v>
      </c>
      <c r="AL552" t="str">
        <f t="shared" si="87"/>
        <v>000000000000</v>
      </c>
      <c r="AM552" t="str">
        <f t="shared" si="79"/>
        <v xml:space="preserve">                              </v>
      </c>
      <c r="AP552" t="str">
        <f t="shared" si="80"/>
        <v/>
      </c>
    </row>
    <row r="553" spans="2:42" x14ac:dyDescent="0.2">
      <c r="B553" s="88"/>
      <c r="C553" s="80"/>
      <c r="D553" s="74"/>
      <c r="AF553" t="str">
        <f t="shared" si="81"/>
        <v>00000000</v>
      </c>
      <c r="AG553" s="81">
        <f t="shared" si="82"/>
        <v>0</v>
      </c>
      <c r="AH553" s="81">
        <f t="shared" si="83"/>
        <v>0</v>
      </c>
      <c r="AI553" t="str">
        <f t="shared" si="84"/>
        <v>0000000000</v>
      </c>
      <c r="AJ553" t="str">
        <f t="shared" si="85"/>
        <v>.00</v>
      </c>
      <c r="AK553" t="str">
        <f t="shared" si="86"/>
        <v>00</v>
      </c>
      <c r="AL553" t="str">
        <f t="shared" si="87"/>
        <v>000000000000</v>
      </c>
      <c r="AM553" t="str">
        <f t="shared" si="79"/>
        <v xml:space="preserve">                              </v>
      </c>
      <c r="AP553" t="str">
        <f t="shared" si="80"/>
        <v/>
      </c>
    </row>
    <row r="554" spans="2:42" x14ac:dyDescent="0.2">
      <c r="B554" s="88"/>
      <c r="C554" s="80"/>
      <c r="D554" s="74"/>
      <c r="AF554" t="str">
        <f t="shared" si="81"/>
        <v>00000000</v>
      </c>
      <c r="AG554" s="81">
        <f t="shared" si="82"/>
        <v>0</v>
      </c>
      <c r="AH554" s="81">
        <f t="shared" si="83"/>
        <v>0</v>
      </c>
      <c r="AI554" t="str">
        <f t="shared" si="84"/>
        <v>0000000000</v>
      </c>
      <c r="AJ554" t="str">
        <f t="shared" si="85"/>
        <v>.00</v>
      </c>
      <c r="AK554" t="str">
        <f t="shared" si="86"/>
        <v>00</v>
      </c>
      <c r="AL554" t="str">
        <f t="shared" si="87"/>
        <v>000000000000</v>
      </c>
      <c r="AM554" t="str">
        <f t="shared" si="79"/>
        <v xml:space="preserve">                              </v>
      </c>
      <c r="AP554" t="str">
        <f t="shared" si="80"/>
        <v/>
      </c>
    </row>
    <row r="555" spans="2:42" x14ac:dyDescent="0.2">
      <c r="B555" s="88"/>
      <c r="C555" s="80"/>
      <c r="D555" s="74"/>
      <c r="AF555" t="str">
        <f t="shared" si="81"/>
        <v>00000000</v>
      </c>
      <c r="AG555" s="81">
        <f t="shared" si="82"/>
        <v>0</v>
      </c>
      <c r="AH555" s="81">
        <f t="shared" si="83"/>
        <v>0</v>
      </c>
      <c r="AI555" t="str">
        <f t="shared" si="84"/>
        <v>0000000000</v>
      </c>
      <c r="AJ555" t="str">
        <f t="shared" si="85"/>
        <v>.00</v>
      </c>
      <c r="AK555" t="str">
        <f t="shared" si="86"/>
        <v>00</v>
      </c>
      <c r="AL555" t="str">
        <f t="shared" si="87"/>
        <v>000000000000</v>
      </c>
      <c r="AM555" t="str">
        <f t="shared" si="79"/>
        <v xml:space="preserve">                              </v>
      </c>
      <c r="AP555" t="str">
        <f t="shared" si="80"/>
        <v/>
      </c>
    </row>
    <row r="556" spans="2:42" x14ac:dyDescent="0.2">
      <c r="B556" s="88"/>
      <c r="C556" s="80"/>
      <c r="D556" s="74"/>
      <c r="AF556" t="str">
        <f t="shared" si="81"/>
        <v>00000000</v>
      </c>
      <c r="AG556" s="81">
        <f t="shared" si="82"/>
        <v>0</v>
      </c>
      <c r="AH556" s="81">
        <f t="shared" si="83"/>
        <v>0</v>
      </c>
      <c r="AI556" t="str">
        <f t="shared" si="84"/>
        <v>0000000000</v>
      </c>
      <c r="AJ556" t="str">
        <f t="shared" si="85"/>
        <v>.00</v>
      </c>
      <c r="AK556" t="str">
        <f t="shared" si="86"/>
        <v>00</v>
      </c>
      <c r="AL556" t="str">
        <f t="shared" si="87"/>
        <v>000000000000</v>
      </c>
      <c r="AM556" t="str">
        <f t="shared" si="79"/>
        <v xml:space="preserve">                              </v>
      </c>
      <c r="AP556" t="str">
        <f t="shared" si="80"/>
        <v/>
      </c>
    </row>
    <row r="557" spans="2:42" x14ac:dyDescent="0.2">
      <c r="B557" s="88"/>
      <c r="C557" s="80"/>
      <c r="D557" s="74"/>
      <c r="AF557" t="str">
        <f t="shared" si="81"/>
        <v>00000000</v>
      </c>
      <c r="AG557" s="81">
        <f t="shared" si="82"/>
        <v>0</v>
      </c>
      <c r="AH557" s="81">
        <f t="shared" si="83"/>
        <v>0</v>
      </c>
      <c r="AI557" t="str">
        <f t="shared" si="84"/>
        <v>0000000000</v>
      </c>
      <c r="AJ557" t="str">
        <f t="shared" si="85"/>
        <v>.00</v>
      </c>
      <c r="AK557" t="str">
        <f t="shared" si="86"/>
        <v>00</v>
      </c>
      <c r="AL557" t="str">
        <f t="shared" si="87"/>
        <v>000000000000</v>
      </c>
      <c r="AM557" t="str">
        <f t="shared" si="79"/>
        <v xml:space="preserve">                              </v>
      </c>
      <c r="AP557" t="str">
        <f t="shared" si="80"/>
        <v/>
      </c>
    </row>
    <row r="558" spans="2:42" x14ac:dyDescent="0.2">
      <c r="B558" s="88"/>
      <c r="C558" s="80"/>
      <c r="D558" s="74"/>
      <c r="AF558" t="str">
        <f t="shared" si="81"/>
        <v>00000000</v>
      </c>
      <c r="AG558" s="81">
        <f t="shared" si="82"/>
        <v>0</v>
      </c>
      <c r="AH558" s="81">
        <f t="shared" si="83"/>
        <v>0</v>
      </c>
      <c r="AI558" t="str">
        <f t="shared" si="84"/>
        <v>0000000000</v>
      </c>
      <c r="AJ558" t="str">
        <f t="shared" si="85"/>
        <v>.00</v>
      </c>
      <c r="AK558" t="str">
        <f t="shared" si="86"/>
        <v>00</v>
      </c>
      <c r="AL558" t="str">
        <f t="shared" si="87"/>
        <v>000000000000</v>
      </c>
      <c r="AM558" t="str">
        <f t="shared" si="79"/>
        <v xml:space="preserve">                              </v>
      </c>
      <c r="AP558" t="str">
        <f t="shared" si="80"/>
        <v/>
      </c>
    </row>
    <row r="559" spans="2:42" x14ac:dyDescent="0.2">
      <c r="B559" s="88"/>
      <c r="C559" s="80"/>
      <c r="D559" s="74"/>
      <c r="AF559" t="str">
        <f t="shared" si="81"/>
        <v>00000000</v>
      </c>
      <c r="AG559" s="81">
        <f t="shared" si="82"/>
        <v>0</v>
      </c>
      <c r="AH559" s="81">
        <f t="shared" si="83"/>
        <v>0</v>
      </c>
      <c r="AI559" t="str">
        <f t="shared" si="84"/>
        <v>0000000000</v>
      </c>
      <c r="AJ559" t="str">
        <f t="shared" si="85"/>
        <v>.00</v>
      </c>
      <c r="AK559" t="str">
        <f t="shared" si="86"/>
        <v>00</v>
      </c>
      <c r="AL559" t="str">
        <f t="shared" si="87"/>
        <v>000000000000</v>
      </c>
      <c r="AM559" t="str">
        <f t="shared" si="79"/>
        <v xml:space="preserve">                              </v>
      </c>
      <c r="AP559" t="str">
        <f t="shared" si="80"/>
        <v/>
      </c>
    </row>
    <row r="560" spans="2:42" x14ac:dyDescent="0.2">
      <c r="B560" s="88"/>
      <c r="C560" s="80"/>
      <c r="D560" s="74"/>
      <c r="AF560" t="str">
        <f t="shared" si="81"/>
        <v>00000000</v>
      </c>
      <c r="AG560" s="81">
        <f t="shared" si="82"/>
        <v>0</v>
      </c>
      <c r="AH560" s="81">
        <f t="shared" si="83"/>
        <v>0</v>
      </c>
      <c r="AI560" t="str">
        <f t="shared" si="84"/>
        <v>0000000000</v>
      </c>
      <c r="AJ560" t="str">
        <f t="shared" si="85"/>
        <v>.00</v>
      </c>
      <c r="AK560" t="str">
        <f t="shared" si="86"/>
        <v>00</v>
      </c>
      <c r="AL560" t="str">
        <f t="shared" si="87"/>
        <v>000000000000</v>
      </c>
      <c r="AM560" t="str">
        <f t="shared" si="79"/>
        <v xml:space="preserve">                              </v>
      </c>
      <c r="AP560" t="str">
        <f t="shared" si="80"/>
        <v/>
      </c>
    </row>
    <row r="561" spans="2:42" x14ac:dyDescent="0.2">
      <c r="B561" s="88"/>
      <c r="C561" s="80"/>
      <c r="D561" s="74"/>
      <c r="AF561" t="str">
        <f t="shared" si="81"/>
        <v>00000000</v>
      </c>
      <c r="AG561" s="81">
        <f t="shared" si="82"/>
        <v>0</v>
      </c>
      <c r="AH561" s="81">
        <f t="shared" si="83"/>
        <v>0</v>
      </c>
      <c r="AI561" t="str">
        <f t="shared" si="84"/>
        <v>0000000000</v>
      </c>
      <c r="AJ561" t="str">
        <f t="shared" si="85"/>
        <v>.00</v>
      </c>
      <c r="AK561" t="str">
        <f t="shared" si="86"/>
        <v>00</v>
      </c>
      <c r="AL561" t="str">
        <f t="shared" si="87"/>
        <v>000000000000</v>
      </c>
      <c r="AM561" t="str">
        <f t="shared" si="79"/>
        <v xml:space="preserve">                              </v>
      </c>
      <c r="AP561" t="str">
        <f t="shared" si="80"/>
        <v/>
      </c>
    </row>
    <row r="562" spans="2:42" x14ac:dyDescent="0.2">
      <c r="B562" s="88"/>
      <c r="C562" s="80"/>
      <c r="D562" s="74"/>
      <c r="AF562" t="str">
        <f t="shared" si="81"/>
        <v>00000000</v>
      </c>
      <c r="AG562" s="81">
        <f t="shared" si="82"/>
        <v>0</v>
      </c>
      <c r="AH562" s="81">
        <f t="shared" si="83"/>
        <v>0</v>
      </c>
      <c r="AI562" t="str">
        <f t="shared" si="84"/>
        <v>0000000000</v>
      </c>
      <c r="AJ562" t="str">
        <f t="shared" si="85"/>
        <v>.00</v>
      </c>
      <c r="AK562" t="str">
        <f t="shared" si="86"/>
        <v>00</v>
      </c>
      <c r="AL562" t="str">
        <f t="shared" si="87"/>
        <v>000000000000</v>
      </c>
      <c r="AM562" t="str">
        <f t="shared" si="79"/>
        <v xml:space="preserve">                              </v>
      </c>
      <c r="AP562" t="str">
        <f t="shared" si="80"/>
        <v/>
      </c>
    </row>
    <row r="563" spans="2:42" x14ac:dyDescent="0.2">
      <c r="B563" s="88"/>
      <c r="C563" s="80"/>
      <c r="D563" s="74"/>
      <c r="AF563" t="str">
        <f t="shared" si="81"/>
        <v>00000000</v>
      </c>
      <c r="AG563" s="81">
        <f t="shared" si="82"/>
        <v>0</v>
      </c>
      <c r="AH563" s="81">
        <f t="shared" si="83"/>
        <v>0</v>
      </c>
      <c r="AI563" t="str">
        <f t="shared" si="84"/>
        <v>0000000000</v>
      </c>
      <c r="AJ563" t="str">
        <f t="shared" si="85"/>
        <v>.00</v>
      </c>
      <c r="AK563" t="str">
        <f t="shared" si="86"/>
        <v>00</v>
      </c>
      <c r="AL563" t="str">
        <f t="shared" si="87"/>
        <v>000000000000</v>
      </c>
      <c r="AM563" t="str">
        <f t="shared" si="79"/>
        <v xml:space="preserve">                              </v>
      </c>
      <c r="AP563" t="str">
        <f t="shared" si="80"/>
        <v/>
      </c>
    </row>
    <row r="564" spans="2:42" x14ac:dyDescent="0.2">
      <c r="B564" s="88"/>
      <c r="C564" s="80"/>
      <c r="D564" s="74"/>
      <c r="AF564" t="str">
        <f t="shared" si="81"/>
        <v>00000000</v>
      </c>
      <c r="AG564" s="81">
        <f t="shared" si="82"/>
        <v>0</v>
      </c>
      <c r="AH564" s="81">
        <f t="shared" si="83"/>
        <v>0</v>
      </c>
      <c r="AI564" t="str">
        <f t="shared" si="84"/>
        <v>0000000000</v>
      </c>
      <c r="AJ564" t="str">
        <f t="shared" si="85"/>
        <v>.00</v>
      </c>
      <c r="AK564" t="str">
        <f t="shared" si="86"/>
        <v>00</v>
      </c>
      <c r="AL564" t="str">
        <f t="shared" si="87"/>
        <v>000000000000</v>
      </c>
      <c r="AM564" t="str">
        <f t="shared" si="79"/>
        <v xml:space="preserve">                              </v>
      </c>
      <c r="AP564" t="str">
        <f t="shared" si="80"/>
        <v/>
      </c>
    </row>
    <row r="565" spans="2:42" x14ac:dyDescent="0.2">
      <c r="B565" s="88"/>
      <c r="C565" s="80"/>
      <c r="D565" s="74"/>
      <c r="AF565" t="str">
        <f t="shared" si="81"/>
        <v>00000000</v>
      </c>
      <c r="AG565" s="81">
        <f t="shared" si="82"/>
        <v>0</v>
      </c>
      <c r="AH565" s="81">
        <f t="shared" si="83"/>
        <v>0</v>
      </c>
      <c r="AI565" t="str">
        <f t="shared" si="84"/>
        <v>0000000000</v>
      </c>
      <c r="AJ565" t="str">
        <f t="shared" si="85"/>
        <v>.00</v>
      </c>
      <c r="AK565" t="str">
        <f t="shared" si="86"/>
        <v>00</v>
      </c>
      <c r="AL565" t="str">
        <f t="shared" si="87"/>
        <v>000000000000</v>
      </c>
      <c r="AM565" t="str">
        <f t="shared" si="79"/>
        <v xml:space="preserve">                              </v>
      </c>
      <c r="AP565" t="str">
        <f t="shared" si="80"/>
        <v/>
      </c>
    </row>
    <row r="566" spans="2:42" x14ac:dyDescent="0.2">
      <c r="B566" s="88"/>
      <c r="C566" s="80"/>
      <c r="D566" s="74"/>
      <c r="AF566" t="str">
        <f t="shared" si="81"/>
        <v>00000000</v>
      </c>
      <c r="AG566" s="81">
        <f t="shared" si="82"/>
        <v>0</v>
      </c>
      <c r="AH566" s="81">
        <f t="shared" si="83"/>
        <v>0</v>
      </c>
      <c r="AI566" t="str">
        <f t="shared" si="84"/>
        <v>0000000000</v>
      </c>
      <c r="AJ566" t="str">
        <f t="shared" si="85"/>
        <v>.00</v>
      </c>
      <c r="AK566" t="str">
        <f t="shared" si="86"/>
        <v>00</v>
      </c>
      <c r="AL566" t="str">
        <f t="shared" si="87"/>
        <v>000000000000</v>
      </c>
      <c r="AM566" t="str">
        <f t="shared" si="79"/>
        <v xml:space="preserve">                              </v>
      </c>
      <c r="AP566" t="str">
        <f t="shared" si="80"/>
        <v/>
      </c>
    </row>
    <row r="567" spans="2:42" x14ac:dyDescent="0.2">
      <c r="B567" s="88"/>
      <c r="C567" s="80"/>
      <c r="D567" s="74"/>
      <c r="AF567" t="str">
        <f t="shared" si="81"/>
        <v>00000000</v>
      </c>
      <c r="AG567" s="81">
        <f t="shared" si="82"/>
        <v>0</v>
      </c>
      <c r="AH567" s="81">
        <f t="shared" si="83"/>
        <v>0</v>
      </c>
      <c r="AI567" t="str">
        <f t="shared" si="84"/>
        <v>0000000000</v>
      </c>
      <c r="AJ567" t="str">
        <f t="shared" si="85"/>
        <v>.00</v>
      </c>
      <c r="AK567" t="str">
        <f t="shared" si="86"/>
        <v>00</v>
      </c>
      <c r="AL567" t="str">
        <f t="shared" si="87"/>
        <v>000000000000</v>
      </c>
      <c r="AM567" t="str">
        <f t="shared" si="79"/>
        <v xml:space="preserve">                              </v>
      </c>
      <c r="AP567" t="str">
        <f t="shared" si="80"/>
        <v/>
      </c>
    </row>
    <row r="568" spans="2:42" x14ac:dyDescent="0.2">
      <c r="B568" s="88"/>
      <c r="C568" s="80"/>
      <c r="D568" s="74"/>
      <c r="AF568" t="str">
        <f t="shared" si="81"/>
        <v>00000000</v>
      </c>
      <c r="AG568" s="81">
        <f t="shared" si="82"/>
        <v>0</v>
      </c>
      <c r="AH568" s="81">
        <f t="shared" si="83"/>
        <v>0</v>
      </c>
      <c r="AI568" t="str">
        <f t="shared" si="84"/>
        <v>0000000000</v>
      </c>
      <c r="AJ568" t="str">
        <f t="shared" si="85"/>
        <v>.00</v>
      </c>
      <c r="AK568" t="str">
        <f t="shared" si="86"/>
        <v>00</v>
      </c>
      <c r="AL568" t="str">
        <f t="shared" si="87"/>
        <v>000000000000</v>
      </c>
      <c r="AM568" t="str">
        <f t="shared" si="79"/>
        <v xml:space="preserve">                              </v>
      </c>
      <c r="AP568" t="str">
        <f t="shared" si="80"/>
        <v/>
      </c>
    </row>
    <row r="569" spans="2:42" x14ac:dyDescent="0.2">
      <c r="B569" s="88"/>
      <c r="C569" s="80"/>
      <c r="D569" s="74"/>
      <c r="AF569" t="str">
        <f t="shared" si="81"/>
        <v>00000000</v>
      </c>
      <c r="AG569" s="81">
        <f t="shared" si="82"/>
        <v>0</v>
      </c>
      <c r="AH569" s="81">
        <f t="shared" si="83"/>
        <v>0</v>
      </c>
      <c r="AI569" t="str">
        <f t="shared" si="84"/>
        <v>0000000000</v>
      </c>
      <c r="AJ569" t="str">
        <f t="shared" si="85"/>
        <v>.00</v>
      </c>
      <c r="AK569" t="str">
        <f t="shared" si="86"/>
        <v>00</v>
      </c>
      <c r="AL569" t="str">
        <f t="shared" si="87"/>
        <v>000000000000</v>
      </c>
      <c r="AM569" t="str">
        <f t="shared" si="79"/>
        <v xml:space="preserve">                              </v>
      </c>
      <c r="AP569" t="str">
        <f t="shared" si="80"/>
        <v/>
      </c>
    </row>
    <row r="570" spans="2:42" x14ac:dyDescent="0.2">
      <c r="B570" s="88"/>
      <c r="C570" s="80"/>
      <c r="D570" s="74"/>
      <c r="AF570" t="str">
        <f t="shared" si="81"/>
        <v>00000000</v>
      </c>
      <c r="AG570" s="81">
        <f t="shared" si="82"/>
        <v>0</v>
      </c>
      <c r="AH570" s="81">
        <f t="shared" si="83"/>
        <v>0</v>
      </c>
      <c r="AI570" t="str">
        <f t="shared" si="84"/>
        <v>0000000000</v>
      </c>
      <c r="AJ570" t="str">
        <f t="shared" si="85"/>
        <v>.00</v>
      </c>
      <c r="AK570" t="str">
        <f t="shared" si="86"/>
        <v>00</v>
      </c>
      <c r="AL570" t="str">
        <f t="shared" si="87"/>
        <v>000000000000</v>
      </c>
      <c r="AM570" t="str">
        <f t="shared" si="79"/>
        <v xml:space="preserve">                              </v>
      </c>
      <c r="AP570" t="str">
        <f t="shared" si="80"/>
        <v/>
      </c>
    </row>
    <row r="571" spans="2:42" x14ac:dyDescent="0.2">
      <c r="B571" s="88"/>
      <c r="C571" s="80"/>
      <c r="D571" s="74"/>
      <c r="AF571" t="str">
        <f t="shared" si="81"/>
        <v>00000000</v>
      </c>
      <c r="AG571" s="81">
        <f t="shared" si="82"/>
        <v>0</v>
      </c>
      <c r="AH571" s="81">
        <f t="shared" si="83"/>
        <v>0</v>
      </c>
      <c r="AI571" t="str">
        <f t="shared" si="84"/>
        <v>0000000000</v>
      </c>
      <c r="AJ571" t="str">
        <f t="shared" si="85"/>
        <v>.00</v>
      </c>
      <c r="AK571" t="str">
        <f t="shared" si="86"/>
        <v>00</v>
      </c>
      <c r="AL571" t="str">
        <f t="shared" si="87"/>
        <v>000000000000</v>
      </c>
      <c r="AM571" t="str">
        <f t="shared" si="79"/>
        <v xml:space="preserve">                              </v>
      </c>
      <c r="AP571" t="str">
        <f t="shared" si="80"/>
        <v/>
      </c>
    </row>
    <row r="572" spans="2:42" x14ac:dyDescent="0.2">
      <c r="B572" s="88"/>
      <c r="C572" s="80"/>
      <c r="D572" s="74"/>
      <c r="AF572" t="str">
        <f t="shared" si="81"/>
        <v>00000000</v>
      </c>
      <c r="AG572" s="81">
        <f t="shared" si="82"/>
        <v>0</v>
      </c>
      <c r="AH572" s="81">
        <f t="shared" si="83"/>
        <v>0</v>
      </c>
      <c r="AI572" t="str">
        <f t="shared" si="84"/>
        <v>0000000000</v>
      </c>
      <c r="AJ572" t="str">
        <f t="shared" si="85"/>
        <v>.00</v>
      </c>
      <c r="AK572" t="str">
        <f t="shared" si="86"/>
        <v>00</v>
      </c>
      <c r="AL572" t="str">
        <f t="shared" si="87"/>
        <v>000000000000</v>
      </c>
      <c r="AM572" t="str">
        <f t="shared" si="79"/>
        <v xml:space="preserve">                              </v>
      </c>
      <c r="AP572" t="str">
        <f t="shared" si="80"/>
        <v/>
      </c>
    </row>
    <row r="573" spans="2:42" x14ac:dyDescent="0.2">
      <c r="B573" s="88"/>
      <c r="C573" s="80"/>
      <c r="D573" s="74"/>
      <c r="AF573" t="str">
        <f t="shared" si="81"/>
        <v>00000000</v>
      </c>
      <c r="AG573" s="81">
        <f t="shared" si="82"/>
        <v>0</v>
      </c>
      <c r="AH573" s="81">
        <f t="shared" si="83"/>
        <v>0</v>
      </c>
      <c r="AI573" t="str">
        <f t="shared" si="84"/>
        <v>0000000000</v>
      </c>
      <c r="AJ573" t="str">
        <f t="shared" si="85"/>
        <v>.00</v>
      </c>
      <c r="AK573" t="str">
        <f t="shared" si="86"/>
        <v>00</v>
      </c>
      <c r="AL573" t="str">
        <f t="shared" si="87"/>
        <v>000000000000</v>
      </c>
      <c r="AM573" t="str">
        <f t="shared" si="79"/>
        <v xml:space="preserve">                              </v>
      </c>
      <c r="AP573" t="str">
        <f t="shared" si="80"/>
        <v/>
      </c>
    </row>
    <row r="574" spans="2:42" x14ac:dyDescent="0.2">
      <c r="B574" s="88"/>
      <c r="C574" s="80"/>
      <c r="D574" s="74"/>
      <c r="AF574" t="str">
        <f t="shared" si="81"/>
        <v>00000000</v>
      </c>
      <c r="AG574" s="81">
        <f t="shared" si="82"/>
        <v>0</v>
      </c>
      <c r="AH574" s="81">
        <f t="shared" si="83"/>
        <v>0</v>
      </c>
      <c r="AI574" t="str">
        <f t="shared" si="84"/>
        <v>0000000000</v>
      </c>
      <c r="AJ574" t="str">
        <f t="shared" si="85"/>
        <v>.00</v>
      </c>
      <c r="AK574" t="str">
        <f t="shared" si="86"/>
        <v>00</v>
      </c>
      <c r="AL574" t="str">
        <f t="shared" si="87"/>
        <v>000000000000</v>
      </c>
      <c r="AM574" t="str">
        <f t="shared" si="79"/>
        <v xml:space="preserve">                              </v>
      </c>
      <c r="AP574" t="str">
        <f t="shared" si="80"/>
        <v/>
      </c>
    </row>
    <row r="575" spans="2:42" x14ac:dyDescent="0.2">
      <c r="B575" s="88"/>
      <c r="C575" s="80"/>
      <c r="D575" s="74"/>
      <c r="AF575" t="str">
        <f t="shared" si="81"/>
        <v>00000000</v>
      </c>
      <c r="AG575" s="81">
        <f t="shared" si="82"/>
        <v>0</v>
      </c>
      <c r="AH575" s="81">
        <f t="shared" si="83"/>
        <v>0</v>
      </c>
      <c r="AI575" t="str">
        <f t="shared" si="84"/>
        <v>0000000000</v>
      </c>
      <c r="AJ575" t="str">
        <f t="shared" si="85"/>
        <v>.00</v>
      </c>
      <c r="AK575" t="str">
        <f t="shared" si="86"/>
        <v>00</v>
      </c>
      <c r="AL575" t="str">
        <f t="shared" si="87"/>
        <v>000000000000</v>
      </c>
      <c r="AM575" t="str">
        <f t="shared" si="79"/>
        <v xml:space="preserve">                              </v>
      </c>
      <c r="AP575" t="str">
        <f t="shared" si="80"/>
        <v/>
      </c>
    </row>
    <row r="576" spans="2:42" x14ac:dyDescent="0.2">
      <c r="B576" s="88"/>
      <c r="C576" s="80"/>
      <c r="D576" s="74"/>
      <c r="AF576" t="str">
        <f t="shared" si="81"/>
        <v>00000000</v>
      </c>
      <c r="AG576" s="81">
        <f t="shared" si="82"/>
        <v>0</v>
      </c>
      <c r="AH576" s="81">
        <f t="shared" si="83"/>
        <v>0</v>
      </c>
      <c r="AI576" t="str">
        <f t="shared" si="84"/>
        <v>0000000000</v>
      </c>
      <c r="AJ576" t="str">
        <f t="shared" si="85"/>
        <v>.00</v>
      </c>
      <c r="AK576" t="str">
        <f t="shared" si="86"/>
        <v>00</v>
      </c>
      <c r="AL576" t="str">
        <f t="shared" si="87"/>
        <v>000000000000</v>
      </c>
      <c r="AM576" t="str">
        <f t="shared" si="79"/>
        <v xml:space="preserve">                              </v>
      </c>
      <c r="AP576" t="str">
        <f t="shared" si="80"/>
        <v/>
      </c>
    </row>
    <row r="577" spans="2:42" x14ac:dyDescent="0.2">
      <c r="B577" s="88"/>
      <c r="C577" s="80"/>
      <c r="D577" s="74"/>
      <c r="AF577" t="str">
        <f t="shared" si="81"/>
        <v>00000000</v>
      </c>
      <c r="AG577" s="81">
        <f t="shared" si="82"/>
        <v>0</v>
      </c>
      <c r="AH577" s="81">
        <f t="shared" si="83"/>
        <v>0</v>
      </c>
      <c r="AI577" t="str">
        <f t="shared" si="84"/>
        <v>0000000000</v>
      </c>
      <c r="AJ577" t="str">
        <f t="shared" si="85"/>
        <v>.00</v>
      </c>
      <c r="AK577" t="str">
        <f t="shared" si="86"/>
        <v>00</v>
      </c>
      <c r="AL577" t="str">
        <f t="shared" si="87"/>
        <v>000000000000</v>
      </c>
      <c r="AM577" t="str">
        <f t="shared" si="79"/>
        <v xml:space="preserve">                              </v>
      </c>
      <c r="AP577" t="str">
        <f t="shared" si="80"/>
        <v/>
      </c>
    </row>
    <row r="578" spans="2:42" x14ac:dyDescent="0.2">
      <c r="B578" s="88"/>
      <c r="C578" s="80"/>
      <c r="D578" s="74"/>
      <c r="AF578" t="str">
        <f t="shared" si="81"/>
        <v>00000000</v>
      </c>
      <c r="AG578" s="81">
        <f t="shared" si="82"/>
        <v>0</v>
      </c>
      <c r="AH578" s="81">
        <f t="shared" si="83"/>
        <v>0</v>
      </c>
      <c r="AI578" t="str">
        <f t="shared" si="84"/>
        <v>0000000000</v>
      </c>
      <c r="AJ578" t="str">
        <f t="shared" si="85"/>
        <v>.00</v>
      </c>
      <c r="AK578" t="str">
        <f t="shared" si="86"/>
        <v>00</v>
      </c>
      <c r="AL578" t="str">
        <f t="shared" si="87"/>
        <v>000000000000</v>
      </c>
      <c r="AM578" t="str">
        <f t="shared" si="79"/>
        <v xml:space="preserve">                              </v>
      </c>
      <c r="AP578" t="str">
        <f t="shared" si="80"/>
        <v/>
      </c>
    </row>
    <row r="579" spans="2:42" x14ac:dyDescent="0.2">
      <c r="B579" s="88"/>
      <c r="C579" s="80"/>
      <c r="D579" s="74"/>
      <c r="AF579" t="str">
        <f t="shared" si="81"/>
        <v>00000000</v>
      </c>
      <c r="AG579" s="81">
        <f t="shared" si="82"/>
        <v>0</v>
      </c>
      <c r="AH579" s="81">
        <f t="shared" si="83"/>
        <v>0</v>
      </c>
      <c r="AI579" t="str">
        <f t="shared" si="84"/>
        <v>0000000000</v>
      </c>
      <c r="AJ579" t="str">
        <f t="shared" si="85"/>
        <v>.00</v>
      </c>
      <c r="AK579" t="str">
        <f t="shared" si="86"/>
        <v>00</v>
      </c>
      <c r="AL579" t="str">
        <f t="shared" si="87"/>
        <v>000000000000</v>
      </c>
      <c r="AM579" t="str">
        <f t="shared" ref="AM579:AM642" si="88">CONCATENATE(D580,REPT(" ",30-LEN(D580)))</f>
        <v xml:space="preserve">                              </v>
      </c>
      <c r="AP579" t="str">
        <f t="shared" ref="AP579:AP642" si="89">IF(B580&lt;&gt;"",CONCATENATE("000",$AA$3,"     ",$AB$3,$AC$3,$AD$3,"30000",AF579,AL579,$AC$1,AM579),"")</f>
        <v/>
      </c>
    </row>
    <row r="580" spans="2:42" x14ac:dyDescent="0.2">
      <c r="B580" s="88"/>
      <c r="C580" s="80"/>
      <c r="D580" s="74"/>
      <c r="AF580" t="str">
        <f t="shared" si="81"/>
        <v>00000000</v>
      </c>
      <c r="AG580" s="81">
        <f t="shared" si="82"/>
        <v>0</v>
      </c>
      <c r="AH580" s="81">
        <f t="shared" si="83"/>
        <v>0</v>
      </c>
      <c r="AI580" t="str">
        <f t="shared" si="84"/>
        <v>0000000000</v>
      </c>
      <c r="AJ580" t="str">
        <f t="shared" si="85"/>
        <v>.00</v>
      </c>
      <c r="AK580" t="str">
        <f t="shared" si="86"/>
        <v>00</v>
      </c>
      <c r="AL580" t="str">
        <f t="shared" si="87"/>
        <v>000000000000</v>
      </c>
      <c r="AM580" t="str">
        <f t="shared" si="88"/>
        <v xml:space="preserve">                              </v>
      </c>
      <c r="AP580" t="str">
        <f t="shared" si="89"/>
        <v/>
      </c>
    </row>
    <row r="581" spans="2:42" x14ac:dyDescent="0.2">
      <c r="B581" s="88"/>
      <c r="C581" s="80"/>
      <c r="D581" s="74"/>
      <c r="AF581" t="str">
        <f t="shared" si="81"/>
        <v>00000000</v>
      </c>
      <c r="AG581" s="81">
        <f t="shared" si="82"/>
        <v>0</v>
      </c>
      <c r="AH581" s="81">
        <f t="shared" si="83"/>
        <v>0</v>
      </c>
      <c r="AI581" t="str">
        <f t="shared" si="84"/>
        <v>0000000000</v>
      </c>
      <c r="AJ581" t="str">
        <f t="shared" si="85"/>
        <v>.00</v>
      </c>
      <c r="AK581" t="str">
        <f t="shared" si="86"/>
        <v>00</v>
      </c>
      <c r="AL581" t="str">
        <f t="shared" si="87"/>
        <v>000000000000</v>
      </c>
      <c r="AM581" t="str">
        <f t="shared" si="88"/>
        <v xml:space="preserve">                              </v>
      </c>
      <c r="AP581" t="str">
        <f t="shared" si="89"/>
        <v/>
      </c>
    </row>
    <row r="582" spans="2:42" x14ac:dyDescent="0.2">
      <c r="B582" s="88"/>
      <c r="C582" s="80"/>
      <c r="D582" s="74"/>
      <c r="AF582" t="str">
        <f t="shared" si="81"/>
        <v>00000000</v>
      </c>
      <c r="AG582" s="81">
        <f t="shared" si="82"/>
        <v>0</v>
      </c>
      <c r="AH582" s="81">
        <f t="shared" si="83"/>
        <v>0</v>
      </c>
      <c r="AI582" t="str">
        <f t="shared" si="84"/>
        <v>0000000000</v>
      </c>
      <c r="AJ582" t="str">
        <f t="shared" si="85"/>
        <v>.00</v>
      </c>
      <c r="AK582" t="str">
        <f t="shared" si="86"/>
        <v>00</v>
      </c>
      <c r="AL582" t="str">
        <f t="shared" si="87"/>
        <v>000000000000</v>
      </c>
      <c r="AM582" t="str">
        <f t="shared" si="88"/>
        <v xml:space="preserve">                              </v>
      </c>
      <c r="AP582" t="str">
        <f t="shared" si="89"/>
        <v/>
      </c>
    </row>
    <row r="583" spans="2:42" x14ac:dyDescent="0.2">
      <c r="B583" s="88"/>
      <c r="C583" s="80"/>
      <c r="D583" s="74"/>
      <c r="AF583" t="str">
        <f t="shared" si="81"/>
        <v>00000000</v>
      </c>
      <c r="AG583" s="81">
        <f t="shared" si="82"/>
        <v>0</v>
      </c>
      <c r="AH583" s="81">
        <f t="shared" si="83"/>
        <v>0</v>
      </c>
      <c r="AI583" t="str">
        <f t="shared" si="84"/>
        <v>0000000000</v>
      </c>
      <c r="AJ583" t="str">
        <f t="shared" si="85"/>
        <v>.00</v>
      </c>
      <c r="AK583" t="str">
        <f t="shared" si="86"/>
        <v>00</v>
      </c>
      <c r="AL583" t="str">
        <f t="shared" si="87"/>
        <v>000000000000</v>
      </c>
      <c r="AM583" t="str">
        <f t="shared" si="88"/>
        <v xml:space="preserve">                              </v>
      </c>
      <c r="AP583" t="str">
        <f t="shared" si="89"/>
        <v/>
      </c>
    </row>
    <row r="584" spans="2:42" x14ac:dyDescent="0.2">
      <c r="B584" s="88"/>
      <c r="C584" s="80"/>
      <c r="D584" s="74"/>
      <c r="AF584" t="str">
        <f t="shared" si="81"/>
        <v>00000000</v>
      </c>
      <c r="AG584" s="81">
        <f t="shared" si="82"/>
        <v>0</v>
      </c>
      <c r="AH584" s="81">
        <f t="shared" si="83"/>
        <v>0</v>
      </c>
      <c r="AI584" t="str">
        <f t="shared" si="84"/>
        <v>0000000000</v>
      </c>
      <c r="AJ584" t="str">
        <f t="shared" si="85"/>
        <v>.00</v>
      </c>
      <c r="AK584" t="str">
        <f t="shared" si="86"/>
        <v>00</v>
      </c>
      <c r="AL584" t="str">
        <f t="shared" si="87"/>
        <v>000000000000</v>
      </c>
      <c r="AM584" t="str">
        <f t="shared" si="88"/>
        <v xml:space="preserve">                              </v>
      </c>
      <c r="AP584" t="str">
        <f t="shared" si="89"/>
        <v/>
      </c>
    </row>
    <row r="585" spans="2:42" x14ac:dyDescent="0.2">
      <c r="B585" s="88"/>
      <c r="C585" s="80"/>
      <c r="D585" s="74"/>
      <c r="AF585" t="str">
        <f t="shared" si="81"/>
        <v>00000000</v>
      </c>
      <c r="AG585" s="81">
        <f t="shared" si="82"/>
        <v>0</v>
      </c>
      <c r="AH585" s="81">
        <f t="shared" si="83"/>
        <v>0</v>
      </c>
      <c r="AI585" t="str">
        <f t="shared" si="84"/>
        <v>0000000000</v>
      </c>
      <c r="AJ585" t="str">
        <f t="shared" si="85"/>
        <v>.00</v>
      </c>
      <c r="AK585" t="str">
        <f t="shared" si="86"/>
        <v>00</v>
      </c>
      <c r="AL585" t="str">
        <f t="shared" si="87"/>
        <v>000000000000</v>
      </c>
      <c r="AM585" t="str">
        <f t="shared" si="88"/>
        <v xml:space="preserve">                              </v>
      </c>
      <c r="AP585" t="str">
        <f t="shared" si="89"/>
        <v/>
      </c>
    </row>
    <row r="586" spans="2:42" x14ac:dyDescent="0.2">
      <c r="B586" s="88"/>
      <c r="C586" s="80"/>
      <c r="D586" s="74"/>
      <c r="AF586" t="str">
        <f t="shared" ref="AF586:AF649" si="90">CONCATENATE(REPT("0",8-LEN(B587)),B587)</f>
        <v>00000000</v>
      </c>
      <c r="AG586" s="81">
        <f t="shared" ref="AG586:AG649" si="91">INT(C587)</f>
        <v>0</v>
      </c>
      <c r="AH586" s="81">
        <f t="shared" ref="AH586:AH649" si="92">C587-AG586</f>
        <v>0</v>
      </c>
      <c r="AI586" t="str">
        <f t="shared" ref="AI586:AI649" si="93">TEXT(AG586,"0000000000")</f>
        <v>0000000000</v>
      </c>
      <c r="AJ586" t="str">
        <f t="shared" ref="AJ586:AJ649" si="94">TEXT(AH586,".00")</f>
        <v>.00</v>
      </c>
      <c r="AK586" t="str">
        <f t="shared" ref="AK586:AK649" si="95">MID(AJ586,2,2)</f>
        <v>00</v>
      </c>
      <c r="AL586" t="str">
        <f t="shared" ref="AL586:AL649" si="96">CONCATENATE(AI586,AK586)</f>
        <v>000000000000</v>
      </c>
      <c r="AM586" t="str">
        <f t="shared" si="88"/>
        <v xml:space="preserve">                              </v>
      </c>
      <c r="AP586" t="str">
        <f t="shared" si="89"/>
        <v/>
      </c>
    </row>
    <row r="587" spans="2:42" x14ac:dyDescent="0.2">
      <c r="B587" s="88"/>
      <c r="C587" s="80"/>
      <c r="D587" s="74"/>
      <c r="AF587" t="str">
        <f t="shared" si="90"/>
        <v>00000000</v>
      </c>
      <c r="AG587" s="81">
        <f t="shared" si="91"/>
        <v>0</v>
      </c>
      <c r="AH587" s="81">
        <f t="shared" si="92"/>
        <v>0</v>
      </c>
      <c r="AI587" t="str">
        <f t="shared" si="93"/>
        <v>0000000000</v>
      </c>
      <c r="AJ587" t="str">
        <f t="shared" si="94"/>
        <v>.00</v>
      </c>
      <c r="AK587" t="str">
        <f t="shared" si="95"/>
        <v>00</v>
      </c>
      <c r="AL587" t="str">
        <f t="shared" si="96"/>
        <v>000000000000</v>
      </c>
      <c r="AM587" t="str">
        <f t="shared" si="88"/>
        <v xml:space="preserve">                              </v>
      </c>
      <c r="AP587" t="str">
        <f t="shared" si="89"/>
        <v/>
      </c>
    </row>
    <row r="588" spans="2:42" x14ac:dyDescent="0.2">
      <c r="B588" s="88"/>
      <c r="C588" s="80"/>
      <c r="D588" s="74"/>
      <c r="AF588" t="str">
        <f t="shared" si="90"/>
        <v>00000000</v>
      </c>
      <c r="AG588" s="81">
        <f t="shared" si="91"/>
        <v>0</v>
      </c>
      <c r="AH588" s="81">
        <f t="shared" si="92"/>
        <v>0</v>
      </c>
      <c r="AI588" t="str">
        <f t="shared" si="93"/>
        <v>0000000000</v>
      </c>
      <c r="AJ588" t="str">
        <f t="shared" si="94"/>
        <v>.00</v>
      </c>
      <c r="AK588" t="str">
        <f t="shared" si="95"/>
        <v>00</v>
      </c>
      <c r="AL588" t="str">
        <f t="shared" si="96"/>
        <v>000000000000</v>
      </c>
      <c r="AM588" t="str">
        <f t="shared" si="88"/>
        <v xml:space="preserve">                              </v>
      </c>
      <c r="AP588" t="str">
        <f t="shared" si="89"/>
        <v/>
      </c>
    </row>
    <row r="589" spans="2:42" x14ac:dyDescent="0.2">
      <c r="B589" s="88"/>
      <c r="C589" s="80"/>
      <c r="D589" s="74"/>
      <c r="AF589" t="str">
        <f t="shared" si="90"/>
        <v>00000000</v>
      </c>
      <c r="AG589" s="81">
        <f t="shared" si="91"/>
        <v>0</v>
      </c>
      <c r="AH589" s="81">
        <f t="shared" si="92"/>
        <v>0</v>
      </c>
      <c r="AI589" t="str">
        <f t="shared" si="93"/>
        <v>0000000000</v>
      </c>
      <c r="AJ589" t="str">
        <f t="shared" si="94"/>
        <v>.00</v>
      </c>
      <c r="AK589" t="str">
        <f t="shared" si="95"/>
        <v>00</v>
      </c>
      <c r="AL589" t="str">
        <f t="shared" si="96"/>
        <v>000000000000</v>
      </c>
      <c r="AM589" t="str">
        <f t="shared" si="88"/>
        <v xml:space="preserve">                              </v>
      </c>
      <c r="AP589" t="str">
        <f t="shared" si="89"/>
        <v/>
      </c>
    </row>
    <row r="590" spans="2:42" x14ac:dyDescent="0.2">
      <c r="B590" s="88"/>
      <c r="C590" s="80"/>
      <c r="D590" s="74"/>
      <c r="AF590" t="str">
        <f t="shared" si="90"/>
        <v>00000000</v>
      </c>
      <c r="AG590" s="81">
        <f t="shared" si="91"/>
        <v>0</v>
      </c>
      <c r="AH590" s="81">
        <f t="shared" si="92"/>
        <v>0</v>
      </c>
      <c r="AI590" t="str">
        <f t="shared" si="93"/>
        <v>0000000000</v>
      </c>
      <c r="AJ590" t="str">
        <f t="shared" si="94"/>
        <v>.00</v>
      </c>
      <c r="AK590" t="str">
        <f t="shared" si="95"/>
        <v>00</v>
      </c>
      <c r="AL590" t="str">
        <f t="shared" si="96"/>
        <v>000000000000</v>
      </c>
      <c r="AM590" t="str">
        <f t="shared" si="88"/>
        <v xml:space="preserve">                              </v>
      </c>
      <c r="AP590" t="str">
        <f t="shared" si="89"/>
        <v/>
      </c>
    </row>
    <row r="591" spans="2:42" x14ac:dyDescent="0.2">
      <c r="B591" s="88"/>
      <c r="C591" s="80"/>
      <c r="D591" s="74"/>
      <c r="AF591" t="str">
        <f t="shared" si="90"/>
        <v>00000000</v>
      </c>
      <c r="AG591" s="81">
        <f t="shared" si="91"/>
        <v>0</v>
      </c>
      <c r="AH591" s="81">
        <f t="shared" si="92"/>
        <v>0</v>
      </c>
      <c r="AI591" t="str">
        <f t="shared" si="93"/>
        <v>0000000000</v>
      </c>
      <c r="AJ591" t="str">
        <f t="shared" si="94"/>
        <v>.00</v>
      </c>
      <c r="AK591" t="str">
        <f t="shared" si="95"/>
        <v>00</v>
      </c>
      <c r="AL591" t="str">
        <f t="shared" si="96"/>
        <v>000000000000</v>
      </c>
      <c r="AM591" t="str">
        <f t="shared" si="88"/>
        <v xml:space="preserve">                              </v>
      </c>
      <c r="AP591" t="str">
        <f t="shared" si="89"/>
        <v/>
      </c>
    </row>
    <row r="592" spans="2:42" x14ac:dyDescent="0.2">
      <c r="B592" s="88"/>
      <c r="C592" s="80"/>
      <c r="D592" s="74"/>
      <c r="AF592" t="str">
        <f t="shared" si="90"/>
        <v>00000000</v>
      </c>
      <c r="AG592" s="81">
        <f t="shared" si="91"/>
        <v>0</v>
      </c>
      <c r="AH592" s="81">
        <f t="shared" si="92"/>
        <v>0</v>
      </c>
      <c r="AI592" t="str">
        <f t="shared" si="93"/>
        <v>0000000000</v>
      </c>
      <c r="AJ592" t="str">
        <f t="shared" si="94"/>
        <v>.00</v>
      </c>
      <c r="AK592" t="str">
        <f t="shared" si="95"/>
        <v>00</v>
      </c>
      <c r="AL592" t="str">
        <f t="shared" si="96"/>
        <v>000000000000</v>
      </c>
      <c r="AM592" t="str">
        <f t="shared" si="88"/>
        <v xml:space="preserve">                              </v>
      </c>
      <c r="AP592" t="str">
        <f t="shared" si="89"/>
        <v/>
      </c>
    </row>
    <row r="593" spans="2:42" x14ac:dyDescent="0.2">
      <c r="B593" s="88"/>
      <c r="C593" s="80"/>
      <c r="D593" s="74"/>
      <c r="AF593" t="str">
        <f t="shared" si="90"/>
        <v>00000000</v>
      </c>
      <c r="AG593" s="81">
        <f t="shared" si="91"/>
        <v>0</v>
      </c>
      <c r="AH593" s="81">
        <f t="shared" si="92"/>
        <v>0</v>
      </c>
      <c r="AI593" t="str">
        <f t="shared" si="93"/>
        <v>0000000000</v>
      </c>
      <c r="AJ593" t="str">
        <f t="shared" si="94"/>
        <v>.00</v>
      </c>
      <c r="AK593" t="str">
        <f t="shared" si="95"/>
        <v>00</v>
      </c>
      <c r="AL593" t="str">
        <f t="shared" si="96"/>
        <v>000000000000</v>
      </c>
      <c r="AM593" t="str">
        <f t="shared" si="88"/>
        <v xml:space="preserve">                              </v>
      </c>
      <c r="AP593" t="str">
        <f t="shared" si="89"/>
        <v/>
      </c>
    </row>
    <row r="594" spans="2:42" x14ac:dyDescent="0.2">
      <c r="B594" s="88"/>
      <c r="C594" s="80"/>
      <c r="D594" s="74"/>
      <c r="AF594" t="str">
        <f t="shared" si="90"/>
        <v>00000000</v>
      </c>
      <c r="AG594" s="81">
        <f t="shared" si="91"/>
        <v>0</v>
      </c>
      <c r="AH594" s="81">
        <f t="shared" si="92"/>
        <v>0</v>
      </c>
      <c r="AI594" t="str">
        <f t="shared" si="93"/>
        <v>0000000000</v>
      </c>
      <c r="AJ594" t="str">
        <f t="shared" si="94"/>
        <v>.00</v>
      </c>
      <c r="AK594" t="str">
        <f t="shared" si="95"/>
        <v>00</v>
      </c>
      <c r="AL594" t="str">
        <f t="shared" si="96"/>
        <v>000000000000</v>
      </c>
      <c r="AM594" t="str">
        <f t="shared" si="88"/>
        <v xml:space="preserve">                              </v>
      </c>
      <c r="AP594" t="str">
        <f t="shared" si="89"/>
        <v/>
      </c>
    </row>
    <row r="595" spans="2:42" x14ac:dyDescent="0.2">
      <c r="B595" s="88"/>
      <c r="C595" s="80"/>
      <c r="D595" s="74"/>
      <c r="AF595" t="str">
        <f t="shared" si="90"/>
        <v>00000000</v>
      </c>
      <c r="AG595" s="81">
        <f t="shared" si="91"/>
        <v>0</v>
      </c>
      <c r="AH595" s="81">
        <f t="shared" si="92"/>
        <v>0</v>
      </c>
      <c r="AI595" t="str">
        <f t="shared" si="93"/>
        <v>0000000000</v>
      </c>
      <c r="AJ595" t="str">
        <f t="shared" si="94"/>
        <v>.00</v>
      </c>
      <c r="AK595" t="str">
        <f t="shared" si="95"/>
        <v>00</v>
      </c>
      <c r="AL595" t="str">
        <f t="shared" si="96"/>
        <v>000000000000</v>
      </c>
      <c r="AM595" t="str">
        <f t="shared" si="88"/>
        <v xml:space="preserve">                              </v>
      </c>
      <c r="AP595" t="str">
        <f t="shared" si="89"/>
        <v/>
      </c>
    </row>
    <row r="596" spans="2:42" x14ac:dyDescent="0.2">
      <c r="B596" s="88"/>
      <c r="C596" s="80"/>
      <c r="D596" s="74"/>
      <c r="AF596" t="str">
        <f t="shared" si="90"/>
        <v>00000000</v>
      </c>
      <c r="AG596" s="81">
        <f t="shared" si="91"/>
        <v>0</v>
      </c>
      <c r="AH596" s="81">
        <f t="shared" si="92"/>
        <v>0</v>
      </c>
      <c r="AI596" t="str">
        <f t="shared" si="93"/>
        <v>0000000000</v>
      </c>
      <c r="AJ596" t="str">
        <f t="shared" si="94"/>
        <v>.00</v>
      </c>
      <c r="AK596" t="str">
        <f t="shared" si="95"/>
        <v>00</v>
      </c>
      <c r="AL596" t="str">
        <f t="shared" si="96"/>
        <v>000000000000</v>
      </c>
      <c r="AM596" t="str">
        <f t="shared" si="88"/>
        <v xml:space="preserve">                              </v>
      </c>
      <c r="AP596" t="str">
        <f t="shared" si="89"/>
        <v/>
      </c>
    </row>
    <row r="597" spans="2:42" x14ac:dyDescent="0.2">
      <c r="B597" s="88"/>
      <c r="C597" s="80"/>
      <c r="D597" s="74"/>
      <c r="AF597" t="str">
        <f t="shared" si="90"/>
        <v>00000000</v>
      </c>
      <c r="AG597" s="81">
        <f t="shared" si="91"/>
        <v>0</v>
      </c>
      <c r="AH597" s="81">
        <f t="shared" si="92"/>
        <v>0</v>
      </c>
      <c r="AI597" t="str">
        <f t="shared" si="93"/>
        <v>0000000000</v>
      </c>
      <c r="AJ597" t="str">
        <f t="shared" si="94"/>
        <v>.00</v>
      </c>
      <c r="AK597" t="str">
        <f t="shared" si="95"/>
        <v>00</v>
      </c>
      <c r="AL597" t="str">
        <f t="shared" si="96"/>
        <v>000000000000</v>
      </c>
      <c r="AM597" t="str">
        <f t="shared" si="88"/>
        <v xml:space="preserve">                              </v>
      </c>
      <c r="AP597" t="str">
        <f t="shared" si="89"/>
        <v/>
      </c>
    </row>
    <row r="598" spans="2:42" x14ac:dyDescent="0.2">
      <c r="B598" s="88"/>
      <c r="C598" s="80"/>
      <c r="D598" s="74"/>
      <c r="AF598" t="str">
        <f t="shared" si="90"/>
        <v>00000000</v>
      </c>
      <c r="AG598" s="81">
        <f t="shared" si="91"/>
        <v>0</v>
      </c>
      <c r="AH598" s="81">
        <f t="shared" si="92"/>
        <v>0</v>
      </c>
      <c r="AI598" t="str">
        <f t="shared" si="93"/>
        <v>0000000000</v>
      </c>
      <c r="AJ598" t="str">
        <f t="shared" si="94"/>
        <v>.00</v>
      </c>
      <c r="AK598" t="str">
        <f t="shared" si="95"/>
        <v>00</v>
      </c>
      <c r="AL598" t="str">
        <f t="shared" si="96"/>
        <v>000000000000</v>
      </c>
      <c r="AM598" t="str">
        <f t="shared" si="88"/>
        <v xml:space="preserve">                              </v>
      </c>
      <c r="AP598" t="str">
        <f t="shared" si="89"/>
        <v/>
      </c>
    </row>
    <row r="599" spans="2:42" x14ac:dyDescent="0.2">
      <c r="B599" s="88"/>
      <c r="C599" s="80"/>
      <c r="D599" s="74"/>
      <c r="AF599" t="str">
        <f t="shared" si="90"/>
        <v>00000000</v>
      </c>
      <c r="AG599" s="81">
        <f t="shared" si="91"/>
        <v>0</v>
      </c>
      <c r="AH599" s="81">
        <f t="shared" si="92"/>
        <v>0</v>
      </c>
      <c r="AI599" t="str">
        <f t="shared" si="93"/>
        <v>0000000000</v>
      </c>
      <c r="AJ599" t="str">
        <f t="shared" si="94"/>
        <v>.00</v>
      </c>
      <c r="AK599" t="str">
        <f t="shared" si="95"/>
        <v>00</v>
      </c>
      <c r="AL599" t="str">
        <f t="shared" si="96"/>
        <v>000000000000</v>
      </c>
      <c r="AM599" t="str">
        <f t="shared" si="88"/>
        <v xml:space="preserve">                              </v>
      </c>
      <c r="AP599" t="str">
        <f t="shared" si="89"/>
        <v/>
      </c>
    </row>
    <row r="600" spans="2:42" x14ac:dyDescent="0.2">
      <c r="B600" s="88"/>
      <c r="C600" s="80"/>
      <c r="D600" s="74"/>
      <c r="AF600" t="str">
        <f t="shared" si="90"/>
        <v>00000000</v>
      </c>
      <c r="AG600" s="81">
        <f t="shared" si="91"/>
        <v>0</v>
      </c>
      <c r="AH600" s="81">
        <f t="shared" si="92"/>
        <v>0</v>
      </c>
      <c r="AI600" t="str">
        <f t="shared" si="93"/>
        <v>0000000000</v>
      </c>
      <c r="AJ600" t="str">
        <f t="shared" si="94"/>
        <v>.00</v>
      </c>
      <c r="AK600" t="str">
        <f t="shared" si="95"/>
        <v>00</v>
      </c>
      <c r="AL600" t="str">
        <f t="shared" si="96"/>
        <v>000000000000</v>
      </c>
      <c r="AM600" t="str">
        <f t="shared" si="88"/>
        <v xml:space="preserve">                              </v>
      </c>
      <c r="AP600" t="str">
        <f t="shared" si="89"/>
        <v/>
      </c>
    </row>
    <row r="601" spans="2:42" x14ac:dyDescent="0.2">
      <c r="B601" s="88"/>
      <c r="C601" s="80"/>
      <c r="D601" s="74"/>
      <c r="AF601" t="str">
        <f t="shared" si="90"/>
        <v>00000000</v>
      </c>
      <c r="AG601" s="81">
        <f t="shared" si="91"/>
        <v>0</v>
      </c>
      <c r="AH601" s="81">
        <f t="shared" si="92"/>
        <v>0</v>
      </c>
      <c r="AI601" t="str">
        <f t="shared" si="93"/>
        <v>0000000000</v>
      </c>
      <c r="AJ601" t="str">
        <f t="shared" si="94"/>
        <v>.00</v>
      </c>
      <c r="AK601" t="str">
        <f t="shared" si="95"/>
        <v>00</v>
      </c>
      <c r="AL601" t="str">
        <f t="shared" si="96"/>
        <v>000000000000</v>
      </c>
      <c r="AM601" t="str">
        <f t="shared" si="88"/>
        <v xml:space="preserve">                              </v>
      </c>
      <c r="AP601" t="str">
        <f t="shared" si="89"/>
        <v/>
      </c>
    </row>
    <row r="602" spans="2:42" x14ac:dyDescent="0.2">
      <c r="B602" s="88"/>
      <c r="C602" s="80"/>
      <c r="D602" s="74"/>
      <c r="AF602" t="str">
        <f t="shared" si="90"/>
        <v>00000000</v>
      </c>
      <c r="AG602" s="81">
        <f t="shared" si="91"/>
        <v>0</v>
      </c>
      <c r="AH602" s="81">
        <f t="shared" si="92"/>
        <v>0</v>
      </c>
      <c r="AI602" t="str">
        <f t="shared" si="93"/>
        <v>0000000000</v>
      </c>
      <c r="AJ602" t="str">
        <f t="shared" si="94"/>
        <v>.00</v>
      </c>
      <c r="AK602" t="str">
        <f t="shared" si="95"/>
        <v>00</v>
      </c>
      <c r="AL602" t="str">
        <f t="shared" si="96"/>
        <v>000000000000</v>
      </c>
      <c r="AM602" t="str">
        <f t="shared" si="88"/>
        <v xml:space="preserve">                              </v>
      </c>
      <c r="AP602" t="str">
        <f t="shared" si="89"/>
        <v/>
      </c>
    </row>
    <row r="603" spans="2:42" x14ac:dyDescent="0.2">
      <c r="B603" s="88"/>
      <c r="C603" s="80"/>
      <c r="D603" s="74"/>
      <c r="AF603" t="str">
        <f t="shared" si="90"/>
        <v>00000000</v>
      </c>
      <c r="AG603" s="81">
        <f t="shared" si="91"/>
        <v>0</v>
      </c>
      <c r="AH603" s="81">
        <f t="shared" si="92"/>
        <v>0</v>
      </c>
      <c r="AI603" t="str">
        <f t="shared" si="93"/>
        <v>0000000000</v>
      </c>
      <c r="AJ603" t="str">
        <f t="shared" si="94"/>
        <v>.00</v>
      </c>
      <c r="AK603" t="str">
        <f t="shared" si="95"/>
        <v>00</v>
      </c>
      <c r="AL603" t="str">
        <f t="shared" si="96"/>
        <v>000000000000</v>
      </c>
      <c r="AM603" t="str">
        <f t="shared" si="88"/>
        <v xml:space="preserve">                              </v>
      </c>
      <c r="AP603" t="str">
        <f t="shared" si="89"/>
        <v/>
      </c>
    </row>
    <row r="604" spans="2:42" x14ac:dyDescent="0.2">
      <c r="B604" s="88"/>
      <c r="C604" s="80"/>
      <c r="D604" s="74"/>
      <c r="AF604" t="str">
        <f t="shared" si="90"/>
        <v>00000000</v>
      </c>
      <c r="AG604" s="81">
        <f t="shared" si="91"/>
        <v>0</v>
      </c>
      <c r="AH604" s="81">
        <f t="shared" si="92"/>
        <v>0</v>
      </c>
      <c r="AI604" t="str">
        <f t="shared" si="93"/>
        <v>0000000000</v>
      </c>
      <c r="AJ604" t="str">
        <f t="shared" si="94"/>
        <v>.00</v>
      </c>
      <c r="AK604" t="str">
        <f t="shared" si="95"/>
        <v>00</v>
      </c>
      <c r="AL604" t="str">
        <f t="shared" si="96"/>
        <v>000000000000</v>
      </c>
      <c r="AM604" t="str">
        <f t="shared" si="88"/>
        <v xml:space="preserve">                              </v>
      </c>
      <c r="AP604" t="str">
        <f t="shared" si="89"/>
        <v/>
      </c>
    </row>
    <row r="605" spans="2:42" x14ac:dyDescent="0.2">
      <c r="B605" s="88"/>
      <c r="C605" s="80"/>
      <c r="D605" s="74"/>
      <c r="AF605" t="str">
        <f t="shared" si="90"/>
        <v>00000000</v>
      </c>
      <c r="AG605" s="81">
        <f t="shared" si="91"/>
        <v>0</v>
      </c>
      <c r="AH605" s="81">
        <f t="shared" si="92"/>
        <v>0</v>
      </c>
      <c r="AI605" t="str">
        <f t="shared" si="93"/>
        <v>0000000000</v>
      </c>
      <c r="AJ605" t="str">
        <f t="shared" si="94"/>
        <v>.00</v>
      </c>
      <c r="AK605" t="str">
        <f t="shared" si="95"/>
        <v>00</v>
      </c>
      <c r="AL605" t="str">
        <f t="shared" si="96"/>
        <v>000000000000</v>
      </c>
      <c r="AM605" t="str">
        <f t="shared" si="88"/>
        <v xml:space="preserve">                              </v>
      </c>
      <c r="AP605" t="str">
        <f t="shared" si="89"/>
        <v/>
      </c>
    </row>
    <row r="606" spans="2:42" x14ac:dyDescent="0.2">
      <c r="B606" s="88"/>
      <c r="C606" s="80"/>
      <c r="D606" s="74"/>
      <c r="AF606" t="str">
        <f t="shared" si="90"/>
        <v>00000000</v>
      </c>
      <c r="AG606" s="81">
        <f t="shared" si="91"/>
        <v>0</v>
      </c>
      <c r="AH606" s="81">
        <f t="shared" si="92"/>
        <v>0</v>
      </c>
      <c r="AI606" t="str">
        <f t="shared" si="93"/>
        <v>0000000000</v>
      </c>
      <c r="AJ606" t="str">
        <f t="shared" si="94"/>
        <v>.00</v>
      </c>
      <c r="AK606" t="str">
        <f t="shared" si="95"/>
        <v>00</v>
      </c>
      <c r="AL606" t="str">
        <f t="shared" si="96"/>
        <v>000000000000</v>
      </c>
      <c r="AM606" t="str">
        <f t="shared" si="88"/>
        <v xml:space="preserve">                              </v>
      </c>
      <c r="AP606" t="str">
        <f t="shared" si="89"/>
        <v/>
      </c>
    </row>
    <row r="607" spans="2:42" x14ac:dyDescent="0.2">
      <c r="B607" s="88"/>
      <c r="C607" s="80"/>
      <c r="D607" s="74"/>
      <c r="AF607" t="str">
        <f t="shared" si="90"/>
        <v>00000000</v>
      </c>
      <c r="AG607" s="81">
        <f t="shared" si="91"/>
        <v>0</v>
      </c>
      <c r="AH607" s="81">
        <f t="shared" si="92"/>
        <v>0</v>
      </c>
      <c r="AI607" t="str">
        <f t="shared" si="93"/>
        <v>0000000000</v>
      </c>
      <c r="AJ607" t="str">
        <f t="shared" si="94"/>
        <v>.00</v>
      </c>
      <c r="AK607" t="str">
        <f t="shared" si="95"/>
        <v>00</v>
      </c>
      <c r="AL607" t="str">
        <f t="shared" si="96"/>
        <v>000000000000</v>
      </c>
      <c r="AM607" t="str">
        <f t="shared" si="88"/>
        <v xml:space="preserve">                              </v>
      </c>
      <c r="AP607" t="str">
        <f t="shared" si="89"/>
        <v/>
      </c>
    </row>
    <row r="608" spans="2:42" x14ac:dyDescent="0.2">
      <c r="B608" s="88"/>
      <c r="C608" s="80"/>
      <c r="D608" s="74"/>
      <c r="AF608" t="str">
        <f t="shared" si="90"/>
        <v>00000000</v>
      </c>
      <c r="AG608" s="81">
        <f t="shared" si="91"/>
        <v>0</v>
      </c>
      <c r="AH608" s="81">
        <f t="shared" si="92"/>
        <v>0</v>
      </c>
      <c r="AI608" t="str">
        <f t="shared" si="93"/>
        <v>0000000000</v>
      </c>
      <c r="AJ608" t="str">
        <f t="shared" si="94"/>
        <v>.00</v>
      </c>
      <c r="AK608" t="str">
        <f t="shared" si="95"/>
        <v>00</v>
      </c>
      <c r="AL608" t="str">
        <f t="shared" si="96"/>
        <v>000000000000</v>
      </c>
      <c r="AM608" t="str">
        <f t="shared" si="88"/>
        <v xml:space="preserve">                              </v>
      </c>
      <c r="AP608" t="str">
        <f t="shared" si="89"/>
        <v/>
      </c>
    </row>
    <row r="609" spans="2:42" x14ac:dyDescent="0.2">
      <c r="B609" s="88"/>
      <c r="C609" s="80"/>
      <c r="D609" s="74"/>
      <c r="AF609" t="str">
        <f t="shared" si="90"/>
        <v>00000000</v>
      </c>
      <c r="AG609" s="81">
        <f t="shared" si="91"/>
        <v>0</v>
      </c>
      <c r="AH609" s="81">
        <f t="shared" si="92"/>
        <v>0</v>
      </c>
      <c r="AI609" t="str">
        <f t="shared" si="93"/>
        <v>0000000000</v>
      </c>
      <c r="AJ609" t="str">
        <f t="shared" si="94"/>
        <v>.00</v>
      </c>
      <c r="AK609" t="str">
        <f t="shared" si="95"/>
        <v>00</v>
      </c>
      <c r="AL609" t="str">
        <f t="shared" si="96"/>
        <v>000000000000</v>
      </c>
      <c r="AM609" t="str">
        <f t="shared" si="88"/>
        <v xml:space="preserve">                              </v>
      </c>
      <c r="AP609" t="str">
        <f t="shared" si="89"/>
        <v/>
      </c>
    </row>
    <row r="610" spans="2:42" x14ac:dyDescent="0.2">
      <c r="B610" s="88"/>
      <c r="C610" s="80"/>
      <c r="D610" s="74"/>
      <c r="AF610" t="str">
        <f t="shared" si="90"/>
        <v>00000000</v>
      </c>
      <c r="AG610" s="81">
        <f t="shared" si="91"/>
        <v>0</v>
      </c>
      <c r="AH610" s="81">
        <f t="shared" si="92"/>
        <v>0</v>
      </c>
      <c r="AI610" t="str">
        <f t="shared" si="93"/>
        <v>0000000000</v>
      </c>
      <c r="AJ610" t="str">
        <f t="shared" si="94"/>
        <v>.00</v>
      </c>
      <c r="AK610" t="str">
        <f t="shared" si="95"/>
        <v>00</v>
      </c>
      <c r="AL610" t="str">
        <f t="shared" si="96"/>
        <v>000000000000</v>
      </c>
      <c r="AM610" t="str">
        <f t="shared" si="88"/>
        <v xml:space="preserve">                              </v>
      </c>
      <c r="AP610" t="str">
        <f t="shared" si="89"/>
        <v/>
      </c>
    </row>
    <row r="611" spans="2:42" x14ac:dyDescent="0.2">
      <c r="B611" s="88"/>
      <c r="C611" s="80"/>
      <c r="D611" s="74"/>
      <c r="AF611" t="str">
        <f t="shared" si="90"/>
        <v>00000000</v>
      </c>
      <c r="AG611" s="81">
        <f t="shared" si="91"/>
        <v>0</v>
      </c>
      <c r="AH611" s="81">
        <f t="shared" si="92"/>
        <v>0</v>
      </c>
      <c r="AI611" t="str">
        <f t="shared" si="93"/>
        <v>0000000000</v>
      </c>
      <c r="AJ611" t="str">
        <f t="shared" si="94"/>
        <v>.00</v>
      </c>
      <c r="AK611" t="str">
        <f t="shared" si="95"/>
        <v>00</v>
      </c>
      <c r="AL611" t="str">
        <f t="shared" si="96"/>
        <v>000000000000</v>
      </c>
      <c r="AM611" t="str">
        <f t="shared" si="88"/>
        <v xml:space="preserve">                              </v>
      </c>
      <c r="AP611" t="str">
        <f t="shared" si="89"/>
        <v/>
      </c>
    </row>
    <row r="612" spans="2:42" x14ac:dyDescent="0.2">
      <c r="B612" s="88"/>
      <c r="C612" s="80"/>
      <c r="D612" s="74"/>
      <c r="AF612" t="str">
        <f t="shared" si="90"/>
        <v>00000000</v>
      </c>
      <c r="AG612" s="81">
        <f t="shared" si="91"/>
        <v>0</v>
      </c>
      <c r="AH612" s="81">
        <f t="shared" si="92"/>
        <v>0</v>
      </c>
      <c r="AI612" t="str">
        <f t="shared" si="93"/>
        <v>0000000000</v>
      </c>
      <c r="AJ612" t="str">
        <f t="shared" si="94"/>
        <v>.00</v>
      </c>
      <c r="AK612" t="str">
        <f t="shared" si="95"/>
        <v>00</v>
      </c>
      <c r="AL612" t="str">
        <f t="shared" si="96"/>
        <v>000000000000</v>
      </c>
      <c r="AM612" t="str">
        <f t="shared" si="88"/>
        <v xml:space="preserve">                              </v>
      </c>
      <c r="AP612" t="str">
        <f t="shared" si="89"/>
        <v/>
      </c>
    </row>
    <row r="613" spans="2:42" x14ac:dyDescent="0.2">
      <c r="B613" s="88"/>
      <c r="C613" s="80"/>
      <c r="D613" s="74"/>
      <c r="AF613" t="str">
        <f t="shared" si="90"/>
        <v>00000000</v>
      </c>
      <c r="AG613" s="81">
        <f t="shared" si="91"/>
        <v>0</v>
      </c>
      <c r="AH613" s="81">
        <f t="shared" si="92"/>
        <v>0</v>
      </c>
      <c r="AI613" t="str">
        <f t="shared" si="93"/>
        <v>0000000000</v>
      </c>
      <c r="AJ613" t="str">
        <f t="shared" si="94"/>
        <v>.00</v>
      </c>
      <c r="AK613" t="str">
        <f t="shared" si="95"/>
        <v>00</v>
      </c>
      <c r="AL613" t="str">
        <f t="shared" si="96"/>
        <v>000000000000</v>
      </c>
      <c r="AM613" t="str">
        <f t="shared" si="88"/>
        <v xml:space="preserve">                              </v>
      </c>
      <c r="AP613" t="str">
        <f t="shared" si="89"/>
        <v/>
      </c>
    </row>
    <row r="614" spans="2:42" x14ac:dyDescent="0.2">
      <c r="B614" s="88"/>
      <c r="C614" s="80"/>
      <c r="D614" s="74"/>
      <c r="AF614" t="str">
        <f t="shared" si="90"/>
        <v>00000000</v>
      </c>
      <c r="AG614" s="81">
        <f t="shared" si="91"/>
        <v>0</v>
      </c>
      <c r="AH614" s="81">
        <f t="shared" si="92"/>
        <v>0</v>
      </c>
      <c r="AI614" t="str">
        <f t="shared" si="93"/>
        <v>0000000000</v>
      </c>
      <c r="AJ614" t="str">
        <f t="shared" si="94"/>
        <v>.00</v>
      </c>
      <c r="AK614" t="str">
        <f t="shared" si="95"/>
        <v>00</v>
      </c>
      <c r="AL614" t="str">
        <f t="shared" si="96"/>
        <v>000000000000</v>
      </c>
      <c r="AM614" t="str">
        <f t="shared" si="88"/>
        <v xml:space="preserve">                              </v>
      </c>
      <c r="AP614" t="str">
        <f t="shared" si="89"/>
        <v/>
      </c>
    </row>
    <row r="615" spans="2:42" x14ac:dyDescent="0.2">
      <c r="B615" s="88"/>
      <c r="C615" s="80"/>
      <c r="D615" s="74"/>
      <c r="AF615" t="str">
        <f t="shared" si="90"/>
        <v>00000000</v>
      </c>
      <c r="AG615" s="81">
        <f t="shared" si="91"/>
        <v>0</v>
      </c>
      <c r="AH615" s="81">
        <f t="shared" si="92"/>
        <v>0</v>
      </c>
      <c r="AI615" t="str">
        <f t="shared" si="93"/>
        <v>0000000000</v>
      </c>
      <c r="AJ615" t="str">
        <f t="shared" si="94"/>
        <v>.00</v>
      </c>
      <c r="AK615" t="str">
        <f t="shared" si="95"/>
        <v>00</v>
      </c>
      <c r="AL615" t="str">
        <f t="shared" si="96"/>
        <v>000000000000</v>
      </c>
      <c r="AM615" t="str">
        <f t="shared" si="88"/>
        <v xml:space="preserve">                              </v>
      </c>
      <c r="AP615" t="str">
        <f t="shared" si="89"/>
        <v/>
      </c>
    </row>
    <row r="616" spans="2:42" x14ac:dyDescent="0.2">
      <c r="B616" s="88"/>
      <c r="C616" s="80"/>
      <c r="D616" s="74"/>
      <c r="AF616" t="str">
        <f t="shared" si="90"/>
        <v>00000000</v>
      </c>
      <c r="AG616" s="81">
        <f t="shared" si="91"/>
        <v>0</v>
      </c>
      <c r="AH616" s="81">
        <f t="shared" si="92"/>
        <v>0</v>
      </c>
      <c r="AI616" t="str">
        <f t="shared" si="93"/>
        <v>0000000000</v>
      </c>
      <c r="AJ616" t="str">
        <f t="shared" si="94"/>
        <v>.00</v>
      </c>
      <c r="AK616" t="str">
        <f t="shared" si="95"/>
        <v>00</v>
      </c>
      <c r="AL616" t="str">
        <f t="shared" si="96"/>
        <v>000000000000</v>
      </c>
      <c r="AM616" t="str">
        <f t="shared" si="88"/>
        <v xml:space="preserve">                              </v>
      </c>
      <c r="AP616" t="str">
        <f t="shared" si="89"/>
        <v/>
      </c>
    </row>
    <row r="617" spans="2:42" x14ac:dyDescent="0.2">
      <c r="B617" s="88"/>
      <c r="C617" s="80"/>
      <c r="D617" s="74"/>
      <c r="AF617" t="str">
        <f t="shared" si="90"/>
        <v>00000000</v>
      </c>
      <c r="AG617" s="81">
        <f t="shared" si="91"/>
        <v>0</v>
      </c>
      <c r="AH617" s="81">
        <f t="shared" si="92"/>
        <v>0</v>
      </c>
      <c r="AI617" t="str">
        <f t="shared" si="93"/>
        <v>0000000000</v>
      </c>
      <c r="AJ617" t="str">
        <f t="shared" si="94"/>
        <v>.00</v>
      </c>
      <c r="AK617" t="str">
        <f t="shared" si="95"/>
        <v>00</v>
      </c>
      <c r="AL617" t="str">
        <f t="shared" si="96"/>
        <v>000000000000</v>
      </c>
      <c r="AM617" t="str">
        <f t="shared" si="88"/>
        <v xml:space="preserve">                              </v>
      </c>
      <c r="AP617" t="str">
        <f t="shared" si="89"/>
        <v/>
      </c>
    </row>
    <row r="618" spans="2:42" x14ac:dyDescent="0.2">
      <c r="B618" s="88"/>
      <c r="C618" s="80"/>
      <c r="D618" s="74"/>
      <c r="AF618" t="str">
        <f t="shared" si="90"/>
        <v>00000000</v>
      </c>
      <c r="AG618" s="81">
        <f t="shared" si="91"/>
        <v>0</v>
      </c>
      <c r="AH618" s="81">
        <f t="shared" si="92"/>
        <v>0</v>
      </c>
      <c r="AI618" t="str">
        <f t="shared" si="93"/>
        <v>0000000000</v>
      </c>
      <c r="AJ618" t="str">
        <f t="shared" si="94"/>
        <v>.00</v>
      </c>
      <c r="AK618" t="str">
        <f t="shared" si="95"/>
        <v>00</v>
      </c>
      <c r="AL618" t="str">
        <f t="shared" si="96"/>
        <v>000000000000</v>
      </c>
      <c r="AM618" t="str">
        <f t="shared" si="88"/>
        <v xml:space="preserve">                              </v>
      </c>
      <c r="AP618" t="str">
        <f t="shared" si="89"/>
        <v/>
      </c>
    </row>
    <row r="619" spans="2:42" x14ac:dyDescent="0.2">
      <c r="B619" s="88"/>
      <c r="C619" s="80"/>
      <c r="D619" s="74"/>
      <c r="AF619" t="str">
        <f t="shared" si="90"/>
        <v>00000000</v>
      </c>
      <c r="AG619" s="81">
        <f t="shared" si="91"/>
        <v>0</v>
      </c>
      <c r="AH619" s="81">
        <f t="shared" si="92"/>
        <v>0</v>
      </c>
      <c r="AI619" t="str">
        <f t="shared" si="93"/>
        <v>0000000000</v>
      </c>
      <c r="AJ619" t="str">
        <f t="shared" si="94"/>
        <v>.00</v>
      </c>
      <c r="AK619" t="str">
        <f t="shared" si="95"/>
        <v>00</v>
      </c>
      <c r="AL619" t="str">
        <f t="shared" si="96"/>
        <v>000000000000</v>
      </c>
      <c r="AM619" t="str">
        <f t="shared" si="88"/>
        <v xml:space="preserve">                              </v>
      </c>
      <c r="AP619" t="str">
        <f t="shared" si="89"/>
        <v/>
      </c>
    </row>
    <row r="620" spans="2:42" x14ac:dyDescent="0.2">
      <c r="B620" s="88"/>
      <c r="C620" s="80"/>
      <c r="D620" s="74"/>
      <c r="AF620" t="str">
        <f t="shared" si="90"/>
        <v>00000000</v>
      </c>
      <c r="AG620" s="81">
        <f t="shared" si="91"/>
        <v>0</v>
      </c>
      <c r="AH620" s="81">
        <f t="shared" si="92"/>
        <v>0</v>
      </c>
      <c r="AI620" t="str">
        <f t="shared" si="93"/>
        <v>0000000000</v>
      </c>
      <c r="AJ620" t="str">
        <f t="shared" si="94"/>
        <v>.00</v>
      </c>
      <c r="AK620" t="str">
        <f t="shared" si="95"/>
        <v>00</v>
      </c>
      <c r="AL620" t="str">
        <f t="shared" si="96"/>
        <v>000000000000</v>
      </c>
      <c r="AM620" t="str">
        <f t="shared" si="88"/>
        <v xml:space="preserve">                              </v>
      </c>
      <c r="AP620" t="str">
        <f t="shared" si="89"/>
        <v/>
      </c>
    </row>
    <row r="621" spans="2:42" x14ac:dyDescent="0.2">
      <c r="B621" s="88"/>
      <c r="C621" s="80"/>
      <c r="D621" s="74"/>
      <c r="AF621" t="str">
        <f t="shared" si="90"/>
        <v>00000000</v>
      </c>
      <c r="AG621" s="81">
        <f t="shared" si="91"/>
        <v>0</v>
      </c>
      <c r="AH621" s="81">
        <f t="shared" si="92"/>
        <v>0</v>
      </c>
      <c r="AI621" t="str">
        <f t="shared" si="93"/>
        <v>0000000000</v>
      </c>
      <c r="AJ621" t="str">
        <f t="shared" si="94"/>
        <v>.00</v>
      </c>
      <c r="AK621" t="str">
        <f t="shared" si="95"/>
        <v>00</v>
      </c>
      <c r="AL621" t="str">
        <f t="shared" si="96"/>
        <v>000000000000</v>
      </c>
      <c r="AM621" t="str">
        <f t="shared" si="88"/>
        <v xml:space="preserve">                              </v>
      </c>
      <c r="AP621" t="str">
        <f t="shared" si="89"/>
        <v/>
      </c>
    </row>
    <row r="622" spans="2:42" x14ac:dyDescent="0.2">
      <c r="B622" s="88"/>
      <c r="C622" s="80"/>
      <c r="D622" s="74"/>
      <c r="AF622" t="str">
        <f t="shared" si="90"/>
        <v>00000000</v>
      </c>
      <c r="AG622" s="81">
        <f t="shared" si="91"/>
        <v>0</v>
      </c>
      <c r="AH622" s="81">
        <f t="shared" si="92"/>
        <v>0</v>
      </c>
      <c r="AI622" t="str">
        <f t="shared" si="93"/>
        <v>0000000000</v>
      </c>
      <c r="AJ622" t="str">
        <f t="shared" si="94"/>
        <v>.00</v>
      </c>
      <c r="AK622" t="str">
        <f t="shared" si="95"/>
        <v>00</v>
      </c>
      <c r="AL622" t="str">
        <f t="shared" si="96"/>
        <v>000000000000</v>
      </c>
      <c r="AM622" t="str">
        <f t="shared" si="88"/>
        <v xml:space="preserve">                              </v>
      </c>
      <c r="AP622" t="str">
        <f t="shared" si="89"/>
        <v/>
      </c>
    </row>
    <row r="623" spans="2:42" x14ac:dyDescent="0.2">
      <c r="B623" s="88"/>
      <c r="C623" s="80"/>
      <c r="D623" s="74"/>
      <c r="AF623" t="str">
        <f t="shared" si="90"/>
        <v>00000000</v>
      </c>
      <c r="AG623" s="81">
        <f t="shared" si="91"/>
        <v>0</v>
      </c>
      <c r="AH623" s="81">
        <f t="shared" si="92"/>
        <v>0</v>
      </c>
      <c r="AI623" t="str">
        <f t="shared" si="93"/>
        <v>0000000000</v>
      </c>
      <c r="AJ623" t="str">
        <f t="shared" si="94"/>
        <v>.00</v>
      </c>
      <c r="AK623" t="str">
        <f t="shared" si="95"/>
        <v>00</v>
      </c>
      <c r="AL623" t="str">
        <f t="shared" si="96"/>
        <v>000000000000</v>
      </c>
      <c r="AM623" t="str">
        <f t="shared" si="88"/>
        <v xml:space="preserve">                              </v>
      </c>
      <c r="AP623" t="str">
        <f t="shared" si="89"/>
        <v/>
      </c>
    </row>
    <row r="624" spans="2:42" x14ac:dyDescent="0.2">
      <c r="B624" s="88"/>
      <c r="C624" s="80"/>
      <c r="D624" s="74"/>
      <c r="AF624" t="str">
        <f t="shared" si="90"/>
        <v>00000000</v>
      </c>
      <c r="AG624" s="81">
        <f t="shared" si="91"/>
        <v>0</v>
      </c>
      <c r="AH624" s="81">
        <f t="shared" si="92"/>
        <v>0</v>
      </c>
      <c r="AI624" t="str">
        <f t="shared" si="93"/>
        <v>0000000000</v>
      </c>
      <c r="AJ624" t="str">
        <f t="shared" si="94"/>
        <v>.00</v>
      </c>
      <c r="AK624" t="str">
        <f t="shared" si="95"/>
        <v>00</v>
      </c>
      <c r="AL624" t="str">
        <f t="shared" si="96"/>
        <v>000000000000</v>
      </c>
      <c r="AM624" t="str">
        <f t="shared" si="88"/>
        <v xml:space="preserve">                              </v>
      </c>
      <c r="AP624" t="str">
        <f t="shared" si="89"/>
        <v/>
      </c>
    </row>
    <row r="625" spans="2:42" x14ac:dyDescent="0.2">
      <c r="B625" s="88"/>
      <c r="C625" s="80"/>
      <c r="D625" s="74"/>
      <c r="AF625" t="str">
        <f t="shared" si="90"/>
        <v>00000000</v>
      </c>
      <c r="AG625" s="81">
        <f t="shared" si="91"/>
        <v>0</v>
      </c>
      <c r="AH625" s="81">
        <f t="shared" si="92"/>
        <v>0</v>
      </c>
      <c r="AI625" t="str">
        <f t="shared" si="93"/>
        <v>0000000000</v>
      </c>
      <c r="AJ625" t="str">
        <f t="shared" si="94"/>
        <v>.00</v>
      </c>
      <c r="AK625" t="str">
        <f t="shared" si="95"/>
        <v>00</v>
      </c>
      <c r="AL625" t="str">
        <f t="shared" si="96"/>
        <v>000000000000</v>
      </c>
      <c r="AM625" t="str">
        <f t="shared" si="88"/>
        <v xml:space="preserve">                              </v>
      </c>
      <c r="AP625" t="str">
        <f t="shared" si="89"/>
        <v/>
      </c>
    </row>
    <row r="626" spans="2:42" x14ac:dyDescent="0.2">
      <c r="B626" s="88"/>
      <c r="C626" s="80"/>
      <c r="D626" s="74"/>
      <c r="AF626" t="str">
        <f t="shared" si="90"/>
        <v>00000000</v>
      </c>
      <c r="AG626" s="81">
        <f t="shared" si="91"/>
        <v>0</v>
      </c>
      <c r="AH626" s="81">
        <f t="shared" si="92"/>
        <v>0</v>
      </c>
      <c r="AI626" t="str">
        <f t="shared" si="93"/>
        <v>0000000000</v>
      </c>
      <c r="AJ626" t="str">
        <f t="shared" si="94"/>
        <v>.00</v>
      </c>
      <c r="AK626" t="str">
        <f t="shared" si="95"/>
        <v>00</v>
      </c>
      <c r="AL626" t="str">
        <f t="shared" si="96"/>
        <v>000000000000</v>
      </c>
      <c r="AM626" t="str">
        <f t="shared" si="88"/>
        <v xml:space="preserve">                              </v>
      </c>
      <c r="AP626" t="str">
        <f t="shared" si="89"/>
        <v/>
      </c>
    </row>
    <row r="627" spans="2:42" x14ac:dyDescent="0.2">
      <c r="B627" s="88"/>
      <c r="C627" s="80"/>
      <c r="D627" s="74"/>
      <c r="AF627" t="str">
        <f t="shared" si="90"/>
        <v>00000000</v>
      </c>
      <c r="AG627" s="81">
        <f t="shared" si="91"/>
        <v>0</v>
      </c>
      <c r="AH627" s="81">
        <f t="shared" si="92"/>
        <v>0</v>
      </c>
      <c r="AI627" t="str">
        <f t="shared" si="93"/>
        <v>0000000000</v>
      </c>
      <c r="AJ627" t="str">
        <f t="shared" si="94"/>
        <v>.00</v>
      </c>
      <c r="AK627" t="str">
        <f t="shared" si="95"/>
        <v>00</v>
      </c>
      <c r="AL627" t="str">
        <f t="shared" si="96"/>
        <v>000000000000</v>
      </c>
      <c r="AM627" t="str">
        <f t="shared" si="88"/>
        <v xml:space="preserve">                              </v>
      </c>
      <c r="AP627" t="str">
        <f t="shared" si="89"/>
        <v/>
      </c>
    </row>
    <row r="628" spans="2:42" x14ac:dyDescent="0.2">
      <c r="B628" s="88"/>
      <c r="C628" s="80"/>
      <c r="D628" s="74"/>
      <c r="AF628" t="str">
        <f t="shared" si="90"/>
        <v>00000000</v>
      </c>
      <c r="AG628" s="81">
        <f t="shared" si="91"/>
        <v>0</v>
      </c>
      <c r="AH628" s="81">
        <f t="shared" si="92"/>
        <v>0</v>
      </c>
      <c r="AI628" t="str">
        <f t="shared" si="93"/>
        <v>0000000000</v>
      </c>
      <c r="AJ628" t="str">
        <f t="shared" si="94"/>
        <v>.00</v>
      </c>
      <c r="AK628" t="str">
        <f t="shared" si="95"/>
        <v>00</v>
      </c>
      <c r="AL628" t="str">
        <f t="shared" si="96"/>
        <v>000000000000</v>
      </c>
      <c r="AM628" t="str">
        <f t="shared" si="88"/>
        <v xml:space="preserve">                              </v>
      </c>
      <c r="AP628" t="str">
        <f t="shared" si="89"/>
        <v/>
      </c>
    </row>
    <row r="629" spans="2:42" x14ac:dyDescent="0.2">
      <c r="B629" s="88"/>
      <c r="C629" s="80"/>
      <c r="D629" s="74"/>
      <c r="AF629" t="str">
        <f t="shared" si="90"/>
        <v>00000000</v>
      </c>
      <c r="AG629" s="81">
        <f t="shared" si="91"/>
        <v>0</v>
      </c>
      <c r="AH629" s="81">
        <f t="shared" si="92"/>
        <v>0</v>
      </c>
      <c r="AI629" t="str">
        <f t="shared" si="93"/>
        <v>0000000000</v>
      </c>
      <c r="AJ629" t="str">
        <f t="shared" si="94"/>
        <v>.00</v>
      </c>
      <c r="AK629" t="str">
        <f t="shared" si="95"/>
        <v>00</v>
      </c>
      <c r="AL629" t="str">
        <f t="shared" si="96"/>
        <v>000000000000</v>
      </c>
      <c r="AM629" t="str">
        <f t="shared" si="88"/>
        <v xml:space="preserve">                              </v>
      </c>
      <c r="AP629" t="str">
        <f t="shared" si="89"/>
        <v/>
      </c>
    </row>
    <row r="630" spans="2:42" x14ac:dyDescent="0.2">
      <c r="B630" s="88"/>
      <c r="C630" s="80"/>
      <c r="D630" s="74"/>
      <c r="AF630" t="str">
        <f t="shared" si="90"/>
        <v>00000000</v>
      </c>
      <c r="AG630" s="81">
        <f t="shared" si="91"/>
        <v>0</v>
      </c>
      <c r="AH630" s="81">
        <f t="shared" si="92"/>
        <v>0</v>
      </c>
      <c r="AI630" t="str">
        <f t="shared" si="93"/>
        <v>0000000000</v>
      </c>
      <c r="AJ630" t="str">
        <f t="shared" si="94"/>
        <v>.00</v>
      </c>
      <c r="AK630" t="str">
        <f t="shared" si="95"/>
        <v>00</v>
      </c>
      <c r="AL630" t="str">
        <f t="shared" si="96"/>
        <v>000000000000</v>
      </c>
      <c r="AM630" t="str">
        <f t="shared" si="88"/>
        <v xml:space="preserve">                              </v>
      </c>
      <c r="AP630" t="str">
        <f t="shared" si="89"/>
        <v/>
      </c>
    </row>
    <row r="631" spans="2:42" x14ac:dyDescent="0.2">
      <c r="B631" s="88"/>
      <c r="C631" s="80"/>
      <c r="D631" s="74"/>
      <c r="AF631" t="str">
        <f t="shared" si="90"/>
        <v>00000000</v>
      </c>
      <c r="AG631" s="81">
        <f t="shared" si="91"/>
        <v>0</v>
      </c>
      <c r="AH631" s="81">
        <f t="shared" si="92"/>
        <v>0</v>
      </c>
      <c r="AI631" t="str">
        <f t="shared" si="93"/>
        <v>0000000000</v>
      </c>
      <c r="AJ631" t="str">
        <f t="shared" si="94"/>
        <v>.00</v>
      </c>
      <c r="AK631" t="str">
        <f t="shared" si="95"/>
        <v>00</v>
      </c>
      <c r="AL631" t="str">
        <f t="shared" si="96"/>
        <v>000000000000</v>
      </c>
      <c r="AM631" t="str">
        <f t="shared" si="88"/>
        <v xml:space="preserve">                              </v>
      </c>
      <c r="AP631" t="str">
        <f t="shared" si="89"/>
        <v/>
      </c>
    </row>
    <row r="632" spans="2:42" x14ac:dyDescent="0.2">
      <c r="B632" s="88"/>
      <c r="C632" s="80"/>
      <c r="D632" s="74"/>
      <c r="AF632" t="str">
        <f t="shared" si="90"/>
        <v>00000000</v>
      </c>
      <c r="AG632" s="81">
        <f t="shared" si="91"/>
        <v>0</v>
      </c>
      <c r="AH632" s="81">
        <f t="shared" si="92"/>
        <v>0</v>
      </c>
      <c r="AI632" t="str">
        <f t="shared" si="93"/>
        <v>0000000000</v>
      </c>
      <c r="AJ632" t="str">
        <f t="shared" si="94"/>
        <v>.00</v>
      </c>
      <c r="AK632" t="str">
        <f t="shared" si="95"/>
        <v>00</v>
      </c>
      <c r="AL632" t="str">
        <f t="shared" si="96"/>
        <v>000000000000</v>
      </c>
      <c r="AM632" t="str">
        <f t="shared" si="88"/>
        <v xml:space="preserve">                              </v>
      </c>
      <c r="AP632" t="str">
        <f t="shared" si="89"/>
        <v/>
      </c>
    </row>
    <row r="633" spans="2:42" x14ac:dyDescent="0.2">
      <c r="B633" s="88"/>
      <c r="C633" s="80"/>
      <c r="D633" s="74"/>
      <c r="AF633" t="str">
        <f t="shared" si="90"/>
        <v>00000000</v>
      </c>
      <c r="AG633" s="81">
        <f t="shared" si="91"/>
        <v>0</v>
      </c>
      <c r="AH633" s="81">
        <f t="shared" si="92"/>
        <v>0</v>
      </c>
      <c r="AI633" t="str">
        <f t="shared" si="93"/>
        <v>0000000000</v>
      </c>
      <c r="AJ633" t="str">
        <f t="shared" si="94"/>
        <v>.00</v>
      </c>
      <c r="AK633" t="str">
        <f t="shared" si="95"/>
        <v>00</v>
      </c>
      <c r="AL633" t="str">
        <f t="shared" si="96"/>
        <v>000000000000</v>
      </c>
      <c r="AM633" t="str">
        <f t="shared" si="88"/>
        <v xml:space="preserve">                              </v>
      </c>
      <c r="AP633" t="str">
        <f t="shared" si="89"/>
        <v/>
      </c>
    </row>
    <row r="634" spans="2:42" x14ac:dyDescent="0.2">
      <c r="B634" s="88"/>
      <c r="C634" s="80"/>
      <c r="D634" s="74"/>
      <c r="AF634" t="str">
        <f t="shared" si="90"/>
        <v>00000000</v>
      </c>
      <c r="AG634" s="81">
        <f t="shared" si="91"/>
        <v>0</v>
      </c>
      <c r="AH634" s="81">
        <f t="shared" si="92"/>
        <v>0</v>
      </c>
      <c r="AI634" t="str">
        <f t="shared" si="93"/>
        <v>0000000000</v>
      </c>
      <c r="AJ634" t="str">
        <f t="shared" si="94"/>
        <v>.00</v>
      </c>
      <c r="AK634" t="str">
        <f t="shared" si="95"/>
        <v>00</v>
      </c>
      <c r="AL634" t="str">
        <f t="shared" si="96"/>
        <v>000000000000</v>
      </c>
      <c r="AM634" t="str">
        <f t="shared" si="88"/>
        <v xml:space="preserve">                              </v>
      </c>
      <c r="AP634" t="str">
        <f t="shared" si="89"/>
        <v/>
      </c>
    </row>
    <row r="635" spans="2:42" x14ac:dyDescent="0.2">
      <c r="B635" s="88"/>
      <c r="C635" s="80"/>
      <c r="D635" s="74"/>
      <c r="AF635" t="str">
        <f t="shared" si="90"/>
        <v>00000000</v>
      </c>
      <c r="AG635" s="81">
        <f t="shared" si="91"/>
        <v>0</v>
      </c>
      <c r="AH635" s="81">
        <f t="shared" si="92"/>
        <v>0</v>
      </c>
      <c r="AI635" t="str">
        <f t="shared" si="93"/>
        <v>0000000000</v>
      </c>
      <c r="AJ635" t="str">
        <f t="shared" si="94"/>
        <v>.00</v>
      </c>
      <c r="AK635" t="str">
        <f t="shared" si="95"/>
        <v>00</v>
      </c>
      <c r="AL635" t="str">
        <f t="shared" si="96"/>
        <v>000000000000</v>
      </c>
      <c r="AM635" t="str">
        <f t="shared" si="88"/>
        <v xml:space="preserve">                              </v>
      </c>
      <c r="AP635" t="str">
        <f t="shared" si="89"/>
        <v/>
      </c>
    </row>
    <row r="636" spans="2:42" x14ac:dyDescent="0.2">
      <c r="B636" s="88"/>
      <c r="C636" s="80"/>
      <c r="D636" s="74"/>
      <c r="AF636" t="str">
        <f t="shared" si="90"/>
        <v>00000000</v>
      </c>
      <c r="AG636" s="81">
        <f t="shared" si="91"/>
        <v>0</v>
      </c>
      <c r="AH636" s="81">
        <f t="shared" si="92"/>
        <v>0</v>
      </c>
      <c r="AI636" t="str">
        <f t="shared" si="93"/>
        <v>0000000000</v>
      </c>
      <c r="AJ636" t="str">
        <f t="shared" si="94"/>
        <v>.00</v>
      </c>
      <c r="AK636" t="str">
        <f t="shared" si="95"/>
        <v>00</v>
      </c>
      <c r="AL636" t="str">
        <f t="shared" si="96"/>
        <v>000000000000</v>
      </c>
      <c r="AM636" t="str">
        <f t="shared" si="88"/>
        <v xml:space="preserve">                              </v>
      </c>
      <c r="AP636" t="str">
        <f t="shared" si="89"/>
        <v/>
      </c>
    </row>
    <row r="637" spans="2:42" x14ac:dyDescent="0.2">
      <c r="B637" s="88"/>
      <c r="C637" s="80"/>
      <c r="D637" s="74"/>
      <c r="AF637" t="str">
        <f t="shared" si="90"/>
        <v>00000000</v>
      </c>
      <c r="AG637" s="81">
        <f t="shared" si="91"/>
        <v>0</v>
      </c>
      <c r="AH637" s="81">
        <f t="shared" si="92"/>
        <v>0</v>
      </c>
      <c r="AI637" t="str">
        <f t="shared" si="93"/>
        <v>0000000000</v>
      </c>
      <c r="AJ637" t="str">
        <f t="shared" si="94"/>
        <v>.00</v>
      </c>
      <c r="AK637" t="str">
        <f t="shared" si="95"/>
        <v>00</v>
      </c>
      <c r="AL637" t="str">
        <f t="shared" si="96"/>
        <v>000000000000</v>
      </c>
      <c r="AM637" t="str">
        <f t="shared" si="88"/>
        <v xml:space="preserve">                              </v>
      </c>
      <c r="AP637" t="str">
        <f t="shared" si="89"/>
        <v/>
      </c>
    </row>
    <row r="638" spans="2:42" x14ac:dyDescent="0.2">
      <c r="B638" s="88"/>
      <c r="C638" s="80"/>
      <c r="D638" s="74"/>
      <c r="AF638" t="str">
        <f t="shared" si="90"/>
        <v>00000000</v>
      </c>
      <c r="AG638" s="81">
        <f t="shared" si="91"/>
        <v>0</v>
      </c>
      <c r="AH638" s="81">
        <f t="shared" si="92"/>
        <v>0</v>
      </c>
      <c r="AI638" t="str">
        <f t="shared" si="93"/>
        <v>0000000000</v>
      </c>
      <c r="AJ638" t="str">
        <f t="shared" si="94"/>
        <v>.00</v>
      </c>
      <c r="AK638" t="str">
        <f t="shared" si="95"/>
        <v>00</v>
      </c>
      <c r="AL638" t="str">
        <f t="shared" si="96"/>
        <v>000000000000</v>
      </c>
      <c r="AM638" t="str">
        <f t="shared" si="88"/>
        <v xml:space="preserve">                              </v>
      </c>
      <c r="AP638" t="str">
        <f t="shared" si="89"/>
        <v/>
      </c>
    </row>
    <row r="639" spans="2:42" x14ac:dyDescent="0.2">
      <c r="B639" s="88"/>
      <c r="C639" s="80"/>
      <c r="D639" s="74"/>
      <c r="AF639" t="str">
        <f t="shared" si="90"/>
        <v>00000000</v>
      </c>
      <c r="AG639" s="81">
        <f t="shared" si="91"/>
        <v>0</v>
      </c>
      <c r="AH639" s="81">
        <f t="shared" si="92"/>
        <v>0</v>
      </c>
      <c r="AI639" t="str">
        <f t="shared" si="93"/>
        <v>0000000000</v>
      </c>
      <c r="AJ639" t="str">
        <f t="shared" si="94"/>
        <v>.00</v>
      </c>
      <c r="AK639" t="str">
        <f t="shared" si="95"/>
        <v>00</v>
      </c>
      <c r="AL639" t="str">
        <f t="shared" si="96"/>
        <v>000000000000</v>
      </c>
      <c r="AM639" t="str">
        <f t="shared" si="88"/>
        <v xml:space="preserve">                              </v>
      </c>
      <c r="AP639" t="str">
        <f t="shared" si="89"/>
        <v/>
      </c>
    </row>
    <row r="640" spans="2:42" x14ac:dyDescent="0.2">
      <c r="B640" s="88"/>
      <c r="C640" s="80"/>
      <c r="D640" s="74"/>
      <c r="AF640" t="str">
        <f t="shared" si="90"/>
        <v>00000000</v>
      </c>
      <c r="AG640" s="81">
        <f t="shared" si="91"/>
        <v>0</v>
      </c>
      <c r="AH640" s="81">
        <f t="shared" si="92"/>
        <v>0</v>
      </c>
      <c r="AI640" t="str">
        <f t="shared" si="93"/>
        <v>0000000000</v>
      </c>
      <c r="AJ640" t="str">
        <f t="shared" si="94"/>
        <v>.00</v>
      </c>
      <c r="AK640" t="str">
        <f t="shared" si="95"/>
        <v>00</v>
      </c>
      <c r="AL640" t="str">
        <f t="shared" si="96"/>
        <v>000000000000</v>
      </c>
      <c r="AM640" t="str">
        <f t="shared" si="88"/>
        <v xml:space="preserve">                              </v>
      </c>
      <c r="AP640" t="str">
        <f t="shared" si="89"/>
        <v/>
      </c>
    </row>
    <row r="641" spans="2:42" x14ac:dyDescent="0.2">
      <c r="B641" s="88"/>
      <c r="C641" s="80"/>
      <c r="D641" s="74"/>
      <c r="AF641" t="str">
        <f t="shared" si="90"/>
        <v>00000000</v>
      </c>
      <c r="AG641" s="81">
        <f t="shared" si="91"/>
        <v>0</v>
      </c>
      <c r="AH641" s="81">
        <f t="shared" si="92"/>
        <v>0</v>
      </c>
      <c r="AI641" t="str">
        <f t="shared" si="93"/>
        <v>0000000000</v>
      </c>
      <c r="AJ641" t="str">
        <f t="shared" si="94"/>
        <v>.00</v>
      </c>
      <c r="AK641" t="str">
        <f t="shared" si="95"/>
        <v>00</v>
      </c>
      <c r="AL641" t="str">
        <f t="shared" si="96"/>
        <v>000000000000</v>
      </c>
      <c r="AM641" t="str">
        <f t="shared" si="88"/>
        <v xml:space="preserve">                              </v>
      </c>
      <c r="AP641" t="str">
        <f t="shared" si="89"/>
        <v/>
      </c>
    </row>
    <row r="642" spans="2:42" x14ac:dyDescent="0.2">
      <c r="B642" s="88"/>
      <c r="C642" s="80"/>
      <c r="D642" s="74"/>
      <c r="AF642" t="str">
        <f t="shared" si="90"/>
        <v>00000000</v>
      </c>
      <c r="AG642" s="81">
        <f t="shared" si="91"/>
        <v>0</v>
      </c>
      <c r="AH642" s="81">
        <f t="shared" si="92"/>
        <v>0</v>
      </c>
      <c r="AI642" t="str">
        <f t="shared" si="93"/>
        <v>0000000000</v>
      </c>
      <c r="AJ642" t="str">
        <f t="shared" si="94"/>
        <v>.00</v>
      </c>
      <c r="AK642" t="str">
        <f t="shared" si="95"/>
        <v>00</v>
      </c>
      <c r="AL642" t="str">
        <f t="shared" si="96"/>
        <v>000000000000</v>
      </c>
      <c r="AM642" t="str">
        <f t="shared" si="88"/>
        <v xml:space="preserve">                              </v>
      </c>
      <c r="AP642" t="str">
        <f t="shared" si="89"/>
        <v/>
      </c>
    </row>
    <row r="643" spans="2:42" x14ac:dyDescent="0.2">
      <c r="B643" s="88"/>
      <c r="C643" s="80"/>
      <c r="D643" s="74"/>
      <c r="AF643" t="str">
        <f t="shared" si="90"/>
        <v>00000000</v>
      </c>
      <c r="AG643" s="81">
        <f t="shared" si="91"/>
        <v>0</v>
      </c>
      <c r="AH643" s="81">
        <f t="shared" si="92"/>
        <v>0</v>
      </c>
      <c r="AI643" t="str">
        <f t="shared" si="93"/>
        <v>0000000000</v>
      </c>
      <c r="AJ643" t="str">
        <f t="shared" si="94"/>
        <v>.00</v>
      </c>
      <c r="AK643" t="str">
        <f t="shared" si="95"/>
        <v>00</v>
      </c>
      <c r="AL643" t="str">
        <f t="shared" si="96"/>
        <v>000000000000</v>
      </c>
      <c r="AM643" t="str">
        <f t="shared" ref="AM643:AM706" si="97">CONCATENATE(D644,REPT(" ",30-LEN(D644)))</f>
        <v xml:space="preserve">                              </v>
      </c>
      <c r="AP643" t="str">
        <f t="shared" ref="AP643:AP706" si="98">IF(B644&lt;&gt;"",CONCATENATE("000",$AA$3,"     ",$AB$3,$AC$3,$AD$3,"30000",AF643,AL643,$AC$1,AM643),"")</f>
        <v/>
      </c>
    </row>
    <row r="644" spans="2:42" x14ac:dyDescent="0.2">
      <c r="B644" s="88"/>
      <c r="C644" s="80"/>
      <c r="D644" s="74"/>
      <c r="AF644" t="str">
        <f t="shared" si="90"/>
        <v>00000000</v>
      </c>
      <c r="AG644" s="81">
        <f t="shared" si="91"/>
        <v>0</v>
      </c>
      <c r="AH644" s="81">
        <f t="shared" si="92"/>
        <v>0</v>
      </c>
      <c r="AI644" t="str">
        <f t="shared" si="93"/>
        <v>0000000000</v>
      </c>
      <c r="AJ644" t="str">
        <f t="shared" si="94"/>
        <v>.00</v>
      </c>
      <c r="AK644" t="str">
        <f t="shared" si="95"/>
        <v>00</v>
      </c>
      <c r="AL644" t="str">
        <f t="shared" si="96"/>
        <v>000000000000</v>
      </c>
      <c r="AM644" t="str">
        <f t="shared" si="97"/>
        <v xml:space="preserve">                              </v>
      </c>
      <c r="AP644" t="str">
        <f t="shared" si="98"/>
        <v/>
      </c>
    </row>
    <row r="645" spans="2:42" x14ac:dyDescent="0.2">
      <c r="B645" s="88"/>
      <c r="C645" s="80"/>
      <c r="D645" s="74"/>
      <c r="AF645" t="str">
        <f t="shared" si="90"/>
        <v>00000000</v>
      </c>
      <c r="AG645" s="81">
        <f t="shared" si="91"/>
        <v>0</v>
      </c>
      <c r="AH645" s="81">
        <f t="shared" si="92"/>
        <v>0</v>
      </c>
      <c r="AI645" t="str">
        <f t="shared" si="93"/>
        <v>0000000000</v>
      </c>
      <c r="AJ645" t="str">
        <f t="shared" si="94"/>
        <v>.00</v>
      </c>
      <c r="AK645" t="str">
        <f t="shared" si="95"/>
        <v>00</v>
      </c>
      <c r="AL645" t="str">
        <f t="shared" si="96"/>
        <v>000000000000</v>
      </c>
      <c r="AM645" t="str">
        <f t="shared" si="97"/>
        <v xml:space="preserve">                              </v>
      </c>
      <c r="AP645" t="str">
        <f t="shared" si="98"/>
        <v/>
      </c>
    </row>
    <row r="646" spans="2:42" x14ac:dyDescent="0.2">
      <c r="B646" s="88"/>
      <c r="C646" s="80"/>
      <c r="D646" s="74"/>
      <c r="AF646" t="str">
        <f t="shared" si="90"/>
        <v>00000000</v>
      </c>
      <c r="AG646" s="81">
        <f t="shared" si="91"/>
        <v>0</v>
      </c>
      <c r="AH646" s="81">
        <f t="shared" si="92"/>
        <v>0</v>
      </c>
      <c r="AI646" t="str">
        <f t="shared" si="93"/>
        <v>0000000000</v>
      </c>
      <c r="AJ646" t="str">
        <f t="shared" si="94"/>
        <v>.00</v>
      </c>
      <c r="AK646" t="str">
        <f t="shared" si="95"/>
        <v>00</v>
      </c>
      <c r="AL646" t="str">
        <f t="shared" si="96"/>
        <v>000000000000</v>
      </c>
      <c r="AM646" t="str">
        <f t="shared" si="97"/>
        <v xml:space="preserve">                              </v>
      </c>
      <c r="AP646" t="str">
        <f t="shared" si="98"/>
        <v/>
      </c>
    </row>
    <row r="647" spans="2:42" x14ac:dyDescent="0.2">
      <c r="B647" s="88"/>
      <c r="C647" s="80"/>
      <c r="D647" s="74"/>
      <c r="AF647" t="str">
        <f t="shared" si="90"/>
        <v>00000000</v>
      </c>
      <c r="AG647" s="81">
        <f t="shared" si="91"/>
        <v>0</v>
      </c>
      <c r="AH647" s="81">
        <f t="shared" si="92"/>
        <v>0</v>
      </c>
      <c r="AI647" t="str">
        <f t="shared" si="93"/>
        <v>0000000000</v>
      </c>
      <c r="AJ647" t="str">
        <f t="shared" si="94"/>
        <v>.00</v>
      </c>
      <c r="AK647" t="str">
        <f t="shared" si="95"/>
        <v>00</v>
      </c>
      <c r="AL647" t="str">
        <f t="shared" si="96"/>
        <v>000000000000</v>
      </c>
      <c r="AM647" t="str">
        <f t="shared" si="97"/>
        <v xml:space="preserve">                              </v>
      </c>
      <c r="AP647" t="str">
        <f t="shared" si="98"/>
        <v/>
      </c>
    </row>
    <row r="648" spans="2:42" x14ac:dyDescent="0.2">
      <c r="B648" s="88"/>
      <c r="C648" s="80"/>
      <c r="D648" s="74"/>
      <c r="AF648" t="str">
        <f t="shared" si="90"/>
        <v>00000000</v>
      </c>
      <c r="AG648" s="81">
        <f t="shared" si="91"/>
        <v>0</v>
      </c>
      <c r="AH648" s="81">
        <f t="shared" si="92"/>
        <v>0</v>
      </c>
      <c r="AI648" t="str">
        <f t="shared" si="93"/>
        <v>0000000000</v>
      </c>
      <c r="AJ648" t="str">
        <f t="shared" si="94"/>
        <v>.00</v>
      </c>
      <c r="AK648" t="str">
        <f t="shared" si="95"/>
        <v>00</v>
      </c>
      <c r="AL648" t="str">
        <f t="shared" si="96"/>
        <v>000000000000</v>
      </c>
      <c r="AM648" t="str">
        <f t="shared" si="97"/>
        <v xml:space="preserve">                              </v>
      </c>
      <c r="AP648" t="str">
        <f t="shared" si="98"/>
        <v/>
      </c>
    </row>
    <row r="649" spans="2:42" x14ac:dyDescent="0.2">
      <c r="B649" s="88"/>
      <c r="C649" s="80"/>
      <c r="D649" s="74"/>
      <c r="AF649" t="str">
        <f t="shared" si="90"/>
        <v>00000000</v>
      </c>
      <c r="AG649" s="81">
        <f t="shared" si="91"/>
        <v>0</v>
      </c>
      <c r="AH649" s="81">
        <f t="shared" si="92"/>
        <v>0</v>
      </c>
      <c r="AI649" t="str">
        <f t="shared" si="93"/>
        <v>0000000000</v>
      </c>
      <c r="AJ649" t="str">
        <f t="shared" si="94"/>
        <v>.00</v>
      </c>
      <c r="AK649" t="str">
        <f t="shared" si="95"/>
        <v>00</v>
      </c>
      <c r="AL649" t="str">
        <f t="shared" si="96"/>
        <v>000000000000</v>
      </c>
      <c r="AM649" t="str">
        <f t="shared" si="97"/>
        <v xml:space="preserve">                              </v>
      </c>
      <c r="AP649" t="str">
        <f t="shared" si="98"/>
        <v/>
      </c>
    </row>
    <row r="650" spans="2:42" x14ac:dyDescent="0.2">
      <c r="B650" s="88"/>
      <c r="C650" s="80"/>
      <c r="D650" s="74"/>
      <c r="AF650" t="str">
        <f t="shared" ref="AF650:AF713" si="99">CONCATENATE(REPT("0",8-LEN(B651)),B651)</f>
        <v>00000000</v>
      </c>
      <c r="AG650" s="81">
        <f t="shared" ref="AG650:AG713" si="100">INT(C651)</f>
        <v>0</v>
      </c>
      <c r="AH650" s="81">
        <f t="shared" ref="AH650:AH713" si="101">C651-AG650</f>
        <v>0</v>
      </c>
      <c r="AI650" t="str">
        <f t="shared" ref="AI650:AI713" si="102">TEXT(AG650,"0000000000")</f>
        <v>0000000000</v>
      </c>
      <c r="AJ650" t="str">
        <f t="shared" ref="AJ650:AJ713" si="103">TEXT(AH650,".00")</f>
        <v>.00</v>
      </c>
      <c r="AK650" t="str">
        <f t="shared" ref="AK650:AK713" si="104">MID(AJ650,2,2)</f>
        <v>00</v>
      </c>
      <c r="AL650" t="str">
        <f t="shared" ref="AL650:AL713" si="105">CONCATENATE(AI650,AK650)</f>
        <v>000000000000</v>
      </c>
      <c r="AM650" t="str">
        <f t="shared" si="97"/>
        <v xml:space="preserve">                              </v>
      </c>
      <c r="AP650" t="str">
        <f t="shared" si="98"/>
        <v/>
      </c>
    </row>
    <row r="651" spans="2:42" x14ac:dyDescent="0.2">
      <c r="B651" s="88"/>
      <c r="C651" s="80"/>
      <c r="D651" s="74"/>
      <c r="AF651" t="str">
        <f t="shared" si="99"/>
        <v>00000000</v>
      </c>
      <c r="AG651" s="81">
        <f t="shared" si="100"/>
        <v>0</v>
      </c>
      <c r="AH651" s="81">
        <f t="shared" si="101"/>
        <v>0</v>
      </c>
      <c r="AI651" t="str">
        <f t="shared" si="102"/>
        <v>0000000000</v>
      </c>
      <c r="AJ651" t="str">
        <f t="shared" si="103"/>
        <v>.00</v>
      </c>
      <c r="AK651" t="str">
        <f t="shared" si="104"/>
        <v>00</v>
      </c>
      <c r="AL651" t="str">
        <f t="shared" si="105"/>
        <v>000000000000</v>
      </c>
      <c r="AM651" t="str">
        <f t="shared" si="97"/>
        <v xml:space="preserve">                              </v>
      </c>
      <c r="AP651" t="str">
        <f t="shared" si="98"/>
        <v/>
      </c>
    </row>
    <row r="652" spans="2:42" x14ac:dyDescent="0.2">
      <c r="B652" s="88"/>
      <c r="C652" s="80"/>
      <c r="D652" s="74"/>
      <c r="AF652" t="str">
        <f t="shared" si="99"/>
        <v>00000000</v>
      </c>
      <c r="AG652" s="81">
        <f t="shared" si="100"/>
        <v>0</v>
      </c>
      <c r="AH652" s="81">
        <f t="shared" si="101"/>
        <v>0</v>
      </c>
      <c r="AI652" t="str">
        <f t="shared" si="102"/>
        <v>0000000000</v>
      </c>
      <c r="AJ652" t="str">
        <f t="shared" si="103"/>
        <v>.00</v>
      </c>
      <c r="AK652" t="str">
        <f t="shared" si="104"/>
        <v>00</v>
      </c>
      <c r="AL652" t="str">
        <f t="shared" si="105"/>
        <v>000000000000</v>
      </c>
      <c r="AM652" t="str">
        <f t="shared" si="97"/>
        <v xml:space="preserve">                              </v>
      </c>
      <c r="AP652" t="str">
        <f t="shared" si="98"/>
        <v/>
      </c>
    </row>
    <row r="653" spans="2:42" x14ac:dyDescent="0.2">
      <c r="B653" s="88"/>
      <c r="C653" s="80"/>
      <c r="D653" s="74"/>
      <c r="AF653" t="str">
        <f t="shared" si="99"/>
        <v>00000000</v>
      </c>
      <c r="AG653" s="81">
        <f t="shared" si="100"/>
        <v>0</v>
      </c>
      <c r="AH653" s="81">
        <f t="shared" si="101"/>
        <v>0</v>
      </c>
      <c r="AI653" t="str">
        <f t="shared" si="102"/>
        <v>0000000000</v>
      </c>
      <c r="AJ653" t="str">
        <f t="shared" si="103"/>
        <v>.00</v>
      </c>
      <c r="AK653" t="str">
        <f t="shared" si="104"/>
        <v>00</v>
      </c>
      <c r="AL653" t="str">
        <f t="shared" si="105"/>
        <v>000000000000</v>
      </c>
      <c r="AM653" t="str">
        <f t="shared" si="97"/>
        <v xml:space="preserve">                              </v>
      </c>
      <c r="AP653" t="str">
        <f t="shared" si="98"/>
        <v/>
      </c>
    </row>
    <row r="654" spans="2:42" x14ac:dyDescent="0.2">
      <c r="B654" s="88"/>
      <c r="C654" s="80"/>
      <c r="D654" s="74"/>
      <c r="AF654" t="str">
        <f t="shared" si="99"/>
        <v>00000000</v>
      </c>
      <c r="AG654" s="81">
        <f t="shared" si="100"/>
        <v>0</v>
      </c>
      <c r="AH654" s="81">
        <f t="shared" si="101"/>
        <v>0</v>
      </c>
      <c r="AI654" t="str">
        <f t="shared" si="102"/>
        <v>0000000000</v>
      </c>
      <c r="AJ654" t="str">
        <f t="shared" si="103"/>
        <v>.00</v>
      </c>
      <c r="AK654" t="str">
        <f t="shared" si="104"/>
        <v>00</v>
      </c>
      <c r="AL654" t="str">
        <f t="shared" si="105"/>
        <v>000000000000</v>
      </c>
      <c r="AM654" t="str">
        <f t="shared" si="97"/>
        <v xml:space="preserve">                              </v>
      </c>
      <c r="AP654" t="str">
        <f t="shared" si="98"/>
        <v/>
      </c>
    </row>
    <row r="655" spans="2:42" x14ac:dyDescent="0.2">
      <c r="B655" s="88"/>
      <c r="C655" s="80"/>
      <c r="D655" s="74"/>
      <c r="AF655" t="str">
        <f t="shared" si="99"/>
        <v>00000000</v>
      </c>
      <c r="AG655" s="81">
        <f t="shared" si="100"/>
        <v>0</v>
      </c>
      <c r="AH655" s="81">
        <f t="shared" si="101"/>
        <v>0</v>
      </c>
      <c r="AI655" t="str">
        <f t="shared" si="102"/>
        <v>0000000000</v>
      </c>
      <c r="AJ655" t="str">
        <f t="shared" si="103"/>
        <v>.00</v>
      </c>
      <c r="AK655" t="str">
        <f t="shared" si="104"/>
        <v>00</v>
      </c>
      <c r="AL655" t="str">
        <f t="shared" si="105"/>
        <v>000000000000</v>
      </c>
      <c r="AM655" t="str">
        <f t="shared" si="97"/>
        <v xml:space="preserve">                              </v>
      </c>
      <c r="AP655" t="str">
        <f t="shared" si="98"/>
        <v/>
      </c>
    </row>
    <row r="656" spans="2:42" x14ac:dyDescent="0.2">
      <c r="B656" s="88"/>
      <c r="C656" s="80"/>
      <c r="D656" s="74"/>
      <c r="AF656" t="str">
        <f t="shared" si="99"/>
        <v>00000000</v>
      </c>
      <c r="AG656" s="81">
        <f t="shared" si="100"/>
        <v>0</v>
      </c>
      <c r="AH656" s="81">
        <f t="shared" si="101"/>
        <v>0</v>
      </c>
      <c r="AI656" t="str">
        <f t="shared" si="102"/>
        <v>0000000000</v>
      </c>
      <c r="AJ656" t="str">
        <f t="shared" si="103"/>
        <v>.00</v>
      </c>
      <c r="AK656" t="str">
        <f t="shared" si="104"/>
        <v>00</v>
      </c>
      <c r="AL656" t="str">
        <f t="shared" si="105"/>
        <v>000000000000</v>
      </c>
      <c r="AM656" t="str">
        <f t="shared" si="97"/>
        <v xml:space="preserve">                              </v>
      </c>
      <c r="AP656" t="str">
        <f t="shared" si="98"/>
        <v/>
      </c>
    </row>
    <row r="657" spans="2:42" x14ac:dyDescent="0.2">
      <c r="B657" s="88"/>
      <c r="C657" s="80"/>
      <c r="D657" s="74"/>
      <c r="AF657" t="str">
        <f t="shared" si="99"/>
        <v>00000000</v>
      </c>
      <c r="AG657" s="81">
        <f t="shared" si="100"/>
        <v>0</v>
      </c>
      <c r="AH657" s="81">
        <f t="shared" si="101"/>
        <v>0</v>
      </c>
      <c r="AI657" t="str">
        <f t="shared" si="102"/>
        <v>0000000000</v>
      </c>
      <c r="AJ657" t="str">
        <f t="shared" si="103"/>
        <v>.00</v>
      </c>
      <c r="AK657" t="str">
        <f t="shared" si="104"/>
        <v>00</v>
      </c>
      <c r="AL657" t="str">
        <f t="shared" si="105"/>
        <v>000000000000</v>
      </c>
      <c r="AM657" t="str">
        <f t="shared" si="97"/>
        <v xml:space="preserve">                              </v>
      </c>
      <c r="AP657" t="str">
        <f t="shared" si="98"/>
        <v/>
      </c>
    </row>
    <row r="658" spans="2:42" x14ac:dyDescent="0.2">
      <c r="B658" s="88"/>
      <c r="C658" s="80"/>
      <c r="D658" s="74"/>
      <c r="AF658" t="str">
        <f t="shared" si="99"/>
        <v>00000000</v>
      </c>
      <c r="AG658" s="81">
        <f t="shared" si="100"/>
        <v>0</v>
      </c>
      <c r="AH658" s="81">
        <f t="shared" si="101"/>
        <v>0</v>
      </c>
      <c r="AI658" t="str">
        <f t="shared" si="102"/>
        <v>0000000000</v>
      </c>
      <c r="AJ658" t="str">
        <f t="shared" si="103"/>
        <v>.00</v>
      </c>
      <c r="AK658" t="str">
        <f t="shared" si="104"/>
        <v>00</v>
      </c>
      <c r="AL658" t="str">
        <f t="shared" si="105"/>
        <v>000000000000</v>
      </c>
      <c r="AM658" t="str">
        <f t="shared" si="97"/>
        <v xml:space="preserve">                              </v>
      </c>
      <c r="AP658" t="str">
        <f t="shared" si="98"/>
        <v/>
      </c>
    </row>
    <row r="659" spans="2:42" x14ac:dyDescent="0.2">
      <c r="B659" s="88"/>
      <c r="C659" s="80"/>
      <c r="D659" s="74"/>
      <c r="AF659" t="str">
        <f t="shared" si="99"/>
        <v>00000000</v>
      </c>
      <c r="AG659" s="81">
        <f t="shared" si="100"/>
        <v>0</v>
      </c>
      <c r="AH659" s="81">
        <f t="shared" si="101"/>
        <v>0</v>
      </c>
      <c r="AI659" t="str">
        <f t="shared" si="102"/>
        <v>0000000000</v>
      </c>
      <c r="AJ659" t="str">
        <f t="shared" si="103"/>
        <v>.00</v>
      </c>
      <c r="AK659" t="str">
        <f t="shared" si="104"/>
        <v>00</v>
      </c>
      <c r="AL659" t="str">
        <f t="shared" si="105"/>
        <v>000000000000</v>
      </c>
      <c r="AM659" t="str">
        <f t="shared" si="97"/>
        <v xml:space="preserve">                              </v>
      </c>
      <c r="AP659" t="str">
        <f t="shared" si="98"/>
        <v/>
      </c>
    </row>
    <row r="660" spans="2:42" x14ac:dyDescent="0.2">
      <c r="B660" s="88"/>
      <c r="C660" s="80"/>
      <c r="D660" s="74"/>
      <c r="AF660" t="str">
        <f t="shared" si="99"/>
        <v>00000000</v>
      </c>
      <c r="AG660" s="81">
        <f t="shared" si="100"/>
        <v>0</v>
      </c>
      <c r="AH660" s="81">
        <f t="shared" si="101"/>
        <v>0</v>
      </c>
      <c r="AI660" t="str">
        <f t="shared" si="102"/>
        <v>0000000000</v>
      </c>
      <c r="AJ660" t="str">
        <f t="shared" si="103"/>
        <v>.00</v>
      </c>
      <c r="AK660" t="str">
        <f t="shared" si="104"/>
        <v>00</v>
      </c>
      <c r="AL660" t="str">
        <f t="shared" si="105"/>
        <v>000000000000</v>
      </c>
      <c r="AM660" t="str">
        <f t="shared" si="97"/>
        <v xml:space="preserve">                              </v>
      </c>
      <c r="AP660" t="str">
        <f t="shared" si="98"/>
        <v/>
      </c>
    </row>
    <row r="661" spans="2:42" x14ac:dyDescent="0.2">
      <c r="B661" s="88"/>
      <c r="C661" s="80"/>
      <c r="D661" s="74"/>
      <c r="AF661" t="str">
        <f t="shared" si="99"/>
        <v>00000000</v>
      </c>
      <c r="AG661" s="81">
        <f t="shared" si="100"/>
        <v>0</v>
      </c>
      <c r="AH661" s="81">
        <f t="shared" si="101"/>
        <v>0</v>
      </c>
      <c r="AI661" t="str">
        <f t="shared" si="102"/>
        <v>0000000000</v>
      </c>
      <c r="AJ661" t="str">
        <f t="shared" si="103"/>
        <v>.00</v>
      </c>
      <c r="AK661" t="str">
        <f t="shared" si="104"/>
        <v>00</v>
      </c>
      <c r="AL661" t="str">
        <f t="shared" si="105"/>
        <v>000000000000</v>
      </c>
      <c r="AM661" t="str">
        <f t="shared" si="97"/>
        <v xml:space="preserve">                              </v>
      </c>
      <c r="AP661" t="str">
        <f t="shared" si="98"/>
        <v/>
      </c>
    </row>
    <row r="662" spans="2:42" x14ac:dyDescent="0.2">
      <c r="B662" s="88"/>
      <c r="C662" s="80"/>
      <c r="D662" s="74"/>
      <c r="AF662" t="str">
        <f t="shared" si="99"/>
        <v>00000000</v>
      </c>
      <c r="AG662" s="81">
        <f t="shared" si="100"/>
        <v>0</v>
      </c>
      <c r="AH662" s="81">
        <f t="shared" si="101"/>
        <v>0</v>
      </c>
      <c r="AI662" t="str">
        <f t="shared" si="102"/>
        <v>0000000000</v>
      </c>
      <c r="AJ662" t="str">
        <f t="shared" si="103"/>
        <v>.00</v>
      </c>
      <c r="AK662" t="str">
        <f t="shared" si="104"/>
        <v>00</v>
      </c>
      <c r="AL662" t="str">
        <f t="shared" si="105"/>
        <v>000000000000</v>
      </c>
      <c r="AM662" t="str">
        <f t="shared" si="97"/>
        <v xml:space="preserve">                              </v>
      </c>
      <c r="AP662" t="str">
        <f t="shared" si="98"/>
        <v/>
      </c>
    </row>
    <row r="663" spans="2:42" x14ac:dyDescent="0.2">
      <c r="B663" s="88"/>
      <c r="C663" s="80"/>
      <c r="D663" s="74"/>
      <c r="AF663" t="str">
        <f t="shared" si="99"/>
        <v>00000000</v>
      </c>
      <c r="AG663" s="81">
        <f t="shared" si="100"/>
        <v>0</v>
      </c>
      <c r="AH663" s="81">
        <f t="shared" si="101"/>
        <v>0</v>
      </c>
      <c r="AI663" t="str">
        <f t="shared" si="102"/>
        <v>0000000000</v>
      </c>
      <c r="AJ663" t="str">
        <f t="shared" si="103"/>
        <v>.00</v>
      </c>
      <c r="AK663" t="str">
        <f t="shared" si="104"/>
        <v>00</v>
      </c>
      <c r="AL663" t="str">
        <f t="shared" si="105"/>
        <v>000000000000</v>
      </c>
      <c r="AM663" t="str">
        <f t="shared" si="97"/>
        <v xml:space="preserve">                              </v>
      </c>
      <c r="AP663" t="str">
        <f t="shared" si="98"/>
        <v/>
      </c>
    </row>
    <row r="664" spans="2:42" x14ac:dyDescent="0.2">
      <c r="B664" s="88"/>
      <c r="C664" s="80"/>
      <c r="D664" s="74"/>
      <c r="AF664" t="str">
        <f t="shared" si="99"/>
        <v>00000000</v>
      </c>
      <c r="AG664" s="81">
        <f t="shared" si="100"/>
        <v>0</v>
      </c>
      <c r="AH664" s="81">
        <f t="shared" si="101"/>
        <v>0</v>
      </c>
      <c r="AI664" t="str">
        <f t="shared" si="102"/>
        <v>0000000000</v>
      </c>
      <c r="AJ664" t="str">
        <f t="shared" si="103"/>
        <v>.00</v>
      </c>
      <c r="AK664" t="str">
        <f t="shared" si="104"/>
        <v>00</v>
      </c>
      <c r="AL664" t="str">
        <f t="shared" si="105"/>
        <v>000000000000</v>
      </c>
      <c r="AM664" t="str">
        <f t="shared" si="97"/>
        <v xml:space="preserve">                              </v>
      </c>
      <c r="AP664" t="str">
        <f t="shared" si="98"/>
        <v/>
      </c>
    </row>
    <row r="665" spans="2:42" x14ac:dyDescent="0.2">
      <c r="B665" s="88"/>
      <c r="C665" s="80"/>
      <c r="D665" s="74"/>
      <c r="AF665" t="str">
        <f t="shared" si="99"/>
        <v>00000000</v>
      </c>
      <c r="AG665" s="81">
        <f t="shared" si="100"/>
        <v>0</v>
      </c>
      <c r="AH665" s="81">
        <f t="shared" si="101"/>
        <v>0</v>
      </c>
      <c r="AI665" t="str">
        <f t="shared" si="102"/>
        <v>0000000000</v>
      </c>
      <c r="AJ665" t="str">
        <f t="shared" si="103"/>
        <v>.00</v>
      </c>
      <c r="AK665" t="str">
        <f t="shared" si="104"/>
        <v>00</v>
      </c>
      <c r="AL665" t="str">
        <f t="shared" si="105"/>
        <v>000000000000</v>
      </c>
      <c r="AM665" t="str">
        <f t="shared" si="97"/>
        <v xml:space="preserve">                              </v>
      </c>
      <c r="AP665" t="str">
        <f t="shared" si="98"/>
        <v/>
      </c>
    </row>
    <row r="666" spans="2:42" x14ac:dyDescent="0.2">
      <c r="B666" s="88"/>
      <c r="C666" s="80"/>
      <c r="D666" s="74"/>
      <c r="AF666" t="str">
        <f t="shared" si="99"/>
        <v>00000000</v>
      </c>
      <c r="AG666" s="81">
        <f t="shared" si="100"/>
        <v>0</v>
      </c>
      <c r="AH666" s="81">
        <f t="shared" si="101"/>
        <v>0</v>
      </c>
      <c r="AI666" t="str">
        <f t="shared" si="102"/>
        <v>0000000000</v>
      </c>
      <c r="AJ666" t="str">
        <f t="shared" si="103"/>
        <v>.00</v>
      </c>
      <c r="AK666" t="str">
        <f t="shared" si="104"/>
        <v>00</v>
      </c>
      <c r="AL666" t="str">
        <f t="shared" si="105"/>
        <v>000000000000</v>
      </c>
      <c r="AM666" t="str">
        <f t="shared" si="97"/>
        <v xml:space="preserve">                              </v>
      </c>
      <c r="AP666" t="str">
        <f t="shared" si="98"/>
        <v/>
      </c>
    </row>
    <row r="667" spans="2:42" x14ac:dyDescent="0.2">
      <c r="B667" s="88"/>
      <c r="C667" s="80"/>
      <c r="D667" s="74"/>
      <c r="AF667" t="str">
        <f t="shared" si="99"/>
        <v>00000000</v>
      </c>
      <c r="AG667" s="81">
        <f t="shared" si="100"/>
        <v>0</v>
      </c>
      <c r="AH667" s="81">
        <f t="shared" si="101"/>
        <v>0</v>
      </c>
      <c r="AI667" t="str">
        <f t="shared" si="102"/>
        <v>0000000000</v>
      </c>
      <c r="AJ667" t="str">
        <f t="shared" si="103"/>
        <v>.00</v>
      </c>
      <c r="AK667" t="str">
        <f t="shared" si="104"/>
        <v>00</v>
      </c>
      <c r="AL667" t="str">
        <f t="shared" si="105"/>
        <v>000000000000</v>
      </c>
      <c r="AM667" t="str">
        <f t="shared" si="97"/>
        <v xml:space="preserve">                              </v>
      </c>
      <c r="AP667" t="str">
        <f t="shared" si="98"/>
        <v/>
      </c>
    </row>
    <row r="668" spans="2:42" x14ac:dyDescent="0.2">
      <c r="B668" s="88"/>
      <c r="C668" s="80"/>
      <c r="D668" s="74"/>
      <c r="AF668" t="str">
        <f t="shared" si="99"/>
        <v>00000000</v>
      </c>
      <c r="AG668" s="81">
        <f t="shared" si="100"/>
        <v>0</v>
      </c>
      <c r="AH668" s="81">
        <f t="shared" si="101"/>
        <v>0</v>
      </c>
      <c r="AI668" t="str">
        <f t="shared" si="102"/>
        <v>0000000000</v>
      </c>
      <c r="AJ668" t="str">
        <f t="shared" si="103"/>
        <v>.00</v>
      </c>
      <c r="AK668" t="str">
        <f t="shared" si="104"/>
        <v>00</v>
      </c>
      <c r="AL668" t="str">
        <f t="shared" si="105"/>
        <v>000000000000</v>
      </c>
      <c r="AM668" t="str">
        <f t="shared" si="97"/>
        <v xml:space="preserve">                              </v>
      </c>
      <c r="AP668" t="str">
        <f t="shared" si="98"/>
        <v/>
      </c>
    </row>
    <row r="669" spans="2:42" x14ac:dyDescent="0.2">
      <c r="B669" s="88"/>
      <c r="C669" s="80"/>
      <c r="D669" s="74"/>
      <c r="AF669" t="str">
        <f t="shared" si="99"/>
        <v>00000000</v>
      </c>
      <c r="AG669" s="81">
        <f t="shared" si="100"/>
        <v>0</v>
      </c>
      <c r="AH669" s="81">
        <f t="shared" si="101"/>
        <v>0</v>
      </c>
      <c r="AI669" t="str">
        <f t="shared" si="102"/>
        <v>0000000000</v>
      </c>
      <c r="AJ669" t="str">
        <f t="shared" si="103"/>
        <v>.00</v>
      </c>
      <c r="AK669" t="str">
        <f t="shared" si="104"/>
        <v>00</v>
      </c>
      <c r="AL669" t="str">
        <f t="shared" si="105"/>
        <v>000000000000</v>
      </c>
      <c r="AM669" t="str">
        <f t="shared" si="97"/>
        <v xml:space="preserve">                              </v>
      </c>
      <c r="AP669" t="str">
        <f t="shared" si="98"/>
        <v/>
      </c>
    </row>
    <row r="670" spans="2:42" x14ac:dyDescent="0.2">
      <c r="B670" s="88"/>
      <c r="C670" s="80"/>
      <c r="D670" s="74"/>
      <c r="AF670" t="str">
        <f t="shared" si="99"/>
        <v>00000000</v>
      </c>
      <c r="AG670" s="81">
        <f t="shared" si="100"/>
        <v>0</v>
      </c>
      <c r="AH670" s="81">
        <f t="shared" si="101"/>
        <v>0</v>
      </c>
      <c r="AI670" t="str">
        <f t="shared" si="102"/>
        <v>0000000000</v>
      </c>
      <c r="AJ670" t="str">
        <f t="shared" si="103"/>
        <v>.00</v>
      </c>
      <c r="AK670" t="str">
        <f t="shared" si="104"/>
        <v>00</v>
      </c>
      <c r="AL670" t="str">
        <f t="shared" si="105"/>
        <v>000000000000</v>
      </c>
      <c r="AM670" t="str">
        <f t="shared" si="97"/>
        <v xml:space="preserve">                              </v>
      </c>
      <c r="AP670" t="str">
        <f t="shared" si="98"/>
        <v/>
      </c>
    </row>
    <row r="671" spans="2:42" x14ac:dyDescent="0.2">
      <c r="B671" s="88"/>
      <c r="C671" s="80"/>
      <c r="D671" s="74"/>
      <c r="AF671" t="str">
        <f t="shared" si="99"/>
        <v>00000000</v>
      </c>
      <c r="AG671" s="81">
        <f t="shared" si="100"/>
        <v>0</v>
      </c>
      <c r="AH671" s="81">
        <f t="shared" si="101"/>
        <v>0</v>
      </c>
      <c r="AI671" t="str">
        <f t="shared" si="102"/>
        <v>0000000000</v>
      </c>
      <c r="AJ671" t="str">
        <f t="shared" si="103"/>
        <v>.00</v>
      </c>
      <c r="AK671" t="str">
        <f t="shared" si="104"/>
        <v>00</v>
      </c>
      <c r="AL671" t="str">
        <f t="shared" si="105"/>
        <v>000000000000</v>
      </c>
      <c r="AM671" t="str">
        <f t="shared" si="97"/>
        <v xml:space="preserve">                              </v>
      </c>
      <c r="AP671" t="str">
        <f t="shared" si="98"/>
        <v/>
      </c>
    </row>
    <row r="672" spans="2:42" x14ac:dyDescent="0.2">
      <c r="B672" s="88"/>
      <c r="C672" s="80"/>
      <c r="D672" s="74"/>
      <c r="AF672" t="str">
        <f t="shared" si="99"/>
        <v>00000000</v>
      </c>
      <c r="AG672" s="81">
        <f t="shared" si="100"/>
        <v>0</v>
      </c>
      <c r="AH672" s="81">
        <f t="shared" si="101"/>
        <v>0</v>
      </c>
      <c r="AI672" t="str">
        <f t="shared" si="102"/>
        <v>0000000000</v>
      </c>
      <c r="AJ672" t="str">
        <f t="shared" si="103"/>
        <v>.00</v>
      </c>
      <c r="AK672" t="str">
        <f t="shared" si="104"/>
        <v>00</v>
      </c>
      <c r="AL672" t="str">
        <f t="shared" si="105"/>
        <v>000000000000</v>
      </c>
      <c r="AM672" t="str">
        <f t="shared" si="97"/>
        <v xml:space="preserve">                              </v>
      </c>
      <c r="AP672" t="str">
        <f t="shared" si="98"/>
        <v/>
      </c>
    </row>
    <row r="673" spans="2:42" x14ac:dyDescent="0.2">
      <c r="B673" s="88"/>
      <c r="C673" s="80"/>
      <c r="D673" s="74"/>
      <c r="AF673" t="str">
        <f t="shared" si="99"/>
        <v>00000000</v>
      </c>
      <c r="AG673" s="81">
        <f t="shared" si="100"/>
        <v>0</v>
      </c>
      <c r="AH673" s="81">
        <f t="shared" si="101"/>
        <v>0</v>
      </c>
      <c r="AI673" t="str">
        <f t="shared" si="102"/>
        <v>0000000000</v>
      </c>
      <c r="AJ673" t="str">
        <f t="shared" si="103"/>
        <v>.00</v>
      </c>
      <c r="AK673" t="str">
        <f t="shared" si="104"/>
        <v>00</v>
      </c>
      <c r="AL673" t="str">
        <f t="shared" si="105"/>
        <v>000000000000</v>
      </c>
      <c r="AM673" t="str">
        <f t="shared" si="97"/>
        <v xml:space="preserve">                              </v>
      </c>
      <c r="AP673" t="str">
        <f t="shared" si="98"/>
        <v/>
      </c>
    </row>
    <row r="674" spans="2:42" x14ac:dyDescent="0.2">
      <c r="B674" s="88"/>
      <c r="C674" s="80"/>
      <c r="D674" s="74"/>
      <c r="AF674" t="str">
        <f t="shared" si="99"/>
        <v>00000000</v>
      </c>
      <c r="AG674" s="81">
        <f t="shared" si="100"/>
        <v>0</v>
      </c>
      <c r="AH674" s="81">
        <f t="shared" si="101"/>
        <v>0</v>
      </c>
      <c r="AI674" t="str">
        <f t="shared" si="102"/>
        <v>0000000000</v>
      </c>
      <c r="AJ674" t="str">
        <f t="shared" si="103"/>
        <v>.00</v>
      </c>
      <c r="AK674" t="str">
        <f t="shared" si="104"/>
        <v>00</v>
      </c>
      <c r="AL674" t="str">
        <f t="shared" si="105"/>
        <v>000000000000</v>
      </c>
      <c r="AM674" t="str">
        <f t="shared" si="97"/>
        <v xml:space="preserve">                              </v>
      </c>
      <c r="AP674" t="str">
        <f t="shared" si="98"/>
        <v/>
      </c>
    </row>
    <row r="675" spans="2:42" x14ac:dyDescent="0.2">
      <c r="B675" s="88"/>
      <c r="C675" s="80"/>
      <c r="D675" s="74"/>
      <c r="AF675" t="str">
        <f t="shared" si="99"/>
        <v>00000000</v>
      </c>
      <c r="AG675" s="81">
        <f t="shared" si="100"/>
        <v>0</v>
      </c>
      <c r="AH675" s="81">
        <f t="shared" si="101"/>
        <v>0</v>
      </c>
      <c r="AI675" t="str">
        <f t="shared" si="102"/>
        <v>0000000000</v>
      </c>
      <c r="AJ675" t="str">
        <f t="shared" si="103"/>
        <v>.00</v>
      </c>
      <c r="AK675" t="str">
        <f t="shared" si="104"/>
        <v>00</v>
      </c>
      <c r="AL675" t="str">
        <f t="shared" si="105"/>
        <v>000000000000</v>
      </c>
      <c r="AM675" t="str">
        <f t="shared" si="97"/>
        <v xml:space="preserve">                              </v>
      </c>
      <c r="AP675" t="str">
        <f t="shared" si="98"/>
        <v/>
      </c>
    </row>
    <row r="676" spans="2:42" x14ac:dyDescent="0.2">
      <c r="B676" s="88"/>
      <c r="C676" s="80"/>
      <c r="D676" s="74"/>
      <c r="AF676" t="str">
        <f t="shared" si="99"/>
        <v>00000000</v>
      </c>
      <c r="AG676" s="81">
        <f t="shared" si="100"/>
        <v>0</v>
      </c>
      <c r="AH676" s="81">
        <f t="shared" si="101"/>
        <v>0</v>
      </c>
      <c r="AI676" t="str">
        <f t="shared" si="102"/>
        <v>0000000000</v>
      </c>
      <c r="AJ676" t="str">
        <f t="shared" si="103"/>
        <v>.00</v>
      </c>
      <c r="AK676" t="str">
        <f t="shared" si="104"/>
        <v>00</v>
      </c>
      <c r="AL676" t="str">
        <f t="shared" si="105"/>
        <v>000000000000</v>
      </c>
      <c r="AM676" t="str">
        <f t="shared" si="97"/>
        <v xml:space="preserve">                              </v>
      </c>
      <c r="AP676" t="str">
        <f t="shared" si="98"/>
        <v/>
      </c>
    </row>
    <row r="677" spans="2:42" x14ac:dyDescent="0.2">
      <c r="B677" s="88"/>
      <c r="C677" s="80"/>
      <c r="D677" s="74"/>
      <c r="AF677" t="str">
        <f t="shared" si="99"/>
        <v>00000000</v>
      </c>
      <c r="AG677" s="81">
        <f t="shared" si="100"/>
        <v>0</v>
      </c>
      <c r="AH677" s="81">
        <f t="shared" si="101"/>
        <v>0</v>
      </c>
      <c r="AI677" t="str">
        <f t="shared" si="102"/>
        <v>0000000000</v>
      </c>
      <c r="AJ677" t="str">
        <f t="shared" si="103"/>
        <v>.00</v>
      </c>
      <c r="AK677" t="str">
        <f t="shared" si="104"/>
        <v>00</v>
      </c>
      <c r="AL677" t="str">
        <f t="shared" si="105"/>
        <v>000000000000</v>
      </c>
      <c r="AM677" t="str">
        <f t="shared" si="97"/>
        <v xml:space="preserve">                              </v>
      </c>
      <c r="AP677" t="str">
        <f t="shared" si="98"/>
        <v/>
      </c>
    </row>
    <row r="678" spans="2:42" x14ac:dyDescent="0.2">
      <c r="B678" s="88"/>
      <c r="C678" s="80"/>
      <c r="D678" s="74"/>
      <c r="AF678" t="str">
        <f t="shared" si="99"/>
        <v>00000000</v>
      </c>
      <c r="AG678" s="81">
        <f t="shared" si="100"/>
        <v>0</v>
      </c>
      <c r="AH678" s="81">
        <f t="shared" si="101"/>
        <v>0</v>
      </c>
      <c r="AI678" t="str">
        <f t="shared" si="102"/>
        <v>0000000000</v>
      </c>
      <c r="AJ678" t="str">
        <f t="shared" si="103"/>
        <v>.00</v>
      </c>
      <c r="AK678" t="str">
        <f t="shared" si="104"/>
        <v>00</v>
      </c>
      <c r="AL678" t="str">
        <f t="shared" si="105"/>
        <v>000000000000</v>
      </c>
      <c r="AM678" t="str">
        <f t="shared" si="97"/>
        <v xml:space="preserve">                              </v>
      </c>
      <c r="AP678" t="str">
        <f t="shared" si="98"/>
        <v/>
      </c>
    </row>
    <row r="679" spans="2:42" x14ac:dyDescent="0.2">
      <c r="B679" s="88"/>
      <c r="C679" s="80"/>
      <c r="D679" s="74"/>
      <c r="AF679" t="str">
        <f t="shared" si="99"/>
        <v>00000000</v>
      </c>
      <c r="AG679" s="81">
        <f t="shared" si="100"/>
        <v>0</v>
      </c>
      <c r="AH679" s="81">
        <f t="shared" si="101"/>
        <v>0</v>
      </c>
      <c r="AI679" t="str">
        <f t="shared" si="102"/>
        <v>0000000000</v>
      </c>
      <c r="AJ679" t="str">
        <f t="shared" si="103"/>
        <v>.00</v>
      </c>
      <c r="AK679" t="str">
        <f t="shared" si="104"/>
        <v>00</v>
      </c>
      <c r="AL679" t="str">
        <f t="shared" si="105"/>
        <v>000000000000</v>
      </c>
      <c r="AM679" t="str">
        <f t="shared" si="97"/>
        <v xml:space="preserve">                              </v>
      </c>
      <c r="AP679" t="str">
        <f t="shared" si="98"/>
        <v/>
      </c>
    </row>
    <row r="680" spans="2:42" x14ac:dyDescent="0.2">
      <c r="B680" s="88"/>
      <c r="C680" s="80"/>
      <c r="D680" s="74"/>
      <c r="AF680" t="str">
        <f t="shared" si="99"/>
        <v>00000000</v>
      </c>
      <c r="AG680" s="81">
        <f t="shared" si="100"/>
        <v>0</v>
      </c>
      <c r="AH680" s="81">
        <f t="shared" si="101"/>
        <v>0</v>
      </c>
      <c r="AI680" t="str">
        <f t="shared" si="102"/>
        <v>0000000000</v>
      </c>
      <c r="AJ680" t="str">
        <f t="shared" si="103"/>
        <v>.00</v>
      </c>
      <c r="AK680" t="str">
        <f t="shared" si="104"/>
        <v>00</v>
      </c>
      <c r="AL680" t="str">
        <f t="shared" si="105"/>
        <v>000000000000</v>
      </c>
      <c r="AM680" t="str">
        <f t="shared" si="97"/>
        <v xml:space="preserve">                              </v>
      </c>
      <c r="AP680" t="str">
        <f t="shared" si="98"/>
        <v/>
      </c>
    </row>
    <row r="681" spans="2:42" x14ac:dyDescent="0.2">
      <c r="B681" s="88"/>
      <c r="C681" s="80"/>
      <c r="D681" s="74"/>
      <c r="AF681" t="str">
        <f t="shared" si="99"/>
        <v>00000000</v>
      </c>
      <c r="AG681" s="81">
        <f t="shared" si="100"/>
        <v>0</v>
      </c>
      <c r="AH681" s="81">
        <f t="shared" si="101"/>
        <v>0</v>
      </c>
      <c r="AI681" t="str">
        <f t="shared" si="102"/>
        <v>0000000000</v>
      </c>
      <c r="AJ681" t="str">
        <f t="shared" si="103"/>
        <v>.00</v>
      </c>
      <c r="AK681" t="str">
        <f t="shared" si="104"/>
        <v>00</v>
      </c>
      <c r="AL681" t="str">
        <f t="shared" si="105"/>
        <v>000000000000</v>
      </c>
      <c r="AM681" t="str">
        <f t="shared" si="97"/>
        <v xml:space="preserve">                              </v>
      </c>
      <c r="AP681" t="str">
        <f t="shared" si="98"/>
        <v/>
      </c>
    </row>
    <row r="682" spans="2:42" x14ac:dyDescent="0.2">
      <c r="B682" s="88"/>
      <c r="C682" s="80"/>
      <c r="D682" s="74"/>
      <c r="AF682" t="str">
        <f t="shared" si="99"/>
        <v>00000000</v>
      </c>
      <c r="AG682" s="81">
        <f t="shared" si="100"/>
        <v>0</v>
      </c>
      <c r="AH682" s="81">
        <f t="shared" si="101"/>
        <v>0</v>
      </c>
      <c r="AI682" t="str">
        <f t="shared" si="102"/>
        <v>0000000000</v>
      </c>
      <c r="AJ682" t="str">
        <f t="shared" si="103"/>
        <v>.00</v>
      </c>
      <c r="AK682" t="str">
        <f t="shared" si="104"/>
        <v>00</v>
      </c>
      <c r="AL682" t="str">
        <f t="shared" si="105"/>
        <v>000000000000</v>
      </c>
      <c r="AM682" t="str">
        <f t="shared" si="97"/>
        <v xml:space="preserve">                              </v>
      </c>
      <c r="AP682" t="str">
        <f t="shared" si="98"/>
        <v/>
      </c>
    </row>
    <row r="683" spans="2:42" x14ac:dyDescent="0.2">
      <c r="B683" s="88"/>
      <c r="C683" s="80"/>
      <c r="D683" s="74"/>
      <c r="AF683" t="str">
        <f t="shared" si="99"/>
        <v>00000000</v>
      </c>
      <c r="AG683" s="81">
        <f t="shared" si="100"/>
        <v>0</v>
      </c>
      <c r="AH683" s="81">
        <f t="shared" si="101"/>
        <v>0</v>
      </c>
      <c r="AI683" t="str">
        <f t="shared" si="102"/>
        <v>0000000000</v>
      </c>
      <c r="AJ683" t="str">
        <f t="shared" si="103"/>
        <v>.00</v>
      </c>
      <c r="AK683" t="str">
        <f t="shared" si="104"/>
        <v>00</v>
      </c>
      <c r="AL683" t="str">
        <f t="shared" si="105"/>
        <v>000000000000</v>
      </c>
      <c r="AM683" t="str">
        <f t="shared" si="97"/>
        <v xml:space="preserve">                              </v>
      </c>
      <c r="AP683" t="str">
        <f t="shared" si="98"/>
        <v/>
      </c>
    </row>
    <row r="684" spans="2:42" x14ac:dyDescent="0.2">
      <c r="B684" s="88"/>
      <c r="C684" s="80"/>
      <c r="D684" s="74"/>
      <c r="AF684" t="str">
        <f t="shared" si="99"/>
        <v>00000000</v>
      </c>
      <c r="AG684" s="81">
        <f t="shared" si="100"/>
        <v>0</v>
      </c>
      <c r="AH684" s="81">
        <f t="shared" si="101"/>
        <v>0</v>
      </c>
      <c r="AI684" t="str">
        <f t="shared" si="102"/>
        <v>0000000000</v>
      </c>
      <c r="AJ684" t="str">
        <f t="shared" si="103"/>
        <v>.00</v>
      </c>
      <c r="AK684" t="str">
        <f t="shared" si="104"/>
        <v>00</v>
      </c>
      <c r="AL684" t="str">
        <f t="shared" si="105"/>
        <v>000000000000</v>
      </c>
      <c r="AM684" t="str">
        <f t="shared" si="97"/>
        <v xml:space="preserve">                              </v>
      </c>
      <c r="AP684" t="str">
        <f t="shared" si="98"/>
        <v/>
      </c>
    </row>
    <row r="685" spans="2:42" x14ac:dyDescent="0.2">
      <c r="B685" s="88"/>
      <c r="C685" s="80"/>
      <c r="D685" s="74"/>
      <c r="AF685" t="str">
        <f t="shared" si="99"/>
        <v>00000000</v>
      </c>
      <c r="AG685" s="81">
        <f t="shared" si="100"/>
        <v>0</v>
      </c>
      <c r="AH685" s="81">
        <f t="shared" si="101"/>
        <v>0</v>
      </c>
      <c r="AI685" t="str">
        <f t="shared" si="102"/>
        <v>0000000000</v>
      </c>
      <c r="AJ685" t="str">
        <f t="shared" si="103"/>
        <v>.00</v>
      </c>
      <c r="AK685" t="str">
        <f t="shared" si="104"/>
        <v>00</v>
      </c>
      <c r="AL685" t="str">
        <f t="shared" si="105"/>
        <v>000000000000</v>
      </c>
      <c r="AM685" t="str">
        <f t="shared" si="97"/>
        <v xml:space="preserve">                              </v>
      </c>
      <c r="AP685" t="str">
        <f t="shared" si="98"/>
        <v/>
      </c>
    </row>
    <row r="686" spans="2:42" x14ac:dyDescent="0.2">
      <c r="B686" s="88"/>
      <c r="C686" s="80"/>
      <c r="D686" s="74"/>
      <c r="AF686" t="str">
        <f t="shared" si="99"/>
        <v>00000000</v>
      </c>
      <c r="AG686" s="81">
        <f t="shared" si="100"/>
        <v>0</v>
      </c>
      <c r="AH686" s="81">
        <f t="shared" si="101"/>
        <v>0</v>
      </c>
      <c r="AI686" t="str">
        <f t="shared" si="102"/>
        <v>0000000000</v>
      </c>
      <c r="AJ686" t="str">
        <f t="shared" si="103"/>
        <v>.00</v>
      </c>
      <c r="AK686" t="str">
        <f t="shared" si="104"/>
        <v>00</v>
      </c>
      <c r="AL686" t="str">
        <f t="shared" si="105"/>
        <v>000000000000</v>
      </c>
      <c r="AM686" t="str">
        <f t="shared" si="97"/>
        <v xml:space="preserve">                              </v>
      </c>
      <c r="AP686" t="str">
        <f t="shared" si="98"/>
        <v/>
      </c>
    </row>
    <row r="687" spans="2:42" x14ac:dyDescent="0.2">
      <c r="B687" s="88"/>
      <c r="C687" s="80"/>
      <c r="D687" s="74"/>
      <c r="AF687" t="str">
        <f t="shared" si="99"/>
        <v>00000000</v>
      </c>
      <c r="AG687" s="81">
        <f t="shared" si="100"/>
        <v>0</v>
      </c>
      <c r="AH687" s="81">
        <f t="shared" si="101"/>
        <v>0</v>
      </c>
      <c r="AI687" t="str">
        <f t="shared" si="102"/>
        <v>0000000000</v>
      </c>
      <c r="AJ687" t="str">
        <f t="shared" si="103"/>
        <v>.00</v>
      </c>
      <c r="AK687" t="str">
        <f t="shared" si="104"/>
        <v>00</v>
      </c>
      <c r="AL687" t="str">
        <f t="shared" si="105"/>
        <v>000000000000</v>
      </c>
      <c r="AM687" t="str">
        <f t="shared" si="97"/>
        <v xml:space="preserve">                              </v>
      </c>
      <c r="AP687" t="str">
        <f t="shared" si="98"/>
        <v/>
      </c>
    </row>
    <row r="688" spans="2:42" x14ac:dyDescent="0.2">
      <c r="B688" s="88"/>
      <c r="C688" s="80"/>
      <c r="D688" s="74"/>
      <c r="AF688" t="str">
        <f t="shared" si="99"/>
        <v>00000000</v>
      </c>
      <c r="AG688" s="81">
        <f t="shared" si="100"/>
        <v>0</v>
      </c>
      <c r="AH688" s="81">
        <f t="shared" si="101"/>
        <v>0</v>
      </c>
      <c r="AI688" t="str">
        <f t="shared" si="102"/>
        <v>0000000000</v>
      </c>
      <c r="AJ688" t="str">
        <f t="shared" si="103"/>
        <v>.00</v>
      </c>
      <c r="AK688" t="str">
        <f t="shared" si="104"/>
        <v>00</v>
      </c>
      <c r="AL688" t="str">
        <f t="shared" si="105"/>
        <v>000000000000</v>
      </c>
      <c r="AM688" t="str">
        <f t="shared" si="97"/>
        <v xml:space="preserve">                              </v>
      </c>
      <c r="AP688" t="str">
        <f t="shared" si="98"/>
        <v/>
      </c>
    </row>
    <row r="689" spans="2:42" x14ac:dyDescent="0.2">
      <c r="B689" s="88"/>
      <c r="C689" s="80"/>
      <c r="D689" s="74"/>
      <c r="AF689" t="str">
        <f t="shared" si="99"/>
        <v>00000000</v>
      </c>
      <c r="AG689" s="81">
        <f t="shared" si="100"/>
        <v>0</v>
      </c>
      <c r="AH689" s="81">
        <f t="shared" si="101"/>
        <v>0</v>
      </c>
      <c r="AI689" t="str">
        <f t="shared" si="102"/>
        <v>0000000000</v>
      </c>
      <c r="AJ689" t="str">
        <f t="shared" si="103"/>
        <v>.00</v>
      </c>
      <c r="AK689" t="str">
        <f t="shared" si="104"/>
        <v>00</v>
      </c>
      <c r="AL689" t="str">
        <f t="shared" si="105"/>
        <v>000000000000</v>
      </c>
      <c r="AM689" t="str">
        <f t="shared" si="97"/>
        <v xml:space="preserve">                              </v>
      </c>
      <c r="AP689" t="str">
        <f t="shared" si="98"/>
        <v/>
      </c>
    </row>
    <row r="690" spans="2:42" x14ac:dyDescent="0.2">
      <c r="B690" s="88"/>
      <c r="C690" s="80"/>
      <c r="D690" s="74"/>
      <c r="AF690" t="str">
        <f t="shared" si="99"/>
        <v>00000000</v>
      </c>
      <c r="AG690" s="81">
        <f t="shared" si="100"/>
        <v>0</v>
      </c>
      <c r="AH690" s="81">
        <f t="shared" si="101"/>
        <v>0</v>
      </c>
      <c r="AI690" t="str">
        <f t="shared" si="102"/>
        <v>0000000000</v>
      </c>
      <c r="AJ690" t="str">
        <f t="shared" si="103"/>
        <v>.00</v>
      </c>
      <c r="AK690" t="str">
        <f t="shared" si="104"/>
        <v>00</v>
      </c>
      <c r="AL690" t="str">
        <f t="shared" si="105"/>
        <v>000000000000</v>
      </c>
      <c r="AM690" t="str">
        <f t="shared" si="97"/>
        <v xml:space="preserve">                              </v>
      </c>
      <c r="AP690" t="str">
        <f t="shared" si="98"/>
        <v/>
      </c>
    </row>
    <row r="691" spans="2:42" x14ac:dyDescent="0.2">
      <c r="B691" s="88"/>
      <c r="C691" s="80"/>
      <c r="D691" s="74"/>
      <c r="AF691" t="str">
        <f t="shared" si="99"/>
        <v>00000000</v>
      </c>
      <c r="AG691" s="81">
        <f t="shared" si="100"/>
        <v>0</v>
      </c>
      <c r="AH691" s="81">
        <f t="shared" si="101"/>
        <v>0</v>
      </c>
      <c r="AI691" t="str">
        <f t="shared" si="102"/>
        <v>0000000000</v>
      </c>
      <c r="AJ691" t="str">
        <f t="shared" si="103"/>
        <v>.00</v>
      </c>
      <c r="AK691" t="str">
        <f t="shared" si="104"/>
        <v>00</v>
      </c>
      <c r="AL691" t="str">
        <f t="shared" si="105"/>
        <v>000000000000</v>
      </c>
      <c r="AM691" t="str">
        <f t="shared" si="97"/>
        <v xml:space="preserve">                              </v>
      </c>
      <c r="AP691" t="str">
        <f t="shared" si="98"/>
        <v/>
      </c>
    </row>
    <row r="692" spans="2:42" x14ac:dyDescent="0.2">
      <c r="B692" s="88"/>
      <c r="C692" s="80"/>
      <c r="D692" s="74"/>
      <c r="AF692" t="str">
        <f t="shared" si="99"/>
        <v>00000000</v>
      </c>
      <c r="AG692" s="81">
        <f t="shared" si="100"/>
        <v>0</v>
      </c>
      <c r="AH692" s="81">
        <f t="shared" si="101"/>
        <v>0</v>
      </c>
      <c r="AI692" t="str">
        <f t="shared" si="102"/>
        <v>0000000000</v>
      </c>
      <c r="AJ692" t="str">
        <f t="shared" si="103"/>
        <v>.00</v>
      </c>
      <c r="AK692" t="str">
        <f t="shared" si="104"/>
        <v>00</v>
      </c>
      <c r="AL692" t="str">
        <f t="shared" si="105"/>
        <v>000000000000</v>
      </c>
      <c r="AM692" t="str">
        <f t="shared" si="97"/>
        <v xml:space="preserve">                              </v>
      </c>
      <c r="AP692" t="str">
        <f t="shared" si="98"/>
        <v/>
      </c>
    </row>
    <row r="693" spans="2:42" x14ac:dyDescent="0.2">
      <c r="B693" s="88"/>
      <c r="C693" s="80"/>
      <c r="D693" s="74"/>
      <c r="AF693" t="str">
        <f t="shared" si="99"/>
        <v>00000000</v>
      </c>
      <c r="AG693" s="81">
        <f t="shared" si="100"/>
        <v>0</v>
      </c>
      <c r="AH693" s="81">
        <f t="shared" si="101"/>
        <v>0</v>
      </c>
      <c r="AI693" t="str">
        <f t="shared" si="102"/>
        <v>0000000000</v>
      </c>
      <c r="AJ693" t="str">
        <f t="shared" si="103"/>
        <v>.00</v>
      </c>
      <c r="AK693" t="str">
        <f t="shared" si="104"/>
        <v>00</v>
      </c>
      <c r="AL693" t="str">
        <f t="shared" si="105"/>
        <v>000000000000</v>
      </c>
      <c r="AM693" t="str">
        <f t="shared" si="97"/>
        <v xml:space="preserve">                              </v>
      </c>
      <c r="AP693" t="str">
        <f t="shared" si="98"/>
        <v/>
      </c>
    </row>
    <row r="694" spans="2:42" x14ac:dyDescent="0.2">
      <c r="B694" s="88"/>
      <c r="C694" s="80"/>
      <c r="D694" s="74"/>
      <c r="AF694" t="str">
        <f t="shared" si="99"/>
        <v>00000000</v>
      </c>
      <c r="AG694" s="81">
        <f t="shared" si="100"/>
        <v>0</v>
      </c>
      <c r="AH694" s="81">
        <f t="shared" si="101"/>
        <v>0</v>
      </c>
      <c r="AI694" t="str">
        <f t="shared" si="102"/>
        <v>0000000000</v>
      </c>
      <c r="AJ694" t="str">
        <f t="shared" si="103"/>
        <v>.00</v>
      </c>
      <c r="AK694" t="str">
        <f t="shared" si="104"/>
        <v>00</v>
      </c>
      <c r="AL694" t="str">
        <f t="shared" si="105"/>
        <v>000000000000</v>
      </c>
      <c r="AM694" t="str">
        <f t="shared" si="97"/>
        <v xml:space="preserve">                              </v>
      </c>
      <c r="AP694" t="str">
        <f t="shared" si="98"/>
        <v/>
      </c>
    </row>
    <row r="695" spans="2:42" x14ac:dyDescent="0.2">
      <c r="B695" s="88"/>
      <c r="C695" s="80"/>
      <c r="D695" s="74"/>
      <c r="AF695" t="str">
        <f t="shared" si="99"/>
        <v>00000000</v>
      </c>
      <c r="AG695" s="81">
        <f t="shared" si="100"/>
        <v>0</v>
      </c>
      <c r="AH695" s="81">
        <f t="shared" si="101"/>
        <v>0</v>
      </c>
      <c r="AI695" t="str">
        <f t="shared" si="102"/>
        <v>0000000000</v>
      </c>
      <c r="AJ695" t="str">
        <f t="shared" si="103"/>
        <v>.00</v>
      </c>
      <c r="AK695" t="str">
        <f t="shared" si="104"/>
        <v>00</v>
      </c>
      <c r="AL695" t="str">
        <f t="shared" si="105"/>
        <v>000000000000</v>
      </c>
      <c r="AM695" t="str">
        <f t="shared" si="97"/>
        <v xml:space="preserve">                              </v>
      </c>
      <c r="AP695" t="str">
        <f t="shared" si="98"/>
        <v/>
      </c>
    </row>
    <row r="696" spans="2:42" x14ac:dyDescent="0.2">
      <c r="B696" s="88"/>
      <c r="C696" s="80"/>
      <c r="D696" s="74"/>
      <c r="AF696" t="str">
        <f t="shared" si="99"/>
        <v>00000000</v>
      </c>
      <c r="AG696" s="81">
        <f t="shared" si="100"/>
        <v>0</v>
      </c>
      <c r="AH696" s="81">
        <f t="shared" si="101"/>
        <v>0</v>
      </c>
      <c r="AI696" t="str">
        <f t="shared" si="102"/>
        <v>0000000000</v>
      </c>
      <c r="AJ696" t="str">
        <f t="shared" si="103"/>
        <v>.00</v>
      </c>
      <c r="AK696" t="str">
        <f t="shared" si="104"/>
        <v>00</v>
      </c>
      <c r="AL696" t="str">
        <f t="shared" si="105"/>
        <v>000000000000</v>
      </c>
      <c r="AM696" t="str">
        <f t="shared" si="97"/>
        <v xml:space="preserve">                              </v>
      </c>
      <c r="AP696" t="str">
        <f t="shared" si="98"/>
        <v/>
      </c>
    </row>
    <row r="697" spans="2:42" x14ac:dyDescent="0.2">
      <c r="B697" s="88"/>
      <c r="C697" s="80"/>
      <c r="D697" s="74"/>
      <c r="AF697" t="str">
        <f t="shared" si="99"/>
        <v>00000000</v>
      </c>
      <c r="AG697" s="81">
        <f t="shared" si="100"/>
        <v>0</v>
      </c>
      <c r="AH697" s="81">
        <f t="shared" si="101"/>
        <v>0</v>
      </c>
      <c r="AI697" t="str">
        <f t="shared" si="102"/>
        <v>0000000000</v>
      </c>
      <c r="AJ697" t="str">
        <f t="shared" si="103"/>
        <v>.00</v>
      </c>
      <c r="AK697" t="str">
        <f t="shared" si="104"/>
        <v>00</v>
      </c>
      <c r="AL697" t="str">
        <f t="shared" si="105"/>
        <v>000000000000</v>
      </c>
      <c r="AM697" t="str">
        <f t="shared" si="97"/>
        <v xml:space="preserve">                              </v>
      </c>
      <c r="AP697" t="str">
        <f t="shared" si="98"/>
        <v/>
      </c>
    </row>
    <row r="698" spans="2:42" x14ac:dyDescent="0.2">
      <c r="B698" s="88"/>
      <c r="C698" s="80"/>
      <c r="D698" s="74"/>
      <c r="AF698" t="str">
        <f t="shared" si="99"/>
        <v>00000000</v>
      </c>
      <c r="AG698" s="81">
        <f t="shared" si="100"/>
        <v>0</v>
      </c>
      <c r="AH698" s="81">
        <f t="shared" si="101"/>
        <v>0</v>
      </c>
      <c r="AI698" t="str">
        <f t="shared" si="102"/>
        <v>0000000000</v>
      </c>
      <c r="AJ698" t="str">
        <f t="shared" si="103"/>
        <v>.00</v>
      </c>
      <c r="AK698" t="str">
        <f t="shared" si="104"/>
        <v>00</v>
      </c>
      <c r="AL698" t="str">
        <f t="shared" si="105"/>
        <v>000000000000</v>
      </c>
      <c r="AM698" t="str">
        <f t="shared" si="97"/>
        <v xml:space="preserve">                              </v>
      </c>
      <c r="AP698" t="str">
        <f t="shared" si="98"/>
        <v/>
      </c>
    </row>
    <row r="699" spans="2:42" x14ac:dyDescent="0.2">
      <c r="B699" s="88"/>
      <c r="C699" s="80"/>
      <c r="D699" s="74"/>
      <c r="AF699" t="str">
        <f t="shared" si="99"/>
        <v>00000000</v>
      </c>
      <c r="AG699" s="81">
        <f t="shared" si="100"/>
        <v>0</v>
      </c>
      <c r="AH699" s="81">
        <f t="shared" si="101"/>
        <v>0</v>
      </c>
      <c r="AI699" t="str">
        <f t="shared" si="102"/>
        <v>0000000000</v>
      </c>
      <c r="AJ699" t="str">
        <f t="shared" si="103"/>
        <v>.00</v>
      </c>
      <c r="AK699" t="str">
        <f t="shared" si="104"/>
        <v>00</v>
      </c>
      <c r="AL699" t="str">
        <f t="shared" si="105"/>
        <v>000000000000</v>
      </c>
      <c r="AM699" t="str">
        <f t="shared" si="97"/>
        <v xml:space="preserve">                              </v>
      </c>
      <c r="AP699" t="str">
        <f t="shared" si="98"/>
        <v/>
      </c>
    </row>
    <row r="700" spans="2:42" x14ac:dyDescent="0.2">
      <c r="B700" s="88"/>
      <c r="C700" s="80"/>
      <c r="D700" s="74"/>
      <c r="AF700" t="str">
        <f t="shared" si="99"/>
        <v>00000000</v>
      </c>
      <c r="AG700" s="81">
        <f t="shared" si="100"/>
        <v>0</v>
      </c>
      <c r="AH700" s="81">
        <f t="shared" si="101"/>
        <v>0</v>
      </c>
      <c r="AI700" t="str">
        <f t="shared" si="102"/>
        <v>0000000000</v>
      </c>
      <c r="AJ700" t="str">
        <f t="shared" si="103"/>
        <v>.00</v>
      </c>
      <c r="AK700" t="str">
        <f t="shared" si="104"/>
        <v>00</v>
      </c>
      <c r="AL700" t="str">
        <f t="shared" si="105"/>
        <v>000000000000</v>
      </c>
      <c r="AM700" t="str">
        <f t="shared" si="97"/>
        <v xml:space="preserve">                              </v>
      </c>
      <c r="AP700" t="str">
        <f t="shared" si="98"/>
        <v/>
      </c>
    </row>
    <row r="701" spans="2:42" x14ac:dyDescent="0.2">
      <c r="B701" s="88"/>
      <c r="C701" s="80"/>
      <c r="D701" s="74"/>
      <c r="AF701" t="str">
        <f t="shared" si="99"/>
        <v>00000000</v>
      </c>
      <c r="AG701" s="81">
        <f t="shared" si="100"/>
        <v>0</v>
      </c>
      <c r="AH701" s="81">
        <f t="shared" si="101"/>
        <v>0</v>
      </c>
      <c r="AI701" t="str">
        <f t="shared" si="102"/>
        <v>0000000000</v>
      </c>
      <c r="AJ701" t="str">
        <f t="shared" si="103"/>
        <v>.00</v>
      </c>
      <c r="AK701" t="str">
        <f t="shared" si="104"/>
        <v>00</v>
      </c>
      <c r="AL701" t="str">
        <f t="shared" si="105"/>
        <v>000000000000</v>
      </c>
      <c r="AM701" t="str">
        <f t="shared" si="97"/>
        <v xml:space="preserve">                              </v>
      </c>
      <c r="AP701" t="str">
        <f t="shared" si="98"/>
        <v/>
      </c>
    </row>
    <row r="702" spans="2:42" x14ac:dyDescent="0.2">
      <c r="B702" s="88"/>
      <c r="C702" s="80"/>
      <c r="D702" s="74"/>
      <c r="AF702" t="str">
        <f t="shared" si="99"/>
        <v>00000000</v>
      </c>
      <c r="AG702" s="81">
        <f t="shared" si="100"/>
        <v>0</v>
      </c>
      <c r="AH702" s="81">
        <f t="shared" si="101"/>
        <v>0</v>
      </c>
      <c r="AI702" t="str">
        <f t="shared" si="102"/>
        <v>0000000000</v>
      </c>
      <c r="AJ702" t="str">
        <f t="shared" si="103"/>
        <v>.00</v>
      </c>
      <c r="AK702" t="str">
        <f t="shared" si="104"/>
        <v>00</v>
      </c>
      <c r="AL702" t="str">
        <f t="shared" si="105"/>
        <v>000000000000</v>
      </c>
      <c r="AM702" t="str">
        <f t="shared" si="97"/>
        <v xml:space="preserve">                              </v>
      </c>
      <c r="AP702" t="str">
        <f t="shared" si="98"/>
        <v/>
      </c>
    </row>
    <row r="703" spans="2:42" x14ac:dyDescent="0.2">
      <c r="B703" s="88"/>
      <c r="C703" s="80"/>
      <c r="D703" s="74"/>
      <c r="AF703" t="str">
        <f t="shared" si="99"/>
        <v>00000000</v>
      </c>
      <c r="AG703" s="81">
        <f t="shared" si="100"/>
        <v>0</v>
      </c>
      <c r="AH703" s="81">
        <f t="shared" si="101"/>
        <v>0</v>
      </c>
      <c r="AI703" t="str">
        <f t="shared" si="102"/>
        <v>0000000000</v>
      </c>
      <c r="AJ703" t="str">
        <f t="shared" si="103"/>
        <v>.00</v>
      </c>
      <c r="AK703" t="str">
        <f t="shared" si="104"/>
        <v>00</v>
      </c>
      <c r="AL703" t="str">
        <f t="shared" si="105"/>
        <v>000000000000</v>
      </c>
      <c r="AM703" t="str">
        <f t="shared" si="97"/>
        <v xml:space="preserve">                              </v>
      </c>
      <c r="AP703" t="str">
        <f t="shared" si="98"/>
        <v/>
      </c>
    </row>
    <row r="704" spans="2:42" x14ac:dyDescent="0.2">
      <c r="B704" s="88"/>
      <c r="C704" s="80"/>
      <c r="D704" s="74"/>
      <c r="AF704" t="str">
        <f t="shared" si="99"/>
        <v>00000000</v>
      </c>
      <c r="AG704" s="81">
        <f t="shared" si="100"/>
        <v>0</v>
      </c>
      <c r="AH704" s="81">
        <f t="shared" si="101"/>
        <v>0</v>
      </c>
      <c r="AI704" t="str">
        <f t="shared" si="102"/>
        <v>0000000000</v>
      </c>
      <c r="AJ704" t="str">
        <f t="shared" si="103"/>
        <v>.00</v>
      </c>
      <c r="AK704" t="str">
        <f t="shared" si="104"/>
        <v>00</v>
      </c>
      <c r="AL704" t="str">
        <f t="shared" si="105"/>
        <v>000000000000</v>
      </c>
      <c r="AM704" t="str">
        <f t="shared" si="97"/>
        <v xml:space="preserve">                              </v>
      </c>
      <c r="AP704" t="str">
        <f t="shared" si="98"/>
        <v/>
      </c>
    </row>
    <row r="705" spans="2:42" x14ac:dyDescent="0.2">
      <c r="B705" s="88"/>
      <c r="C705" s="80"/>
      <c r="D705" s="74"/>
      <c r="AF705" t="str">
        <f t="shared" si="99"/>
        <v>00000000</v>
      </c>
      <c r="AG705" s="81">
        <f t="shared" si="100"/>
        <v>0</v>
      </c>
      <c r="AH705" s="81">
        <f t="shared" si="101"/>
        <v>0</v>
      </c>
      <c r="AI705" t="str">
        <f t="shared" si="102"/>
        <v>0000000000</v>
      </c>
      <c r="AJ705" t="str">
        <f t="shared" si="103"/>
        <v>.00</v>
      </c>
      <c r="AK705" t="str">
        <f t="shared" si="104"/>
        <v>00</v>
      </c>
      <c r="AL705" t="str">
        <f t="shared" si="105"/>
        <v>000000000000</v>
      </c>
      <c r="AM705" t="str">
        <f t="shared" si="97"/>
        <v xml:space="preserve">                              </v>
      </c>
      <c r="AP705" t="str">
        <f t="shared" si="98"/>
        <v/>
      </c>
    </row>
    <row r="706" spans="2:42" x14ac:dyDescent="0.2">
      <c r="B706" s="88"/>
      <c r="C706" s="80"/>
      <c r="D706" s="74"/>
      <c r="AF706" t="str">
        <f t="shared" si="99"/>
        <v>00000000</v>
      </c>
      <c r="AG706" s="81">
        <f t="shared" si="100"/>
        <v>0</v>
      </c>
      <c r="AH706" s="81">
        <f t="shared" si="101"/>
        <v>0</v>
      </c>
      <c r="AI706" t="str">
        <f t="shared" si="102"/>
        <v>0000000000</v>
      </c>
      <c r="AJ706" t="str">
        <f t="shared" si="103"/>
        <v>.00</v>
      </c>
      <c r="AK706" t="str">
        <f t="shared" si="104"/>
        <v>00</v>
      </c>
      <c r="AL706" t="str">
        <f t="shared" si="105"/>
        <v>000000000000</v>
      </c>
      <c r="AM706" t="str">
        <f t="shared" si="97"/>
        <v xml:space="preserve">                              </v>
      </c>
      <c r="AP706" t="str">
        <f t="shared" si="98"/>
        <v/>
      </c>
    </row>
    <row r="707" spans="2:42" x14ac:dyDescent="0.2">
      <c r="B707" s="88"/>
      <c r="C707" s="80"/>
      <c r="D707" s="74"/>
      <c r="AF707" t="str">
        <f t="shared" si="99"/>
        <v>00000000</v>
      </c>
      <c r="AG707" s="81">
        <f t="shared" si="100"/>
        <v>0</v>
      </c>
      <c r="AH707" s="81">
        <f t="shared" si="101"/>
        <v>0</v>
      </c>
      <c r="AI707" t="str">
        <f t="shared" si="102"/>
        <v>0000000000</v>
      </c>
      <c r="AJ707" t="str">
        <f t="shared" si="103"/>
        <v>.00</v>
      </c>
      <c r="AK707" t="str">
        <f t="shared" si="104"/>
        <v>00</v>
      </c>
      <c r="AL707" t="str">
        <f t="shared" si="105"/>
        <v>000000000000</v>
      </c>
      <c r="AM707" t="str">
        <f t="shared" ref="AM707:AM770" si="106">CONCATENATE(D708,REPT(" ",30-LEN(D708)))</f>
        <v xml:space="preserve">                              </v>
      </c>
      <c r="AP707" t="str">
        <f t="shared" ref="AP707:AP770" si="107">IF(B708&lt;&gt;"",CONCATENATE("000",$AA$3,"     ",$AB$3,$AC$3,$AD$3,"30000",AF707,AL707,$AC$1,AM707),"")</f>
        <v/>
      </c>
    </row>
    <row r="708" spans="2:42" x14ac:dyDescent="0.2">
      <c r="B708" s="88"/>
      <c r="C708" s="80"/>
      <c r="D708" s="74"/>
      <c r="AF708" t="str">
        <f t="shared" si="99"/>
        <v>00000000</v>
      </c>
      <c r="AG708" s="81">
        <f t="shared" si="100"/>
        <v>0</v>
      </c>
      <c r="AH708" s="81">
        <f t="shared" si="101"/>
        <v>0</v>
      </c>
      <c r="AI708" t="str">
        <f t="shared" si="102"/>
        <v>0000000000</v>
      </c>
      <c r="AJ708" t="str">
        <f t="shared" si="103"/>
        <v>.00</v>
      </c>
      <c r="AK708" t="str">
        <f t="shared" si="104"/>
        <v>00</v>
      </c>
      <c r="AL708" t="str">
        <f t="shared" si="105"/>
        <v>000000000000</v>
      </c>
      <c r="AM708" t="str">
        <f t="shared" si="106"/>
        <v xml:space="preserve">                              </v>
      </c>
      <c r="AP708" t="str">
        <f t="shared" si="107"/>
        <v/>
      </c>
    </row>
    <row r="709" spans="2:42" x14ac:dyDescent="0.2">
      <c r="B709" s="88"/>
      <c r="C709" s="80"/>
      <c r="D709" s="74"/>
      <c r="AF709" t="str">
        <f t="shared" si="99"/>
        <v>00000000</v>
      </c>
      <c r="AG709" s="81">
        <f t="shared" si="100"/>
        <v>0</v>
      </c>
      <c r="AH709" s="81">
        <f t="shared" si="101"/>
        <v>0</v>
      </c>
      <c r="AI709" t="str">
        <f t="shared" si="102"/>
        <v>0000000000</v>
      </c>
      <c r="AJ709" t="str">
        <f t="shared" si="103"/>
        <v>.00</v>
      </c>
      <c r="AK709" t="str">
        <f t="shared" si="104"/>
        <v>00</v>
      </c>
      <c r="AL709" t="str">
        <f t="shared" si="105"/>
        <v>000000000000</v>
      </c>
      <c r="AM709" t="str">
        <f t="shared" si="106"/>
        <v xml:space="preserve">                              </v>
      </c>
      <c r="AP709" t="str">
        <f t="shared" si="107"/>
        <v/>
      </c>
    </row>
    <row r="710" spans="2:42" x14ac:dyDescent="0.2">
      <c r="B710" s="88"/>
      <c r="C710" s="80"/>
      <c r="D710" s="74"/>
      <c r="AF710" t="str">
        <f t="shared" si="99"/>
        <v>00000000</v>
      </c>
      <c r="AG710" s="81">
        <f t="shared" si="100"/>
        <v>0</v>
      </c>
      <c r="AH710" s="81">
        <f t="shared" si="101"/>
        <v>0</v>
      </c>
      <c r="AI710" t="str">
        <f t="shared" si="102"/>
        <v>0000000000</v>
      </c>
      <c r="AJ710" t="str">
        <f t="shared" si="103"/>
        <v>.00</v>
      </c>
      <c r="AK710" t="str">
        <f t="shared" si="104"/>
        <v>00</v>
      </c>
      <c r="AL710" t="str">
        <f t="shared" si="105"/>
        <v>000000000000</v>
      </c>
      <c r="AM710" t="str">
        <f t="shared" si="106"/>
        <v xml:space="preserve">                              </v>
      </c>
      <c r="AP710" t="str">
        <f t="shared" si="107"/>
        <v/>
      </c>
    </row>
    <row r="711" spans="2:42" x14ac:dyDescent="0.2">
      <c r="B711" s="88"/>
      <c r="C711" s="80"/>
      <c r="D711" s="74"/>
      <c r="AF711" t="str">
        <f t="shared" si="99"/>
        <v>00000000</v>
      </c>
      <c r="AG711" s="81">
        <f t="shared" si="100"/>
        <v>0</v>
      </c>
      <c r="AH711" s="81">
        <f t="shared" si="101"/>
        <v>0</v>
      </c>
      <c r="AI711" t="str">
        <f t="shared" si="102"/>
        <v>0000000000</v>
      </c>
      <c r="AJ711" t="str">
        <f t="shared" si="103"/>
        <v>.00</v>
      </c>
      <c r="AK711" t="str">
        <f t="shared" si="104"/>
        <v>00</v>
      </c>
      <c r="AL711" t="str">
        <f t="shared" si="105"/>
        <v>000000000000</v>
      </c>
      <c r="AM711" t="str">
        <f t="shared" si="106"/>
        <v xml:space="preserve">                              </v>
      </c>
      <c r="AP711" t="str">
        <f t="shared" si="107"/>
        <v/>
      </c>
    </row>
    <row r="712" spans="2:42" x14ac:dyDescent="0.2">
      <c r="B712" s="88"/>
      <c r="C712" s="80"/>
      <c r="D712" s="74"/>
      <c r="AF712" t="str">
        <f t="shared" si="99"/>
        <v>00000000</v>
      </c>
      <c r="AG712" s="81">
        <f t="shared" si="100"/>
        <v>0</v>
      </c>
      <c r="AH712" s="81">
        <f t="shared" si="101"/>
        <v>0</v>
      </c>
      <c r="AI712" t="str">
        <f t="shared" si="102"/>
        <v>0000000000</v>
      </c>
      <c r="AJ712" t="str">
        <f t="shared" si="103"/>
        <v>.00</v>
      </c>
      <c r="AK712" t="str">
        <f t="shared" si="104"/>
        <v>00</v>
      </c>
      <c r="AL712" t="str">
        <f t="shared" si="105"/>
        <v>000000000000</v>
      </c>
      <c r="AM712" t="str">
        <f t="shared" si="106"/>
        <v xml:space="preserve">                              </v>
      </c>
      <c r="AP712" t="str">
        <f t="shared" si="107"/>
        <v/>
      </c>
    </row>
    <row r="713" spans="2:42" x14ac:dyDescent="0.2">
      <c r="B713" s="88"/>
      <c r="C713" s="80"/>
      <c r="D713" s="74"/>
      <c r="AF713" t="str">
        <f t="shared" si="99"/>
        <v>00000000</v>
      </c>
      <c r="AG713" s="81">
        <f t="shared" si="100"/>
        <v>0</v>
      </c>
      <c r="AH713" s="81">
        <f t="shared" si="101"/>
        <v>0</v>
      </c>
      <c r="AI713" t="str">
        <f t="shared" si="102"/>
        <v>0000000000</v>
      </c>
      <c r="AJ713" t="str">
        <f t="shared" si="103"/>
        <v>.00</v>
      </c>
      <c r="AK713" t="str">
        <f t="shared" si="104"/>
        <v>00</v>
      </c>
      <c r="AL713" t="str">
        <f t="shared" si="105"/>
        <v>000000000000</v>
      </c>
      <c r="AM713" t="str">
        <f t="shared" si="106"/>
        <v xml:space="preserve">                              </v>
      </c>
      <c r="AP713" t="str">
        <f t="shared" si="107"/>
        <v/>
      </c>
    </row>
    <row r="714" spans="2:42" x14ac:dyDescent="0.2">
      <c r="B714" s="88"/>
      <c r="C714" s="80"/>
      <c r="D714" s="74"/>
      <c r="AF714" t="str">
        <f t="shared" ref="AF714:AF777" si="108">CONCATENATE(REPT("0",8-LEN(B715)),B715)</f>
        <v>00000000</v>
      </c>
      <c r="AG714" s="81">
        <f t="shared" ref="AG714:AG777" si="109">INT(C715)</f>
        <v>0</v>
      </c>
      <c r="AH714" s="81">
        <f t="shared" ref="AH714:AH777" si="110">C715-AG714</f>
        <v>0</v>
      </c>
      <c r="AI714" t="str">
        <f t="shared" ref="AI714:AI777" si="111">TEXT(AG714,"0000000000")</f>
        <v>0000000000</v>
      </c>
      <c r="AJ714" t="str">
        <f t="shared" ref="AJ714:AJ777" si="112">TEXT(AH714,".00")</f>
        <v>.00</v>
      </c>
      <c r="AK714" t="str">
        <f t="shared" ref="AK714:AK777" si="113">MID(AJ714,2,2)</f>
        <v>00</v>
      </c>
      <c r="AL714" t="str">
        <f t="shared" ref="AL714:AL777" si="114">CONCATENATE(AI714,AK714)</f>
        <v>000000000000</v>
      </c>
      <c r="AM714" t="str">
        <f t="shared" si="106"/>
        <v xml:space="preserve">                              </v>
      </c>
      <c r="AP714" t="str">
        <f t="shared" si="107"/>
        <v/>
      </c>
    </row>
    <row r="715" spans="2:42" x14ac:dyDescent="0.2">
      <c r="B715" s="88"/>
      <c r="C715" s="80"/>
      <c r="D715" s="74"/>
      <c r="AF715" t="str">
        <f t="shared" si="108"/>
        <v>00000000</v>
      </c>
      <c r="AG715" s="81">
        <f t="shared" si="109"/>
        <v>0</v>
      </c>
      <c r="AH715" s="81">
        <f t="shared" si="110"/>
        <v>0</v>
      </c>
      <c r="AI715" t="str">
        <f t="shared" si="111"/>
        <v>0000000000</v>
      </c>
      <c r="AJ715" t="str">
        <f t="shared" si="112"/>
        <v>.00</v>
      </c>
      <c r="AK715" t="str">
        <f t="shared" si="113"/>
        <v>00</v>
      </c>
      <c r="AL715" t="str">
        <f t="shared" si="114"/>
        <v>000000000000</v>
      </c>
      <c r="AM715" t="str">
        <f t="shared" si="106"/>
        <v xml:space="preserve">                              </v>
      </c>
      <c r="AP715" t="str">
        <f t="shared" si="107"/>
        <v/>
      </c>
    </row>
    <row r="716" spans="2:42" x14ac:dyDescent="0.2">
      <c r="B716" s="88"/>
      <c r="C716" s="80"/>
      <c r="D716" s="74"/>
      <c r="AF716" t="str">
        <f t="shared" si="108"/>
        <v>00000000</v>
      </c>
      <c r="AG716" s="81">
        <f t="shared" si="109"/>
        <v>0</v>
      </c>
      <c r="AH716" s="81">
        <f t="shared" si="110"/>
        <v>0</v>
      </c>
      <c r="AI716" t="str">
        <f t="shared" si="111"/>
        <v>0000000000</v>
      </c>
      <c r="AJ716" t="str">
        <f t="shared" si="112"/>
        <v>.00</v>
      </c>
      <c r="AK716" t="str">
        <f t="shared" si="113"/>
        <v>00</v>
      </c>
      <c r="AL716" t="str">
        <f t="shared" si="114"/>
        <v>000000000000</v>
      </c>
      <c r="AM716" t="str">
        <f t="shared" si="106"/>
        <v xml:space="preserve">                              </v>
      </c>
      <c r="AP716" t="str">
        <f t="shared" si="107"/>
        <v/>
      </c>
    </row>
    <row r="717" spans="2:42" x14ac:dyDescent="0.2">
      <c r="B717" s="88"/>
      <c r="C717" s="80"/>
      <c r="D717" s="74"/>
      <c r="AF717" t="str">
        <f t="shared" si="108"/>
        <v>00000000</v>
      </c>
      <c r="AG717" s="81">
        <f t="shared" si="109"/>
        <v>0</v>
      </c>
      <c r="AH717" s="81">
        <f t="shared" si="110"/>
        <v>0</v>
      </c>
      <c r="AI717" t="str">
        <f t="shared" si="111"/>
        <v>0000000000</v>
      </c>
      <c r="AJ717" t="str">
        <f t="shared" si="112"/>
        <v>.00</v>
      </c>
      <c r="AK717" t="str">
        <f t="shared" si="113"/>
        <v>00</v>
      </c>
      <c r="AL717" t="str">
        <f t="shared" si="114"/>
        <v>000000000000</v>
      </c>
      <c r="AM717" t="str">
        <f t="shared" si="106"/>
        <v xml:space="preserve">                              </v>
      </c>
      <c r="AP717" t="str">
        <f t="shared" si="107"/>
        <v/>
      </c>
    </row>
    <row r="718" spans="2:42" x14ac:dyDescent="0.2">
      <c r="B718" s="88"/>
      <c r="C718" s="80"/>
      <c r="D718" s="74"/>
      <c r="AF718" t="str">
        <f t="shared" si="108"/>
        <v>00000000</v>
      </c>
      <c r="AG718" s="81">
        <f t="shared" si="109"/>
        <v>0</v>
      </c>
      <c r="AH718" s="81">
        <f t="shared" si="110"/>
        <v>0</v>
      </c>
      <c r="AI718" t="str">
        <f t="shared" si="111"/>
        <v>0000000000</v>
      </c>
      <c r="AJ718" t="str">
        <f t="shared" si="112"/>
        <v>.00</v>
      </c>
      <c r="AK718" t="str">
        <f t="shared" si="113"/>
        <v>00</v>
      </c>
      <c r="AL718" t="str">
        <f t="shared" si="114"/>
        <v>000000000000</v>
      </c>
      <c r="AM718" t="str">
        <f t="shared" si="106"/>
        <v xml:space="preserve">                              </v>
      </c>
      <c r="AP718" t="str">
        <f t="shared" si="107"/>
        <v/>
      </c>
    </row>
    <row r="719" spans="2:42" x14ac:dyDescent="0.2">
      <c r="B719" s="88"/>
      <c r="C719" s="80"/>
      <c r="D719" s="74"/>
      <c r="AF719" t="str">
        <f t="shared" si="108"/>
        <v>00000000</v>
      </c>
      <c r="AG719" s="81">
        <f t="shared" si="109"/>
        <v>0</v>
      </c>
      <c r="AH719" s="81">
        <f t="shared" si="110"/>
        <v>0</v>
      </c>
      <c r="AI719" t="str">
        <f t="shared" si="111"/>
        <v>0000000000</v>
      </c>
      <c r="AJ719" t="str">
        <f t="shared" si="112"/>
        <v>.00</v>
      </c>
      <c r="AK719" t="str">
        <f t="shared" si="113"/>
        <v>00</v>
      </c>
      <c r="AL719" t="str">
        <f t="shared" si="114"/>
        <v>000000000000</v>
      </c>
      <c r="AM719" t="str">
        <f t="shared" si="106"/>
        <v xml:space="preserve">                              </v>
      </c>
      <c r="AP719" t="str">
        <f t="shared" si="107"/>
        <v/>
      </c>
    </row>
    <row r="720" spans="2:42" x14ac:dyDescent="0.2">
      <c r="B720" s="88"/>
      <c r="C720" s="80"/>
      <c r="D720" s="74"/>
      <c r="AF720" t="str">
        <f t="shared" si="108"/>
        <v>00000000</v>
      </c>
      <c r="AG720" s="81">
        <f t="shared" si="109"/>
        <v>0</v>
      </c>
      <c r="AH720" s="81">
        <f t="shared" si="110"/>
        <v>0</v>
      </c>
      <c r="AI720" t="str">
        <f t="shared" si="111"/>
        <v>0000000000</v>
      </c>
      <c r="AJ720" t="str">
        <f t="shared" si="112"/>
        <v>.00</v>
      </c>
      <c r="AK720" t="str">
        <f t="shared" si="113"/>
        <v>00</v>
      </c>
      <c r="AL720" t="str">
        <f t="shared" si="114"/>
        <v>000000000000</v>
      </c>
      <c r="AM720" t="str">
        <f t="shared" si="106"/>
        <v xml:space="preserve">                              </v>
      </c>
      <c r="AP720" t="str">
        <f t="shared" si="107"/>
        <v/>
      </c>
    </row>
    <row r="721" spans="2:42" x14ac:dyDescent="0.2">
      <c r="B721" s="88"/>
      <c r="C721" s="80"/>
      <c r="D721" s="74"/>
      <c r="AF721" t="str">
        <f t="shared" si="108"/>
        <v>00000000</v>
      </c>
      <c r="AG721" s="81">
        <f t="shared" si="109"/>
        <v>0</v>
      </c>
      <c r="AH721" s="81">
        <f t="shared" si="110"/>
        <v>0</v>
      </c>
      <c r="AI721" t="str">
        <f t="shared" si="111"/>
        <v>0000000000</v>
      </c>
      <c r="AJ721" t="str">
        <f t="shared" si="112"/>
        <v>.00</v>
      </c>
      <c r="AK721" t="str">
        <f t="shared" si="113"/>
        <v>00</v>
      </c>
      <c r="AL721" t="str">
        <f t="shared" si="114"/>
        <v>000000000000</v>
      </c>
      <c r="AM721" t="str">
        <f t="shared" si="106"/>
        <v xml:space="preserve">                              </v>
      </c>
      <c r="AP721" t="str">
        <f t="shared" si="107"/>
        <v/>
      </c>
    </row>
    <row r="722" spans="2:42" x14ac:dyDescent="0.2">
      <c r="B722" s="88"/>
      <c r="C722" s="80"/>
      <c r="D722" s="74"/>
      <c r="AF722" t="str">
        <f t="shared" si="108"/>
        <v>00000000</v>
      </c>
      <c r="AG722" s="81">
        <f t="shared" si="109"/>
        <v>0</v>
      </c>
      <c r="AH722" s="81">
        <f t="shared" si="110"/>
        <v>0</v>
      </c>
      <c r="AI722" t="str">
        <f t="shared" si="111"/>
        <v>0000000000</v>
      </c>
      <c r="AJ722" t="str">
        <f t="shared" si="112"/>
        <v>.00</v>
      </c>
      <c r="AK722" t="str">
        <f t="shared" si="113"/>
        <v>00</v>
      </c>
      <c r="AL722" t="str">
        <f t="shared" si="114"/>
        <v>000000000000</v>
      </c>
      <c r="AM722" t="str">
        <f t="shared" si="106"/>
        <v xml:space="preserve">                              </v>
      </c>
      <c r="AP722" t="str">
        <f t="shared" si="107"/>
        <v/>
      </c>
    </row>
    <row r="723" spans="2:42" x14ac:dyDescent="0.2">
      <c r="B723" s="88"/>
      <c r="C723" s="80"/>
      <c r="D723" s="74"/>
      <c r="AF723" t="str">
        <f t="shared" si="108"/>
        <v>00000000</v>
      </c>
      <c r="AG723" s="81">
        <f t="shared" si="109"/>
        <v>0</v>
      </c>
      <c r="AH723" s="81">
        <f t="shared" si="110"/>
        <v>0</v>
      </c>
      <c r="AI723" t="str">
        <f t="shared" si="111"/>
        <v>0000000000</v>
      </c>
      <c r="AJ723" t="str">
        <f t="shared" si="112"/>
        <v>.00</v>
      </c>
      <c r="AK723" t="str">
        <f t="shared" si="113"/>
        <v>00</v>
      </c>
      <c r="AL723" t="str">
        <f t="shared" si="114"/>
        <v>000000000000</v>
      </c>
      <c r="AM723" t="str">
        <f t="shared" si="106"/>
        <v xml:space="preserve">                              </v>
      </c>
      <c r="AP723" t="str">
        <f t="shared" si="107"/>
        <v/>
      </c>
    </row>
    <row r="724" spans="2:42" x14ac:dyDescent="0.2">
      <c r="B724" s="88"/>
      <c r="C724" s="80"/>
      <c r="D724" s="74"/>
      <c r="AF724" t="str">
        <f t="shared" si="108"/>
        <v>00000000</v>
      </c>
      <c r="AG724" s="81">
        <f t="shared" si="109"/>
        <v>0</v>
      </c>
      <c r="AH724" s="81">
        <f t="shared" si="110"/>
        <v>0</v>
      </c>
      <c r="AI724" t="str">
        <f t="shared" si="111"/>
        <v>0000000000</v>
      </c>
      <c r="AJ724" t="str">
        <f t="shared" si="112"/>
        <v>.00</v>
      </c>
      <c r="AK724" t="str">
        <f t="shared" si="113"/>
        <v>00</v>
      </c>
      <c r="AL724" t="str">
        <f t="shared" si="114"/>
        <v>000000000000</v>
      </c>
      <c r="AM724" t="str">
        <f t="shared" si="106"/>
        <v xml:space="preserve">                              </v>
      </c>
      <c r="AP724" t="str">
        <f t="shared" si="107"/>
        <v/>
      </c>
    </row>
    <row r="725" spans="2:42" x14ac:dyDescent="0.2">
      <c r="B725" s="88"/>
      <c r="C725" s="80"/>
      <c r="D725" s="74"/>
      <c r="AF725" t="str">
        <f t="shared" si="108"/>
        <v>00000000</v>
      </c>
      <c r="AG725" s="81">
        <f t="shared" si="109"/>
        <v>0</v>
      </c>
      <c r="AH725" s="81">
        <f t="shared" si="110"/>
        <v>0</v>
      </c>
      <c r="AI725" t="str">
        <f t="shared" si="111"/>
        <v>0000000000</v>
      </c>
      <c r="AJ725" t="str">
        <f t="shared" si="112"/>
        <v>.00</v>
      </c>
      <c r="AK725" t="str">
        <f t="shared" si="113"/>
        <v>00</v>
      </c>
      <c r="AL725" t="str">
        <f t="shared" si="114"/>
        <v>000000000000</v>
      </c>
      <c r="AM725" t="str">
        <f t="shared" si="106"/>
        <v xml:space="preserve">                              </v>
      </c>
      <c r="AP725" t="str">
        <f t="shared" si="107"/>
        <v/>
      </c>
    </row>
    <row r="726" spans="2:42" x14ac:dyDescent="0.2">
      <c r="B726" s="88"/>
      <c r="C726" s="80"/>
      <c r="D726" s="74"/>
      <c r="AF726" t="str">
        <f t="shared" si="108"/>
        <v>00000000</v>
      </c>
      <c r="AG726" s="81">
        <f t="shared" si="109"/>
        <v>0</v>
      </c>
      <c r="AH726" s="81">
        <f t="shared" si="110"/>
        <v>0</v>
      </c>
      <c r="AI726" t="str">
        <f t="shared" si="111"/>
        <v>0000000000</v>
      </c>
      <c r="AJ726" t="str">
        <f t="shared" si="112"/>
        <v>.00</v>
      </c>
      <c r="AK726" t="str">
        <f t="shared" si="113"/>
        <v>00</v>
      </c>
      <c r="AL726" t="str">
        <f t="shared" si="114"/>
        <v>000000000000</v>
      </c>
      <c r="AM726" t="str">
        <f t="shared" si="106"/>
        <v xml:space="preserve">                              </v>
      </c>
      <c r="AP726" t="str">
        <f t="shared" si="107"/>
        <v/>
      </c>
    </row>
    <row r="727" spans="2:42" x14ac:dyDescent="0.2">
      <c r="B727" s="88"/>
      <c r="C727" s="80"/>
      <c r="D727" s="74"/>
      <c r="AF727" t="str">
        <f t="shared" si="108"/>
        <v>00000000</v>
      </c>
      <c r="AG727" s="81">
        <f t="shared" si="109"/>
        <v>0</v>
      </c>
      <c r="AH727" s="81">
        <f t="shared" si="110"/>
        <v>0</v>
      </c>
      <c r="AI727" t="str">
        <f t="shared" si="111"/>
        <v>0000000000</v>
      </c>
      <c r="AJ727" t="str">
        <f t="shared" si="112"/>
        <v>.00</v>
      </c>
      <c r="AK727" t="str">
        <f t="shared" si="113"/>
        <v>00</v>
      </c>
      <c r="AL727" t="str">
        <f t="shared" si="114"/>
        <v>000000000000</v>
      </c>
      <c r="AM727" t="str">
        <f t="shared" si="106"/>
        <v xml:space="preserve">                              </v>
      </c>
      <c r="AP727" t="str">
        <f t="shared" si="107"/>
        <v/>
      </c>
    </row>
    <row r="728" spans="2:42" x14ac:dyDescent="0.2">
      <c r="B728" s="88"/>
      <c r="C728" s="80"/>
      <c r="D728" s="74"/>
      <c r="AF728" t="str">
        <f t="shared" si="108"/>
        <v>00000000</v>
      </c>
      <c r="AG728" s="81">
        <f t="shared" si="109"/>
        <v>0</v>
      </c>
      <c r="AH728" s="81">
        <f t="shared" si="110"/>
        <v>0</v>
      </c>
      <c r="AI728" t="str">
        <f t="shared" si="111"/>
        <v>0000000000</v>
      </c>
      <c r="AJ728" t="str">
        <f t="shared" si="112"/>
        <v>.00</v>
      </c>
      <c r="AK728" t="str">
        <f t="shared" si="113"/>
        <v>00</v>
      </c>
      <c r="AL728" t="str">
        <f t="shared" si="114"/>
        <v>000000000000</v>
      </c>
      <c r="AM728" t="str">
        <f t="shared" si="106"/>
        <v xml:space="preserve">                              </v>
      </c>
      <c r="AP728" t="str">
        <f t="shared" si="107"/>
        <v/>
      </c>
    </row>
    <row r="729" spans="2:42" x14ac:dyDescent="0.2">
      <c r="B729" s="88"/>
      <c r="C729" s="80"/>
      <c r="D729" s="74"/>
      <c r="AF729" t="str">
        <f t="shared" si="108"/>
        <v>00000000</v>
      </c>
      <c r="AG729" s="81">
        <f t="shared" si="109"/>
        <v>0</v>
      </c>
      <c r="AH729" s="81">
        <f t="shared" si="110"/>
        <v>0</v>
      </c>
      <c r="AI729" t="str">
        <f t="shared" si="111"/>
        <v>0000000000</v>
      </c>
      <c r="AJ729" t="str">
        <f t="shared" si="112"/>
        <v>.00</v>
      </c>
      <c r="AK729" t="str">
        <f t="shared" si="113"/>
        <v>00</v>
      </c>
      <c r="AL729" t="str">
        <f t="shared" si="114"/>
        <v>000000000000</v>
      </c>
      <c r="AM729" t="str">
        <f t="shared" si="106"/>
        <v xml:space="preserve">                              </v>
      </c>
      <c r="AP729" t="str">
        <f t="shared" si="107"/>
        <v/>
      </c>
    </row>
    <row r="730" spans="2:42" x14ac:dyDescent="0.2">
      <c r="B730" s="88"/>
      <c r="C730" s="80"/>
      <c r="D730" s="74"/>
      <c r="AF730" t="str">
        <f t="shared" si="108"/>
        <v>00000000</v>
      </c>
      <c r="AG730" s="81">
        <f t="shared" si="109"/>
        <v>0</v>
      </c>
      <c r="AH730" s="81">
        <f t="shared" si="110"/>
        <v>0</v>
      </c>
      <c r="AI730" t="str">
        <f t="shared" si="111"/>
        <v>0000000000</v>
      </c>
      <c r="AJ730" t="str">
        <f t="shared" si="112"/>
        <v>.00</v>
      </c>
      <c r="AK730" t="str">
        <f t="shared" si="113"/>
        <v>00</v>
      </c>
      <c r="AL730" t="str">
        <f t="shared" si="114"/>
        <v>000000000000</v>
      </c>
      <c r="AM730" t="str">
        <f t="shared" si="106"/>
        <v xml:space="preserve">                              </v>
      </c>
      <c r="AP730" t="str">
        <f t="shared" si="107"/>
        <v/>
      </c>
    </row>
    <row r="731" spans="2:42" x14ac:dyDescent="0.2">
      <c r="B731" s="88"/>
      <c r="C731" s="80"/>
      <c r="D731" s="74"/>
      <c r="AF731" t="str">
        <f t="shared" si="108"/>
        <v>00000000</v>
      </c>
      <c r="AG731" s="81">
        <f t="shared" si="109"/>
        <v>0</v>
      </c>
      <c r="AH731" s="81">
        <f t="shared" si="110"/>
        <v>0</v>
      </c>
      <c r="AI731" t="str">
        <f t="shared" si="111"/>
        <v>0000000000</v>
      </c>
      <c r="AJ731" t="str">
        <f t="shared" si="112"/>
        <v>.00</v>
      </c>
      <c r="AK731" t="str">
        <f t="shared" si="113"/>
        <v>00</v>
      </c>
      <c r="AL731" t="str">
        <f t="shared" si="114"/>
        <v>000000000000</v>
      </c>
      <c r="AM731" t="str">
        <f t="shared" si="106"/>
        <v xml:space="preserve">                              </v>
      </c>
      <c r="AP731" t="str">
        <f t="shared" si="107"/>
        <v/>
      </c>
    </row>
    <row r="732" spans="2:42" x14ac:dyDescent="0.2">
      <c r="B732" s="88"/>
      <c r="C732" s="80"/>
      <c r="D732" s="74"/>
      <c r="AF732" t="str">
        <f t="shared" si="108"/>
        <v>00000000</v>
      </c>
      <c r="AG732" s="81">
        <f t="shared" si="109"/>
        <v>0</v>
      </c>
      <c r="AH732" s="81">
        <f t="shared" si="110"/>
        <v>0</v>
      </c>
      <c r="AI732" t="str">
        <f t="shared" si="111"/>
        <v>0000000000</v>
      </c>
      <c r="AJ732" t="str">
        <f t="shared" si="112"/>
        <v>.00</v>
      </c>
      <c r="AK732" t="str">
        <f t="shared" si="113"/>
        <v>00</v>
      </c>
      <c r="AL732" t="str">
        <f t="shared" si="114"/>
        <v>000000000000</v>
      </c>
      <c r="AM732" t="str">
        <f t="shared" si="106"/>
        <v xml:space="preserve">                              </v>
      </c>
      <c r="AP732" t="str">
        <f t="shared" si="107"/>
        <v/>
      </c>
    </row>
    <row r="733" spans="2:42" x14ac:dyDescent="0.2">
      <c r="B733" s="88"/>
      <c r="C733" s="80"/>
      <c r="D733" s="74"/>
      <c r="AF733" t="str">
        <f t="shared" si="108"/>
        <v>00000000</v>
      </c>
      <c r="AG733" s="81">
        <f t="shared" si="109"/>
        <v>0</v>
      </c>
      <c r="AH733" s="81">
        <f t="shared" si="110"/>
        <v>0</v>
      </c>
      <c r="AI733" t="str">
        <f t="shared" si="111"/>
        <v>0000000000</v>
      </c>
      <c r="AJ733" t="str">
        <f t="shared" si="112"/>
        <v>.00</v>
      </c>
      <c r="AK733" t="str">
        <f t="shared" si="113"/>
        <v>00</v>
      </c>
      <c r="AL733" t="str">
        <f t="shared" si="114"/>
        <v>000000000000</v>
      </c>
      <c r="AM733" t="str">
        <f t="shared" si="106"/>
        <v xml:space="preserve">                              </v>
      </c>
      <c r="AP733" t="str">
        <f t="shared" si="107"/>
        <v/>
      </c>
    </row>
    <row r="734" spans="2:42" x14ac:dyDescent="0.2">
      <c r="B734" s="88"/>
      <c r="C734" s="80"/>
      <c r="D734" s="74"/>
      <c r="AF734" t="str">
        <f t="shared" si="108"/>
        <v>00000000</v>
      </c>
      <c r="AG734" s="81">
        <f t="shared" si="109"/>
        <v>0</v>
      </c>
      <c r="AH734" s="81">
        <f t="shared" si="110"/>
        <v>0</v>
      </c>
      <c r="AI734" t="str">
        <f t="shared" si="111"/>
        <v>0000000000</v>
      </c>
      <c r="AJ734" t="str">
        <f t="shared" si="112"/>
        <v>.00</v>
      </c>
      <c r="AK734" t="str">
        <f t="shared" si="113"/>
        <v>00</v>
      </c>
      <c r="AL734" t="str">
        <f t="shared" si="114"/>
        <v>000000000000</v>
      </c>
      <c r="AM734" t="str">
        <f t="shared" si="106"/>
        <v xml:space="preserve">                              </v>
      </c>
      <c r="AP734" t="str">
        <f t="shared" si="107"/>
        <v/>
      </c>
    </row>
    <row r="735" spans="2:42" x14ac:dyDescent="0.2">
      <c r="B735" s="88"/>
      <c r="C735" s="80"/>
      <c r="D735" s="74"/>
      <c r="AF735" t="str">
        <f t="shared" si="108"/>
        <v>00000000</v>
      </c>
      <c r="AG735" s="81">
        <f t="shared" si="109"/>
        <v>0</v>
      </c>
      <c r="AH735" s="81">
        <f t="shared" si="110"/>
        <v>0</v>
      </c>
      <c r="AI735" t="str">
        <f t="shared" si="111"/>
        <v>0000000000</v>
      </c>
      <c r="AJ735" t="str">
        <f t="shared" si="112"/>
        <v>.00</v>
      </c>
      <c r="AK735" t="str">
        <f t="shared" si="113"/>
        <v>00</v>
      </c>
      <c r="AL735" t="str">
        <f t="shared" si="114"/>
        <v>000000000000</v>
      </c>
      <c r="AM735" t="str">
        <f t="shared" si="106"/>
        <v xml:space="preserve">                              </v>
      </c>
      <c r="AP735" t="str">
        <f t="shared" si="107"/>
        <v/>
      </c>
    </row>
    <row r="736" spans="2:42" x14ac:dyDescent="0.2">
      <c r="B736" s="88"/>
      <c r="C736" s="80"/>
      <c r="D736" s="74"/>
      <c r="AF736" t="str">
        <f t="shared" si="108"/>
        <v>00000000</v>
      </c>
      <c r="AG736" s="81">
        <f t="shared" si="109"/>
        <v>0</v>
      </c>
      <c r="AH736" s="81">
        <f t="shared" si="110"/>
        <v>0</v>
      </c>
      <c r="AI736" t="str">
        <f t="shared" si="111"/>
        <v>0000000000</v>
      </c>
      <c r="AJ736" t="str">
        <f t="shared" si="112"/>
        <v>.00</v>
      </c>
      <c r="AK736" t="str">
        <f t="shared" si="113"/>
        <v>00</v>
      </c>
      <c r="AL736" t="str">
        <f t="shared" si="114"/>
        <v>000000000000</v>
      </c>
      <c r="AM736" t="str">
        <f t="shared" si="106"/>
        <v xml:space="preserve">                              </v>
      </c>
      <c r="AP736" t="str">
        <f t="shared" si="107"/>
        <v/>
      </c>
    </row>
    <row r="737" spans="2:42" x14ac:dyDescent="0.2">
      <c r="B737" s="88"/>
      <c r="C737" s="80"/>
      <c r="D737" s="74"/>
      <c r="AF737" t="str">
        <f t="shared" si="108"/>
        <v>00000000</v>
      </c>
      <c r="AG737" s="81">
        <f t="shared" si="109"/>
        <v>0</v>
      </c>
      <c r="AH737" s="81">
        <f t="shared" si="110"/>
        <v>0</v>
      </c>
      <c r="AI737" t="str">
        <f t="shared" si="111"/>
        <v>0000000000</v>
      </c>
      <c r="AJ737" t="str">
        <f t="shared" si="112"/>
        <v>.00</v>
      </c>
      <c r="AK737" t="str">
        <f t="shared" si="113"/>
        <v>00</v>
      </c>
      <c r="AL737" t="str">
        <f t="shared" si="114"/>
        <v>000000000000</v>
      </c>
      <c r="AM737" t="str">
        <f t="shared" si="106"/>
        <v xml:space="preserve">                              </v>
      </c>
      <c r="AP737" t="str">
        <f t="shared" si="107"/>
        <v/>
      </c>
    </row>
    <row r="738" spans="2:42" x14ac:dyDescent="0.2">
      <c r="B738" s="88"/>
      <c r="C738" s="80"/>
      <c r="D738" s="74"/>
      <c r="AF738" t="str">
        <f t="shared" si="108"/>
        <v>00000000</v>
      </c>
      <c r="AG738" s="81">
        <f t="shared" si="109"/>
        <v>0</v>
      </c>
      <c r="AH738" s="81">
        <f t="shared" si="110"/>
        <v>0</v>
      </c>
      <c r="AI738" t="str">
        <f t="shared" si="111"/>
        <v>0000000000</v>
      </c>
      <c r="AJ738" t="str">
        <f t="shared" si="112"/>
        <v>.00</v>
      </c>
      <c r="AK738" t="str">
        <f t="shared" si="113"/>
        <v>00</v>
      </c>
      <c r="AL738" t="str">
        <f t="shared" si="114"/>
        <v>000000000000</v>
      </c>
      <c r="AM738" t="str">
        <f t="shared" si="106"/>
        <v xml:space="preserve">                              </v>
      </c>
      <c r="AP738" t="str">
        <f t="shared" si="107"/>
        <v/>
      </c>
    </row>
    <row r="739" spans="2:42" x14ac:dyDescent="0.2">
      <c r="B739" s="88"/>
      <c r="C739" s="80"/>
      <c r="D739" s="74"/>
      <c r="AF739" t="str">
        <f t="shared" si="108"/>
        <v>00000000</v>
      </c>
      <c r="AG739" s="81">
        <f t="shared" si="109"/>
        <v>0</v>
      </c>
      <c r="AH739" s="81">
        <f t="shared" si="110"/>
        <v>0</v>
      </c>
      <c r="AI739" t="str">
        <f t="shared" si="111"/>
        <v>0000000000</v>
      </c>
      <c r="AJ739" t="str">
        <f t="shared" si="112"/>
        <v>.00</v>
      </c>
      <c r="AK739" t="str">
        <f t="shared" si="113"/>
        <v>00</v>
      </c>
      <c r="AL739" t="str">
        <f t="shared" si="114"/>
        <v>000000000000</v>
      </c>
      <c r="AM739" t="str">
        <f t="shared" si="106"/>
        <v xml:space="preserve">                              </v>
      </c>
      <c r="AP739" t="str">
        <f t="shared" si="107"/>
        <v/>
      </c>
    </row>
    <row r="740" spans="2:42" x14ac:dyDescent="0.2">
      <c r="B740" s="88"/>
      <c r="C740" s="80"/>
      <c r="D740" s="74"/>
      <c r="AF740" t="str">
        <f t="shared" si="108"/>
        <v>00000000</v>
      </c>
      <c r="AG740" s="81">
        <f t="shared" si="109"/>
        <v>0</v>
      </c>
      <c r="AH740" s="81">
        <f t="shared" si="110"/>
        <v>0</v>
      </c>
      <c r="AI740" t="str">
        <f t="shared" si="111"/>
        <v>0000000000</v>
      </c>
      <c r="AJ740" t="str">
        <f t="shared" si="112"/>
        <v>.00</v>
      </c>
      <c r="AK740" t="str">
        <f t="shared" si="113"/>
        <v>00</v>
      </c>
      <c r="AL740" t="str">
        <f t="shared" si="114"/>
        <v>000000000000</v>
      </c>
      <c r="AM740" t="str">
        <f t="shared" si="106"/>
        <v xml:space="preserve">                              </v>
      </c>
      <c r="AP740" t="str">
        <f t="shared" si="107"/>
        <v/>
      </c>
    </row>
    <row r="741" spans="2:42" x14ac:dyDescent="0.2">
      <c r="B741" s="88"/>
      <c r="C741" s="80"/>
      <c r="D741" s="74"/>
      <c r="AF741" t="str">
        <f t="shared" si="108"/>
        <v>00000000</v>
      </c>
      <c r="AG741" s="81">
        <f t="shared" si="109"/>
        <v>0</v>
      </c>
      <c r="AH741" s="81">
        <f t="shared" si="110"/>
        <v>0</v>
      </c>
      <c r="AI741" t="str">
        <f t="shared" si="111"/>
        <v>0000000000</v>
      </c>
      <c r="AJ741" t="str">
        <f t="shared" si="112"/>
        <v>.00</v>
      </c>
      <c r="AK741" t="str">
        <f t="shared" si="113"/>
        <v>00</v>
      </c>
      <c r="AL741" t="str">
        <f t="shared" si="114"/>
        <v>000000000000</v>
      </c>
      <c r="AM741" t="str">
        <f t="shared" si="106"/>
        <v xml:space="preserve">                              </v>
      </c>
      <c r="AP741" t="str">
        <f t="shared" si="107"/>
        <v/>
      </c>
    </row>
    <row r="742" spans="2:42" x14ac:dyDescent="0.2">
      <c r="B742" s="88"/>
      <c r="C742" s="80"/>
      <c r="D742" s="74"/>
      <c r="AF742" t="str">
        <f t="shared" si="108"/>
        <v>00000000</v>
      </c>
      <c r="AG742" s="81">
        <f t="shared" si="109"/>
        <v>0</v>
      </c>
      <c r="AH742" s="81">
        <f t="shared" si="110"/>
        <v>0</v>
      </c>
      <c r="AI742" t="str">
        <f t="shared" si="111"/>
        <v>0000000000</v>
      </c>
      <c r="AJ742" t="str">
        <f t="shared" si="112"/>
        <v>.00</v>
      </c>
      <c r="AK742" t="str">
        <f t="shared" si="113"/>
        <v>00</v>
      </c>
      <c r="AL742" t="str">
        <f t="shared" si="114"/>
        <v>000000000000</v>
      </c>
      <c r="AM742" t="str">
        <f t="shared" si="106"/>
        <v xml:space="preserve">                              </v>
      </c>
      <c r="AP742" t="str">
        <f t="shared" si="107"/>
        <v/>
      </c>
    </row>
    <row r="743" spans="2:42" x14ac:dyDescent="0.2">
      <c r="B743" s="88"/>
      <c r="C743" s="80"/>
      <c r="D743" s="74"/>
      <c r="AF743" t="str">
        <f t="shared" si="108"/>
        <v>00000000</v>
      </c>
      <c r="AG743" s="81">
        <f t="shared" si="109"/>
        <v>0</v>
      </c>
      <c r="AH743" s="81">
        <f t="shared" si="110"/>
        <v>0</v>
      </c>
      <c r="AI743" t="str">
        <f t="shared" si="111"/>
        <v>0000000000</v>
      </c>
      <c r="AJ743" t="str">
        <f t="shared" si="112"/>
        <v>.00</v>
      </c>
      <c r="AK743" t="str">
        <f t="shared" si="113"/>
        <v>00</v>
      </c>
      <c r="AL743" t="str">
        <f t="shared" si="114"/>
        <v>000000000000</v>
      </c>
      <c r="AM743" t="str">
        <f t="shared" si="106"/>
        <v xml:space="preserve">                              </v>
      </c>
      <c r="AP743" t="str">
        <f t="shared" si="107"/>
        <v/>
      </c>
    </row>
    <row r="744" spans="2:42" x14ac:dyDescent="0.2">
      <c r="B744" s="88"/>
      <c r="C744" s="80"/>
      <c r="D744" s="74"/>
      <c r="AF744" t="str">
        <f t="shared" si="108"/>
        <v>00000000</v>
      </c>
      <c r="AG744" s="81">
        <f t="shared" si="109"/>
        <v>0</v>
      </c>
      <c r="AH744" s="81">
        <f t="shared" si="110"/>
        <v>0</v>
      </c>
      <c r="AI744" t="str">
        <f t="shared" si="111"/>
        <v>0000000000</v>
      </c>
      <c r="AJ744" t="str">
        <f t="shared" si="112"/>
        <v>.00</v>
      </c>
      <c r="AK744" t="str">
        <f t="shared" si="113"/>
        <v>00</v>
      </c>
      <c r="AL744" t="str">
        <f t="shared" si="114"/>
        <v>000000000000</v>
      </c>
      <c r="AM744" t="str">
        <f t="shared" si="106"/>
        <v xml:space="preserve">                              </v>
      </c>
      <c r="AP744" t="str">
        <f t="shared" si="107"/>
        <v/>
      </c>
    </row>
    <row r="745" spans="2:42" x14ac:dyDescent="0.2">
      <c r="B745" s="88"/>
      <c r="C745" s="80"/>
      <c r="D745" s="74"/>
      <c r="AF745" t="str">
        <f t="shared" si="108"/>
        <v>00000000</v>
      </c>
      <c r="AG745" s="81">
        <f t="shared" si="109"/>
        <v>0</v>
      </c>
      <c r="AH745" s="81">
        <f t="shared" si="110"/>
        <v>0</v>
      </c>
      <c r="AI745" t="str">
        <f t="shared" si="111"/>
        <v>0000000000</v>
      </c>
      <c r="AJ745" t="str">
        <f t="shared" si="112"/>
        <v>.00</v>
      </c>
      <c r="AK745" t="str">
        <f t="shared" si="113"/>
        <v>00</v>
      </c>
      <c r="AL745" t="str">
        <f t="shared" si="114"/>
        <v>000000000000</v>
      </c>
      <c r="AM745" t="str">
        <f t="shared" si="106"/>
        <v xml:space="preserve">                              </v>
      </c>
      <c r="AP745" t="str">
        <f t="shared" si="107"/>
        <v/>
      </c>
    </row>
    <row r="746" spans="2:42" x14ac:dyDescent="0.2">
      <c r="B746" s="88"/>
      <c r="C746" s="80"/>
      <c r="D746" s="74"/>
      <c r="AF746" t="str">
        <f t="shared" si="108"/>
        <v>00000000</v>
      </c>
      <c r="AG746" s="81">
        <f t="shared" si="109"/>
        <v>0</v>
      </c>
      <c r="AH746" s="81">
        <f t="shared" si="110"/>
        <v>0</v>
      </c>
      <c r="AI746" t="str">
        <f t="shared" si="111"/>
        <v>0000000000</v>
      </c>
      <c r="AJ746" t="str">
        <f t="shared" si="112"/>
        <v>.00</v>
      </c>
      <c r="AK746" t="str">
        <f t="shared" si="113"/>
        <v>00</v>
      </c>
      <c r="AL746" t="str">
        <f t="shared" si="114"/>
        <v>000000000000</v>
      </c>
      <c r="AM746" t="str">
        <f t="shared" si="106"/>
        <v xml:space="preserve">                              </v>
      </c>
      <c r="AP746" t="str">
        <f t="shared" si="107"/>
        <v/>
      </c>
    </row>
    <row r="747" spans="2:42" x14ac:dyDescent="0.2">
      <c r="B747" s="88"/>
      <c r="C747" s="80"/>
      <c r="D747" s="74"/>
      <c r="AF747" t="str">
        <f t="shared" si="108"/>
        <v>00000000</v>
      </c>
      <c r="AG747" s="81">
        <f t="shared" si="109"/>
        <v>0</v>
      </c>
      <c r="AH747" s="81">
        <f t="shared" si="110"/>
        <v>0</v>
      </c>
      <c r="AI747" t="str">
        <f t="shared" si="111"/>
        <v>0000000000</v>
      </c>
      <c r="AJ747" t="str">
        <f t="shared" si="112"/>
        <v>.00</v>
      </c>
      <c r="AK747" t="str">
        <f t="shared" si="113"/>
        <v>00</v>
      </c>
      <c r="AL747" t="str">
        <f t="shared" si="114"/>
        <v>000000000000</v>
      </c>
      <c r="AM747" t="str">
        <f t="shared" si="106"/>
        <v xml:space="preserve">                              </v>
      </c>
      <c r="AP747" t="str">
        <f t="shared" si="107"/>
        <v/>
      </c>
    </row>
    <row r="748" spans="2:42" x14ac:dyDescent="0.2">
      <c r="B748" s="88"/>
      <c r="C748" s="80"/>
      <c r="D748" s="74"/>
      <c r="AF748" t="str">
        <f t="shared" si="108"/>
        <v>00000000</v>
      </c>
      <c r="AG748" s="81">
        <f t="shared" si="109"/>
        <v>0</v>
      </c>
      <c r="AH748" s="81">
        <f t="shared" si="110"/>
        <v>0</v>
      </c>
      <c r="AI748" t="str">
        <f t="shared" si="111"/>
        <v>0000000000</v>
      </c>
      <c r="AJ748" t="str">
        <f t="shared" si="112"/>
        <v>.00</v>
      </c>
      <c r="AK748" t="str">
        <f t="shared" si="113"/>
        <v>00</v>
      </c>
      <c r="AL748" t="str">
        <f t="shared" si="114"/>
        <v>000000000000</v>
      </c>
      <c r="AM748" t="str">
        <f t="shared" si="106"/>
        <v xml:space="preserve">                              </v>
      </c>
      <c r="AP748" t="str">
        <f t="shared" si="107"/>
        <v/>
      </c>
    </row>
    <row r="749" spans="2:42" x14ac:dyDescent="0.2">
      <c r="B749" s="88"/>
      <c r="C749" s="80"/>
      <c r="D749" s="74"/>
      <c r="AF749" t="str">
        <f t="shared" si="108"/>
        <v>00000000</v>
      </c>
      <c r="AG749" s="81">
        <f t="shared" si="109"/>
        <v>0</v>
      </c>
      <c r="AH749" s="81">
        <f t="shared" si="110"/>
        <v>0</v>
      </c>
      <c r="AI749" t="str">
        <f t="shared" si="111"/>
        <v>0000000000</v>
      </c>
      <c r="AJ749" t="str">
        <f t="shared" si="112"/>
        <v>.00</v>
      </c>
      <c r="AK749" t="str">
        <f t="shared" si="113"/>
        <v>00</v>
      </c>
      <c r="AL749" t="str">
        <f t="shared" si="114"/>
        <v>000000000000</v>
      </c>
      <c r="AM749" t="str">
        <f t="shared" si="106"/>
        <v xml:space="preserve">                              </v>
      </c>
      <c r="AP749" t="str">
        <f t="shared" si="107"/>
        <v/>
      </c>
    </row>
    <row r="750" spans="2:42" x14ac:dyDescent="0.2">
      <c r="B750" s="88"/>
      <c r="C750" s="80"/>
      <c r="D750" s="74"/>
      <c r="AF750" t="str">
        <f t="shared" si="108"/>
        <v>00000000</v>
      </c>
      <c r="AG750" s="81">
        <f t="shared" si="109"/>
        <v>0</v>
      </c>
      <c r="AH750" s="81">
        <f t="shared" si="110"/>
        <v>0</v>
      </c>
      <c r="AI750" t="str">
        <f t="shared" si="111"/>
        <v>0000000000</v>
      </c>
      <c r="AJ750" t="str">
        <f t="shared" si="112"/>
        <v>.00</v>
      </c>
      <c r="AK750" t="str">
        <f t="shared" si="113"/>
        <v>00</v>
      </c>
      <c r="AL750" t="str">
        <f t="shared" si="114"/>
        <v>000000000000</v>
      </c>
      <c r="AM750" t="str">
        <f t="shared" si="106"/>
        <v xml:space="preserve">                              </v>
      </c>
      <c r="AP750" t="str">
        <f t="shared" si="107"/>
        <v/>
      </c>
    </row>
    <row r="751" spans="2:42" x14ac:dyDescent="0.2">
      <c r="B751" s="88"/>
      <c r="C751" s="80"/>
      <c r="D751" s="74"/>
      <c r="AF751" t="str">
        <f t="shared" si="108"/>
        <v>00000000</v>
      </c>
      <c r="AG751" s="81">
        <f t="shared" si="109"/>
        <v>0</v>
      </c>
      <c r="AH751" s="81">
        <f t="shared" si="110"/>
        <v>0</v>
      </c>
      <c r="AI751" t="str">
        <f t="shared" si="111"/>
        <v>0000000000</v>
      </c>
      <c r="AJ751" t="str">
        <f t="shared" si="112"/>
        <v>.00</v>
      </c>
      <c r="AK751" t="str">
        <f t="shared" si="113"/>
        <v>00</v>
      </c>
      <c r="AL751" t="str">
        <f t="shared" si="114"/>
        <v>000000000000</v>
      </c>
      <c r="AM751" t="str">
        <f t="shared" si="106"/>
        <v xml:space="preserve">                              </v>
      </c>
      <c r="AP751" t="str">
        <f t="shared" si="107"/>
        <v/>
      </c>
    </row>
    <row r="752" spans="2:42" x14ac:dyDescent="0.2">
      <c r="B752" s="88"/>
      <c r="C752" s="80"/>
      <c r="D752" s="74"/>
      <c r="AF752" t="str">
        <f t="shared" si="108"/>
        <v>00000000</v>
      </c>
      <c r="AG752" s="81">
        <f t="shared" si="109"/>
        <v>0</v>
      </c>
      <c r="AH752" s="81">
        <f t="shared" si="110"/>
        <v>0</v>
      </c>
      <c r="AI752" t="str">
        <f t="shared" si="111"/>
        <v>0000000000</v>
      </c>
      <c r="AJ752" t="str">
        <f t="shared" si="112"/>
        <v>.00</v>
      </c>
      <c r="AK752" t="str">
        <f t="shared" si="113"/>
        <v>00</v>
      </c>
      <c r="AL752" t="str">
        <f t="shared" si="114"/>
        <v>000000000000</v>
      </c>
      <c r="AM752" t="str">
        <f t="shared" si="106"/>
        <v xml:space="preserve">                              </v>
      </c>
      <c r="AP752" t="str">
        <f t="shared" si="107"/>
        <v/>
      </c>
    </row>
    <row r="753" spans="2:42" x14ac:dyDescent="0.2">
      <c r="B753" s="88"/>
      <c r="C753" s="80"/>
      <c r="D753" s="74"/>
      <c r="AF753" t="str">
        <f t="shared" si="108"/>
        <v>00000000</v>
      </c>
      <c r="AG753" s="81">
        <f t="shared" si="109"/>
        <v>0</v>
      </c>
      <c r="AH753" s="81">
        <f t="shared" si="110"/>
        <v>0</v>
      </c>
      <c r="AI753" t="str">
        <f t="shared" si="111"/>
        <v>0000000000</v>
      </c>
      <c r="AJ753" t="str">
        <f t="shared" si="112"/>
        <v>.00</v>
      </c>
      <c r="AK753" t="str">
        <f t="shared" si="113"/>
        <v>00</v>
      </c>
      <c r="AL753" t="str">
        <f t="shared" si="114"/>
        <v>000000000000</v>
      </c>
      <c r="AM753" t="str">
        <f t="shared" si="106"/>
        <v xml:space="preserve">                              </v>
      </c>
      <c r="AP753" t="str">
        <f t="shared" si="107"/>
        <v/>
      </c>
    </row>
    <row r="754" spans="2:42" x14ac:dyDescent="0.2">
      <c r="B754" s="88"/>
      <c r="C754" s="80"/>
      <c r="D754" s="74"/>
      <c r="AF754" t="str">
        <f t="shared" si="108"/>
        <v>00000000</v>
      </c>
      <c r="AG754" s="81">
        <f t="shared" si="109"/>
        <v>0</v>
      </c>
      <c r="AH754" s="81">
        <f t="shared" si="110"/>
        <v>0</v>
      </c>
      <c r="AI754" t="str">
        <f t="shared" si="111"/>
        <v>0000000000</v>
      </c>
      <c r="AJ754" t="str">
        <f t="shared" si="112"/>
        <v>.00</v>
      </c>
      <c r="AK754" t="str">
        <f t="shared" si="113"/>
        <v>00</v>
      </c>
      <c r="AL754" t="str">
        <f t="shared" si="114"/>
        <v>000000000000</v>
      </c>
      <c r="AM754" t="str">
        <f t="shared" si="106"/>
        <v xml:space="preserve">                              </v>
      </c>
      <c r="AP754" t="str">
        <f t="shared" si="107"/>
        <v/>
      </c>
    </row>
    <row r="755" spans="2:42" x14ac:dyDescent="0.2">
      <c r="B755" s="88"/>
      <c r="C755" s="80"/>
      <c r="D755" s="74"/>
      <c r="AF755" t="str">
        <f t="shared" si="108"/>
        <v>00000000</v>
      </c>
      <c r="AG755" s="81">
        <f t="shared" si="109"/>
        <v>0</v>
      </c>
      <c r="AH755" s="81">
        <f t="shared" si="110"/>
        <v>0</v>
      </c>
      <c r="AI755" t="str">
        <f t="shared" si="111"/>
        <v>0000000000</v>
      </c>
      <c r="AJ755" t="str">
        <f t="shared" si="112"/>
        <v>.00</v>
      </c>
      <c r="AK755" t="str">
        <f t="shared" si="113"/>
        <v>00</v>
      </c>
      <c r="AL755" t="str">
        <f t="shared" si="114"/>
        <v>000000000000</v>
      </c>
      <c r="AM755" t="str">
        <f t="shared" si="106"/>
        <v xml:space="preserve">                              </v>
      </c>
      <c r="AP755" t="str">
        <f t="shared" si="107"/>
        <v/>
      </c>
    </row>
    <row r="756" spans="2:42" x14ac:dyDescent="0.2">
      <c r="B756" s="88"/>
      <c r="C756" s="80"/>
      <c r="D756" s="74"/>
      <c r="AF756" t="str">
        <f t="shared" si="108"/>
        <v>00000000</v>
      </c>
      <c r="AG756" s="81">
        <f t="shared" si="109"/>
        <v>0</v>
      </c>
      <c r="AH756" s="81">
        <f t="shared" si="110"/>
        <v>0</v>
      </c>
      <c r="AI756" t="str">
        <f t="shared" si="111"/>
        <v>0000000000</v>
      </c>
      <c r="AJ756" t="str">
        <f t="shared" si="112"/>
        <v>.00</v>
      </c>
      <c r="AK756" t="str">
        <f t="shared" si="113"/>
        <v>00</v>
      </c>
      <c r="AL756" t="str">
        <f t="shared" si="114"/>
        <v>000000000000</v>
      </c>
      <c r="AM756" t="str">
        <f t="shared" si="106"/>
        <v xml:space="preserve">                              </v>
      </c>
      <c r="AP756" t="str">
        <f t="shared" si="107"/>
        <v/>
      </c>
    </row>
    <row r="757" spans="2:42" x14ac:dyDescent="0.2">
      <c r="B757" s="88"/>
      <c r="C757" s="80"/>
      <c r="D757" s="74"/>
      <c r="AF757" t="str">
        <f t="shared" si="108"/>
        <v>00000000</v>
      </c>
      <c r="AG757" s="81">
        <f t="shared" si="109"/>
        <v>0</v>
      </c>
      <c r="AH757" s="81">
        <f t="shared" si="110"/>
        <v>0</v>
      </c>
      <c r="AI757" t="str">
        <f t="shared" si="111"/>
        <v>0000000000</v>
      </c>
      <c r="AJ757" t="str">
        <f t="shared" si="112"/>
        <v>.00</v>
      </c>
      <c r="AK757" t="str">
        <f t="shared" si="113"/>
        <v>00</v>
      </c>
      <c r="AL757" t="str">
        <f t="shared" si="114"/>
        <v>000000000000</v>
      </c>
      <c r="AM757" t="str">
        <f t="shared" si="106"/>
        <v xml:space="preserve">                              </v>
      </c>
      <c r="AP757" t="str">
        <f t="shared" si="107"/>
        <v/>
      </c>
    </row>
    <row r="758" spans="2:42" x14ac:dyDescent="0.2">
      <c r="B758" s="88"/>
      <c r="C758" s="80"/>
      <c r="D758" s="74"/>
      <c r="AF758" t="str">
        <f t="shared" si="108"/>
        <v>00000000</v>
      </c>
      <c r="AG758" s="81">
        <f t="shared" si="109"/>
        <v>0</v>
      </c>
      <c r="AH758" s="81">
        <f t="shared" si="110"/>
        <v>0</v>
      </c>
      <c r="AI758" t="str">
        <f t="shared" si="111"/>
        <v>0000000000</v>
      </c>
      <c r="AJ758" t="str">
        <f t="shared" si="112"/>
        <v>.00</v>
      </c>
      <c r="AK758" t="str">
        <f t="shared" si="113"/>
        <v>00</v>
      </c>
      <c r="AL758" t="str">
        <f t="shared" si="114"/>
        <v>000000000000</v>
      </c>
      <c r="AM758" t="str">
        <f t="shared" si="106"/>
        <v xml:space="preserve">                              </v>
      </c>
      <c r="AP758" t="str">
        <f t="shared" si="107"/>
        <v/>
      </c>
    </row>
    <row r="759" spans="2:42" x14ac:dyDescent="0.2">
      <c r="B759" s="88"/>
      <c r="C759" s="80"/>
      <c r="D759" s="74"/>
      <c r="AF759" t="str">
        <f t="shared" si="108"/>
        <v>00000000</v>
      </c>
      <c r="AG759" s="81">
        <f t="shared" si="109"/>
        <v>0</v>
      </c>
      <c r="AH759" s="81">
        <f t="shared" si="110"/>
        <v>0</v>
      </c>
      <c r="AI759" t="str">
        <f t="shared" si="111"/>
        <v>0000000000</v>
      </c>
      <c r="AJ759" t="str">
        <f t="shared" si="112"/>
        <v>.00</v>
      </c>
      <c r="AK759" t="str">
        <f t="shared" si="113"/>
        <v>00</v>
      </c>
      <c r="AL759" t="str">
        <f t="shared" si="114"/>
        <v>000000000000</v>
      </c>
      <c r="AM759" t="str">
        <f t="shared" si="106"/>
        <v xml:space="preserve">                              </v>
      </c>
      <c r="AP759" t="str">
        <f t="shared" si="107"/>
        <v/>
      </c>
    </row>
    <row r="760" spans="2:42" x14ac:dyDescent="0.2">
      <c r="B760" s="88"/>
      <c r="C760" s="80"/>
      <c r="D760" s="74"/>
      <c r="AF760" t="str">
        <f t="shared" si="108"/>
        <v>00000000</v>
      </c>
      <c r="AG760" s="81">
        <f t="shared" si="109"/>
        <v>0</v>
      </c>
      <c r="AH760" s="81">
        <f t="shared" si="110"/>
        <v>0</v>
      </c>
      <c r="AI760" t="str">
        <f t="shared" si="111"/>
        <v>0000000000</v>
      </c>
      <c r="AJ760" t="str">
        <f t="shared" si="112"/>
        <v>.00</v>
      </c>
      <c r="AK760" t="str">
        <f t="shared" si="113"/>
        <v>00</v>
      </c>
      <c r="AL760" t="str">
        <f t="shared" si="114"/>
        <v>000000000000</v>
      </c>
      <c r="AM760" t="str">
        <f t="shared" si="106"/>
        <v xml:space="preserve">                              </v>
      </c>
      <c r="AP760" t="str">
        <f t="shared" si="107"/>
        <v/>
      </c>
    </row>
    <row r="761" spans="2:42" x14ac:dyDescent="0.2">
      <c r="B761" s="88"/>
      <c r="C761" s="80"/>
      <c r="D761" s="74"/>
      <c r="AF761" t="str">
        <f t="shared" si="108"/>
        <v>00000000</v>
      </c>
      <c r="AG761" s="81">
        <f t="shared" si="109"/>
        <v>0</v>
      </c>
      <c r="AH761" s="81">
        <f t="shared" si="110"/>
        <v>0</v>
      </c>
      <c r="AI761" t="str">
        <f t="shared" si="111"/>
        <v>0000000000</v>
      </c>
      <c r="AJ761" t="str">
        <f t="shared" si="112"/>
        <v>.00</v>
      </c>
      <c r="AK761" t="str">
        <f t="shared" si="113"/>
        <v>00</v>
      </c>
      <c r="AL761" t="str">
        <f t="shared" si="114"/>
        <v>000000000000</v>
      </c>
      <c r="AM761" t="str">
        <f t="shared" si="106"/>
        <v xml:space="preserve">                              </v>
      </c>
      <c r="AP761" t="str">
        <f t="shared" si="107"/>
        <v/>
      </c>
    </row>
    <row r="762" spans="2:42" x14ac:dyDescent="0.2">
      <c r="B762" s="88"/>
      <c r="C762" s="80"/>
      <c r="D762" s="74"/>
      <c r="AF762" t="str">
        <f t="shared" si="108"/>
        <v>00000000</v>
      </c>
      <c r="AG762" s="81">
        <f t="shared" si="109"/>
        <v>0</v>
      </c>
      <c r="AH762" s="81">
        <f t="shared" si="110"/>
        <v>0</v>
      </c>
      <c r="AI762" t="str">
        <f t="shared" si="111"/>
        <v>0000000000</v>
      </c>
      <c r="AJ762" t="str">
        <f t="shared" si="112"/>
        <v>.00</v>
      </c>
      <c r="AK762" t="str">
        <f t="shared" si="113"/>
        <v>00</v>
      </c>
      <c r="AL762" t="str">
        <f t="shared" si="114"/>
        <v>000000000000</v>
      </c>
      <c r="AM762" t="str">
        <f t="shared" si="106"/>
        <v xml:space="preserve">                              </v>
      </c>
      <c r="AP762" t="str">
        <f t="shared" si="107"/>
        <v/>
      </c>
    </row>
    <row r="763" spans="2:42" x14ac:dyDescent="0.2">
      <c r="B763" s="88"/>
      <c r="C763" s="80"/>
      <c r="D763" s="74"/>
      <c r="AF763" t="str">
        <f t="shared" si="108"/>
        <v>00000000</v>
      </c>
      <c r="AG763" s="81">
        <f t="shared" si="109"/>
        <v>0</v>
      </c>
      <c r="AH763" s="81">
        <f t="shared" si="110"/>
        <v>0</v>
      </c>
      <c r="AI763" t="str">
        <f t="shared" si="111"/>
        <v>0000000000</v>
      </c>
      <c r="AJ763" t="str">
        <f t="shared" si="112"/>
        <v>.00</v>
      </c>
      <c r="AK763" t="str">
        <f t="shared" si="113"/>
        <v>00</v>
      </c>
      <c r="AL763" t="str">
        <f t="shared" si="114"/>
        <v>000000000000</v>
      </c>
      <c r="AM763" t="str">
        <f t="shared" si="106"/>
        <v xml:space="preserve">                              </v>
      </c>
      <c r="AP763" t="str">
        <f t="shared" si="107"/>
        <v/>
      </c>
    </row>
    <row r="764" spans="2:42" x14ac:dyDescent="0.2">
      <c r="B764" s="88"/>
      <c r="C764" s="80"/>
      <c r="D764" s="74"/>
      <c r="AF764" t="str">
        <f t="shared" si="108"/>
        <v>00000000</v>
      </c>
      <c r="AG764" s="81">
        <f t="shared" si="109"/>
        <v>0</v>
      </c>
      <c r="AH764" s="81">
        <f t="shared" si="110"/>
        <v>0</v>
      </c>
      <c r="AI764" t="str">
        <f t="shared" si="111"/>
        <v>0000000000</v>
      </c>
      <c r="AJ764" t="str">
        <f t="shared" si="112"/>
        <v>.00</v>
      </c>
      <c r="AK764" t="str">
        <f t="shared" si="113"/>
        <v>00</v>
      </c>
      <c r="AL764" t="str">
        <f t="shared" si="114"/>
        <v>000000000000</v>
      </c>
      <c r="AM764" t="str">
        <f t="shared" si="106"/>
        <v xml:space="preserve">                              </v>
      </c>
      <c r="AP764" t="str">
        <f t="shared" si="107"/>
        <v/>
      </c>
    </row>
    <row r="765" spans="2:42" x14ac:dyDescent="0.2">
      <c r="B765" s="88"/>
      <c r="C765" s="80"/>
      <c r="D765" s="74"/>
      <c r="AF765" t="str">
        <f t="shared" si="108"/>
        <v>00000000</v>
      </c>
      <c r="AG765" s="81">
        <f t="shared" si="109"/>
        <v>0</v>
      </c>
      <c r="AH765" s="81">
        <f t="shared" si="110"/>
        <v>0</v>
      </c>
      <c r="AI765" t="str">
        <f t="shared" si="111"/>
        <v>0000000000</v>
      </c>
      <c r="AJ765" t="str">
        <f t="shared" si="112"/>
        <v>.00</v>
      </c>
      <c r="AK765" t="str">
        <f t="shared" si="113"/>
        <v>00</v>
      </c>
      <c r="AL765" t="str">
        <f t="shared" si="114"/>
        <v>000000000000</v>
      </c>
      <c r="AM765" t="str">
        <f t="shared" si="106"/>
        <v xml:space="preserve">                              </v>
      </c>
      <c r="AP765" t="str">
        <f t="shared" si="107"/>
        <v/>
      </c>
    </row>
    <row r="766" spans="2:42" x14ac:dyDescent="0.2">
      <c r="B766" s="88"/>
      <c r="C766" s="80"/>
      <c r="D766" s="74"/>
      <c r="AF766" t="str">
        <f t="shared" si="108"/>
        <v>00000000</v>
      </c>
      <c r="AG766" s="81">
        <f t="shared" si="109"/>
        <v>0</v>
      </c>
      <c r="AH766" s="81">
        <f t="shared" si="110"/>
        <v>0</v>
      </c>
      <c r="AI766" t="str">
        <f t="shared" si="111"/>
        <v>0000000000</v>
      </c>
      <c r="AJ766" t="str">
        <f t="shared" si="112"/>
        <v>.00</v>
      </c>
      <c r="AK766" t="str">
        <f t="shared" si="113"/>
        <v>00</v>
      </c>
      <c r="AL766" t="str">
        <f t="shared" si="114"/>
        <v>000000000000</v>
      </c>
      <c r="AM766" t="str">
        <f t="shared" si="106"/>
        <v xml:space="preserve">                              </v>
      </c>
      <c r="AP766" t="str">
        <f t="shared" si="107"/>
        <v/>
      </c>
    </row>
    <row r="767" spans="2:42" x14ac:dyDescent="0.2">
      <c r="B767" s="88"/>
      <c r="C767" s="80"/>
      <c r="D767" s="74"/>
      <c r="AF767" t="str">
        <f t="shared" si="108"/>
        <v>00000000</v>
      </c>
      <c r="AG767" s="81">
        <f t="shared" si="109"/>
        <v>0</v>
      </c>
      <c r="AH767" s="81">
        <f t="shared" si="110"/>
        <v>0</v>
      </c>
      <c r="AI767" t="str">
        <f t="shared" si="111"/>
        <v>0000000000</v>
      </c>
      <c r="AJ767" t="str">
        <f t="shared" si="112"/>
        <v>.00</v>
      </c>
      <c r="AK767" t="str">
        <f t="shared" si="113"/>
        <v>00</v>
      </c>
      <c r="AL767" t="str">
        <f t="shared" si="114"/>
        <v>000000000000</v>
      </c>
      <c r="AM767" t="str">
        <f t="shared" si="106"/>
        <v xml:space="preserve">                              </v>
      </c>
      <c r="AP767" t="str">
        <f t="shared" si="107"/>
        <v/>
      </c>
    </row>
    <row r="768" spans="2:42" x14ac:dyDescent="0.2">
      <c r="B768" s="88"/>
      <c r="C768" s="80"/>
      <c r="D768" s="74"/>
      <c r="AF768" t="str">
        <f t="shared" si="108"/>
        <v>00000000</v>
      </c>
      <c r="AG768" s="81">
        <f t="shared" si="109"/>
        <v>0</v>
      </c>
      <c r="AH768" s="81">
        <f t="shared" si="110"/>
        <v>0</v>
      </c>
      <c r="AI768" t="str">
        <f t="shared" si="111"/>
        <v>0000000000</v>
      </c>
      <c r="AJ768" t="str">
        <f t="shared" si="112"/>
        <v>.00</v>
      </c>
      <c r="AK768" t="str">
        <f t="shared" si="113"/>
        <v>00</v>
      </c>
      <c r="AL768" t="str">
        <f t="shared" si="114"/>
        <v>000000000000</v>
      </c>
      <c r="AM768" t="str">
        <f t="shared" si="106"/>
        <v xml:space="preserve">                              </v>
      </c>
      <c r="AP768" t="str">
        <f t="shared" si="107"/>
        <v/>
      </c>
    </row>
    <row r="769" spans="2:42" x14ac:dyDescent="0.2">
      <c r="B769" s="88"/>
      <c r="C769" s="80"/>
      <c r="D769" s="74"/>
      <c r="AF769" t="str">
        <f t="shared" si="108"/>
        <v>00000000</v>
      </c>
      <c r="AG769" s="81">
        <f t="shared" si="109"/>
        <v>0</v>
      </c>
      <c r="AH769" s="81">
        <f t="shared" si="110"/>
        <v>0</v>
      </c>
      <c r="AI769" t="str">
        <f t="shared" si="111"/>
        <v>0000000000</v>
      </c>
      <c r="AJ769" t="str">
        <f t="shared" si="112"/>
        <v>.00</v>
      </c>
      <c r="AK769" t="str">
        <f t="shared" si="113"/>
        <v>00</v>
      </c>
      <c r="AL769" t="str">
        <f t="shared" si="114"/>
        <v>000000000000</v>
      </c>
      <c r="AM769" t="str">
        <f t="shared" si="106"/>
        <v xml:space="preserve">                              </v>
      </c>
      <c r="AP769" t="str">
        <f t="shared" si="107"/>
        <v/>
      </c>
    </row>
    <row r="770" spans="2:42" x14ac:dyDescent="0.2">
      <c r="B770" s="88"/>
      <c r="C770" s="80"/>
      <c r="D770" s="74"/>
      <c r="AF770" t="str">
        <f t="shared" si="108"/>
        <v>00000000</v>
      </c>
      <c r="AG770" s="81">
        <f t="shared" si="109"/>
        <v>0</v>
      </c>
      <c r="AH770" s="81">
        <f t="shared" si="110"/>
        <v>0</v>
      </c>
      <c r="AI770" t="str">
        <f t="shared" si="111"/>
        <v>0000000000</v>
      </c>
      <c r="AJ770" t="str">
        <f t="shared" si="112"/>
        <v>.00</v>
      </c>
      <c r="AK770" t="str">
        <f t="shared" si="113"/>
        <v>00</v>
      </c>
      <c r="AL770" t="str">
        <f t="shared" si="114"/>
        <v>000000000000</v>
      </c>
      <c r="AM770" t="str">
        <f t="shared" si="106"/>
        <v xml:space="preserve">                              </v>
      </c>
      <c r="AP770" t="str">
        <f t="shared" si="107"/>
        <v/>
      </c>
    </row>
    <row r="771" spans="2:42" x14ac:dyDescent="0.2">
      <c r="B771" s="88"/>
      <c r="C771" s="80"/>
      <c r="D771" s="74"/>
      <c r="AF771" t="str">
        <f t="shared" si="108"/>
        <v>00000000</v>
      </c>
      <c r="AG771" s="81">
        <f t="shared" si="109"/>
        <v>0</v>
      </c>
      <c r="AH771" s="81">
        <f t="shared" si="110"/>
        <v>0</v>
      </c>
      <c r="AI771" t="str">
        <f t="shared" si="111"/>
        <v>0000000000</v>
      </c>
      <c r="AJ771" t="str">
        <f t="shared" si="112"/>
        <v>.00</v>
      </c>
      <c r="AK771" t="str">
        <f t="shared" si="113"/>
        <v>00</v>
      </c>
      <c r="AL771" t="str">
        <f t="shared" si="114"/>
        <v>000000000000</v>
      </c>
      <c r="AM771" t="str">
        <f t="shared" ref="AM771:AM834" si="115">CONCATENATE(D772,REPT(" ",30-LEN(D772)))</f>
        <v xml:space="preserve">                              </v>
      </c>
      <c r="AP771" t="str">
        <f t="shared" ref="AP771:AP834" si="116">IF(B772&lt;&gt;"",CONCATENATE("000",$AA$3,"     ",$AB$3,$AC$3,$AD$3,"30000",AF771,AL771,$AC$1,AM771),"")</f>
        <v/>
      </c>
    </row>
    <row r="772" spans="2:42" x14ac:dyDescent="0.2">
      <c r="B772" s="88"/>
      <c r="C772" s="80"/>
      <c r="D772" s="74"/>
      <c r="AF772" t="str">
        <f t="shared" si="108"/>
        <v>00000000</v>
      </c>
      <c r="AG772" s="81">
        <f t="shared" si="109"/>
        <v>0</v>
      </c>
      <c r="AH772" s="81">
        <f t="shared" si="110"/>
        <v>0</v>
      </c>
      <c r="AI772" t="str">
        <f t="shared" si="111"/>
        <v>0000000000</v>
      </c>
      <c r="AJ772" t="str">
        <f t="shared" si="112"/>
        <v>.00</v>
      </c>
      <c r="AK772" t="str">
        <f t="shared" si="113"/>
        <v>00</v>
      </c>
      <c r="AL772" t="str">
        <f t="shared" si="114"/>
        <v>000000000000</v>
      </c>
      <c r="AM772" t="str">
        <f t="shared" si="115"/>
        <v xml:space="preserve">                              </v>
      </c>
      <c r="AP772" t="str">
        <f t="shared" si="116"/>
        <v/>
      </c>
    </row>
    <row r="773" spans="2:42" x14ac:dyDescent="0.2">
      <c r="B773" s="88"/>
      <c r="C773" s="80"/>
      <c r="D773" s="74"/>
      <c r="AF773" t="str">
        <f t="shared" si="108"/>
        <v>00000000</v>
      </c>
      <c r="AG773" s="81">
        <f t="shared" si="109"/>
        <v>0</v>
      </c>
      <c r="AH773" s="81">
        <f t="shared" si="110"/>
        <v>0</v>
      </c>
      <c r="AI773" t="str">
        <f t="shared" si="111"/>
        <v>0000000000</v>
      </c>
      <c r="AJ773" t="str">
        <f t="shared" si="112"/>
        <v>.00</v>
      </c>
      <c r="AK773" t="str">
        <f t="shared" si="113"/>
        <v>00</v>
      </c>
      <c r="AL773" t="str">
        <f t="shared" si="114"/>
        <v>000000000000</v>
      </c>
      <c r="AM773" t="str">
        <f t="shared" si="115"/>
        <v xml:space="preserve">                              </v>
      </c>
      <c r="AP773" t="str">
        <f t="shared" si="116"/>
        <v/>
      </c>
    </row>
    <row r="774" spans="2:42" x14ac:dyDescent="0.2">
      <c r="B774" s="88"/>
      <c r="C774" s="80"/>
      <c r="D774" s="74"/>
      <c r="AF774" t="str">
        <f t="shared" si="108"/>
        <v>00000000</v>
      </c>
      <c r="AG774" s="81">
        <f t="shared" si="109"/>
        <v>0</v>
      </c>
      <c r="AH774" s="81">
        <f t="shared" si="110"/>
        <v>0</v>
      </c>
      <c r="AI774" t="str">
        <f t="shared" si="111"/>
        <v>0000000000</v>
      </c>
      <c r="AJ774" t="str">
        <f t="shared" si="112"/>
        <v>.00</v>
      </c>
      <c r="AK774" t="str">
        <f t="shared" si="113"/>
        <v>00</v>
      </c>
      <c r="AL774" t="str">
        <f t="shared" si="114"/>
        <v>000000000000</v>
      </c>
      <c r="AM774" t="str">
        <f t="shared" si="115"/>
        <v xml:space="preserve">                              </v>
      </c>
      <c r="AP774" t="str">
        <f t="shared" si="116"/>
        <v/>
      </c>
    </row>
    <row r="775" spans="2:42" x14ac:dyDescent="0.2">
      <c r="B775" s="88"/>
      <c r="C775" s="80"/>
      <c r="D775" s="74"/>
      <c r="AF775" t="str">
        <f t="shared" si="108"/>
        <v>00000000</v>
      </c>
      <c r="AG775" s="81">
        <f t="shared" si="109"/>
        <v>0</v>
      </c>
      <c r="AH775" s="81">
        <f t="shared" si="110"/>
        <v>0</v>
      </c>
      <c r="AI775" t="str">
        <f t="shared" si="111"/>
        <v>0000000000</v>
      </c>
      <c r="AJ775" t="str">
        <f t="shared" si="112"/>
        <v>.00</v>
      </c>
      <c r="AK775" t="str">
        <f t="shared" si="113"/>
        <v>00</v>
      </c>
      <c r="AL775" t="str">
        <f t="shared" si="114"/>
        <v>000000000000</v>
      </c>
      <c r="AM775" t="str">
        <f t="shared" si="115"/>
        <v xml:space="preserve">                              </v>
      </c>
      <c r="AP775" t="str">
        <f t="shared" si="116"/>
        <v/>
      </c>
    </row>
    <row r="776" spans="2:42" x14ac:dyDescent="0.2">
      <c r="B776" s="88"/>
      <c r="C776" s="80"/>
      <c r="D776" s="74"/>
      <c r="AF776" t="str">
        <f t="shared" si="108"/>
        <v>00000000</v>
      </c>
      <c r="AG776" s="81">
        <f t="shared" si="109"/>
        <v>0</v>
      </c>
      <c r="AH776" s="81">
        <f t="shared" si="110"/>
        <v>0</v>
      </c>
      <c r="AI776" t="str">
        <f t="shared" si="111"/>
        <v>0000000000</v>
      </c>
      <c r="AJ776" t="str">
        <f t="shared" si="112"/>
        <v>.00</v>
      </c>
      <c r="AK776" t="str">
        <f t="shared" si="113"/>
        <v>00</v>
      </c>
      <c r="AL776" t="str">
        <f t="shared" si="114"/>
        <v>000000000000</v>
      </c>
      <c r="AM776" t="str">
        <f t="shared" si="115"/>
        <v xml:space="preserve">                              </v>
      </c>
      <c r="AP776" t="str">
        <f t="shared" si="116"/>
        <v/>
      </c>
    </row>
    <row r="777" spans="2:42" x14ac:dyDescent="0.2">
      <c r="B777" s="88"/>
      <c r="C777" s="80"/>
      <c r="D777" s="74"/>
      <c r="AF777" t="str">
        <f t="shared" si="108"/>
        <v>00000000</v>
      </c>
      <c r="AG777" s="81">
        <f t="shared" si="109"/>
        <v>0</v>
      </c>
      <c r="AH777" s="81">
        <f t="shared" si="110"/>
        <v>0</v>
      </c>
      <c r="AI777" t="str">
        <f t="shared" si="111"/>
        <v>0000000000</v>
      </c>
      <c r="AJ777" t="str">
        <f t="shared" si="112"/>
        <v>.00</v>
      </c>
      <c r="AK777" t="str">
        <f t="shared" si="113"/>
        <v>00</v>
      </c>
      <c r="AL777" t="str">
        <f t="shared" si="114"/>
        <v>000000000000</v>
      </c>
      <c r="AM777" t="str">
        <f t="shared" si="115"/>
        <v xml:space="preserve">                              </v>
      </c>
      <c r="AP777" t="str">
        <f t="shared" si="116"/>
        <v/>
      </c>
    </row>
    <row r="778" spans="2:42" x14ac:dyDescent="0.2">
      <c r="B778" s="88"/>
      <c r="C778" s="80"/>
      <c r="D778" s="74"/>
      <c r="AF778" t="str">
        <f t="shared" ref="AF778:AF841" si="117">CONCATENATE(REPT("0",8-LEN(B779)),B779)</f>
        <v>00000000</v>
      </c>
      <c r="AG778" s="81">
        <f t="shared" ref="AG778:AG841" si="118">INT(C779)</f>
        <v>0</v>
      </c>
      <c r="AH778" s="81">
        <f t="shared" ref="AH778:AH841" si="119">C779-AG778</f>
        <v>0</v>
      </c>
      <c r="AI778" t="str">
        <f t="shared" ref="AI778:AI841" si="120">TEXT(AG778,"0000000000")</f>
        <v>0000000000</v>
      </c>
      <c r="AJ778" t="str">
        <f t="shared" ref="AJ778:AJ841" si="121">TEXT(AH778,".00")</f>
        <v>.00</v>
      </c>
      <c r="AK778" t="str">
        <f t="shared" ref="AK778:AK841" si="122">MID(AJ778,2,2)</f>
        <v>00</v>
      </c>
      <c r="AL778" t="str">
        <f t="shared" ref="AL778:AL841" si="123">CONCATENATE(AI778,AK778)</f>
        <v>000000000000</v>
      </c>
      <c r="AM778" t="str">
        <f t="shared" si="115"/>
        <v xml:space="preserve">                              </v>
      </c>
      <c r="AP778" t="str">
        <f t="shared" si="116"/>
        <v/>
      </c>
    </row>
    <row r="779" spans="2:42" x14ac:dyDescent="0.2">
      <c r="B779" s="88"/>
      <c r="C779" s="80"/>
      <c r="D779" s="74"/>
      <c r="AF779" t="str">
        <f t="shared" si="117"/>
        <v>00000000</v>
      </c>
      <c r="AG779" s="81">
        <f t="shared" si="118"/>
        <v>0</v>
      </c>
      <c r="AH779" s="81">
        <f t="shared" si="119"/>
        <v>0</v>
      </c>
      <c r="AI779" t="str">
        <f t="shared" si="120"/>
        <v>0000000000</v>
      </c>
      <c r="AJ779" t="str">
        <f t="shared" si="121"/>
        <v>.00</v>
      </c>
      <c r="AK779" t="str">
        <f t="shared" si="122"/>
        <v>00</v>
      </c>
      <c r="AL779" t="str">
        <f t="shared" si="123"/>
        <v>000000000000</v>
      </c>
      <c r="AM779" t="str">
        <f t="shared" si="115"/>
        <v xml:space="preserve">                              </v>
      </c>
      <c r="AP779" t="str">
        <f t="shared" si="116"/>
        <v/>
      </c>
    </row>
    <row r="780" spans="2:42" x14ac:dyDescent="0.2">
      <c r="B780" s="88"/>
      <c r="C780" s="80"/>
      <c r="D780" s="74"/>
      <c r="AF780" t="str">
        <f t="shared" si="117"/>
        <v>00000000</v>
      </c>
      <c r="AG780" s="81">
        <f t="shared" si="118"/>
        <v>0</v>
      </c>
      <c r="AH780" s="81">
        <f t="shared" si="119"/>
        <v>0</v>
      </c>
      <c r="AI780" t="str">
        <f t="shared" si="120"/>
        <v>0000000000</v>
      </c>
      <c r="AJ780" t="str">
        <f t="shared" si="121"/>
        <v>.00</v>
      </c>
      <c r="AK780" t="str">
        <f t="shared" si="122"/>
        <v>00</v>
      </c>
      <c r="AL780" t="str">
        <f t="shared" si="123"/>
        <v>000000000000</v>
      </c>
      <c r="AM780" t="str">
        <f t="shared" si="115"/>
        <v xml:space="preserve">                              </v>
      </c>
      <c r="AP780" t="str">
        <f t="shared" si="116"/>
        <v/>
      </c>
    </row>
    <row r="781" spans="2:42" x14ac:dyDescent="0.2">
      <c r="B781" s="88"/>
      <c r="C781" s="80"/>
      <c r="D781" s="74"/>
      <c r="AF781" t="str">
        <f t="shared" si="117"/>
        <v>00000000</v>
      </c>
      <c r="AG781" s="81">
        <f t="shared" si="118"/>
        <v>0</v>
      </c>
      <c r="AH781" s="81">
        <f t="shared" si="119"/>
        <v>0</v>
      </c>
      <c r="AI781" t="str">
        <f t="shared" si="120"/>
        <v>0000000000</v>
      </c>
      <c r="AJ781" t="str">
        <f t="shared" si="121"/>
        <v>.00</v>
      </c>
      <c r="AK781" t="str">
        <f t="shared" si="122"/>
        <v>00</v>
      </c>
      <c r="AL781" t="str">
        <f t="shared" si="123"/>
        <v>000000000000</v>
      </c>
      <c r="AM781" t="str">
        <f t="shared" si="115"/>
        <v xml:space="preserve">                              </v>
      </c>
      <c r="AP781" t="str">
        <f t="shared" si="116"/>
        <v/>
      </c>
    </row>
    <row r="782" spans="2:42" x14ac:dyDescent="0.2">
      <c r="B782" s="88"/>
      <c r="C782" s="80"/>
      <c r="D782" s="74"/>
      <c r="AF782" t="str">
        <f t="shared" si="117"/>
        <v>00000000</v>
      </c>
      <c r="AG782" s="81">
        <f t="shared" si="118"/>
        <v>0</v>
      </c>
      <c r="AH782" s="81">
        <f t="shared" si="119"/>
        <v>0</v>
      </c>
      <c r="AI782" t="str">
        <f t="shared" si="120"/>
        <v>0000000000</v>
      </c>
      <c r="AJ782" t="str">
        <f t="shared" si="121"/>
        <v>.00</v>
      </c>
      <c r="AK782" t="str">
        <f t="shared" si="122"/>
        <v>00</v>
      </c>
      <c r="AL782" t="str">
        <f t="shared" si="123"/>
        <v>000000000000</v>
      </c>
      <c r="AM782" t="str">
        <f t="shared" si="115"/>
        <v xml:space="preserve">                              </v>
      </c>
      <c r="AP782" t="str">
        <f t="shared" si="116"/>
        <v/>
      </c>
    </row>
    <row r="783" spans="2:42" x14ac:dyDescent="0.2">
      <c r="B783" s="88"/>
      <c r="C783" s="80"/>
      <c r="D783" s="74"/>
      <c r="AF783" t="str">
        <f t="shared" si="117"/>
        <v>00000000</v>
      </c>
      <c r="AG783" s="81">
        <f t="shared" si="118"/>
        <v>0</v>
      </c>
      <c r="AH783" s="81">
        <f t="shared" si="119"/>
        <v>0</v>
      </c>
      <c r="AI783" t="str">
        <f t="shared" si="120"/>
        <v>0000000000</v>
      </c>
      <c r="AJ783" t="str">
        <f t="shared" si="121"/>
        <v>.00</v>
      </c>
      <c r="AK783" t="str">
        <f t="shared" si="122"/>
        <v>00</v>
      </c>
      <c r="AL783" t="str">
        <f t="shared" si="123"/>
        <v>000000000000</v>
      </c>
      <c r="AM783" t="str">
        <f t="shared" si="115"/>
        <v xml:space="preserve">                              </v>
      </c>
      <c r="AP783" t="str">
        <f t="shared" si="116"/>
        <v/>
      </c>
    </row>
    <row r="784" spans="2:42" x14ac:dyDescent="0.2">
      <c r="B784" s="88"/>
      <c r="C784" s="80"/>
      <c r="D784" s="74"/>
      <c r="AF784" t="str">
        <f t="shared" si="117"/>
        <v>00000000</v>
      </c>
      <c r="AG784" s="81">
        <f t="shared" si="118"/>
        <v>0</v>
      </c>
      <c r="AH784" s="81">
        <f t="shared" si="119"/>
        <v>0</v>
      </c>
      <c r="AI784" t="str">
        <f t="shared" si="120"/>
        <v>0000000000</v>
      </c>
      <c r="AJ784" t="str">
        <f t="shared" si="121"/>
        <v>.00</v>
      </c>
      <c r="AK784" t="str">
        <f t="shared" si="122"/>
        <v>00</v>
      </c>
      <c r="AL784" t="str">
        <f t="shared" si="123"/>
        <v>000000000000</v>
      </c>
      <c r="AM784" t="str">
        <f t="shared" si="115"/>
        <v xml:space="preserve">                              </v>
      </c>
      <c r="AP784" t="str">
        <f t="shared" si="116"/>
        <v/>
      </c>
    </row>
    <row r="785" spans="2:42" x14ac:dyDescent="0.2">
      <c r="B785" s="88"/>
      <c r="C785" s="80"/>
      <c r="D785" s="74"/>
      <c r="AF785" t="str">
        <f t="shared" si="117"/>
        <v>00000000</v>
      </c>
      <c r="AG785" s="81">
        <f t="shared" si="118"/>
        <v>0</v>
      </c>
      <c r="AH785" s="81">
        <f t="shared" si="119"/>
        <v>0</v>
      </c>
      <c r="AI785" t="str">
        <f t="shared" si="120"/>
        <v>0000000000</v>
      </c>
      <c r="AJ785" t="str">
        <f t="shared" si="121"/>
        <v>.00</v>
      </c>
      <c r="AK785" t="str">
        <f t="shared" si="122"/>
        <v>00</v>
      </c>
      <c r="AL785" t="str">
        <f t="shared" si="123"/>
        <v>000000000000</v>
      </c>
      <c r="AM785" t="str">
        <f t="shared" si="115"/>
        <v xml:space="preserve">                              </v>
      </c>
      <c r="AP785" t="str">
        <f t="shared" si="116"/>
        <v/>
      </c>
    </row>
    <row r="786" spans="2:42" x14ac:dyDescent="0.2">
      <c r="B786" s="88"/>
      <c r="C786" s="80"/>
      <c r="D786" s="74"/>
      <c r="AF786" t="str">
        <f t="shared" si="117"/>
        <v>00000000</v>
      </c>
      <c r="AG786" s="81">
        <f t="shared" si="118"/>
        <v>0</v>
      </c>
      <c r="AH786" s="81">
        <f t="shared" si="119"/>
        <v>0</v>
      </c>
      <c r="AI786" t="str">
        <f t="shared" si="120"/>
        <v>0000000000</v>
      </c>
      <c r="AJ786" t="str">
        <f t="shared" si="121"/>
        <v>.00</v>
      </c>
      <c r="AK786" t="str">
        <f t="shared" si="122"/>
        <v>00</v>
      </c>
      <c r="AL786" t="str">
        <f t="shared" si="123"/>
        <v>000000000000</v>
      </c>
      <c r="AM786" t="str">
        <f t="shared" si="115"/>
        <v xml:space="preserve">                              </v>
      </c>
      <c r="AP786" t="str">
        <f t="shared" si="116"/>
        <v/>
      </c>
    </row>
    <row r="787" spans="2:42" x14ac:dyDescent="0.2">
      <c r="B787" s="88"/>
      <c r="C787" s="80"/>
      <c r="D787" s="74"/>
      <c r="AF787" t="str">
        <f t="shared" si="117"/>
        <v>00000000</v>
      </c>
      <c r="AG787" s="81">
        <f t="shared" si="118"/>
        <v>0</v>
      </c>
      <c r="AH787" s="81">
        <f t="shared" si="119"/>
        <v>0</v>
      </c>
      <c r="AI787" t="str">
        <f t="shared" si="120"/>
        <v>0000000000</v>
      </c>
      <c r="AJ787" t="str">
        <f t="shared" si="121"/>
        <v>.00</v>
      </c>
      <c r="AK787" t="str">
        <f t="shared" si="122"/>
        <v>00</v>
      </c>
      <c r="AL787" t="str">
        <f t="shared" si="123"/>
        <v>000000000000</v>
      </c>
      <c r="AM787" t="str">
        <f t="shared" si="115"/>
        <v xml:space="preserve">                              </v>
      </c>
      <c r="AP787" t="str">
        <f t="shared" si="116"/>
        <v/>
      </c>
    </row>
    <row r="788" spans="2:42" x14ac:dyDescent="0.2">
      <c r="B788" s="88"/>
      <c r="C788" s="80"/>
      <c r="D788" s="74"/>
      <c r="AF788" t="str">
        <f t="shared" si="117"/>
        <v>00000000</v>
      </c>
      <c r="AG788" s="81">
        <f t="shared" si="118"/>
        <v>0</v>
      </c>
      <c r="AH788" s="81">
        <f t="shared" si="119"/>
        <v>0</v>
      </c>
      <c r="AI788" t="str">
        <f t="shared" si="120"/>
        <v>0000000000</v>
      </c>
      <c r="AJ788" t="str">
        <f t="shared" si="121"/>
        <v>.00</v>
      </c>
      <c r="AK788" t="str">
        <f t="shared" si="122"/>
        <v>00</v>
      </c>
      <c r="AL788" t="str">
        <f t="shared" si="123"/>
        <v>000000000000</v>
      </c>
      <c r="AM788" t="str">
        <f t="shared" si="115"/>
        <v xml:space="preserve">                              </v>
      </c>
      <c r="AP788" t="str">
        <f t="shared" si="116"/>
        <v/>
      </c>
    </row>
    <row r="789" spans="2:42" x14ac:dyDescent="0.2">
      <c r="B789" s="88"/>
      <c r="C789" s="80"/>
      <c r="D789" s="74"/>
      <c r="AF789" t="str">
        <f t="shared" si="117"/>
        <v>00000000</v>
      </c>
      <c r="AG789" s="81">
        <f t="shared" si="118"/>
        <v>0</v>
      </c>
      <c r="AH789" s="81">
        <f t="shared" si="119"/>
        <v>0</v>
      </c>
      <c r="AI789" t="str">
        <f t="shared" si="120"/>
        <v>0000000000</v>
      </c>
      <c r="AJ789" t="str">
        <f t="shared" si="121"/>
        <v>.00</v>
      </c>
      <c r="AK789" t="str">
        <f t="shared" si="122"/>
        <v>00</v>
      </c>
      <c r="AL789" t="str">
        <f t="shared" si="123"/>
        <v>000000000000</v>
      </c>
      <c r="AM789" t="str">
        <f t="shared" si="115"/>
        <v xml:space="preserve">                              </v>
      </c>
      <c r="AP789" t="str">
        <f t="shared" si="116"/>
        <v/>
      </c>
    </row>
    <row r="790" spans="2:42" x14ac:dyDescent="0.2">
      <c r="B790" s="88"/>
      <c r="C790" s="80"/>
      <c r="D790" s="74"/>
      <c r="AF790" t="str">
        <f t="shared" si="117"/>
        <v>00000000</v>
      </c>
      <c r="AG790" s="81">
        <f t="shared" si="118"/>
        <v>0</v>
      </c>
      <c r="AH790" s="81">
        <f t="shared" si="119"/>
        <v>0</v>
      </c>
      <c r="AI790" t="str">
        <f t="shared" si="120"/>
        <v>0000000000</v>
      </c>
      <c r="AJ790" t="str">
        <f t="shared" si="121"/>
        <v>.00</v>
      </c>
      <c r="AK790" t="str">
        <f t="shared" si="122"/>
        <v>00</v>
      </c>
      <c r="AL790" t="str">
        <f t="shared" si="123"/>
        <v>000000000000</v>
      </c>
      <c r="AM790" t="str">
        <f t="shared" si="115"/>
        <v xml:space="preserve">                              </v>
      </c>
      <c r="AP790" t="str">
        <f t="shared" si="116"/>
        <v/>
      </c>
    </row>
    <row r="791" spans="2:42" x14ac:dyDescent="0.2">
      <c r="B791" s="88"/>
      <c r="C791" s="80"/>
      <c r="D791" s="74"/>
      <c r="AF791" t="str">
        <f t="shared" si="117"/>
        <v>00000000</v>
      </c>
      <c r="AG791" s="81">
        <f t="shared" si="118"/>
        <v>0</v>
      </c>
      <c r="AH791" s="81">
        <f t="shared" si="119"/>
        <v>0</v>
      </c>
      <c r="AI791" t="str">
        <f t="shared" si="120"/>
        <v>0000000000</v>
      </c>
      <c r="AJ791" t="str">
        <f t="shared" si="121"/>
        <v>.00</v>
      </c>
      <c r="AK791" t="str">
        <f t="shared" si="122"/>
        <v>00</v>
      </c>
      <c r="AL791" t="str">
        <f t="shared" si="123"/>
        <v>000000000000</v>
      </c>
      <c r="AM791" t="str">
        <f t="shared" si="115"/>
        <v xml:space="preserve">                              </v>
      </c>
      <c r="AP791" t="str">
        <f t="shared" si="116"/>
        <v/>
      </c>
    </row>
    <row r="792" spans="2:42" x14ac:dyDescent="0.2">
      <c r="B792" s="88"/>
      <c r="C792" s="80"/>
      <c r="D792" s="74"/>
      <c r="AF792" t="str">
        <f t="shared" si="117"/>
        <v>00000000</v>
      </c>
      <c r="AG792" s="81">
        <f t="shared" si="118"/>
        <v>0</v>
      </c>
      <c r="AH792" s="81">
        <f t="shared" si="119"/>
        <v>0</v>
      </c>
      <c r="AI792" t="str">
        <f t="shared" si="120"/>
        <v>0000000000</v>
      </c>
      <c r="AJ792" t="str">
        <f t="shared" si="121"/>
        <v>.00</v>
      </c>
      <c r="AK792" t="str">
        <f t="shared" si="122"/>
        <v>00</v>
      </c>
      <c r="AL792" t="str">
        <f t="shared" si="123"/>
        <v>000000000000</v>
      </c>
      <c r="AM792" t="str">
        <f t="shared" si="115"/>
        <v xml:space="preserve">                              </v>
      </c>
      <c r="AP792" t="str">
        <f t="shared" si="116"/>
        <v/>
      </c>
    </row>
    <row r="793" spans="2:42" x14ac:dyDescent="0.2">
      <c r="B793" s="88"/>
      <c r="C793" s="80"/>
      <c r="D793" s="74"/>
      <c r="AF793" t="str">
        <f t="shared" si="117"/>
        <v>00000000</v>
      </c>
      <c r="AG793" s="81">
        <f t="shared" si="118"/>
        <v>0</v>
      </c>
      <c r="AH793" s="81">
        <f t="shared" si="119"/>
        <v>0</v>
      </c>
      <c r="AI793" t="str">
        <f t="shared" si="120"/>
        <v>0000000000</v>
      </c>
      <c r="AJ793" t="str">
        <f t="shared" si="121"/>
        <v>.00</v>
      </c>
      <c r="AK793" t="str">
        <f t="shared" si="122"/>
        <v>00</v>
      </c>
      <c r="AL793" t="str">
        <f t="shared" si="123"/>
        <v>000000000000</v>
      </c>
      <c r="AM793" t="str">
        <f t="shared" si="115"/>
        <v xml:space="preserve">                              </v>
      </c>
      <c r="AP793" t="str">
        <f t="shared" si="116"/>
        <v/>
      </c>
    </row>
    <row r="794" spans="2:42" x14ac:dyDescent="0.2">
      <c r="B794" s="88"/>
      <c r="C794" s="80"/>
      <c r="D794" s="74"/>
      <c r="AF794" t="str">
        <f t="shared" si="117"/>
        <v>00000000</v>
      </c>
      <c r="AG794" s="81">
        <f t="shared" si="118"/>
        <v>0</v>
      </c>
      <c r="AH794" s="81">
        <f t="shared" si="119"/>
        <v>0</v>
      </c>
      <c r="AI794" t="str">
        <f t="shared" si="120"/>
        <v>0000000000</v>
      </c>
      <c r="AJ794" t="str">
        <f t="shared" si="121"/>
        <v>.00</v>
      </c>
      <c r="AK794" t="str">
        <f t="shared" si="122"/>
        <v>00</v>
      </c>
      <c r="AL794" t="str">
        <f t="shared" si="123"/>
        <v>000000000000</v>
      </c>
      <c r="AM794" t="str">
        <f t="shared" si="115"/>
        <v xml:space="preserve">                              </v>
      </c>
      <c r="AP794" t="str">
        <f t="shared" si="116"/>
        <v/>
      </c>
    </row>
    <row r="795" spans="2:42" x14ac:dyDescent="0.2">
      <c r="B795" s="88"/>
      <c r="C795" s="80"/>
      <c r="D795" s="74"/>
      <c r="AF795" t="str">
        <f t="shared" si="117"/>
        <v>00000000</v>
      </c>
      <c r="AG795" s="81">
        <f t="shared" si="118"/>
        <v>0</v>
      </c>
      <c r="AH795" s="81">
        <f t="shared" si="119"/>
        <v>0</v>
      </c>
      <c r="AI795" t="str">
        <f t="shared" si="120"/>
        <v>0000000000</v>
      </c>
      <c r="AJ795" t="str">
        <f t="shared" si="121"/>
        <v>.00</v>
      </c>
      <c r="AK795" t="str">
        <f t="shared" si="122"/>
        <v>00</v>
      </c>
      <c r="AL795" t="str">
        <f t="shared" si="123"/>
        <v>000000000000</v>
      </c>
      <c r="AM795" t="str">
        <f t="shared" si="115"/>
        <v xml:space="preserve">                              </v>
      </c>
      <c r="AP795" t="str">
        <f t="shared" si="116"/>
        <v/>
      </c>
    </row>
    <row r="796" spans="2:42" x14ac:dyDescent="0.2">
      <c r="B796" s="88"/>
      <c r="C796" s="80"/>
      <c r="D796" s="74"/>
      <c r="AF796" t="str">
        <f t="shared" si="117"/>
        <v>00000000</v>
      </c>
      <c r="AG796" s="81">
        <f t="shared" si="118"/>
        <v>0</v>
      </c>
      <c r="AH796" s="81">
        <f t="shared" si="119"/>
        <v>0</v>
      </c>
      <c r="AI796" t="str">
        <f t="shared" si="120"/>
        <v>0000000000</v>
      </c>
      <c r="AJ796" t="str">
        <f t="shared" si="121"/>
        <v>.00</v>
      </c>
      <c r="AK796" t="str">
        <f t="shared" si="122"/>
        <v>00</v>
      </c>
      <c r="AL796" t="str">
        <f t="shared" si="123"/>
        <v>000000000000</v>
      </c>
      <c r="AM796" t="str">
        <f t="shared" si="115"/>
        <v xml:space="preserve">                              </v>
      </c>
      <c r="AP796" t="str">
        <f t="shared" si="116"/>
        <v/>
      </c>
    </row>
    <row r="797" spans="2:42" x14ac:dyDescent="0.2">
      <c r="B797" s="88"/>
      <c r="C797" s="80"/>
      <c r="D797" s="74"/>
      <c r="AF797" t="str">
        <f t="shared" si="117"/>
        <v>00000000</v>
      </c>
      <c r="AG797" s="81">
        <f t="shared" si="118"/>
        <v>0</v>
      </c>
      <c r="AH797" s="81">
        <f t="shared" si="119"/>
        <v>0</v>
      </c>
      <c r="AI797" t="str">
        <f t="shared" si="120"/>
        <v>0000000000</v>
      </c>
      <c r="AJ797" t="str">
        <f t="shared" si="121"/>
        <v>.00</v>
      </c>
      <c r="AK797" t="str">
        <f t="shared" si="122"/>
        <v>00</v>
      </c>
      <c r="AL797" t="str">
        <f t="shared" si="123"/>
        <v>000000000000</v>
      </c>
      <c r="AM797" t="str">
        <f t="shared" si="115"/>
        <v xml:space="preserve">                              </v>
      </c>
      <c r="AP797" t="str">
        <f t="shared" si="116"/>
        <v/>
      </c>
    </row>
    <row r="798" spans="2:42" x14ac:dyDescent="0.2">
      <c r="B798" s="88"/>
      <c r="C798" s="80"/>
      <c r="D798" s="74"/>
      <c r="AF798" t="str">
        <f t="shared" si="117"/>
        <v>00000000</v>
      </c>
      <c r="AG798" s="81">
        <f t="shared" si="118"/>
        <v>0</v>
      </c>
      <c r="AH798" s="81">
        <f t="shared" si="119"/>
        <v>0</v>
      </c>
      <c r="AI798" t="str">
        <f t="shared" si="120"/>
        <v>0000000000</v>
      </c>
      <c r="AJ798" t="str">
        <f t="shared" si="121"/>
        <v>.00</v>
      </c>
      <c r="AK798" t="str">
        <f t="shared" si="122"/>
        <v>00</v>
      </c>
      <c r="AL798" t="str">
        <f t="shared" si="123"/>
        <v>000000000000</v>
      </c>
      <c r="AM798" t="str">
        <f t="shared" si="115"/>
        <v xml:space="preserve">                              </v>
      </c>
      <c r="AP798" t="str">
        <f t="shared" si="116"/>
        <v/>
      </c>
    </row>
    <row r="799" spans="2:42" x14ac:dyDescent="0.2">
      <c r="B799" s="88"/>
      <c r="C799" s="80"/>
      <c r="D799" s="74"/>
      <c r="AF799" t="str">
        <f t="shared" si="117"/>
        <v>00000000</v>
      </c>
      <c r="AG799" s="81">
        <f t="shared" si="118"/>
        <v>0</v>
      </c>
      <c r="AH799" s="81">
        <f t="shared" si="119"/>
        <v>0</v>
      </c>
      <c r="AI799" t="str">
        <f t="shared" si="120"/>
        <v>0000000000</v>
      </c>
      <c r="AJ799" t="str">
        <f t="shared" si="121"/>
        <v>.00</v>
      </c>
      <c r="AK799" t="str">
        <f t="shared" si="122"/>
        <v>00</v>
      </c>
      <c r="AL799" t="str">
        <f t="shared" si="123"/>
        <v>000000000000</v>
      </c>
      <c r="AM799" t="str">
        <f t="shared" si="115"/>
        <v xml:space="preserve">                              </v>
      </c>
      <c r="AP799" t="str">
        <f t="shared" si="116"/>
        <v/>
      </c>
    </row>
    <row r="800" spans="2:42" x14ac:dyDescent="0.2">
      <c r="B800" s="88"/>
      <c r="C800" s="80"/>
      <c r="D800" s="74"/>
      <c r="AF800" t="str">
        <f t="shared" si="117"/>
        <v>00000000</v>
      </c>
      <c r="AG800" s="81">
        <f t="shared" si="118"/>
        <v>0</v>
      </c>
      <c r="AH800" s="81">
        <f t="shared" si="119"/>
        <v>0</v>
      </c>
      <c r="AI800" t="str">
        <f t="shared" si="120"/>
        <v>0000000000</v>
      </c>
      <c r="AJ800" t="str">
        <f t="shared" si="121"/>
        <v>.00</v>
      </c>
      <c r="AK800" t="str">
        <f t="shared" si="122"/>
        <v>00</v>
      </c>
      <c r="AL800" t="str">
        <f t="shared" si="123"/>
        <v>000000000000</v>
      </c>
      <c r="AM800" t="str">
        <f t="shared" si="115"/>
        <v xml:space="preserve">                              </v>
      </c>
      <c r="AP800" t="str">
        <f t="shared" si="116"/>
        <v/>
      </c>
    </row>
    <row r="801" spans="2:42" x14ac:dyDescent="0.2">
      <c r="B801" s="88"/>
      <c r="C801" s="80"/>
      <c r="D801" s="74"/>
      <c r="AF801" t="str">
        <f t="shared" si="117"/>
        <v>00000000</v>
      </c>
      <c r="AG801" s="81">
        <f t="shared" si="118"/>
        <v>0</v>
      </c>
      <c r="AH801" s="81">
        <f t="shared" si="119"/>
        <v>0</v>
      </c>
      <c r="AI801" t="str">
        <f t="shared" si="120"/>
        <v>0000000000</v>
      </c>
      <c r="AJ801" t="str">
        <f t="shared" si="121"/>
        <v>.00</v>
      </c>
      <c r="AK801" t="str">
        <f t="shared" si="122"/>
        <v>00</v>
      </c>
      <c r="AL801" t="str">
        <f t="shared" si="123"/>
        <v>000000000000</v>
      </c>
      <c r="AM801" t="str">
        <f t="shared" si="115"/>
        <v xml:space="preserve">                              </v>
      </c>
      <c r="AP801" t="str">
        <f t="shared" si="116"/>
        <v/>
      </c>
    </row>
    <row r="802" spans="2:42" x14ac:dyDescent="0.2">
      <c r="B802" s="88"/>
      <c r="C802" s="80"/>
      <c r="D802" s="74"/>
      <c r="AF802" t="str">
        <f t="shared" si="117"/>
        <v>00000000</v>
      </c>
      <c r="AG802" s="81">
        <f t="shared" si="118"/>
        <v>0</v>
      </c>
      <c r="AH802" s="81">
        <f t="shared" si="119"/>
        <v>0</v>
      </c>
      <c r="AI802" t="str">
        <f t="shared" si="120"/>
        <v>0000000000</v>
      </c>
      <c r="AJ802" t="str">
        <f t="shared" si="121"/>
        <v>.00</v>
      </c>
      <c r="AK802" t="str">
        <f t="shared" si="122"/>
        <v>00</v>
      </c>
      <c r="AL802" t="str">
        <f t="shared" si="123"/>
        <v>000000000000</v>
      </c>
      <c r="AM802" t="str">
        <f t="shared" si="115"/>
        <v xml:space="preserve">                              </v>
      </c>
      <c r="AP802" t="str">
        <f t="shared" si="116"/>
        <v/>
      </c>
    </row>
    <row r="803" spans="2:42" x14ac:dyDescent="0.2">
      <c r="B803" s="88"/>
      <c r="C803" s="80"/>
      <c r="D803" s="74"/>
      <c r="AF803" t="str">
        <f t="shared" si="117"/>
        <v>00000000</v>
      </c>
      <c r="AG803" s="81">
        <f t="shared" si="118"/>
        <v>0</v>
      </c>
      <c r="AH803" s="81">
        <f t="shared" si="119"/>
        <v>0</v>
      </c>
      <c r="AI803" t="str">
        <f t="shared" si="120"/>
        <v>0000000000</v>
      </c>
      <c r="AJ803" t="str">
        <f t="shared" si="121"/>
        <v>.00</v>
      </c>
      <c r="AK803" t="str">
        <f t="shared" si="122"/>
        <v>00</v>
      </c>
      <c r="AL803" t="str">
        <f t="shared" si="123"/>
        <v>000000000000</v>
      </c>
      <c r="AM803" t="str">
        <f t="shared" si="115"/>
        <v xml:space="preserve">                              </v>
      </c>
      <c r="AP803" t="str">
        <f t="shared" si="116"/>
        <v/>
      </c>
    </row>
    <row r="804" spans="2:42" x14ac:dyDescent="0.2">
      <c r="B804" s="88"/>
      <c r="C804" s="80"/>
      <c r="D804" s="74"/>
      <c r="AF804" t="str">
        <f t="shared" si="117"/>
        <v>00000000</v>
      </c>
      <c r="AG804" s="81">
        <f t="shared" si="118"/>
        <v>0</v>
      </c>
      <c r="AH804" s="81">
        <f t="shared" si="119"/>
        <v>0</v>
      </c>
      <c r="AI804" t="str">
        <f t="shared" si="120"/>
        <v>0000000000</v>
      </c>
      <c r="AJ804" t="str">
        <f t="shared" si="121"/>
        <v>.00</v>
      </c>
      <c r="AK804" t="str">
        <f t="shared" si="122"/>
        <v>00</v>
      </c>
      <c r="AL804" t="str">
        <f t="shared" si="123"/>
        <v>000000000000</v>
      </c>
      <c r="AM804" t="str">
        <f t="shared" si="115"/>
        <v xml:space="preserve">                              </v>
      </c>
      <c r="AP804" t="str">
        <f t="shared" si="116"/>
        <v/>
      </c>
    </row>
    <row r="805" spans="2:42" x14ac:dyDescent="0.2">
      <c r="B805" s="88"/>
      <c r="C805" s="80"/>
      <c r="D805" s="74"/>
      <c r="AF805" t="str">
        <f t="shared" si="117"/>
        <v>00000000</v>
      </c>
      <c r="AG805" s="81">
        <f t="shared" si="118"/>
        <v>0</v>
      </c>
      <c r="AH805" s="81">
        <f t="shared" si="119"/>
        <v>0</v>
      </c>
      <c r="AI805" t="str">
        <f t="shared" si="120"/>
        <v>0000000000</v>
      </c>
      <c r="AJ805" t="str">
        <f t="shared" si="121"/>
        <v>.00</v>
      </c>
      <c r="AK805" t="str">
        <f t="shared" si="122"/>
        <v>00</v>
      </c>
      <c r="AL805" t="str">
        <f t="shared" si="123"/>
        <v>000000000000</v>
      </c>
      <c r="AM805" t="str">
        <f t="shared" si="115"/>
        <v xml:space="preserve">                              </v>
      </c>
      <c r="AP805" t="str">
        <f t="shared" si="116"/>
        <v/>
      </c>
    </row>
    <row r="806" spans="2:42" x14ac:dyDescent="0.2">
      <c r="B806" s="88"/>
      <c r="C806" s="80"/>
      <c r="D806" s="74"/>
      <c r="AF806" t="str">
        <f t="shared" si="117"/>
        <v>00000000</v>
      </c>
      <c r="AG806" s="81">
        <f t="shared" si="118"/>
        <v>0</v>
      </c>
      <c r="AH806" s="81">
        <f t="shared" si="119"/>
        <v>0</v>
      </c>
      <c r="AI806" t="str">
        <f t="shared" si="120"/>
        <v>0000000000</v>
      </c>
      <c r="AJ806" t="str">
        <f t="shared" si="121"/>
        <v>.00</v>
      </c>
      <c r="AK806" t="str">
        <f t="shared" si="122"/>
        <v>00</v>
      </c>
      <c r="AL806" t="str">
        <f t="shared" si="123"/>
        <v>000000000000</v>
      </c>
      <c r="AM806" t="str">
        <f t="shared" si="115"/>
        <v xml:space="preserve">                              </v>
      </c>
      <c r="AP806" t="str">
        <f t="shared" si="116"/>
        <v/>
      </c>
    </row>
    <row r="807" spans="2:42" x14ac:dyDescent="0.2">
      <c r="B807" s="88"/>
      <c r="C807" s="80"/>
      <c r="D807" s="74"/>
      <c r="AF807" t="str">
        <f t="shared" si="117"/>
        <v>00000000</v>
      </c>
      <c r="AG807" s="81">
        <f t="shared" si="118"/>
        <v>0</v>
      </c>
      <c r="AH807" s="81">
        <f t="shared" si="119"/>
        <v>0</v>
      </c>
      <c r="AI807" t="str">
        <f t="shared" si="120"/>
        <v>0000000000</v>
      </c>
      <c r="AJ807" t="str">
        <f t="shared" si="121"/>
        <v>.00</v>
      </c>
      <c r="AK807" t="str">
        <f t="shared" si="122"/>
        <v>00</v>
      </c>
      <c r="AL807" t="str">
        <f t="shared" si="123"/>
        <v>000000000000</v>
      </c>
      <c r="AM807" t="str">
        <f t="shared" si="115"/>
        <v xml:space="preserve">                              </v>
      </c>
      <c r="AP807" t="str">
        <f t="shared" si="116"/>
        <v/>
      </c>
    </row>
    <row r="808" spans="2:42" x14ac:dyDescent="0.2">
      <c r="B808" s="88"/>
      <c r="C808" s="80"/>
      <c r="D808" s="74"/>
      <c r="AF808" t="str">
        <f t="shared" si="117"/>
        <v>00000000</v>
      </c>
      <c r="AG808" s="81">
        <f t="shared" si="118"/>
        <v>0</v>
      </c>
      <c r="AH808" s="81">
        <f t="shared" si="119"/>
        <v>0</v>
      </c>
      <c r="AI808" t="str">
        <f t="shared" si="120"/>
        <v>0000000000</v>
      </c>
      <c r="AJ808" t="str">
        <f t="shared" si="121"/>
        <v>.00</v>
      </c>
      <c r="AK808" t="str">
        <f t="shared" si="122"/>
        <v>00</v>
      </c>
      <c r="AL808" t="str">
        <f t="shared" si="123"/>
        <v>000000000000</v>
      </c>
      <c r="AM808" t="str">
        <f t="shared" si="115"/>
        <v xml:space="preserve">                              </v>
      </c>
      <c r="AP808" t="str">
        <f t="shared" si="116"/>
        <v/>
      </c>
    </row>
    <row r="809" spans="2:42" x14ac:dyDescent="0.2">
      <c r="B809" s="88"/>
      <c r="C809" s="80"/>
      <c r="D809" s="74"/>
      <c r="AF809" t="str">
        <f t="shared" si="117"/>
        <v>00000000</v>
      </c>
      <c r="AG809" s="81">
        <f t="shared" si="118"/>
        <v>0</v>
      </c>
      <c r="AH809" s="81">
        <f t="shared" si="119"/>
        <v>0</v>
      </c>
      <c r="AI809" t="str">
        <f t="shared" si="120"/>
        <v>0000000000</v>
      </c>
      <c r="AJ809" t="str">
        <f t="shared" si="121"/>
        <v>.00</v>
      </c>
      <c r="AK809" t="str">
        <f t="shared" si="122"/>
        <v>00</v>
      </c>
      <c r="AL809" t="str">
        <f t="shared" si="123"/>
        <v>000000000000</v>
      </c>
      <c r="AM809" t="str">
        <f t="shared" si="115"/>
        <v xml:space="preserve">                              </v>
      </c>
      <c r="AP809" t="str">
        <f t="shared" si="116"/>
        <v/>
      </c>
    </row>
    <row r="810" spans="2:42" x14ac:dyDescent="0.2">
      <c r="B810" s="88"/>
      <c r="C810" s="80"/>
      <c r="D810" s="74"/>
      <c r="AF810" t="str">
        <f t="shared" si="117"/>
        <v>00000000</v>
      </c>
      <c r="AG810" s="81">
        <f t="shared" si="118"/>
        <v>0</v>
      </c>
      <c r="AH810" s="81">
        <f t="shared" si="119"/>
        <v>0</v>
      </c>
      <c r="AI810" t="str">
        <f t="shared" si="120"/>
        <v>0000000000</v>
      </c>
      <c r="AJ810" t="str">
        <f t="shared" si="121"/>
        <v>.00</v>
      </c>
      <c r="AK810" t="str">
        <f t="shared" si="122"/>
        <v>00</v>
      </c>
      <c r="AL810" t="str">
        <f t="shared" si="123"/>
        <v>000000000000</v>
      </c>
      <c r="AM810" t="str">
        <f t="shared" si="115"/>
        <v xml:space="preserve">                              </v>
      </c>
      <c r="AP810" t="str">
        <f t="shared" si="116"/>
        <v/>
      </c>
    </row>
    <row r="811" spans="2:42" x14ac:dyDescent="0.2">
      <c r="B811" s="88"/>
      <c r="C811" s="80"/>
      <c r="D811" s="74"/>
      <c r="AF811" t="str">
        <f t="shared" si="117"/>
        <v>00000000</v>
      </c>
      <c r="AG811" s="81">
        <f t="shared" si="118"/>
        <v>0</v>
      </c>
      <c r="AH811" s="81">
        <f t="shared" si="119"/>
        <v>0</v>
      </c>
      <c r="AI811" t="str">
        <f t="shared" si="120"/>
        <v>0000000000</v>
      </c>
      <c r="AJ811" t="str">
        <f t="shared" si="121"/>
        <v>.00</v>
      </c>
      <c r="AK811" t="str">
        <f t="shared" si="122"/>
        <v>00</v>
      </c>
      <c r="AL811" t="str">
        <f t="shared" si="123"/>
        <v>000000000000</v>
      </c>
      <c r="AM811" t="str">
        <f t="shared" si="115"/>
        <v xml:space="preserve">                              </v>
      </c>
      <c r="AP811" t="str">
        <f t="shared" si="116"/>
        <v/>
      </c>
    </row>
    <row r="812" spans="2:42" x14ac:dyDescent="0.2">
      <c r="B812" s="88"/>
      <c r="C812" s="80"/>
      <c r="D812" s="74"/>
      <c r="AF812" t="str">
        <f t="shared" si="117"/>
        <v>00000000</v>
      </c>
      <c r="AG812" s="81">
        <f t="shared" si="118"/>
        <v>0</v>
      </c>
      <c r="AH812" s="81">
        <f t="shared" si="119"/>
        <v>0</v>
      </c>
      <c r="AI812" t="str">
        <f t="shared" si="120"/>
        <v>0000000000</v>
      </c>
      <c r="AJ812" t="str">
        <f t="shared" si="121"/>
        <v>.00</v>
      </c>
      <c r="AK812" t="str">
        <f t="shared" si="122"/>
        <v>00</v>
      </c>
      <c r="AL812" t="str">
        <f t="shared" si="123"/>
        <v>000000000000</v>
      </c>
      <c r="AM812" t="str">
        <f t="shared" si="115"/>
        <v xml:space="preserve">                              </v>
      </c>
      <c r="AP812" t="str">
        <f t="shared" si="116"/>
        <v/>
      </c>
    </row>
    <row r="813" spans="2:42" x14ac:dyDescent="0.2">
      <c r="B813" s="88"/>
      <c r="C813" s="80"/>
      <c r="D813" s="74"/>
      <c r="AF813" t="str">
        <f t="shared" si="117"/>
        <v>00000000</v>
      </c>
      <c r="AG813" s="81">
        <f t="shared" si="118"/>
        <v>0</v>
      </c>
      <c r="AH813" s="81">
        <f t="shared" si="119"/>
        <v>0</v>
      </c>
      <c r="AI813" t="str">
        <f t="shared" si="120"/>
        <v>0000000000</v>
      </c>
      <c r="AJ813" t="str">
        <f t="shared" si="121"/>
        <v>.00</v>
      </c>
      <c r="AK813" t="str">
        <f t="shared" si="122"/>
        <v>00</v>
      </c>
      <c r="AL813" t="str">
        <f t="shared" si="123"/>
        <v>000000000000</v>
      </c>
      <c r="AM813" t="str">
        <f t="shared" si="115"/>
        <v xml:space="preserve">                              </v>
      </c>
      <c r="AP813" t="str">
        <f t="shared" si="116"/>
        <v/>
      </c>
    </row>
    <row r="814" spans="2:42" x14ac:dyDescent="0.2">
      <c r="B814" s="88"/>
      <c r="C814" s="80"/>
      <c r="D814" s="74"/>
      <c r="AF814" t="str">
        <f t="shared" si="117"/>
        <v>00000000</v>
      </c>
      <c r="AG814" s="81">
        <f t="shared" si="118"/>
        <v>0</v>
      </c>
      <c r="AH814" s="81">
        <f t="shared" si="119"/>
        <v>0</v>
      </c>
      <c r="AI814" t="str">
        <f t="shared" si="120"/>
        <v>0000000000</v>
      </c>
      <c r="AJ814" t="str">
        <f t="shared" si="121"/>
        <v>.00</v>
      </c>
      <c r="AK814" t="str">
        <f t="shared" si="122"/>
        <v>00</v>
      </c>
      <c r="AL814" t="str">
        <f t="shared" si="123"/>
        <v>000000000000</v>
      </c>
      <c r="AM814" t="str">
        <f t="shared" si="115"/>
        <v xml:space="preserve">                              </v>
      </c>
      <c r="AP814" t="str">
        <f t="shared" si="116"/>
        <v/>
      </c>
    </row>
    <row r="815" spans="2:42" x14ac:dyDescent="0.2">
      <c r="B815" s="88"/>
      <c r="C815" s="80"/>
      <c r="D815" s="74"/>
      <c r="AF815" t="str">
        <f t="shared" si="117"/>
        <v>00000000</v>
      </c>
      <c r="AG815" s="81">
        <f t="shared" si="118"/>
        <v>0</v>
      </c>
      <c r="AH815" s="81">
        <f t="shared" si="119"/>
        <v>0</v>
      </c>
      <c r="AI815" t="str">
        <f t="shared" si="120"/>
        <v>0000000000</v>
      </c>
      <c r="AJ815" t="str">
        <f t="shared" si="121"/>
        <v>.00</v>
      </c>
      <c r="AK815" t="str">
        <f t="shared" si="122"/>
        <v>00</v>
      </c>
      <c r="AL815" t="str">
        <f t="shared" si="123"/>
        <v>000000000000</v>
      </c>
      <c r="AM815" t="str">
        <f t="shared" si="115"/>
        <v xml:space="preserve">                              </v>
      </c>
      <c r="AP815" t="str">
        <f t="shared" si="116"/>
        <v/>
      </c>
    </row>
    <row r="816" spans="2:42" x14ac:dyDescent="0.2">
      <c r="B816" s="88"/>
      <c r="C816" s="80"/>
      <c r="D816" s="74"/>
      <c r="AF816" t="str">
        <f t="shared" si="117"/>
        <v>00000000</v>
      </c>
      <c r="AG816" s="81">
        <f t="shared" si="118"/>
        <v>0</v>
      </c>
      <c r="AH816" s="81">
        <f t="shared" si="119"/>
        <v>0</v>
      </c>
      <c r="AI816" t="str">
        <f t="shared" si="120"/>
        <v>0000000000</v>
      </c>
      <c r="AJ816" t="str">
        <f t="shared" si="121"/>
        <v>.00</v>
      </c>
      <c r="AK816" t="str">
        <f t="shared" si="122"/>
        <v>00</v>
      </c>
      <c r="AL816" t="str">
        <f t="shared" si="123"/>
        <v>000000000000</v>
      </c>
      <c r="AM816" t="str">
        <f t="shared" si="115"/>
        <v xml:space="preserve">                              </v>
      </c>
      <c r="AP816" t="str">
        <f t="shared" si="116"/>
        <v/>
      </c>
    </row>
    <row r="817" spans="2:42" x14ac:dyDescent="0.2">
      <c r="B817" s="88"/>
      <c r="C817" s="80"/>
      <c r="D817" s="74"/>
      <c r="AF817" t="str">
        <f t="shared" si="117"/>
        <v>00000000</v>
      </c>
      <c r="AG817" s="81">
        <f t="shared" si="118"/>
        <v>0</v>
      </c>
      <c r="AH817" s="81">
        <f t="shared" si="119"/>
        <v>0</v>
      </c>
      <c r="AI817" t="str">
        <f t="shared" si="120"/>
        <v>0000000000</v>
      </c>
      <c r="AJ817" t="str">
        <f t="shared" si="121"/>
        <v>.00</v>
      </c>
      <c r="AK817" t="str">
        <f t="shared" si="122"/>
        <v>00</v>
      </c>
      <c r="AL817" t="str">
        <f t="shared" si="123"/>
        <v>000000000000</v>
      </c>
      <c r="AM817" t="str">
        <f t="shared" si="115"/>
        <v xml:space="preserve">                              </v>
      </c>
      <c r="AP817" t="str">
        <f t="shared" si="116"/>
        <v/>
      </c>
    </row>
    <row r="818" spans="2:42" x14ac:dyDescent="0.2">
      <c r="B818" s="88"/>
      <c r="C818" s="80"/>
      <c r="D818" s="74"/>
      <c r="AF818" t="str">
        <f t="shared" si="117"/>
        <v>00000000</v>
      </c>
      <c r="AG818" s="81">
        <f t="shared" si="118"/>
        <v>0</v>
      </c>
      <c r="AH818" s="81">
        <f t="shared" si="119"/>
        <v>0</v>
      </c>
      <c r="AI818" t="str">
        <f t="shared" si="120"/>
        <v>0000000000</v>
      </c>
      <c r="AJ818" t="str">
        <f t="shared" si="121"/>
        <v>.00</v>
      </c>
      <c r="AK818" t="str">
        <f t="shared" si="122"/>
        <v>00</v>
      </c>
      <c r="AL818" t="str">
        <f t="shared" si="123"/>
        <v>000000000000</v>
      </c>
      <c r="AM818" t="str">
        <f t="shared" si="115"/>
        <v xml:space="preserve">                              </v>
      </c>
      <c r="AP818" t="str">
        <f t="shared" si="116"/>
        <v/>
      </c>
    </row>
    <row r="819" spans="2:42" x14ac:dyDescent="0.2">
      <c r="B819" s="88"/>
      <c r="C819" s="80"/>
      <c r="D819" s="74"/>
      <c r="AF819" t="str">
        <f t="shared" si="117"/>
        <v>00000000</v>
      </c>
      <c r="AG819" s="81">
        <f t="shared" si="118"/>
        <v>0</v>
      </c>
      <c r="AH819" s="81">
        <f t="shared" si="119"/>
        <v>0</v>
      </c>
      <c r="AI819" t="str">
        <f t="shared" si="120"/>
        <v>0000000000</v>
      </c>
      <c r="AJ819" t="str">
        <f t="shared" si="121"/>
        <v>.00</v>
      </c>
      <c r="AK819" t="str">
        <f t="shared" si="122"/>
        <v>00</v>
      </c>
      <c r="AL819" t="str">
        <f t="shared" si="123"/>
        <v>000000000000</v>
      </c>
      <c r="AM819" t="str">
        <f t="shared" si="115"/>
        <v xml:space="preserve">                              </v>
      </c>
      <c r="AP819" t="str">
        <f t="shared" si="116"/>
        <v/>
      </c>
    </row>
    <row r="820" spans="2:42" x14ac:dyDescent="0.2">
      <c r="B820" s="88"/>
      <c r="C820" s="80"/>
      <c r="D820" s="74"/>
      <c r="AF820" t="str">
        <f t="shared" si="117"/>
        <v>00000000</v>
      </c>
      <c r="AG820" s="81">
        <f t="shared" si="118"/>
        <v>0</v>
      </c>
      <c r="AH820" s="81">
        <f t="shared" si="119"/>
        <v>0</v>
      </c>
      <c r="AI820" t="str">
        <f t="shared" si="120"/>
        <v>0000000000</v>
      </c>
      <c r="AJ820" t="str">
        <f t="shared" si="121"/>
        <v>.00</v>
      </c>
      <c r="AK820" t="str">
        <f t="shared" si="122"/>
        <v>00</v>
      </c>
      <c r="AL820" t="str">
        <f t="shared" si="123"/>
        <v>000000000000</v>
      </c>
      <c r="AM820" t="str">
        <f t="shared" si="115"/>
        <v xml:space="preserve">                              </v>
      </c>
      <c r="AP820" t="str">
        <f t="shared" si="116"/>
        <v/>
      </c>
    </row>
    <row r="821" spans="2:42" x14ac:dyDescent="0.2">
      <c r="B821" s="88"/>
      <c r="C821" s="80"/>
      <c r="D821" s="74"/>
      <c r="AF821" t="str">
        <f t="shared" si="117"/>
        <v>00000000</v>
      </c>
      <c r="AG821" s="81">
        <f t="shared" si="118"/>
        <v>0</v>
      </c>
      <c r="AH821" s="81">
        <f t="shared" si="119"/>
        <v>0</v>
      </c>
      <c r="AI821" t="str">
        <f t="shared" si="120"/>
        <v>0000000000</v>
      </c>
      <c r="AJ821" t="str">
        <f t="shared" si="121"/>
        <v>.00</v>
      </c>
      <c r="AK821" t="str">
        <f t="shared" si="122"/>
        <v>00</v>
      </c>
      <c r="AL821" t="str">
        <f t="shared" si="123"/>
        <v>000000000000</v>
      </c>
      <c r="AM821" t="str">
        <f t="shared" si="115"/>
        <v xml:space="preserve">                              </v>
      </c>
      <c r="AP821" t="str">
        <f t="shared" si="116"/>
        <v/>
      </c>
    </row>
    <row r="822" spans="2:42" x14ac:dyDescent="0.2">
      <c r="B822" s="88"/>
      <c r="C822" s="80"/>
      <c r="D822" s="74"/>
      <c r="AF822" t="str">
        <f t="shared" si="117"/>
        <v>00000000</v>
      </c>
      <c r="AG822" s="81">
        <f t="shared" si="118"/>
        <v>0</v>
      </c>
      <c r="AH822" s="81">
        <f t="shared" si="119"/>
        <v>0</v>
      </c>
      <c r="AI822" t="str">
        <f t="shared" si="120"/>
        <v>0000000000</v>
      </c>
      <c r="AJ822" t="str">
        <f t="shared" si="121"/>
        <v>.00</v>
      </c>
      <c r="AK822" t="str">
        <f t="shared" si="122"/>
        <v>00</v>
      </c>
      <c r="AL822" t="str">
        <f t="shared" si="123"/>
        <v>000000000000</v>
      </c>
      <c r="AM822" t="str">
        <f t="shared" si="115"/>
        <v xml:space="preserve">                              </v>
      </c>
      <c r="AP822" t="str">
        <f t="shared" si="116"/>
        <v/>
      </c>
    </row>
    <row r="823" spans="2:42" x14ac:dyDescent="0.2">
      <c r="B823" s="88"/>
      <c r="C823" s="80"/>
      <c r="D823" s="74"/>
      <c r="AF823" t="str">
        <f t="shared" si="117"/>
        <v>00000000</v>
      </c>
      <c r="AG823" s="81">
        <f t="shared" si="118"/>
        <v>0</v>
      </c>
      <c r="AH823" s="81">
        <f t="shared" si="119"/>
        <v>0</v>
      </c>
      <c r="AI823" t="str">
        <f t="shared" si="120"/>
        <v>0000000000</v>
      </c>
      <c r="AJ823" t="str">
        <f t="shared" si="121"/>
        <v>.00</v>
      </c>
      <c r="AK823" t="str">
        <f t="shared" si="122"/>
        <v>00</v>
      </c>
      <c r="AL823" t="str">
        <f t="shared" si="123"/>
        <v>000000000000</v>
      </c>
      <c r="AM823" t="str">
        <f t="shared" si="115"/>
        <v xml:space="preserve">                              </v>
      </c>
      <c r="AP823" t="str">
        <f t="shared" si="116"/>
        <v/>
      </c>
    </row>
    <row r="824" spans="2:42" x14ac:dyDescent="0.2">
      <c r="B824" s="88"/>
      <c r="C824" s="80"/>
      <c r="D824" s="74"/>
      <c r="AF824" t="str">
        <f t="shared" si="117"/>
        <v>00000000</v>
      </c>
      <c r="AG824" s="81">
        <f t="shared" si="118"/>
        <v>0</v>
      </c>
      <c r="AH824" s="81">
        <f t="shared" si="119"/>
        <v>0</v>
      </c>
      <c r="AI824" t="str">
        <f t="shared" si="120"/>
        <v>0000000000</v>
      </c>
      <c r="AJ824" t="str">
        <f t="shared" si="121"/>
        <v>.00</v>
      </c>
      <c r="AK824" t="str">
        <f t="shared" si="122"/>
        <v>00</v>
      </c>
      <c r="AL824" t="str">
        <f t="shared" si="123"/>
        <v>000000000000</v>
      </c>
      <c r="AM824" t="str">
        <f t="shared" si="115"/>
        <v xml:space="preserve">                              </v>
      </c>
      <c r="AP824" t="str">
        <f t="shared" si="116"/>
        <v/>
      </c>
    </row>
    <row r="825" spans="2:42" x14ac:dyDescent="0.2">
      <c r="B825" s="88"/>
      <c r="C825" s="80"/>
      <c r="D825" s="74"/>
      <c r="AF825" t="str">
        <f t="shared" si="117"/>
        <v>00000000</v>
      </c>
      <c r="AG825" s="81">
        <f t="shared" si="118"/>
        <v>0</v>
      </c>
      <c r="AH825" s="81">
        <f t="shared" si="119"/>
        <v>0</v>
      </c>
      <c r="AI825" t="str">
        <f t="shared" si="120"/>
        <v>0000000000</v>
      </c>
      <c r="AJ825" t="str">
        <f t="shared" si="121"/>
        <v>.00</v>
      </c>
      <c r="AK825" t="str">
        <f t="shared" si="122"/>
        <v>00</v>
      </c>
      <c r="AL825" t="str">
        <f t="shared" si="123"/>
        <v>000000000000</v>
      </c>
      <c r="AM825" t="str">
        <f t="shared" si="115"/>
        <v xml:space="preserve">                              </v>
      </c>
      <c r="AP825" t="str">
        <f t="shared" si="116"/>
        <v/>
      </c>
    </row>
    <row r="826" spans="2:42" x14ac:dyDescent="0.2">
      <c r="B826" s="88"/>
      <c r="C826" s="80"/>
      <c r="D826" s="74"/>
      <c r="AF826" t="str">
        <f t="shared" si="117"/>
        <v>00000000</v>
      </c>
      <c r="AG826" s="81">
        <f t="shared" si="118"/>
        <v>0</v>
      </c>
      <c r="AH826" s="81">
        <f t="shared" si="119"/>
        <v>0</v>
      </c>
      <c r="AI826" t="str">
        <f t="shared" si="120"/>
        <v>0000000000</v>
      </c>
      <c r="AJ826" t="str">
        <f t="shared" si="121"/>
        <v>.00</v>
      </c>
      <c r="AK826" t="str">
        <f t="shared" si="122"/>
        <v>00</v>
      </c>
      <c r="AL826" t="str">
        <f t="shared" si="123"/>
        <v>000000000000</v>
      </c>
      <c r="AM826" t="str">
        <f t="shared" si="115"/>
        <v xml:space="preserve">                              </v>
      </c>
      <c r="AP826" t="str">
        <f t="shared" si="116"/>
        <v/>
      </c>
    </row>
    <row r="827" spans="2:42" x14ac:dyDescent="0.2">
      <c r="B827" s="88"/>
      <c r="C827" s="80"/>
      <c r="D827" s="74"/>
      <c r="AF827" t="str">
        <f t="shared" si="117"/>
        <v>00000000</v>
      </c>
      <c r="AG827" s="81">
        <f t="shared" si="118"/>
        <v>0</v>
      </c>
      <c r="AH827" s="81">
        <f t="shared" si="119"/>
        <v>0</v>
      </c>
      <c r="AI827" t="str">
        <f t="shared" si="120"/>
        <v>0000000000</v>
      </c>
      <c r="AJ827" t="str">
        <f t="shared" si="121"/>
        <v>.00</v>
      </c>
      <c r="AK827" t="str">
        <f t="shared" si="122"/>
        <v>00</v>
      </c>
      <c r="AL827" t="str">
        <f t="shared" si="123"/>
        <v>000000000000</v>
      </c>
      <c r="AM827" t="str">
        <f t="shared" si="115"/>
        <v xml:space="preserve">                              </v>
      </c>
      <c r="AP827" t="str">
        <f t="shared" si="116"/>
        <v/>
      </c>
    </row>
    <row r="828" spans="2:42" x14ac:dyDescent="0.2">
      <c r="B828" s="88"/>
      <c r="C828" s="80"/>
      <c r="D828" s="74"/>
      <c r="AF828" t="str">
        <f t="shared" si="117"/>
        <v>00000000</v>
      </c>
      <c r="AG828" s="81">
        <f t="shared" si="118"/>
        <v>0</v>
      </c>
      <c r="AH828" s="81">
        <f t="shared" si="119"/>
        <v>0</v>
      </c>
      <c r="AI828" t="str">
        <f t="shared" si="120"/>
        <v>0000000000</v>
      </c>
      <c r="AJ828" t="str">
        <f t="shared" si="121"/>
        <v>.00</v>
      </c>
      <c r="AK828" t="str">
        <f t="shared" si="122"/>
        <v>00</v>
      </c>
      <c r="AL828" t="str">
        <f t="shared" si="123"/>
        <v>000000000000</v>
      </c>
      <c r="AM828" t="str">
        <f t="shared" si="115"/>
        <v xml:space="preserve">                              </v>
      </c>
      <c r="AP828" t="str">
        <f t="shared" si="116"/>
        <v/>
      </c>
    </row>
    <row r="829" spans="2:42" x14ac:dyDescent="0.2">
      <c r="B829" s="88"/>
      <c r="C829" s="80"/>
      <c r="D829" s="74"/>
      <c r="AF829" t="str">
        <f t="shared" si="117"/>
        <v>00000000</v>
      </c>
      <c r="AG829" s="81">
        <f t="shared" si="118"/>
        <v>0</v>
      </c>
      <c r="AH829" s="81">
        <f t="shared" si="119"/>
        <v>0</v>
      </c>
      <c r="AI829" t="str">
        <f t="shared" si="120"/>
        <v>0000000000</v>
      </c>
      <c r="AJ829" t="str">
        <f t="shared" si="121"/>
        <v>.00</v>
      </c>
      <c r="AK829" t="str">
        <f t="shared" si="122"/>
        <v>00</v>
      </c>
      <c r="AL829" t="str">
        <f t="shared" si="123"/>
        <v>000000000000</v>
      </c>
      <c r="AM829" t="str">
        <f t="shared" si="115"/>
        <v xml:space="preserve">                              </v>
      </c>
      <c r="AP829" t="str">
        <f t="shared" si="116"/>
        <v/>
      </c>
    </row>
    <row r="830" spans="2:42" x14ac:dyDescent="0.2">
      <c r="B830" s="88"/>
      <c r="C830" s="80"/>
      <c r="D830" s="74"/>
      <c r="AF830" t="str">
        <f t="shared" si="117"/>
        <v>00000000</v>
      </c>
      <c r="AG830" s="81">
        <f t="shared" si="118"/>
        <v>0</v>
      </c>
      <c r="AH830" s="81">
        <f t="shared" si="119"/>
        <v>0</v>
      </c>
      <c r="AI830" t="str">
        <f t="shared" si="120"/>
        <v>0000000000</v>
      </c>
      <c r="AJ830" t="str">
        <f t="shared" si="121"/>
        <v>.00</v>
      </c>
      <c r="AK830" t="str">
        <f t="shared" si="122"/>
        <v>00</v>
      </c>
      <c r="AL830" t="str">
        <f t="shared" si="123"/>
        <v>000000000000</v>
      </c>
      <c r="AM830" t="str">
        <f t="shared" si="115"/>
        <v xml:space="preserve">                              </v>
      </c>
      <c r="AP830" t="str">
        <f t="shared" si="116"/>
        <v/>
      </c>
    </row>
    <row r="831" spans="2:42" x14ac:dyDescent="0.2">
      <c r="B831" s="88"/>
      <c r="C831" s="80"/>
      <c r="D831" s="74"/>
      <c r="AF831" t="str">
        <f t="shared" si="117"/>
        <v>00000000</v>
      </c>
      <c r="AG831" s="81">
        <f t="shared" si="118"/>
        <v>0</v>
      </c>
      <c r="AH831" s="81">
        <f t="shared" si="119"/>
        <v>0</v>
      </c>
      <c r="AI831" t="str">
        <f t="shared" si="120"/>
        <v>0000000000</v>
      </c>
      <c r="AJ831" t="str">
        <f t="shared" si="121"/>
        <v>.00</v>
      </c>
      <c r="AK831" t="str">
        <f t="shared" si="122"/>
        <v>00</v>
      </c>
      <c r="AL831" t="str">
        <f t="shared" si="123"/>
        <v>000000000000</v>
      </c>
      <c r="AM831" t="str">
        <f t="shared" si="115"/>
        <v xml:space="preserve">                              </v>
      </c>
      <c r="AP831" t="str">
        <f t="shared" si="116"/>
        <v/>
      </c>
    </row>
    <row r="832" spans="2:42" x14ac:dyDescent="0.2">
      <c r="B832" s="88"/>
      <c r="C832" s="80"/>
      <c r="D832" s="74"/>
      <c r="AF832" t="str">
        <f t="shared" si="117"/>
        <v>00000000</v>
      </c>
      <c r="AG832" s="81">
        <f t="shared" si="118"/>
        <v>0</v>
      </c>
      <c r="AH832" s="81">
        <f t="shared" si="119"/>
        <v>0</v>
      </c>
      <c r="AI832" t="str">
        <f t="shared" si="120"/>
        <v>0000000000</v>
      </c>
      <c r="AJ832" t="str">
        <f t="shared" si="121"/>
        <v>.00</v>
      </c>
      <c r="AK832" t="str">
        <f t="shared" si="122"/>
        <v>00</v>
      </c>
      <c r="AL832" t="str">
        <f t="shared" si="123"/>
        <v>000000000000</v>
      </c>
      <c r="AM832" t="str">
        <f t="shared" si="115"/>
        <v xml:space="preserve">                              </v>
      </c>
      <c r="AP832" t="str">
        <f t="shared" si="116"/>
        <v/>
      </c>
    </row>
    <row r="833" spans="2:42" x14ac:dyDescent="0.2">
      <c r="B833" s="88"/>
      <c r="C833" s="80"/>
      <c r="D833" s="74"/>
      <c r="AF833" t="str">
        <f t="shared" si="117"/>
        <v>00000000</v>
      </c>
      <c r="AG833" s="81">
        <f t="shared" si="118"/>
        <v>0</v>
      </c>
      <c r="AH833" s="81">
        <f t="shared" si="119"/>
        <v>0</v>
      </c>
      <c r="AI833" t="str">
        <f t="shared" si="120"/>
        <v>0000000000</v>
      </c>
      <c r="AJ833" t="str">
        <f t="shared" si="121"/>
        <v>.00</v>
      </c>
      <c r="AK833" t="str">
        <f t="shared" si="122"/>
        <v>00</v>
      </c>
      <c r="AL833" t="str">
        <f t="shared" si="123"/>
        <v>000000000000</v>
      </c>
      <c r="AM833" t="str">
        <f t="shared" si="115"/>
        <v xml:space="preserve">                              </v>
      </c>
      <c r="AP833" t="str">
        <f t="shared" si="116"/>
        <v/>
      </c>
    </row>
    <row r="834" spans="2:42" x14ac:dyDescent="0.2">
      <c r="B834" s="88"/>
      <c r="C834" s="80"/>
      <c r="D834" s="74"/>
      <c r="AF834" t="str">
        <f t="shared" si="117"/>
        <v>00000000</v>
      </c>
      <c r="AG834" s="81">
        <f t="shared" si="118"/>
        <v>0</v>
      </c>
      <c r="AH834" s="81">
        <f t="shared" si="119"/>
        <v>0</v>
      </c>
      <c r="AI834" t="str">
        <f t="shared" si="120"/>
        <v>0000000000</v>
      </c>
      <c r="AJ834" t="str">
        <f t="shared" si="121"/>
        <v>.00</v>
      </c>
      <c r="AK834" t="str">
        <f t="shared" si="122"/>
        <v>00</v>
      </c>
      <c r="AL834" t="str">
        <f t="shared" si="123"/>
        <v>000000000000</v>
      </c>
      <c r="AM834" t="str">
        <f t="shared" si="115"/>
        <v xml:space="preserve">                              </v>
      </c>
      <c r="AP834" t="str">
        <f t="shared" si="116"/>
        <v/>
      </c>
    </row>
    <row r="835" spans="2:42" x14ac:dyDescent="0.2">
      <c r="B835" s="88"/>
      <c r="C835" s="80"/>
      <c r="D835" s="74"/>
      <c r="AF835" t="str">
        <f t="shared" si="117"/>
        <v>00000000</v>
      </c>
      <c r="AG835" s="81">
        <f t="shared" si="118"/>
        <v>0</v>
      </c>
      <c r="AH835" s="81">
        <f t="shared" si="119"/>
        <v>0</v>
      </c>
      <c r="AI835" t="str">
        <f t="shared" si="120"/>
        <v>0000000000</v>
      </c>
      <c r="AJ835" t="str">
        <f t="shared" si="121"/>
        <v>.00</v>
      </c>
      <c r="AK835" t="str">
        <f t="shared" si="122"/>
        <v>00</v>
      </c>
      <c r="AL835" t="str">
        <f t="shared" si="123"/>
        <v>000000000000</v>
      </c>
      <c r="AM835" t="str">
        <f t="shared" ref="AM835:AM898" si="124">CONCATENATE(D836,REPT(" ",30-LEN(D836)))</f>
        <v xml:space="preserve">                              </v>
      </c>
      <c r="AP835" t="str">
        <f t="shared" ref="AP835:AP898" si="125">IF(B836&lt;&gt;"",CONCATENATE("000",$AA$3,"     ",$AB$3,$AC$3,$AD$3,"30000",AF835,AL835,$AC$1,AM835),"")</f>
        <v/>
      </c>
    </row>
    <row r="836" spans="2:42" x14ac:dyDescent="0.2">
      <c r="B836" s="88"/>
      <c r="C836" s="80"/>
      <c r="D836" s="74"/>
      <c r="AF836" t="str">
        <f t="shared" si="117"/>
        <v>00000000</v>
      </c>
      <c r="AG836" s="81">
        <f t="shared" si="118"/>
        <v>0</v>
      </c>
      <c r="AH836" s="81">
        <f t="shared" si="119"/>
        <v>0</v>
      </c>
      <c r="AI836" t="str">
        <f t="shared" si="120"/>
        <v>0000000000</v>
      </c>
      <c r="AJ836" t="str">
        <f t="shared" si="121"/>
        <v>.00</v>
      </c>
      <c r="AK836" t="str">
        <f t="shared" si="122"/>
        <v>00</v>
      </c>
      <c r="AL836" t="str">
        <f t="shared" si="123"/>
        <v>000000000000</v>
      </c>
      <c r="AM836" t="str">
        <f t="shared" si="124"/>
        <v xml:space="preserve">                              </v>
      </c>
      <c r="AP836" t="str">
        <f t="shared" si="125"/>
        <v/>
      </c>
    </row>
    <row r="837" spans="2:42" x14ac:dyDescent="0.2">
      <c r="B837" s="88"/>
      <c r="C837" s="80"/>
      <c r="D837" s="74"/>
      <c r="AF837" t="str">
        <f t="shared" si="117"/>
        <v>00000000</v>
      </c>
      <c r="AG837" s="81">
        <f t="shared" si="118"/>
        <v>0</v>
      </c>
      <c r="AH837" s="81">
        <f t="shared" si="119"/>
        <v>0</v>
      </c>
      <c r="AI837" t="str">
        <f t="shared" si="120"/>
        <v>0000000000</v>
      </c>
      <c r="AJ837" t="str">
        <f t="shared" si="121"/>
        <v>.00</v>
      </c>
      <c r="AK837" t="str">
        <f t="shared" si="122"/>
        <v>00</v>
      </c>
      <c r="AL837" t="str">
        <f t="shared" si="123"/>
        <v>000000000000</v>
      </c>
      <c r="AM837" t="str">
        <f t="shared" si="124"/>
        <v xml:space="preserve">                              </v>
      </c>
      <c r="AP837" t="str">
        <f t="shared" si="125"/>
        <v/>
      </c>
    </row>
    <row r="838" spans="2:42" x14ac:dyDescent="0.2">
      <c r="B838" s="88"/>
      <c r="C838" s="80"/>
      <c r="D838" s="74"/>
      <c r="AF838" t="str">
        <f t="shared" si="117"/>
        <v>00000000</v>
      </c>
      <c r="AG838" s="81">
        <f t="shared" si="118"/>
        <v>0</v>
      </c>
      <c r="AH838" s="81">
        <f t="shared" si="119"/>
        <v>0</v>
      </c>
      <c r="AI838" t="str">
        <f t="shared" si="120"/>
        <v>0000000000</v>
      </c>
      <c r="AJ838" t="str">
        <f t="shared" si="121"/>
        <v>.00</v>
      </c>
      <c r="AK838" t="str">
        <f t="shared" si="122"/>
        <v>00</v>
      </c>
      <c r="AL838" t="str">
        <f t="shared" si="123"/>
        <v>000000000000</v>
      </c>
      <c r="AM838" t="str">
        <f t="shared" si="124"/>
        <v xml:space="preserve">                              </v>
      </c>
      <c r="AP838" t="str">
        <f t="shared" si="125"/>
        <v/>
      </c>
    </row>
    <row r="839" spans="2:42" x14ac:dyDescent="0.2">
      <c r="B839" s="88"/>
      <c r="C839" s="80"/>
      <c r="D839" s="74"/>
      <c r="AF839" t="str">
        <f t="shared" si="117"/>
        <v>00000000</v>
      </c>
      <c r="AG839" s="81">
        <f t="shared" si="118"/>
        <v>0</v>
      </c>
      <c r="AH839" s="81">
        <f t="shared" si="119"/>
        <v>0</v>
      </c>
      <c r="AI839" t="str">
        <f t="shared" si="120"/>
        <v>0000000000</v>
      </c>
      <c r="AJ839" t="str">
        <f t="shared" si="121"/>
        <v>.00</v>
      </c>
      <c r="AK839" t="str">
        <f t="shared" si="122"/>
        <v>00</v>
      </c>
      <c r="AL839" t="str">
        <f t="shared" si="123"/>
        <v>000000000000</v>
      </c>
      <c r="AM839" t="str">
        <f t="shared" si="124"/>
        <v xml:space="preserve">                              </v>
      </c>
      <c r="AP839" t="str">
        <f t="shared" si="125"/>
        <v/>
      </c>
    </row>
    <row r="840" spans="2:42" x14ac:dyDescent="0.2">
      <c r="B840" s="88"/>
      <c r="C840" s="80"/>
      <c r="D840" s="74"/>
      <c r="AF840" t="str">
        <f t="shared" si="117"/>
        <v>00000000</v>
      </c>
      <c r="AG840" s="81">
        <f t="shared" si="118"/>
        <v>0</v>
      </c>
      <c r="AH840" s="81">
        <f t="shared" si="119"/>
        <v>0</v>
      </c>
      <c r="AI840" t="str">
        <f t="shared" si="120"/>
        <v>0000000000</v>
      </c>
      <c r="AJ840" t="str">
        <f t="shared" si="121"/>
        <v>.00</v>
      </c>
      <c r="AK840" t="str">
        <f t="shared" si="122"/>
        <v>00</v>
      </c>
      <c r="AL840" t="str">
        <f t="shared" si="123"/>
        <v>000000000000</v>
      </c>
      <c r="AM840" t="str">
        <f t="shared" si="124"/>
        <v xml:space="preserve">                              </v>
      </c>
      <c r="AP840" t="str">
        <f t="shared" si="125"/>
        <v/>
      </c>
    </row>
    <row r="841" spans="2:42" x14ac:dyDescent="0.2">
      <c r="B841" s="88"/>
      <c r="C841" s="80"/>
      <c r="D841" s="74"/>
      <c r="AF841" t="str">
        <f t="shared" si="117"/>
        <v>00000000</v>
      </c>
      <c r="AG841" s="81">
        <f t="shared" si="118"/>
        <v>0</v>
      </c>
      <c r="AH841" s="81">
        <f t="shared" si="119"/>
        <v>0</v>
      </c>
      <c r="AI841" t="str">
        <f t="shared" si="120"/>
        <v>0000000000</v>
      </c>
      <c r="AJ841" t="str">
        <f t="shared" si="121"/>
        <v>.00</v>
      </c>
      <c r="AK841" t="str">
        <f t="shared" si="122"/>
        <v>00</v>
      </c>
      <c r="AL841" t="str">
        <f t="shared" si="123"/>
        <v>000000000000</v>
      </c>
      <c r="AM841" t="str">
        <f t="shared" si="124"/>
        <v xml:space="preserve">                              </v>
      </c>
      <c r="AP841" t="str">
        <f t="shared" si="125"/>
        <v/>
      </c>
    </row>
    <row r="842" spans="2:42" x14ac:dyDescent="0.2">
      <c r="B842" s="88"/>
      <c r="C842" s="80"/>
      <c r="D842" s="74"/>
      <c r="AF842" t="str">
        <f t="shared" ref="AF842:AF905" si="126">CONCATENATE(REPT("0",8-LEN(B843)),B843)</f>
        <v>00000000</v>
      </c>
      <c r="AG842" s="81">
        <f t="shared" ref="AG842:AG905" si="127">INT(C843)</f>
        <v>0</v>
      </c>
      <c r="AH842" s="81">
        <f t="shared" ref="AH842:AH905" si="128">C843-AG842</f>
        <v>0</v>
      </c>
      <c r="AI842" t="str">
        <f t="shared" ref="AI842:AI905" si="129">TEXT(AG842,"0000000000")</f>
        <v>0000000000</v>
      </c>
      <c r="AJ842" t="str">
        <f t="shared" ref="AJ842:AJ905" si="130">TEXT(AH842,".00")</f>
        <v>.00</v>
      </c>
      <c r="AK842" t="str">
        <f t="shared" ref="AK842:AK905" si="131">MID(AJ842,2,2)</f>
        <v>00</v>
      </c>
      <c r="AL842" t="str">
        <f t="shared" ref="AL842:AL905" si="132">CONCATENATE(AI842,AK842)</f>
        <v>000000000000</v>
      </c>
      <c r="AM842" t="str">
        <f t="shared" si="124"/>
        <v xml:space="preserve">                              </v>
      </c>
      <c r="AP842" t="str">
        <f t="shared" si="125"/>
        <v/>
      </c>
    </row>
    <row r="843" spans="2:42" x14ac:dyDescent="0.2">
      <c r="B843" s="88"/>
      <c r="C843" s="80"/>
      <c r="D843" s="74"/>
      <c r="AF843" t="str">
        <f t="shared" si="126"/>
        <v>00000000</v>
      </c>
      <c r="AG843" s="81">
        <f t="shared" si="127"/>
        <v>0</v>
      </c>
      <c r="AH843" s="81">
        <f t="shared" si="128"/>
        <v>0</v>
      </c>
      <c r="AI843" t="str">
        <f t="shared" si="129"/>
        <v>0000000000</v>
      </c>
      <c r="AJ843" t="str">
        <f t="shared" si="130"/>
        <v>.00</v>
      </c>
      <c r="AK843" t="str">
        <f t="shared" si="131"/>
        <v>00</v>
      </c>
      <c r="AL843" t="str">
        <f t="shared" si="132"/>
        <v>000000000000</v>
      </c>
      <c r="AM843" t="str">
        <f t="shared" si="124"/>
        <v xml:space="preserve">                              </v>
      </c>
      <c r="AP843" t="str">
        <f t="shared" si="125"/>
        <v/>
      </c>
    </row>
    <row r="844" spans="2:42" x14ac:dyDescent="0.2">
      <c r="B844" s="88"/>
      <c r="C844" s="80"/>
      <c r="D844" s="74"/>
      <c r="AF844" t="str">
        <f t="shared" si="126"/>
        <v>00000000</v>
      </c>
      <c r="AG844" s="81">
        <f t="shared" si="127"/>
        <v>0</v>
      </c>
      <c r="AH844" s="81">
        <f t="shared" si="128"/>
        <v>0</v>
      </c>
      <c r="AI844" t="str">
        <f t="shared" si="129"/>
        <v>0000000000</v>
      </c>
      <c r="AJ844" t="str">
        <f t="shared" si="130"/>
        <v>.00</v>
      </c>
      <c r="AK844" t="str">
        <f t="shared" si="131"/>
        <v>00</v>
      </c>
      <c r="AL844" t="str">
        <f t="shared" si="132"/>
        <v>000000000000</v>
      </c>
      <c r="AM844" t="str">
        <f t="shared" si="124"/>
        <v xml:space="preserve">                              </v>
      </c>
      <c r="AP844" t="str">
        <f t="shared" si="125"/>
        <v/>
      </c>
    </row>
    <row r="845" spans="2:42" x14ac:dyDescent="0.2">
      <c r="B845" s="88"/>
      <c r="C845" s="80"/>
      <c r="D845" s="74"/>
      <c r="AF845" t="str">
        <f t="shared" si="126"/>
        <v>00000000</v>
      </c>
      <c r="AG845" s="81">
        <f t="shared" si="127"/>
        <v>0</v>
      </c>
      <c r="AH845" s="81">
        <f t="shared" si="128"/>
        <v>0</v>
      </c>
      <c r="AI845" t="str">
        <f t="shared" si="129"/>
        <v>0000000000</v>
      </c>
      <c r="AJ845" t="str">
        <f t="shared" si="130"/>
        <v>.00</v>
      </c>
      <c r="AK845" t="str">
        <f t="shared" si="131"/>
        <v>00</v>
      </c>
      <c r="AL845" t="str">
        <f t="shared" si="132"/>
        <v>000000000000</v>
      </c>
      <c r="AM845" t="str">
        <f t="shared" si="124"/>
        <v xml:space="preserve">                              </v>
      </c>
      <c r="AP845" t="str">
        <f t="shared" si="125"/>
        <v/>
      </c>
    </row>
    <row r="846" spans="2:42" x14ac:dyDescent="0.2">
      <c r="B846" s="88"/>
      <c r="C846" s="80"/>
      <c r="D846" s="74"/>
      <c r="AF846" t="str">
        <f t="shared" si="126"/>
        <v>00000000</v>
      </c>
      <c r="AG846" s="81">
        <f t="shared" si="127"/>
        <v>0</v>
      </c>
      <c r="AH846" s="81">
        <f t="shared" si="128"/>
        <v>0</v>
      </c>
      <c r="AI846" t="str">
        <f t="shared" si="129"/>
        <v>0000000000</v>
      </c>
      <c r="AJ846" t="str">
        <f t="shared" si="130"/>
        <v>.00</v>
      </c>
      <c r="AK846" t="str">
        <f t="shared" si="131"/>
        <v>00</v>
      </c>
      <c r="AL846" t="str">
        <f t="shared" si="132"/>
        <v>000000000000</v>
      </c>
      <c r="AM846" t="str">
        <f t="shared" si="124"/>
        <v xml:space="preserve">                              </v>
      </c>
      <c r="AP846" t="str">
        <f t="shared" si="125"/>
        <v/>
      </c>
    </row>
    <row r="847" spans="2:42" x14ac:dyDescent="0.2">
      <c r="B847" s="88"/>
      <c r="C847" s="80"/>
      <c r="D847" s="74"/>
      <c r="AF847" t="str">
        <f t="shared" si="126"/>
        <v>00000000</v>
      </c>
      <c r="AG847" s="81">
        <f t="shared" si="127"/>
        <v>0</v>
      </c>
      <c r="AH847" s="81">
        <f t="shared" si="128"/>
        <v>0</v>
      </c>
      <c r="AI847" t="str">
        <f t="shared" si="129"/>
        <v>0000000000</v>
      </c>
      <c r="AJ847" t="str">
        <f t="shared" si="130"/>
        <v>.00</v>
      </c>
      <c r="AK847" t="str">
        <f t="shared" si="131"/>
        <v>00</v>
      </c>
      <c r="AL847" t="str">
        <f t="shared" si="132"/>
        <v>000000000000</v>
      </c>
      <c r="AM847" t="str">
        <f t="shared" si="124"/>
        <v xml:space="preserve">                              </v>
      </c>
      <c r="AP847" t="str">
        <f t="shared" si="125"/>
        <v/>
      </c>
    </row>
    <row r="848" spans="2:42" x14ac:dyDescent="0.2">
      <c r="B848" s="88"/>
      <c r="C848" s="80"/>
      <c r="D848" s="74"/>
      <c r="AF848" t="str">
        <f t="shared" si="126"/>
        <v>00000000</v>
      </c>
      <c r="AG848" s="81">
        <f t="shared" si="127"/>
        <v>0</v>
      </c>
      <c r="AH848" s="81">
        <f t="shared" si="128"/>
        <v>0</v>
      </c>
      <c r="AI848" t="str">
        <f t="shared" si="129"/>
        <v>0000000000</v>
      </c>
      <c r="AJ848" t="str">
        <f t="shared" si="130"/>
        <v>.00</v>
      </c>
      <c r="AK848" t="str">
        <f t="shared" si="131"/>
        <v>00</v>
      </c>
      <c r="AL848" t="str">
        <f t="shared" si="132"/>
        <v>000000000000</v>
      </c>
      <c r="AM848" t="str">
        <f t="shared" si="124"/>
        <v xml:space="preserve">                              </v>
      </c>
      <c r="AP848" t="str">
        <f t="shared" si="125"/>
        <v/>
      </c>
    </row>
    <row r="849" spans="2:42" x14ac:dyDescent="0.2">
      <c r="B849" s="88"/>
      <c r="C849" s="80"/>
      <c r="D849" s="74"/>
      <c r="AF849" t="str">
        <f t="shared" si="126"/>
        <v>00000000</v>
      </c>
      <c r="AG849" s="81">
        <f t="shared" si="127"/>
        <v>0</v>
      </c>
      <c r="AH849" s="81">
        <f t="shared" si="128"/>
        <v>0</v>
      </c>
      <c r="AI849" t="str">
        <f t="shared" si="129"/>
        <v>0000000000</v>
      </c>
      <c r="AJ849" t="str">
        <f t="shared" si="130"/>
        <v>.00</v>
      </c>
      <c r="AK849" t="str">
        <f t="shared" si="131"/>
        <v>00</v>
      </c>
      <c r="AL849" t="str">
        <f t="shared" si="132"/>
        <v>000000000000</v>
      </c>
      <c r="AM849" t="str">
        <f t="shared" si="124"/>
        <v xml:space="preserve">                              </v>
      </c>
      <c r="AP849" t="str">
        <f t="shared" si="125"/>
        <v/>
      </c>
    </row>
    <row r="850" spans="2:42" x14ac:dyDescent="0.2">
      <c r="B850" s="88"/>
      <c r="C850" s="80"/>
      <c r="D850" s="74"/>
      <c r="AF850" t="str">
        <f t="shared" si="126"/>
        <v>00000000</v>
      </c>
      <c r="AG850" s="81">
        <f t="shared" si="127"/>
        <v>0</v>
      </c>
      <c r="AH850" s="81">
        <f t="shared" si="128"/>
        <v>0</v>
      </c>
      <c r="AI850" t="str">
        <f t="shared" si="129"/>
        <v>0000000000</v>
      </c>
      <c r="AJ850" t="str">
        <f t="shared" si="130"/>
        <v>.00</v>
      </c>
      <c r="AK850" t="str">
        <f t="shared" si="131"/>
        <v>00</v>
      </c>
      <c r="AL850" t="str">
        <f t="shared" si="132"/>
        <v>000000000000</v>
      </c>
      <c r="AM850" t="str">
        <f t="shared" si="124"/>
        <v xml:space="preserve">                              </v>
      </c>
      <c r="AP850" t="str">
        <f t="shared" si="125"/>
        <v/>
      </c>
    </row>
    <row r="851" spans="2:42" x14ac:dyDescent="0.2">
      <c r="B851" s="88"/>
      <c r="C851" s="80"/>
      <c r="D851" s="74"/>
      <c r="AF851" t="str">
        <f t="shared" si="126"/>
        <v>00000000</v>
      </c>
      <c r="AG851" s="81">
        <f t="shared" si="127"/>
        <v>0</v>
      </c>
      <c r="AH851" s="81">
        <f t="shared" si="128"/>
        <v>0</v>
      </c>
      <c r="AI851" t="str">
        <f t="shared" si="129"/>
        <v>0000000000</v>
      </c>
      <c r="AJ851" t="str">
        <f t="shared" si="130"/>
        <v>.00</v>
      </c>
      <c r="AK851" t="str">
        <f t="shared" si="131"/>
        <v>00</v>
      </c>
      <c r="AL851" t="str">
        <f t="shared" si="132"/>
        <v>000000000000</v>
      </c>
      <c r="AM851" t="str">
        <f t="shared" si="124"/>
        <v xml:space="preserve">                              </v>
      </c>
      <c r="AP851" t="str">
        <f t="shared" si="125"/>
        <v/>
      </c>
    </row>
    <row r="852" spans="2:42" x14ac:dyDescent="0.2">
      <c r="B852" s="88"/>
      <c r="C852" s="80"/>
      <c r="D852" s="74"/>
      <c r="AF852" t="str">
        <f t="shared" si="126"/>
        <v>00000000</v>
      </c>
      <c r="AG852" s="81">
        <f t="shared" si="127"/>
        <v>0</v>
      </c>
      <c r="AH852" s="81">
        <f t="shared" si="128"/>
        <v>0</v>
      </c>
      <c r="AI852" t="str">
        <f t="shared" si="129"/>
        <v>0000000000</v>
      </c>
      <c r="AJ852" t="str">
        <f t="shared" si="130"/>
        <v>.00</v>
      </c>
      <c r="AK852" t="str">
        <f t="shared" si="131"/>
        <v>00</v>
      </c>
      <c r="AL852" t="str">
        <f t="shared" si="132"/>
        <v>000000000000</v>
      </c>
      <c r="AM852" t="str">
        <f t="shared" si="124"/>
        <v xml:space="preserve">                              </v>
      </c>
      <c r="AP852" t="str">
        <f t="shared" si="125"/>
        <v/>
      </c>
    </row>
    <row r="853" spans="2:42" x14ac:dyDescent="0.2">
      <c r="B853" s="88"/>
      <c r="C853" s="80"/>
      <c r="D853" s="74"/>
      <c r="AF853" t="str">
        <f t="shared" si="126"/>
        <v>00000000</v>
      </c>
      <c r="AG853" s="81">
        <f t="shared" si="127"/>
        <v>0</v>
      </c>
      <c r="AH853" s="81">
        <f t="shared" si="128"/>
        <v>0</v>
      </c>
      <c r="AI853" t="str">
        <f t="shared" si="129"/>
        <v>0000000000</v>
      </c>
      <c r="AJ853" t="str">
        <f t="shared" si="130"/>
        <v>.00</v>
      </c>
      <c r="AK853" t="str">
        <f t="shared" si="131"/>
        <v>00</v>
      </c>
      <c r="AL853" t="str">
        <f t="shared" si="132"/>
        <v>000000000000</v>
      </c>
      <c r="AM853" t="str">
        <f t="shared" si="124"/>
        <v xml:space="preserve">                              </v>
      </c>
      <c r="AP853" t="str">
        <f t="shared" si="125"/>
        <v/>
      </c>
    </row>
    <row r="854" spans="2:42" x14ac:dyDescent="0.2">
      <c r="B854" s="88"/>
      <c r="C854" s="80"/>
      <c r="D854" s="74"/>
      <c r="AF854" t="str">
        <f t="shared" si="126"/>
        <v>00000000</v>
      </c>
      <c r="AG854" s="81">
        <f t="shared" si="127"/>
        <v>0</v>
      </c>
      <c r="AH854" s="81">
        <f t="shared" si="128"/>
        <v>0</v>
      </c>
      <c r="AI854" t="str">
        <f t="shared" si="129"/>
        <v>0000000000</v>
      </c>
      <c r="AJ854" t="str">
        <f t="shared" si="130"/>
        <v>.00</v>
      </c>
      <c r="AK854" t="str">
        <f t="shared" si="131"/>
        <v>00</v>
      </c>
      <c r="AL854" t="str">
        <f t="shared" si="132"/>
        <v>000000000000</v>
      </c>
      <c r="AM854" t="str">
        <f t="shared" si="124"/>
        <v xml:space="preserve">                              </v>
      </c>
      <c r="AP854" t="str">
        <f t="shared" si="125"/>
        <v/>
      </c>
    </row>
    <row r="855" spans="2:42" x14ac:dyDescent="0.2">
      <c r="B855" s="88"/>
      <c r="C855" s="80"/>
      <c r="D855" s="74"/>
      <c r="AF855" t="str">
        <f t="shared" si="126"/>
        <v>00000000</v>
      </c>
      <c r="AG855" s="81">
        <f t="shared" si="127"/>
        <v>0</v>
      </c>
      <c r="AH855" s="81">
        <f t="shared" si="128"/>
        <v>0</v>
      </c>
      <c r="AI855" t="str">
        <f t="shared" si="129"/>
        <v>0000000000</v>
      </c>
      <c r="AJ855" t="str">
        <f t="shared" si="130"/>
        <v>.00</v>
      </c>
      <c r="AK855" t="str">
        <f t="shared" si="131"/>
        <v>00</v>
      </c>
      <c r="AL855" t="str">
        <f t="shared" si="132"/>
        <v>000000000000</v>
      </c>
      <c r="AM855" t="str">
        <f t="shared" si="124"/>
        <v xml:space="preserve">                              </v>
      </c>
      <c r="AP855" t="str">
        <f t="shared" si="125"/>
        <v/>
      </c>
    </row>
    <row r="856" spans="2:42" x14ac:dyDescent="0.2">
      <c r="B856" s="88"/>
      <c r="C856" s="80"/>
      <c r="D856" s="74"/>
      <c r="AF856" t="str">
        <f t="shared" si="126"/>
        <v>00000000</v>
      </c>
      <c r="AG856" s="81">
        <f t="shared" si="127"/>
        <v>0</v>
      </c>
      <c r="AH856" s="81">
        <f t="shared" si="128"/>
        <v>0</v>
      </c>
      <c r="AI856" t="str">
        <f t="shared" si="129"/>
        <v>0000000000</v>
      </c>
      <c r="AJ856" t="str">
        <f t="shared" si="130"/>
        <v>.00</v>
      </c>
      <c r="AK856" t="str">
        <f t="shared" si="131"/>
        <v>00</v>
      </c>
      <c r="AL856" t="str">
        <f t="shared" si="132"/>
        <v>000000000000</v>
      </c>
      <c r="AM856" t="str">
        <f t="shared" si="124"/>
        <v xml:space="preserve">                              </v>
      </c>
      <c r="AP856" t="str">
        <f t="shared" si="125"/>
        <v/>
      </c>
    </row>
    <row r="857" spans="2:42" x14ac:dyDescent="0.2">
      <c r="B857" s="88"/>
      <c r="C857" s="80"/>
      <c r="D857" s="74"/>
      <c r="AF857" t="str">
        <f t="shared" si="126"/>
        <v>00000000</v>
      </c>
      <c r="AG857" s="81">
        <f t="shared" si="127"/>
        <v>0</v>
      </c>
      <c r="AH857" s="81">
        <f t="shared" si="128"/>
        <v>0</v>
      </c>
      <c r="AI857" t="str">
        <f t="shared" si="129"/>
        <v>0000000000</v>
      </c>
      <c r="AJ857" t="str">
        <f t="shared" si="130"/>
        <v>.00</v>
      </c>
      <c r="AK857" t="str">
        <f t="shared" si="131"/>
        <v>00</v>
      </c>
      <c r="AL857" t="str">
        <f t="shared" si="132"/>
        <v>000000000000</v>
      </c>
      <c r="AM857" t="str">
        <f t="shared" si="124"/>
        <v xml:space="preserve">                              </v>
      </c>
      <c r="AP857" t="str">
        <f t="shared" si="125"/>
        <v/>
      </c>
    </row>
    <row r="858" spans="2:42" x14ac:dyDescent="0.2">
      <c r="B858" s="88"/>
      <c r="C858" s="80"/>
      <c r="D858" s="74"/>
      <c r="AF858" t="str">
        <f t="shared" si="126"/>
        <v>00000000</v>
      </c>
      <c r="AG858" s="81">
        <f t="shared" si="127"/>
        <v>0</v>
      </c>
      <c r="AH858" s="81">
        <f t="shared" si="128"/>
        <v>0</v>
      </c>
      <c r="AI858" t="str">
        <f t="shared" si="129"/>
        <v>0000000000</v>
      </c>
      <c r="AJ858" t="str">
        <f t="shared" si="130"/>
        <v>.00</v>
      </c>
      <c r="AK858" t="str">
        <f t="shared" si="131"/>
        <v>00</v>
      </c>
      <c r="AL858" t="str">
        <f t="shared" si="132"/>
        <v>000000000000</v>
      </c>
      <c r="AM858" t="str">
        <f t="shared" si="124"/>
        <v xml:space="preserve">                              </v>
      </c>
      <c r="AP858" t="str">
        <f t="shared" si="125"/>
        <v/>
      </c>
    </row>
    <row r="859" spans="2:42" x14ac:dyDescent="0.2">
      <c r="B859" s="88"/>
      <c r="C859" s="80"/>
      <c r="D859" s="74"/>
      <c r="AF859" t="str">
        <f t="shared" si="126"/>
        <v>00000000</v>
      </c>
      <c r="AG859" s="81">
        <f t="shared" si="127"/>
        <v>0</v>
      </c>
      <c r="AH859" s="81">
        <f t="shared" si="128"/>
        <v>0</v>
      </c>
      <c r="AI859" t="str">
        <f t="shared" si="129"/>
        <v>0000000000</v>
      </c>
      <c r="AJ859" t="str">
        <f t="shared" si="130"/>
        <v>.00</v>
      </c>
      <c r="AK859" t="str">
        <f t="shared" si="131"/>
        <v>00</v>
      </c>
      <c r="AL859" t="str">
        <f t="shared" si="132"/>
        <v>000000000000</v>
      </c>
      <c r="AM859" t="str">
        <f t="shared" si="124"/>
        <v xml:space="preserve">                              </v>
      </c>
      <c r="AP859" t="str">
        <f t="shared" si="125"/>
        <v/>
      </c>
    </row>
    <row r="860" spans="2:42" x14ac:dyDescent="0.2">
      <c r="B860" s="88"/>
      <c r="C860" s="80"/>
      <c r="D860" s="74"/>
      <c r="AF860" t="str">
        <f t="shared" si="126"/>
        <v>00000000</v>
      </c>
      <c r="AG860" s="81">
        <f t="shared" si="127"/>
        <v>0</v>
      </c>
      <c r="AH860" s="81">
        <f t="shared" si="128"/>
        <v>0</v>
      </c>
      <c r="AI860" t="str">
        <f t="shared" si="129"/>
        <v>0000000000</v>
      </c>
      <c r="AJ860" t="str">
        <f t="shared" si="130"/>
        <v>.00</v>
      </c>
      <c r="AK860" t="str">
        <f t="shared" si="131"/>
        <v>00</v>
      </c>
      <c r="AL860" t="str">
        <f t="shared" si="132"/>
        <v>000000000000</v>
      </c>
      <c r="AM860" t="str">
        <f t="shared" si="124"/>
        <v xml:space="preserve">                              </v>
      </c>
      <c r="AP860" t="str">
        <f t="shared" si="125"/>
        <v/>
      </c>
    </row>
    <row r="861" spans="2:42" x14ac:dyDescent="0.2">
      <c r="B861" s="88"/>
      <c r="C861" s="80"/>
      <c r="D861" s="74"/>
      <c r="AF861" t="str">
        <f t="shared" si="126"/>
        <v>00000000</v>
      </c>
      <c r="AG861" s="81">
        <f t="shared" si="127"/>
        <v>0</v>
      </c>
      <c r="AH861" s="81">
        <f t="shared" si="128"/>
        <v>0</v>
      </c>
      <c r="AI861" t="str">
        <f t="shared" si="129"/>
        <v>0000000000</v>
      </c>
      <c r="AJ861" t="str">
        <f t="shared" si="130"/>
        <v>.00</v>
      </c>
      <c r="AK861" t="str">
        <f t="shared" si="131"/>
        <v>00</v>
      </c>
      <c r="AL861" t="str">
        <f t="shared" si="132"/>
        <v>000000000000</v>
      </c>
      <c r="AM861" t="str">
        <f t="shared" si="124"/>
        <v xml:space="preserve">                              </v>
      </c>
      <c r="AP861" t="str">
        <f t="shared" si="125"/>
        <v/>
      </c>
    </row>
    <row r="862" spans="2:42" x14ac:dyDescent="0.2">
      <c r="B862" s="88"/>
      <c r="C862" s="80"/>
      <c r="D862" s="74"/>
      <c r="AF862" t="str">
        <f t="shared" si="126"/>
        <v>00000000</v>
      </c>
      <c r="AG862" s="81">
        <f t="shared" si="127"/>
        <v>0</v>
      </c>
      <c r="AH862" s="81">
        <f t="shared" si="128"/>
        <v>0</v>
      </c>
      <c r="AI862" t="str">
        <f t="shared" si="129"/>
        <v>0000000000</v>
      </c>
      <c r="AJ862" t="str">
        <f t="shared" si="130"/>
        <v>.00</v>
      </c>
      <c r="AK862" t="str">
        <f t="shared" si="131"/>
        <v>00</v>
      </c>
      <c r="AL862" t="str">
        <f t="shared" si="132"/>
        <v>000000000000</v>
      </c>
      <c r="AM862" t="str">
        <f t="shared" si="124"/>
        <v xml:space="preserve">                              </v>
      </c>
      <c r="AP862" t="str">
        <f t="shared" si="125"/>
        <v/>
      </c>
    </row>
    <row r="863" spans="2:42" x14ac:dyDescent="0.2">
      <c r="B863" s="88"/>
      <c r="C863" s="80"/>
      <c r="D863" s="74"/>
      <c r="AF863" t="str">
        <f t="shared" si="126"/>
        <v>00000000</v>
      </c>
      <c r="AG863" s="81">
        <f t="shared" si="127"/>
        <v>0</v>
      </c>
      <c r="AH863" s="81">
        <f t="shared" si="128"/>
        <v>0</v>
      </c>
      <c r="AI863" t="str">
        <f t="shared" si="129"/>
        <v>0000000000</v>
      </c>
      <c r="AJ863" t="str">
        <f t="shared" si="130"/>
        <v>.00</v>
      </c>
      <c r="AK863" t="str">
        <f t="shared" si="131"/>
        <v>00</v>
      </c>
      <c r="AL863" t="str">
        <f t="shared" si="132"/>
        <v>000000000000</v>
      </c>
      <c r="AM863" t="str">
        <f t="shared" si="124"/>
        <v xml:space="preserve">                              </v>
      </c>
      <c r="AP863" t="str">
        <f t="shared" si="125"/>
        <v/>
      </c>
    </row>
    <row r="864" spans="2:42" x14ac:dyDescent="0.2">
      <c r="B864" s="88"/>
      <c r="C864" s="80"/>
      <c r="D864" s="74"/>
      <c r="AF864" t="str">
        <f t="shared" si="126"/>
        <v>00000000</v>
      </c>
      <c r="AG864" s="81">
        <f t="shared" si="127"/>
        <v>0</v>
      </c>
      <c r="AH864" s="81">
        <f t="shared" si="128"/>
        <v>0</v>
      </c>
      <c r="AI864" t="str">
        <f t="shared" si="129"/>
        <v>0000000000</v>
      </c>
      <c r="AJ864" t="str">
        <f t="shared" si="130"/>
        <v>.00</v>
      </c>
      <c r="AK864" t="str">
        <f t="shared" si="131"/>
        <v>00</v>
      </c>
      <c r="AL864" t="str">
        <f t="shared" si="132"/>
        <v>000000000000</v>
      </c>
      <c r="AM864" t="str">
        <f t="shared" si="124"/>
        <v xml:space="preserve">                              </v>
      </c>
      <c r="AP864" t="str">
        <f t="shared" si="125"/>
        <v/>
      </c>
    </row>
    <row r="865" spans="2:42" x14ac:dyDescent="0.2">
      <c r="B865" s="88"/>
      <c r="C865" s="80"/>
      <c r="D865" s="74"/>
      <c r="AF865" t="str">
        <f t="shared" si="126"/>
        <v>00000000</v>
      </c>
      <c r="AG865" s="81">
        <f t="shared" si="127"/>
        <v>0</v>
      </c>
      <c r="AH865" s="81">
        <f t="shared" si="128"/>
        <v>0</v>
      </c>
      <c r="AI865" t="str">
        <f t="shared" si="129"/>
        <v>0000000000</v>
      </c>
      <c r="AJ865" t="str">
        <f t="shared" si="130"/>
        <v>.00</v>
      </c>
      <c r="AK865" t="str">
        <f t="shared" si="131"/>
        <v>00</v>
      </c>
      <c r="AL865" t="str">
        <f t="shared" si="132"/>
        <v>000000000000</v>
      </c>
      <c r="AM865" t="str">
        <f t="shared" si="124"/>
        <v xml:space="preserve">                              </v>
      </c>
      <c r="AP865" t="str">
        <f t="shared" si="125"/>
        <v/>
      </c>
    </row>
    <row r="866" spans="2:42" x14ac:dyDescent="0.2">
      <c r="B866" s="88"/>
      <c r="C866" s="80"/>
      <c r="D866" s="74"/>
      <c r="AF866" t="str">
        <f t="shared" si="126"/>
        <v>00000000</v>
      </c>
      <c r="AG866" s="81">
        <f t="shared" si="127"/>
        <v>0</v>
      </c>
      <c r="AH866" s="81">
        <f t="shared" si="128"/>
        <v>0</v>
      </c>
      <c r="AI866" t="str">
        <f t="shared" si="129"/>
        <v>0000000000</v>
      </c>
      <c r="AJ866" t="str">
        <f t="shared" si="130"/>
        <v>.00</v>
      </c>
      <c r="AK866" t="str">
        <f t="shared" si="131"/>
        <v>00</v>
      </c>
      <c r="AL866" t="str">
        <f t="shared" si="132"/>
        <v>000000000000</v>
      </c>
      <c r="AM866" t="str">
        <f t="shared" si="124"/>
        <v xml:space="preserve">                              </v>
      </c>
      <c r="AP866" t="str">
        <f t="shared" si="125"/>
        <v/>
      </c>
    </row>
    <row r="867" spans="2:42" x14ac:dyDescent="0.2">
      <c r="B867" s="88"/>
      <c r="C867" s="80"/>
      <c r="D867" s="74"/>
      <c r="AF867" t="str">
        <f t="shared" si="126"/>
        <v>00000000</v>
      </c>
      <c r="AG867" s="81">
        <f t="shared" si="127"/>
        <v>0</v>
      </c>
      <c r="AH867" s="81">
        <f t="shared" si="128"/>
        <v>0</v>
      </c>
      <c r="AI867" t="str">
        <f t="shared" si="129"/>
        <v>0000000000</v>
      </c>
      <c r="AJ867" t="str">
        <f t="shared" si="130"/>
        <v>.00</v>
      </c>
      <c r="AK867" t="str">
        <f t="shared" si="131"/>
        <v>00</v>
      </c>
      <c r="AL867" t="str">
        <f t="shared" si="132"/>
        <v>000000000000</v>
      </c>
      <c r="AM867" t="str">
        <f t="shared" si="124"/>
        <v xml:space="preserve">                              </v>
      </c>
      <c r="AP867" t="str">
        <f t="shared" si="125"/>
        <v/>
      </c>
    </row>
    <row r="868" spans="2:42" x14ac:dyDescent="0.2">
      <c r="B868" s="88"/>
      <c r="C868" s="80"/>
      <c r="D868" s="74"/>
      <c r="AF868" t="str">
        <f t="shared" si="126"/>
        <v>00000000</v>
      </c>
      <c r="AG868" s="81">
        <f t="shared" si="127"/>
        <v>0</v>
      </c>
      <c r="AH868" s="81">
        <f t="shared" si="128"/>
        <v>0</v>
      </c>
      <c r="AI868" t="str">
        <f t="shared" si="129"/>
        <v>0000000000</v>
      </c>
      <c r="AJ868" t="str">
        <f t="shared" si="130"/>
        <v>.00</v>
      </c>
      <c r="AK868" t="str">
        <f t="shared" si="131"/>
        <v>00</v>
      </c>
      <c r="AL868" t="str">
        <f t="shared" si="132"/>
        <v>000000000000</v>
      </c>
      <c r="AM868" t="str">
        <f t="shared" si="124"/>
        <v xml:space="preserve">                              </v>
      </c>
      <c r="AP868" t="str">
        <f t="shared" si="125"/>
        <v/>
      </c>
    </row>
    <row r="869" spans="2:42" x14ac:dyDescent="0.2">
      <c r="B869" s="88"/>
      <c r="C869" s="80"/>
      <c r="D869" s="74"/>
      <c r="AF869" t="str">
        <f t="shared" si="126"/>
        <v>00000000</v>
      </c>
      <c r="AG869" s="81">
        <f t="shared" si="127"/>
        <v>0</v>
      </c>
      <c r="AH869" s="81">
        <f t="shared" si="128"/>
        <v>0</v>
      </c>
      <c r="AI869" t="str">
        <f t="shared" si="129"/>
        <v>0000000000</v>
      </c>
      <c r="AJ869" t="str">
        <f t="shared" si="130"/>
        <v>.00</v>
      </c>
      <c r="AK869" t="str">
        <f t="shared" si="131"/>
        <v>00</v>
      </c>
      <c r="AL869" t="str">
        <f t="shared" si="132"/>
        <v>000000000000</v>
      </c>
      <c r="AM869" t="str">
        <f t="shared" si="124"/>
        <v xml:space="preserve">                              </v>
      </c>
      <c r="AP869" t="str">
        <f t="shared" si="125"/>
        <v/>
      </c>
    </row>
    <row r="870" spans="2:42" x14ac:dyDescent="0.2">
      <c r="B870" s="88"/>
      <c r="C870" s="80"/>
      <c r="D870" s="74"/>
      <c r="AF870" t="str">
        <f t="shared" si="126"/>
        <v>00000000</v>
      </c>
      <c r="AG870" s="81">
        <f t="shared" si="127"/>
        <v>0</v>
      </c>
      <c r="AH870" s="81">
        <f t="shared" si="128"/>
        <v>0</v>
      </c>
      <c r="AI870" t="str">
        <f t="shared" si="129"/>
        <v>0000000000</v>
      </c>
      <c r="AJ870" t="str">
        <f t="shared" si="130"/>
        <v>.00</v>
      </c>
      <c r="AK870" t="str">
        <f t="shared" si="131"/>
        <v>00</v>
      </c>
      <c r="AL870" t="str">
        <f t="shared" si="132"/>
        <v>000000000000</v>
      </c>
      <c r="AM870" t="str">
        <f t="shared" si="124"/>
        <v xml:space="preserve">                              </v>
      </c>
      <c r="AP870" t="str">
        <f t="shared" si="125"/>
        <v/>
      </c>
    </row>
    <row r="871" spans="2:42" x14ac:dyDescent="0.2">
      <c r="B871" s="88"/>
      <c r="C871" s="80"/>
      <c r="D871" s="74"/>
      <c r="AF871" t="str">
        <f t="shared" si="126"/>
        <v>00000000</v>
      </c>
      <c r="AG871" s="81">
        <f t="shared" si="127"/>
        <v>0</v>
      </c>
      <c r="AH871" s="81">
        <f t="shared" si="128"/>
        <v>0</v>
      </c>
      <c r="AI871" t="str">
        <f t="shared" si="129"/>
        <v>0000000000</v>
      </c>
      <c r="AJ871" t="str">
        <f t="shared" si="130"/>
        <v>.00</v>
      </c>
      <c r="AK871" t="str">
        <f t="shared" si="131"/>
        <v>00</v>
      </c>
      <c r="AL871" t="str">
        <f t="shared" si="132"/>
        <v>000000000000</v>
      </c>
      <c r="AM871" t="str">
        <f t="shared" si="124"/>
        <v xml:space="preserve">                              </v>
      </c>
      <c r="AP871" t="str">
        <f t="shared" si="125"/>
        <v/>
      </c>
    </row>
    <row r="872" spans="2:42" x14ac:dyDescent="0.2">
      <c r="B872" s="88"/>
      <c r="C872" s="80"/>
      <c r="D872" s="74"/>
      <c r="AF872" t="str">
        <f t="shared" si="126"/>
        <v>00000000</v>
      </c>
      <c r="AG872" s="81">
        <f t="shared" si="127"/>
        <v>0</v>
      </c>
      <c r="AH872" s="81">
        <f t="shared" si="128"/>
        <v>0</v>
      </c>
      <c r="AI872" t="str">
        <f t="shared" si="129"/>
        <v>0000000000</v>
      </c>
      <c r="AJ872" t="str">
        <f t="shared" si="130"/>
        <v>.00</v>
      </c>
      <c r="AK872" t="str">
        <f t="shared" si="131"/>
        <v>00</v>
      </c>
      <c r="AL872" t="str">
        <f t="shared" si="132"/>
        <v>000000000000</v>
      </c>
      <c r="AM872" t="str">
        <f t="shared" si="124"/>
        <v xml:space="preserve">                              </v>
      </c>
      <c r="AP872" t="str">
        <f t="shared" si="125"/>
        <v/>
      </c>
    </row>
    <row r="873" spans="2:42" x14ac:dyDescent="0.2">
      <c r="B873" s="88"/>
      <c r="C873" s="80"/>
      <c r="D873" s="74"/>
      <c r="AF873" t="str">
        <f t="shared" si="126"/>
        <v>00000000</v>
      </c>
      <c r="AG873" s="81">
        <f t="shared" si="127"/>
        <v>0</v>
      </c>
      <c r="AH873" s="81">
        <f t="shared" si="128"/>
        <v>0</v>
      </c>
      <c r="AI873" t="str">
        <f t="shared" si="129"/>
        <v>0000000000</v>
      </c>
      <c r="AJ873" t="str">
        <f t="shared" si="130"/>
        <v>.00</v>
      </c>
      <c r="AK873" t="str">
        <f t="shared" si="131"/>
        <v>00</v>
      </c>
      <c r="AL873" t="str">
        <f t="shared" si="132"/>
        <v>000000000000</v>
      </c>
      <c r="AM873" t="str">
        <f t="shared" si="124"/>
        <v xml:space="preserve">                              </v>
      </c>
      <c r="AP873" t="str">
        <f t="shared" si="125"/>
        <v/>
      </c>
    </row>
    <row r="874" spans="2:42" x14ac:dyDescent="0.2">
      <c r="B874" s="88"/>
      <c r="C874" s="80"/>
      <c r="D874" s="74"/>
      <c r="AF874" t="str">
        <f t="shared" si="126"/>
        <v>00000000</v>
      </c>
      <c r="AG874" s="81">
        <f t="shared" si="127"/>
        <v>0</v>
      </c>
      <c r="AH874" s="81">
        <f t="shared" si="128"/>
        <v>0</v>
      </c>
      <c r="AI874" t="str">
        <f t="shared" si="129"/>
        <v>0000000000</v>
      </c>
      <c r="AJ874" t="str">
        <f t="shared" si="130"/>
        <v>.00</v>
      </c>
      <c r="AK874" t="str">
        <f t="shared" si="131"/>
        <v>00</v>
      </c>
      <c r="AL874" t="str">
        <f t="shared" si="132"/>
        <v>000000000000</v>
      </c>
      <c r="AM874" t="str">
        <f t="shared" si="124"/>
        <v xml:space="preserve">                              </v>
      </c>
      <c r="AP874" t="str">
        <f t="shared" si="125"/>
        <v/>
      </c>
    </row>
    <row r="875" spans="2:42" x14ac:dyDescent="0.2">
      <c r="B875" s="88"/>
      <c r="C875" s="80"/>
      <c r="D875" s="74"/>
      <c r="AF875" t="str">
        <f t="shared" si="126"/>
        <v>00000000</v>
      </c>
      <c r="AG875" s="81">
        <f t="shared" si="127"/>
        <v>0</v>
      </c>
      <c r="AH875" s="81">
        <f t="shared" si="128"/>
        <v>0</v>
      </c>
      <c r="AI875" t="str">
        <f t="shared" si="129"/>
        <v>0000000000</v>
      </c>
      <c r="AJ875" t="str">
        <f t="shared" si="130"/>
        <v>.00</v>
      </c>
      <c r="AK875" t="str">
        <f t="shared" si="131"/>
        <v>00</v>
      </c>
      <c r="AL875" t="str">
        <f t="shared" si="132"/>
        <v>000000000000</v>
      </c>
      <c r="AM875" t="str">
        <f t="shared" si="124"/>
        <v xml:space="preserve">                              </v>
      </c>
      <c r="AP875" t="str">
        <f t="shared" si="125"/>
        <v/>
      </c>
    </row>
    <row r="876" spans="2:42" x14ac:dyDescent="0.2">
      <c r="B876" s="88"/>
      <c r="C876" s="80"/>
      <c r="D876" s="74"/>
      <c r="AF876" t="str">
        <f t="shared" si="126"/>
        <v>00000000</v>
      </c>
      <c r="AG876" s="81">
        <f t="shared" si="127"/>
        <v>0</v>
      </c>
      <c r="AH876" s="81">
        <f t="shared" si="128"/>
        <v>0</v>
      </c>
      <c r="AI876" t="str">
        <f t="shared" si="129"/>
        <v>0000000000</v>
      </c>
      <c r="AJ876" t="str">
        <f t="shared" si="130"/>
        <v>.00</v>
      </c>
      <c r="AK876" t="str">
        <f t="shared" si="131"/>
        <v>00</v>
      </c>
      <c r="AL876" t="str">
        <f t="shared" si="132"/>
        <v>000000000000</v>
      </c>
      <c r="AM876" t="str">
        <f t="shared" si="124"/>
        <v xml:space="preserve">                              </v>
      </c>
      <c r="AP876" t="str">
        <f t="shared" si="125"/>
        <v/>
      </c>
    </row>
    <row r="877" spans="2:42" x14ac:dyDescent="0.2">
      <c r="B877" s="88"/>
      <c r="C877" s="80"/>
      <c r="D877" s="74"/>
      <c r="AF877" t="str">
        <f t="shared" si="126"/>
        <v>00000000</v>
      </c>
      <c r="AG877" s="81">
        <f t="shared" si="127"/>
        <v>0</v>
      </c>
      <c r="AH877" s="81">
        <f t="shared" si="128"/>
        <v>0</v>
      </c>
      <c r="AI877" t="str">
        <f t="shared" si="129"/>
        <v>0000000000</v>
      </c>
      <c r="AJ877" t="str">
        <f t="shared" si="130"/>
        <v>.00</v>
      </c>
      <c r="AK877" t="str">
        <f t="shared" si="131"/>
        <v>00</v>
      </c>
      <c r="AL877" t="str">
        <f t="shared" si="132"/>
        <v>000000000000</v>
      </c>
      <c r="AM877" t="str">
        <f t="shared" si="124"/>
        <v xml:space="preserve">                              </v>
      </c>
      <c r="AP877" t="str">
        <f t="shared" si="125"/>
        <v/>
      </c>
    </row>
    <row r="878" spans="2:42" x14ac:dyDescent="0.2">
      <c r="B878" s="88"/>
      <c r="C878" s="80"/>
      <c r="D878" s="74"/>
      <c r="AF878" t="str">
        <f t="shared" si="126"/>
        <v>00000000</v>
      </c>
      <c r="AG878" s="81">
        <f t="shared" si="127"/>
        <v>0</v>
      </c>
      <c r="AH878" s="81">
        <f t="shared" si="128"/>
        <v>0</v>
      </c>
      <c r="AI878" t="str">
        <f t="shared" si="129"/>
        <v>0000000000</v>
      </c>
      <c r="AJ878" t="str">
        <f t="shared" si="130"/>
        <v>.00</v>
      </c>
      <c r="AK878" t="str">
        <f t="shared" si="131"/>
        <v>00</v>
      </c>
      <c r="AL878" t="str">
        <f t="shared" si="132"/>
        <v>000000000000</v>
      </c>
      <c r="AM878" t="str">
        <f t="shared" si="124"/>
        <v xml:space="preserve">                              </v>
      </c>
      <c r="AP878" t="str">
        <f t="shared" si="125"/>
        <v/>
      </c>
    </row>
    <row r="879" spans="2:42" x14ac:dyDescent="0.2">
      <c r="B879" s="88"/>
      <c r="C879" s="80"/>
      <c r="D879" s="74"/>
      <c r="AF879" t="str">
        <f t="shared" si="126"/>
        <v>00000000</v>
      </c>
      <c r="AG879" s="81">
        <f t="shared" si="127"/>
        <v>0</v>
      </c>
      <c r="AH879" s="81">
        <f t="shared" si="128"/>
        <v>0</v>
      </c>
      <c r="AI879" t="str">
        <f t="shared" si="129"/>
        <v>0000000000</v>
      </c>
      <c r="AJ879" t="str">
        <f t="shared" si="130"/>
        <v>.00</v>
      </c>
      <c r="AK879" t="str">
        <f t="shared" si="131"/>
        <v>00</v>
      </c>
      <c r="AL879" t="str">
        <f t="shared" si="132"/>
        <v>000000000000</v>
      </c>
      <c r="AM879" t="str">
        <f t="shared" si="124"/>
        <v xml:space="preserve">                              </v>
      </c>
      <c r="AP879" t="str">
        <f t="shared" si="125"/>
        <v/>
      </c>
    </row>
    <row r="880" spans="2:42" x14ac:dyDescent="0.2">
      <c r="B880" s="88"/>
      <c r="C880" s="80"/>
      <c r="D880" s="74"/>
      <c r="AF880" t="str">
        <f t="shared" si="126"/>
        <v>00000000</v>
      </c>
      <c r="AG880" s="81">
        <f t="shared" si="127"/>
        <v>0</v>
      </c>
      <c r="AH880" s="81">
        <f t="shared" si="128"/>
        <v>0</v>
      </c>
      <c r="AI880" t="str">
        <f t="shared" si="129"/>
        <v>0000000000</v>
      </c>
      <c r="AJ880" t="str">
        <f t="shared" si="130"/>
        <v>.00</v>
      </c>
      <c r="AK880" t="str">
        <f t="shared" si="131"/>
        <v>00</v>
      </c>
      <c r="AL880" t="str">
        <f t="shared" si="132"/>
        <v>000000000000</v>
      </c>
      <c r="AM880" t="str">
        <f t="shared" si="124"/>
        <v xml:space="preserve">                              </v>
      </c>
      <c r="AP880" t="str">
        <f t="shared" si="125"/>
        <v/>
      </c>
    </row>
    <row r="881" spans="2:42" x14ac:dyDescent="0.2">
      <c r="B881" s="88"/>
      <c r="C881" s="80"/>
      <c r="D881" s="74"/>
      <c r="AF881" t="str">
        <f t="shared" si="126"/>
        <v>00000000</v>
      </c>
      <c r="AG881" s="81">
        <f t="shared" si="127"/>
        <v>0</v>
      </c>
      <c r="AH881" s="81">
        <f t="shared" si="128"/>
        <v>0</v>
      </c>
      <c r="AI881" t="str">
        <f t="shared" si="129"/>
        <v>0000000000</v>
      </c>
      <c r="AJ881" t="str">
        <f t="shared" si="130"/>
        <v>.00</v>
      </c>
      <c r="AK881" t="str">
        <f t="shared" si="131"/>
        <v>00</v>
      </c>
      <c r="AL881" t="str">
        <f t="shared" si="132"/>
        <v>000000000000</v>
      </c>
      <c r="AM881" t="str">
        <f t="shared" si="124"/>
        <v xml:space="preserve">                              </v>
      </c>
      <c r="AP881" t="str">
        <f t="shared" si="125"/>
        <v/>
      </c>
    </row>
    <row r="882" spans="2:42" x14ac:dyDescent="0.2">
      <c r="B882" s="88"/>
      <c r="C882" s="80"/>
      <c r="D882" s="74"/>
      <c r="AF882" t="str">
        <f t="shared" si="126"/>
        <v>00000000</v>
      </c>
      <c r="AG882" s="81">
        <f t="shared" si="127"/>
        <v>0</v>
      </c>
      <c r="AH882" s="81">
        <f t="shared" si="128"/>
        <v>0</v>
      </c>
      <c r="AI882" t="str">
        <f t="shared" si="129"/>
        <v>0000000000</v>
      </c>
      <c r="AJ882" t="str">
        <f t="shared" si="130"/>
        <v>.00</v>
      </c>
      <c r="AK882" t="str">
        <f t="shared" si="131"/>
        <v>00</v>
      </c>
      <c r="AL882" t="str">
        <f t="shared" si="132"/>
        <v>000000000000</v>
      </c>
      <c r="AM882" t="str">
        <f t="shared" si="124"/>
        <v xml:space="preserve">                              </v>
      </c>
      <c r="AP882" t="str">
        <f t="shared" si="125"/>
        <v/>
      </c>
    </row>
    <row r="883" spans="2:42" x14ac:dyDescent="0.2">
      <c r="B883" s="88"/>
      <c r="C883" s="80"/>
      <c r="D883" s="74"/>
      <c r="AF883" t="str">
        <f t="shared" si="126"/>
        <v>00000000</v>
      </c>
      <c r="AG883" s="81">
        <f t="shared" si="127"/>
        <v>0</v>
      </c>
      <c r="AH883" s="81">
        <f t="shared" si="128"/>
        <v>0</v>
      </c>
      <c r="AI883" t="str">
        <f t="shared" si="129"/>
        <v>0000000000</v>
      </c>
      <c r="AJ883" t="str">
        <f t="shared" si="130"/>
        <v>.00</v>
      </c>
      <c r="AK883" t="str">
        <f t="shared" si="131"/>
        <v>00</v>
      </c>
      <c r="AL883" t="str">
        <f t="shared" si="132"/>
        <v>000000000000</v>
      </c>
      <c r="AM883" t="str">
        <f t="shared" si="124"/>
        <v xml:space="preserve">                              </v>
      </c>
      <c r="AP883" t="str">
        <f t="shared" si="125"/>
        <v/>
      </c>
    </row>
    <row r="884" spans="2:42" x14ac:dyDescent="0.2">
      <c r="B884" s="88"/>
      <c r="C884" s="80"/>
      <c r="D884" s="74"/>
      <c r="AF884" t="str">
        <f t="shared" si="126"/>
        <v>00000000</v>
      </c>
      <c r="AG884" s="81">
        <f t="shared" si="127"/>
        <v>0</v>
      </c>
      <c r="AH884" s="81">
        <f t="shared" si="128"/>
        <v>0</v>
      </c>
      <c r="AI884" t="str">
        <f t="shared" si="129"/>
        <v>0000000000</v>
      </c>
      <c r="AJ884" t="str">
        <f t="shared" si="130"/>
        <v>.00</v>
      </c>
      <c r="AK884" t="str">
        <f t="shared" si="131"/>
        <v>00</v>
      </c>
      <c r="AL884" t="str">
        <f t="shared" si="132"/>
        <v>000000000000</v>
      </c>
      <c r="AM884" t="str">
        <f t="shared" si="124"/>
        <v xml:space="preserve">                              </v>
      </c>
      <c r="AP884" t="str">
        <f t="shared" si="125"/>
        <v/>
      </c>
    </row>
    <row r="885" spans="2:42" x14ac:dyDescent="0.2">
      <c r="B885" s="88"/>
      <c r="C885" s="80"/>
      <c r="D885" s="74"/>
      <c r="AF885" t="str">
        <f t="shared" si="126"/>
        <v>00000000</v>
      </c>
      <c r="AG885" s="81">
        <f t="shared" si="127"/>
        <v>0</v>
      </c>
      <c r="AH885" s="81">
        <f t="shared" si="128"/>
        <v>0</v>
      </c>
      <c r="AI885" t="str">
        <f t="shared" si="129"/>
        <v>0000000000</v>
      </c>
      <c r="AJ885" t="str">
        <f t="shared" si="130"/>
        <v>.00</v>
      </c>
      <c r="AK885" t="str">
        <f t="shared" si="131"/>
        <v>00</v>
      </c>
      <c r="AL885" t="str">
        <f t="shared" si="132"/>
        <v>000000000000</v>
      </c>
      <c r="AM885" t="str">
        <f t="shared" si="124"/>
        <v xml:space="preserve">                              </v>
      </c>
      <c r="AP885" t="str">
        <f t="shared" si="125"/>
        <v/>
      </c>
    </row>
    <row r="886" spans="2:42" x14ac:dyDescent="0.2">
      <c r="B886" s="88"/>
      <c r="C886" s="80"/>
      <c r="D886" s="74"/>
      <c r="AF886" t="str">
        <f t="shared" si="126"/>
        <v>00000000</v>
      </c>
      <c r="AG886" s="81">
        <f t="shared" si="127"/>
        <v>0</v>
      </c>
      <c r="AH886" s="81">
        <f t="shared" si="128"/>
        <v>0</v>
      </c>
      <c r="AI886" t="str">
        <f t="shared" si="129"/>
        <v>0000000000</v>
      </c>
      <c r="AJ886" t="str">
        <f t="shared" si="130"/>
        <v>.00</v>
      </c>
      <c r="AK886" t="str">
        <f t="shared" si="131"/>
        <v>00</v>
      </c>
      <c r="AL886" t="str">
        <f t="shared" si="132"/>
        <v>000000000000</v>
      </c>
      <c r="AM886" t="str">
        <f t="shared" si="124"/>
        <v xml:space="preserve">                              </v>
      </c>
      <c r="AP886" t="str">
        <f t="shared" si="125"/>
        <v/>
      </c>
    </row>
    <row r="887" spans="2:42" x14ac:dyDescent="0.2">
      <c r="B887" s="88"/>
      <c r="C887" s="80"/>
      <c r="D887" s="74"/>
      <c r="AF887" t="str">
        <f t="shared" si="126"/>
        <v>00000000</v>
      </c>
      <c r="AG887" s="81">
        <f t="shared" si="127"/>
        <v>0</v>
      </c>
      <c r="AH887" s="81">
        <f t="shared" si="128"/>
        <v>0</v>
      </c>
      <c r="AI887" t="str">
        <f t="shared" si="129"/>
        <v>0000000000</v>
      </c>
      <c r="AJ887" t="str">
        <f t="shared" si="130"/>
        <v>.00</v>
      </c>
      <c r="AK887" t="str">
        <f t="shared" si="131"/>
        <v>00</v>
      </c>
      <c r="AL887" t="str">
        <f t="shared" si="132"/>
        <v>000000000000</v>
      </c>
      <c r="AM887" t="str">
        <f t="shared" si="124"/>
        <v xml:space="preserve">                              </v>
      </c>
      <c r="AP887" t="str">
        <f t="shared" si="125"/>
        <v/>
      </c>
    </row>
    <row r="888" spans="2:42" x14ac:dyDescent="0.2">
      <c r="B888" s="88"/>
      <c r="C888" s="80"/>
      <c r="D888" s="74"/>
      <c r="AF888" t="str">
        <f t="shared" si="126"/>
        <v>00000000</v>
      </c>
      <c r="AG888" s="81">
        <f t="shared" si="127"/>
        <v>0</v>
      </c>
      <c r="AH888" s="81">
        <f t="shared" si="128"/>
        <v>0</v>
      </c>
      <c r="AI888" t="str">
        <f t="shared" si="129"/>
        <v>0000000000</v>
      </c>
      <c r="AJ888" t="str">
        <f t="shared" si="130"/>
        <v>.00</v>
      </c>
      <c r="AK888" t="str">
        <f t="shared" si="131"/>
        <v>00</v>
      </c>
      <c r="AL888" t="str">
        <f t="shared" si="132"/>
        <v>000000000000</v>
      </c>
      <c r="AM888" t="str">
        <f t="shared" si="124"/>
        <v xml:space="preserve">                              </v>
      </c>
      <c r="AP888" t="str">
        <f t="shared" si="125"/>
        <v/>
      </c>
    </row>
    <row r="889" spans="2:42" x14ac:dyDescent="0.2">
      <c r="B889" s="88"/>
      <c r="C889" s="80"/>
      <c r="D889" s="74"/>
      <c r="AF889" t="str">
        <f t="shared" si="126"/>
        <v>00000000</v>
      </c>
      <c r="AG889" s="81">
        <f t="shared" si="127"/>
        <v>0</v>
      </c>
      <c r="AH889" s="81">
        <f t="shared" si="128"/>
        <v>0</v>
      </c>
      <c r="AI889" t="str">
        <f t="shared" si="129"/>
        <v>0000000000</v>
      </c>
      <c r="AJ889" t="str">
        <f t="shared" si="130"/>
        <v>.00</v>
      </c>
      <c r="AK889" t="str">
        <f t="shared" si="131"/>
        <v>00</v>
      </c>
      <c r="AL889" t="str">
        <f t="shared" si="132"/>
        <v>000000000000</v>
      </c>
      <c r="AM889" t="str">
        <f t="shared" si="124"/>
        <v xml:space="preserve">                              </v>
      </c>
      <c r="AP889" t="str">
        <f t="shared" si="125"/>
        <v/>
      </c>
    </row>
    <row r="890" spans="2:42" x14ac:dyDescent="0.2">
      <c r="B890" s="88"/>
      <c r="C890" s="80"/>
      <c r="D890" s="74"/>
      <c r="AF890" t="str">
        <f t="shared" si="126"/>
        <v>00000000</v>
      </c>
      <c r="AG890" s="81">
        <f t="shared" si="127"/>
        <v>0</v>
      </c>
      <c r="AH890" s="81">
        <f t="shared" si="128"/>
        <v>0</v>
      </c>
      <c r="AI890" t="str">
        <f t="shared" si="129"/>
        <v>0000000000</v>
      </c>
      <c r="AJ890" t="str">
        <f t="shared" si="130"/>
        <v>.00</v>
      </c>
      <c r="AK890" t="str">
        <f t="shared" si="131"/>
        <v>00</v>
      </c>
      <c r="AL890" t="str">
        <f t="shared" si="132"/>
        <v>000000000000</v>
      </c>
      <c r="AM890" t="str">
        <f t="shared" si="124"/>
        <v xml:space="preserve">                              </v>
      </c>
      <c r="AP890" t="str">
        <f t="shared" si="125"/>
        <v/>
      </c>
    </row>
    <row r="891" spans="2:42" x14ac:dyDescent="0.2">
      <c r="B891" s="88"/>
      <c r="C891" s="80"/>
      <c r="D891" s="74"/>
      <c r="AF891" t="str">
        <f t="shared" si="126"/>
        <v>00000000</v>
      </c>
      <c r="AG891" s="81">
        <f t="shared" si="127"/>
        <v>0</v>
      </c>
      <c r="AH891" s="81">
        <f t="shared" si="128"/>
        <v>0</v>
      </c>
      <c r="AI891" t="str">
        <f t="shared" si="129"/>
        <v>0000000000</v>
      </c>
      <c r="AJ891" t="str">
        <f t="shared" si="130"/>
        <v>.00</v>
      </c>
      <c r="AK891" t="str">
        <f t="shared" si="131"/>
        <v>00</v>
      </c>
      <c r="AL891" t="str">
        <f t="shared" si="132"/>
        <v>000000000000</v>
      </c>
      <c r="AM891" t="str">
        <f t="shared" si="124"/>
        <v xml:space="preserve">                              </v>
      </c>
      <c r="AP891" t="str">
        <f t="shared" si="125"/>
        <v/>
      </c>
    </row>
    <row r="892" spans="2:42" x14ac:dyDescent="0.2">
      <c r="B892" s="88"/>
      <c r="C892" s="80"/>
      <c r="D892" s="74"/>
      <c r="AF892" t="str">
        <f t="shared" si="126"/>
        <v>00000000</v>
      </c>
      <c r="AG892" s="81">
        <f t="shared" si="127"/>
        <v>0</v>
      </c>
      <c r="AH892" s="81">
        <f t="shared" si="128"/>
        <v>0</v>
      </c>
      <c r="AI892" t="str">
        <f t="shared" si="129"/>
        <v>0000000000</v>
      </c>
      <c r="AJ892" t="str">
        <f t="shared" si="130"/>
        <v>.00</v>
      </c>
      <c r="AK892" t="str">
        <f t="shared" si="131"/>
        <v>00</v>
      </c>
      <c r="AL892" t="str">
        <f t="shared" si="132"/>
        <v>000000000000</v>
      </c>
      <c r="AM892" t="str">
        <f t="shared" si="124"/>
        <v xml:space="preserve">                              </v>
      </c>
      <c r="AP892" t="str">
        <f t="shared" si="125"/>
        <v/>
      </c>
    </row>
    <row r="893" spans="2:42" x14ac:dyDescent="0.2">
      <c r="B893" s="88"/>
      <c r="C893" s="80"/>
      <c r="D893" s="74"/>
      <c r="AF893" t="str">
        <f t="shared" si="126"/>
        <v>00000000</v>
      </c>
      <c r="AG893" s="81">
        <f t="shared" si="127"/>
        <v>0</v>
      </c>
      <c r="AH893" s="81">
        <f t="shared" si="128"/>
        <v>0</v>
      </c>
      <c r="AI893" t="str">
        <f t="shared" si="129"/>
        <v>0000000000</v>
      </c>
      <c r="AJ893" t="str">
        <f t="shared" si="130"/>
        <v>.00</v>
      </c>
      <c r="AK893" t="str">
        <f t="shared" si="131"/>
        <v>00</v>
      </c>
      <c r="AL893" t="str">
        <f t="shared" si="132"/>
        <v>000000000000</v>
      </c>
      <c r="AM893" t="str">
        <f t="shared" si="124"/>
        <v xml:space="preserve">                              </v>
      </c>
      <c r="AP893" t="str">
        <f t="shared" si="125"/>
        <v/>
      </c>
    </row>
    <row r="894" spans="2:42" x14ac:dyDescent="0.2">
      <c r="B894" s="88"/>
      <c r="C894" s="80"/>
      <c r="D894" s="74"/>
      <c r="AF894" t="str">
        <f t="shared" si="126"/>
        <v>00000000</v>
      </c>
      <c r="AG894" s="81">
        <f t="shared" si="127"/>
        <v>0</v>
      </c>
      <c r="AH894" s="81">
        <f t="shared" si="128"/>
        <v>0</v>
      </c>
      <c r="AI894" t="str">
        <f t="shared" si="129"/>
        <v>0000000000</v>
      </c>
      <c r="AJ894" t="str">
        <f t="shared" si="130"/>
        <v>.00</v>
      </c>
      <c r="AK894" t="str">
        <f t="shared" si="131"/>
        <v>00</v>
      </c>
      <c r="AL894" t="str">
        <f t="shared" si="132"/>
        <v>000000000000</v>
      </c>
      <c r="AM894" t="str">
        <f t="shared" si="124"/>
        <v xml:space="preserve">                              </v>
      </c>
      <c r="AP894" t="str">
        <f t="shared" si="125"/>
        <v/>
      </c>
    </row>
    <row r="895" spans="2:42" x14ac:dyDescent="0.2">
      <c r="B895" s="88"/>
      <c r="C895" s="80"/>
      <c r="D895" s="74"/>
      <c r="AF895" t="str">
        <f t="shared" si="126"/>
        <v>00000000</v>
      </c>
      <c r="AG895" s="81">
        <f t="shared" si="127"/>
        <v>0</v>
      </c>
      <c r="AH895" s="81">
        <f t="shared" si="128"/>
        <v>0</v>
      </c>
      <c r="AI895" t="str">
        <f t="shared" si="129"/>
        <v>0000000000</v>
      </c>
      <c r="AJ895" t="str">
        <f t="shared" si="130"/>
        <v>.00</v>
      </c>
      <c r="AK895" t="str">
        <f t="shared" si="131"/>
        <v>00</v>
      </c>
      <c r="AL895" t="str">
        <f t="shared" si="132"/>
        <v>000000000000</v>
      </c>
      <c r="AM895" t="str">
        <f t="shared" si="124"/>
        <v xml:space="preserve">                              </v>
      </c>
      <c r="AP895" t="str">
        <f t="shared" si="125"/>
        <v/>
      </c>
    </row>
    <row r="896" spans="2:42" x14ac:dyDescent="0.2">
      <c r="B896" s="88"/>
      <c r="C896" s="80"/>
      <c r="D896" s="74"/>
      <c r="AF896" t="str">
        <f t="shared" si="126"/>
        <v>00000000</v>
      </c>
      <c r="AG896" s="81">
        <f t="shared" si="127"/>
        <v>0</v>
      </c>
      <c r="AH896" s="81">
        <f t="shared" si="128"/>
        <v>0</v>
      </c>
      <c r="AI896" t="str">
        <f t="shared" si="129"/>
        <v>0000000000</v>
      </c>
      <c r="AJ896" t="str">
        <f t="shared" si="130"/>
        <v>.00</v>
      </c>
      <c r="AK896" t="str">
        <f t="shared" si="131"/>
        <v>00</v>
      </c>
      <c r="AL896" t="str">
        <f t="shared" si="132"/>
        <v>000000000000</v>
      </c>
      <c r="AM896" t="str">
        <f t="shared" si="124"/>
        <v xml:space="preserve">                              </v>
      </c>
      <c r="AP896" t="str">
        <f t="shared" si="125"/>
        <v/>
      </c>
    </row>
    <row r="897" spans="2:42" x14ac:dyDescent="0.2">
      <c r="B897" s="88"/>
      <c r="C897" s="80"/>
      <c r="D897" s="74"/>
      <c r="AF897" t="str">
        <f t="shared" si="126"/>
        <v>00000000</v>
      </c>
      <c r="AG897" s="81">
        <f t="shared" si="127"/>
        <v>0</v>
      </c>
      <c r="AH897" s="81">
        <f t="shared" si="128"/>
        <v>0</v>
      </c>
      <c r="AI897" t="str">
        <f t="shared" si="129"/>
        <v>0000000000</v>
      </c>
      <c r="AJ897" t="str">
        <f t="shared" si="130"/>
        <v>.00</v>
      </c>
      <c r="AK897" t="str">
        <f t="shared" si="131"/>
        <v>00</v>
      </c>
      <c r="AL897" t="str">
        <f t="shared" si="132"/>
        <v>000000000000</v>
      </c>
      <c r="AM897" t="str">
        <f t="shared" si="124"/>
        <v xml:space="preserve">                              </v>
      </c>
      <c r="AP897" t="str">
        <f t="shared" si="125"/>
        <v/>
      </c>
    </row>
    <row r="898" spans="2:42" x14ac:dyDescent="0.2">
      <c r="B898" s="88"/>
      <c r="C898" s="80"/>
      <c r="D898" s="74"/>
      <c r="AF898" t="str">
        <f t="shared" si="126"/>
        <v>00000000</v>
      </c>
      <c r="AG898" s="81">
        <f t="shared" si="127"/>
        <v>0</v>
      </c>
      <c r="AH898" s="81">
        <f t="shared" si="128"/>
        <v>0</v>
      </c>
      <c r="AI898" t="str">
        <f t="shared" si="129"/>
        <v>0000000000</v>
      </c>
      <c r="AJ898" t="str">
        <f t="shared" si="130"/>
        <v>.00</v>
      </c>
      <c r="AK898" t="str">
        <f t="shared" si="131"/>
        <v>00</v>
      </c>
      <c r="AL898" t="str">
        <f t="shared" si="132"/>
        <v>000000000000</v>
      </c>
      <c r="AM898" t="str">
        <f t="shared" si="124"/>
        <v xml:space="preserve">                              </v>
      </c>
      <c r="AP898" t="str">
        <f t="shared" si="125"/>
        <v/>
      </c>
    </row>
    <row r="899" spans="2:42" x14ac:dyDescent="0.2">
      <c r="B899" s="88"/>
      <c r="C899" s="80"/>
      <c r="D899" s="74"/>
      <c r="AF899" t="str">
        <f t="shared" si="126"/>
        <v>00000000</v>
      </c>
      <c r="AG899" s="81">
        <f t="shared" si="127"/>
        <v>0</v>
      </c>
      <c r="AH899" s="81">
        <f t="shared" si="128"/>
        <v>0</v>
      </c>
      <c r="AI899" t="str">
        <f t="shared" si="129"/>
        <v>0000000000</v>
      </c>
      <c r="AJ899" t="str">
        <f t="shared" si="130"/>
        <v>.00</v>
      </c>
      <c r="AK899" t="str">
        <f t="shared" si="131"/>
        <v>00</v>
      </c>
      <c r="AL899" t="str">
        <f t="shared" si="132"/>
        <v>000000000000</v>
      </c>
      <c r="AM899" t="str">
        <f t="shared" ref="AM899:AM962" si="133">CONCATENATE(D900,REPT(" ",30-LEN(D900)))</f>
        <v xml:space="preserve">                              </v>
      </c>
      <c r="AP899" t="str">
        <f t="shared" ref="AP899:AP962" si="134">IF(B900&lt;&gt;"",CONCATENATE("000",$AA$3,"     ",$AB$3,$AC$3,$AD$3,"30000",AF899,AL899,$AC$1,AM899),"")</f>
        <v/>
      </c>
    </row>
    <row r="900" spans="2:42" x14ac:dyDescent="0.2">
      <c r="B900" s="88"/>
      <c r="C900" s="80"/>
      <c r="D900" s="74"/>
      <c r="AF900" t="str">
        <f t="shared" si="126"/>
        <v>00000000</v>
      </c>
      <c r="AG900" s="81">
        <f t="shared" si="127"/>
        <v>0</v>
      </c>
      <c r="AH900" s="81">
        <f t="shared" si="128"/>
        <v>0</v>
      </c>
      <c r="AI900" t="str">
        <f t="shared" si="129"/>
        <v>0000000000</v>
      </c>
      <c r="AJ900" t="str">
        <f t="shared" si="130"/>
        <v>.00</v>
      </c>
      <c r="AK900" t="str">
        <f t="shared" si="131"/>
        <v>00</v>
      </c>
      <c r="AL900" t="str">
        <f t="shared" si="132"/>
        <v>000000000000</v>
      </c>
      <c r="AM900" t="str">
        <f t="shared" si="133"/>
        <v xml:space="preserve">                              </v>
      </c>
      <c r="AP900" t="str">
        <f t="shared" si="134"/>
        <v/>
      </c>
    </row>
    <row r="901" spans="2:42" x14ac:dyDescent="0.2">
      <c r="B901" s="88"/>
      <c r="C901" s="80"/>
      <c r="D901" s="74"/>
      <c r="AF901" t="str">
        <f t="shared" si="126"/>
        <v>00000000</v>
      </c>
      <c r="AG901" s="81">
        <f t="shared" si="127"/>
        <v>0</v>
      </c>
      <c r="AH901" s="81">
        <f t="shared" si="128"/>
        <v>0</v>
      </c>
      <c r="AI901" t="str">
        <f t="shared" si="129"/>
        <v>0000000000</v>
      </c>
      <c r="AJ901" t="str">
        <f t="shared" si="130"/>
        <v>.00</v>
      </c>
      <c r="AK901" t="str">
        <f t="shared" si="131"/>
        <v>00</v>
      </c>
      <c r="AL901" t="str">
        <f t="shared" si="132"/>
        <v>000000000000</v>
      </c>
      <c r="AM901" t="str">
        <f t="shared" si="133"/>
        <v xml:space="preserve">                              </v>
      </c>
      <c r="AP901" t="str">
        <f t="shared" si="134"/>
        <v/>
      </c>
    </row>
    <row r="902" spans="2:42" x14ac:dyDescent="0.2">
      <c r="B902" s="88"/>
      <c r="C902" s="80"/>
      <c r="D902" s="74"/>
      <c r="AF902" t="str">
        <f t="shared" si="126"/>
        <v>00000000</v>
      </c>
      <c r="AG902" s="81">
        <f t="shared" si="127"/>
        <v>0</v>
      </c>
      <c r="AH902" s="81">
        <f t="shared" si="128"/>
        <v>0</v>
      </c>
      <c r="AI902" t="str">
        <f t="shared" si="129"/>
        <v>0000000000</v>
      </c>
      <c r="AJ902" t="str">
        <f t="shared" si="130"/>
        <v>.00</v>
      </c>
      <c r="AK902" t="str">
        <f t="shared" si="131"/>
        <v>00</v>
      </c>
      <c r="AL902" t="str">
        <f t="shared" si="132"/>
        <v>000000000000</v>
      </c>
      <c r="AM902" t="str">
        <f t="shared" si="133"/>
        <v xml:space="preserve">                              </v>
      </c>
      <c r="AP902" t="str">
        <f t="shared" si="134"/>
        <v/>
      </c>
    </row>
    <row r="903" spans="2:42" x14ac:dyDescent="0.2">
      <c r="B903" s="88"/>
      <c r="C903" s="80"/>
      <c r="D903" s="74"/>
      <c r="AF903" t="str">
        <f t="shared" si="126"/>
        <v>00000000</v>
      </c>
      <c r="AG903" s="81">
        <f t="shared" si="127"/>
        <v>0</v>
      </c>
      <c r="AH903" s="81">
        <f t="shared" si="128"/>
        <v>0</v>
      </c>
      <c r="AI903" t="str">
        <f t="shared" si="129"/>
        <v>0000000000</v>
      </c>
      <c r="AJ903" t="str">
        <f t="shared" si="130"/>
        <v>.00</v>
      </c>
      <c r="AK903" t="str">
        <f t="shared" si="131"/>
        <v>00</v>
      </c>
      <c r="AL903" t="str">
        <f t="shared" si="132"/>
        <v>000000000000</v>
      </c>
      <c r="AM903" t="str">
        <f t="shared" si="133"/>
        <v xml:space="preserve">                              </v>
      </c>
      <c r="AP903" t="str">
        <f t="shared" si="134"/>
        <v/>
      </c>
    </row>
    <row r="904" spans="2:42" x14ac:dyDescent="0.2">
      <c r="B904" s="88"/>
      <c r="C904" s="80"/>
      <c r="D904" s="74"/>
      <c r="AF904" t="str">
        <f t="shared" si="126"/>
        <v>00000000</v>
      </c>
      <c r="AG904" s="81">
        <f t="shared" si="127"/>
        <v>0</v>
      </c>
      <c r="AH904" s="81">
        <f t="shared" si="128"/>
        <v>0</v>
      </c>
      <c r="AI904" t="str">
        <f t="shared" si="129"/>
        <v>0000000000</v>
      </c>
      <c r="AJ904" t="str">
        <f t="shared" si="130"/>
        <v>.00</v>
      </c>
      <c r="AK904" t="str">
        <f t="shared" si="131"/>
        <v>00</v>
      </c>
      <c r="AL904" t="str">
        <f t="shared" si="132"/>
        <v>000000000000</v>
      </c>
      <c r="AM904" t="str">
        <f t="shared" si="133"/>
        <v xml:space="preserve">                              </v>
      </c>
      <c r="AP904" t="str">
        <f t="shared" si="134"/>
        <v/>
      </c>
    </row>
    <row r="905" spans="2:42" x14ac:dyDescent="0.2">
      <c r="B905" s="88"/>
      <c r="C905" s="80"/>
      <c r="D905" s="74"/>
      <c r="AF905" t="str">
        <f t="shared" si="126"/>
        <v>00000000</v>
      </c>
      <c r="AG905" s="81">
        <f t="shared" si="127"/>
        <v>0</v>
      </c>
      <c r="AH905" s="81">
        <f t="shared" si="128"/>
        <v>0</v>
      </c>
      <c r="AI905" t="str">
        <f t="shared" si="129"/>
        <v>0000000000</v>
      </c>
      <c r="AJ905" t="str">
        <f t="shared" si="130"/>
        <v>.00</v>
      </c>
      <c r="AK905" t="str">
        <f t="shared" si="131"/>
        <v>00</v>
      </c>
      <c r="AL905" t="str">
        <f t="shared" si="132"/>
        <v>000000000000</v>
      </c>
      <c r="AM905" t="str">
        <f t="shared" si="133"/>
        <v xml:space="preserve">                              </v>
      </c>
      <c r="AP905" t="str">
        <f t="shared" si="134"/>
        <v/>
      </c>
    </row>
    <row r="906" spans="2:42" x14ac:dyDescent="0.2">
      <c r="B906" s="88"/>
      <c r="C906" s="80"/>
      <c r="D906" s="74"/>
      <c r="AF906" t="str">
        <f t="shared" ref="AF906:AF969" si="135">CONCATENATE(REPT("0",8-LEN(B907)),B907)</f>
        <v>00000000</v>
      </c>
      <c r="AG906" s="81">
        <f t="shared" ref="AG906:AG969" si="136">INT(C907)</f>
        <v>0</v>
      </c>
      <c r="AH906" s="81">
        <f t="shared" ref="AH906:AH969" si="137">C907-AG906</f>
        <v>0</v>
      </c>
      <c r="AI906" t="str">
        <f t="shared" ref="AI906:AI969" si="138">TEXT(AG906,"0000000000")</f>
        <v>0000000000</v>
      </c>
      <c r="AJ906" t="str">
        <f t="shared" ref="AJ906:AJ969" si="139">TEXT(AH906,".00")</f>
        <v>.00</v>
      </c>
      <c r="AK906" t="str">
        <f t="shared" ref="AK906:AK969" si="140">MID(AJ906,2,2)</f>
        <v>00</v>
      </c>
      <c r="AL906" t="str">
        <f t="shared" ref="AL906:AL969" si="141">CONCATENATE(AI906,AK906)</f>
        <v>000000000000</v>
      </c>
      <c r="AM906" t="str">
        <f t="shared" si="133"/>
        <v xml:space="preserve">                              </v>
      </c>
      <c r="AP906" t="str">
        <f t="shared" si="134"/>
        <v/>
      </c>
    </row>
    <row r="907" spans="2:42" x14ac:dyDescent="0.2">
      <c r="B907" s="88"/>
      <c r="C907" s="80"/>
      <c r="D907" s="74"/>
      <c r="AF907" t="str">
        <f t="shared" si="135"/>
        <v>00000000</v>
      </c>
      <c r="AG907" s="81">
        <f t="shared" si="136"/>
        <v>0</v>
      </c>
      <c r="AH907" s="81">
        <f t="shared" si="137"/>
        <v>0</v>
      </c>
      <c r="AI907" t="str">
        <f t="shared" si="138"/>
        <v>0000000000</v>
      </c>
      <c r="AJ907" t="str">
        <f t="shared" si="139"/>
        <v>.00</v>
      </c>
      <c r="AK907" t="str">
        <f t="shared" si="140"/>
        <v>00</v>
      </c>
      <c r="AL907" t="str">
        <f t="shared" si="141"/>
        <v>000000000000</v>
      </c>
      <c r="AM907" t="str">
        <f t="shared" si="133"/>
        <v xml:space="preserve">                              </v>
      </c>
      <c r="AP907" t="str">
        <f t="shared" si="134"/>
        <v/>
      </c>
    </row>
    <row r="908" spans="2:42" x14ac:dyDescent="0.2">
      <c r="B908" s="88"/>
      <c r="C908" s="80"/>
      <c r="D908" s="74"/>
      <c r="AF908" t="str">
        <f t="shared" si="135"/>
        <v>00000000</v>
      </c>
      <c r="AG908" s="81">
        <f t="shared" si="136"/>
        <v>0</v>
      </c>
      <c r="AH908" s="81">
        <f t="shared" si="137"/>
        <v>0</v>
      </c>
      <c r="AI908" t="str">
        <f t="shared" si="138"/>
        <v>0000000000</v>
      </c>
      <c r="AJ908" t="str">
        <f t="shared" si="139"/>
        <v>.00</v>
      </c>
      <c r="AK908" t="str">
        <f t="shared" si="140"/>
        <v>00</v>
      </c>
      <c r="AL908" t="str">
        <f t="shared" si="141"/>
        <v>000000000000</v>
      </c>
      <c r="AM908" t="str">
        <f t="shared" si="133"/>
        <v xml:space="preserve">                              </v>
      </c>
      <c r="AP908" t="str">
        <f t="shared" si="134"/>
        <v/>
      </c>
    </row>
    <row r="909" spans="2:42" x14ac:dyDescent="0.2">
      <c r="B909" s="88"/>
      <c r="C909" s="80"/>
      <c r="D909" s="74"/>
      <c r="AF909" t="str">
        <f t="shared" si="135"/>
        <v>00000000</v>
      </c>
      <c r="AG909" s="81">
        <f t="shared" si="136"/>
        <v>0</v>
      </c>
      <c r="AH909" s="81">
        <f t="shared" si="137"/>
        <v>0</v>
      </c>
      <c r="AI909" t="str">
        <f t="shared" si="138"/>
        <v>0000000000</v>
      </c>
      <c r="AJ909" t="str">
        <f t="shared" si="139"/>
        <v>.00</v>
      </c>
      <c r="AK909" t="str">
        <f t="shared" si="140"/>
        <v>00</v>
      </c>
      <c r="AL909" t="str">
        <f t="shared" si="141"/>
        <v>000000000000</v>
      </c>
      <c r="AM909" t="str">
        <f t="shared" si="133"/>
        <v xml:space="preserve">                              </v>
      </c>
      <c r="AP909" t="str">
        <f t="shared" si="134"/>
        <v/>
      </c>
    </row>
    <row r="910" spans="2:42" x14ac:dyDescent="0.2">
      <c r="B910" s="88"/>
      <c r="C910" s="80"/>
      <c r="D910" s="74"/>
      <c r="AF910" t="str">
        <f t="shared" si="135"/>
        <v>00000000</v>
      </c>
      <c r="AG910" s="81">
        <f t="shared" si="136"/>
        <v>0</v>
      </c>
      <c r="AH910" s="81">
        <f t="shared" si="137"/>
        <v>0</v>
      </c>
      <c r="AI910" t="str">
        <f t="shared" si="138"/>
        <v>0000000000</v>
      </c>
      <c r="AJ910" t="str">
        <f t="shared" si="139"/>
        <v>.00</v>
      </c>
      <c r="AK910" t="str">
        <f t="shared" si="140"/>
        <v>00</v>
      </c>
      <c r="AL910" t="str">
        <f t="shared" si="141"/>
        <v>000000000000</v>
      </c>
      <c r="AM910" t="str">
        <f t="shared" si="133"/>
        <v xml:space="preserve">                              </v>
      </c>
      <c r="AP910" t="str">
        <f t="shared" si="134"/>
        <v/>
      </c>
    </row>
    <row r="911" spans="2:42" x14ac:dyDescent="0.2">
      <c r="B911" s="88"/>
      <c r="C911" s="80"/>
      <c r="D911" s="74"/>
      <c r="AF911" t="str">
        <f t="shared" si="135"/>
        <v>00000000</v>
      </c>
      <c r="AG911" s="81">
        <f t="shared" si="136"/>
        <v>0</v>
      </c>
      <c r="AH911" s="81">
        <f t="shared" si="137"/>
        <v>0</v>
      </c>
      <c r="AI911" t="str">
        <f t="shared" si="138"/>
        <v>0000000000</v>
      </c>
      <c r="AJ911" t="str">
        <f t="shared" si="139"/>
        <v>.00</v>
      </c>
      <c r="AK911" t="str">
        <f t="shared" si="140"/>
        <v>00</v>
      </c>
      <c r="AL911" t="str">
        <f t="shared" si="141"/>
        <v>000000000000</v>
      </c>
      <c r="AM911" t="str">
        <f t="shared" si="133"/>
        <v xml:space="preserve">                              </v>
      </c>
      <c r="AP911" t="str">
        <f t="shared" si="134"/>
        <v/>
      </c>
    </row>
    <row r="912" spans="2:42" x14ac:dyDescent="0.2">
      <c r="B912" s="88"/>
      <c r="C912" s="80"/>
      <c r="D912" s="74"/>
      <c r="AF912" t="str">
        <f t="shared" si="135"/>
        <v>00000000</v>
      </c>
      <c r="AG912" s="81">
        <f t="shared" si="136"/>
        <v>0</v>
      </c>
      <c r="AH912" s="81">
        <f t="shared" si="137"/>
        <v>0</v>
      </c>
      <c r="AI912" t="str">
        <f t="shared" si="138"/>
        <v>0000000000</v>
      </c>
      <c r="AJ912" t="str">
        <f t="shared" si="139"/>
        <v>.00</v>
      </c>
      <c r="AK912" t="str">
        <f t="shared" si="140"/>
        <v>00</v>
      </c>
      <c r="AL912" t="str">
        <f t="shared" si="141"/>
        <v>000000000000</v>
      </c>
      <c r="AM912" t="str">
        <f t="shared" si="133"/>
        <v xml:space="preserve">                              </v>
      </c>
      <c r="AP912" t="str">
        <f t="shared" si="134"/>
        <v/>
      </c>
    </row>
    <row r="913" spans="2:42" x14ac:dyDescent="0.2">
      <c r="B913" s="88"/>
      <c r="C913" s="80"/>
      <c r="D913" s="74"/>
      <c r="AF913" t="str">
        <f t="shared" si="135"/>
        <v>00000000</v>
      </c>
      <c r="AG913" s="81">
        <f t="shared" si="136"/>
        <v>0</v>
      </c>
      <c r="AH913" s="81">
        <f t="shared" si="137"/>
        <v>0</v>
      </c>
      <c r="AI913" t="str">
        <f t="shared" si="138"/>
        <v>0000000000</v>
      </c>
      <c r="AJ913" t="str">
        <f t="shared" si="139"/>
        <v>.00</v>
      </c>
      <c r="AK913" t="str">
        <f t="shared" si="140"/>
        <v>00</v>
      </c>
      <c r="AL913" t="str">
        <f t="shared" si="141"/>
        <v>000000000000</v>
      </c>
      <c r="AM913" t="str">
        <f t="shared" si="133"/>
        <v xml:space="preserve">                              </v>
      </c>
      <c r="AP913" t="str">
        <f t="shared" si="134"/>
        <v/>
      </c>
    </row>
    <row r="914" spans="2:42" x14ac:dyDescent="0.2">
      <c r="B914" s="88"/>
      <c r="C914" s="80"/>
      <c r="D914" s="74"/>
      <c r="AF914" t="str">
        <f t="shared" si="135"/>
        <v>00000000</v>
      </c>
      <c r="AG914" s="81">
        <f t="shared" si="136"/>
        <v>0</v>
      </c>
      <c r="AH914" s="81">
        <f t="shared" si="137"/>
        <v>0</v>
      </c>
      <c r="AI914" t="str">
        <f t="shared" si="138"/>
        <v>0000000000</v>
      </c>
      <c r="AJ914" t="str">
        <f t="shared" si="139"/>
        <v>.00</v>
      </c>
      <c r="AK914" t="str">
        <f t="shared" si="140"/>
        <v>00</v>
      </c>
      <c r="AL914" t="str">
        <f t="shared" si="141"/>
        <v>000000000000</v>
      </c>
      <c r="AM914" t="str">
        <f t="shared" si="133"/>
        <v xml:space="preserve">                              </v>
      </c>
      <c r="AP914" t="str">
        <f t="shared" si="134"/>
        <v/>
      </c>
    </row>
    <row r="915" spans="2:42" x14ac:dyDescent="0.2">
      <c r="B915" s="88"/>
      <c r="C915" s="80"/>
      <c r="D915" s="74"/>
      <c r="AF915" t="str">
        <f t="shared" si="135"/>
        <v>00000000</v>
      </c>
      <c r="AG915" s="81">
        <f t="shared" si="136"/>
        <v>0</v>
      </c>
      <c r="AH915" s="81">
        <f t="shared" si="137"/>
        <v>0</v>
      </c>
      <c r="AI915" t="str">
        <f t="shared" si="138"/>
        <v>0000000000</v>
      </c>
      <c r="AJ915" t="str">
        <f t="shared" si="139"/>
        <v>.00</v>
      </c>
      <c r="AK915" t="str">
        <f t="shared" si="140"/>
        <v>00</v>
      </c>
      <c r="AL915" t="str">
        <f t="shared" si="141"/>
        <v>000000000000</v>
      </c>
      <c r="AM915" t="str">
        <f t="shared" si="133"/>
        <v xml:space="preserve">                              </v>
      </c>
      <c r="AP915" t="str">
        <f t="shared" si="134"/>
        <v/>
      </c>
    </row>
    <row r="916" spans="2:42" x14ac:dyDescent="0.2">
      <c r="B916" s="88"/>
      <c r="C916" s="80"/>
      <c r="D916" s="74"/>
      <c r="AF916" t="str">
        <f t="shared" si="135"/>
        <v>00000000</v>
      </c>
      <c r="AG916" s="81">
        <f t="shared" si="136"/>
        <v>0</v>
      </c>
      <c r="AH916" s="81">
        <f t="shared" si="137"/>
        <v>0</v>
      </c>
      <c r="AI916" t="str">
        <f t="shared" si="138"/>
        <v>0000000000</v>
      </c>
      <c r="AJ916" t="str">
        <f t="shared" si="139"/>
        <v>.00</v>
      </c>
      <c r="AK916" t="str">
        <f t="shared" si="140"/>
        <v>00</v>
      </c>
      <c r="AL916" t="str">
        <f t="shared" si="141"/>
        <v>000000000000</v>
      </c>
      <c r="AM916" t="str">
        <f t="shared" si="133"/>
        <v xml:space="preserve">                              </v>
      </c>
      <c r="AP916" t="str">
        <f t="shared" si="134"/>
        <v/>
      </c>
    </row>
    <row r="917" spans="2:42" x14ac:dyDescent="0.2">
      <c r="B917" s="88"/>
      <c r="C917" s="80"/>
      <c r="D917" s="74"/>
      <c r="AF917" t="str">
        <f t="shared" si="135"/>
        <v>00000000</v>
      </c>
      <c r="AG917" s="81">
        <f t="shared" si="136"/>
        <v>0</v>
      </c>
      <c r="AH917" s="81">
        <f t="shared" si="137"/>
        <v>0</v>
      </c>
      <c r="AI917" t="str">
        <f t="shared" si="138"/>
        <v>0000000000</v>
      </c>
      <c r="AJ917" t="str">
        <f t="shared" si="139"/>
        <v>.00</v>
      </c>
      <c r="AK917" t="str">
        <f t="shared" si="140"/>
        <v>00</v>
      </c>
      <c r="AL917" t="str">
        <f t="shared" si="141"/>
        <v>000000000000</v>
      </c>
      <c r="AM917" t="str">
        <f t="shared" si="133"/>
        <v xml:space="preserve">                              </v>
      </c>
      <c r="AP917" t="str">
        <f t="shared" si="134"/>
        <v/>
      </c>
    </row>
    <row r="918" spans="2:42" x14ac:dyDescent="0.2">
      <c r="B918" s="88"/>
      <c r="C918" s="80"/>
      <c r="D918" s="74"/>
      <c r="AF918" t="str">
        <f t="shared" si="135"/>
        <v>00000000</v>
      </c>
      <c r="AG918" s="81">
        <f t="shared" si="136"/>
        <v>0</v>
      </c>
      <c r="AH918" s="81">
        <f t="shared" si="137"/>
        <v>0</v>
      </c>
      <c r="AI918" t="str">
        <f t="shared" si="138"/>
        <v>0000000000</v>
      </c>
      <c r="AJ918" t="str">
        <f t="shared" si="139"/>
        <v>.00</v>
      </c>
      <c r="AK918" t="str">
        <f t="shared" si="140"/>
        <v>00</v>
      </c>
      <c r="AL918" t="str">
        <f t="shared" si="141"/>
        <v>000000000000</v>
      </c>
      <c r="AM918" t="str">
        <f t="shared" si="133"/>
        <v xml:space="preserve">                              </v>
      </c>
      <c r="AP918" t="str">
        <f t="shared" si="134"/>
        <v/>
      </c>
    </row>
    <row r="919" spans="2:42" x14ac:dyDescent="0.2">
      <c r="B919" s="88"/>
      <c r="C919" s="80"/>
      <c r="D919" s="74"/>
      <c r="AF919" t="str">
        <f t="shared" si="135"/>
        <v>00000000</v>
      </c>
      <c r="AG919" s="81">
        <f t="shared" si="136"/>
        <v>0</v>
      </c>
      <c r="AH919" s="81">
        <f t="shared" si="137"/>
        <v>0</v>
      </c>
      <c r="AI919" t="str">
        <f t="shared" si="138"/>
        <v>0000000000</v>
      </c>
      <c r="AJ919" t="str">
        <f t="shared" si="139"/>
        <v>.00</v>
      </c>
      <c r="AK919" t="str">
        <f t="shared" si="140"/>
        <v>00</v>
      </c>
      <c r="AL919" t="str">
        <f t="shared" si="141"/>
        <v>000000000000</v>
      </c>
      <c r="AM919" t="str">
        <f t="shared" si="133"/>
        <v xml:space="preserve">                              </v>
      </c>
      <c r="AP919" t="str">
        <f t="shared" si="134"/>
        <v/>
      </c>
    </row>
    <row r="920" spans="2:42" x14ac:dyDescent="0.2">
      <c r="B920" s="88"/>
      <c r="C920" s="80"/>
      <c r="D920" s="74"/>
      <c r="AF920" t="str">
        <f t="shared" si="135"/>
        <v>00000000</v>
      </c>
      <c r="AG920" s="81">
        <f t="shared" si="136"/>
        <v>0</v>
      </c>
      <c r="AH920" s="81">
        <f t="shared" si="137"/>
        <v>0</v>
      </c>
      <c r="AI920" t="str">
        <f t="shared" si="138"/>
        <v>0000000000</v>
      </c>
      <c r="AJ920" t="str">
        <f t="shared" si="139"/>
        <v>.00</v>
      </c>
      <c r="AK920" t="str">
        <f t="shared" si="140"/>
        <v>00</v>
      </c>
      <c r="AL920" t="str">
        <f t="shared" si="141"/>
        <v>000000000000</v>
      </c>
      <c r="AM920" t="str">
        <f t="shared" si="133"/>
        <v xml:space="preserve">                              </v>
      </c>
      <c r="AP920" t="str">
        <f t="shared" si="134"/>
        <v/>
      </c>
    </row>
    <row r="921" spans="2:42" x14ac:dyDescent="0.2">
      <c r="B921" s="88"/>
      <c r="C921" s="80"/>
      <c r="D921" s="74"/>
      <c r="AF921" t="str">
        <f t="shared" si="135"/>
        <v>00000000</v>
      </c>
      <c r="AG921" s="81">
        <f t="shared" si="136"/>
        <v>0</v>
      </c>
      <c r="AH921" s="81">
        <f t="shared" si="137"/>
        <v>0</v>
      </c>
      <c r="AI921" t="str">
        <f t="shared" si="138"/>
        <v>0000000000</v>
      </c>
      <c r="AJ921" t="str">
        <f t="shared" si="139"/>
        <v>.00</v>
      </c>
      <c r="AK921" t="str">
        <f t="shared" si="140"/>
        <v>00</v>
      </c>
      <c r="AL921" t="str">
        <f t="shared" si="141"/>
        <v>000000000000</v>
      </c>
      <c r="AM921" t="str">
        <f t="shared" si="133"/>
        <v xml:space="preserve">                              </v>
      </c>
      <c r="AP921" t="str">
        <f t="shared" si="134"/>
        <v/>
      </c>
    </row>
    <row r="922" spans="2:42" x14ac:dyDescent="0.2">
      <c r="B922" s="88"/>
      <c r="C922" s="80"/>
      <c r="D922" s="74"/>
      <c r="AF922" t="str">
        <f t="shared" si="135"/>
        <v>00000000</v>
      </c>
      <c r="AG922" s="81">
        <f t="shared" si="136"/>
        <v>0</v>
      </c>
      <c r="AH922" s="81">
        <f t="shared" si="137"/>
        <v>0</v>
      </c>
      <c r="AI922" t="str">
        <f t="shared" si="138"/>
        <v>0000000000</v>
      </c>
      <c r="AJ922" t="str">
        <f t="shared" si="139"/>
        <v>.00</v>
      </c>
      <c r="AK922" t="str">
        <f t="shared" si="140"/>
        <v>00</v>
      </c>
      <c r="AL922" t="str">
        <f t="shared" si="141"/>
        <v>000000000000</v>
      </c>
      <c r="AM922" t="str">
        <f t="shared" si="133"/>
        <v xml:space="preserve">                              </v>
      </c>
      <c r="AP922" t="str">
        <f t="shared" si="134"/>
        <v/>
      </c>
    </row>
    <row r="923" spans="2:42" x14ac:dyDescent="0.2">
      <c r="B923" s="88"/>
      <c r="C923" s="80"/>
      <c r="D923" s="74"/>
      <c r="AF923" t="str">
        <f t="shared" si="135"/>
        <v>00000000</v>
      </c>
      <c r="AG923" s="81">
        <f t="shared" si="136"/>
        <v>0</v>
      </c>
      <c r="AH923" s="81">
        <f t="shared" si="137"/>
        <v>0</v>
      </c>
      <c r="AI923" t="str">
        <f t="shared" si="138"/>
        <v>0000000000</v>
      </c>
      <c r="AJ923" t="str">
        <f t="shared" si="139"/>
        <v>.00</v>
      </c>
      <c r="AK923" t="str">
        <f t="shared" si="140"/>
        <v>00</v>
      </c>
      <c r="AL923" t="str">
        <f t="shared" si="141"/>
        <v>000000000000</v>
      </c>
      <c r="AM923" t="str">
        <f t="shared" si="133"/>
        <v xml:space="preserve">                              </v>
      </c>
      <c r="AP923" t="str">
        <f t="shared" si="134"/>
        <v/>
      </c>
    </row>
    <row r="924" spans="2:42" x14ac:dyDescent="0.2">
      <c r="B924" s="88"/>
      <c r="C924" s="80"/>
      <c r="D924" s="74"/>
      <c r="AF924" t="str">
        <f t="shared" si="135"/>
        <v>00000000</v>
      </c>
      <c r="AG924" s="81">
        <f t="shared" si="136"/>
        <v>0</v>
      </c>
      <c r="AH924" s="81">
        <f t="shared" si="137"/>
        <v>0</v>
      </c>
      <c r="AI924" t="str">
        <f t="shared" si="138"/>
        <v>0000000000</v>
      </c>
      <c r="AJ924" t="str">
        <f t="shared" si="139"/>
        <v>.00</v>
      </c>
      <c r="AK924" t="str">
        <f t="shared" si="140"/>
        <v>00</v>
      </c>
      <c r="AL924" t="str">
        <f t="shared" si="141"/>
        <v>000000000000</v>
      </c>
      <c r="AM924" t="str">
        <f t="shared" si="133"/>
        <v xml:space="preserve">                              </v>
      </c>
      <c r="AP924" t="str">
        <f t="shared" si="134"/>
        <v/>
      </c>
    </row>
    <row r="925" spans="2:42" x14ac:dyDescent="0.2">
      <c r="B925" s="88"/>
      <c r="C925" s="80"/>
      <c r="D925" s="74"/>
      <c r="AF925" t="str">
        <f t="shared" si="135"/>
        <v>00000000</v>
      </c>
      <c r="AG925" s="81">
        <f t="shared" si="136"/>
        <v>0</v>
      </c>
      <c r="AH925" s="81">
        <f t="shared" si="137"/>
        <v>0</v>
      </c>
      <c r="AI925" t="str">
        <f t="shared" si="138"/>
        <v>0000000000</v>
      </c>
      <c r="AJ925" t="str">
        <f t="shared" si="139"/>
        <v>.00</v>
      </c>
      <c r="AK925" t="str">
        <f t="shared" si="140"/>
        <v>00</v>
      </c>
      <c r="AL925" t="str">
        <f t="shared" si="141"/>
        <v>000000000000</v>
      </c>
      <c r="AM925" t="str">
        <f t="shared" si="133"/>
        <v xml:space="preserve">                              </v>
      </c>
      <c r="AP925" t="str">
        <f t="shared" si="134"/>
        <v/>
      </c>
    </row>
    <row r="926" spans="2:42" x14ac:dyDescent="0.2">
      <c r="B926" s="88"/>
      <c r="C926" s="80"/>
      <c r="D926" s="74"/>
      <c r="AF926" t="str">
        <f t="shared" si="135"/>
        <v>00000000</v>
      </c>
      <c r="AG926" s="81">
        <f t="shared" si="136"/>
        <v>0</v>
      </c>
      <c r="AH926" s="81">
        <f t="shared" si="137"/>
        <v>0</v>
      </c>
      <c r="AI926" t="str">
        <f t="shared" si="138"/>
        <v>0000000000</v>
      </c>
      <c r="AJ926" t="str">
        <f t="shared" si="139"/>
        <v>.00</v>
      </c>
      <c r="AK926" t="str">
        <f t="shared" si="140"/>
        <v>00</v>
      </c>
      <c r="AL926" t="str">
        <f t="shared" si="141"/>
        <v>000000000000</v>
      </c>
      <c r="AM926" t="str">
        <f t="shared" si="133"/>
        <v xml:space="preserve">                              </v>
      </c>
      <c r="AP926" t="str">
        <f t="shared" si="134"/>
        <v/>
      </c>
    </row>
    <row r="927" spans="2:42" x14ac:dyDescent="0.2">
      <c r="B927" s="88"/>
      <c r="C927" s="80"/>
      <c r="D927" s="74"/>
      <c r="AF927" t="str">
        <f t="shared" si="135"/>
        <v>00000000</v>
      </c>
      <c r="AG927" s="81">
        <f t="shared" si="136"/>
        <v>0</v>
      </c>
      <c r="AH927" s="81">
        <f t="shared" si="137"/>
        <v>0</v>
      </c>
      <c r="AI927" t="str">
        <f t="shared" si="138"/>
        <v>0000000000</v>
      </c>
      <c r="AJ927" t="str">
        <f t="shared" si="139"/>
        <v>.00</v>
      </c>
      <c r="AK927" t="str">
        <f t="shared" si="140"/>
        <v>00</v>
      </c>
      <c r="AL927" t="str">
        <f t="shared" si="141"/>
        <v>000000000000</v>
      </c>
      <c r="AM927" t="str">
        <f t="shared" si="133"/>
        <v xml:space="preserve">                              </v>
      </c>
      <c r="AP927" t="str">
        <f t="shared" si="134"/>
        <v/>
      </c>
    </row>
    <row r="928" spans="2:42" x14ac:dyDescent="0.2">
      <c r="B928" s="88"/>
      <c r="C928" s="80"/>
      <c r="D928" s="74"/>
      <c r="AF928" t="str">
        <f t="shared" si="135"/>
        <v>00000000</v>
      </c>
      <c r="AG928" s="81">
        <f t="shared" si="136"/>
        <v>0</v>
      </c>
      <c r="AH928" s="81">
        <f t="shared" si="137"/>
        <v>0</v>
      </c>
      <c r="AI928" t="str">
        <f t="shared" si="138"/>
        <v>0000000000</v>
      </c>
      <c r="AJ928" t="str">
        <f t="shared" si="139"/>
        <v>.00</v>
      </c>
      <c r="AK928" t="str">
        <f t="shared" si="140"/>
        <v>00</v>
      </c>
      <c r="AL928" t="str">
        <f t="shared" si="141"/>
        <v>000000000000</v>
      </c>
      <c r="AM928" t="str">
        <f t="shared" si="133"/>
        <v xml:space="preserve">                              </v>
      </c>
      <c r="AP928" t="str">
        <f t="shared" si="134"/>
        <v/>
      </c>
    </row>
    <row r="929" spans="2:42" x14ac:dyDescent="0.2">
      <c r="B929" s="88"/>
      <c r="C929" s="80"/>
      <c r="D929" s="74"/>
      <c r="AF929" t="str">
        <f t="shared" si="135"/>
        <v>00000000</v>
      </c>
      <c r="AG929" s="81">
        <f t="shared" si="136"/>
        <v>0</v>
      </c>
      <c r="AH929" s="81">
        <f t="shared" si="137"/>
        <v>0</v>
      </c>
      <c r="AI929" t="str">
        <f t="shared" si="138"/>
        <v>0000000000</v>
      </c>
      <c r="AJ929" t="str">
        <f t="shared" si="139"/>
        <v>.00</v>
      </c>
      <c r="AK929" t="str">
        <f t="shared" si="140"/>
        <v>00</v>
      </c>
      <c r="AL929" t="str">
        <f t="shared" si="141"/>
        <v>000000000000</v>
      </c>
      <c r="AM929" t="str">
        <f t="shared" si="133"/>
        <v xml:space="preserve">                              </v>
      </c>
      <c r="AP929" t="str">
        <f t="shared" si="134"/>
        <v/>
      </c>
    </row>
    <row r="930" spans="2:42" x14ac:dyDescent="0.2">
      <c r="B930" s="88"/>
      <c r="C930" s="80"/>
      <c r="D930" s="74"/>
      <c r="AF930" t="str">
        <f t="shared" si="135"/>
        <v>00000000</v>
      </c>
      <c r="AG930" s="81">
        <f t="shared" si="136"/>
        <v>0</v>
      </c>
      <c r="AH930" s="81">
        <f t="shared" si="137"/>
        <v>0</v>
      </c>
      <c r="AI930" t="str">
        <f t="shared" si="138"/>
        <v>0000000000</v>
      </c>
      <c r="AJ930" t="str">
        <f t="shared" si="139"/>
        <v>.00</v>
      </c>
      <c r="AK930" t="str">
        <f t="shared" si="140"/>
        <v>00</v>
      </c>
      <c r="AL930" t="str">
        <f t="shared" si="141"/>
        <v>000000000000</v>
      </c>
      <c r="AM930" t="str">
        <f t="shared" si="133"/>
        <v xml:space="preserve">                              </v>
      </c>
      <c r="AP930" t="str">
        <f t="shared" si="134"/>
        <v/>
      </c>
    </row>
    <row r="931" spans="2:42" x14ac:dyDescent="0.2">
      <c r="B931" s="88"/>
      <c r="C931" s="80"/>
      <c r="D931" s="74"/>
      <c r="AF931" t="str">
        <f t="shared" si="135"/>
        <v>00000000</v>
      </c>
      <c r="AG931" s="81">
        <f t="shared" si="136"/>
        <v>0</v>
      </c>
      <c r="AH931" s="81">
        <f t="shared" si="137"/>
        <v>0</v>
      </c>
      <c r="AI931" t="str">
        <f t="shared" si="138"/>
        <v>0000000000</v>
      </c>
      <c r="AJ931" t="str">
        <f t="shared" si="139"/>
        <v>.00</v>
      </c>
      <c r="AK931" t="str">
        <f t="shared" si="140"/>
        <v>00</v>
      </c>
      <c r="AL931" t="str">
        <f t="shared" si="141"/>
        <v>000000000000</v>
      </c>
      <c r="AM931" t="str">
        <f t="shared" si="133"/>
        <v xml:space="preserve">                              </v>
      </c>
      <c r="AP931" t="str">
        <f t="shared" si="134"/>
        <v/>
      </c>
    </row>
    <row r="932" spans="2:42" x14ac:dyDescent="0.2">
      <c r="B932" s="88"/>
      <c r="C932" s="80"/>
      <c r="D932" s="74"/>
      <c r="AF932" t="str">
        <f t="shared" si="135"/>
        <v>00000000</v>
      </c>
      <c r="AG932" s="81">
        <f t="shared" si="136"/>
        <v>0</v>
      </c>
      <c r="AH932" s="81">
        <f t="shared" si="137"/>
        <v>0</v>
      </c>
      <c r="AI932" t="str">
        <f t="shared" si="138"/>
        <v>0000000000</v>
      </c>
      <c r="AJ932" t="str">
        <f t="shared" si="139"/>
        <v>.00</v>
      </c>
      <c r="AK932" t="str">
        <f t="shared" si="140"/>
        <v>00</v>
      </c>
      <c r="AL932" t="str">
        <f t="shared" si="141"/>
        <v>000000000000</v>
      </c>
      <c r="AM932" t="str">
        <f t="shared" si="133"/>
        <v xml:space="preserve">                              </v>
      </c>
      <c r="AP932" t="str">
        <f t="shared" si="134"/>
        <v/>
      </c>
    </row>
    <row r="933" spans="2:42" x14ac:dyDescent="0.2">
      <c r="B933" s="88"/>
      <c r="C933" s="80"/>
      <c r="D933" s="74"/>
      <c r="AF933" t="str">
        <f t="shared" si="135"/>
        <v>00000000</v>
      </c>
      <c r="AG933" s="81">
        <f t="shared" si="136"/>
        <v>0</v>
      </c>
      <c r="AH933" s="81">
        <f t="shared" si="137"/>
        <v>0</v>
      </c>
      <c r="AI933" t="str">
        <f t="shared" si="138"/>
        <v>0000000000</v>
      </c>
      <c r="AJ933" t="str">
        <f t="shared" si="139"/>
        <v>.00</v>
      </c>
      <c r="AK933" t="str">
        <f t="shared" si="140"/>
        <v>00</v>
      </c>
      <c r="AL933" t="str">
        <f t="shared" si="141"/>
        <v>000000000000</v>
      </c>
      <c r="AM933" t="str">
        <f t="shared" si="133"/>
        <v xml:space="preserve">                              </v>
      </c>
      <c r="AP933" t="str">
        <f t="shared" si="134"/>
        <v/>
      </c>
    </row>
    <row r="934" spans="2:42" x14ac:dyDescent="0.2">
      <c r="B934" s="88"/>
      <c r="C934" s="80"/>
      <c r="D934" s="74"/>
      <c r="AF934" t="str">
        <f t="shared" si="135"/>
        <v>00000000</v>
      </c>
      <c r="AG934" s="81">
        <f t="shared" si="136"/>
        <v>0</v>
      </c>
      <c r="AH934" s="81">
        <f t="shared" si="137"/>
        <v>0</v>
      </c>
      <c r="AI934" t="str">
        <f t="shared" si="138"/>
        <v>0000000000</v>
      </c>
      <c r="AJ934" t="str">
        <f t="shared" si="139"/>
        <v>.00</v>
      </c>
      <c r="AK934" t="str">
        <f t="shared" si="140"/>
        <v>00</v>
      </c>
      <c r="AL934" t="str">
        <f t="shared" si="141"/>
        <v>000000000000</v>
      </c>
      <c r="AM934" t="str">
        <f t="shared" si="133"/>
        <v xml:space="preserve">                              </v>
      </c>
      <c r="AP934" t="str">
        <f t="shared" si="134"/>
        <v/>
      </c>
    </row>
    <row r="935" spans="2:42" x14ac:dyDescent="0.2">
      <c r="B935" s="88"/>
      <c r="C935" s="80"/>
      <c r="D935" s="74"/>
      <c r="AF935" t="str">
        <f t="shared" si="135"/>
        <v>00000000</v>
      </c>
      <c r="AG935" s="81">
        <f t="shared" si="136"/>
        <v>0</v>
      </c>
      <c r="AH935" s="81">
        <f t="shared" si="137"/>
        <v>0</v>
      </c>
      <c r="AI935" t="str">
        <f t="shared" si="138"/>
        <v>0000000000</v>
      </c>
      <c r="AJ935" t="str">
        <f t="shared" si="139"/>
        <v>.00</v>
      </c>
      <c r="AK935" t="str">
        <f t="shared" si="140"/>
        <v>00</v>
      </c>
      <c r="AL935" t="str">
        <f t="shared" si="141"/>
        <v>000000000000</v>
      </c>
      <c r="AM935" t="str">
        <f t="shared" si="133"/>
        <v xml:space="preserve">                              </v>
      </c>
      <c r="AP935" t="str">
        <f t="shared" si="134"/>
        <v/>
      </c>
    </row>
    <row r="936" spans="2:42" x14ac:dyDescent="0.2">
      <c r="B936" s="88"/>
      <c r="C936" s="80"/>
      <c r="D936" s="74"/>
      <c r="AF936" t="str">
        <f t="shared" si="135"/>
        <v>00000000</v>
      </c>
      <c r="AG936" s="81">
        <f t="shared" si="136"/>
        <v>0</v>
      </c>
      <c r="AH936" s="81">
        <f t="shared" si="137"/>
        <v>0</v>
      </c>
      <c r="AI936" t="str">
        <f t="shared" si="138"/>
        <v>0000000000</v>
      </c>
      <c r="AJ936" t="str">
        <f t="shared" si="139"/>
        <v>.00</v>
      </c>
      <c r="AK936" t="str">
        <f t="shared" si="140"/>
        <v>00</v>
      </c>
      <c r="AL936" t="str">
        <f t="shared" si="141"/>
        <v>000000000000</v>
      </c>
      <c r="AM936" t="str">
        <f t="shared" si="133"/>
        <v xml:space="preserve">                              </v>
      </c>
      <c r="AP936" t="str">
        <f t="shared" si="134"/>
        <v/>
      </c>
    </row>
    <row r="937" spans="2:42" x14ac:dyDescent="0.2">
      <c r="B937" s="88"/>
      <c r="C937" s="80"/>
      <c r="D937" s="74"/>
      <c r="AF937" t="str">
        <f t="shared" si="135"/>
        <v>00000000</v>
      </c>
      <c r="AG937" s="81">
        <f t="shared" si="136"/>
        <v>0</v>
      </c>
      <c r="AH937" s="81">
        <f t="shared" si="137"/>
        <v>0</v>
      </c>
      <c r="AI937" t="str">
        <f t="shared" si="138"/>
        <v>0000000000</v>
      </c>
      <c r="AJ937" t="str">
        <f t="shared" si="139"/>
        <v>.00</v>
      </c>
      <c r="AK937" t="str">
        <f t="shared" si="140"/>
        <v>00</v>
      </c>
      <c r="AL937" t="str">
        <f t="shared" si="141"/>
        <v>000000000000</v>
      </c>
      <c r="AM937" t="str">
        <f t="shared" si="133"/>
        <v xml:space="preserve">                              </v>
      </c>
      <c r="AP937" t="str">
        <f t="shared" si="134"/>
        <v/>
      </c>
    </row>
    <row r="938" spans="2:42" x14ac:dyDescent="0.2">
      <c r="B938" s="88"/>
      <c r="C938" s="80"/>
      <c r="D938" s="74"/>
      <c r="AF938" t="str">
        <f t="shared" si="135"/>
        <v>00000000</v>
      </c>
      <c r="AG938" s="81">
        <f t="shared" si="136"/>
        <v>0</v>
      </c>
      <c r="AH938" s="81">
        <f t="shared" si="137"/>
        <v>0</v>
      </c>
      <c r="AI938" t="str">
        <f t="shared" si="138"/>
        <v>0000000000</v>
      </c>
      <c r="AJ938" t="str">
        <f t="shared" si="139"/>
        <v>.00</v>
      </c>
      <c r="AK938" t="str">
        <f t="shared" si="140"/>
        <v>00</v>
      </c>
      <c r="AL938" t="str">
        <f t="shared" si="141"/>
        <v>000000000000</v>
      </c>
      <c r="AM938" t="str">
        <f t="shared" si="133"/>
        <v xml:space="preserve">                              </v>
      </c>
      <c r="AP938" t="str">
        <f t="shared" si="134"/>
        <v/>
      </c>
    </row>
    <row r="939" spans="2:42" x14ac:dyDescent="0.2">
      <c r="B939" s="88"/>
      <c r="C939" s="80"/>
      <c r="D939" s="74"/>
      <c r="AF939" t="str">
        <f t="shared" si="135"/>
        <v>00000000</v>
      </c>
      <c r="AG939" s="81">
        <f t="shared" si="136"/>
        <v>0</v>
      </c>
      <c r="AH939" s="81">
        <f t="shared" si="137"/>
        <v>0</v>
      </c>
      <c r="AI939" t="str">
        <f t="shared" si="138"/>
        <v>0000000000</v>
      </c>
      <c r="AJ939" t="str">
        <f t="shared" si="139"/>
        <v>.00</v>
      </c>
      <c r="AK939" t="str">
        <f t="shared" si="140"/>
        <v>00</v>
      </c>
      <c r="AL939" t="str">
        <f t="shared" si="141"/>
        <v>000000000000</v>
      </c>
      <c r="AM939" t="str">
        <f t="shared" si="133"/>
        <v xml:space="preserve">                              </v>
      </c>
      <c r="AP939" t="str">
        <f t="shared" si="134"/>
        <v/>
      </c>
    </row>
    <row r="940" spans="2:42" x14ac:dyDescent="0.2">
      <c r="B940" s="88"/>
      <c r="C940" s="80"/>
      <c r="D940" s="74"/>
      <c r="AF940" t="str">
        <f t="shared" si="135"/>
        <v>00000000</v>
      </c>
      <c r="AG940" s="81">
        <f t="shared" si="136"/>
        <v>0</v>
      </c>
      <c r="AH940" s="81">
        <f t="shared" si="137"/>
        <v>0</v>
      </c>
      <c r="AI940" t="str">
        <f t="shared" si="138"/>
        <v>0000000000</v>
      </c>
      <c r="AJ940" t="str">
        <f t="shared" si="139"/>
        <v>.00</v>
      </c>
      <c r="AK940" t="str">
        <f t="shared" si="140"/>
        <v>00</v>
      </c>
      <c r="AL940" t="str">
        <f t="shared" si="141"/>
        <v>000000000000</v>
      </c>
      <c r="AM940" t="str">
        <f t="shared" si="133"/>
        <v xml:space="preserve">                              </v>
      </c>
      <c r="AP940" t="str">
        <f t="shared" si="134"/>
        <v/>
      </c>
    </row>
    <row r="941" spans="2:42" x14ac:dyDescent="0.2">
      <c r="B941" s="88"/>
      <c r="C941" s="80"/>
      <c r="D941" s="74"/>
      <c r="AF941" t="str">
        <f t="shared" si="135"/>
        <v>00000000</v>
      </c>
      <c r="AG941" s="81">
        <f t="shared" si="136"/>
        <v>0</v>
      </c>
      <c r="AH941" s="81">
        <f t="shared" si="137"/>
        <v>0</v>
      </c>
      <c r="AI941" t="str">
        <f t="shared" si="138"/>
        <v>0000000000</v>
      </c>
      <c r="AJ941" t="str">
        <f t="shared" si="139"/>
        <v>.00</v>
      </c>
      <c r="AK941" t="str">
        <f t="shared" si="140"/>
        <v>00</v>
      </c>
      <c r="AL941" t="str">
        <f t="shared" si="141"/>
        <v>000000000000</v>
      </c>
      <c r="AM941" t="str">
        <f t="shared" si="133"/>
        <v xml:space="preserve">                              </v>
      </c>
      <c r="AP941" t="str">
        <f t="shared" si="134"/>
        <v/>
      </c>
    </row>
    <row r="942" spans="2:42" x14ac:dyDescent="0.2">
      <c r="B942" s="88"/>
      <c r="C942" s="80"/>
      <c r="D942" s="74"/>
      <c r="AF942" t="str">
        <f t="shared" si="135"/>
        <v>00000000</v>
      </c>
      <c r="AG942" s="81">
        <f t="shared" si="136"/>
        <v>0</v>
      </c>
      <c r="AH942" s="81">
        <f t="shared" si="137"/>
        <v>0</v>
      </c>
      <c r="AI942" t="str">
        <f t="shared" si="138"/>
        <v>0000000000</v>
      </c>
      <c r="AJ942" t="str">
        <f t="shared" si="139"/>
        <v>.00</v>
      </c>
      <c r="AK942" t="str">
        <f t="shared" si="140"/>
        <v>00</v>
      </c>
      <c r="AL942" t="str">
        <f t="shared" si="141"/>
        <v>000000000000</v>
      </c>
      <c r="AM942" t="str">
        <f t="shared" si="133"/>
        <v xml:space="preserve">                              </v>
      </c>
      <c r="AP942" t="str">
        <f t="shared" si="134"/>
        <v/>
      </c>
    </row>
    <row r="943" spans="2:42" x14ac:dyDescent="0.2">
      <c r="B943" s="88"/>
      <c r="C943" s="80"/>
      <c r="D943" s="74"/>
      <c r="AF943" t="str">
        <f t="shared" si="135"/>
        <v>00000000</v>
      </c>
      <c r="AG943" s="81">
        <f t="shared" si="136"/>
        <v>0</v>
      </c>
      <c r="AH943" s="81">
        <f t="shared" si="137"/>
        <v>0</v>
      </c>
      <c r="AI943" t="str">
        <f t="shared" si="138"/>
        <v>0000000000</v>
      </c>
      <c r="AJ943" t="str">
        <f t="shared" si="139"/>
        <v>.00</v>
      </c>
      <c r="AK943" t="str">
        <f t="shared" si="140"/>
        <v>00</v>
      </c>
      <c r="AL943" t="str">
        <f t="shared" si="141"/>
        <v>000000000000</v>
      </c>
      <c r="AM943" t="str">
        <f t="shared" si="133"/>
        <v xml:space="preserve">                              </v>
      </c>
      <c r="AP943" t="str">
        <f t="shared" si="134"/>
        <v/>
      </c>
    </row>
    <row r="944" spans="2:42" x14ac:dyDescent="0.2">
      <c r="B944" s="88"/>
      <c r="C944" s="80"/>
      <c r="D944" s="74"/>
      <c r="AF944" t="str">
        <f t="shared" si="135"/>
        <v>00000000</v>
      </c>
      <c r="AG944" s="81">
        <f t="shared" si="136"/>
        <v>0</v>
      </c>
      <c r="AH944" s="81">
        <f t="shared" si="137"/>
        <v>0</v>
      </c>
      <c r="AI944" t="str">
        <f t="shared" si="138"/>
        <v>0000000000</v>
      </c>
      <c r="AJ944" t="str">
        <f t="shared" si="139"/>
        <v>.00</v>
      </c>
      <c r="AK944" t="str">
        <f t="shared" si="140"/>
        <v>00</v>
      </c>
      <c r="AL944" t="str">
        <f t="shared" si="141"/>
        <v>000000000000</v>
      </c>
      <c r="AM944" t="str">
        <f t="shared" si="133"/>
        <v xml:space="preserve">                              </v>
      </c>
      <c r="AP944" t="str">
        <f t="shared" si="134"/>
        <v/>
      </c>
    </row>
    <row r="945" spans="2:42" x14ac:dyDescent="0.2">
      <c r="B945" s="88"/>
      <c r="C945" s="80"/>
      <c r="D945" s="74"/>
      <c r="AF945" t="str">
        <f t="shared" si="135"/>
        <v>00000000</v>
      </c>
      <c r="AG945" s="81">
        <f t="shared" si="136"/>
        <v>0</v>
      </c>
      <c r="AH945" s="81">
        <f t="shared" si="137"/>
        <v>0</v>
      </c>
      <c r="AI945" t="str">
        <f t="shared" si="138"/>
        <v>0000000000</v>
      </c>
      <c r="AJ945" t="str">
        <f t="shared" si="139"/>
        <v>.00</v>
      </c>
      <c r="AK945" t="str">
        <f t="shared" si="140"/>
        <v>00</v>
      </c>
      <c r="AL945" t="str">
        <f t="shared" si="141"/>
        <v>000000000000</v>
      </c>
      <c r="AM945" t="str">
        <f t="shared" si="133"/>
        <v xml:space="preserve">                              </v>
      </c>
      <c r="AP945" t="str">
        <f t="shared" si="134"/>
        <v/>
      </c>
    </row>
    <row r="946" spans="2:42" x14ac:dyDescent="0.2">
      <c r="B946" s="88"/>
      <c r="C946" s="80"/>
      <c r="D946" s="74"/>
      <c r="AF946" t="str">
        <f t="shared" si="135"/>
        <v>00000000</v>
      </c>
      <c r="AG946" s="81">
        <f t="shared" si="136"/>
        <v>0</v>
      </c>
      <c r="AH946" s="81">
        <f t="shared" si="137"/>
        <v>0</v>
      </c>
      <c r="AI946" t="str">
        <f t="shared" si="138"/>
        <v>0000000000</v>
      </c>
      <c r="AJ946" t="str">
        <f t="shared" si="139"/>
        <v>.00</v>
      </c>
      <c r="AK946" t="str">
        <f t="shared" si="140"/>
        <v>00</v>
      </c>
      <c r="AL946" t="str">
        <f t="shared" si="141"/>
        <v>000000000000</v>
      </c>
      <c r="AM946" t="str">
        <f t="shared" si="133"/>
        <v xml:space="preserve">                              </v>
      </c>
      <c r="AP946" t="str">
        <f t="shared" si="134"/>
        <v/>
      </c>
    </row>
    <row r="947" spans="2:42" x14ac:dyDescent="0.2">
      <c r="B947" s="88"/>
      <c r="C947" s="80"/>
      <c r="D947" s="74"/>
      <c r="AF947" t="str">
        <f t="shared" si="135"/>
        <v>00000000</v>
      </c>
      <c r="AG947" s="81">
        <f t="shared" si="136"/>
        <v>0</v>
      </c>
      <c r="AH947" s="81">
        <f t="shared" si="137"/>
        <v>0</v>
      </c>
      <c r="AI947" t="str">
        <f t="shared" si="138"/>
        <v>0000000000</v>
      </c>
      <c r="AJ947" t="str">
        <f t="shared" si="139"/>
        <v>.00</v>
      </c>
      <c r="AK947" t="str">
        <f t="shared" si="140"/>
        <v>00</v>
      </c>
      <c r="AL947" t="str">
        <f t="shared" si="141"/>
        <v>000000000000</v>
      </c>
      <c r="AM947" t="str">
        <f t="shared" si="133"/>
        <v xml:space="preserve">                              </v>
      </c>
      <c r="AP947" t="str">
        <f t="shared" si="134"/>
        <v/>
      </c>
    </row>
    <row r="948" spans="2:42" x14ac:dyDescent="0.2">
      <c r="B948" s="88"/>
      <c r="C948" s="80"/>
      <c r="D948" s="74"/>
      <c r="AF948" t="str">
        <f t="shared" si="135"/>
        <v>00000000</v>
      </c>
      <c r="AG948" s="81">
        <f t="shared" si="136"/>
        <v>0</v>
      </c>
      <c r="AH948" s="81">
        <f t="shared" si="137"/>
        <v>0</v>
      </c>
      <c r="AI948" t="str">
        <f t="shared" si="138"/>
        <v>0000000000</v>
      </c>
      <c r="AJ948" t="str">
        <f t="shared" si="139"/>
        <v>.00</v>
      </c>
      <c r="AK948" t="str">
        <f t="shared" si="140"/>
        <v>00</v>
      </c>
      <c r="AL948" t="str">
        <f t="shared" si="141"/>
        <v>000000000000</v>
      </c>
      <c r="AM948" t="str">
        <f t="shared" si="133"/>
        <v xml:space="preserve">                              </v>
      </c>
      <c r="AP948" t="str">
        <f t="shared" si="134"/>
        <v/>
      </c>
    </row>
    <row r="949" spans="2:42" x14ac:dyDescent="0.2">
      <c r="B949" s="88"/>
      <c r="C949" s="80"/>
      <c r="D949" s="74"/>
      <c r="AF949" t="str">
        <f t="shared" si="135"/>
        <v>00000000</v>
      </c>
      <c r="AG949" s="81">
        <f t="shared" si="136"/>
        <v>0</v>
      </c>
      <c r="AH949" s="81">
        <f t="shared" si="137"/>
        <v>0</v>
      </c>
      <c r="AI949" t="str">
        <f t="shared" si="138"/>
        <v>0000000000</v>
      </c>
      <c r="AJ949" t="str">
        <f t="shared" si="139"/>
        <v>.00</v>
      </c>
      <c r="AK949" t="str">
        <f t="shared" si="140"/>
        <v>00</v>
      </c>
      <c r="AL949" t="str">
        <f t="shared" si="141"/>
        <v>000000000000</v>
      </c>
      <c r="AM949" t="str">
        <f t="shared" si="133"/>
        <v xml:space="preserve">                              </v>
      </c>
      <c r="AP949" t="str">
        <f t="shared" si="134"/>
        <v/>
      </c>
    </row>
    <row r="950" spans="2:42" x14ac:dyDescent="0.2">
      <c r="B950" s="88"/>
      <c r="C950" s="80"/>
      <c r="D950" s="74"/>
      <c r="AF950" t="str">
        <f t="shared" si="135"/>
        <v>00000000</v>
      </c>
      <c r="AG950" s="81">
        <f t="shared" si="136"/>
        <v>0</v>
      </c>
      <c r="AH950" s="81">
        <f t="shared" si="137"/>
        <v>0</v>
      </c>
      <c r="AI950" t="str">
        <f t="shared" si="138"/>
        <v>0000000000</v>
      </c>
      <c r="AJ950" t="str">
        <f t="shared" si="139"/>
        <v>.00</v>
      </c>
      <c r="AK950" t="str">
        <f t="shared" si="140"/>
        <v>00</v>
      </c>
      <c r="AL950" t="str">
        <f t="shared" si="141"/>
        <v>000000000000</v>
      </c>
      <c r="AM950" t="str">
        <f t="shared" si="133"/>
        <v xml:space="preserve">                              </v>
      </c>
      <c r="AP950" t="str">
        <f t="shared" si="134"/>
        <v/>
      </c>
    </row>
    <row r="951" spans="2:42" x14ac:dyDescent="0.2">
      <c r="B951" s="88"/>
      <c r="C951" s="80"/>
      <c r="D951" s="74"/>
      <c r="AF951" t="str">
        <f t="shared" si="135"/>
        <v>00000000</v>
      </c>
      <c r="AG951" s="81">
        <f t="shared" si="136"/>
        <v>0</v>
      </c>
      <c r="AH951" s="81">
        <f t="shared" si="137"/>
        <v>0</v>
      </c>
      <c r="AI951" t="str">
        <f t="shared" si="138"/>
        <v>0000000000</v>
      </c>
      <c r="AJ951" t="str">
        <f t="shared" si="139"/>
        <v>.00</v>
      </c>
      <c r="AK951" t="str">
        <f t="shared" si="140"/>
        <v>00</v>
      </c>
      <c r="AL951" t="str">
        <f t="shared" si="141"/>
        <v>000000000000</v>
      </c>
      <c r="AM951" t="str">
        <f t="shared" si="133"/>
        <v xml:space="preserve">                              </v>
      </c>
      <c r="AP951" t="str">
        <f t="shared" si="134"/>
        <v/>
      </c>
    </row>
    <row r="952" spans="2:42" x14ac:dyDescent="0.2">
      <c r="B952" s="88"/>
      <c r="C952" s="80"/>
      <c r="D952" s="74"/>
      <c r="AF952" t="str">
        <f t="shared" si="135"/>
        <v>00000000</v>
      </c>
      <c r="AG952" s="81">
        <f t="shared" si="136"/>
        <v>0</v>
      </c>
      <c r="AH952" s="81">
        <f t="shared" si="137"/>
        <v>0</v>
      </c>
      <c r="AI952" t="str">
        <f t="shared" si="138"/>
        <v>0000000000</v>
      </c>
      <c r="AJ952" t="str">
        <f t="shared" si="139"/>
        <v>.00</v>
      </c>
      <c r="AK952" t="str">
        <f t="shared" si="140"/>
        <v>00</v>
      </c>
      <c r="AL952" t="str">
        <f t="shared" si="141"/>
        <v>000000000000</v>
      </c>
      <c r="AM952" t="str">
        <f t="shared" si="133"/>
        <v xml:space="preserve">                              </v>
      </c>
      <c r="AP952" t="str">
        <f t="shared" si="134"/>
        <v/>
      </c>
    </row>
    <row r="953" spans="2:42" x14ac:dyDescent="0.2">
      <c r="B953" s="88"/>
      <c r="C953" s="80"/>
      <c r="D953" s="74"/>
      <c r="AF953" t="str">
        <f t="shared" si="135"/>
        <v>00000000</v>
      </c>
      <c r="AG953" s="81">
        <f t="shared" si="136"/>
        <v>0</v>
      </c>
      <c r="AH953" s="81">
        <f t="shared" si="137"/>
        <v>0</v>
      </c>
      <c r="AI953" t="str">
        <f t="shared" si="138"/>
        <v>0000000000</v>
      </c>
      <c r="AJ953" t="str">
        <f t="shared" si="139"/>
        <v>.00</v>
      </c>
      <c r="AK953" t="str">
        <f t="shared" si="140"/>
        <v>00</v>
      </c>
      <c r="AL953" t="str">
        <f t="shared" si="141"/>
        <v>000000000000</v>
      </c>
      <c r="AM953" t="str">
        <f t="shared" si="133"/>
        <v xml:space="preserve">                              </v>
      </c>
      <c r="AP953" t="str">
        <f t="shared" si="134"/>
        <v/>
      </c>
    </row>
    <row r="954" spans="2:42" x14ac:dyDescent="0.2">
      <c r="B954" s="88"/>
      <c r="C954" s="80"/>
      <c r="D954" s="74"/>
      <c r="AF954" t="str">
        <f t="shared" si="135"/>
        <v>00000000</v>
      </c>
      <c r="AG954" s="81">
        <f t="shared" si="136"/>
        <v>0</v>
      </c>
      <c r="AH954" s="81">
        <f t="shared" si="137"/>
        <v>0</v>
      </c>
      <c r="AI954" t="str">
        <f t="shared" si="138"/>
        <v>0000000000</v>
      </c>
      <c r="AJ954" t="str">
        <f t="shared" si="139"/>
        <v>.00</v>
      </c>
      <c r="AK954" t="str">
        <f t="shared" si="140"/>
        <v>00</v>
      </c>
      <c r="AL954" t="str">
        <f t="shared" si="141"/>
        <v>000000000000</v>
      </c>
      <c r="AM954" t="str">
        <f t="shared" si="133"/>
        <v xml:space="preserve">                              </v>
      </c>
      <c r="AP954" t="str">
        <f t="shared" si="134"/>
        <v/>
      </c>
    </row>
    <row r="955" spans="2:42" x14ac:dyDescent="0.2">
      <c r="B955" s="88"/>
      <c r="C955" s="80"/>
      <c r="D955" s="74"/>
      <c r="AF955" t="str">
        <f t="shared" si="135"/>
        <v>00000000</v>
      </c>
      <c r="AG955" s="81">
        <f t="shared" si="136"/>
        <v>0</v>
      </c>
      <c r="AH955" s="81">
        <f t="shared" si="137"/>
        <v>0</v>
      </c>
      <c r="AI955" t="str">
        <f t="shared" si="138"/>
        <v>0000000000</v>
      </c>
      <c r="AJ955" t="str">
        <f t="shared" si="139"/>
        <v>.00</v>
      </c>
      <c r="AK955" t="str">
        <f t="shared" si="140"/>
        <v>00</v>
      </c>
      <c r="AL955" t="str">
        <f t="shared" si="141"/>
        <v>000000000000</v>
      </c>
      <c r="AM955" t="str">
        <f t="shared" si="133"/>
        <v xml:space="preserve">                              </v>
      </c>
      <c r="AP955" t="str">
        <f t="shared" si="134"/>
        <v/>
      </c>
    </row>
    <row r="956" spans="2:42" x14ac:dyDescent="0.2">
      <c r="B956" s="88"/>
      <c r="C956" s="80"/>
      <c r="D956" s="74"/>
      <c r="AF956" t="str">
        <f t="shared" si="135"/>
        <v>00000000</v>
      </c>
      <c r="AG956" s="81">
        <f t="shared" si="136"/>
        <v>0</v>
      </c>
      <c r="AH956" s="81">
        <f t="shared" si="137"/>
        <v>0</v>
      </c>
      <c r="AI956" t="str">
        <f t="shared" si="138"/>
        <v>0000000000</v>
      </c>
      <c r="AJ956" t="str">
        <f t="shared" si="139"/>
        <v>.00</v>
      </c>
      <c r="AK956" t="str">
        <f t="shared" si="140"/>
        <v>00</v>
      </c>
      <c r="AL956" t="str">
        <f t="shared" si="141"/>
        <v>000000000000</v>
      </c>
      <c r="AM956" t="str">
        <f t="shared" si="133"/>
        <v xml:space="preserve">                              </v>
      </c>
      <c r="AP956" t="str">
        <f t="shared" si="134"/>
        <v/>
      </c>
    </row>
    <row r="957" spans="2:42" x14ac:dyDescent="0.2">
      <c r="B957" s="88"/>
      <c r="C957" s="80"/>
      <c r="D957" s="74"/>
      <c r="AF957" t="str">
        <f t="shared" si="135"/>
        <v>00000000</v>
      </c>
      <c r="AG957" s="81">
        <f t="shared" si="136"/>
        <v>0</v>
      </c>
      <c r="AH957" s="81">
        <f t="shared" si="137"/>
        <v>0</v>
      </c>
      <c r="AI957" t="str">
        <f t="shared" si="138"/>
        <v>0000000000</v>
      </c>
      <c r="AJ957" t="str">
        <f t="shared" si="139"/>
        <v>.00</v>
      </c>
      <c r="AK957" t="str">
        <f t="shared" si="140"/>
        <v>00</v>
      </c>
      <c r="AL957" t="str">
        <f t="shared" si="141"/>
        <v>000000000000</v>
      </c>
      <c r="AM957" t="str">
        <f t="shared" si="133"/>
        <v xml:space="preserve">                              </v>
      </c>
      <c r="AP957" t="str">
        <f t="shared" si="134"/>
        <v/>
      </c>
    </row>
    <row r="958" spans="2:42" x14ac:dyDescent="0.2">
      <c r="B958" s="88"/>
      <c r="C958" s="80"/>
      <c r="D958" s="74"/>
      <c r="AF958" t="str">
        <f t="shared" si="135"/>
        <v>00000000</v>
      </c>
      <c r="AG958" s="81">
        <f t="shared" si="136"/>
        <v>0</v>
      </c>
      <c r="AH958" s="81">
        <f t="shared" si="137"/>
        <v>0</v>
      </c>
      <c r="AI958" t="str">
        <f t="shared" si="138"/>
        <v>0000000000</v>
      </c>
      <c r="AJ958" t="str">
        <f t="shared" si="139"/>
        <v>.00</v>
      </c>
      <c r="AK958" t="str">
        <f t="shared" si="140"/>
        <v>00</v>
      </c>
      <c r="AL958" t="str">
        <f t="shared" si="141"/>
        <v>000000000000</v>
      </c>
      <c r="AM958" t="str">
        <f t="shared" si="133"/>
        <v xml:space="preserve">                              </v>
      </c>
      <c r="AP958" t="str">
        <f t="shared" si="134"/>
        <v/>
      </c>
    </row>
    <row r="959" spans="2:42" x14ac:dyDescent="0.2">
      <c r="B959" s="88"/>
      <c r="C959" s="80"/>
      <c r="D959" s="74"/>
      <c r="AF959" t="str">
        <f t="shared" si="135"/>
        <v>00000000</v>
      </c>
      <c r="AG959" s="81">
        <f t="shared" si="136"/>
        <v>0</v>
      </c>
      <c r="AH959" s="81">
        <f t="shared" si="137"/>
        <v>0</v>
      </c>
      <c r="AI959" t="str">
        <f t="shared" si="138"/>
        <v>0000000000</v>
      </c>
      <c r="AJ959" t="str">
        <f t="shared" si="139"/>
        <v>.00</v>
      </c>
      <c r="AK959" t="str">
        <f t="shared" si="140"/>
        <v>00</v>
      </c>
      <c r="AL959" t="str">
        <f t="shared" si="141"/>
        <v>000000000000</v>
      </c>
      <c r="AM959" t="str">
        <f t="shared" si="133"/>
        <v xml:space="preserve">                              </v>
      </c>
      <c r="AP959" t="str">
        <f t="shared" si="134"/>
        <v/>
      </c>
    </row>
    <row r="960" spans="2:42" x14ac:dyDescent="0.2">
      <c r="B960" s="88"/>
      <c r="C960" s="80"/>
      <c r="D960" s="74"/>
      <c r="AF960" t="str">
        <f t="shared" si="135"/>
        <v>00000000</v>
      </c>
      <c r="AG960" s="81">
        <f t="shared" si="136"/>
        <v>0</v>
      </c>
      <c r="AH960" s="81">
        <f t="shared" si="137"/>
        <v>0</v>
      </c>
      <c r="AI960" t="str">
        <f t="shared" si="138"/>
        <v>0000000000</v>
      </c>
      <c r="AJ960" t="str">
        <f t="shared" si="139"/>
        <v>.00</v>
      </c>
      <c r="AK960" t="str">
        <f t="shared" si="140"/>
        <v>00</v>
      </c>
      <c r="AL960" t="str">
        <f t="shared" si="141"/>
        <v>000000000000</v>
      </c>
      <c r="AM960" t="str">
        <f t="shared" si="133"/>
        <v xml:space="preserve">                              </v>
      </c>
      <c r="AP960" t="str">
        <f t="shared" si="134"/>
        <v/>
      </c>
    </row>
    <row r="961" spans="2:42" x14ac:dyDescent="0.2">
      <c r="B961" s="88"/>
      <c r="C961" s="80"/>
      <c r="D961" s="74"/>
      <c r="AF961" t="str">
        <f t="shared" si="135"/>
        <v>00000000</v>
      </c>
      <c r="AG961" s="81">
        <f t="shared" si="136"/>
        <v>0</v>
      </c>
      <c r="AH961" s="81">
        <f t="shared" si="137"/>
        <v>0</v>
      </c>
      <c r="AI961" t="str">
        <f t="shared" si="138"/>
        <v>0000000000</v>
      </c>
      <c r="AJ961" t="str">
        <f t="shared" si="139"/>
        <v>.00</v>
      </c>
      <c r="AK961" t="str">
        <f t="shared" si="140"/>
        <v>00</v>
      </c>
      <c r="AL961" t="str">
        <f t="shared" si="141"/>
        <v>000000000000</v>
      </c>
      <c r="AM961" t="str">
        <f t="shared" si="133"/>
        <v xml:space="preserve">                              </v>
      </c>
      <c r="AP961" t="str">
        <f t="shared" si="134"/>
        <v/>
      </c>
    </row>
    <row r="962" spans="2:42" x14ac:dyDescent="0.2">
      <c r="B962" s="88"/>
      <c r="C962" s="80"/>
      <c r="D962" s="74"/>
      <c r="AF962" t="str">
        <f t="shared" si="135"/>
        <v>00000000</v>
      </c>
      <c r="AG962" s="81">
        <f t="shared" si="136"/>
        <v>0</v>
      </c>
      <c r="AH962" s="81">
        <f t="shared" si="137"/>
        <v>0</v>
      </c>
      <c r="AI962" t="str">
        <f t="shared" si="138"/>
        <v>0000000000</v>
      </c>
      <c r="AJ962" t="str">
        <f t="shared" si="139"/>
        <v>.00</v>
      </c>
      <c r="AK962" t="str">
        <f t="shared" si="140"/>
        <v>00</v>
      </c>
      <c r="AL962" t="str">
        <f t="shared" si="141"/>
        <v>000000000000</v>
      </c>
      <c r="AM962" t="str">
        <f t="shared" si="133"/>
        <v xml:space="preserve">                              </v>
      </c>
      <c r="AP962" t="str">
        <f t="shared" si="134"/>
        <v/>
      </c>
    </row>
    <row r="963" spans="2:42" x14ac:dyDescent="0.2">
      <c r="B963" s="88"/>
      <c r="C963" s="80"/>
      <c r="D963" s="74"/>
      <c r="AF963" t="str">
        <f t="shared" si="135"/>
        <v>00000000</v>
      </c>
      <c r="AG963" s="81">
        <f t="shared" si="136"/>
        <v>0</v>
      </c>
      <c r="AH963" s="81">
        <f t="shared" si="137"/>
        <v>0</v>
      </c>
      <c r="AI963" t="str">
        <f t="shared" si="138"/>
        <v>0000000000</v>
      </c>
      <c r="AJ963" t="str">
        <f t="shared" si="139"/>
        <v>.00</v>
      </c>
      <c r="AK963" t="str">
        <f t="shared" si="140"/>
        <v>00</v>
      </c>
      <c r="AL963" t="str">
        <f t="shared" si="141"/>
        <v>000000000000</v>
      </c>
      <c r="AM963" t="str">
        <f t="shared" ref="AM963:AM1000" si="142">CONCATENATE(D964,REPT(" ",30-LEN(D964)))</f>
        <v xml:space="preserve">                              </v>
      </c>
      <c r="AP963" t="str">
        <f t="shared" ref="AP963:AP1000" si="143">IF(B964&lt;&gt;"",CONCATENATE("000",$AA$3,"     ",$AB$3,$AC$3,$AD$3,"30000",AF963,AL963,$AC$1,AM963),"")</f>
        <v/>
      </c>
    </row>
    <row r="964" spans="2:42" x14ac:dyDescent="0.2">
      <c r="B964" s="88"/>
      <c r="C964" s="80"/>
      <c r="D964" s="74"/>
      <c r="AF964" t="str">
        <f t="shared" si="135"/>
        <v>00000000</v>
      </c>
      <c r="AG964" s="81">
        <f t="shared" si="136"/>
        <v>0</v>
      </c>
      <c r="AH964" s="81">
        <f t="shared" si="137"/>
        <v>0</v>
      </c>
      <c r="AI964" t="str">
        <f t="shared" si="138"/>
        <v>0000000000</v>
      </c>
      <c r="AJ964" t="str">
        <f t="shared" si="139"/>
        <v>.00</v>
      </c>
      <c r="AK964" t="str">
        <f t="shared" si="140"/>
        <v>00</v>
      </c>
      <c r="AL964" t="str">
        <f t="shared" si="141"/>
        <v>000000000000</v>
      </c>
      <c r="AM964" t="str">
        <f t="shared" si="142"/>
        <v xml:space="preserve">                              </v>
      </c>
      <c r="AP964" t="str">
        <f t="shared" si="143"/>
        <v/>
      </c>
    </row>
    <row r="965" spans="2:42" x14ac:dyDescent="0.2">
      <c r="B965" s="88"/>
      <c r="C965" s="80"/>
      <c r="D965" s="74"/>
      <c r="AF965" t="str">
        <f t="shared" si="135"/>
        <v>00000000</v>
      </c>
      <c r="AG965" s="81">
        <f t="shared" si="136"/>
        <v>0</v>
      </c>
      <c r="AH965" s="81">
        <f t="shared" si="137"/>
        <v>0</v>
      </c>
      <c r="AI965" t="str">
        <f t="shared" si="138"/>
        <v>0000000000</v>
      </c>
      <c r="AJ965" t="str">
        <f t="shared" si="139"/>
        <v>.00</v>
      </c>
      <c r="AK965" t="str">
        <f t="shared" si="140"/>
        <v>00</v>
      </c>
      <c r="AL965" t="str">
        <f t="shared" si="141"/>
        <v>000000000000</v>
      </c>
      <c r="AM965" t="str">
        <f t="shared" si="142"/>
        <v xml:space="preserve">                              </v>
      </c>
      <c r="AP965" t="str">
        <f t="shared" si="143"/>
        <v/>
      </c>
    </row>
    <row r="966" spans="2:42" x14ac:dyDescent="0.2">
      <c r="B966" s="88"/>
      <c r="C966" s="80"/>
      <c r="D966" s="74"/>
      <c r="AF966" t="str">
        <f t="shared" si="135"/>
        <v>00000000</v>
      </c>
      <c r="AG966" s="81">
        <f t="shared" si="136"/>
        <v>0</v>
      </c>
      <c r="AH966" s="81">
        <f t="shared" si="137"/>
        <v>0</v>
      </c>
      <c r="AI966" t="str">
        <f t="shared" si="138"/>
        <v>0000000000</v>
      </c>
      <c r="AJ966" t="str">
        <f t="shared" si="139"/>
        <v>.00</v>
      </c>
      <c r="AK966" t="str">
        <f t="shared" si="140"/>
        <v>00</v>
      </c>
      <c r="AL966" t="str">
        <f t="shared" si="141"/>
        <v>000000000000</v>
      </c>
      <c r="AM966" t="str">
        <f t="shared" si="142"/>
        <v xml:space="preserve">                              </v>
      </c>
      <c r="AP966" t="str">
        <f t="shared" si="143"/>
        <v/>
      </c>
    </row>
    <row r="967" spans="2:42" x14ac:dyDescent="0.2">
      <c r="B967" s="88"/>
      <c r="C967" s="80"/>
      <c r="D967" s="74"/>
      <c r="AF967" t="str">
        <f t="shared" si="135"/>
        <v>00000000</v>
      </c>
      <c r="AG967" s="81">
        <f t="shared" si="136"/>
        <v>0</v>
      </c>
      <c r="AH967" s="81">
        <f t="shared" si="137"/>
        <v>0</v>
      </c>
      <c r="AI967" t="str">
        <f t="shared" si="138"/>
        <v>0000000000</v>
      </c>
      <c r="AJ967" t="str">
        <f t="shared" si="139"/>
        <v>.00</v>
      </c>
      <c r="AK967" t="str">
        <f t="shared" si="140"/>
        <v>00</v>
      </c>
      <c r="AL967" t="str">
        <f t="shared" si="141"/>
        <v>000000000000</v>
      </c>
      <c r="AM967" t="str">
        <f t="shared" si="142"/>
        <v xml:space="preserve">                              </v>
      </c>
      <c r="AP967" t="str">
        <f t="shared" si="143"/>
        <v/>
      </c>
    </row>
    <row r="968" spans="2:42" x14ac:dyDescent="0.2">
      <c r="B968" s="88"/>
      <c r="C968" s="80"/>
      <c r="D968" s="74"/>
      <c r="AF968" t="str">
        <f t="shared" si="135"/>
        <v>00000000</v>
      </c>
      <c r="AG968" s="81">
        <f t="shared" si="136"/>
        <v>0</v>
      </c>
      <c r="AH968" s="81">
        <f t="shared" si="137"/>
        <v>0</v>
      </c>
      <c r="AI968" t="str">
        <f t="shared" si="138"/>
        <v>0000000000</v>
      </c>
      <c r="AJ968" t="str">
        <f t="shared" si="139"/>
        <v>.00</v>
      </c>
      <c r="AK968" t="str">
        <f t="shared" si="140"/>
        <v>00</v>
      </c>
      <c r="AL968" t="str">
        <f t="shared" si="141"/>
        <v>000000000000</v>
      </c>
      <c r="AM968" t="str">
        <f t="shared" si="142"/>
        <v xml:space="preserve">                              </v>
      </c>
      <c r="AP968" t="str">
        <f t="shared" si="143"/>
        <v/>
      </c>
    </row>
    <row r="969" spans="2:42" x14ac:dyDescent="0.2">
      <c r="B969" s="88"/>
      <c r="C969" s="80"/>
      <c r="D969" s="74"/>
      <c r="AF969" t="str">
        <f t="shared" si="135"/>
        <v>00000000</v>
      </c>
      <c r="AG969" s="81">
        <f t="shared" si="136"/>
        <v>0</v>
      </c>
      <c r="AH969" s="81">
        <f t="shared" si="137"/>
        <v>0</v>
      </c>
      <c r="AI969" t="str">
        <f t="shared" si="138"/>
        <v>0000000000</v>
      </c>
      <c r="AJ969" t="str">
        <f t="shared" si="139"/>
        <v>.00</v>
      </c>
      <c r="AK969" t="str">
        <f t="shared" si="140"/>
        <v>00</v>
      </c>
      <c r="AL969" t="str">
        <f t="shared" si="141"/>
        <v>000000000000</v>
      </c>
      <c r="AM969" t="str">
        <f t="shared" si="142"/>
        <v xml:space="preserve">                              </v>
      </c>
      <c r="AP969" t="str">
        <f t="shared" si="143"/>
        <v/>
      </c>
    </row>
    <row r="970" spans="2:42" x14ac:dyDescent="0.2">
      <c r="B970" s="88"/>
      <c r="C970" s="80"/>
      <c r="D970" s="74"/>
      <c r="AF970" t="str">
        <f t="shared" ref="AF970:AF1000" si="144">CONCATENATE(REPT("0",8-LEN(B971)),B971)</f>
        <v>00000000</v>
      </c>
      <c r="AG970" s="81">
        <f t="shared" ref="AG970:AG1000" si="145">INT(C971)</f>
        <v>0</v>
      </c>
      <c r="AH970" s="81">
        <f t="shared" ref="AH970:AH1000" si="146">C971-AG970</f>
        <v>0</v>
      </c>
      <c r="AI970" t="str">
        <f t="shared" ref="AI970:AI1000" si="147">TEXT(AG970,"0000000000")</f>
        <v>0000000000</v>
      </c>
      <c r="AJ970" t="str">
        <f t="shared" ref="AJ970:AJ1000" si="148">TEXT(AH970,".00")</f>
        <v>.00</v>
      </c>
      <c r="AK970" t="str">
        <f t="shared" ref="AK970:AK1000" si="149">MID(AJ970,2,2)</f>
        <v>00</v>
      </c>
      <c r="AL970" t="str">
        <f t="shared" ref="AL970:AL1000" si="150">CONCATENATE(AI970,AK970)</f>
        <v>000000000000</v>
      </c>
      <c r="AM970" t="str">
        <f t="shared" si="142"/>
        <v xml:space="preserve">                              </v>
      </c>
      <c r="AP970" t="str">
        <f t="shared" si="143"/>
        <v/>
      </c>
    </row>
    <row r="971" spans="2:42" x14ac:dyDescent="0.2">
      <c r="B971" s="88"/>
      <c r="C971" s="80"/>
      <c r="D971" s="74"/>
      <c r="AF971" t="str">
        <f t="shared" si="144"/>
        <v>00000000</v>
      </c>
      <c r="AG971" s="81">
        <f t="shared" si="145"/>
        <v>0</v>
      </c>
      <c r="AH971" s="81">
        <f t="shared" si="146"/>
        <v>0</v>
      </c>
      <c r="AI971" t="str">
        <f t="shared" si="147"/>
        <v>0000000000</v>
      </c>
      <c r="AJ971" t="str">
        <f t="shared" si="148"/>
        <v>.00</v>
      </c>
      <c r="AK971" t="str">
        <f t="shared" si="149"/>
        <v>00</v>
      </c>
      <c r="AL971" t="str">
        <f t="shared" si="150"/>
        <v>000000000000</v>
      </c>
      <c r="AM971" t="str">
        <f t="shared" si="142"/>
        <v xml:space="preserve">                              </v>
      </c>
      <c r="AP971" t="str">
        <f t="shared" si="143"/>
        <v/>
      </c>
    </row>
    <row r="972" spans="2:42" x14ac:dyDescent="0.2">
      <c r="B972" s="88"/>
      <c r="C972" s="80"/>
      <c r="D972" s="74"/>
      <c r="AF972" t="str">
        <f t="shared" si="144"/>
        <v>00000000</v>
      </c>
      <c r="AG972" s="81">
        <f t="shared" si="145"/>
        <v>0</v>
      </c>
      <c r="AH972" s="81">
        <f t="shared" si="146"/>
        <v>0</v>
      </c>
      <c r="AI972" t="str">
        <f t="shared" si="147"/>
        <v>0000000000</v>
      </c>
      <c r="AJ972" t="str">
        <f t="shared" si="148"/>
        <v>.00</v>
      </c>
      <c r="AK972" t="str">
        <f t="shared" si="149"/>
        <v>00</v>
      </c>
      <c r="AL972" t="str">
        <f t="shared" si="150"/>
        <v>000000000000</v>
      </c>
      <c r="AM972" t="str">
        <f t="shared" si="142"/>
        <v xml:space="preserve">                              </v>
      </c>
      <c r="AP972" t="str">
        <f t="shared" si="143"/>
        <v/>
      </c>
    </row>
    <row r="973" spans="2:42" x14ac:dyDescent="0.2">
      <c r="B973" s="88"/>
      <c r="C973" s="80"/>
      <c r="D973" s="74"/>
      <c r="AF973" t="str">
        <f t="shared" si="144"/>
        <v>00000000</v>
      </c>
      <c r="AG973" s="81">
        <f t="shared" si="145"/>
        <v>0</v>
      </c>
      <c r="AH973" s="81">
        <f t="shared" si="146"/>
        <v>0</v>
      </c>
      <c r="AI973" t="str">
        <f t="shared" si="147"/>
        <v>0000000000</v>
      </c>
      <c r="AJ973" t="str">
        <f t="shared" si="148"/>
        <v>.00</v>
      </c>
      <c r="AK973" t="str">
        <f t="shared" si="149"/>
        <v>00</v>
      </c>
      <c r="AL973" t="str">
        <f t="shared" si="150"/>
        <v>000000000000</v>
      </c>
      <c r="AM973" t="str">
        <f t="shared" si="142"/>
        <v xml:space="preserve">                              </v>
      </c>
      <c r="AP973" t="str">
        <f t="shared" si="143"/>
        <v/>
      </c>
    </row>
    <row r="974" spans="2:42" x14ac:dyDescent="0.2">
      <c r="B974" s="88"/>
      <c r="C974" s="80"/>
      <c r="D974" s="74"/>
      <c r="AF974" t="str">
        <f t="shared" si="144"/>
        <v>00000000</v>
      </c>
      <c r="AG974" s="81">
        <f t="shared" si="145"/>
        <v>0</v>
      </c>
      <c r="AH974" s="81">
        <f t="shared" si="146"/>
        <v>0</v>
      </c>
      <c r="AI974" t="str">
        <f t="shared" si="147"/>
        <v>0000000000</v>
      </c>
      <c r="AJ974" t="str">
        <f t="shared" si="148"/>
        <v>.00</v>
      </c>
      <c r="AK974" t="str">
        <f t="shared" si="149"/>
        <v>00</v>
      </c>
      <c r="AL974" t="str">
        <f t="shared" si="150"/>
        <v>000000000000</v>
      </c>
      <c r="AM974" t="str">
        <f t="shared" si="142"/>
        <v xml:space="preserve">                              </v>
      </c>
      <c r="AP974" t="str">
        <f t="shared" si="143"/>
        <v/>
      </c>
    </row>
    <row r="975" spans="2:42" x14ac:dyDescent="0.2">
      <c r="B975" s="88"/>
      <c r="C975" s="80"/>
      <c r="D975" s="74"/>
      <c r="AF975" t="str">
        <f t="shared" si="144"/>
        <v>00000000</v>
      </c>
      <c r="AG975" s="81">
        <f t="shared" si="145"/>
        <v>0</v>
      </c>
      <c r="AH975" s="81">
        <f t="shared" si="146"/>
        <v>0</v>
      </c>
      <c r="AI975" t="str">
        <f t="shared" si="147"/>
        <v>0000000000</v>
      </c>
      <c r="AJ975" t="str">
        <f t="shared" si="148"/>
        <v>.00</v>
      </c>
      <c r="AK975" t="str">
        <f t="shared" si="149"/>
        <v>00</v>
      </c>
      <c r="AL975" t="str">
        <f t="shared" si="150"/>
        <v>000000000000</v>
      </c>
      <c r="AM975" t="str">
        <f t="shared" si="142"/>
        <v xml:space="preserve">                              </v>
      </c>
      <c r="AP975" t="str">
        <f t="shared" si="143"/>
        <v/>
      </c>
    </row>
    <row r="976" spans="2:42" x14ac:dyDescent="0.2">
      <c r="B976" s="88"/>
      <c r="C976" s="80"/>
      <c r="D976" s="74"/>
      <c r="AF976" t="str">
        <f t="shared" si="144"/>
        <v>00000000</v>
      </c>
      <c r="AG976" s="81">
        <f t="shared" si="145"/>
        <v>0</v>
      </c>
      <c r="AH976" s="81">
        <f t="shared" si="146"/>
        <v>0</v>
      </c>
      <c r="AI976" t="str">
        <f t="shared" si="147"/>
        <v>0000000000</v>
      </c>
      <c r="AJ976" t="str">
        <f t="shared" si="148"/>
        <v>.00</v>
      </c>
      <c r="AK976" t="str">
        <f t="shared" si="149"/>
        <v>00</v>
      </c>
      <c r="AL976" t="str">
        <f t="shared" si="150"/>
        <v>000000000000</v>
      </c>
      <c r="AM976" t="str">
        <f t="shared" si="142"/>
        <v xml:space="preserve">                              </v>
      </c>
      <c r="AP976" t="str">
        <f t="shared" si="143"/>
        <v/>
      </c>
    </row>
    <row r="977" spans="2:42" x14ac:dyDescent="0.2">
      <c r="B977" s="88"/>
      <c r="C977" s="80"/>
      <c r="D977" s="74"/>
      <c r="AF977" t="str">
        <f t="shared" si="144"/>
        <v>00000000</v>
      </c>
      <c r="AG977" s="81">
        <f t="shared" si="145"/>
        <v>0</v>
      </c>
      <c r="AH977" s="81">
        <f t="shared" si="146"/>
        <v>0</v>
      </c>
      <c r="AI977" t="str">
        <f t="shared" si="147"/>
        <v>0000000000</v>
      </c>
      <c r="AJ977" t="str">
        <f t="shared" si="148"/>
        <v>.00</v>
      </c>
      <c r="AK977" t="str">
        <f t="shared" si="149"/>
        <v>00</v>
      </c>
      <c r="AL977" t="str">
        <f t="shared" si="150"/>
        <v>000000000000</v>
      </c>
      <c r="AM977" t="str">
        <f t="shared" si="142"/>
        <v xml:space="preserve">                              </v>
      </c>
      <c r="AP977" t="str">
        <f t="shared" si="143"/>
        <v/>
      </c>
    </row>
    <row r="978" spans="2:42" x14ac:dyDescent="0.2">
      <c r="B978" s="88"/>
      <c r="C978" s="80"/>
      <c r="D978" s="74"/>
      <c r="AF978" t="str">
        <f t="shared" si="144"/>
        <v>00000000</v>
      </c>
      <c r="AG978" s="81">
        <f t="shared" si="145"/>
        <v>0</v>
      </c>
      <c r="AH978" s="81">
        <f t="shared" si="146"/>
        <v>0</v>
      </c>
      <c r="AI978" t="str">
        <f t="shared" si="147"/>
        <v>0000000000</v>
      </c>
      <c r="AJ978" t="str">
        <f t="shared" si="148"/>
        <v>.00</v>
      </c>
      <c r="AK978" t="str">
        <f t="shared" si="149"/>
        <v>00</v>
      </c>
      <c r="AL978" t="str">
        <f t="shared" si="150"/>
        <v>000000000000</v>
      </c>
      <c r="AM978" t="str">
        <f t="shared" si="142"/>
        <v xml:space="preserve">                              </v>
      </c>
      <c r="AP978" t="str">
        <f t="shared" si="143"/>
        <v/>
      </c>
    </row>
    <row r="979" spans="2:42" x14ac:dyDescent="0.2">
      <c r="B979" s="88"/>
      <c r="C979" s="80"/>
      <c r="D979" s="74"/>
      <c r="AF979" t="str">
        <f t="shared" si="144"/>
        <v>00000000</v>
      </c>
      <c r="AG979" s="81">
        <f t="shared" si="145"/>
        <v>0</v>
      </c>
      <c r="AH979" s="81">
        <f t="shared" si="146"/>
        <v>0</v>
      </c>
      <c r="AI979" t="str">
        <f t="shared" si="147"/>
        <v>0000000000</v>
      </c>
      <c r="AJ979" t="str">
        <f t="shared" si="148"/>
        <v>.00</v>
      </c>
      <c r="AK979" t="str">
        <f t="shared" si="149"/>
        <v>00</v>
      </c>
      <c r="AL979" t="str">
        <f t="shared" si="150"/>
        <v>000000000000</v>
      </c>
      <c r="AM979" t="str">
        <f t="shared" si="142"/>
        <v xml:space="preserve">                              </v>
      </c>
      <c r="AP979" t="str">
        <f t="shared" si="143"/>
        <v/>
      </c>
    </row>
    <row r="980" spans="2:42" x14ac:dyDescent="0.2">
      <c r="B980" s="88"/>
      <c r="C980" s="80"/>
      <c r="D980" s="74"/>
      <c r="AF980" t="str">
        <f t="shared" si="144"/>
        <v>00000000</v>
      </c>
      <c r="AG980" s="81">
        <f t="shared" si="145"/>
        <v>0</v>
      </c>
      <c r="AH980" s="81">
        <f t="shared" si="146"/>
        <v>0</v>
      </c>
      <c r="AI980" t="str">
        <f t="shared" si="147"/>
        <v>0000000000</v>
      </c>
      <c r="AJ980" t="str">
        <f t="shared" si="148"/>
        <v>.00</v>
      </c>
      <c r="AK980" t="str">
        <f t="shared" si="149"/>
        <v>00</v>
      </c>
      <c r="AL980" t="str">
        <f t="shared" si="150"/>
        <v>000000000000</v>
      </c>
      <c r="AM980" t="str">
        <f t="shared" si="142"/>
        <v xml:space="preserve">                              </v>
      </c>
      <c r="AP980" t="str">
        <f t="shared" si="143"/>
        <v/>
      </c>
    </row>
    <row r="981" spans="2:42" x14ac:dyDescent="0.2">
      <c r="B981" s="88"/>
      <c r="C981" s="80"/>
      <c r="D981" s="74"/>
      <c r="AF981" t="str">
        <f t="shared" si="144"/>
        <v>00000000</v>
      </c>
      <c r="AG981" s="81">
        <f t="shared" si="145"/>
        <v>0</v>
      </c>
      <c r="AH981" s="81">
        <f t="shared" si="146"/>
        <v>0</v>
      </c>
      <c r="AI981" t="str">
        <f t="shared" si="147"/>
        <v>0000000000</v>
      </c>
      <c r="AJ981" t="str">
        <f t="shared" si="148"/>
        <v>.00</v>
      </c>
      <c r="AK981" t="str">
        <f t="shared" si="149"/>
        <v>00</v>
      </c>
      <c r="AL981" t="str">
        <f t="shared" si="150"/>
        <v>000000000000</v>
      </c>
      <c r="AM981" t="str">
        <f t="shared" si="142"/>
        <v xml:space="preserve">                              </v>
      </c>
      <c r="AP981" t="str">
        <f t="shared" si="143"/>
        <v/>
      </c>
    </row>
    <row r="982" spans="2:42" x14ac:dyDescent="0.2">
      <c r="B982" s="88"/>
      <c r="C982" s="80"/>
      <c r="D982" s="74"/>
      <c r="AF982" t="str">
        <f t="shared" si="144"/>
        <v>00000000</v>
      </c>
      <c r="AG982" s="81">
        <f t="shared" si="145"/>
        <v>0</v>
      </c>
      <c r="AH982" s="81">
        <f t="shared" si="146"/>
        <v>0</v>
      </c>
      <c r="AI982" t="str">
        <f t="shared" si="147"/>
        <v>0000000000</v>
      </c>
      <c r="AJ982" t="str">
        <f t="shared" si="148"/>
        <v>.00</v>
      </c>
      <c r="AK982" t="str">
        <f t="shared" si="149"/>
        <v>00</v>
      </c>
      <c r="AL982" t="str">
        <f t="shared" si="150"/>
        <v>000000000000</v>
      </c>
      <c r="AM982" t="str">
        <f t="shared" si="142"/>
        <v xml:space="preserve">                              </v>
      </c>
      <c r="AP982" t="str">
        <f t="shared" si="143"/>
        <v/>
      </c>
    </row>
    <row r="983" spans="2:42" x14ac:dyDescent="0.2">
      <c r="B983" s="88"/>
      <c r="C983" s="80"/>
      <c r="D983" s="74"/>
      <c r="AF983" t="str">
        <f t="shared" si="144"/>
        <v>00000000</v>
      </c>
      <c r="AG983" s="81">
        <f t="shared" si="145"/>
        <v>0</v>
      </c>
      <c r="AH983" s="81">
        <f t="shared" si="146"/>
        <v>0</v>
      </c>
      <c r="AI983" t="str">
        <f t="shared" si="147"/>
        <v>0000000000</v>
      </c>
      <c r="AJ983" t="str">
        <f t="shared" si="148"/>
        <v>.00</v>
      </c>
      <c r="AK983" t="str">
        <f t="shared" si="149"/>
        <v>00</v>
      </c>
      <c r="AL983" t="str">
        <f t="shared" si="150"/>
        <v>000000000000</v>
      </c>
      <c r="AM983" t="str">
        <f t="shared" si="142"/>
        <v xml:space="preserve">                              </v>
      </c>
      <c r="AP983" t="str">
        <f t="shared" si="143"/>
        <v/>
      </c>
    </row>
    <row r="984" spans="2:42" x14ac:dyDescent="0.2">
      <c r="B984" s="88"/>
      <c r="C984" s="80"/>
      <c r="D984" s="74"/>
      <c r="AF984" t="str">
        <f t="shared" si="144"/>
        <v>00000000</v>
      </c>
      <c r="AG984" s="81">
        <f t="shared" si="145"/>
        <v>0</v>
      </c>
      <c r="AH984" s="81">
        <f t="shared" si="146"/>
        <v>0</v>
      </c>
      <c r="AI984" t="str">
        <f t="shared" si="147"/>
        <v>0000000000</v>
      </c>
      <c r="AJ984" t="str">
        <f t="shared" si="148"/>
        <v>.00</v>
      </c>
      <c r="AK984" t="str">
        <f t="shared" si="149"/>
        <v>00</v>
      </c>
      <c r="AL984" t="str">
        <f t="shared" si="150"/>
        <v>000000000000</v>
      </c>
      <c r="AM984" t="str">
        <f t="shared" si="142"/>
        <v xml:space="preserve">                              </v>
      </c>
      <c r="AP984" t="str">
        <f t="shared" si="143"/>
        <v/>
      </c>
    </row>
    <row r="985" spans="2:42" x14ac:dyDescent="0.2">
      <c r="B985" s="88"/>
      <c r="C985" s="80"/>
      <c r="D985" s="74"/>
      <c r="AF985" t="str">
        <f t="shared" si="144"/>
        <v>00000000</v>
      </c>
      <c r="AG985" s="81">
        <f t="shared" si="145"/>
        <v>0</v>
      </c>
      <c r="AH985" s="81">
        <f t="shared" si="146"/>
        <v>0</v>
      </c>
      <c r="AI985" t="str">
        <f t="shared" si="147"/>
        <v>0000000000</v>
      </c>
      <c r="AJ985" t="str">
        <f t="shared" si="148"/>
        <v>.00</v>
      </c>
      <c r="AK985" t="str">
        <f t="shared" si="149"/>
        <v>00</v>
      </c>
      <c r="AL985" t="str">
        <f t="shared" si="150"/>
        <v>000000000000</v>
      </c>
      <c r="AM985" t="str">
        <f t="shared" si="142"/>
        <v xml:space="preserve">                              </v>
      </c>
      <c r="AP985" t="str">
        <f t="shared" si="143"/>
        <v/>
      </c>
    </row>
    <row r="986" spans="2:42" x14ac:dyDescent="0.2">
      <c r="B986" s="88"/>
      <c r="C986" s="80"/>
      <c r="D986" s="74"/>
      <c r="AF986" t="str">
        <f t="shared" si="144"/>
        <v>00000000</v>
      </c>
      <c r="AG986" s="81">
        <f t="shared" si="145"/>
        <v>0</v>
      </c>
      <c r="AH986" s="81">
        <f t="shared" si="146"/>
        <v>0</v>
      </c>
      <c r="AI986" t="str">
        <f t="shared" si="147"/>
        <v>0000000000</v>
      </c>
      <c r="AJ986" t="str">
        <f t="shared" si="148"/>
        <v>.00</v>
      </c>
      <c r="AK986" t="str">
        <f t="shared" si="149"/>
        <v>00</v>
      </c>
      <c r="AL986" t="str">
        <f t="shared" si="150"/>
        <v>000000000000</v>
      </c>
      <c r="AM986" t="str">
        <f t="shared" si="142"/>
        <v xml:space="preserve">                              </v>
      </c>
      <c r="AP986" t="str">
        <f t="shared" si="143"/>
        <v/>
      </c>
    </row>
    <row r="987" spans="2:42" x14ac:dyDescent="0.2">
      <c r="B987" s="88"/>
      <c r="C987" s="80"/>
      <c r="D987" s="74"/>
      <c r="AF987" t="str">
        <f t="shared" si="144"/>
        <v>00000000</v>
      </c>
      <c r="AG987" s="81">
        <f t="shared" si="145"/>
        <v>0</v>
      </c>
      <c r="AH987" s="81">
        <f t="shared" si="146"/>
        <v>0</v>
      </c>
      <c r="AI987" t="str">
        <f t="shared" si="147"/>
        <v>0000000000</v>
      </c>
      <c r="AJ987" t="str">
        <f t="shared" si="148"/>
        <v>.00</v>
      </c>
      <c r="AK987" t="str">
        <f t="shared" si="149"/>
        <v>00</v>
      </c>
      <c r="AL987" t="str">
        <f t="shared" si="150"/>
        <v>000000000000</v>
      </c>
      <c r="AM987" t="str">
        <f t="shared" si="142"/>
        <v xml:space="preserve">                              </v>
      </c>
      <c r="AP987" t="str">
        <f t="shared" si="143"/>
        <v/>
      </c>
    </row>
    <row r="988" spans="2:42" x14ac:dyDescent="0.2">
      <c r="B988" s="88"/>
      <c r="C988" s="80"/>
      <c r="D988" s="74"/>
      <c r="AF988" t="str">
        <f t="shared" si="144"/>
        <v>00000000</v>
      </c>
      <c r="AG988" s="81">
        <f t="shared" si="145"/>
        <v>0</v>
      </c>
      <c r="AH988" s="81">
        <f t="shared" si="146"/>
        <v>0</v>
      </c>
      <c r="AI988" t="str">
        <f t="shared" si="147"/>
        <v>0000000000</v>
      </c>
      <c r="AJ988" t="str">
        <f t="shared" si="148"/>
        <v>.00</v>
      </c>
      <c r="AK988" t="str">
        <f t="shared" si="149"/>
        <v>00</v>
      </c>
      <c r="AL988" t="str">
        <f t="shared" si="150"/>
        <v>000000000000</v>
      </c>
      <c r="AM988" t="str">
        <f t="shared" si="142"/>
        <v xml:space="preserve">                              </v>
      </c>
      <c r="AP988" t="str">
        <f t="shared" si="143"/>
        <v/>
      </c>
    </row>
    <row r="989" spans="2:42" x14ac:dyDescent="0.2">
      <c r="B989" s="88"/>
      <c r="C989" s="80"/>
      <c r="D989" s="74"/>
      <c r="AF989" t="str">
        <f t="shared" si="144"/>
        <v>00000000</v>
      </c>
      <c r="AG989" s="81">
        <f t="shared" si="145"/>
        <v>0</v>
      </c>
      <c r="AH989" s="81">
        <f t="shared" si="146"/>
        <v>0</v>
      </c>
      <c r="AI989" t="str">
        <f t="shared" si="147"/>
        <v>0000000000</v>
      </c>
      <c r="AJ989" t="str">
        <f t="shared" si="148"/>
        <v>.00</v>
      </c>
      <c r="AK989" t="str">
        <f t="shared" si="149"/>
        <v>00</v>
      </c>
      <c r="AL989" t="str">
        <f t="shared" si="150"/>
        <v>000000000000</v>
      </c>
      <c r="AM989" t="str">
        <f t="shared" si="142"/>
        <v xml:space="preserve">                              </v>
      </c>
      <c r="AP989" t="str">
        <f t="shared" si="143"/>
        <v/>
      </c>
    </row>
    <row r="990" spans="2:42" x14ac:dyDescent="0.2">
      <c r="B990" s="88"/>
      <c r="C990" s="80"/>
      <c r="D990" s="74"/>
      <c r="AF990" t="str">
        <f t="shared" si="144"/>
        <v>00000000</v>
      </c>
      <c r="AG990" s="81">
        <f t="shared" si="145"/>
        <v>0</v>
      </c>
      <c r="AH990" s="81">
        <f t="shared" si="146"/>
        <v>0</v>
      </c>
      <c r="AI990" t="str">
        <f t="shared" si="147"/>
        <v>0000000000</v>
      </c>
      <c r="AJ990" t="str">
        <f t="shared" si="148"/>
        <v>.00</v>
      </c>
      <c r="AK990" t="str">
        <f t="shared" si="149"/>
        <v>00</v>
      </c>
      <c r="AL990" t="str">
        <f t="shared" si="150"/>
        <v>000000000000</v>
      </c>
      <c r="AM990" t="str">
        <f t="shared" si="142"/>
        <v xml:space="preserve">                              </v>
      </c>
      <c r="AP990" t="str">
        <f t="shared" si="143"/>
        <v/>
      </c>
    </row>
    <row r="991" spans="2:42" x14ac:dyDescent="0.2">
      <c r="B991" s="88"/>
      <c r="C991" s="80"/>
      <c r="D991" s="74"/>
      <c r="AF991" t="str">
        <f t="shared" si="144"/>
        <v>00000000</v>
      </c>
      <c r="AG991" s="81">
        <f t="shared" si="145"/>
        <v>0</v>
      </c>
      <c r="AH991" s="81">
        <f t="shared" si="146"/>
        <v>0</v>
      </c>
      <c r="AI991" t="str">
        <f t="shared" si="147"/>
        <v>0000000000</v>
      </c>
      <c r="AJ991" t="str">
        <f t="shared" si="148"/>
        <v>.00</v>
      </c>
      <c r="AK991" t="str">
        <f t="shared" si="149"/>
        <v>00</v>
      </c>
      <c r="AL991" t="str">
        <f t="shared" si="150"/>
        <v>000000000000</v>
      </c>
      <c r="AM991" t="str">
        <f t="shared" si="142"/>
        <v xml:space="preserve">                              </v>
      </c>
      <c r="AP991" t="str">
        <f t="shared" si="143"/>
        <v/>
      </c>
    </row>
    <row r="992" spans="2:42" x14ac:dyDescent="0.2">
      <c r="B992" s="88"/>
      <c r="C992" s="80"/>
      <c r="D992" s="74"/>
      <c r="AF992" t="str">
        <f t="shared" si="144"/>
        <v>00000000</v>
      </c>
      <c r="AG992" s="81">
        <f t="shared" si="145"/>
        <v>0</v>
      </c>
      <c r="AH992" s="81">
        <f t="shared" si="146"/>
        <v>0</v>
      </c>
      <c r="AI992" t="str">
        <f t="shared" si="147"/>
        <v>0000000000</v>
      </c>
      <c r="AJ992" t="str">
        <f t="shared" si="148"/>
        <v>.00</v>
      </c>
      <c r="AK992" t="str">
        <f t="shared" si="149"/>
        <v>00</v>
      </c>
      <c r="AL992" t="str">
        <f t="shared" si="150"/>
        <v>000000000000</v>
      </c>
      <c r="AM992" t="str">
        <f t="shared" si="142"/>
        <v xml:space="preserve">                              </v>
      </c>
      <c r="AP992" t="str">
        <f t="shared" si="143"/>
        <v/>
      </c>
    </row>
    <row r="993" spans="2:42" x14ac:dyDescent="0.2">
      <c r="B993" s="88"/>
      <c r="C993" s="80"/>
      <c r="D993" s="74"/>
      <c r="AF993" t="str">
        <f t="shared" si="144"/>
        <v>00000000</v>
      </c>
      <c r="AG993" s="81">
        <f t="shared" si="145"/>
        <v>0</v>
      </c>
      <c r="AH993" s="81">
        <f t="shared" si="146"/>
        <v>0</v>
      </c>
      <c r="AI993" t="str">
        <f t="shared" si="147"/>
        <v>0000000000</v>
      </c>
      <c r="AJ993" t="str">
        <f t="shared" si="148"/>
        <v>.00</v>
      </c>
      <c r="AK993" t="str">
        <f t="shared" si="149"/>
        <v>00</v>
      </c>
      <c r="AL993" t="str">
        <f t="shared" si="150"/>
        <v>000000000000</v>
      </c>
      <c r="AM993" t="str">
        <f t="shared" si="142"/>
        <v xml:space="preserve">                              </v>
      </c>
      <c r="AP993" t="str">
        <f t="shared" si="143"/>
        <v/>
      </c>
    </row>
    <row r="994" spans="2:42" x14ac:dyDescent="0.2">
      <c r="B994" s="88"/>
      <c r="C994" s="80"/>
      <c r="D994" s="74"/>
      <c r="AF994" t="str">
        <f t="shared" si="144"/>
        <v>00000000</v>
      </c>
      <c r="AG994" s="81">
        <f t="shared" si="145"/>
        <v>0</v>
      </c>
      <c r="AH994" s="81">
        <f t="shared" si="146"/>
        <v>0</v>
      </c>
      <c r="AI994" t="str">
        <f t="shared" si="147"/>
        <v>0000000000</v>
      </c>
      <c r="AJ994" t="str">
        <f t="shared" si="148"/>
        <v>.00</v>
      </c>
      <c r="AK994" t="str">
        <f t="shared" si="149"/>
        <v>00</v>
      </c>
      <c r="AL994" t="str">
        <f t="shared" si="150"/>
        <v>000000000000</v>
      </c>
      <c r="AM994" t="str">
        <f t="shared" si="142"/>
        <v xml:space="preserve">                              </v>
      </c>
      <c r="AP994" t="str">
        <f t="shared" si="143"/>
        <v/>
      </c>
    </row>
    <row r="995" spans="2:42" x14ac:dyDescent="0.2">
      <c r="B995" s="88"/>
      <c r="C995" s="80"/>
      <c r="D995" s="74"/>
      <c r="AF995" t="str">
        <f t="shared" si="144"/>
        <v>00000000</v>
      </c>
      <c r="AG995" s="81">
        <f t="shared" si="145"/>
        <v>0</v>
      </c>
      <c r="AH995" s="81">
        <f t="shared" si="146"/>
        <v>0</v>
      </c>
      <c r="AI995" t="str">
        <f t="shared" si="147"/>
        <v>0000000000</v>
      </c>
      <c r="AJ995" t="str">
        <f t="shared" si="148"/>
        <v>.00</v>
      </c>
      <c r="AK995" t="str">
        <f t="shared" si="149"/>
        <v>00</v>
      </c>
      <c r="AL995" t="str">
        <f t="shared" si="150"/>
        <v>000000000000</v>
      </c>
      <c r="AM995" t="str">
        <f t="shared" si="142"/>
        <v xml:space="preserve">                              </v>
      </c>
      <c r="AP995" t="str">
        <f t="shared" si="143"/>
        <v/>
      </c>
    </row>
    <row r="996" spans="2:42" x14ac:dyDescent="0.2">
      <c r="B996" s="88"/>
      <c r="C996" s="80"/>
      <c r="D996" s="74"/>
      <c r="AF996" t="str">
        <f t="shared" si="144"/>
        <v>00000000</v>
      </c>
      <c r="AG996" s="81">
        <f t="shared" si="145"/>
        <v>0</v>
      </c>
      <c r="AH996" s="81">
        <f t="shared" si="146"/>
        <v>0</v>
      </c>
      <c r="AI996" t="str">
        <f t="shared" si="147"/>
        <v>0000000000</v>
      </c>
      <c r="AJ996" t="str">
        <f t="shared" si="148"/>
        <v>.00</v>
      </c>
      <c r="AK996" t="str">
        <f t="shared" si="149"/>
        <v>00</v>
      </c>
      <c r="AL996" t="str">
        <f t="shared" si="150"/>
        <v>000000000000</v>
      </c>
      <c r="AM996" t="str">
        <f t="shared" si="142"/>
        <v xml:space="preserve">                              </v>
      </c>
      <c r="AP996" t="str">
        <f t="shared" si="143"/>
        <v/>
      </c>
    </row>
    <row r="997" spans="2:42" x14ac:dyDescent="0.2">
      <c r="B997" s="88"/>
      <c r="C997" s="80"/>
      <c r="D997" s="74"/>
      <c r="AF997" t="str">
        <f t="shared" si="144"/>
        <v>00000000</v>
      </c>
      <c r="AG997" s="81">
        <f t="shared" si="145"/>
        <v>0</v>
      </c>
      <c r="AH997" s="81">
        <f t="shared" si="146"/>
        <v>0</v>
      </c>
      <c r="AI997" t="str">
        <f t="shared" si="147"/>
        <v>0000000000</v>
      </c>
      <c r="AJ997" t="str">
        <f t="shared" si="148"/>
        <v>.00</v>
      </c>
      <c r="AK997" t="str">
        <f t="shared" si="149"/>
        <v>00</v>
      </c>
      <c r="AL997" t="str">
        <f t="shared" si="150"/>
        <v>000000000000</v>
      </c>
      <c r="AM997" t="str">
        <f t="shared" si="142"/>
        <v xml:space="preserve">                              </v>
      </c>
      <c r="AP997" t="str">
        <f t="shared" si="143"/>
        <v/>
      </c>
    </row>
    <row r="998" spans="2:42" x14ac:dyDescent="0.2">
      <c r="B998" s="88"/>
      <c r="C998" s="80"/>
      <c r="D998" s="74"/>
      <c r="AF998" t="str">
        <f t="shared" si="144"/>
        <v>00000000</v>
      </c>
      <c r="AG998" s="81">
        <f t="shared" si="145"/>
        <v>0</v>
      </c>
      <c r="AH998" s="81">
        <f t="shared" si="146"/>
        <v>0</v>
      </c>
      <c r="AI998" t="str">
        <f t="shared" si="147"/>
        <v>0000000000</v>
      </c>
      <c r="AJ998" t="str">
        <f t="shared" si="148"/>
        <v>.00</v>
      </c>
      <c r="AK998" t="str">
        <f t="shared" si="149"/>
        <v>00</v>
      </c>
      <c r="AL998" t="str">
        <f t="shared" si="150"/>
        <v>000000000000</v>
      </c>
      <c r="AM998" t="str">
        <f t="shared" si="142"/>
        <v xml:space="preserve">                              </v>
      </c>
      <c r="AP998" t="str">
        <f t="shared" si="143"/>
        <v/>
      </c>
    </row>
    <row r="999" spans="2:42" x14ac:dyDescent="0.2">
      <c r="B999" s="88"/>
      <c r="C999" s="80"/>
      <c r="D999" s="74"/>
      <c r="AF999" t="str">
        <f t="shared" si="144"/>
        <v>00000000</v>
      </c>
      <c r="AG999" s="81">
        <f t="shared" si="145"/>
        <v>0</v>
      </c>
      <c r="AH999" s="81">
        <f t="shared" si="146"/>
        <v>0</v>
      </c>
      <c r="AI999" t="str">
        <f t="shared" si="147"/>
        <v>0000000000</v>
      </c>
      <c r="AJ999" t="str">
        <f t="shared" si="148"/>
        <v>.00</v>
      </c>
      <c r="AK999" t="str">
        <f t="shared" si="149"/>
        <v>00</v>
      </c>
      <c r="AL999" t="str">
        <f t="shared" si="150"/>
        <v>000000000000</v>
      </c>
      <c r="AM999" t="str">
        <f t="shared" si="142"/>
        <v xml:space="preserve">                              </v>
      </c>
      <c r="AP999" t="str">
        <f t="shared" si="143"/>
        <v/>
      </c>
    </row>
    <row r="1000" spans="2:42" x14ac:dyDescent="0.2">
      <c r="B1000" s="88"/>
      <c r="C1000" s="80"/>
      <c r="D1000" s="74"/>
      <c r="AF1000" t="str">
        <f t="shared" si="144"/>
        <v>00000000</v>
      </c>
      <c r="AG1000" s="81">
        <f t="shared" si="145"/>
        <v>0</v>
      </c>
      <c r="AH1000" s="81">
        <f t="shared" si="146"/>
        <v>0</v>
      </c>
      <c r="AI1000" t="str">
        <f t="shared" si="147"/>
        <v>0000000000</v>
      </c>
      <c r="AJ1000" t="str">
        <f t="shared" si="148"/>
        <v>.00</v>
      </c>
      <c r="AK1000" t="str">
        <f t="shared" si="149"/>
        <v>00</v>
      </c>
      <c r="AL1000" t="str">
        <f t="shared" si="150"/>
        <v>000000000000</v>
      </c>
      <c r="AM1000" t="str">
        <f t="shared" si="142"/>
        <v xml:space="preserve">                              </v>
      </c>
      <c r="AP1000" t="str">
        <f t="shared" si="143"/>
        <v/>
      </c>
    </row>
    <row r="1001" spans="2:42" x14ac:dyDescent="0.2"/>
  </sheetData>
  <sheetProtection password="CCCB" sheet="1" objects="1" scenarios="1"/>
  <dataValidations count="4">
    <dataValidation type="whole" allowBlank="1" showInputMessage="1" showErrorMessage="1" errorTitle="Número de cheque incorrecto" error="El número de cheque no debe ser mayor a 8 números." sqref="B3:B1000">
      <formula1>1</formula1>
      <formula2>99999999</formula2>
    </dataValidation>
    <dataValidation type="textLength" operator="lessThan" allowBlank="1" showInputMessage="1" showErrorMessage="1" errorTitle="Monto incorrecto" error="El monto indicado no puede ser mayor a 9,999,999,999.99" sqref="C3:C5 C7:C1000">
      <formula1>11</formula1>
    </dataValidation>
    <dataValidation type="textLength" operator="lessThan" allowBlank="1" showInputMessage="1" showErrorMessage="1" errorTitle="Monto incorrecto" error="El monto indicado no puede ser mayor a 9,999,999,999.99" sqref="C6">
      <formula1>11</formula1>
    </dataValidation>
    <dataValidation type="textLength" allowBlank="1" showInputMessage="1" showErrorMessage="1" errorTitle="Beneficiario incorrecto" error="El nombre del beneficiario no puede ser mayor a 30 campos." sqref="D3:D1000">
      <formula1>5</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locked="0" defaultSize="0" print="0" autoFill="0" autoPict="0" macro="[0]!Botón1_Haga_clic_en">
                <anchor moveWithCells="1">
                  <from>
                    <xdr:col>4</xdr:col>
                    <xdr:colOff>581025</xdr:colOff>
                    <xdr:row>4</xdr:row>
                    <xdr:rowOff>66675</xdr:rowOff>
                  </from>
                  <to>
                    <xdr:col>6</xdr:col>
                    <xdr:colOff>114300</xdr:colOff>
                    <xdr:row>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6" tint="-0.249977111117893"/>
  </sheetPr>
  <dimension ref="A1:AR1016"/>
  <sheetViews>
    <sheetView showGridLines="0" showRowColHeaders="0" workbookViewId="0">
      <selection activeCell="E10" sqref="E10"/>
    </sheetView>
  </sheetViews>
  <sheetFormatPr baseColWidth="10" defaultColWidth="0" defaultRowHeight="15" x14ac:dyDescent="0.2"/>
  <cols>
    <col min="1" max="1" width="4.140625" style="44" customWidth="1"/>
    <col min="2" max="3" width="15.5703125" style="105" customWidth="1"/>
    <col min="4" max="4" width="35.28515625" style="105" customWidth="1"/>
    <col min="5" max="5" width="29.7109375" style="45" customWidth="1"/>
    <col min="6" max="6" width="20.85546875" style="46" customWidth="1"/>
    <col min="7" max="7" width="20.85546875" style="45" customWidth="1"/>
    <col min="8" max="8" width="3.42578125" style="45" customWidth="1"/>
    <col min="9" max="26" width="11.42578125" style="45" hidden="1" customWidth="1"/>
    <col min="27" max="27" width="11.140625" style="73" hidden="1" customWidth="1"/>
    <col min="28" max="28" width="14.85546875" style="73" hidden="1" customWidth="1"/>
    <col min="29" max="29" width="9.5703125" style="47" hidden="1" customWidth="1"/>
    <col min="30" max="30" width="4.5703125" style="47" hidden="1" customWidth="1"/>
    <col min="31" max="31" width="19.140625" style="48" hidden="1" customWidth="1"/>
    <col min="32" max="32" width="9" style="48" hidden="1" customWidth="1"/>
    <col min="33" max="33" width="12.140625" style="49" hidden="1" customWidth="1"/>
    <col min="34" max="35" width="13.28515625" style="49" hidden="1" customWidth="1"/>
    <col min="36" max="36" width="15.42578125" style="49" hidden="1" customWidth="1"/>
    <col min="37" max="37" width="14.140625" style="107" hidden="1" customWidth="1"/>
    <col min="38" max="38" width="10.28515625" style="107" hidden="1" customWidth="1"/>
    <col min="39" max="39" width="5.42578125" style="45" hidden="1" customWidth="1"/>
    <col min="40" max="40" width="31.140625" style="45" hidden="1" customWidth="1"/>
    <col min="41" max="41" width="3" style="45" hidden="1" customWidth="1"/>
    <col min="42" max="42" width="105.7109375" style="108" hidden="1" customWidth="1"/>
    <col min="43" max="44" width="11.42578125" style="45" hidden="1" customWidth="1"/>
    <col min="45" max="16384" width="11.5703125" style="45" hidden="1"/>
  </cols>
  <sheetData>
    <row r="1" spans="1:42" ht="16.5" thickBot="1" x14ac:dyDescent="0.3">
      <c r="A1" s="130"/>
      <c r="G1" s="106" t="s">
        <v>37</v>
      </c>
      <c r="H1" s="106"/>
      <c r="AB1" s="129">
        <f>IF('Datos Empresa'!E9="Cuenta Corriente",1,2)</f>
        <v>1</v>
      </c>
      <c r="AC1" s="44"/>
      <c r="AD1" s="129">
        <f>IF(G10="Ordinario",1,IF(G10="Aguinaldo",2,5))</f>
        <v>1</v>
      </c>
      <c r="AP1" s="108" t="str">
        <f>CONCATENATE("000",AB2,AD2,"000000",AK3,"000000000000000000",AL3,"PJ00000000000000000000")</f>
        <v>00000300453522200500000000080087076700000000000000000013112015PJ00000000000000000000</v>
      </c>
    </row>
    <row r="2" spans="1:42" s="58" customFormat="1" ht="39" customHeight="1" thickBot="1" x14ac:dyDescent="0.25">
      <c r="A2" s="130"/>
      <c r="B2" s="76" t="s">
        <v>38</v>
      </c>
      <c r="C2" s="76" t="s">
        <v>36</v>
      </c>
      <c r="D2" s="76" t="s">
        <v>39</v>
      </c>
      <c r="E2" s="53" t="s">
        <v>31</v>
      </c>
      <c r="F2" s="56" t="s">
        <v>3</v>
      </c>
      <c r="AA2" s="122">
        <f>'Datos Empresa'!E5</f>
        <v>3004535222</v>
      </c>
      <c r="AB2" s="123" t="str">
        <f>CONCATENATE(REPT("0",12-LEN(AA2)),AA2)</f>
        <v>003004535222</v>
      </c>
      <c r="AC2" s="109"/>
      <c r="AD2" s="124" t="str">
        <f>CONCATENATE(REPT("0",3-LEN('Datos Empresa'!E15)),'Datos Empresa'!E15)</f>
        <v>005</v>
      </c>
      <c r="AE2" s="110" t="s">
        <v>10</v>
      </c>
      <c r="AF2" s="110" t="s">
        <v>11</v>
      </c>
      <c r="AG2" s="111" t="s">
        <v>12</v>
      </c>
      <c r="AH2" s="111" t="s">
        <v>13</v>
      </c>
      <c r="AI2" s="111" t="s">
        <v>14</v>
      </c>
      <c r="AJ2" s="111" t="s">
        <v>3</v>
      </c>
      <c r="AK2" s="125">
        <f>'Datos Empresa'!E17</f>
        <v>800870767</v>
      </c>
      <c r="AL2" s="127">
        <f>'Datos Empresa'!E19</f>
        <v>42321</v>
      </c>
      <c r="AP2" s="108" t="str">
        <f>CONCATENATE("000",AB1,"0",AD1,,"000",AA3,AB3,AC3,"4",AB2,AJ3,AL3,"0                                                  ")</f>
        <v xml:space="preserve">0001010003590000315814003004535222000000000000131120150                                                  </v>
      </c>
    </row>
    <row r="3" spans="1:42" s="44" customFormat="1" ht="15.75" x14ac:dyDescent="0.25">
      <c r="A3" s="130"/>
      <c r="B3" s="112"/>
      <c r="C3" s="112"/>
      <c r="D3" s="112"/>
      <c r="E3" s="113" t="s">
        <v>40</v>
      </c>
      <c r="F3" s="64">
        <f>SUM(F4:F1000)</f>
        <v>0</v>
      </c>
      <c r="AA3" s="131" t="str">
        <f>CONCATENATE(REPT("0",3-LEN('Datos Empresa'!G9)),'Datos Empresa'!G9)</f>
        <v>359</v>
      </c>
      <c r="AB3" s="123" t="str">
        <f>CONCATENATE(REPT("0",8-LEN('Datos Empresa'!I9)),'Datos Empresa'!I9)</f>
        <v>00003158</v>
      </c>
      <c r="AC3" s="132">
        <f>IF('Datos Empresa'!E11="Colones",1,2)</f>
        <v>1</v>
      </c>
      <c r="AD3" s="114">
        <v>4</v>
      </c>
      <c r="AE3" s="66">
        <f>INT(F3)</f>
        <v>0</v>
      </c>
      <c r="AF3" s="66">
        <f t="shared" ref="AF3:AF66" si="0">F3-AE3</f>
        <v>0</v>
      </c>
      <c r="AG3" s="67" t="str">
        <f>TEXT(AE3,"0000000000")</f>
        <v>0000000000</v>
      </c>
      <c r="AH3" s="67" t="str">
        <f>TEXT(AF3,".00")</f>
        <v>.00</v>
      </c>
      <c r="AI3" s="67" t="str">
        <f>MID(AH3,2,2)</f>
        <v>00</v>
      </c>
      <c r="AJ3" s="67" t="str">
        <f>CONCATENATE(AG3,AI3)</f>
        <v>000000000000</v>
      </c>
      <c r="AK3" s="126" t="str">
        <f>CONCATENATE(REPT("0",12-LEN(AK2)),AK2)</f>
        <v>000800870767</v>
      </c>
      <c r="AL3" s="128" t="str">
        <f>TEXT(AL2,"ddmme")</f>
        <v>13112015</v>
      </c>
      <c r="AP3" s="115" t="str">
        <f>IF(B4&lt;&gt;"",CONCATENATE("00000",$AD$1,AA4,$AC$3,"2",AB4,AJ4,$AL$3,"0                                                  "),"")</f>
        <v/>
      </c>
    </row>
    <row r="4" spans="1:42" x14ac:dyDescent="0.2">
      <c r="A4" s="63" t="str">
        <f>IF(B4&lt;&gt;"",0+1,"")</f>
        <v/>
      </c>
      <c r="B4" s="133"/>
      <c r="C4" s="133"/>
      <c r="D4" s="134"/>
      <c r="E4" s="135"/>
      <c r="F4" s="136"/>
      <c r="AA4" s="131" t="str">
        <f t="shared" ref="AA4:AA67" si="1">CONCATENATE(REPT("0",14-LEN(B4)),B4)</f>
        <v>00000000000000</v>
      </c>
      <c r="AB4" s="123" t="str">
        <f>CONCATENATE(REPT("0",12-LEN(C4)),C4)</f>
        <v>000000000000</v>
      </c>
      <c r="AC4" s="118">
        <f>AC3</f>
        <v>1</v>
      </c>
      <c r="AD4" s="47">
        <v>2</v>
      </c>
      <c r="AE4" s="66">
        <f>INT(F4)</f>
        <v>0</v>
      </c>
      <c r="AF4" s="66">
        <f t="shared" si="0"/>
        <v>0</v>
      </c>
      <c r="AG4" s="67" t="str">
        <f>TEXT(AE4,"0000000000")</f>
        <v>0000000000</v>
      </c>
      <c r="AH4" s="67" t="str">
        <f>TEXT(AF4,".00")</f>
        <v>.00</v>
      </c>
      <c r="AI4" s="67" t="str">
        <f>MID(AH4,2,2)</f>
        <v>00</v>
      </c>
      <c r="AJ4" s="67" t="str">
        <f>CONCATENATE(AG4,AI4)</f>
        <v>000000000000</v>
      </c>
      <c r="AK4" s="130" t="s">
        <v>42</v>
      </c>
      <c r="AL4" s="120"/>
      <c r="AP4" s="115" t="str">
        <f>IF(B5&lt;&gt;"",CONCATENATE("00000",$AD$1,AA5,$AC$3,"2",AB5,AJ5,$AL$3,"0                                                  "),"")</f>
        <v/>
      </c>
    </row>
    <row r="5" spans="1:42" x14ac:dyDescent="0.2">
      <c r="A5" s="63" t="str">
        <f t="shared" ref="A5:A68" si="2">IF(B5&lt;&gt;"",A4+1,"")</f>
        <v/>
      </c>
      <c r="B5" s="133"/>
      <c r="C5" s="133"/>
      <c r="D5" s="134"/>
      <c r="E5" s="135"/>
      <c r="F5" s="137"/>
      <c r="AA5" s="116" t="str">
        <f t="shared" si="1"/>
        <v>00000000000000</v>
      </c>
      <c r="AB5" s="117" t="str">
        <f t="shared" ref="AB5:AB68" si="3">CONCATENATE(REPT("0",12-LEN(C5)),C5)</f>
        <v>000000000000</v>
      </c>
      <c r="AC5" s="118">
        <f t="shared" ref="AC5:AC68" si="4">AC4</f>
        <v>1</v>
      </c>
      <c r="AD5" s="47">
        <v>2</v>
      </c>
      <c r="AE5" s="66">
        <f>INT(F5)</f>
        <v>0</v>
      </c>
      <c r="AF5" s="66">
        <f t="shared" si="0"/>
        <v>0</v>
      </c>
      <c r="AG5" s="67" t="str">
        <f>TEXT(AE5,"0000000000")</f>
        <v>0000000000</v>
      </c>
      <c r="AH5" s="67" t="str">
        <f>TEXT(AF5,".00")</f>
        <v>.00</v>
      </c>
      <c r="AI5" s="67" t="str">
        <f t="shared" ref="AI5:AI68" si="5">MID(AH5,2,2)</f>
        <v>00</v>
      </c>
      <c r="AJ5" s="67" t="str">
        <f>CONCATENATE(AG5,AI5)</f>
        <v>000000000000</v>
      </c>
      <c r="AK5" s="130" t="s">
        <v>43</v>
      </c>
      <c r="AL5" s="120"/>
      <c r="AP5" s="115" t="str">
        <f>IF(B6&lt;&gt;"",CONCATENATE("00000",$AD$1,AA6,$AC$3,"2",AB6,AJ6,$AL$3,"0                                                  "),"")</f>
        <v/>
      </c>
    </row>
    <row r="6" spans="1:42" x14ac:dyDescent="0.2">
      <c r="A6" s="63" t="str">
        <f t="shared" si="2"/>
        <v/>
      </c>
      <c r="B6" s="133"/>
      <c r="C6" s="133"/>
      <c r="D6" s="134"/>
      <c r="E6" s="135"/>
      <c r="F6" s="137"/>
      <c r="AA6" s="116" t="str">
        <f t="shared" si="1"/>
        <v>00000000000000</v>
      </c>
      <c r="AB6" s="117" t="str">
        <f t="shared" si="3"/>
        <v>000000000000</v>
      </c>
      <c r="AC6" s="118">
        <f t="shared" si="4"/>
        <v>1</v>
      </c>
      <c r="AD6" s="47">
        <v>2</v>
      </c>
      <c r="AE6" s="66">
        <f>INT(F6)</f>
        <v>0</v>
      </c>
      <c r="AF6" s="66">
        <f t="shared" si="0"/>
        <v>0</v>
      </c>
      <c r="AG6" s="67" t="str">
        <f>TEXT(AE6,"0000000000")</f>
        <v>0000000000</v>
      </c>
      <c r="AH6" s="67" t="str">
        <f>TEXT(AF6,".00")</f>
        <v>.00</v>
      </c>
      <c r="AI6" s="67" t="str">
        <f t="shared" si="5"/>
        <v>00</v>
      </c>
      <c r="AJ6" s="67" t="str">
        <f>CONCATENATE(AG6,AI6)</f>
        <v>000000000000</v>
      </c>
      <c r="AK6" s="130" t="s">
        <v>44</v>
      </c>
      <c r="AL6" s="120"/>
      <c r="AP6" s="115" t="str">
        <f t="shared" ref="AP6:AP69" si="6">IF(B7&lt;&gt;"",CONCATENATE("00000",$AD$1,AA7,$AC$3,"2",AB7,AJ7,$AL$3,"0                                                  "),"")</f>
        <v/>
      </c>
    </row>
    <row r="7" spans="1:42" x14ac:dyDescent="0.2">
      <c r="A7" s="63" t="str">
        <f t="shared" si="2"/>
        <v/>
      </c>
      <c r="B7" s="133"/>
      <c r="C7" s="133"/>
      <c r="D7" s="134"/>
      <c r="E7" s="135"/>
      <c r="F7" s="138"/>
      <c r="AA7" s="116" t="str">
        <f t="shared" si="1"/>
        <v>00000000000000</v>
      </c>
      <c r="AB7" s="117" t="str">
        <f t="shared" si="3"/>
        <v>000000000000</v>
      </c>
      <c r="AC7" s="118">
        <f t="shared" si="4"/>
        <v>1</v>
      </c>
      <c r="AD7" s="47">
        <v>2</v>
      </c>
      <c r="AE7" s="66">
        <f>INT(F7)</f>
        <v>0</v>
      </c>
      <c r="AF7" s="66">
        <f t="shared" si="0"/>
        <v>0</v>
      </c>
      <c r="AG7" s="67" t="str">
        <f>TEXT(AE7,"0000000000")</f>
        <v>0000000000</v>
      </c>
      <c r="AH7" s="67" t="str">
        <f>TEXT(AF7,".00")</f>
        <v>.00</v>
      </c>
      <c r="AI7" s="67" t="str">
        <f t="shared" si="5"/>
        <v>00</v>
      </c>
      <c r="AJ7" s="67" t="str">
        <f>CONCATENATE(AG7,AI7)</f>
        <v>000000000000</v>
      </c>
      <c r="AK7" s="119"/>
      <c r="AL7" s="120"/>
      <c r="AP7" s="115" t="str">
        <f t="shared" si="6"/>
        <v/>
      </c>
    </row>
    <row r="8" spans="1:42" ht="15.75" thickBot="1" x14ac:dyDescent="0.25">
      <c r="A8" s="63" t="str">
        <f t="shared" si="2"/>
        <v/>
      </c>
      <c r="B8" s="133"/>
      <c r="C8" s="133"/>
      <c r="D8" s="134"/>
      <c r="E8" s="135"/>
      <c r="F8" s="138"/>
      <c r="AA8" s="116" t="str">
        <f t="shared" si="1"/>
        <v>00000000000000</v>
      </c>
      <c r="AB8" s="117" t="str">
        <f t="shared" si="3"/>
        <v>000000000000</v>
      </c>
      <c r="AC8" s="118">
        <f t="shared" si="4"/>
        <v>1</v>
      </c>
      <c r="AD8" s="47">
        <v>2</v>
      </c>
      <c r="AE8" s="66">
        <f t="shared" ref="AE8:AE71" si="7">INT(F8)</f>
        <v>0</v>
      </c>
      <c r="AF8" s="66">
        <f t="shared" si="0"/>
        <v>0</v>
      </c>
      <c r="AG8" s="67" t="str">
        <f t="shared" ref="AG8:AG71" si="8">TEXT(AE8,"0000000000")</f>
        <v>0000000000</v>
      </c>
      <c r="AH8" s="67" t="str">
        <f t="shared" ref="AH8:AH71" si="9">TEXT(AF8,".00")</f>
        <v>.00</v>
      </c>
      <c r="AI8" s="67" t="str">
        <f t="shared" si="5"/>
        <v>00</v>
      </c>
      <c r="AJ8" s="67" t="str">
        <f t="shared" ref="AJ8:AJ71" si="10">CONCATENATE(AG8,AI8)</f>
        <v>000000000000</v>
      </c>
      <c r="AK8" s="119"/>
      <c r="AL8" s="120"/>
      <c r="AP8" s="115" t="str">
        <f t="shared" si="6"/>
        <v/>
      </c>
    </row>
    <row r="9" spans="1:42" ht="15.75" thickBot="1" x14ac:dyDescent="0.25">
      <c r="A9" s="63" t="str">
        <f t="shared" si="2"/>
        <v/>
      </c>
      <c r="B9" s="133"/>
      <c r="C9" s="133"/>
      <c r="D9" s="135"/>
      <c r="E9" s="135"/>
      <c r="F9" s="139"/>
      <c r="G9" s="140" t="s">
        <v>41</v>
      </c>
      <c r="AA9" s="116" t="str">
        <f t="shared" si="1"/>
        <v>00000000000000</v>
      </c>
      <c r="AB9" s="117" t="str">
        <f t="shared" si="3"/>
        <v>000000000000</v>
      </c>
      <c r="AC9" s="118">
        <f t="shared" si="4"/>
        <v>1</v>
      </c>
      <c r="AD9" s="47">
        <v>2</v>
      </c>
      <c r="AE9" s="66">
        <f t="shared" si="7"/>
        <v>0</v>
      </c>
      <c r="AF9" s="66">
        <f t="shared" si="0"/>
        <v>0</v>
      </c>
      <c r="AG9" s="67" t="str">
        <f t="shared" si="8"/>
        <v>0000000000</v>
      </c>
      <c r="AH9" s="67" t="str">
        <f t="shared" si="9"/>
        <v>.00</v>
      </c>
      <c r="AI9" s="67" t="str">
        <f t="shared" si="5"/>
        <v>00</v>
      </c>
      <c r="AJ9" s="67" t="str">
        <f t="shared" si="10"/>
        <v>000000000000</v>
      </c>
      <c r="AK9" s="119"/>
      <c r="AL9" s="120"/>
      <c r="AN9" s="44"/>
      <c r="AO9" s="44"/>
      <c r="AP9" s="115" t="str">
        <f t="shared" si="6"/>
        <v/>
      </c>
    </row>
    <row r="10" spans="1:42" ht="15.75" thickBot="1" x14ac:dyDescent="0.25">
      <c r="A10" s="63" t="str">
        <f t="shared" si="2"/>
        <v/>
      </c>
      <c r="B10" s="133"/>
      <c r="C10" s="133"/>
      <c r="D10" s="135"/>
      <c r="E10" s="135"/>
      <c r="F10" s="139"/>
      <c r="G10" s="141" t="s">
        <v>42</v>
      </c>
      <c r="AA10" s="116" t="str">
        <f t="shared" si="1"/>
        <v>00000000000000</v>
      </c>
      <c r="AB10" s="117" t="str">
        <f t="shared" si="3"/>
        <v>000000000000</v>
      </c>
      <c r="AC10" s="118">
        <f t="shared" si="4"/>
        <v>1</v>
      </c>
      <c r="AD10" s="47">
        <v>2</v>
      </c>
      <c r="AE10" s="66">
        <f t="shared" si="7"/>
        <v>0</v>
      </c>
      <c r="AF10" s="66">
        <f t="shared" si="0"/>
        <v>0</v>
      </c>
      <c r="AG10" s="67" t="str">
        <f t="shared" si="8"/>
        <v>0000000000</v>
      </c>
      <c r="AH10" s="67" t="str">
        <f t="shared" si="9"/>
        <v>.00</v>
      </c>
      <c r="AI10" s="67" t="str">
        <f t="shared" si="5"/>
        <v>00</v>
      </c>
      <c r="AJ10" s="67" t="str">
        <f t="shared" si="10"/>
        <v>000000000000</v>
      </c>
      <c r="AK10" s="119"/>
      <c r="AL10" s="120"/>
      <c r="AP10" s="115" t="str">
        <f t="shared" si="6"/>
        <v/>
      </c>
    </row>
    <row r="11" spans="1:42" x14ac:dyDescent="0.2">
      <c r="A11" s="63" t="str">
        <f t="shared" si="2"/>
        <v/>
      </c>
      <c r="B11" s="133"/>
      <c r="C11" s="133"/>
      <c r="D11" s="135"/>
      <c r="E11" s="135"/>
      <c r="F11" s="137"/>
      <c r="AA11" s="116" t="str">
        <f t="shared" si="1"/>
        <v>00000000000000</v>
      </c>
      <c r="AB11" s="117" t="str">
        <f t="shared" si="3"/>
        <v>000000000000</v>
      </c>
      <c r="AC11" s="118">
        <f t="shared" si="4"/>
        <v>1</v>
      </c>
      <c r="AD11" s="47">
        <v>2</v>
      </c>
      <c r="AE11" s="66">
        <f t="shared" si="7"/>
        <v>0</v>
      </c>
      <c r="AF11" s="66">
        <f t="shared" si="0"/>
        <v>0</v>
      </c>
      <c r="AG11" s="67" t="str">
        <f t="shared" si="8"/>
        <v>0000000000</v>
      </c>
      <c r="AH11" s="67" t="str">
        <f t="shared" si="9"/>
        <v>.00</v>
      </c>
      <c r="AI11" s="67" t="str">
        <f t="shared" si="5"/>
        <v>00</v>
      </c>
      <c r="AJ11" s="67" t="str">
        <f t="shared" si="10"/>
        <v>000000000000</v>
      </c>
      <c r="AK11" s="119"/>
      <c r="AL11" s="120"/>
      <c r="AP11" s="115" t="str">
        <f t="shared" si="6"/>
        <v/>
      </c>
    </row>
    <row r="12" spans="1:42" x14ac:dyDescent="0.2">
      <c r="A12" s="63" t="str">
        <f t="shared" si="2"/>
        <v/>
      </c>
      <c r="B12" s="133"/>
      <c r="C12" s="133"/>
      <c r="D12" s="135"/>
      <c r="E12" s="135"/>
      <c r="F12" s="137"/>
      <c r="AA12" s="116" t="str">
        <f t="shared" si="1"/>
        <v>00000000000000</v>
      </c>
      <c r="AB12" s="117" t="str">
        <f t="shared" si="3"/>
        <v>000000000000</v>
      </c>
      <c r="AC12" s="118">
        <f t="shared" si="4"/>
        <v>1</v>
      </c>
      <c r="AD12" s="47">
        <v>2</v>
      </c>
      <c r="AE12" s="66">
        <f t="shared" si="7"/>
        <v>0</v>
      </c>
      <c r="AF12" s="66">
        <f t="shared" si="0"/>
        <v>0</v>
      </c>
      <c r="AG12" s="67" t="str">
        <f t="shared" si="8"/>
        <v>0000000000</v>
      </c>
      <c r="AH12" s="67" t="str">
        <f t="shared" si="9"/>
        <v>.00</v>
      </c>
      <c r="AI12" s="67" t="str">
        <f t="shared" si="5"/>
        <v>00</v>
      </c>
      <c r="AJ12" s="67" t="str">
        <f t="shared" si="10"/>
        <v>000000000000</v>
      </c>
      <c r="AK12" s="119"/>
      <c r="AL12" s="120"/>
      <c r="AP12" s="115" t="str">
        <f t="shared" si="6"/>
        <v/>
      </c>
    </row>
    <row r="13" spans="1:42" x14ac:dyDescent="0.2">
      <c r="A13" s="63" t="str">
        <f t="shared" si="2"/>
        <v/>
      </c>
      <c r="B13" s="133"/>
      <c r="C13" s="133"/>
      <c r="D13" s="135"/>
      <c r="E13" s="135"/>
      <c r="F13" s="137"/>
      <c r="AA13" s="116" t="str">
        <f t="shared" si="1"/>
        <v>00000000000000</v>
      </c>
      <c r="AB13" s="117" t="str">
        <f t="shared" si="3"/>
        <v>000000000000</v>
      </c>
      <c r="AC13" s="118">
        <f t="shared" si="4"/>
        <v>1</v>
      </c>
      <c r="AD13" s="47">
        <v>2</v>
      </c>
      <c r="AE13" s="66">
        <f t="shared" si="7"/>
        <v>0</v>
      </c>
      <c r="AF13" s="66">
        <f t="shared" si="0"/>
        <v>0</v>
      </c>
      <c r="AG13" s="67" t="str">
        <f t="shared" si="8"/>
        <v>0000000000</v>
      </c>
      <c r="AH13" s="67" t="str">
        <f t="shared" si="9"/>
        <v>.00</v>
      </c>
      <c r="AI13" s="67" t="str">
        <f t="shared" si="5"/>
        <v>00</v>
      </c>
      <c r="AJ13" s="67" t="str">
        <f t="shared" si="10"/>
        <v>000000000000</v>
      </c>
      <c r="AK13" s="119"/>
      <c r="AL13" s="120"/>
      <c r="AP13" s="115" t="str">
        <f t="shared" si="6"/>
        <v/>
      </c>
    </row>
    <row r="14" spans="1:42" x14ac:dyDescent="0.2">
      <c r="A14" s="63" t="str">
        <f t="shared" si="2"/>
        <v/>
      </c>
      <c r="B14" s="133"/>
      <c r="C14" s="133"/>
      <c r="D14" s="135"/>
      <c r="E14" s="135"/>
      <c r="F14" s="137"/>
      <c r="AA14" s="116" t="str">
        <f t="shared" si="1"/>
        <v>00000000000000</v>
      </c>
      <c r="AB14" s="117" t="str">
        <f t="shared" si="3"/>
        <v>000000000000</v>
      </c>
      <c r="AC14" s="118">
        <f t="shared" si="4"/>
        <v>1</v>
      </c>
      <c r="AD14" s="47">
        <v>2</v>
      </c>
      <c r="AE14" s="66">
        <f t="shared" si="7"/>
        <v>0</v>
      </c>
      <c r="AF14" s="66">
        <f t="shared" si="0"/>
        <v>0</v>
      </c>
      <c r="AG14" s="67" t="str">
        <f t="shared" si="8"/>
        <v>0000000000</v>
      </c>
      <c r="AH14" s="67" t="str">
        <f t="shared" si="9"/>
        <v>.00</v>
      </c>
      <c r="AI14" s="67" t="str">
        <f t="shared" si="5"/>
        <v>00</v>
      </c>
      <c r="AJ14" s="67" t="str">
        <f t="shared" si="10"/>
        <v>000000000000</v>
      </c>
      <c r="AK14" s="119"/>
      <c r="AL14" s="120"/>
      <c r="AP14" s="115" t="str">
        <f t="shared" si="6"/>
        <v/>
      </c>
    </row>
    <row r="15" spans="1:42" x14ac:dyDescent="0.2">
      <c r="A15" s="63" t="str">
        <f t="shared" si="2"/>
        <v/>
      </c>
      <c r="B15" s="133"/>
      <c r="C15" s="133"/>
      <c r="D15" s="135"/>
      <c r="E15" s="135"/>
      <c r="F15" s="137"/>
      <c r="AA15" s="116" t="str">
        <f t="shared" si="1"/>
        <v>00000000000000</v>
      </c>
      <c r="AB15" s="117" t="str">
        <f t="shared" si="3"/>
        <v>000000000000</v>
      </c>
      <c r="AC15" s="118">
        <f t="shared" si="4"/>
        <v>1</v>
      </c>
      <c r="AD15" s="47">
        <v>2</v>
      </c>
      <c r="AE15" s="66">
        <f t="shared" si="7"/>
        <v>0</v>
      </c>
      <c r="AF15" s="66">
        <f t="shared" si="0"/>
        <v>0</v>
      </c>
      <c r="AG15" s="67" t="str">
        <f t="shared" si="8"/>
        <v>0000000000</v>
      </c>
      <c r="AH15" s="67" t="str">
        <f t="shared" si="9"/>
        <v>.00</v>
      </c>
      <c r="AI15" s="67" t="str">
        <f t="shared" si="5"/>
        <v>00</v>
      </c>
      <c r="AJ15" s="67" t="str">
        <f t="shared" si="10"/>
        <v>000000000000</v>
      </c>
      <c r="AK15" s="119"/>
      <c r="AL15" s="120"/>
      <c r="AP15" s="115" t="str">
        <f t="shared" si="6"/>
        <v/>
      </c>
    </row>
    <row r="16" spans="1:42" x14ac:dyDescent="0.2">
      <c r="A16" s="63" t="str">
        <f t="shared" si="2"/>
        <v/>
      </c>
      <c r="B16" s="133"/>
      <c r="C16" s="133"/>
      <c r="D16" s="135"/>
      <c r="E16" s="135"/>
      <c r="F16" s="137"/>
      <c r="AA16" s="116" t="str">
        <f t="shared" si="1"/>
        <v>00000000000000</v>
      </c>
      <c r="AB16" s="117" t="str">
        <f t="shared" si="3"/>
        <v>000000000000</v>
      </c>
      <c r="AC16" s="118">
        <f t="shared" si="4"/>
        <v>1</v>
      </c>
      <c r="AD16" s="47">
        <v>2</v>
      </c>
      <c r="AE16" s="66">
        <f t="shared" si="7"/>
        <v>0</v>
      </c>
      <c r="AF16" s="66">
        <f t="shared" si="0"/>
        <v>0</v>
      </c>
      <c r="AG16" s="67" t="str">
        <f t="shared" si="8"/>
        <v>0000000000</v>
      </c>
      <c r="AH16" s="67" t="str">
        <f t="shared" si="9"/>
        <v>.00</v>
      </c>
      <c r="AI16" s="67" t="str">
        <f t="shared" si="5"/>
        <v>00</v>
      </c>
      <c r="AJ16" s="67" t="str">
        <f t="shared" si="10"/>
        <v>000000000000</v>
      </c>
      <c r="AK16" s="119"/>
      <c r="AL16" s="120"/>
      <c r="AP16" s="115" t="str">
        <f t="shared" si="6"/>
        <v/>
      </c>
    </row>
    <row r="17" spans="1:42" x14ac:dyDescent="0.2">
      <c r="A17" s="63" t="str">
        <f t="shared" si="2"/>
        <v/>
      </c>
      <c r="B17" s="133"/>
      <c r="C17" s="133"/>
      <c r="D17" s="135"/>
      <c r="E17" s="135"/>
      <c r="F17" s="137"/>
      <c r="AA17" s="116" t="str">
        <f t="shared" si="1"/>
        <v>00000000000000</v>
      </c>
      <c r="AB17" s="117" t="str">
        <f t="shared" si="3"/>
        <v>000000000000</v>
      </c>
      <c r="AC17" s="118">
        <f t="shared" si="4"/>
        <v>1</v>
      </c>
      <c r="AD17" s="47">
        <v>2</v>
      </c>
      <c r="AE17" s="66">
        <f t="shared" si="7"/>
        <v>0</v>
      </c>
      <c r="AF17" s="66">
        <f t="shared" si="0"/>
        <v>0</v>
      </c>
      <c r="AG17" s="67" t="str">
        <f t="shared" si="8"/>
        <v>0000000000</v>
      </c>
      <c r="AH17" s="67" t="str">
        <f t="shared" si="9"/>
        <v>.00</v>
      </c>
      <c r="AI17" s="67" t="str">
        <f t="shared" si="5"/>
        <v>00</v>
      </c>
      <c r="AJ17" s="67" t="str">
        <f t="shared" si="10"/>
        <v>000000000000</v>
      </c>
      <c r="AK17" s="119"/>
      <c r="AL17" s="120"/>
      <c r="AP17" s="115" t="str">
        <f t="shared" si="6"/>
        <v/>
      </c>
    </row>
    <row r="18" spans="1:42" x14ac:dyDescent="0.2">
      <c r="A18" s="63" t="str">
        <f t="shared" si="2"/>
        <v/>
      </c>
      <c r="B18" s="133"/>
      <c r="C18" s="133"/>
      <c r="D18" s="135"/>
      <c r="E18" s="135"/>
      <c r="F18" s="137"/>
      <c r="AA18" s="116" t="str">
        <f t="shared" si="1"/>
        <v>00000000000000</v>
      </c>
      <c r="AB18" s="117" t="str">
        <f t="shared" si="3"/>
        <v>000000000000</v>
      </c>
      <c r="AC18" s="118">
        <f t="shared" si="4"/>
        <v>1</v>
      </c>
      <c r="AD18" s="47">
        <v>2</v>
      </c>
      <c r="AE18" s="66">
        <f t="shared" si="7"/>
        <v>0</v>
      </c>
      <c r="AF18" s="66">
        <f t="shared" si="0"/>
        <v>0</v>
      </c>
      <c r="AG18" s="67" t="str">
        <f t="shared" si="8"/>
        <v>0000000000</v>
      </c>
      <c r="AH18" s="67" t="str">
        <f t="shared" si="9"/>
        <v>.00</v>
      </c>
      <c r="AI18" s="67" t="str">
        <f t="shared" si="5"/>
        <v>00</v>
      </c>
      <c r="AJ18" s="67" t="str">
        <f t="shared" si="10"/>
        <v>000000000000</v>
      </c>
      <c r="AK18" s="119"/>
      <c r="AL18" s="120"/>
      <c r="AP18" s="115" t="str">
        <f t="shared" si="6"/>
        <v/>
      </c>
    </row>
    <row r="19" spans="1:42" x14ac:dyDescent="0.2">
      <c r="A19" s="63" t="str">
        <f t="shared" si="2"/>
        <v/>
      </c>
      <c r="B19" s="133"/>
      <c r="C19" s="133"/>
      <c r="D19" s="135"/>
      <c r="E19" s="135"/>
      <c r="F19" s="137"/>
      <c r="AA19" s="116" t="str">
        <f t="shared" si="1"/>
        <v>00000000000000</v>
      </c>
      <c r="AB19" s="117" t="str">
        <f t="shared" si="3"/>
        <v>000000000000</v>
      </c>
      <c r="AC19" s="118">
        <f t="shared" si="4"/>
        <v>1</v>
      </c>
      <c r="AD19" s="47">
        <v>2</v>
      </c>
      <c r="AE19" s="66">
        <f t="shared" si="7"/>
        <v>0</v>
      </c>
      <c r="AF19" s="66">
        <f t="shared" si="0"/>
        <v>0</v>
      </c>
      <c r="AG19" s="67" t="str">
        <f t="shared" si="8"/>
        <v>0000000000</v>
      </c>
      <c r="AH19" s="67" t="str">
        <f t="shared" si="9"/>
        <v>.00</v>
      </c>
      <c r="AI19" s="67" t="str">
        <f t="shared" si="5"/>
        <v>00</v>
      </c>
      <c r="AJ19" s="67" t="str">
        <f t="shared" si="10"/>
        <v>000000000000</v>
      </c>
      <c r="AK19" s="119"/>
      <c r="AL19" s="120"/>
      <c r="AP19" s="115" t="str">
        <f t="shared" si="6"/>
        <v/>
      </c>
    </row>
    <row r="20" spans="1:42" x14ac:dyDescent="0.2">
      <c r="A20" s="63" t="str">
        <f t="shared" si="2"/>
        <v/>
      </c>
      <c r="B20" s="133"/>
      <c r="C20" s="133"/>
      <c r="D20" s="135"/>
      <c r="E20" s="135"/>
      <c r="F20" s="137"/>
      <c r="AA20" s="116" t="str">
        <f t="shared" si="1"/>
        <v>00000000000000</v>
      </c>
      <c r="AB20" s="117" t="str">
        <f t="shared" si="3"/>
        <v>000000000000</v>
      </c>
      <c r="AC20" s="118">
        <f t="shared" si="4"/>
        <v>1</v>
      </c>
      <c r="AD20" s="47">
        <v>2</v>
      </c>
      <c r="AE20" s="66">
        <f t="shared" si="7"/>
        <v>0</v>
      </c>
      <c r="AF20" s="66">
        <f t="shared" si="0"/>
        <v>0</v>
      </c>
      <c r="AG20" s="67" t="str">
        <f t="shared" si="8"/>
        <v>0000000000</v>
      </c>
      <c r="AH20" s="67" t="str">
        <f t="shared" si="9"/>
        <v>.00</v>
      </c>
      <c r="AI20" s="67" t="str">
        <f t="shared" si="5"/>
        <v>00</v>
      </c>
      <c r="AJ20" s="67" t="str">
        <f t="shared" si="10"/>
        <v>000000000000</v>
      </c>
      <c r="AK20" s="119"/>
      <c r="AL20" s="120"/>
      <c r="AP20" s="115" t="str">
        <f t="shared" si="6"/>
        <v/>
      </c>
    </row>
    <row r="21" spans="1:42" x14ac:dyDescent="0.2">
      <c r="A21" s="63" t="str">
        <f t="shared" si="2"/>
        <v/>
      </c>
      <c r="B21" s="133"/>
      <c r="C21" s="133"/>
      <c r="D21" s="135"/>
      <c r="E21" s="135"/>
      <c r="F21" s="137"/>
      <c r="AA21" s="116" t="str">
        <f t="shared" si="1"/>
        <v>00000000000000</v>
      </c>
      <c r="AB21" s="117" t="str">
        <f t="shared" si="3"/>
        <v>000000000000</v>
      </c>
      <c r="AC21" s="118">
        <f t="shared" si="4"/>
        <v>1</v>
      </c>
      <c r="AD21" s="47">
        <v>2</v>
      </c>
      <c r="AE21" s="66">
        <f t="shared" si="7"/>
        <v>0</v>
      </c>
      <c r="AF21" s="66">
        <f t="shared" si="0"/>
        <v>0</v>
      </c>
      <c r="AG21" s="67" t="str">
        <f t="shared" si="8"/>
        <v>0000000000</v>
      </c>
      <c r="AH21" s="67" t="str">
        <f t="shared" si="9"/>
        <v>.00</v>
      </c>
      <c r="AI21" s="67" t="str">
        <f t="shared" si="5"/>
        <v>00</v>
      </c>
      <c r="AJ21" s="67" t="str">
        <f t="shared" si="10"/>
        <v>000000000000</v>
      </c>
      <c r="AK21" s="119"/>
      <c r="AL21" s="120"/>
      <c r="AP21" s="115" t="str">
        <f t="shared" si="6"/>
        <v/>
      </c>
    </row>
    <row r="22" spans="1:42" x14ac:dyDescent="0.2">
      <c r="A22" s="63" t="str">
        <f t="shared" si="2"/>
        <v/>
      </c>
      <c r="B22" s="133"/>
      <c r="C22" s="133"/>
      <c r="D22" s="135"/>
      <c r="E22" s="135"/>
      <c r="F22" s="137"/>
      <c r="AA22" s="116" t="str">
        <f t="shared" si="1"/>
        <v>00000000000000</v>
      </c>
      <c r="AB22" s="117" t="str">
        <f t="shared" si="3"/>
        <v>000000000000</v>
      </c>
      <c r="AC22" s="118">
        <f t="shared" si="4"/>
        <v>1</v>
      </c>
      <c r="AD22" s="47">
        <v>2</v>
      </c>
      <c r="AE22" s="66">
        <f t="shared" si="7"/>
        <v>0</v>
      </c>
      <c r="AF22" s="66">
        <f t="shared" si="0"/>
        <v>0</v>
      </c>
      <c r="AG22" s="67" t="str">
        <f t="shared" si="8"/>
        <v>0000000000</v>
      </c>
      <c r="AH22" s="67" t="str">
        <f t="shared" si="9"/>
        <v>.00</v>
      </c>
      <c r="AI22" s="67" t="str">
        <f t="shared" si="5"/>
        <v>00</v>
      </c>
      <c r="AJ22" s="67" t="str">
        <f t="shared" si="10"/>
        <v>000000000000</v>
      </c>
      <c r="AK22" s="119"/>
      <c r="AL22" s="120"/>
      <c r="AP22" s="115" t="str">
        <f t="shared" si="6"/>
        <v/>
      </c>
    </row>
    <row r="23" spans="1:42" x14ac:dyDescent="0.2">
      <c r="A23" s="63" t="str">
        <f t="shared" si="2"/>
        <v/>
      </c>
      <c r="B23" s="133"/>
      <c r="C23" s="133"/>
      <c r="D23" s="135"/>
      <c r="E23" s="135"/>
      <c r="F23" s="137"/>
      <c r="AA23" s="116" t="str">
        <f t="shared" si="1"/>
        <v>00000000000000</v>
      </c>
      <c r="AB23" s="117" t="str">
        <f t="shared" si="3"/>
        <v>000000000000</v>
      </c>
      <c r="AC23" s="118">
        <f t="shared" si="4"/>
        <v>1</v>
      </c>
      <c r="AD23" s="47">
        <v>2</v>
      </c>
      <c r="AE23" s="66">
        <f t="shared" si="7"/>
        <v>0</v>
      </c>
      <c r="AF23" s="66">
        <f t="shared" si="0"/>
        <v>0</v>
      </c>
      <c r="AG23" s="67" t="str">
        <f t="shared" si="8"/>
        <v>0000000000</v>
      </c>
      <c r="AH23" s="67" t="str">
        <f t="shared" si="9"/>
        <v>.00</v>
      </c>
      <c r="AI23" s="67" t="str">
        <f t="shared" si="5"/>
        <v>00</v>
      </c>
      <c r="AJ23" s="67" t="str">
        <f t="shared" si="10"/>
        <v>000000000000</v>
      </c>
      <c r="AK23" s="119"/>
      <c r="AL23" s="120"/>
      <c r="AP23" s="115" t="str">
        <f t="shared" si="6"/>
        <v/>
      </c>
    </row>
    <row r="24" spans="1:42" x14ac:dyDescent="0.2">
      <c r="A24" s="63" t="str">
        <f t="shared" si="2"/>
        <v/>
      </c>
      <c r="B24" s="133"/>
      <c r="C24" s="133"/>
      <c r="D24" s="135"/>
      <c r="E24" s="135"/>
      <c r="F24" s="137"/>
      <c r="AA24" s="116" t="str">
        <f t="shared" si="1"/>
        <v>00000000000000</v>
      </c>
      <c r="AB24" s="117" t="str">
        <f t="shared" si="3"/>
        <v>000000000000</v>
      </c>
      <c r="AC24" s="118">
        <f t="shared" si="4"/>
        <v>1</v>
      </c>
      <c r="AD24" s="47">
        <v>2</v>
      </c>
      <c r="AE24" s="66">
        <f t="shared" si="7"/>
        <v>0</v>
      </c>
      <c r="AF24" s="66">
        <f t="shared" si="0"/>
        <v>0</v>
      </c>
      <c r="AG24" s="67" t="str">
        <f t="shared" si="8"/>
        <v>0000000000</v>
      </c>
      <c r="AH24" s="67" t="str">
        <f t="shared" si="9"/>
        <v>.00</v>
      </c>
      <c r="AI24" s="67" t="str">
        <f t="shared" si="5"/>
        <v>00</v>
      </c>
      <c r="AJ24" s="67" t="str">
        <f t="shared" si="10"/>
        <v>000000000000</v>
      </c>
      <c r="AK24" s="119"/>
      <c r="AL24" s="120"/>
      <c r="AP24" s="115" t="str">
        <f t="shared" si="6"/>
        <v/>
      </c>
    </row>
    <row r="25" spans="1:42" x14ac:dyDescent="0.2">
      <c r="A25" s="63" t="str">
        <f t="shared" si="2"/>
        <v/>
      </c>
      <c r="B25" s="133"/>
      <c r="C25" s="133"/>
      <c r="D25" s="135"/>
      <c r="E25" s="135"/>
      <c r="F25" s="137"/>
      <c r="AA25" s="116" t="str">
        <f t="shared" si="1"/>
        <v>00000000000000</v>
      </c>
      <c r="AB25" s="117" t="str">
        <f t="shared" si="3"/>
        <v>000000000000</v>
      </c>
      <c r="AC25" s="118">
        <f t="shared" si="4"/>
        <v>1</v>
      </c>
      <c r="AD25" s="47">
        <v>2</v>
      </c>
      <c r="AE25" s="66">
        <f t="shared" si="7"/>
        <v>0</v>
      </c>
      <c r="AF25" s="66">
        <f t="shared" si="0"/>
        <v>0</v>
      </c>
      <c r="AG25" s="67" t="str">
        <f t="shared" si="8"/>
        <v>0000000000</v>
      </c>
      <c r="AH25" s="67" t="str">
        <f t="shared" si="9"/>
        <v>.00</v>
      </c>
      <c r="AI25" s="67" t="str">
        <f t="shared" si="5"/>
        <v>00</v>
      </c>
      <c r="AJ25" s="67" t="str">
        <f t="shared" si="10"/>
        <v>000000000000</v>
      </c>
      <c r="AK25" s="119"/>
      <c r="AL25" s="120"/>
      <c r="AP25" s="115" t="str">
        <f t="shared" si="6"/>
        <v/>
      </c>
    </row>
    <row r="26" spans="1:42" x14ac:dyDescent="0.2">
      <c r="A26" s="63" t="str">
        <f t="shared" si="2"/>
        <v/>
      </c>
      <c r="B26" s="133"/>
      <c r="C26" s="133"/>
      <c r="D26" s="135"/>
      <c r="E26" s="135"/>
      <c r="F26" s="137"/>
      <c r="AA26" s="116" t="str">
        <f t="shared" si="1"/>
        <v>00000000000000</v>
      </c>
      <c r="AB26" s="117" t="str">
        <f t="shared" si="3"/>
        <v>000000000000</v>
      </c>
      <c r="AC26" s="118">
        <f t="shared" si="4"/>
        <v>1</v>
      </c>
      <c r="AD26" s="47">
        <v>2</v>
      </c>
      <c r="AE26" s="66">
        <f t="shared" si="7"/>
        <v>0</v>
      </c>
      <c r="AF26" s="66">
        <f t="shared" si="0"/>
        <v>0</v>
      </c>
      <c r="AG26" s="67" t="str">
        <f t="shared" si="8"/>
        <v>0000000000</v>
      </c>
      <c r="AH26" s="67" t="str">
        <f t="shared" si="9"/>
        <v>.00</v>
      </c>
      <c r="AI26" s="67" t="str">
        <f t="shared" si="5"/>
        <v>00</v>
      </c>
      <c r="AJ26" s="67" t="str">
        <f t="shared" si="10"/>
        <v>000000000000</v>
      </c>
      <c r="AK26" s="119"/>
      <c r="AL26" s="120"/>
      <c r="AP26" s="115" t="str">
        <f t="shared" si="6"/>
        <v/>
      </c>
    </row>
    <row r="27" spans="1:42" x14ac:dyDescent="0.2">
      <c r="A27" s="63" t="str">
        <f t="shared" si="2"/>
        <v/>
      </c>
      <c r="B27" s="133"/>
      <c r="C27" s="133"/>
      <c r="D27" s="135"/>
      <c r="E27" s="135"/>
      <c r="F27" s="137"/>
      <c r="AA27" s="116" t="str">
        <f t="shared" si="1"/>
        <v>00000000000000</v>
      </c>
      <c r="AB27" s="117" t="str">
        <f t="shared" si="3"/>
        <v>000000000000</v>
      </c>
      <c r="AC27" s="118">
        <f t="shared" si="4"/>
        <v>1</v>
      </c>
      <c r="AD27" s="47">
        <v>2</v>
      </c>
      <c r="AE27" s="66">
        <f t="shared" si="7"/>
        <v>0</v>
      </c>
      <c r="AF27" s="66">
        <f t="shared" si="0"/>
        <v>0</v>
      </c>
      <c r="AG27" s="67" t="str">
        <f t="shared" si="8"/>
        <v>0000000000</v>
      </c>
      <c r="AH27" s="67" t="str">
        <f t="shared" si="9"/>
        <v>.00</v>
      </c>
      <c r="AI27" s="67" t="str">
        <f t="shared" si="5"/>
        <v>00</v>
      </c>
      <c r="AJ27" s="67" t="str">
        <f t="shared" si="10"/>
        <v>000000000000</v>
      </c>
      <c r="AK27" s="119"/>
      <c r="AL27" s="120"/>
      <c r="AP27" s="115" t="str">
        <f t="shared" si="6"/>
        <v/>
      </c>
    </row>
    <row r="28" spans="1:42" x14ac:dyDescent="0.2">
      <c r="A28" s="63" t="str">
        <f t="shared" si="2"/>
        <v/>
      </c>
      <c r="B28" s="133"/>
      <c r="C28" s="133"/>
      <c r="D28" s="135"/>
      <c r="E28" s="135"/>
      <c r="F28" s="137"/>
      <c r="AA28" s="116" t="str">
        <f t="shared" si="1"/>
        <v>00000000000000</v>
      </c>
      <c r="AB28" s="117" t="str">
        <f t="shared" si="3"/>
        <v>000000000000</v>
      </c>
      <c r="AC28" s="118">
        <f t="shared" si="4"/>
        <v>1</v>
      </c>
      <c r="AD28" s="47">
        <v>2</v>
      </c>
      <c r="AE28" s="66">
        <f t="shared" si="7"/>
        <v>0</v>
      </c>
      <c r="AF28" s="66">
        <f t="shared" si="0"/>
        <v>0</v>
      </c>
      <c r="AG28" s="67" t="str">
        <f t="shared" si="8"/>
        <v>0000000000</v>
      </c>
      <c r="AH28" s="67" t="str">
        <f t="shared" si="9"/>
        <v>.00</v>
      </c>
      <c r="AI28" s="67" t="str">
        <f t="shared" si="5"/>
        <v>00</v>
      </c>
      <c r="AJ28" s="67" t="str">
        <f t="shared" si="10"/>
        <v>000000000000</v>
      </c>
      <c r="AK28" s="119"/>
      <c r="AL28" s="120"/>
      <c r="AP28" s="115" t="str">
        <f t="shared" si="6"/>
        <v/>
      </c>
    </row>
    <row r="29" spans="1:42" x14ac:dyDescent="0.2">
      <c r="A29" s="63" t="str">
        <f t="shared" si="2"/>
        <v/>
      </c>
      <c r="B29" s="133"/>
      <c r="C29" s="133"/>
      <c r="D29" s="135"/>
      <c r="E29" s="135"/>
      <c r="F29" s="137"/>
      <c r="AA29" s="116" t="str">
        <f t="shared" si="1"/>
        <v>00000000000000</v>
      </c>
      <c r="AB29" s="117" t="str">
        <f t="shared" si="3"/>
        <v>000000000000</v>
      </c>
      <c r="AC29" s="118">
        <f t="shared" si="4"/>
        <v>1</v>
      </c>
      <c r="AD29" s="47">
        <v>2</v>
      </c>
      <c r="AE29" s="66">
        <f t="shared" si="7"/>
        <v>0</v>
      </c>
      <c r="AF29" s="66">
        <f t="shared" si="0"/>
        <v>0</v>
      </c>
      <c r="AG29" s="67" t="str">
        <f t="shared" si="8"/>
        <v>0000000000</v>
      </c>
      <c r="AH29" s="67" t="str">
        <f t="shared" si="9"/>
        <v>.00</v>
      </c>
      <c r="AI29" s="67" t="str">
        <f t="shared" si="5"/>
        <v>00</v>
      </c>
      <c r="AJ29" s="67" t="str">
        <f t="shared" si="10"/>
        <v>000000000000</v>
      </c>
      <c r="AK29" s="119"/>
      <c r="AL29" s="120"/>
      <c r="AP29" s="115" t="str">
        <f t="shared" si="6"/>
        <v/>
      </c>
    </row>
    <row r="30" spans="1:42" x14ac:dyDescent="0.2">
      <c r="A30" s="63" t="str">
        <f t="shared" si="2"/>
        <v/>
      </c>
      <c r="B30" s="133"/>
      <c r="C30" s="133"/>
      <c r="D30" s="135"/>
      <c r="E30" s="135"/>
      <c r="F30" s="137"/>
      <c r="AA30" s="116" t="str">
        <f t="shared" si="1"/>
        <v>00000000000000</v>
      </c>
      <c r="AB30" s="117" t="str">
        <f t="shared" si="3"/>
        <v>000000000000</v>
      </c>
      <c r="AC30" s="118">
        <f t="shared" si="4"/>
        <v>1</v>
      </c>
      <c r="AD30" s="47">
        <v>2</v>
      </c>
      <c r="AE30" s="66">
        <f t="shared" si="7"/>
        <v>0</v>
      </c>
      <c r="AF30" s="66">
        <f t="shared" si="0"/>
        <v>0</v>
      </c>
      <c r="AG30" s="67" t="str">
        <f t="shared" si="8"/>
        <v>0000000000</v>
      </c>
      <c r="AH30" s="67" t="str">
        <f t="shared" si="9"/>
        <v>.00</v>
      </c>
      <c r="AI30" s="67" t="str">
        <f t="shared" si="5"/>
        <v>00</v>
      </c>
      <c r="AJ30" s="67" t="str">
        <f t="shared" si="10"/>
        <v>000000000000</v>
      </c>
      <c r="AK30" s="119"/>
      <c r="AL30" s="120"/>
      <c r="AP30" s="115" t="str">
        <f t="shared" si="6"/>
        <v/>
      </c>
    </row>
    <row r="31" spans="1:42" x14ac:dyDescent="0.2">
      <c r="A31" s="63" t="str">
        <f t="shared" si="2"/>
        <v/>
      </c>
      <c r="B31" s="133"/>
      <c r="C31" s="133"/>
      <c r="D31" s="135"/>
      <c r="E31" s="135"/>
      <c r="F31" s="137"/>
      <c r="AA31" s="116" t="str">
        <f t="shared" si="1"/>
        <v>00000000000000</v>
      </c>
      <c r="AB31" s="117" t="str">
        <f t="shared" si="3"/>
        <v>000000000000</v>
      </c>
      <c r="AC31" s="118">
        <f t="shared" si="4"/>
        <v>1</v>
      </c>
      <c r="AD31" s="47">
        <v>2</v>
      </c>
      <c r="AE31" s="66">
        <f t="shared" si="7"/>
        <v>0</v>
      </c>
      <c r="AF31" s="66">
        <f t="shared" si="0"/>
        <v>0</v>
      </c>
      <c r="AG31" s="67" t="str">
        <f t="shared" si="8"/>
        <v>0000000000</v>
      </c>
      <c r="AH31" s="67" t="str">
        <f t="shared" si="9"/>
        <v>.00</v>
      </c>
      <c r="AI31" s="67" t="str">
        <f t="shared" si="5"/>
        <v>00</v>
      </c>
      <c r="AJ31" s="67" t="str">
        <f t="shared" si="10"/>
        <v>000000000000</v>
      </c>
      <c r="AK31" s="119"/>
      <c r="AL31" s="120"/>
      <c r="AP31" s="115" t="str">
        <f t="shared" si="6"/>
        <v/>
      </c>
    </row>
    <row r="32" spans="1:42" x14ac:dyDescent="0.2">
      <c r="A32" s="63" t="str">
        <f t="shared" si="2"/>
        <v/>
      </c>
      <c r="B32" s="133"/>
      <c r="C32" s="133"/>
      <c r="D32" s="135"/>
      <c r="E32" s="135"/>
      <c r="F32" s="137"/>
      <c r="AA32" s="116" t="str">
        <f t="shared" si="1"/>
        <v>00000000000000</v>
      </c>
      <c r="AB32" s="117" t="str">
        <f t="shared" si="3"/>
        <v>000000000000</v>
      </c>
      <c r="AC32" s="118">
        <f t="shared" si="4"/>
        <v>1</v>
      </c>
      <c r="AD32" s="47">
        <v>2</v>
      </c>
      <c r="AE32" s="66">
        <f t="shared" si="7"/>
        <v>0</v>
      </c>
      <c r="AF32" s="66">
        <f t="shared" si="0"/>
        <v>0</v>
      </c>
      <c r="AG32" s="67" t="str">
        <f t="shared" si="8"/>
        <v>0000000000</v>
      </c>
      <c r="AH32" s="67" t="str">
        <f t="shared" si="9"/>
        <v>.00</v>
      </c>
      <c r="AI32" s="67" t="str">
        <f t="shared" si="5"/>
        <v>00</v>
      </c>
      <c r="AJ32" s="67" t="str">
        <f t="shared" si="10"/>
        <v>000000000000</v>
      </c>
      <c r="AK32" s="119"/>
      <c r="AL32" s="120"/>
      <c r="AP32" s="115" t="str">
        <f t="shared" si="6"/>
        <v/>
      </c>
    </row>
    <row r="33" spans="1:42" x14ac:dyDescent="0.2">
      <c r="A33" s="63" t="str">
        <f t="shared" si="2"/>
        <v/>
      </c>
      <c r="B33" s="133"/>
      <c r="C33" s="133"/>
      <c r="D33" s="135"/>
      <c r="E33" s="135"/>
      <c r="F33" s="137"/>
      <c r="AA33" s="116" t="str">
        <f t="shared" si="1"/>
        <v>00000000000000</v>
      </c>
      <c r="AB33" s="117" t="str">
        <f t="shared" si="3"/>
        <v>000000000000</v>
      </c>
      <c r="AC33" s="118">
        <f t="shared" si="4"/>
        <v>1</v>
      </c>
      <c r="AD33" s="47">
        <v>2</v>
      </c>
      <c r="AE33" s="66">
        <f t="shared" si="7"/>
        <v>0</v>
      </c>
      <c r="AF33" s="66">
        <f t="shared" si="0"/>
        <v>0</v>
      </c>
      <c r="AG33" s="67" t="str">
        <f t="shared" si="8"/>
        <v>0000000000</v>
      </c>
      <c r="AH33" s="67" t="str">
        <f t="shared" si="9"/>
        <v>.00</v>
      </c>
      <c r="AI33" s="67" t="str">
        <f t="shared" si="5"/>
        <v>00</v>
      </c>
      <c r="AJ33" s="67" t="str">
        <f t="shared" si="10"/>
        <v>000000000000</v>
      </c>
      <c r="AK33" s="119"/>
      <c r="AL33" s="120"/>
      <c r="AP33" s="115" t="str">
        <f t="shared" si="6"/>
        <v/>
      </c>
    </row>
    <row r="34" spans="1:42" x14ac:dyDescent="0.2">
      <c r="A34" s="63" t="str">
        <f t="shared" si="2"/>
        <v/>
      </c>
      <c r="B34" s="133"/>
      <c r="C34" s="133"/>
      <c r="D34" s="135"/>
      <c r="E34" s="135"/>
      <c r="F34" s="137"/>
      <c r="AA34" s="116" t="str">
        <f t="shared" si="1"/>
        <v>00000000000000</v>
      </c>
      <c r="AB34" s="117" t="str">
        <f t="shared" si="3"/>
        <v>000000000000</v>
      </c>
      <c r="AC34" s="118">
        <f t="shared" si="4"/>
        <v>1</v>
      </c>
      <c r="AD34" s="47">
        <v>2</v>
      </c>
      <c r="AE34" s="66">
        <f t="shared" si="7"/>
        <v>0</v>
      </c>
      <c r="AF34" s="66">
        <f t="shared" si="0"/>
        <v>0</v>
      </c>
      <c r="AG34" s="67" t="str">
        <f t="shared" si="8"/>
        <v>0000000000</v>
      </c>
      <c r="AH34" s="67" t="str">
        <f t="shared" si="9"/>
        <v>.00</v>
      </c>
      <c r="AI34" s="67" t="str">
        <f t="shared" si="5"/>
        <v>00</v>
      </c>
      <c r="AJ34" s="67" t="str">
        <f t="shared" si="10"/>
        <v>000000000000</v>
      </c>
      <c r="AK34" s="119"/>
      <c r="AL34" s="120"/>
      <c r="AP34" s="115" t="str">
        <f t="shared" si="6"/>
        <v/>
      </c>
    </row>
    <row r="35" spans="1:42" x14ac:dyDescent="0.2">
      <c r="A35" s="63" t="str">
        <f t="shared" si="2"/>
        <v/>
      </c>
      <c r="B35" s="133"/>
      <c r="C35" s="133"/>
      <c r="D35" s="135"/>
      <c r="E35" s="135"/>
      <c r="F35" s="137"/>
      <c r="AA35" s="116" t="str">
        <f t="shared" si="1"/>
        <v>00000000000000</v>
      </c>
      <c r="AB35" s="117" t="str">
        <f t="shared" si="3"/>
        <v>000000000000</v>
      </c>
      <c r="AC35" s="118">
        <f t="shared" si="4"/>
        <v>1</v>
      </c>
      <c r="AD35" s="47">
        <v>2</v>
      </c>
      <c r="AE35" s="66">
        <f t="shared" si="7"/>
        <v>0</v>
      </c>
      <c r="AF35" s="66">
        <f t="shared" si="0"/>
        <v>0</v>
      </c>
      <c r="AG35" s="67" t="str">
        <f t="shared" si="8"/>
        <v>0000000000</v>
      </c>
      <c r="AH35" s="67" t="str">
        <f t="shared" si="9"/>
        <v>.00</v>
      </c>
      <c r="AI35" s="67" t="str">
        <f t="shared" si="5"/>
        <v>00</v>
      </c>
      <c r="AJ35" s="67" t="str">
        <f t="shared" si="10"/>
        <v>000000000000</v>
      </c>
      <c r="AK35" s="119"/>
      <c r="AL35" s="120"/>
      <c r="AP35" s="115" t="str">
        <f t="shared" si="6"/>
        <v/>
      </c>
    </row>
    <row r="36" spans="1:42" x14ac:dyDescent="0.2">
      <c r="A36" s="63" t="str">
        <f t="shared" si="2"/>
        <v/>
      </c>
      <c r="B36" s="133"/>
      <c r="C36" s="133"/>
      <c r="D36" s="135"/>
      <c r="E36" s="135"/>
      <c r="F36" s="137"/>
      <c r="AA36" s="116" t="str">
        <f t="shared" si="1"/>
        <v>00000000000000</v>
      </c>
      <c r="AB36" s="117" t="str">
        <f t="shared" si="3"/>
        <v>000000000000</v>
      </c>
      <c r="AC36" s="118">
        <f t="shared" si="4"/>
        <v>1</v>
      </c>
      <c r="AD36" s="47">
        <v>2</v>
      </c>
      <c r="AE36" s="66">
        <f t="shared" si="7"/>
        <v>0</v>
      </c>
      <c r="AF36" s="66">
        <f t="shared" si="0"/>
        <v>0</v>
      </c>
      <c r="AG36" s="67" t="str">
        <f t="shared" si="8"/>
        <v>0000000000</v>
      </c>
      <c r="AH36" s="67" t="str">
        <f t="shared" si="9"/>
        <v>.00</v>
      </c>
      <c r="AI36" s="67" t="str">
        <f t="shared" si="5"/>
        <v>00</v>
      </c>
      <c r="AJ36" s="67" t="str">
        <f t="shared" si="10"/>
        <v>000000000000</v>
      </c>
      <c r="AK36" s="119"/>
      <c r="AL36" s="120"/>
      <c r="AP36" s="115" t="str">
        <f t="shared" si="6"/>
        <v/>
      </c>
    </row>
    <row r="37" spans="1:42" x14ac:dyDescent="0.2">
      <c r="A37" s="63" t="str">
        <f t="shared" si="2"/>
        <v/>
      </c>
      <c r="B37" s="133"/>
      <c r="C37" s="133"/>
      <c r="D37" s="135"/>
      <c r="E37" s="135"/>
      <c r="F37" s="137"/>
      <c r="AA37" s="116" t="str">
        <f t="shared" si="1"/>
        <v>00000000000000</v>
      </c>
      <c r="AB37" s="117" t="str">
        <f t="shared" si="3"/>
        <v>000000000000</v>
      </c>
      <c r="AC37" s="118">
        <f t="shared" si="4"/>
        <v>1</v>
      </c>
      <c r="AD37" s="47">
        <v>2</v>
      </c>
      <c r="AE37" s="66">
        <f t="shared" si="7"/>
        <v>0</v>
      </c>
      <c r="AF37" s="66">
        <f t="shared" si="0"/>
        <v>0</v>
      </c>
      <c r="AG37" s="67" t="str">
        <f t="shared" si="8"/>
        <v>0000000000</v>
      </c>
      <c r="AH37" s="67" t="str">
        <f t="shared" si="9"/>
        <v>.00</v>
      </c>
      <c r="AI37" s="67" t="str">
        <f t="shared" si="5"/>
        <v>00</v>
      </c>
      <c r="AJ37" s="67" t="str">
        <f t="shared" si="10"/>
        <v>000000000000</v>
      </c>
      <c r="AK37" s="119"/>
      <c r="AL37" s="120"/>
      <c r="AP37" s="115" t="str">
        <f t="shared" si="6"/>
        <v/>
      </c>
    </row>
    <row r="38" spans="1:42" x14ac:dyDescent="0.2">
      <c r="A38" s="63" t="str">
        <f t="shared" si="2"/>
        <v/>
      </c>
      <c r="B38" s="133"/>
      <c r="C38" s="133"/>
      <c r="D38" s="135"/>
      <c r="E38" s="135"/>
      <c r="F38" s="137"/>
      <c r="AA38" s="116" t="str">
        <f t="shared" si="1"/>
        <v>00000000000000</v>
      </c>
      <c r="AB38" s="117" t="str">
        <f t="shared" si="3"/>
        <v>000000000000</v>
      </c>
      <c r="AC38" s="118">
        <f t="shared" si="4"/>
        <v>1</v>
      </c>
      <c r="AD38" s="47">
        <v>2</v>
      </c>
      <c r="AE38" s="66">
        <f t="shared" si="7"/>
        <v>0</v>
      </c>
      <c r="AF38" s="66">
        <f t="shared" si="0"/>
        <v>0</v>
      </c>
      <c r="AG38" s="67" t="str">
        <f t="shared" si="8"/>
        <v>0000000000</v>
      </c>
      <c r="AH38" s="67" t="str">
        <f t="shared" si="9"/>
        <v>.00</v>
      </c>
      <c r="AI38" s="67" t="str">
        <f t="shared" si="5"/>
        <v>00</v>
      </c>
      <c r="AJ38" s="67" t="str">
        <f t="shared" si="10"/>
        <v>000000000000</v>
      </c>
      <c r="AK38" s="119"/>
      <c r="AL38" s="120"/>
      <c r="AP38" s="115" t="str">
        <f t="shared" si="6"/>
        <v/>
      </c>
    </row>
    <row r="39" spans="1:42" x14ac:dyDescent="0.2">
      <c r="A39" s="63" t="str">
        <f t="shared" si="2"/>
        <v/>
      </c>
      <c r="B39" s="133"/>
      <c r="C39" s="133"/>
      <c r="D39" s="135"/>
      <c r="E39" s="135"/>
      <c r="F39" s="137"/>
      <c r="AA39" s="116" t="str">
        <f t="shared" si="1"/>
        <v>00000000000000</v>
      </c>
      <c r="AB39" s="117" t="str">
        <f t="shared" si="3"/>
        <v>000000000000</v>
      </c>
      <c r="AC39" s="118">
        <f t="shared" si="4"/>
        <v>1</v>
      </c>
      <c r="AD39" s="47">
        <v>2</v>
      </c>
      <c r="AE39" s="66">
        <f t="shared" si="7"/>
        <v>0</v>
      </c>
      <c r="AF39" s="66">
        <f t="shared" si="0"/>
        <v>0</v>
      </c>
      <c r="AG39" s="67" t="str">
        <f t="shared" si="8"/>
        <v>0000000000</v>
      </c>
      <c r="AH39" s="67" t="str">
        <f t="shared" si="9"/>
        <v>.00</v>
      </c>
      <c r="AI39" s="67" t="str">
        <f t="shared" si="5"/>
        <v>00</v>
      </c>
      <c r="AJ39" s="67" t="str">
        <f t="shared" si="10"/>
        <v>000000000000</v>
      </c>
      <c r="AK39" s="119"/>
      <c r="AL39" s="120"/>
      <c r="AP39" s="115" t="str">
        <f t="shared" si="6"/>
        <v/>
      </c>
    </row>
    <row r="40" spans="1:42" x14ac:dyDescent="0.2">
      <c r="A40" s="63" t="str">
        <f t="shared" si="2"/>
        <v/>
      </c>
      <c r="B40" s="133"/>
      <c r="C40" s="133"/>
      <c r="D40" s="135"/>
      <c r="E40" s="135"/>
      <c r="F40" s="137"/>
      <c r="AA40" s="116" t="str">
        <f t="shared" si="1"/>
        <v>00000000000000</v>
      </c>
      <c r="AB40" s="117" t="str">
        <f t="shared" si="3"/>
        <v>000000000000</v>
      </c>
      <c r="AC40" s="118">
        <f t="shared" si="4"/>
        <v>1</v>
      </c>
      <c r="AD40" s="47">
        <v>2</v>
      </c>
      <c r="AE40" s="66">
        <f t="shared" si="7"/>
        <v>0</v>
      </c>
      <c r="AF40" s="66">
        <f t="shared" si="0"/>
        <v>0</v>
      </c>
      <c r="AG40" s="67" t="str">
        <f t="shared" si="8"/>
        <v>0000000000</v>
      </c>
      <c r="AH40" s="67" t="str">
        <f t="shared" si="9"/>
        <v>.00</v>
      </c>
      <c r="AI40" s="67" t="str">
        <f t="shared" si="5"/>
        <v>00</v>
      </c>
      <c r="AJ40" s="67" t="str">
        <f t="shared" si="10"/>
        <v>000000000000</v>
      </c>
      <c r="AK40" s="119"/>
      <c r="AL40" s="120"/>
      <c r="AP40" s="115" t="str">
        <f t="shared" si="6"/>
        <v/>
      </c>
    </row>
    <row r="41" spans="1:42" x14ac:dyDescent="0.2">
      <c r="A41" s="63" t="str">
        <f t="shared" si="2"/>
        <v/>
      </c>
      <c r="B41" s="133"/>
      <c r="C41" s="133"/>
      <c r="D41" s="135"/>
      <c r="E41" s="135"/>
      <c r="F41" s="137"/>
      <c r="AA41" s="116" t="str">
        <f t="shared" si="1"/>
        <v>00000000000000</v>
      </c>
      <c r="AB41" s="117" t="str">
        <f t="shared" si="3"/>
        <v>000000000000</v>
      </c>
      <c r="AC41" s="118">
        <f t="shared" si="4"/>
        <v>1</v>
      </c>
      <c r="AD41" s="47">
        <v>2</v>
      </c>
      <c r="AE41" s="66">
        <f t="shared" si="7"/>
        <v>0</v>
      </c>
      <c r="AF41" s="66">
        <f t="shared" si="0"/>
        <v>0</v>
      </c>
      <c r="AG41" s="67" t="str">
        <f t="shared" si="8"/>
        <v>0000000000</v>
      </c>
      <c r="AH41" s="67" t="str">
        <f t="shared" si="9"/>
        <v>.00</v>
      </c>
      <c r="AI41" s="67" t="str">
        <f t="shared" si="5"/>
        <v>00</v>
      </c>
      <c r="AJ41" s="67" t="str">
        <f t="shared" si="10"/>
        <v>000000000000</v>
      </c>
      <c r="AK41" s="119"/>
      <c r="AL41" s="120"/>
      <c r="AP41" s="115" t="str">
        <f t="shared" si="6"/>
        <v/>
      </c>
    </row>
    <row r="42" spans="1:42" x14ac:dyDescent="0.2">
      <c r="A42" s="63" t="str">
        <f t="shared" si="2"/>
        <v/>
      </c>
      <c r="B42" s="133"/>
      <c r="C42" s="133"/>
      <c r="D42" s="135"/>
      <c r="E42" s="135"/>
      <c r="F42" s="137"/>
      <c r="AA42" s="116" t="str">
        <f t="shared" si="1"/>
        <v>00000000000000</v>
      </c>
      <c r="AB42" s="117" t="str">
        <f t="shared" si="3"/>
        <v>000000000000</v>
      </c>
      <c r="AC42" s="118">
        <f t="shared" si="4"/>
        <v>1</v>
      </c>
      <c r="AD42" s="47">
        <v>2</v>
      </c>
      <c r="AE42" s="66">
        <f t="shared" si="7"/>
        <v>0</v>
      </c>
      <c r="AF42" s="66">
        <f t="shared" si="0"/>
        <v>0</v>
      </c>
      <c r="AG42" s="67" t="str">
        <f t="shared" si="8"/>
        <v>0000000000</v>
      </c>
      <c r="AH42" s="67" t="str">
        <f t="shared" si="9"/>
        <v>.00</v>
      </c>
      <c r="AI42" s="67" t="str">
        <f t="shared" si="5"/>
        <v>00</v>
      </c>
      <c r="AJ42" s="67" t="str">
        <f t="shared" si="10"/>
        <v>000000000000</v>
      </c>
      <c r="AK42" s="119"/>
      <c r="AL42" s="120"/>
      <c r="AP42" s="115" t="str">
        <f t="shared" si="6"/>
        <v/>
      </c>
    </row>
    <row r="43" spans="1:42" x14ac:dyDescent="0.2">
      <c r="A43" s="63" t="str">
        <f t="shared" si="2"/>
        <v/>
      </c>
      <c r="B43" s="133"/>
      <c r="C43" s="133"/>
      <c r="D43" s="135"/>
      <c r="E43" s="135"/>
      <c r="F43" s="137"/>
      <c r="AA43" s="116" t="str">
        <f t="shared" si="1"/>
        <v>00000000000000</v>
      </c>
      <c r="AB43" s="117" t="str">
        <f t="shared" si="3"/>
        <v>000000000000</v>
      </c>
      <c r="AC43" s="118">
        <f t="shared" si="4"/>
        <v>1</v>
      </c>
      <c r="AD43" s="47">
        <v>2</v>
      </c>
      <c r="AE43" s="66">
        <f t="shared" si="7"/>
        <v>0</v>
      </c>
      <c r="AF43" s="66">
        <f t="shared" si="0"/>
        <v>0</v>
      </c>
      <c r="AG43" s="67" t="str">
        <f t="shared" si="8"/>
        <v>0000000000</v>
      </c>
      <c r="AH43" s="67" t="str">
        <f t="shared" si="9"/>
        <v>.00</v>
      </c>
      <c r="AI43" s="67" t="str">
        <f t="shared" si="5"/>
        <v>00</v>
      </c>
      <c r="AJ43" s="67" t="str">
        <f t="shared" si="10"/>
        <v>000000000000</v>
      </c>
      <c r="AK43" s="119"/>
      <c r="AL43" s="120"/>
      <c r="AP43" s="115" t="str">
        <f t="shared" si="6"/>
        <v/>
      </c>
    </row>
    <row r="44" spans="1:42" x14ac:dyDescent="0.2">
      <c r="A44" s="63" t="str">
        <f t="shared" si="2"/>
        <v/>
      </c>
      <c r="B44" s="133"/>
      <c r="C44" s="133"/>
      <c r="D44" s="135"/>
      <c r="E44" s="135"/>
      <c r="F44" s="137"/>
      <c r="AA44" s="116" t="str">
        <f t="shared" si="1"/>
        <v>00000000000000</v>
      </c>
      <c r="AB44" s="117" t="str">
        <f t="shared" si="3"/>
        <v>000000000000</v>
      </c>
      <c r="AC44" s="118">
        <f t="shared" si="4"/>
        <v>1</v>
      </c>
      <c r="AD44" s="47">
        <v>2</v>
      </c>
      <c r="AE44" s="66">
        <f t="shared" si="7"/>
        <v>0</v>
      </c>
      <c r="AF44" s="66">
        <f t="shared" si="0"/>
        <v>0</v>
      </c>
      <c r="AG44" s="67" t="str">
        <f t="shared" si="8"/>
        <v>0000000000</v>
      </c>
      <c r="AH44" s="67" t="str">
        <f t="shared" si="9"/>
        <v>.00</v>
      </c>
      <c r="AI44" s="67" t="str">
        <f t="shared" si="5"/>
        <v>00</v>
      </c>
      <c r="AJ44" s="67" t="str">
        <f t="shared" si="10"/>
        <v>000000000000</v>
      </c>
      <c r="AK44" s="119"/>
      <c r="AL44" s="120"/>
      <c r="AP44" s="115" t="str">
        <f t="shared" si="6"/>
        <v/>
      </c>
    </row>
    <row r="45" spans="1:42" x14ac:dyDescent="0.2">
      <c r="A45" s="63" t="str">
        <f t="shared" si="2"/>
        <v/>
      </c>
      <c r="B45" s="133"/>
      <c r="C45" s="133"/>
      <c r="D45" s="135"/>
      <c r="E45" s="135"/>
      <c r="F45" s="137"/>
      <c r="AA45" s="116" t="str">
        <f t="shared" si="1"/>
        <v>00000000000000</v>
      </c>
      <c r="AB45" s="117" t="str">
        <f t="shared" si="3"/>
        <v>000000000000</v>
      </c>
      <c r="AC45" s="118">
        <f t="shared" si="4"/>
        <v>1</v>
      </c>
      <c r="AD45" s="47">
        <v>2</v>
      </c>
      <c r="AE45" s="66">
        <f t="shared" si="7"/>
        <v>0</v>
      </c>
      <c r="AF45" s="66">
        <f t="shared" si="0"/>
        <v>0</v>
      </c>
      <c r="AG45" s="67" t="str">
        <f t="shared" si="8"/>
        <v>0000000000</v>
      </c>
      <c r="AH45" s="67" t="str">
        <f t="shared" si="9"/>
        <v>.00</v>
      </c>
      <c r="AI45" s="67" t="str">
        <f t="shared" si="5"/>
        <v>00</v>
      </c>
      <c r="AJ45" s="67" t="str">
        <f t="shared" si="10"/>
        <v>000000000000</v>
      </c>
      <c r="AK45" s="119"/>
      <c r="AL45" s="120"/>
      <c r="AP45" s="115" t="str">
        <f t="shared" si="6"/>
        <v/>
      </c>
    </row>
    <row r="46" spans="1:42" x14ac:dyDescent="0.2">
      <c r="A46" s="63" t="str">
        <f t="shared" si="2"/>
        <v/>
      </c>
      <c r="B46" s="133"/>
      <c r="C46" s="133"/>
      <c r="D46" s="135"/>
      <c r="E46" s="135"/>
      <c r="F46" s="137"/>
      <c r="AA46" s="116" t="str">
        <f t="shared" si="1"/>
        <v>00000000000000</v>
      </c>
      <c r="AB46" s="117" t="str">
        <f t="shared" si="3"/>
        <v>000000000000</v>
      </c>
      <c r="AC46" s="118">
        <f t="shared" si="4"/>
        <v>1</v>
      </c>
      <c r="AD46" s="47">
        <v>2</v>
      </c>
      <c r="AE46" s="66">
        <f t="shared" si="7"/>
        <v>0</v>
      </c>
      <c r="AF46" s="66">
        <f t="shared" si="0"/>
        <v>0</v>
      </c>
      <c r="AG46" s="67" t="str">
        <f t="shared" si="8"/>
        <v>0000000000</v>
      </c>
      <c r="AH46" s="67" t="str">
        <f t="shared" si="9"/>
        <v>.00</v>
      </c>
      <c r="AI46" s="67" t="str">
        <f t="shared" si="5"/>
        <v>00</v>
      </c>
      <c r="AJ46" s="67" t="str">
        <f t="shared" si="10"/>
        <v>000000000000</v>
      </c>
      <c r="AK46" s="119"/>
      <c r="AL46" s="120"/>
      <c r="AP46" s="115" t="str">
        <f t="shared" si="6"/>
        <v/>
      </c>
    </row>
    <row r="47" spans="1:42" x14ac:dyDescent="0.2">
      <c r="A47" s="63" t="str">
        <f t="shared" si="2"/>
        <v/>
      </c>
      <c r="B47" s="133"/>
      <c r="C47" s="133"/>
      <c r="D47" s="135"/>
      <c r="E47" s="135"/>
      <c r="F47" s="137"/>
      <c r="AA47" s="116" t="str">
        <f t="shared" si="1"/>
        <v>00000000000000</v>
      </c>
      <c r="AB47" s="117" t="str">
        <f t="shared" si="3"/>
        <v>000000000000</v>
      </c>
      <c r="AC47" s="118">
        <f t="shared" si="4"/>
        <v>1</v>
      </c>
      <c r="AD47" s="47">
        <v>2</v>
      </c>
      <c r="AE47" s="66">
        <f t="shared" si="7"/>
        <v>0</v>
      </c>
      <c r="AF47" s="66">
        <f t="shared" si="0"/>
        <v>0</v>
      </c>
      <c r="AG47" s="67" t="str">
        <f t="shared" si="8"/>
        <v>0000000000</v>
      </c>
      <c r="AH47" s="67" t="str">
        <f t="shared" si="9"/>
        <v>.00</v>
      </c>
      <c r="AI47" s="67" t="str">
        <f t="shared" si="5"/>
        <v>00</v>
      </c>
      <c r="AJ47" s="67" t="str">
        <f t="shared" si="10"/>
        <v>000000000000</v>
      </c>
      <c r="AK47" s="119"/>
      <c r="AL47" s="120"/>
      <c r="AP47" s="115" t="str">
        <f t="shared" si="6"/>
        <v/>
      </c>
    </row>
    <row r="48" spans="1:42" x14ac:dyDescent="0.2">
      <c r="A48" s="63" t="str">
        <f t="shared" si="2"/>
        <v/>
      </c>
      <c r="B48" s="133"/>
      <c r="C48" s="133"/>
      <c r="D48" s="135"/>
      <c r="E48" s="135"/>
      <c r="F48" s="137"/>
      <c r="AA48" s="116" t="str">
        <f t="shared" si="1"/>
        <v>00000000000000</v>
      </c>
      <c r="AB48" s="117" t="str">
        <f t="shared" si="3"/>
        <v>000000000000</v>
      </c>
      <c r="AC48" s="118">
        <f t="shared" si="4"/>
        <v>1</v>
      </c>
      <c r="AD48" s="47">
        <v>2</v>
      </c>
      <c r="AE48" s="66">
        <f t="shared" si="7"/>
        <v>0</v>
      </c>
      <c r="AF48" s="66">
        <f t="shared" si="0"/>
        <v>0</v>
      </c>
      <c r="AG48" s="67" t="str">
        <f t="shared" si="8"/>
        <v>0000000000</v>
      </c>
      <c r="AH48" s="67" t="str">
        <f t="shared" si="9"/>
        <v>.00</v>
      </c>
      <c r="AI48" s="67" t="str">
        <f t="shared" si="5"/>
        <v>00</v>
      </c>
      <c r="AJ48" s="67" t="str">
        <f t="shared" si="10"/>
        <v>000000000000</v>
      </c>
      <c r="AK48" s="119"/>
      <c r="AL48" s="120"/>
      <c r="AP48" s="115" t="str">
        <f t="shared" si="6"/>
        <v/>
      </c>
    </row>
    <row r="49" spans="1:42" x14ac:dyDescent="0.2">
      <c r="A49" s="63" t="str">
        <f t="shared" si="2"/>
        <v/>
      </c>
      <c r="B49" s="133"/>
      <c r="C49" s="133"/>
      <c r="D49" s="135"/>
      <c r="E49" s="135"/>
      <c r="F49" s="137"/>
      <c r="AA49" s="116" t="str">
        <f t="shared" si="1"/>
        <v>00000000000000</v>
      </c>
      <c r="AB49" s="117" t="str">
        <f t="shared" si="3"/>
        <v>000000000000</v>
      </c>
      <c r="AC49" s="118">
        <f t="shared" si="4"/>
        <v>1</v>
      </c>
      <c r="AD49" s="47">
        <v>2</v>
      </c>
      <c r="AE49" s="66">
        <f t="shared" si="7"/>
        <v>0</v>
      </c>
      <c r="AF49" s="66">
        <f t="shared" si="0"/>
        <v>0</v>
      </c>
      <c r="AG49" s="67" t="str">
        <f t="shared" si="8"/>
        <v>0000000000</v>
      </c>
      <c r="AH49" s="67" t="str">
        <f t="shared" si="9"/>
        <v>.00</v>
      </c>
      <c r="AI49" s="67" t="str">
        <f t="shared" si="5"/>
        <v>00</v>
      </c>
      <c r="AJ49" s="67" t="str">
        <f t="shared" si="10"/>
        <v>000000000000</v>
      </c>
      <c r="AK49" s="119"/>
      <c r="AL49" s="120"/>
      <c r="AP49" s="115" t="str">
        <f t="shared" si="6"/>
        <v/>
      </c>
    </row>
    <row r="50" spans="1:42" x14ac:dyDescent="0.2">
      <c r="A50" s="63" t="str">
        <f t="shared" si="2"/>
        <v/>
      </c>
      <c r="B50" s="133"/>
      <c r="C50" s="133"/>
      <c r="D50" s="135"/>
      <c r="E50" s="135"/>
      <c r="F50" s="137"/>
      <c r="AA50" s="116" t="str">
        <f t="shared" si="1"/>
        <v>00000000000000</v>
      </c>
      <c r="AB50" s="117" t="str">
        <f t="shared" si="3"/>
        <v>000000000000</v>
      </c>
      <c r="AC50" s="118">
        <f t="shared" si="4"/>
        <v>1</v>
      </c>
      <c r="AD50" s="47">
        <v>2</v>
      </c>
      <c r="AE50" s="66">
        <f t="shared" si="7"/>
        <v>0</v>
      </c>
      <c r="AF50" s="66">
        <f t="shared" si="0"/>
        <v>0</v>
      </c>
      <c r="AG50" s="67" t="str">
        <f t="shared" si="8"/>
        <v>0000000000</v>
      </c>
      <c r="AH50" s="67" t="str">
        <f t="shared" si="9"/>
        <v>.00</v>
      </c>
      <c r="AI50" s="67" t="str">
        <f t="shared" si="5"/>
        <v>00</v>
      </c>
      <c r="AJ50" s="67" t="str">
        <f t="shared" si="10"/>
        <v>000000000000</v>
      </c>
      <c r="AK50" s="119"/>
      <c r="AL50" s="120"/>
      <c r="AP50" s="115" t="str">
        <f t="shared" si="6"/>
        <v/>
      </c>
    </row>
    <row r="51" spans="1:42" x14ac:dyDescent="0.2">
      <c r="A51" s="63" t="str">
        <f t="shared" si="2"/>
        <v/>
      </c>
      <c r="B51" s="133"/>
      <c r="C51" s="133"/>
      <c r="D51" s="135"/>
      <c r="E51" s="135"/>
      <c r="F51" s="137"/>
      <c r="AA51" s="116" t="str">
        <f t="shared" si="1"/>
        <v>00000000000000</v>
      </c>
      <c r="AB51" s="117" t="str">
        <f t="shared" si="3"/>
        <v>000000000000</v>
      </c>
      <c r="AC51" s="118">
        <f t="shared" si="4"/>
        <v>1</v>
      </c>
      <c r="AD51" s="47">
        <v>2</v>
      </c>
      <c r="AE51" s="66">
        <f t="shared" si="7"/>
        <v>0</v>
      </c>
      <c r="AF51" s="66">
        <f t="shared" si="0"/>
        <v>0</v>
      </c>
      <c r="AG51" s="67" t="str">
        <f t="shared" si="8"/>
        <v>0000000000</v>
      </c>
      <c r="AH51" s="67" t="str">
        <f t="shared" si="9"/>
        <v>.00</v>
      </c>
      <c r="AI51" s="67" t="str">
        <f t="shared" si="5"/>
        <v>00</v>
      </c>
      <c r="AJ51" s="67" t="str">
        <f t="shared" si="10"/>
        <v>000000000000</v>
      </c>
      <c r="AK51" s="119"/>
      <c r="AL51" s="120"/>
      <c r="AP51" s="115" t="str">
        <f t="shared" si="6"/>
        <v/>
      </c>
    </row>
    <row r="52" spans="1:42" x14ac:dyDescent="0.2">
      <c r="A52" s="63" t="str">
        <f t="shared" si="2"/>
        <v/>
      </c>
      <c r="B52" s="133"/>
      <c r="C52" s="133"/>
      <c r="D52" s="135"/>
      <c r="E52" s="135"/>
      <c r="F52" s="137"/>
      <c r="AA52" s="116" t="str">
        <f t="shared" si="1"/>
        <v>00000000000000</v>
      </c>
      <c r="AB52" s="117" t="str">
        <f t="shared" si="3"/>
        <v>000000000000</v>
      </c>
      <c r="AC52" s="118">
        <f t="shared" si="4"/>
        <v>1</v>
      </c>
      <c r="AD52" s="47">
        <v>2</v>
      </c>
      <c r="AE52" s="66">
        <f t="shared" si="7"/>
        <v>0</v>
      </c>
      <c r="AF52" s="66">
        <f t="shared" si="0"/>
        <v>0</v>
      </c>
      <c r="AG52" s="67" t="str">
        <f t="shared" si="8"/>
        <v>0000000000</v>
      </c>
      <c r="AH52" s="67" t="str">
        <f t="shared" si="9"/>
        <v>.00</v>
      </c>
      <c r="AI52" s="67" t="str">
        <f t="shared" si="5"/>
        <v>00</v>
      </c>
      <c r="AJ52" s="67" t="str">
        <f t="shared" si="10"/>
        <v>000000000000</v>
      </c>
      <c r="AK52" s="119"/>
      <c r="AL52" s="120"/>
      <c r="AP52" s="115" t="str">
        <f t="shared" si="6"/>
        <v/>
      </c>
    </row>
    <row r="53" spans="1:42" x14ac:dyDescent="0.2">
      <c r="A53" s="63" t="str">
        <f t="shared" si="2"/>
        <v/>
      </c>
      <c r="B53" s="133"/>
      <c r="C53" s="133"/>
      <c r="D53" s="135"/>
      <c r="E53" s="135"/>
      <c r="F53" s="137"/>
      <c r="AA53" s="116" t="str">
        <f t="shared" si="1"/>
        <v>00000000000000</v>
      </c>
      <c r="AB53" s="117" t="str">
        <f t="shared" si="3"/>
        <v>000000000000</v>
      </c>
      <c r="AC53" s="118">
        <f t="shared" si="4"/>
        <v>1</v>
      </c>
      <c r="AD53" s="47">
        <v>2</v>
      </c>
      <c r="AE53" s="66">
        <f t="shared" si="7"/>
        <v>0</v>
      </c>
      <c r="AF53" s="66">
        <f t="shared" si="0"/>
        <v>0</v>
      </c>
      <c r="AG53" s="67" t="str">
        <f t="shared" si="8"/>
        <v>0000000000</v>
      </c>
      <c r="AH53" s="67" t="str">
        <f t="shared" si="9"/>
        <v>.00</v>
      </c>
      <c r="AI53" s="67" t="str">
        <f t="shared" si="5"/>
        <v>00</v>
      </c>
      <c r="AJ53" s="67" t="str">
        <f t="shared" si="10"/>
        <v>000000000000</v>
      </c>
      <c r="AK53" s="119"/>
      <c r="AL53" s="120"/>
      <c r="AP53" s="115" t="str">
        <f t="shared" si="6"/>
        <v/>
      </c>
    </row>
    <row r="54" spans="1:42" x14ac:dyDescent="0.2">
      <c r="A54" s="63" t="str">
        <f t="shared" si="2"/>
        <v/>
      </c>
      <c r="B54" s="133"/>
      <c r="C54" s="133"/>
      <c r="D54" s="135"/>
      <c r="E54" s="135"/>
      <c r="F54" s="137"/>
      <c r="AA54" s="116" t="str">
        <f t="shared" si="1"/>
        <v>00000000000000</v>
      </c>
      <c r="AB54" s="117" t="str">
        <f t="shared" si="3"/>
        <v>000000000000</v>
      </c>
      <c r="AC54" s="118">
        <f t="shared" si="4"/>
        <v>1</v>
      </c>
      <c r="AD54" s="47">
        <v>2</v>
      </c>
      <c r="AE54" s="66">
        <f t="shared" si="7"/>
        <v>0</v>
      </c>
      <c r="AF54" s="66">
        <f t="shared" si="0"/>
        <v>0</v>
      </c>
      <c r="AG54" s="67" t="str">
        <f t="shared" si="8"/>
        <v>0000000000</v>
      </c>
      <c r="AH54" s="67" t="str">
        <f t="shared" si="9"/>
        <v>.00</v>
      </c>
      <c r="AI54" s="67" t="str">
        <f t="shared" si="5"/>
        <v>00</v>
      </c>
      <c r="AJ54" s="67" t="str">
        <f t="shared" si="10"/>
        <v>000000000000</v>
      </c>
      <c r="AK54" s="119"/>
      <c r="AL54" s="120"/>
      <c r="AP54" s="115" t="str">
        <f t="shared" si="6"/>
        <v/>
      </c>
    </row>
    <row r="55" spans="1:42" x14ac:dyDescent="0.2">
      <c r="A55" s="63" t="str">
        <f t="shared" si="2"/>
        <v/>
      </c>
      <c r="B55" s="133"/>
      <c r="C55" s="133"/>
      <c r="D55" s="135"/>
      <c r="E55" s="135"/>
      <c r="F55" s="137"/>
      <c r="AA55" s="116" t="str">
        <f t="shared" si="1"/>
        <v>00000000000000</v>
      </c>
      <c r="AB55" s="117" t="str">
        <f t="shared" si="3"/>
        <v>000000000000</v>
      </c>
      <c r="AC55" s="118">
        <f t="shared" si="4"/>
        <v>1</v>
      </c>
      <c r="AD55" s="47">
        <v>2</v>
      </c>
      <c r="AE55" s="66">
        <f t="shared" si="7"/>
        <v>0</v>
      </c>
      <c r="AF55" s="66">
        <f t="shared" si="0"/>
        <v>0</v>
      </c>
      <c r="AG55" s="67" t="str">
        <f t="shared" si="8"/>
        <v>0000000000</v>
      </c>
      <c r="AH55" s="67" t="str">
        <f t="shared" si="9"/>
        <v>.00</v>
      </c>
      <c r="AI55" s="67" t="str">
        <f t="shared" si="5"/>
        <v>00</v>
      </c>
      <c r="AJ55" s="67" t="str">
        <f t="shared" si="10"/>
        <v>000000000000</v>
      </c>
      <c r="AK55" s="119"/>
      <c r="AL55" s="120"/>
      <c r="AP55" s="115" t="str">
        <f t="shared" si="6"/>
        <v/>
      </c>
    </row>
    <row r="56" spans="1:42" x14ac:dyDescent="0.2">
      <c r="A56" s="63" t="str">
        <f t="shared" si="2"/>
        <v/>
      </c>
      <c r="B56" s="133"/>
      <c r="C56" s="133"/>
      <c r="D56" s="135"/>
      <c r="E56" s="135"/>
      <c r="F56" s="137"/>
      <c r="AA56" s="116" t="str">
        <f t="shared" si="1"/>
        <v>00000000000000</v>
      </c>
      <c r="AB56" s="117" t="str">
        <f t="shared" si="3"/>
        <v>000000000000</v>
      </c>
      <c r="AC56" s="118">
        <f t="shared" si="4"/>
        <v>1</v>
      </c>
      <c r="AD56" s="47">
        <v>2</v>
      </c>
      <c r="AE56" s="66">
        <f t="shared" si="7"/>
        <v>0</v>
      </c>
      <c r="AF56" s="66">
        <f t="shared" si="0"/>
        <v>0</v>
      </c>
      <c r="AG56" s="67" t="str">
        <f t="shared" si="8"/>
        <v>0000000000</v>
      </c>
      <c r="AH56" s="67" t="str">
        <f t="shared" si="9"/>
        <v>.00</v>
      </c>
      <c r="AI56" s="67" t="str">
        <f t="shared" si="5"/>
        <v>00</v>
      </c>
      <c r="AJ56" s="67" t="str">
        <f t="shared" si="10"/>
        <v>000000000000</v>
      </c>
      <c r="AK56" s="119"/>
      <c r="AL56" s="120"/>
      <c r="AP56" s="115" t="str">
        <f t="shared" si="6"/>
        <v/>
      </c>
    </row>
    <row r="57" spans="1:42" x14ac:dyDescent="0.2">
      <c r="A57" s="63" t="str">
        <f t="shared" si="2"/>
        <v/>
      </c>
      <c r="B57" s="133"/>
      <c r="C57" s="133"/>
      <c r="D57" s="135"/>
      <c r="E57" s="135"/>
      <c r="F57" s="137"/>
      <c r="AA57" s="116" t="str">
        <f t="shared" si="1"/>
        <v>00000000000000</v>
      </c>
      <c r="AB57" s="117" t="str">
        <f t="shared" si="3"/>
        <v>000000000000</v>
      </c>
      <c r="AC57" s="118">
        <f t="shared" si="4"/>
        <v>1</v>
      </c>
      <c r="AD57" s="47">
        <v>2</v>
      </c>
      <c r="AE57" s="66">
        <f t="shared" si="7"/>
        <v>0</v>
      </c>
      <c r="AF57" s="66">
        <f t="shared" si="0"/>
        <v>0</v>
      </c>
      <c r="AG57" s="67" t="str">
        <f t="shared" si="8"/>
        <v>0000000000</v>
      </c>
      <c r="AH57" s="67" t="str">
        <f t="shared" si="9"/>
        <v>.00</v>
      </c>
      <c r="AI57" s="67" t="str">
        <f t="shared" si="5"/>
        <v>00</v>
      </c>
      <c r="AJ57" s="67" t="str">
        <f t="shared" si="10"/>
        <v>000000000000</v>
      </c>
      <c r="AK57" s="119"/>
      <c r="AL57" s="120"/>
      <c r="AP57" s="115" t="str">
        <f t="shared" si="6"/>
        <v/>
      </c>
    </row>
    <row r="58" spans="1:42" x14ac:dyDescent="0.2">
      <c r="A58" s="63" t="str">
        <f t="shared" si="2"/>
        <v/>
      </c>
      <c r="B58" s="133"/>
      <c r="C58" s="133"/>
      <c r="D58" s="135"/>
      <c r="E58" s="135"/>
      <c r="F58" s="137"/>
      <c r="AA58" s="116" t="str">
        <f t="shared" si="1"/>
        <v>00000000000000</v>
      </c>
      <c r="AB58" s="117" t="str">
        <f t="shared" si="3"/>
        <v>000000000000</v>
      </c>
      <c r="AC58" s="118">
        <f t="shared" si="4"/>
        <v>1</v>
      </c>
      <c r="AD58" s="47">
        <v>2</v>
      </c>
      <c r="AE58" s="66">
        <f t="shared" si="7"/>
        <v>0</v>
      </c>
      <c r="AF58" s="66">
        <f t="shared" si="0"/>
        <v>0</v>
      </c>
      <c r="AG58" s="67" t="str">
        <f t="shared" si="8"/>
        <v>0000000000</v>
      </c>
      <c r="AH58" s="67" t="str">
        <f t="shared" si="9"/>
        <v>.00</v>
      </c>
      <c r="AI58" s="67" t="str">
        <f t="shared" si="5"/>
        <v>00</v>
      </c>
      <c r="AJ58" s="67" t="str">
        <f t="shared" si="10"/>
        <v>000000000000</v>
      </c>
      <c r="AK58" s="119"/>
      <c r="AL58" s="120"/>
      <c r="AP58" s="115" t="str">
        <f t="shared" si="6"/>
        <v/>
      </c>
    </row>
    <row r="59" spans="1:42" x14ac:dyDescent="0.2">
      <c r="A59" s="63" t="str">
        <f t="shared" si="2"/>
        <v/>
      </c>
      <c r="B59" s="133"/>
      <c r="C59" s="133"/>
      <c r="D59" s="135"/>
      <c r="E59" s="135"/>
      <c r="F59" s="137"/>
      <c r="AA59" s="116" t="str">
        <f t="shared" si="1"/>
        <v>00000000000000</v>
      </c>
      <c r="AB59" s="117" t="str">
        <f t="shared" si="3"/>
        <v>000000000000</v>
      </c>
      <c r="AC59" s="118">
        <f t="shared" si="4"/>
        <v>1</v>
      </c>
      <c r="AD59" s="47">
        <v>2</v>
      </c>
      <c r="AE59" s="66">
        <f t="shared" si="7"/>
        <v>0</v>
      </c>
      <c r="AF59" s="66">
        <f t="shared" si="0"/>
        <v>0</v>
      </c>
      <c r="AG59" s="67" t="str">
        <f t="shared" si="8"/>
        <v>0000000000</v>
      </c>
      <c r="AH59" s="67" t="str">
        <f t="shared" si="9"/>
        <v>.00</v>
      </c>
      <c r="AI59" s="67" t="str">
        <f t="shared" si="5"/>
        <v>00</v>
      </c>
      <c r="AJ59" s="67" t="str">
        <f t="shared" si="10"/>
        <v>000000000000</v>
      </c>
      <c r="AK59" s="119"/>
      <c r="AL59" s="120"/>
      <c r="AP59" s="115" t="str">
        <f t="shared" si="6"/>
        <v/>
      </c>
    </row>
    <row r="60" spans="1:42" x14ac:dyDescent="0.2">
      <c r="A60" s="63" t="str">
        <f t="shared" si="2"/>
        <v/>
      </c>
      <c r="B60" s="133"/>
      <c r="C60" s="133"/>
      <c r="D60" s="135"/>
      <c r="E60" s="135"/>
      <c r="F60" s="137"/>
      <c r="AA60" s="116" t="str">
        <f t="shared" si="1"/>
        <v>00000000000000</v>
      </c>
      <c r="AB60" s="117" t="str">
        <f t="shared" si="3"/>
        <v>000000000000</v>
      </c>
      <c r="AC60" s="118">
        <f t="shared" si="4"/>
        <v>1</v>
      </c>
      <c r="AD60" s="47">
        <v>2</v>
      </c>
      <c r="AE60" s="66">
        <f t="shared" si="7"/>
        <v>0</v>
      </c>
      <c r="AF60" s="66">
        <f t="shared" si="0"/>
        <v>0</v>
      </c>
      <c r="AG60" s="67" t="str">
        <f t="shared" si="8"/>
        <v>0000000000</v>
      </c>
      <c r="AH60" s="67" t="str">
        <f t="shared" si="9"/>
        <v>.00</v>
      </c>
      <c r="AI60" s="67" t="str">
        <f t="shared" si="5"/>
        <v>00</v>
      </c>
      <c r="AJ60" s="67" t="str">
        <f t="shared" si="10"/>
        <v>000000000000</v>
      </c>
      <c r="AK60" s="119"/>
      <c r="AL60" s="120"/>
      <c r="AP60" s="115" t="str">
        <f t="shared" si="6"/>
        <v/>
      </c>
    </row>
    <row r="61" spans="1:42" x14ac:dyDescent="0.2">
      <c r="A61" s="63" t="str">
        <f t="shared" si="2"/>
        <v/>
      </c>
      <c r="B61" s="133"/>
      <c r="C61" s="133"/>
      <c r="D61" s="135"/>
      <c r="E61" s="135"/>
      <c r="F61" s="137"/>
      <c r="AA61" s="116" t="str">
        <f t="shared" si="1"/>
        <v>00000000000000</v>
      </c>
      <c r="AB61" s="117" t="str">
        <f t="shared" si="3"/>
        <v>000000000000</v>
      </c>
      <c r="AC61" s="118">
        <f t="shared" si="4"/>
        <v>1</v>
      </c>
      <c r="AD61" s="47">
        <v>2</v>
      </c>
      <c r="AE61" s="66">
        <f t="shared" si="7"/>
        <v>0</v>
      </c>
      <c r="AF61" s="66">
        <f t="shared" si="0"/>
        <v>0</v>
      </c>
      <c r="AG61" s="67" t="str">
        <f t="shared" si="8"/>
        <v>0000000000</v>
      </c>
      <c r="AH61" s="67" t="str">
        <f t="shared" si="9"/>
        <v>.00</v>
      </c>
      <c r="AI61" s="67" t="str">
        <f t="shared" si="5"/>
        <v>00</v>
      </c>
      <c r="AJ61" s="67" t="str">
        <f t="shared" si="10"/>
        <v>000000000000</v>
      </c>
      <c r="AK61" s="119"/>
      <c r="AL61" s="120"/>
      <c r="AP61" s="115" t="str">
        <f t="shared" si="6"/>
        <v/>
      </c>
    </row>
    <row r="62" spans="1:42" x14ac:dyDescent="0.2">
      <c r="A62" s="63" t="str">
        <f t="shared" si="2"/>
        <v/>
      </c>
      <c r="B62" s="133"/>
      <c r="C62" s="133"/>
      <c r="D62" s="135"/>
      <c r="E62" s="135"/>
      <c r="F62" s="137"/>
      <c r="AA62" s="116" t="str">
        <f t="shared" si="1"/>
        <v>00000000000000</v>
      </c>
      <c r="AB62" s="117" t="str">
        <f t="shared" si="3"/>
        <v>000000000000</v>
      </c>
      <c r="AC62" s="118">
        <f t="shared" si="4"/>
        <v>1</v>
      </c>
      <c r="AD62" s="47">
        <v>2</v>
      </c>
      <c r="AE62" s="66">
        <f t="shared" si="7"/>
        <v>0</v>
      </c>
      <c r="AF62" s="66">
        <f t="shared" si="0"/>
        <v>0</v>
      </c>
      <c r="AG62" s="67" t="str">
        <f t="shared" si="8"/>
        <v>0000000000</v>
      </c>
      <c r="AH62" s="67" t="str">
        <f t="shared" si="9"/>
        <v>.00</v>
      </c>
      <c r="AI62" s="67" t="str">
        <f t="shared" si="5"/>
        <v>00</v>
      </c>
      <c r="AJ62" s="67" t="str">
        <f t="shared" si="10"/>
        <v>000000000000</v>
      </c>
      <c r="AK62" s="119"/>
      <c r="AL62" s="120"/>
      <c r="AP62" s="115" t="str">
        <f t="shared" si="6"/>
        <v/>
      </c>
    </row>
    <row r="63" spans="1:42" x14ac:dyDescent="0.2">
      <c r="A63" s="63" t="str">
        <f t="shared" si="2"/>
        <v/>
      </c>
      <c r="B63" s="133"/>
      <c r="C63" s="133"/>
      <c r="D63" s="135"/>
      <c r="E63" s="135"/>
      <c r="F63" s="137"/>
      <c r="AA63" s="116" t="str">
        <f t="shared" si="1"/>
        <v>00000000000000</v>
      </c>
      <c r="AB63" s="117" t="str">
        <f t="shared" si="3"/>
        <v>000000000000</v>
      </c>
      <c r="AC63" s="118">
        <f t="shared" si="4"/>
        <v>1</v>
      </c>
      <c r="AD63" s="47">
        <v>2</v>
      </c>
      <c r="AE63" s="66">
        <f t="shared" si="7"/>
        <v>0</v>
      </c>
      <c r="AF63" s="66">
        <f t="shared" si="0"/>
        <v>0</v>
      </c>
      <c r="AG63" s="67" t="str">
        <f t="shared" si="8"/>
        <v>0000000000</v>
      </c>
      <c r="AH63" s="67" t="str">
        <f t="shared" si="9"/>
        <v>.00</v>
      </c>
      <c r="AI63" s="67" t="str">
        <f t="shared" si="5"/>
        <v>00</v>
      </c>
      <c r="AJ63" s="67" t="str">
        <f t="shared" si="10"/>
        <v>000000000000</v>
      </c>
      <c r="AK63" s="119"/>
      <c r="AL63" s="120"/>
      <c r="AP63" s="115" t="str">
        <f t="shared" si="6"/>
        <v/>
      </c>
    </row>
    <row r="64" spans="1:42" x14ac:dyDescent="0.2">
      <c r="A64" s="63" t="str">
        <f t="shared" si="2"/>
        <v/>
      </c>
      <c r="B64" s="133"/>
      <c r="C64" s="133"/>
      <c r="D64" s="135"/>
      <c r="E64" s="135"/>
      <c r="F64" s="137"/>
      <c r="AA64" s="116" t="str">
        <f t="shared" si="1"/>
        <v>00000000000000</v>
      </c>
      <c r="AB64" s="117" t="str">
        <f t="shared" si="3"/>
        <v>000000000000</v>
      </c>
      <c r="AC64" s="118">
        <f t="shared" si="4"/>
        <v>1</v>
      </c>
      <c r="AD64" s="47">
        <v>2</v>
      </c>
      <c r="AE64" s="66">
        <f t="shared" si="7"/>
        <v>0</v>
      </c>
      <c r="AF64" s="66">
        <f t="shared" si="0"/>
        <v>0</v>
      </c>
      <c r="AG64" s="67" t="str">
        <f t="shared" si="8"/>
        <v>0000000000</v>
      </c>
      <c r="AH64" s="67" t="str">
        <f t="shared" si="9"/>
        <v>.00</v>
      </c>
      <c r="AI64" s="67" t="str">
        <f t="shared" si="5"/>
        <v>00</v>
      </c>
      <c r="AJ64" s="67" t="str">
        <f t="shared" si="10"/>
        <v>000000000000</v>
      </c>
      <c r="AK64" s="119"/>
      <c r="AL64" s="120"/>
      <c r="AP64" s="115" t="str">
        <f t="shared" si="6"/>
        <v/>
      </c>
    </row>
    <row r="65" spans="1:42" x14ac:dyDescent="0.2">
      <c r="A65" s="63" t="str">
        <f t="shared" si="2"/>
        <v/>
      </c>
      <c r="B65" s="133"/>
      <c r="C65" s="133"/>
      <c r="D65" s="135"/>
      <c r="E65" s="135"/>
      <c r="F65" s="137"/>
      <c r="AA65" s="116" t="str">
        <f t="shared" si="1"/>
        <v>00000000000000</v>
      </c>
      <c r="AB65" s="117" t="str">
        <f t="shared" si="3"/>
        <v>000000000000</v>
      </c>
      <c r="AC65" s="118">
        <f t="shared" si="4"/>
        <v>1</v>
      </c>
      <c r="AD65" s="47">
        <v>2</v>
      </c>
      <c r="AE65" s="66">
        <f t="shared" si="7"/>
        <v>0</v>
      </c>
      <c r="AF65" s="66">
        <f t="shared" si="0"/>
        <v>0</v>
      </c>
      <c r="AG65" s="67" t="str">
        <f t="shared" si="8"/>
        <v>0000000000</v>
      </c>
      <c r="AH65" s="67" t="str">
        <f t="shared" si="9"/>
        <v>.00</v>
      </c>
      <c r="AI65" s="67" t="str">
        <f t="shared" si="5"/>
        <v>00</v>
      </c>
      <c r="AJ65" s="67" t="str">
        <f t="shared" si="10"/>
        <v>000000000000</v>
      </c>
      <c r="AK65" s="119"/>
      <c r="AL65" s="120"/>
      <c r="AP65" s="115" t="str">
        <f t="shared" si="6"/>
        <v/>
      </c>
    </row>
    <row r="66" spans="1:42" x14ac:dyDescent="0.2">
      <c r="A66" s="63" t="str">
        <f t="shared" si="2"/>
        <v/>
      </c>
      <c r="B66" s="133"/>
      <c r="C66" s="133"/>
      <c r="D66" s="135"/>
      <c r="E66" s="135"/>
      <c r="F66" s="137"/>
      <c r="AA66" s="116" t="str">
        <f t="shared" si="1"/>
        <v>00000000000000</v>
      </c>
      <c r="AB66" s="117" t="str">
        <f t="shared" si="3"/>
        <v>000000000000</v>
      </c>
      <c r="AC66" s="118">
        <f t="shared" si="4"/>
        <v>1</v>
      </c>
      <c r="AD66" s="47">
        <v>2</v>
      </c>
      <c r="AE66" s="66">
        <f t="shared" si="7"/>
        <v>0</v>
      </c>
      <c r="AF66" s="66">
        <f t="shared" si="0"/>
        <v>0</v>
      </c>
      <c r="AG66" s="67" t="str">
        <f t="shared" si="8"/>
        <v>0000000000</v>
      </c>
      <c r="AH66" s="67" t="str">
        <f t="shared" si="9"/>
        <v>.00</v>
      </c>
      <c r="AI66" s="67" t="str">
        <f t="shared" si="5"/>
        <v>00</v>
      </c>
      <c r="AJ66" s="67" t="str">
        <f t="shared" si="10"/>
        <v>000000000000</v>
      </c>
      <c r="AK66" s="119"/>
      <c r="AL66" s="120"/>
      <c r="AP66" s="115" t="str">
        <f t="shared" si="6"/>
        <v/>
      </c>
    </row>
    <row r="67" spans="1:42" x14ac:dyDescent="0.2">
      <c r="A67" s="63" t="str">
        <f t="shared" si="2"/>
        <v/>
      </c>
      <c r="B67" s="133"/>
      <c r="C67" s="133"/>
      <c r="D67" s="135"/>
      <c r="E67" s="135"/>
      <c r="F67" s="137"/>
      <c r="AA67" s="116" t="str">
        <f t="shared" si="1"/>
        <v>00000000000000</v>
      </c>
      <c r="AB67" s="117" t="str">
        <f t="shared" si="3"/>
        <v>000000000000</v>
      </c>
      <c r="AC67" s="118">
        <f t="shared" si="4"/>
        <v>1</v>
      </c>
      <c r="AD67" s="47">
        <v>2</v>
      </c>
      <c r="AE67" s="66">
        <f t="shared" si="7"/>
        <v>0</v>
      </c>
      <c r="AF67" s="66">
        <f t="shared" ref="AF67:AF130" si="11">F67-AE67</f>
        <v>0</v>
      </c>
      <c r="AG67" s="67" t="str">
        <f t="shared" si="8"/>
        <v>0000000000</v>
      </c>
      <c r="AH67" s="67" t="str">
        <f t="shared" si="9"/>
        <v>.00</v>
      </c>
      <c r="AI67" s="67" t="str">
        <f t="shared" si="5"/>
        <v>00</v>
      </c>
      <c r="AJ67" s="67" t="str">
        <f t="shared" si="10"/>
        <v>000000000000</v>
      </c>
      <c r="AK67" s="119"/>
      <c r="AL67" s="120"/>
      <c r="AP67" s="115" t="str">
        <f t="shared" si="6"/>
        <v/>
      </c>
    </row>
    <row r="68" spans="1:42" x14ac:dyDescent="0.2">
      <c r="A68" s="63" t="str">
        <f t="shared" si="2"/>
        <v/>
      </c>
      <c r="B68" s="133"/>
      <c r="C68" s="133"/>
      <c r="D68" s="135"/>
      <c r="E68" s="135"/>
      <c r="F68" s="137"/>
      <c r="AA68" s="116" t="str">
        <f t="shared" ref="AA68:AA131" si="12">CONCATENATE(REPT("0",14-LEN(B68)),B68)</f>
        <v>00000000000000</v>
      </c>
      <c r="AB68" s="117" t="str">
        <f t="shared" si="3"/>
        <v>000000000000</v>
      </c>
      <c r="AC68" s="118">
        <f t="shared" si="4"/>
        <v>1</v>
      </c>
      <c r="AD68" s="47">
        <v>2</v>
      </c>
      <c r="AE68" s="66">
        <f t="shared" si="7"/>
        <v>0</v>
      </c>
      <c r="AF68" s="66">
        <f t="shared" si="11"/>
        <v>0</v>
      </c>
      <c r="AG68" s="67" t="str">
        <f t="shared" si="8"/>
        <v>0000000000</v>
      </c>
      <c r="AH68" s="67" t="str">
        <f t="shared" si="9"/>
        <v>.00</v>
      </c>
      <c r="AI68" s="67" t="str">
        <f t="shared" si="5"/>
        <v>00</v>
      </c>
      <c r="AJ68" s="67" t="str">
        <f t="shared" si="10"/>
        <v>000000000000</v>
      </c>
      <c r="AK68" s="119"/>
      <c r="AL68" s="120"/>
      <c r="AP68" s="115" t="str">
        <f t="shared" si="6"/>
        <v/>
      </c>
    </row>
    <row r="69" spans="1:42" x14ac:dyDescent="0.2">
      <c r="A69" s="63" t="str">
        <f t="shared" ref="A69:A132" si="13">IF(B69&lt;&gt;"",A68+1,"")</f>
        <v/>
      </c>
      <c r="B69" s="133"/>
      <c r="C69" s="133"/>
      <c r="D69" s="135"/>
      <c r="E69" s="135"/>
      <c r="F69" s="137"/>
      <c r="AA69" s="116" t="str">
        <f t="shared" si="12"/>
        <v>00000000000000</v>
      </c>
      <c r="AB69" s="117" t="str">
        <f t="shared" ref="AB69:AB132" si="14">CONCATENATE(REPT("0",12-LEN(C69)),C69)</f>
        <v>000000000000</v>
      </c>
      <c r="AC69" s="118">
        <f t="shared" ref="AC69:AC132" si="15">AC68</f>
        <v>1</v>
      </c>
      <c r="AD69" s="47">
        <v>2</v>
      </c>
      <c r="AE69" s="66">
        <f t="shared" si="7"/>
        <v>0</v>
      </c>
      <c r="AF69" s="66">
        <f t="shared" si="11"/>
        <v>0</v>
      </c>
      <c r="AG69" s="67" t="str">
        <f t="shared" si="8"/>
        <v>0000000000</v>
      </c>
      <c r="AH69" s="67" t="str">
        <f t="shared" si="9"/>
        <v>.00</v>
      </c>
      <c r="AI69" s="67" t="str">
        <f t="shared" ref="AI69:AI132" si="16">MID(AH69,2,2)</f>
        <v>00</v>
      </c>
      <c r="AJ69" s="67" t="str">
        <f t="shared" si="10"/>
        <v>000000000000</v>
      </c>
      <c r="AK69" s="119"/>
      <c r="AL69" s="120"/>
      <c r="AP69" s="115" t="str">
        <f t="shared" si="6"/>
        <v/>
      </c>
    </row>
    <row r="70" spans="1:42" x14ac:dyDescent="0.2">
      <c r="A70" s="63" t="str">
        <f t="shared" si="13"/>
        <v/>
      </c>
      <c r="B70" s="133"/>
      <c r="C70" s="133"/>
      <c r="D70" s="135"/>
      <c r="E70" s="135"/>
      <c r="F70" s="137"/>
      <c r="AA70" s="116" t="str">
        <f t="shared" si="12"/>
        <v>00000000000000</v>
      </c>
      <c r="AB70" s="117" t="str">
        <f t="shared" si="14"/>
        <v>000000000000</v>
      </c>
      <c r="AC70" s="118">
        <f t="shared" si="15"/>
        <v>1</v>
      </c>
      <c r="AD70" s="47">
        <v>2</v>
      </c>
      <c r="AE70" s="66">
        <f t="shared" si="7"/>
        <v>0</v>
      </c>
      <c r="AF70" s="66">
        <f t="shared" si="11"/>
        <v>0</v>
      </c>
      <c r="AG70" s="67" t="str">
        <f t="shared" si="8"/>
        <v>0000000000</v>
      </c>
      <c r="AH70" s="67" t="str">
        <f t="shared" si="9"/>
        <v>.00</v>
      </c>
      <c r="AI70" s="67" t="str">
        <f t="shared" si="16"/>
        <v>00</v>
      </c>
      <c r="AJ70" s="67" t="str">
        <f t="shared" si="10"/>
        <v>000000000000</v>
      </c>
      <c r="AK70" s="119"/>
      <c r="AL70" s="120"/>
      <c r="AP70" s="115" t="str">
        <f t="shared" ref="AP70:AP133" si="17">IF(B71&lt;&gt;"",CONCATENATE("00000",$AD$1,AA71,$AC$3,"2",AB71,AJ71,$AL$3,"0                                                  "),"")</f>
        <v/>
      </c>
    </row>
    <row r="71" spans="1:42" x14ac:dyDescent="0.2">
      <c r="A71" s="63" t="str">
        <f t="shared" si="13"/>
        <v/>
      </c>
      <c r="B71" s="133"/>
      <c r="C71" s="133"/>
      <c r="D71" s="135"/>
      <c r="E71" s="135"/>
      <c r="F71" s="137"/>
      <c r="AA71" s="116" t="str">
        <f t="shared" si="12"/>
        <v>00000000000000</v>
      </c>
      <c r="AB71" s="117" t="str">
        <f t="shared" si="14"/>
        <v>000000000000</v>
      </c>
      <c r="AC71" s="118">
        <f t="shared" si="15"/>
        <v>1</v>
      </c>
      <c r="AD71" s="47">
        <v>2</v>
      </c>
      <c r="AE71" s="66">
        <f t="shared" si="7"/>
        <v>0</v>
      </c>
      <c r="AF71" s="66">
        <f t="shared" si="11"/>
        <v>0</v>
      </c>
      <c r="AG71" s="67" t="str">
        <f t="shared" si="8"/>
        <v>0000000000</v>
      </c>
      <c r="AH71" s="67" t="str">
        <f t="shared" si="9"/>
        <v>.00</v>
      </c>
      <c r="AI71" s="67" t="str">
        <f t="shared" si="16"/>
        <v>00</v>
      </c>
      <c r="AJ71" s="67" t="str">
        <f t="shared" si="10"/>
        <v>000000000000</v>
      </c>
      <c r="AK71" s="119"/>
      <c r="AL71" s="120"/>
      <c r="AP71" s="115" t="str">
        <f t="shared" si="17"/>
        <v/>
      </c>
    </row>
    <row r="72" spans="1:42" x14ac:dyDescent="0.2">
      <c r="A72" s="63" t="str">
        <f t="shared" si="13"/>
        <v/>
      </c>
      <c r="B72" s="133"/>
      <c r="C72" s="133"/>
      <c r="D72" s="135"/>
      <c r="E72" s="135"/>
      <c r="F72" s="137"/>
      <c r="AA72" s="116" t="str">
        <f t="shared" si="12"/>
        <v>00000000000000</v>
      </c>
      <c r="AB72" s="117" t="str">
        <f t="shared" si="14"/>
        <v>000000000000</v>
      </c>
      <c r="AC72" s="118">
        <f t="shared" si="15"/>
        <v>1</v>
      </c>
      <c r="AD72" s="47">
        <v>2</v>
      </c>
      <c r="AE72" s="66">
        <f t="shared" ref="AE72:AE135" si="18">INT(F72)</f>
        <v>0</v>
      </c>
      <c r="AF72" s="66">
        <f t="shared" si="11"/>
        <v>0</v>
      </c>
      <c r="AG72" s="67" t="str">
        <f t="shared" ref="AG72:AG135" si="19">TEXT(AE72,"0000000000")</f>
        <v>0000000000</v>
      </c>
      <c r="AH72" s="67" t="str">
        <f t="shared" ref="AH72:AH135" si="20">TEXT(AF72,".00")</f>
        <v>.00</v>
      </c>
      <c r="AI72" s="67" t="str">
        <f t="shared" si="16"/>
        <v>00</v>
      </c>
      <c r="AJ72" s="67" t="str">
        <f t="shared" ref="AJ72:AJ135" si="21">CONCATENATE(AG72,AI72)</f>
        <v>000000000000</v>
      </c>
      <c r="AK72" s="119"/>
      <c r="AL72" s="120"/>
      <c r="AP72" s="115" t="str">
        <f t="shared" si="17"/>
        <v/>
      </c>
    </row>
    <row r="73" spans="1:42" x14ac:dyDescent="0.2">
      <c r="A73" s="63" t="str">
        <f t="shared" si="13"/>
        <v/>
      </c>
      <c r="B73" s="133"/>
      <c r="C73" s="133"/>
      <c r="D73" s="135"/>
      <c r="E73" s="135"/>
      <c r="F73" s="137"/>
      <c r="AA73" s="116" t="str">
        <f t="shared" si="12"/>
        <v>00000000000000</v>
      </c>
      <c r="AB73" s="117" t="str">
        <f t="shared" si="14"/>
        <v>000000000000</v>
      </c>
      <c r="AC73" s="118">
        <f t="shared" si="15"/>
        <v>1</v>
      </c>
      <c r="AD73" s="47">
        <v>2</v>
      </c>
      <c r="AE73" s="66">
        <f t="shared" si="18"/>
        <v>0</v>
      </c>
      <c r="AF73" s="66">
        <f t="shared" si="11"/>
        <v>0</v>
      </c>
      <c r="AG73" s="67" t="str">
        <f t="shared" si="19"/>
        <v>0000000000</v>
      </c>
      <c r="AH73" s="67" t="str">
        <f t="shared" si="20"/>
        <v>.00</v>
      </c>
      <c r="AI73" s="67" t="str">
        <f t="shared" si="16"/>
        <v>00</v>
      </c>
      <c r="AJ73" s="67" t="str">
        <f t="shared" si="21"/>
        <v>000000000000</v>
      </c>
      <c r="AK73" s="119"/>
      <c r="AL73" s="120"/>
      <c r="AP73" s="115" t="str">
        <f t="shared" si="17"/>
        <v/>
      </c>
    </row>
    <row r="74" spans="1:42" x14ac:dyDescent="0.2">
      <c r="A74" s="63" t="str">
        <f t="shared" si="13"/>
        <v/>
      </c>
      <c r="B74" s="133"/>
      <c r="C74" s="133"/>
      <c r="D74" s="135"/>
      <c r="E74" s="135"/>
      <c r="F74" s="137"/>
      <c r="AA74" s="116" t="str">
        <f t="shared" si="12"/>
        <v>00000000000000</v>
      </c>
      <c r="AB74" s="117" t="str">
        <f t="shared" si="14"/>
        <v>000000000000</v>
      </c>
      <c r="AC74" s="118">
        <f t="shared" si="15"/>
        <v>1</v>
      </c>
      <c r="AD74" s="47">
        <v>2</v>
      </c>
      <c r="AE74" s="66">
        <f t="shared" si="18"/>
        <v>0</v>
      </c>
      <c r="AF74" s="66">
        <f t="shared" si="11"/>
        <v>0</v>
      </c>
      <c r="AG74" s="67" t="str">
        <f t="shared" si="19"/>
        <v>0000000000</v>
      </c>
      <c r="AH74" s="67" t="str">
        <f t="shared" si="20"/>
        <v>.00</v>
      </c>
      <c r="AI74" s="67" t="str">
        <f t="shared" si="16"/>
        <v>00</v>
      </c>
      <c r="AJ74" s="67" t="str">
        <f t="shared" si="21"/>
        <v>000000000000</v>
      </c>
      <c r="AK74" s="119"/>
      <c r="AL74" s="120"/>
      <c r="AP74" s="115" t="str">
        <f t="shared" si="17"/>
        <v/>
      </c>
    </row>
    <row r="75" spans="1:42" x14ac:dyDescent="0.2">
      <c r="A75" s="63" t="str">
        <f t="shared" si="13"/>
        <v/>
      </c>
      <c r="B75" s="133"/>
      <c r="C75" s="133"/>
      <c r="D75" s="135"/>
      <c r="E75" s="135"/>
      <c r="F75" s="137"/>
      <c r="AA75" s="116" t="str">
        <f t="shared" si="12"/>
        <v>00000000000000</v>
      </c>
      <c r="AB75" s="117" t="str">
        <f t="shared" si="14"/>
        <v>000000000000</v>
      </c>
      <c r="AC75" s="118">
        <f t="shared" si="15"/>
        <v>1</v>
      </c>
      <c r="AD75" s="47">
        <v>2</v>
      </c>
      <c r="AE75" s="66">
        <f t="shared" si="18"/>
        <v>0</v>
      </c>
      <c r="AF75" s="66">
        <f t="shared" si="11"/>
        <v>0</v>
      </c>
      <c r="AG75" s="67" t="str">
        <f t="shared" si="19"/>
        <v>0000000000</v>
      </c>
      <c r="AH75" s="67" t="str">
        <f t="shared" si="20"/>
        <v>.00</v>
      </c>
      <c r="AI75" s="67" t="str">
        <f t="shared" si="16"/>
        <v>00</v>
      </c>
      <c r="AJ75" s="67" t="str">
        <f t="shared" si="21"/>
        <v>000000000000</v>
      </c>
      <c r="AK75" s="119"/>
      <c r="AL75" s="120"/>
      <c r="AP75" s="115" t="str">
        <f t="shared" si="17"/>
        <v/>
      </c>
    </row>
    <row r="76" spans="1:42" x14ac:dyDescent="0.2">
      <c r="A76" s="63" t="str">
        <f t="shared" si="13"/>
        <v/>
      </c>
      <c r="B76" s="133"/>
      <c r="C76" s="133"/>
      <c r="D76" s="135"/>
      <c r="E76" s="135"/>
      <c r="F76" s="137"/>
      <c r="AA76" s="116" t="str">
        <f t="shared" si="12"/>
        <v>00000000000000</v>
      </c>
      <c r="AB76" s="117" t="str">
        <f t="shared" si="14"/>
        <v>000000000000</v>
      </c>
      <c r="AC76" s="118">
        <f t="shared" si="15"/>
        <v>1</v>
      </c>
      <c r="AD76" s="47">
        <v>2</v>
      </c>
      <c r="AE76" s="66">
        <f t="shared" si="18"/>
        <v>0</v>
      </c>
      <c r="AF76" s="66">
        <f t="shared" si="11"/>
        <v>0</v>
      </c>
      <c r="AG76" s="67" t="str">
        <f t="shared" si="19"/>
        <v>0000000000</v>
      </c>
      <c r="AH76" s="67" t="str">
        <f t="shared" si="20"/>
        <v>.00</v>
      </c>
      <c r="AI76" s="67" t="str">
        <f t="shared" si="16"/>
        <v>00</v>
      </c>
      <c r="AJ76" s="67" t="str">
        <f t="shared" si="21"/>
        <v>000000000000</v>
      </c>
      <c r="AK76" s="119"/>
      <c r="AL76" s="120"/>
      <c r="AP76" s="115" t="str">
        <f t="shared" si="17"/>
        <v/>
      </c>
    </row>
    <row r="77" spans="1:42" x14ac:dyDescent="0.2">
      <c r="A77" s="63" t="str">
        <f t="shared" si="13"/>
        <v/>
      </c>
      <c r="B77" s="133"/>
      <c r="C77" s="133"/>
      <c r="D77" s="135"/>
      <c r="E77" s="135"/>
      <c r="F77" s="137"/>
      <c r="AA77" s="116" t="str">
        <f t="shared" si="12"/>
        <v>00000000000000</v>
      </c>
      <c r="AB77" s="117" t="str">
        <f t="shared" si="14"/>
        <v>000000000000</v>
      </c>
      <c r="AC77" s="118">
        <f t="shared" si="15"/>
        <v>1</v>
      </c>
      <c r="AD77" s="47">
        <v>2</v>
      </c>
      <c r="AE77" s="66">
        <f t="shared" si="18"/>
        <v>0</v>
      </c>
      <c r="AF77" s="66">
        <f t="shared" si="11"/>
        <v>0</v>
      </c>
      <c r="AG77" s="67" t="str">
        <f t="shared" si="19"/>
        <v>0000000000</v>
      </c>
      <c r="AH77" s="67" t="str">
        <f t="shared" si="20"/>
        <v>.00</v>
      </c>
      <c r="AI77" s="67" t="str">
        <f t="shared" si="16"/>
        <v>00</v>
      </c>
      <c r="AJ77" s="67" t="str">
        <f t="shared" si="21"/>
        <v>000000000000</v>
      </c>
      <c r="AK77" s="119"/>
      <c r="AL77" s="120"/>
      <c r="AP77" s="115" t="str">
        <f t="shared" si="17"/>
        <v/>
      </c>
    </row>
    <row r="78" spans="1:42" x14ac:dyDescent="0.2">
      <c r="A78" s="63" t="str">
        <f t="shared" si="13"/>
        <v/>
      </c>
      <c r="B78" s="133"/>
      <c r="C78" s="133"/>
      <c r="D78" s="135"/>
      <c r="E78" s="135"/>
      <c r="F78" s="137"/>
      <c r="AA78" s="116" t="str">
        <f t="shared" si="12"/>
        <v>00000000000000</v>
      </c>
      <c r="AB78" s="117" t="str">
        <f t="shared" si="14"/>
        <v>000000000000</v>
      </c>
      <c r="AC78" s="118">
        <f t="shared" si="15"/>
        <v>1</v>
      </c>
      <c r="AD78" s="47">
        <v>2</v>
      </c>
      <c r="AE78" s="66">
        <f t="shared" si="18"/>
        <v>0</v>
      </c>
      <c r="AF78" s="66">
        <f t="shared" si="11"/>
        <v>0</v>
      </c>
      <c r="AG78" s="67" t="str">
        <f t="shared" si="19"/>
        <v>0000000000</v>
      </c>
      <c r="AH78" s="67" t="str">
        <f t="shared" si="20"/>
        <v>.00</v>
      </c>
      <c r="AI78" s="67" t="str">
        <f t="shared" si="16"/>
        <v>00</v>
      </c>
      <c r="AJ78" s="67" t="str">
        <f t="shared" si="21"/>
        <v>000000000000</v>
      </c>
      <c r="AK78" s="119"/>
      <c r="AL78" s="120"/>
      <c r="AP78" s="115" t="str">
        <f t="shared" si="17"/>
        <v/>
      </c>
    </row>
    <row r="79" spans="1:42" x14ac:dyDescent="0.2">
      <c r="A79" s="63" t="str">
        <f t="shared" si="13"/>
        <v/>
      </c>
      <c r="B79" s="133"/>
      <c r="C79" s="133"/>
      <c r="D79" s="135"/>
      <c r="E79" s="135"/>
      <c r="F79" s="137"/>
      <c r="AA79" s="116" t="str">
        <f t="shared" si="12"/>
        <v>00000000000000</v>
      </c>
      <c r="AB79" s="117" t="str">
        <f t="shared" si="14"/>
        <v>000000000000</v>
      </c>
      <c r="AC79" s="118">
        <f t="shared" si="15"/>
        <v>1</v>
      </c>
      <c r="AD79" s="47">
        <v>2</v>
      </c>
      <c r="AE79" s="66">
        <f t="shared" si="18"/>
        <v>0</v>
      </c>
      <c r="AF79" s="66">
        <f t="shared" si="11"/>
        <v>0</v>
      </c>
      <c r="AG79" s="67" t="str">
        <f t="shared" si="19"/>
        <v>0000000000</v>
      </c>
      <c r="AH79" s="67" t="str">
        <f t="shared" si="20"/>
        <v>.00</v>
      </c>
      <c r="AI79" s="67" t="str">
        <f t="shared" si="16"/>
        <v>00</v>
      </c>
      <c r="AJ79" s="67" t="str">
        <f t="shared" si="21"/>
        <v>000000000000</v>
      </c>
      <c r="AK79" s="119"/>
      <c r="AL79" s="120"/>
      <c r="AP79" s="115" t="str">
        <f t="shared" si="17"/>
        <v/>
      </c>
    </row>
    <row r="80" spans="1:42" x14ac:dyDescent="0.2">
      <c r="A80" s="63" t="str">
        <f t="shared" si="13"/>
        <v/>
      </c>
      <c r="B80" s="133"/>
      <c r="C80" s="133"/>
      <c r="D80" s="135"/>
      <c r="E80" s="135"/>
      <c r="F80" s="137"/>
      <c r="AA80" s="116" t="str">
        <f t="shared" si="12"/>
        <v>00000000000000</v>
      </c>
      <c r="AB80" s="117" t="str">
        <f t="shared" si="14"/>
        <v>000000000000</v>
      </c>
      <c r="AC80" s="118">
        <f t="shared" si="15"/>
        <v>1</v>
      </c>
      <c r="AD80" s="47">
        <v>2</v>
      </c>
      <c r="AE80" s="66">
        <f t="shared" si="18"/>
        <v>0</v>
      </c>
      <c r="AF80" s="66">
        <f t="shared" si="11"/>
        <v>0</v>
      </c>
      <c r="AG80" s="67" t="str">
        <f t="shared" si="19"/>
        <v>0000000000</v>
      </c>
      <c r="AH80" s="67" t="str">
        <f t="shared" si="20"/>
        <v>.00</v>
      </c>
      <c r="AI80" s="67" t="str">
        <f t="shared" si="16"/>
        <v>00</v>
      </c>
      <c r="AJ80" s="67" t="str">
        <f t="shared" si="21"/>
        <v>000000000000</v>
      </c>
      <c r="AK80" s="119"/>
      <c r="AL80" s="120"/>
      <c r="AP80" s="115" t="str">
        <f t="shared" si="17"/>
        <v/>
      </c>
    </row>
    <row r="81" spans="1:42" x14ac:dyDescent="0.2">
      <c r="A81" s="63" t="str">
        <f t="shared" si="13"/>
        <v/>
      </c>
      <c r="B81" s="133"/>
      <c r="C81" s="133"/>
      <c r="D81" s="135"/>
      <c r="E81" s="135"/>
      <c r="F81" s="137"/>
      <c r="AA81" s="116" t="str">
        <f t="shared" si="12"/>
        <v>00000000000000</v>
      </c>
      <c r="AB81" s="117" t="str">
        <f t="shared" si="14"/>
        <v>000000000000</v>
      </c>
      <c r="AC81" s="118">
        <f t="shared" si="15"/>
        <v>1</v>
      </c>
      <c r="AD81" s="47">
        <v>2</v>
      </c>
      <c r="AE81" s="66">
        <f t="shared" si="18"/>
        <v>0</v>
      </c>
      <c r="AF81" s="66">
        <f t="shared" si="11"/>
        <v>0</v>
      </c>
      <c r="AG81" s="67" t="str">
        <f t="shared" si="19"/>
        <v>0000000000</v>
      </c>
      <c r="AH81" s="67" t="str">
        <f t="shared" si="20"/>
        <v>.00</v>
      </c>
      <c r="AI81" s="67" t="str">
        <f t="shared" si="16"/>
        <v>00</v>
      </c>
      <c r="AJ81" s="67" t="str">
        <f t="shared" si="21"/>
        <v>000000000000</v>
      </c>
      <c r="AK81" s="119"/>
      <c r="AL81" s="120"/>
      <c r="AP81" s="115" t="str">
        <f t="shared" si="17"/>
        <v/>
      </c>
    </row>
    <row r="82" spans="1:42" x14ac:dyDescent="0.2">
      <c r="A82" s="63" t="str">
        <f t="shared" si="13"/>
        <v/>
      </c>
      <c r="B82" s="133"/>
      <c r="C82" s="133"/>
      <c r="D82" s="135"/>
      <c r="E82" s="135"/>
      <c r="F82" s="137"/>
      <c r="AA82" s="116" t="str">
        <f t="shared" si="12"/>
        <v>00000000000000</v>
      </c>
      <c r="AB82" s="117" t="str">
        <f t="shared" si="14"/>
        <v>000000000000</v>
      </c>
      <c r="AC82" s="118">
        <f t="shared" si="15"/>
        <v>1</v>
      </c>
      <c r="AD82" s="47">
        <v>2</v>
      </c>
      <c r="AE82" s="66">
        <f t="shared" si="18"/>
        <v>0</v>
      </c>
      <c r="AF82" s="66">
        <f t="shared" si="11"/>
        <v>0</v>
      </c>
      <c r="AG82" s="67" t="str">
        <f t="shared" si="19"/>
        <v>0000000000</v>
      </c>
      <c r="AH82" s="67" t="str">
        <f t="shared" si="20"/>
        <v>.00</v>
      </c>
      <c r="AI82" s="67" t="str">
        <f t="shared" si="16"/>
        <v>00</v>
      </c>
      <c r="AJ82" s="67" t="str">
        <f t="shared" si="21"/>
        <v>000000000000</v>
      </c>
      <c r="AK82" s="119"/>
      <c r="AL82" s="120"/>
      <c r="AP82" s="115" t="str">
        <f t="shared" si="17"/>
        <v/>
      </c>
    </row>
    <row r="83" spans="1:42" x14ac:dyDescent="0.2">
      <c r="A83" s="63" t="str">
        <f t="shared" si="13"/>
        <v/>
      </c>
      <c r="B83" s="133"/>
      <c r="C83" s="133"/>
      <c r="D83" s="135"/>
      <c r="E83" s="135"/>
      <c r="F83" s="137"/>
      <c r="AA83" s="116" t="str">
        <f t="shared" si="12"/>
        <v>00000000000000</v>
      </c>
      <c r="AB83" s="117" t="str">
        <f t="shared" si="14"/>
        <v>000000000000</v>
      </c>
      <c r="AC83" s="118">
        <f t="shared" si="15"/>
        <v>1</v>
      </c>
      <c r="AD83" s="47">
        <v>2</v>
      </c>
      <c r="AE83" s="66">
        <f t="shared" si="18"/>
        <v>0</v>
      </c>
      <c r="AF83" s="66">
        <f t="shared" si="11"/>
        <v>0</v>
      </c>
      <c r="AG83" s="67" t="str">
        <f t="shared" si="19"/>
        <v>0000000000</v>
      </c>
      <c r="AH83" s="67" t="str">
        <f t="shared" si="20"/>
        <v>.00</v>
      </c>
      <c r="AI83" s="67" t="str">
        <f t="shared" si="16"/>
        <v>00</v>
      </c>
      <c r="AJ83" s="67" t="str">
        <f t="shared" si="21"/>
        <v>000000000000</v>
      </c>
      <c r="AK83" s="119"/>
      <c r="AL83" s="120"/>
      <c r="AP83" s="115" t="str">
        <f t="shared" si="17"/>
        <v/>
      </c>
    </row>
    <row r="84" spans="1:42" x14ac:dyDescent="0.2">
      <c r="A84" s="63" t="str">
        <f t="shared" si="13"/>
        <v/>
      </c>
      <c r="B84" s="133"/>
      <c r="C84" s="133"/>
      <c r="D84" s="135"/>
      <c r="E84" s="135"/>
      <c r="F84" s="137"/>
      <c r="AA84" s="116" t="str">
        <f t="shared" si="12"/>
        <v>00000000000000</v>
      </c>
      <c r="AB84" s="117" t="str">
        <f t="shared" si="14"/>
        <v>000000000000</v>
      </c>
      <c r="AC84" s="118">
        <f t="shared" si="15"/>
        <v>1</v>
      </c>
      <c r="AD84" s="47">
        <v>2</v>
      </c>
      <c r="AE84" s="66">
        <f t="shared" si="18"/>
        <v>0</v>
      </c>
      <c r="AF84" s="66">
        <f t="shared" si="11"/>
        <v>0</v>
      </c>
      <c r="AG84" s="67" t="str">
        <f t="shared" si="19"/>
        <v>0000000000</v>
      </c>
      <c r="AH84" s="67" t="str">
        <f t="shared" si="20"/>
        <v>.00</v>
      </c>
      <c r="AI84" s="67" t="str">
        <f t="shared" si="16"/>
        <v>00</v>
      </c>
      <c r="AJ84" s="67" t="str">
        <f t="shared" si="21"/>
        <v>000000000000</v>
      </c>
      <c r="AK84" s="119"/>
      <c r="AL84" s="120"/>
      <c r="AP84" s="115" t="str">
        <f t="shared" si="17"/>
        <v/>
      </c>
    </row>
    <row r="85" spans="1:42" x14ac:dyDescent="0.2">
      <c r="A85" s="63" t="str">
        <f t="shared" si="13"/>
        <v/>
      </c>
      <c r="B85" s="133"/>
      <c r="C85" s="133"/>
      <c r="D85" s="135"/>
      <c r="E85" s="135"/>
      <c r="F85" s="137"/>
      <c r="AA85" s="116" t="str">
        <f t="shared" si="12"/>
        <v>00000000000000</v>
      </c>
      <c r="AB85" s="117" t="str">
        <f t="shared" si="14"/>
        <v>000000000000</v>
      </c>
      <c r="AC85" s="118">
        <f t="shared" si="15"/>
        <v>1</v>
      </c>
      <c r="AD85" s="47">
        <v>2</v>
      </c>
      <c r="AE85" s="66">
        <f t="shared" si="18"/>
        <v>0</v>
      </c>
      <c r="AF85" s="66">
        <f t="shared" si="11"/>
        <v>0</v>
      </c>
      <c r="AG85" s="67" t="str">
        <f t="shared" si="19"/>
        <v>0000000000</v>
      </c>
      <c r="AH85" s="67" t="str">
        <f t="shared" si="20"/>
        <v>.00</v>
      </c>
      <c r="AI85" s="67" t="str">
        <f t="shared" si="16"/>
        <v>00</v>
      </c>
      <c r="AJ85" s="67" t="str">
        <f t="shared" si="21"/>
        <v>000000000000</v>
      </c>
      <c r="AK85" s="119"/>
      <c r="AL85" s="120"/>
      <c r="AP85" s="115" t="str">
        <f t="shared" si="17"/>
        <v/>
      </c>
    </row>
    <row r="86" spans="1:42" x14ac:dyDescent="0.2">
      <c r="A86" s="63" t="str">
        <f t="shared" si="13"/>
        <v/>
      </c>
      <c r="B86" s="133"/>
      <c r="C86" s="133"/>
      <c r="D86" s="135"/>
      <c r="E86" s="135"/>
      <c r="F86" s="137"/>
      <c r="AA86" s="116" t="str">
        <f t="shared" si="12"/>
        <v>00000000000000</v>
      </c>
      <c r="AB86" s="117" t="str">
        <f t="shared" si="14"/>
        <v>000000000000</v>
      </c>
      <c r="AC86" s="118">
        <f t="shared" si="15"/>
        <v>1</v>
      </c>
      <c r="AD86" s="47">
        <v>2</v>
      </c>
      <c r="AE86" s="66">
        <f t="shared" si="18"/>
        <v>0</v>
      </c>
      <c r="AF86" s="66">
        <f t="shared" si="11"/>
        <v>0</v>
      </c>
      <c r="AG86" s="67" t="str">
        <f t="shared" si="19"/>
        <v>0000000000</v>
      </c>
      <c r="AH86" s="67" t="str">
        <f t="shared" si="20"/>
        <v>.00</v>
      </c>
      <c r="AI86" s="67" t="str">
        <f t="shared" si="16"/>
        <v>00</v>
      </c>
      <c r="AJ86" s="67" t="str">
        <f t="shared" si="21"/>
        <v>000000000000</v>
      </c>
      <c r="AK86" s="119"/>
      <c r="AL86" s="120"/>
      <c r="AP86" s="115" t="str">
        <f t="shared" si="17"/>
        <v/>
      </c>
    </row>
    <row r="87" spans="1:42" x14ac:dyDescent="0.2">
      <c r="A87" s="63" t="str">
        <f t="shared" si="13"/>
        <v/>
      </c>
      <c r="B87" s="133"/>
      <c r="C87" s="133"/>
      <c r="D87" s="135"/>
      <c r="E87" s="135"/>
      <c r="F87" s="137"/>
      <c r="AA87" s="116" t="str">
        <f t="shared" si="12"/>
        <v>00000000000000</v>
      </c>
      <c r="AB87" s="117" t="str">
        <f t="shared" si="14"/>
        <v>000000000000</v>
      </c>
      <c r="AC87" s="118">
        <f t="shared" si="15"/>
        <v>1</v>
      </c>
      <c r="AD87" s="47">
        <v>2</v>
      </c>
      <c r="AE87" s="66">
        <f t="shared" si="18"/>
        <v>0</v>
      </c>
      <c r="AF87" s="66">
        <f t="shared" si="11"/>
        <v>0</v>
      </c>
      <c r="AG87" s="67" t="str">
        <f t="shared" si="19"/>
        <v>0000000000</v>
      </c>
      <c r="AH87" s="67" t="str">
        <f t="shared" si="20"/>
        <v>.00</v>
      </c>
      <c r="AI87" s="67" t="str">
        <f t="shared" si="16"/>
        <v>00</v>
      </c>
      <c r="AJ87" s="67" t="str">
        <f t="shared" si="21"/>
        <v>000000000000</v>
      </c>
      <c r="AK87" s="119"/>
      <c r="AL87" s="120"/>
      <c r="AP87" s="115" t="str">
        <f t="shared" si="17"/>
        <v/>
      </c>
    </row>
    <row r="88" spans="1:42" x14ac:dyDescent="0.2">
      <c r="A88" s="63" t="str">
        <f t="shared" si="13"/>
        <v/>
      </c>
      <c r="B88" s="133"/>
      <c r="C88" s="133"/>
      <c r="D88" s="135"/>
      <c r="E88" s="135"/>
      <c r="F88" s="137"/>
      <c r="AA88" s="116" t="str">
        <f t="shared" si="12"/>
        <v>00000000000000</v>
      </c>
      <c r="AB88" s="117" t="str">
        <f t="shared" si="14"/>
        <v>000000000000</v>
      </c>
      <c r="AC88" s="118">
        <f t="shared" si="15"/>
        <v>1</v>
      </c>
      <c r="AD88" s="47">
        <v>2</v>
      </c>
      <c r="AE88" s="66">
        <f t="shared" si="18"/>
        <v>0</v>
      </c>
      <c r="AF88" s="66">
        <f t="shared" si="11"/>
        <v>0</v>
      </c>
      <c r="AG88" s="67" t="str">
        <f t="shared" si="19"/>
        <v>0000000000</v>
      </c>
      <c r="AH88" s="67" t="str">
        <f t="shared" si="20"/>
        <v>.00</v>
      </c>
      <c r="AI88" s="67" t="str">
        <f t="shared" si="16"/>
        <v>00</v>
      </c>
      <c r="AJ88" s="67" t="str">
        <f t="shared" si="21"/>
        <v>000000000000</v>
      </c>
      <c r="AK88" s="119"/>
      <c r="AL88" s="120"/>
      <c r="AP88" s="115" t="str">
        <f t="shared" si="17"/>
        <v/>
      </c>
    </row>
    <row r="89" spans="1:42" x14ac:dyDescent="0.2">
      <c r="A89" s="63" t="str">
        <f t="shared" si="13"/>
        <v/>
      </c>
      <c r="B89" s="133"/>
      <c r="C89" s="133"/>
      <c r="D89" s="135"/>
      <c r="E89" s="135"/>
      <c r="F89" s="137"/>
      <c r="AA89" s="116" t="str">
        <f t="shared" si="12"/>
        <v>00000000000000</v>
      </c>
      <c r="AB89" s="117" t="str">
        <f t="shared" si="14"/>
        <v>000000000000</v>
      </c>
      <c r="AC89" s="118">
        <f t="shared" si="15"/>
        <v>1</v>
      </c>
      <c r="AD89" s="47">
        <v>2</v>
      </c>
      <c r="AE89" s="66">
        <f t="shared" si="18"/>
        <v>0</v>
      </c>
      <c r="AF89" s="66">
        <f t="shared" si="11"/>
        <v>0</v>
      </c>
      <c r="AG89" s="67" t="str">
        <f t="shared" si="19"/>
        <v>0000000000</v>
      </c>
      <c r="AH89" s="67" t="str">
        <f t="shared" si="20"/>
        <v>.00</v>
      </c>
      <c r="AI89" s="67" t="str">
        <f t="shared" si="16"/>
        <v>00</v>
      </c>
      <c r="AJ89" s="67" t="str">
        <f t="shared" si="21"/>
        <v>000000000000</v>
      </c>
      <c r="AK89" s="119"/>
      <c r="AL89" s="120"/>
      <c r="AP89" s="115" t="str">
        <f t="shared" si="17"/>
        <v/>
      </c>
    </row>
    <row r="90" spans="1:42" x14ac:dyDescent="0.2">
      <c r="A90" s="63" t="str">
        <f t="shared" si="13"/>
        <v/>
      </c>
      <c r="B90" s="133"/>
      <c r="C90" s="133"/>
      <c r="D90" s="135"/>
      <c r="E90" s="135"/>
      <c r="F90" s="137"/>
      <c r="AA90" s="116" t="str">
        <f t="shared" si="12"/>
        <v>00000000000000</v>
      </c>
      <c r="AB90" s="117" t="str">
        <f t="shared" si="14"/>
        <v>000000000000</v>
      </c>
      <c r="AC90" s="118">
        <f t="shared" si="15"/>
        <v>1</v>
      </c>
      <c r="AD90" s="47">
        <v>2</v>
      </c>
      <c r="AE90" s="66">
        <f t="shared" si="18"/>
        <v>0</v>
      </c>
      <c r="AF90" s="66">
        <f t="shared" si="11"/>
        <v>0</v>
      </c>
      <c r="AG90" s="67" t="str">
        <f t="shared" si="19"/>
        <v>0000000000</v>
      </c>
      <c r="AH90" s="67" t="str">
        <f t="shared" si="20"/>
        <v>.00</v>
      </c>
      <c r="AI90" s="67" t="str">
        <f t="shared" si="16"/>
        <v>00</v>
      </c>
      <c r="AJ90" s="67" t="str">
        <f t="shared" si="21"/>
        <v>000000000000</v>
      </c>
      <c r="AK90" s="119"/>
      <c r="AL90" s="120"/>
      <c r="AP90" s="115" t="str">
        <f t="shared" si="17"/>
        <v/>
      </c>
    </row>
    <row r="91" spans="1:42" x14ac:dyDescent="0.2">
      <c r="A91" s="63" t="str">
        <f t="shared" si="13"/>
        <v/>
      </c>
      <c r="B91" s="133"/>
      <c r="C91" s="133"/>
      <c r="D91" s="135"/>
      <c r="E91" s="135"/>
      <c r="F91" s="137"/>
      <c r="AA91" s="116" t="str">
        <f t="shared" si="12"/>
        <v>00000000000000</v>
      </c>
      <c r="AB91" s="117" t="str">
        <f t="shared" si="14"/>
        <v>000000000000</v>
      </c>
      <c r="AC91" s="118">
        <f t="shared" si="15"/>
        <v>1</v>
      </c>
      <c r="AD91" s="47">
        <v>2</v>
      </c>
      <c r="AE91" s="66">
        <f t="shared" si="18"/>
        <v>0</v>
      </c>
      <c r="AF91" s="66">
        <f t="shared" si="11"/>
        <v>0</v>
      </c>
      <c r="AG91" s="67" t="str">
        <f t="shared" si="19"/>
        <v>0000000000</v>
      </c>
      <c r="AH91" s="67" t="str">
        <f t="shared" si="20"/>
        <v>.00</v>
      </c>
      <c r="AI91" s="67" t="str">
        <f t="shared" si="16"/>
        <v>00</v>
      </c>
      <c r="AJ91" s="67" t="str">
        <f t="shared" si="21"/>
        <v>000000000000</v>
      </c>
      <c r="AK91" s="119"/>
      <c r="AL91" s="120"/>
      <c r="AP91" s="115" t="str">
        <f t="shared" si="17"/>
        <v/>
      </c>
    </row>
    <row r="92" spans="1:42" x14ac:dyDescent="0.2">
      <c r="A92" s="63" t="str">
        <f t="shared" si="13"/>
        <v/>
      </c>
      <c r="B92" s="133"/>
      <c r="C92" s="133"/>
      <c r="D92" s="135"/>
      <c r="E92" s="135"/>
      <c r="F92" s="137"/>
      <c r="AA92" s="116" t="str">
        <f t="shared" si="12"/>
        <v>00000000000000</v>
      </c>
      <c r="AB92" s="117" t="str">
        <f t="shared" si="14"/>
        <v>000000000000</v>
      </c>
      <c r="AC92" s="118">
        <f t="shared" si="15"/>
        <v>1</v>
      </c>
      <c r="AD92" s="47">
        <v>2</v>
      </c>
      <c r="AE92" s="66">
        <f t="shared" si="18"/>
        <v>0</v>
      </c>
      <c r="AF92" s="66">
        <f t="shared" si="11"/>
        <v>0</v>
      </c>
      <c r="AG92" s="67" t="str">
        <f t="shared" si="19"/>
        <v>0000000000</v>
      </c>
      <c r="AH92" s="67" t="str">
        <f t="shared" si="20"/>
        <v>.00</v>
      </c>
      <c r="AI92" s="67" t="str">
        <f t="shared" si="16"/>
        <v>00</v>
      </c>
      <c r="AJ92" s="67" t="str">
        <f t="shared" si="21"/>
        <v>000000000000</v>
      </c>
      <c r="AK92" s="119"/>
      <c r="AL92" s="120"/>
      <c r="AP92" s="115" t="str">
        <f t="shared" si="17"/>
        <v/>
      </c>
    </row>
    <row r="93" spans="1:42" x14ac:dyDescent="0.2">
      <c r="A93" s="63" t="str">
        <f t="shared" si="13"/>
        <v/>
      </c>
      <c r="B93" s="133"/>
      <c r="C93" s="133"/>
      <c r="D93" s="135"/>
      <c r="E93" s="135"/>
      <c r="F93" s="137"/>
      <c r="AA93" s="116" t="str">
        <f t="shared" si="12"/>
        <v>00000000000000</v>
      </c>
      <c r="AB93" s="117" t="str">
        <f t="shared" si="14"/>
        <v>000000000000</v>
      </c>
      <c r="AC93" s="118">
        <f t="shared" si="15"/>
        <v>1</v>
      </c>
      <c r="AD93" s="47">
        <v>2</v>
      </c>
      <c r="AE93" s="66">
        <f t="shared" si="18"/>
        <v>0</v>
      </c>
      <c r="AF93" s="66">
        <f t="shared" si="11"/>
        <v>0</v>
      </c>
      <c r="AG93" s="67" t="str">
        <f t="shared" si="19"/>
        <v>0000000000</v>
      </c>
      <c r="AH93" s="67" t="str">
        <f t="shared" si="20"/>
        <v>.00</v>
      </c>
      <c r="AI93" s="67" t="str">
        <f t="shared" si="16"/>
        <v>00</v>
      </c>
      <c r="AJ93" s="67" t="str">
        <f t="shared" si="21"/>
        <v>000000000000</v>
      </c>
      <c r="AK93" s="119"/>
      <c r="AL93" s="120"/>
      <c r="AP93" s="115" t="str">
        <f t="shared" si="17"/>
        <v/>
      </c>
    </row>
    <row r="94" spans="1:42" x14ac:dyDescent="0.2">
      <c r="A94" s="63" t="str">
        <f t="shared" si="13"/>
        <v/>
      </c>
      <c r="B94" s="133"/>
      <c r="C94" s="133"/>
      <c r="D94" s="135"/>
      <c r="E94" s="135"/>
      <c r="F94" s="137"/>
      <c r="AA94" s="116" t="str">
        <f t="shared" si="12"/>
        <v>00000000000000</v>
      </c>
      <c r="AB94" s="117" t="str">
        <f t="shared" si="14"/>
        <v>000000000000</v>
      </c>
      <c r="AC94" s="118">
        <f t="shared" si="15"/>
        <v>1</v>
      </c>
      <c r="AD94" s="47">
        <v>2</v>
      </c>
      <c r="AE94" s="66">
        <f t="shared" si="18"/>
        <v>0</v>
      </c>
      <c r="AF94" s="66">
        <f t="shared" si="11"/>
        <v>0</v>
      </c>
      <c r="AG94" s="67" t="str">
        <f t="shared" si="19"/>
        <v>0000000000</v>
      </c>
      <c r="AH94" s="67" t="str">
        <f t="shared" si="20"/>
        <v>.00</v>
      </c>
      <c r="AI94" s="67" t="str">
        <f t="shared" si="16"/>
        <v>00</v>
      </c>
      <c r="AJ94" s="67" t="str">
        <f t="shared" si="21"/>
        <v>000000000000</v>
      </c>
      <c r="AK94" s="119"/>
      <c r="AL94" s="120"/>
      <c r="AP94" s="115" t="str">
        <f t="shared" si="17"/>
        <v/>
      </c>
    </row>
    <row r="95" spans="1:42" x14ac:dyDescent="0.2">
      <c r="A95" s="63" t="str">
        <f t="shared" si="13"/>
        <v/>
      </c>
      <c r="B95" s="133"/>
      <c r="C95" s="133"/>
      <c r="D95" s="135"/>
      <c r="E95" s="135"/>
      <c r="F95" s="137"/>
      <c r="AA95" s="116" t="str">
        <f t="shared" si="12"/>
        <v>00000000000000</v>
      </c>
      <c r="AB95" s="117" t="str">
        <f t="shared" si="14"/>
        <v>000000000000</v>
      </c>
      <c r="AC95" s="118">
        <f t="shared" si="15"/>
        <v>1</v>
      </c>
      <c r="AD95" s="47">
        <v>2</v>
      </c>
      <c r="AE95" s="66">
        <f t="shared" si="18"/>
        <v>0</v>
      </c>
      <c r="AF95" s="66">
        <f t="shared" si="11"/>
        <v>0</v>
      </c>
      <c r="AG95" s="67" t="str">
        <f t="shared" si="19"/>
        <v>0000000000</v>
      </c>
      <c r="AH95" s="67" t="str">
        <f t="shared" si="20"/>
        <v>.00</v>
      </c>
      <c r="AI95" s="67" t="str">
        <f t="shared" si="16"/>
        <v>00</v>
      </c>
      <c r="AJ95" s="67" t="str">
        <f t="shared" si="21"/>
        <v>000000000000</v>
      </c>
      <c r="AK95" s="119"/>
      <c r="AL95" s="120"/>
      <c r="AP95" s="115" t="str">
        <f t="shared" si="17"/>
        <v/>
      </c>
    </row>
    <row r="96" spans="1:42" x14ac:dyDescent="0.2">
      <c r="A96" s="63" t="str">
        <f t="shared" si="13"/>
        <v/>
      </c>
      <c r="B96" s="133"/>
      <c r="C96" s="133"/>
      <c r="D96" s="135"/>
      <c r="E96" s="135"/>
      <c r="F96" s="137"/>
      <c r="AA96" s="116" t="str">
        <f t="shared" si="12"/>
        <v>00000000000000</v>
      </c>
      <c r="AB96" s="117" t="str">
        <f t="shared" si="14"/>
        <v>000000000000</v>
      </c>
      <c r="AC96" s="118">
        <f t="shared" si="15"/>
        <v>1</v>
      </c>
      <c r="AD96" s="47">
        <v>2</v>
      </c>
      <c r="AE96" s="66">
        <f t="shared" si="18"/>
        <v>0</v>
      </c>
      <c r="AF96" s="66">
        <f t="shared" si="11"/>
        <v>0</v>
      </c>
      <c r="AG96" s="67" t="str">
        <f t="shared" si="19"/>
        <v>0000000000</v>
      </c>
      <c r="AH96" s="67" t="str">
        <f t="shared" si="20"/>
        <v>.00</v>
      </c>
      <c r="AI96" s="67" t="str">
        <f t="shared" si="16"/>
        <v>00</v>
      </c>
      <c r="AJ96" s="67" t="str">
        <f t="shared" si="21"/>
        <v>000000000000</v>
      </c>
      <c r="AK96" s="119"/>
      <c r="AL96" s="120"/>
      <c r="AP96" s="115" t="str">
        <f t="shared" si="17"/>
        <v/>
      </c>
    </row>
    <row r="97" spans="1:42" x14ac:dyDescent="0.2">
      <c r="A97" s="63" t="str">
        <f t="shared" si="13"/>
        <v/>
      </c>
      <c r="B97" s="133"/>
      <c r="C97" s="133"/>
      <c r="D97" s="135"/>
      <c r="E97" s="135"/>
      <c r="F97" s="137"/>
      <c r="AA97" s="116" t="str">
        <f t="shared" si="12"/>
        <v>00000000000000</v>
      </c>
      <c r="AB97" s="117" t="str">
        <f t="shared" si="14"/>
        <v>000000000000</v>
      </c>
      <c r="AC97" s="118">
        <f t="shared" si="15"/>
        <v>1</v>
      </c>
      <c r="AD97" s="47">
        <v>2</v>
      </c>
      <c r="AE97" s="66">
        <f t="shared" si="18"/>
        <v>0</v>
      </c>
      <c r="AF97" s="66">
        <f t="shared" si="11"/>
        <v>0</v>
      </c>
      <c r="AG97" s="67" t="str">
        <f t="shared" si="19"/>
        <v>0000000000</v>
      </c>
      <c r="AH97" s="67" t="str">
        <f t="shared" si="20"/>
        <v>.00</v>
      </c>
      <c r="AI97" s="67" t="str">
        <f t="shared" si="16"/>
        <v>00</v>
      </c>
      <c r="AJ97" s="67" t="str">
        <f t="shared" si="21"/>
        <v>000000000000</v>
      </c>
      <c r="AK97" s="119"/>
      <c r="AL97" s="120"/>
      <c r="AP97" s="115" t="str">
        <f t="shared" si="17"/>
        <v/>
      </c>
    </row>
    <row r="98" spans="1:42" x14ac:dyDescent="0.2">
      <c r="A98" s="63" t="str">
        <f t="shared" si="13"/>
        <v/>
      </c>
      <c r="B98" s="133"/>
      <c r="C98" s="133"/>
      <c r="D98" s="135"/>
      <c r="E98" s="135"/>
      <c r="F98" s="137"/>
      <c r="AA98" s="116" t="str">
        <f t="shared" si="12"/>
        <v>00000000000000</v>
      </c>
      <c r="AB98" s="117" t="str">
        <f t="shared" si="14"/>
        <v>000000000000</v>
      </c>
      <c r="AC98" s="118">
        <f t="shared" si="15"/>
        <v>1</v>
      </c>
      <c r="AD98" s="47">
        <v>2</v>
      </c>
      <c r="AE98" s="66">
        <f t="shared" si="18"/>
        <v>0</v>
      </c>
      <c r="AF98" s="66">
        <f t="shared" si="11"/>
        <v>0</v>
      </c>
      <c r="AG98" s="67" t="str">
        <f t="shared" si="19"/>
        <v>0000000000</v>
      </c>
      <c r="AH98" s="67" t="str">
        <f t="shared" si="20"/>
        <v>.00</v>
      </c>
      <c r="AI98" s="67" t="str">
        <f t="shared" si="16"/>
        <v>00</v>
      </c>
      <c r="AJ98" s="67" t="str">
        <f t="shared" si="21"/>
        <v>000000000000</v>
      </c>
      <c r="AK98" s="119"/>
      <c r="AL98" s="120"/>
      <c r="AP98" s="115" t="str">
        <f t="shared" si="17"/>
        <v/>
      </c>
    </row>
    <row r="99" spans="1:42" x14ac:dyDescent="0.2">
      <c r="A99" s="63" t="str">
        <f t="shared" si="13"/>
        <v/>
      </c>
      <c r="B99" s="133"/>
      <c r="C99" s="133"/>
      <c r="D99" s="135"/>
      <c r="E99" s="135"/>
      <c r="F99" s="137"/>
      <c r="AA99" s="116" t="str">
        <f t="shared" si="12"/>
        <v>00000000000000</v>
      </c>
      <c r="AB99" s="117" t="str">
        <f t="shared" si="14"/>
        <v>000000000000</v>
      </c>
      <c r="AC99" s="118">
        <f t="shared" si="15"/>
        <v>1</v>
      </c>
      <c r="AD99" s="47">
        <v>2</v>
      </c>
      <c r="AE99" s="66">
        <f t="shared" si="18"/>
        <v>0</v>
      </c>
      <c r="AF99" s="66">
        <f t="shared" si="11"/>
        <v>0</v>
      </c>
      <c r="AG99" s="67" t="str">
        <f t="shared" si="19"/>
        <v>0000000000</v>
      </c>
      <c r="AH99" s="67" t="str">
        <f t="shared" si="20"/>
        <v>.00</v>
      </c>
      <c r="AI99" s="67" t="str">
        <f t="shared" si="16"/>
        <v>00</v>
      </c>
      <c r="AJ99" s="67" t="str">
        <f t="shared" si="21"/>
        <v>000000000000</v>
      </c>
      <c r="AK99" s="119"/>
      <c r="AL99" s="120"/>
      <c r="AP99" s="115" t="str">
        <f t="shared" si="17"/>
        <v/>
      </c>
    </row>
    <row r="100" spans="1:42" x14ac:dyDescent="0.2">
      <c r="A100" s="63" t="str">
        <f t="shared" si="13"/>
        <v/>
      </c>
      <c r="B100" s="133"/>
      <c r="C100" s="133"/>
      <c r="D100" s="135"/>
      <c r="E100" s="135"/>
      <c r="F100" s="137"/>
      <c r="AA100" s="116" t="str">
        <f t="shared" si="12"/>
        <v>00000000000000</v>
      </c>
      <c r="AB100" s="117" t="str">
        <f t="shared" si="14"/>
        <v>000000000000</v>
      </c>
      <c r="AC100" s="118">
        <f t="shared" si="15"/>
        <v>1</v>
      </c>
      <c r="AD100" s="47">
        <v>2</v>
      </c>
      <c r="AE100" s="66">
        <f t="shared" si="18"/>
        <v>0</v>
      </c>
      <c r="AF100" s="66">
        <f t="shared" si="11"/>
        <v>0</v>
      </c>
      <c r="AG100" s="67" t="str">
        <f t="shared" si="19"/>
        <v>0000000000</v>
      </c>
      <c r="AH100" s="67" t="str">
        <f t="shared" si="20"/>
        <v>.00</v>
      </c>
      <c r="AI100" s="67" t="str">
        <f t="shared" si="16"/>
        <v>00</v>
      </c>
      <c r="AJ100" s="67" t="str">
        <f t="shared" si="21"/>
        <v>000000000000</v>
      </c>
      <c r="AK100" s="119"/>
      <c r="AL100" s="120"/>
      <c r="AP100" s="115" t="str">
        <f t="shared" si="17"/>
        <v/>
      </c>
    </row>
    <row r="101" spans="1:42" x14ac:dyDescent="0.2">
      <c r="A101" s="63" t="str">
        <f t="shared" si="13"/>
        <v/>
      </c>
      <c r="B101" s="133"/>
      <c r="C101" s="133"/>
      <c r="D101" s="135"/>
      <c r="E101" s="135"/>
      <c r="F101" s="137"/>
      <c r="AA101" s="116" t="str">
        <f t="shared" si="12"/>
        <v>00000000000000</v>
      </c>
      <c r="AB101" s="117" t="str">
        <f t="shared" si="14"/>
        <v>000000000000</v>
      </c>
      <c r="AC101" s="118">
        <f t="shared" si="15"/>
        <v>1</v>
      </c>
      <c r="AD101" s="47">
        <v>2</v>
      </c>
      <c r="AE101" s="66">
        <f t="shared" si="18"/>
        <v>0</v>
      </c>
      <c r="AF101" s="66">
        <f t="shared" si="11"/>
        <v>0</v>
      </c>
      <c r="AG101" s="67" t="str">
        <f t="shared" si="19"/>
        <v>0000000000</v>
      </c>
      <c r="AH101" s="67" t="str">
        <f t="shared" si="20"/>
        <v>.00</v>
      </c>
      <c r="AI101" s="67" t="str">
        <f t="shared" si="16"/>
        <v>00</v>
      </c>
      <c r="AJ101" s="67" t="str">
        <f t="shared" si="21"/>
        <v>000000000000</v>
      </c>
      <c r="AK101" s="119"/>
      <c r="AL101" s="120"/>
      <c r="AP101" s="115" t="str">
        <f t="shared" si="17"/>
        <v/>
      </c>
    </row>
    <row r="102" spans="1:42" x14ac:dyDescent="0.2">
      <c r="A102" s="63" t="str">
        <f t="shared" si="13"/>
        <v/>
      </c>
      <c r="B102" s="133"/>
      <c r="C102" s="133"/>
      <c r="D102" s="135"/>
      <c r="E102" s="135"/>
      <c r="F102" s="137"/>
      <c r="AA102" s="116" t="str">
        <f t="shared" si="12"/>
        <v>00000000000000</v>
      </c>
      <c r="AB102" s="117" t="str">
        <f t="shared" si="14"/>
        <v>000000000000</v>
      </c>
      <c r="AC102" s="118">
        <f t="shared" si="15"/>
        <v>1</v>
      </c>
      <c r="AD102" s="47">
        <v>2</v>
      </c>
      <c r="AE102" s="66">
        <f t="shared" si="18"/>
        <v>0</v>
      </c>
      <c r="AF102" s="66">
        <f t="shared" si="11"/>
        <v>0</v>
      </c>
      <c r="AG102" s="67" t="str">
        <f t="shared" si="19"/>
        <v>0000000000</v>
      </c>
      <c r="AH102" s="67" t="str">
        <f t="shared" si="20"/>
        <v>.00</v>
      </c>
      <c r="AI102" s="67" t="str">
        <f t="shared" si="16"/>
        <v>00</v>
      </c>
      <c r="AJ102" s="67" t="str">
        <f t="shared" si="21"/>
        <v>000000000000</v>
      </c>
      <c r="AK102" s="119"/>
      <c r="AL102" s="120"/>
      <c r="AP102" s="115" t="str">
        <f t="shared" si="17"/>
        <v/>
      </c>
    </row>
    <row r="103" spans="1:42" x14ac:dyDescent="0.2">
      <c r="A103" s="63" t="str">
        <f t="shared" si="13"/>
        <v/>
      </c>
      <c r="B103" s="133"/>
      <c r="C103" s="133"/>
      <c r="D103" s="135"/>
      <c r="E103" s="135"/>
      <c r="F103" s="137"/>
      <c r="AA103" s="116" t="str">
        <f t="shared" si="12"/>
        <v>00000000000000</v>
      </c>
      <c r="AB103" s="117" t="str">
        <f t="shared" si="14"/>
        <v>000000000000</v>
      </c>
      <c r="AC103" s="118">
        <f t="shared" si="15"/>
        <v>1</v>
      </c>
      <c r="AD103" s="47">
        <v>2</v>
      </c>
      <c r="AE103" s="66">
        <f t="shared" si="18"/>
        <v>0</v>
      </c>
      <c r="AF103" s="66">
        <f t="shared" si="11"/>
        <v>0</v>
      </c>
      <c r="AG103" s="67" t="str">
        <f t="shared" si="19"/>
        <v>0000000000</v>
      </c>
      <c r="AH103" s="67" t="str">
        <f t="shared" si="20"/>
        <v>.00</v>
      </c>
      <c r="AI103" s="67" t="str">
        <f t="shared" si="16"/>
        <v>00</v>
      </c>
      <c r="AJ103" s="67" t="str">
        <f t="shared" si="21"/>
        <v>000000000000</v>
      </c>
      <c r="AK103" s="119"/>
      <c r="AL103" s="120"/>
      <c r="AP103" s="115" t="str">
        <f t="shared" si="17"/>
        <v/>
      </c>
    </row>
    <row r="104" spans="1:42" x14ac:dyDescent="0.2">
      <c r="A104" s="63" t="str">
        <f t="shared" si="13"/>
        <v/>
      </c>
      <c r="B104" s="133"/>
      <c r="C104" s="133"/>
      <c r="D104" s="135"/>
      <c r="E104" s="135"/>
      <c r="F104" s="137"/>
      <c r="AA104" s="116" t="str">
        <f t="shared" si="12"/>
        <v>00000000000000</v>
      </c>
      <c r="AB104" s="117" t="str">
        <f t="shared" si="14"/>
        <v>000000000000</v>
      </c>
      <c r="AC104" s="118">
        <f t="shared" si="15"/>
        <v>1</v>
      </c>
      <c r="AD104" s="47">
        <v>2</v>
      </c>
      <c r="AE104" s="66">
        <f t="shared" si="18"/>
        <v>0</v>
      </c>
      <c r="AF104" s="66">
        <f t="shared" si="11"/>
        <v>0</v>
      </c>
      <c r="AG104" s="67" t="str">
        <f t="shared" si="19"/>
        <v>0000000000</v>
      </c>
      <c r="AH104" s="67" t="str">
        <f t="shared" si="20"/>
        <v>.00</v>
      </c>
      <c r="AI104" s="67" t="str">
        <f t="shared" si="16"/>
        <v>00</v>
      </c>
      <c r="AJ104" s="67" t="str">
        <f t="shared" si="21"/>
        <v>000000000000</v>
      </c>
      <c r="AK104" s="119"/>
      <c r="AL104" s="120"/>
      <c r="AP104" s="115" t="str">
        <f t="shared" si="17"/>
        <v/>
      </c>
    </row>
    <row r="105" spans="1:42" x14ac:dyDescent="0.2">
      <c r="A105" s="63" t="str">
        <f t="shared" si="13"/>
        <v/>
      </c>
      <c r="B105" s="133"/>
      <c r="C105" s="133"/>
      <c r="D105" s="135"/>
      <c r="E105" s="135"/>
      <c r="F105" s="137"/>
      <c r="AA105" s="116" t="str">
        <f t="shared" si="12"/>
        <v>00000000000000</v>
      </c>
      <c r="AB105" s="117" t="str">
        <f t="shared" si="14"/>
        <v>000000000000</v>
      </c>
      <c r="AC105" s="118">
        <f t="shared" si="15"/>
        <v>1</v>
      </c>
      <c r="AD105" s="47">
        <v>2</v>
      </c>
      <c r="AE105" s="66">
        <f t="shared" si="18"/>
        <v>0</v>
      </c>
      <c r="AF105" s="66">
        <f t="shared" si="11"/>
        <v>0</v>
      </c>
      <c r="AG105" s="67" t="str">
        <f t="shared" si="19"/>
        <v>0000000000</v>
      </c>
      <c r="AH105" s="67" t="str">
        <f t="shared" si="20"/>
        <v>.00</v>
      </c>
      <c r="AI105" s="67" t="str">
        <f t="shared" si="16"/>
        <v>00</v>
      </c>
      <c r="AJ105" s="67" t="str">
        <f t="shared" si="21"/>
        <v>000000000000</v>
      </c>
      <c r="AK105" s="119"/>
      <c r="AL105" s="120"/>
      <c r="AP105" s="115" t="str">
        <f t="shared" si="17"/>
        <v/>
      </c>
    </row>
    <row r="106" spans="1:42" x14ac:dyDescent="0.2">
      <c r="A106" s="63" t="str">
        <f t="shared" si="13"/>
        <v/>
      </c>
      <c r="B106" s="133"/>
      <c r="C106" s="133"/>
      <c r="D106" s="135"/>
      <c r="E106" s="135"/>
      <c r="F106" s="137"/>
      <c r="AA106" s="116" t="str">
        <f t="shared" si="12"/>
        <v>00000000000000</v>
      </c>
      <c r="AB106" s="117" t="str">
        <f t="shared" si="14"/>
        <v>000000000000</v>
      </c>
      <c r="AC106" s="118">
        <f t="shared" si="15"/>
        <v>1</v>
      </c>
      <c r="AD106" s="47">
        <v>2</v>
      </c>
      <c r="AE106" s="66">
        <f t="shared" si="18"/>
        <v>0</v>
      </c>
      <c r="AF106" s="66">
        <f t="shared" si="11"/>
        <v>0</v>
      </c>
      <c r="AG106" s="67" t="str">
        <f t="shared" si="19"/>
        <v>0000000000</v>
      </c>
      <c r="AH106" s="67" t="str">
        <f t="shared" si="20"/>
        <v>.00</v>
      </c>
      <c r="AI106" s="67" t="str">
        <f t="shared" si="16"/>
        <v>00</v>
      </c>
      <c r="AJ106" s="67" t="str">
        <f t="shared" si="21"/>
        <v>000000000000</v>
      </c>
      <c r="AK106" s="119"/>
      <c r="AL106" s="120"/>
      <c r="AP106" s="115" t="str">
        <f t="shared" si="17"/>
        <v/>
      </c>
    </row>
    <row r="107" spans="1:42" x14ac:dyDescent="0.2">
      <c r="A107" s="63" t="str">
        <f t="shared" si="13"/>
        <v/>
      </c>
      <c r="B107" s="133"/>
      <c r="C107" s="133"/>
      <c r="D107" s="135"/>
      <c r="E107" s="135"/>
      <c r="F107" s="137"/>
      <c r="AA107" s="116" t="str">
        <f t="shared" si="12"/>
        <v>00000000000000</v>
      </c>
      <c r="AB107" s="117" t="str">
        <f t="shared" si="14"/>
        <v>000000000000</v>
      </c>
      <c r="AC107" s="118">
        <f t="shared" si="15"/>
        <v>1</v>
      </c>
      <c r="AD107" s="47">
        <v>2</v>
      </c>
      <c r="AE107" s="66">
        <f t="shared" si="18"/>
        <v>0</v>
      </c>
      <c r="AF107" s="66">
        <f t="shared" si="11"/>
        <v>0</v>
      </c>
      <c r="AG107" s="67" t="str">
        <f t="shared" si="19"/>
        <v>0000000000</v>
      </c>
      <c r="AH107" s="67" t="str">
        <f t="shared" si="20"/>
        <v>.00</v>
      </c>
      <c r="AI107" s="67" t="str">
        <f t="shared" si="16"/>
        <v>00</v>
      </c>
      <c r="AJ107" s="67" t="str">
        <f t="shared" si="21"/>
        <v>000000000000</v>
      </c>
      <c r="AK107" s="119"/>
      <c r="AL107" s="120"/>
      <c r="AP107" s="115" t="str">
        <f t="shared" si="17"/>
        <v/>
      </c>
    </row>
    <row r="108" spans="1:42" x14ac:dyDescent="0.2">
      <c r="A108" s="63" t="str">
        <f t="shared" si="13"/>
        <v/>
      </c>
      <c r="B108" s="133"/>
      <c r="C108" s="133"/>
      <c r="D108" s="135"/>
      <c r="E108" s="135"/>
      <c r="F108" s="137"/>
      <c r="AA108" s="116" t="str">
        <f t="shared" si="12"/>
        <v>00000000000000</v>
      </c>
      <c r="AB108" s="117" t="str">
        <f t="shared" si="14"/>
        <v>000000000000</v>
      </c>
      <c r="AC108" s="118">
        <f t="shared" si="15"/>
        <v>1</v>
      </c>
      <c r="AD108" s="47">
        <v>2</v>
      </c>
      <c r="AE108" s="66">
        <f t="shared" si="18"/>
        <v>0</v>
      </c>
      <c r="AF108" s="66">
        <f t="shared" si="11"/>
        <v>0</v>
      </c>
      <c r="AG108" s="67" t="str">
        <f t="shared" si="19"/>
        <v>0000000000</v>
      </c>
      <c r="AH108" s="67" t="str">
        <f t="shared" si="20"/>
        <v>.00</v>
      </c>
      <c r="AI108" s="67" t="str">
        <f t="shared" si="16"/>
        <v>00</v>
      </c>
      <c r="AJ108" s="67" t="str">
        <f t="shared" si="21"/>
        <v>000000000000</v>
      </c>
      <c r="AK108" s="119"/>
      <c r="AL108" s="120"/>
      <c r="AP108" s="115" t="str">
        <f t="shared" si="17"/>
        <v/>
      </c>
    </row>
    <row r="109" spans="1:42" x14ac:dyDescent="0.2">
      <c r="A109" s="63" t="str">
        <f t="shared" si="13"/>
        <v/>
      </c>
      <c r="B109" s="133"/>
      <c r="C109" s="133"/>
      <c r="D109" s="135"/>
      <c r="E109" s="135"/>
      <c r="F109" s="137"/>
      <c r="AA109" s="116" t="str">
        <f t="shared" si="12"/>
        <v>00000000000000</v>
      </c>
      <c r="AB109" s="117" t="str">
        <f t="shared" si="14"/>
        <v>000000000000</v>
      </c>
      <c r="AC109" s="118">
        <f t="shared" si="15"/>
        <v>1</v>
      </c>
      <c r="AD109" s="47">
        <v>2</v>
      </c>
      <c r="AE109" s="66">
        <f t="shared" si="18"/>
        <v>0</v>
      </c>
      <c r="AF109" s="66">
        <f t="shared" si="11"/>
        <v>0</v>
      </c>
      <c r="AG109" s="67" t="str">
        <f t="shared" si="19"/>
        <v>0000000000</v>
      </c>
      <c r="AH109" s="67" t="str">
        <f t="shared" si="20"/>
        <v>.00</v>
      </c>
      <c r="AI109" s="67" t="str">
        <f t="shared" si="16"/>
        <v>00</v>
      </c>
      <c r="AJ109" s="67" t="str">
        <f t="shared" si="21"/>
        <v>000000000000</v>
      </c>
      <c r="AK109" s="119"/>
      <c r="AL109" s="120"/>
      <c r="AP109" s="115" t="str">
        <f t="shared" si="17"/>
        <v/>
      </c>
    </row>
    <row r="110" spans="1:42" x14ac:dyDescent="0.2">
      <c r="A110" s="63" t="str">
        <f t="shared" si="13"/>
        <v/>
      </c>
      <c r="B110" s="133"/>
      <c r="C110" s="133"/>
      <c r="D110" s="135"/>
      <c r="E110" s="135"/>
      <c r="F110" s="137"/>
      <c r="AA110" s="116" t="str">
        <f t="shared" si="12"/>
        <v>00000000000000</v>
      </c>
      <c r="AB110" s="117" t="str">
        <f t="shared" si="14"/>
        <v>000000000000</v>
      </c>
      <c r="AC110" s="118">
        <f t="shared" si="15"/>
        <v>1</v>
      </c>
      <c r="AD110" s="47">
        <v>2</v>
      </c>
      <c r="AE110" s="66">
        <f t="shared" si="18"/>
        <v>0</v>
      </c>
      <c r="AF110" s="66">
        <f t="shared" si="11"/>
        <v>0</v>
      </c>
      <c r="AG110" s="67" t="str">
        <f t="shared" si="19"/>
        <v>0000000000</v>
      </c>
      <c r="AH110" s="67" t="str">
        <f t="shared" si="20"/>
        <v>.00</v>
      </c>
      <c r="AI110" s="67" t="str">
        <f t="shared" si="16"/>
        <v>00</v>
      </c>
      <c r="AJ110" s="67" t="str">
        <f t="shared" si="21"/>
        <v>000000000000</v>
      </c>
      <c r="AK110" s="119"/>
      <c r="AL110" s="120"/>
      <c r="AP110" s="115" t="str">
        <f t="shared" si="17"/>
        <v/>
      </c>
    </row>
    <row r="111" spans="1:42" x14ac:dyDescent="0.2">
      <c r="A111" s="63" t="str">
        <f t="shared" si="13"/>
        <v/>
      </c>
      <c r="B111" s="133"/>
      <c r="C111" s="133"/>
      <c r="D111" s="135"/>
      <c r="E111" s="135"/>
      <c r="F111" s="137"/>
      <c r="AA111" s="116" t="str">
        <f t="shared" si="12"/>
        <v>00000000000000</v>
      </c>
      <c r="AB111" s="117" t="str">
        <f t="shared" si="14"/>
        <v>000000000000</v>
      </c>
      <c r="AC111" s="118">
        <f t="shared" si="15"/>
        <v>1</v>
      </c>
      <c r="AD111" s="47">
        <v>2</v>
      </c>
      <c r="AE111" s="66">
        <f t="shared" si="18"/>
        <v>0</v>
      </c>
      <c r="AF111" s="66">
        <f t="shared" si="11"/>
        <v>0</v>
      </c>
      <c r="AG111" s="67" t="str">
        <f t="shared" si="19"/>
        <v>0000000000</v>
      </c>
      <c r="AH111" s="67" t="str">
        <f t="shared" si="20"/>
        <v>.00</v>
      </c>
      <c r="AI111" s="67" t="str">
        <f t="shared" si="16"/>
        <v>00</v>
      </c>
      <c r="AJ111" s="67" t="str">
        <f t="shared" si="21"/>
        <v>000000000000</v>
      </c>
      <c r="AK111" s="119"/>
      <c r="AL111" s="120"/>
      <c r="AP111" s="115" t="str">
        <f t="shared" si="17"/>
        <v/>
      </c>
    </row>
    <row r="112" spans="1:42" x14ac:dyDescent="0.2">
      <c r="A112" s="63" t="str">
        <f t="shared" si="13"/>
        <v/>
      </c>
      <c r="B112" s="133"/>
      <c r="C112" s="133"/>
      <c r="D112" s="135"/>
      <c r="E112" s="135"/>
      <c r="F112" s="137"/>
      <c r="AA112" s="116" t="str">
        <f t="shared" si="12"/>
        <v>00000000000000</v>
      </c>
      <c r="AB112" s="117" t="str">
        <f t="shared" si="14"/>
        <v>000000000000</v>
      </c>
      <c r="AC112" s="118">
        <f t="shared" si="15"/>
        <v>1</v>
      </c>
      <c r="AD112" s="47">
        <v>2</v>
      </c>
      <c r="AE112" s="66">
        <f t="shared" si="18"/>
        <v>0</v>
      </c>
      <c r="AF112" s="66">
        <f t="shared" si="11"/>
        <v>0</v>
      </c>
      <c r="AG112" s="67" t="str">
        <f t="shared" si="19"/>
        <v>0000000000</v>
      </c>
      <c r="AH112" s="67" t="str">
        <f t="shared" si="20"/>
        <v>.00</v>
      </c>
      <c r="AI112" s="67" t="str">
        <f t="shared" si="16"/>
        <v>00</v>
      </c>
      <c r="AJ112" s="67" t="str">
        <f t="shared" si="21"/>
        <v>000000000000</v>
      </c>
      <c r="AK112" s="119"/>
      <c r="AL112" s="120"/>
      <c r="AP112" s="115" t="str">
        <f t="shared" si="17"/>
        <v/>
      </c>
    </row>
    <row r="113" spans="1:42" x14ac:dyDescent="0.2">
      <c r="A113" s="63" t="str">
        <f t="shared" si="13"/>
        <v/>
      </c>
      <c r="B113" s="133"/>
      <c r="C113" s="133"/>
      <c r="D113" s="135"/>
      <c r="E113" s="135"/>
      <c r="F113" s="137"/>
      <c r="AA113" s="116" t="str">
        <f t="shared" si="12"/>
        <v>00000000000000</v>
      </c>
      <c r="AB113" s="117" t="str">
        <f t="shared" si="14"/>
        <v>000000000000</v>
      </c>
      <c r="AC113" s="118">
        <f t="shared" si="15"/>
        <v>1</v>
      </c>
      <c r="AD113" s="47">
        <v>2</v>
      </c>
      <c r="AE113" s="66">
        <f t="shared" si="18"/>
        <v>0</v>
      </c>
      <c r="AF113" s="66">
        <f t="shared" si="11"/>
        <v>0</v>
      </c>
      <c r="AG113" s="67" t="str">
        <f t="shared" si="19"/>
        <v>0000000000</v>
      </c>
      <c r="AH113" s="67" t="str">
        <f t="shared" si="20"/>
        <v>.00</v>
      </c>
      <c r="AI113" s="67" t="str">
        <f t="shared" si="16"/>
        <v>00</v>
      </c>
      <c r="AJ113" s="67" t="str">
        <f t="shared" si="21"/>
        <v>000000000000</v>
      </c>
      <c r="AK113" s="119"/>
      <c r="AL113" s="120"/>
      <c r="AP113" s="115" t="str">
        <f t="shared" si="17"/>
        <v/>
      </c>
    </row>
    <row r="114" spans="1:42" x14ac:dyDescent="0.2">
      <c r="A114" s="63" t="str">
        <f t="shared" si="13"/>
        <v/>
      </c>
      <c r="B114" s="133"/>
      <c r="C114" s="133"/>
      <c r="D114" s="135"/>
      <c r="E114" s="135"/>
      <c r="F114" s="137"/>
      <c r="AA114" s="116" t="str">
        <f t="shared" si="12"/>
        <v>00000000000000</v>
      </c>
      <c r="AB114" s="117" t="str">
        <f t="shared" si="14"/>
        <v>000000000000</v>
      </c>
      <c r="AC114" s="118">
        <f t="shared" si="15"/>
        <v>1</v>
      </c>
      <c r="AD114" s="47">
        <v>2</v>
      </c>
      <c r="AE114" s="66">
        <f t="shared" si="18"/>
        <v>0</v>
      </c>
      <c r="AF114" s="66">
        <f t="shared" si="11"/>
        <v>0</v>
      </c>
      <c r="AG114" s="67" t="str">
        <f t="shared" si="19"/>
        <v>0000000000</v>
      </c>
      <c r="AH114" s="67" t="str">
        <f t="shared" si="20"/>
        <v>.00</v>
      </c>
      <c r="AI114" s="67" t="str">
        <f t="shared" si="16"/>
        <v>00</v>
      </c>
      <c r="AJ114" s="67" t="str">
        <f t="shared" si="21"/>
        <v>000000000000</v>
      </c>
      <c r="AK114" s="119"/>
      <c r="AL114" s="120"/>
      <c r="AP114" s="115" t="str">
        <f t="shared" si="17"/>
        <v/>
      </c>
    </row>
    <row r="115" spans="1:42" x14ac:dyDescent="0.2">
      <c r="A115" s="63" t="str">
        <f t="shared" si="13"/>
        <v/>
      </c>
      <c r="B115" s="133"/>
      <c r="C115" s="133"/>
      <c r="D115" s="135"/>
      <c r="E115" s="135"/>
      <c r="F115" s="137"/>
      <c r="AA115" s="116" t="str">
        <f t="shared" si="12"/>
        <v>00000000000000</v>
      </c>
      <c r="AB115" s="117" t="str">
        <f t="shared" si="14"/>
        <v>000000000000</v>
      </c>
      <c r="AC115" s="118">
        <f t="shared" si="15"/>
        <v>1</v>
      </c>
      <c r="AD115" s="47">
        <v>2</v>
      </c>
      <c r="AE115" s="66">
        <f t="shared" si="18"/>
        <v>0</v>
      </c>
      <c r="AF115" s="66">
        <f t="shared" si="11"/>
        <v>0</v>
      </c>
      <c r="AG115" s="67" t="str">
        <f t="shared" si="19"/>
        <v>0000000000</v>
      </c>
      <c r="AH115" s="67" t="str">
        <f t="shared" si="20"/>
        <v>.00</v>
      </c>
      <c r="AI115" s="67" t="str">
        <f t="shared" si="16"/>
        <v>00</v>
      </c>
      <c r="AJ115" s="67" t="str">
        <f t="shared" si="21"/>
        <v>000000000000</v>
      </c>
      <c r="AK115" s="119"/>
      <c r="AL115" s="120"/>
      <c r="AP115" s="115" t="str">
        <f t="shared" si="17"/>
        <v/>
      </c>
    </row>
    <row r="116" spans="1:42" x14ac:dyDescent="0.2">
      <c r="A116" s="63" t="str">
        <f t="shared" si="13"/>
        <v/>
      </c>
      <c r="B116" s="133"/>
      <c r="C116" s="133"/>
      <c r="D116" s="135"/>
      <c r="E116" s="135"/>
      <c r="F116" s="137"/>
      <c r="AA116" s="116" t="str">
        <f t="shared" si="12"/>
        <v>00000000000000</v>
      </c>
      <c r="AB116" s="117" t="str">
        <f t="shared" si="14"/>
        <v>000000000000</v>
      </c>
      <c r="AC116" s="118">
        <f t="shared" si="15"/>
        <v>1</v>
      </c>
      <c r="AD116" s="47">
        <v>2</v>
      </c>
      <c r="AE116" s="66">
        <f t="shared" si="18"/>
        <v>0</v>
      </c>
      <c r="AF116" s="66">
        <f t="shared" si="11"/>
        <v>0</v>
      </c>
      <c r="AG116" s="67" t="str">
        <f t="shared" si="19"/>
        <v>0000000000</v>
      </c>
      <c r="AH116" s="67" t="str">
        <f t="shared" si="20"/>
        <v>.00</v>
      </c>
      <c r="AI116" s="67" t="str">
        <f t="shared" si="16"/>
        <v>00</v>
      </c>
      <c r="AJ116" s="67" t="str">
        <f t="shared" si="21"/>
        <v>000000000000</v>
      </c>
      <c r="AK116" s="119"/>
      <c r="AL116" s="120"/>
      <c r="AP116" s="115" t="str">
        <f t="shared" si="17"/>
        <v/>
      </c>
    </row>
    <row r="117" spans="1:42" x14ac:dyDescent="0.2">
      <c r="A117" s="63" t="str">
        <f t="shared" si="13"/>
        <v/>
      </c>
      <c r="B117" s="133"/>
      <c r="C117" s="133"/>
      <c r="D117" s="135"/>
      <c r="E117" s="135"/>
      <c r="F117" s="137"/>
      <c r="AA117" s="116" t="str">
        <f t="shared" si="12"/>
        <v>00000000000000</v>
      </c>
      <c r="AB117" s="117" t="str">
        <f t="shared" si="14"/>
        <v>000000000000</v>
      </c>
      <c r="AC117" s="118">
        <f t="shared" si="15"/>
        <v>1</v>
      </c>
      <c r="AD117" s="47">
        <v>2</v>
      </c>
      <c r="AE117" s="66">
        <f t="shared" si="18"/>
        <v>0</v>
      </c>
      <c r="AF117" s="66">
        <f t="shared" si="11"/>
        <v>0</v>
      </c>
      <c r="AG117" s="67" t="str">
        <f t="shared" si="19"/>
        <v>0000000000</v>
      </c>
      <c r="AH117" s="67" t="str">
        <f t="shared" si="20"/>
        <v>.00</v>
      </c>
      <c r="AI117" s="67" t="str">
        <f t="shared" si="16"/>
        <v>00</v>
      </c>
      <c r="AJ117" s="67" t="str">
        <f t="shared" si="21"/>
        <v>000000000000</v>
      </c>
      <c r="AK117" s="119"/>
      <c r="AL117" s="120"/>
      <c r="AP117" s="115" t="str">
        <f t="shared" si="17"/>
        <v/>
      </c>
    </row>
    <row r="118" spans="1:42" x14ac:dyDescent="0.2">
      <c r="A118" s="63" t="str">
        <f t="shared" si="13"/>
        <v/>
      </c>
      <c r="B118" s="133"/>
      <c r="C118" s="133"/>
      <c r="D118" s="135"/>
      <c r="E118" s="135"/>
      <c r="F118" s="137"/>
      <c r="AA118" s="116" t="str">
        <f t="shared" si="12"/>
        <v>00000000000000</v>
      </c>
      <c r="AB118" s="117" t="str">
        <f t="shared" si="14"/>
        <v>000000000000</v>
      </c>
      <c r="AC118" s="118">
        <f t="shared" si="15"/>
        <v>1</v>
      </c>
      <c r="AD118" s="47">
        <v>2</v>
      </c>
      <c r="AE118" s="66">
        <f t="shared" si="18"/>
        <v>0</v>
      </c>
      <c r="AF118" s="66">
        <f t="shared" si="11"/>
        <v>0</v>
      </c>
      <c r="AG118" s="67" t="str">
        <f t="shared" si="19"/>
        <v>0000000000</v>
      </c>
      <c r="AH118" s="67" t="str">
        <f t="shared" si="20"/>
        <v>.00</v>
      </c>
      <c r="AI118" s="67" t="str">
        <f t="shared" si="16"/>
        <v>00</v>
      </c>
      <c r="AJ118" s="67" t="str">
        <f t="shared" si="21"/>
        <v>000000000000</v>
      </c>
      <c r="AK118" s="119"/>
      <c r="AL118" s="120"/>
      <c r="AP118" s="115" t="str">
        <f t="shared" si="17"/>
        <v/>
      </c>
    </row>
    <row r="119" spans="1:42" x14ac:dyDescent="0.2">
      <c r="A119" s="63" t="str">
        <f t="shared" si="13"/>
        <v/>
      </c>
      <c r="B119" s="133"/>
      <c r="C119" s="133"/>
      <c r="D119" s="135"/>
      <c r="E119" s="135"/>
      <c r="F119" s="137"/>
      <c r="AA119" s="116" t="str">
        <f t="shared" si="12"/>
        <v>00000000000000</v>
      </c>
      <c r="AB119" s="117" t="str">
        <f t="shared" si="14"/>
        <v>000000000000</v>
      </c>
      <c r="AC119" s="118">
        <f t="shared" si="15"/>
        <v>1</v>
      </c>
      <c r="AD119" s="47">
        <v>2</v>
      </c>
      <c r="AE119" s="66">
        <f t="shared" si="18"/>
        <v>0</v>
      </c>
      <c r="AF119" s="66">
        <f t="shared" si="11"/>
        <v>0</v>
      </c>
      <c r="AG119" s="67" t="str">
        <f t="shared" si="19"/>
        <v>0000000000</v>
      </c>
      <c r="AH119" s="67" t="str">
        <f t="shared" si="20"/>
        <v>.00</v>
      </c>
      <c r="AI119" s="67" t="str">
        <f t="shared" si="16"/>
        <v>00</v>
      </c>
      <c r="AJ119" s="67" t="str">
        <f t="shared" si="21"/>
        <v>000000000000</v>
      </c>
      <c r="AK119" s="119"/>
      <c r="AL119" s="120"/>
      <c r="AP119" s="115" t="str">
        <f t="shared" si="17"/>
        <v/>
      </c>
    </row>
    <row r="120" spans="1:42" x14ac:dyDescent="0.2">
      <c r="A120" s="63" t="str">
        <f t="shared" si="13"/>
        <v/>
      </c>
      <c r="B120" s="133"/>
      <c r="C120" s="133"/>
      <c r="D120" s="135"/>
      <c r="E120" s="135"/>
      <c r="F120" s="137"/>
      <c r="AA120" s="116" t="str">
        <f t="shared" si="12"/>
        <v>00000000000000</v>
      </c>
      <c r="AB120" s="117" t="str">
        <f t="shared" si="14"/>
        <v>000000000000</v>
      </c>
      <c r="AC120" s="118">
        <f t="shared" si="15"/>
        <v>1</v>
      </c>
      <c r="AD120" s="47">
        <v>2</v>
      </c>
      <c r="AE120" s="66">
        <f t="shared" si="18"/>
        <v>0</v>
      </c>
      <c r="AF120" s="66">
        <f t="shared" si="11"/>
        <v>0</v>
      </c>
      <c r="AG120" s="67" t="str">
        <f t="shared" si="19"/>
        <v>0000000000</v>
      </c>
      <c r="AH120" s="67" t="str">
        <f t="shared" si="20"/>
        <v>.00</v>
      </c>
      <c r="AI120" s="67" t="str">
        <f t="shared" si="16"/>
        <v>00</v>
      </c>
      <c r="AJ120" s="67" t="str">
        <f t="shared" si="21"/>
        <v>000000000000</v>
      </c>
      <c r="AK120" s="119"/>
      <c r="AL120" s="120"/>
      <c r="AP120" s="115" t="str">
        <f t="shared" si="17"/>
        <v/>
      </c>
    </row>
    <row r="121" spans="1:42" x14ac:dyDescent="0.2">
      <c r="A121" s="63" t="str">
        <f t="shared" si="13"/>
        <v/>
      </c>
      <c r="B121" s="133"/>
      <c r="C121" s="133"/>
      <c r="D121" s="135"/>
      <c r="E121" s="135"/>
      <c r="F121" s="137"/>
      <c r="AA121" s="116" t="str">
        <f t="shared" si="12"/>
        <v>00000000000000</v>
      </c>
      <c r="AB121" s="117" t="str">
        <f t="shared" si="14"/>
        <v>000000000000</v>
      </c>
      <c r="AC121" s="118">
        <f t="shared" si="15"/>
        <v>1</v>
      </c>
      <c r="AD121" s="47">
        <v>2</v>
      </c>
      <c r="AE121" s="66">
        <f t="shared" si="18"/>
        <v>0</v>
      </c>
      <c r="AF121" s="66">
        <f t="shared" si="11"/>
        <v>0</v>
      </c>
      <c r="AG121" s="67" t="str">
        <f t="shared" si="19"/>
        <v>0000000000</v>
      </c>
      <c r="AH121" s="67" t="str">
        <f t="shared" si="20"/>
        <v>.00</v>
      </c>
      <c r="AI121" s="67" t="str">
        <f t="shared" si="16"/>
        <v>00</v>
      </c>
      <c r="AJ121" s="67" t="str">
        <f t="shared" si="21"/>
        <v>000000000000</v>
      </c>
      <c r="AK121" s="119"/>
      <c r="AL121" s="120"/>
      <c r="AP121" s="115" t="str">
        <f t="shared" si="17"/>
        <v/>
      </c>
    </row>
    <row r="122" spans="1:42" x14ac:dyDescent="0.2">
      <c r="A122" s="63" t="str">
        <f t="shared" si="13"/>
        <v/>
      </c>
      <c r="B122" s="133"/>
      <c r="C122" s="133"/>
      <c r="D122" s="135"/>
      <c r="E122" s="135"/>
      <c r="F122" s="137"/>
      <c r="AA122" s="116" t="str">
        <f t="shared" si="12"/>
        <v>00000000000000</v>
      </c>
      <c r="AB122" s="117" t="str">
        <f t="shared" si="14"/>
        <v>000000000000</v>
      </c>
      <c r="AC122" s="118">
        <f t="shared" si="15"/>
        <v>1</v>
      </c>
      <c r="AD122" s="47">
        <v>2</v>
      </c>
      <c r="AE122" s="66">
        <f t="shared" si="18"/>
        <v>0</v>
      </c>
      <c r="AF122" s="66">
        <f t="shared" si="11"/>
        <v>0</v>
      </c>
      <c r="AG122" s="67" t="str">
        <f t="shared" si="19"/>
        <v>0000000000</v>
      </c>
      <c r="AH122" s="67" t="str">
        <f t="shared" si="20"/>
        <v>.00</v>
      </c>
      <c r="AI122" s="67" t="str">
        <f t="shared" si="16"/>
        <v>00</v>
      </c>
      <c r="AJ122" s="67" t="str">
        <f t="shared" si="21"/>
        <v>000000000000</v>
      </c>
      <c r="AK122" s="119"/>
      <c r="AL122" s="120"/>
      <c r="AP122" s="115" t="str">
        <f t="shared" si="17"/>
        <v/>
      </c>
    </row>
    <row r="123" spans="1:42" x14ac:dyDescent="0.2">
      <c r="A123" s="63" t="str">
        <f t="shared" si="13"/>
        <v/>
      </c>
      <c r="B123" s="133"/>
      <c r="C123" s="133"/>
      <c r="D123" s="135"/>
      <c r="E123" s="135"/>
      <c r="F123" s="137"/>
      <c r="AA123" s="116" t="str">
        <f t="shared" si="12"/>
        <v>00000000000000</v>
      </c>
      <c r="AB123" s="117" t="str">
        <f t="shared" si="14"/>
        <v>000000000000</v>
      </c>
      <c r="AC123" s="118">
        <f t="shared" si="15"/>
        <v>1</v>
      </c>
      <c r="AD123" s="47">
        <v>2</v>
      </c>
      <c r="AE123" s="66">
        <f t="shared" si="18"/>
        <v>0</v>
      </c>
      <c r="AF123" s="66">
        <f t="shared" si="11"/>
        <v>0</v>
      </c>
      <c r="AG123" s="67" t="str">
        <f t="shared" si="19"/>
        <v>0000000000</v>
      </c>
      <c r="AH123" s="67" t="str">
        <f t="shared" si="20"/>
        <v>.00</v>
      </c>
      <c r="AI123" s="67" t="str">
        <f t="shared" si="16"/>
        <v>00</v>
      </c>
      <c r="AJ123" s="67" t="str">
        <f t="shared" si="21"/>
        <v>000000000000</v>
      </c>
      <c r="AK123" s="119"/>
      <c r="AL123" s="120"/>
      <c r="AP123" s="115" t="str">
        <f t="shared" si="17"/>
        <v/>
      </c>
    </row>
    <row r="124" spans="1:42" x14ac:dyDescent="0.2">
      <c r="A124" s="63" t="str">
        <f t="shared" si="13"/>
        <v/>
      </c>
      <c r="B124" s="133"/>
      <c r="C124" s="133"/>
      <c r="D124" s="135"/>
      <c r="E124" s="135"/>
      <c r="F124" s="137"/>
      <c r="AA124" s="116" t="str">
        <f t="shared" si="12"/>
        <v>00000000000000</v>
      </c>
      <c r="AB124" s="117" t="str">
        <f t="shared" si="14"/>
        <v>000000000000</v>
      </c>
      <c r="AC124" s="118">
        <f t="shared" si="15"/>
        <v>1</v>
      </c>
      <c r="AD124" s="47">
        <v>2</v>
      </c>
      <c r="AE124" s="66">
        <f t="shared" si="18"/>
        <v>0</v>
      </c>
      <c r="AF124" s="66">
        <f t="shared" si="11"/>
        <v>0</v>
      </c>
      <c r="AG124" s="67" t="str">
        <f t="shared" si="19"/>
        <v>0000000000</v>
      </c>
      <c r="AH124" s="67" t="str">
        <f t="shared" si="20"/>
        <v>.00</v>
      </c>
      <c r="AI124" s="67" t="str">
        <f t="shared" si="16"/>
        <v>00</v>
      </c>
      <c r="AJ124" s="67" t="str">
        <f t="shared" si="21"/>
        <v>000000000000</v>
      </c>
      <c r="AK124" s="119"/>
      <c r="AL124" s="120"/>
      <c r="AP124" s="115" t="str">
        <f t="shared" si="17"/>
        <v/>
      </c>
    </row>
    <row r="125" spans="1:42" x14ac:dyDescent="0.2">
      <c r="A125" s="63" t="str">
        <f t="shared" si="13"/>
        <v/>
      </c>
      <c r="B125" s="133"/>
      <c r="C125" s="133"/>
      <c r="D125" s="135"/>
      <c r="E125" s="135"/>
      <c r="F125" s="137"/>
      <c r="AA125" s="116" t="str">
        <f t="shared" si="12"/>
        <v>00000000000000</v>
      </c>
      <c r="AB125" s="117" t="str">
        <f t="shared" si="14"/>
        <v>000000000000</v>
      </c>
      <c r="AC125" s="118">
        <f t="shared" si="15"/>
        <v>1</v>
      </c>
      <c r="AD125" s="47">
        <v>2</v>
      </c>
      <c r="AE125" s="66">
        <f t="shared" si="18"/>
        <v>0</v>
      </c>
      <c r="AF125" s="66">
        <f t="shared" si="11"/>
        <v>0</v>
      </c>
      <c r="AG125" s="67" t="str">
        <f t="shared" si="19"/>
        <v>0000000000</v>
      </c>
      <c r="AH125" s="67" t="str">
        <f t="shared" si="20"/>
        <v>.00</v>
      </c>
      <c r="AI125" s="67" t="str">
        <f t="shared" si="16"/>
        <v>00</v>
      </c>
      <c r="AJ125" s="67" t="str">
        <f t="shared" si="21"/>
        <v>000000000000</v>
      </c>
      <c r="AK125" s="119"/>
      <c r="AL125" s="120"/>
      <c r="AP125" s="115" t="str">
        <f t="shared" si="17"/>
        <v/>
      </c>
    </row>
    <row r="126" spans="1:42" x14ac:dyDescent="0.2">
      <c r="A126" s="63" t="str">
        <f t="shared" si="13"/>
        <v/>
      </c>
      <c r="B126" s="133"/>
      <c r="C126" s="133"/>
      <c r="D126" s="135"/>
      <c r="E126" s="135"/>
      <c r="F126" s="137"/>
      <c r="AA126" s="116" t="str">
        <f t="shared" si="12"/>
        <v>00000000000000</v>
      </c>
      <c r="AB126" s="117" t="str">
        <f t="shared" si="14"/>
        <v>000000000000</v>
      </c>
      <c r="AC126" s="118">
        <f t="shared" si="15"/>
        <v>1</v>
      </c>
      <c r="AD126" s="47">
        <v>2</v>
      </c>
      <c r="AE126" s="66">
        <f t="shared" si="18"/>
        <v>0</v>
      </c>
      <c r="AF126" s="66">
        <f t="shared" si="11"/>
        <v>0</v>
      </c>
      <c r="AG126" s="67" t="str">
        <f t="shared" si="19"/>
        <v>0000000000</v>
      </c>
      <c r="AH126" s="67" t="str">
        <f t="shared" si="20"/>
        <v>.00</v>
      </c>
      <c r="AI126" s="67" t="str">
        <f t="shared" si="16"/>
        <v>00</v>
      </c>
      <c r="AJ126" s="67" t="str">
        <f t="shared" si="21"/>
        <v>000000000000</v>
      </c>
      <c r="AK126" s="119"/>
      <c r="AL126" s="120"/>
      <c r="AP126" s="115" t="str">
        <f t="shared" si="17"/>
        <v/>
      </c>
    </row>
    <row r="127" spans="1:42" x14ac:dyDescent="0.2">
      <c r="A127" s="63" t="str">
        <f t="shared" si="13"/>
        <v/>
      </c>
      <c r="B127" s="133"/>
      <c r="C127" s="133"/>
      <c r="D127" s="135"/>
      <c r="E127" s="135"/>
      <c r="F127" s="137"/>
      <c r="AA127" s="116" t="str">
        <f t="shared" si="12"/>
        <v>00000000000000</v>
      </c>
      <c r="AB127" s="117" t="str">
        <f t="shared" si="14"/>
        <v>000000000000</v>
      </c>
      <c r="AC127" s="118">
        <f t="shared" si="15"/>
        <v>1</v>
      </c>
      <c r="AD127" s="47">
        <v>2</v>
      </c>
      <c r="AE127" s="66">
        <f t="shared" si="18"/>
        <v>0</v>
      </c>
      <c r="AF127" s="66">
        <f t="shared" si="11"/>
        <v>0</v>
      </c>
      <c r="AG127" s="67" t="str">
        <f t="shared" si="19"/>
        <v>0000000000</v>
      </c>
      <c r="AH127" s="67" t="str">
        <f t="shared" si="20"/>
        <v>.00</v>
      </c>
      <c r="AI127" s="67" t="str">
        <f t="shared" si="16"/>
        <v>00</v>
      </c>
      <c r="AJ127" s="67" t="str">
        <f t="shared" si="21"/>
        <v>000000000000</v>
      </c>
      <c r="AK127" s="119"/>
      <c r="AL127" s="120"/>
      <c r="AP127" s="115" t="str">
        <f t="shared" si="17"/>
        <v/>
      </c>
    </row>
    <row r="128" spans="1:42" x14ac:dyDescent="0.2">
      <c r="A128" s="63" t="str">
        <f t="shared" si="13"/>
        <v/>
      </c>
      <c r="B128" s="133"/>
      <c r="C128" s="133"/>
      <c r="D128" s="135"/>
      <c r="E128" s="135"/>
      <c r="F128" s="137"/>
      <c r="AA128" s="116" t="str">
        <f t="shared" si="12"/>
        <v>00000000000000</v>
      </c>
      <c r="AB128" s="117" t="str">
        <f t="shared" si="14"/>
        <v>000000000000</v>
      </c>
      <c r="AC128" s="118">
        <f t="shared" si="15"/>
        <v>1</v>
      </c>
      <c r="AD128" s="47">
        <v>2</v>
      </c>
      <c r="AE128" s="66">
        <f t="shared" si="18"/>
        <v>0</v>
      </c>
      <c r="AF128" s="66">
        <f t="shared" si="11"/>
        <v>0</v>
      </c>
      <c r="AG128" s="67" t="str">
        <f t="shared" si="19"/>
        <v>0000000000</v>
      </c>
      <c r="AH128" s="67" t="str">
        <f t="shared" si="20"/>
        <v>.00</v>
      </c>
      <c r="AI128" s="67" t="str">
        <f t="shared" si="16"/>
        <v>00</v>
      </c>
      <c r="AJ128" s="67" t="str">
        <f t="shared" si="21"/>
        <v>000000000000</v>
      </c>
      <c r="AK128" s="119"/>
      <c r="AL128" s="120"/>
      <c r="AP128" s="115" t="str">
        <f t="shared" si="17"/>
        <v/>
      </c>
    </row>
    <row r="129" spans="1:42" x14ac:dyDescent="0.2">
      <c r="A129" s="63" t="str">
        <f t="shared" si="13"/>
        <v/>
      </c>
      <c r="B129" s="133"/>
      <c r="C129" s="133"/>
      <c r="D129" s="135"/>
      <c r="E129" s="135"/>
      <c r="F129" s="137"/>
      <c r="AA129" s="116" t="str">
        <f t="shared" si="12"/>
        <v>00000000000000</v>
      </c>
      <c r="AB129" s="117" t="str">
        <f t="shared" si="14"/>
        <v>000000000000</v>
      </c>
      <c r="AC129" s="118">
        <f t="shared" si="15"/>
        <v>1</v>
      </c>
      <c r="AD129" s="47">
        <v>2</v>
      </c>
      <c r="AE129" s="66">
        <f t="shared" si="18"/>
        <v>0</v>
      </c>
      <c r="AF129" s="66">
        <f t="shared" si="11"/>
        <v>0</v>
      </c>
      <c r="AG129" s="67" t="str">
        <f t="shared" si="19"/>
        <v>0000000000</v>
      </c>
      <c r="AH129" s="67" t="str">
        <f t="shared" si="20"/>
        <v>.00</v>
      </c>
      <c r="AI129" s="67" t="str">
        <f t="shared" si="16"/>
        <v>00</v>
      </c>
      <c r="AJ129" s="67" t="str">
        <f t="shared" si="21"/>
        <v>000000000000</v>
      </c>
      <c r="AK129" s="119"/>
      <c r="AL129" s="120"/>
      <c r="AP129" s="115" t="str">
        <f t="shared" si="17"/>
        <v/>
      </c>
    </row>
    <row r="130" spans="1:42" x14ac:dyDescent="0.2">
      <c r="A130" s="63" t="str">
        <f t="shared" si="13"/>
        <v/>
      </c>
      <c r="B130" s="133"/>
      <c r="C130" s="133"/>
      <c r="D130" s="135"/>
      <c r="E130" s="135"/>
      <c r="F130" s="137"/>
      <c r="AA130" s="116" t="str">
        <f t="shared" si="12"/>
        <v>00000000000000</v>
      </c>
      <c r="AB130" s="117" t="str">
        <f t="shared" si="14"/>
        <v>000000000000</v>
      </c>
      <c r="AC130" s="118">
        <f t="shared" si="15"/>
        <v>1</v>
      </c>
      <c r="AD130" s="47">
        <v>2</v>
      </c>
      <c r="AE130" s="66">
        <f t="shared" si="18"/>
        <v>0</v>
      </c>
      <c r="AF130" s="66">
        <f t="shared" si="11"/>
        <v>0</v>
      </c>
      <c r="AG130" s="67" t="str">
        <f t="shared" si="19"/>
        <v>0000000000</v>
      </c>
      <c r="AH130" s="67" t="str">
        <f t="shared" si="20"/>
        <v>.00</v>
      </c>
      <c r="AI130" s="67" t="str">
        <f t="shared" si="16"/>
        <v>00</v>
      </c>
      <c r="AJ130" s="67" t="str">
        <f t="shared" si="21"/>
        <v>000000000000</v>
      </c>
      <c r="AK130" s="119"/>
      <c r="AL130" s="120"/>
      <c r="AP130" s="115" t="str">
        <f t="shared" si="17"/>
        <v/>
      </c>
    </row>
    <row r="131" spans="1:42" x14ac:dyDescent="0.2">
      <c r="A131" s="63" t="str">
        <f t="shared" si="13"/>
        <v/>
      </c>
      <c r="B131" s="133"/>
      <c r="C131" s="133"/>
      <c r="D131" s="135"/>
      <c r="E131" s="135"/>
      <c r="F131" s="137"/>
      <c r="AA131" s="116" t="str">
        <f t="shared" si="12"/>
        <v>00000000000000</v>
      </c>
      <c r="AB131" s="117" t="str">
        <f t="shared" si="14"/>
        <v>000000000000</v>
      </c>
      <c r="AC131" s="118">
        <f t="shared" si="15"/>
        <v>1</v>
      </c>
      <c r="AD131" s="47">
        <v>2</v>
      </c>
      <c r="AE131" s="66">
        <f t="shared" si="18"/>
        <v>0</v>
      </c>
      <c r="AF131" s="66">
        <f t="shared" ref="AF131:AF194" si="22">F131-AE131</f>
        <v>0</v>
      </c>
      <c r="AG131" s="67" t="str">
        <f t="shared" si="19"/>
        <v>0000000000</v>
      </c>
      <c r="AH131" s="67" t="str">
        <f t="shared" si="20"/>
        <v>.00</v>
      </c>
      <c r="AI131" s="67" t="str">
        <f t="shared" si="16"/>
        <v>00</v>
      </c>
      <c r="AJ131" s="67" t="str">
        <f t="shared" si="21"/>
        <v>000000000000</v>
      </c>
      <c r="AK131" s="119"/>
      <c r="AL131" s="120"/>
      <c r="AP131" s="115" t="str">
        <f t="shared" si="17"/>
        <v/>
      </c>
    </row>
    <row r="132" spans="1:42" x14ac:dyDescent="0.2">
      <c r="A132" s="63" t="str">
        <f t="shared" si="13"/>
        <v/>
      </c>
      <c r="B132" s="133"/>
      <c r="C132" s="133"/>
      <c r="D132" s="135"/>
      <c r="E132" s="135"/>
      <c r="F132" s="137"/>
      <c r="AA132" s="116" t="str">
        <f t="shared" ref="AA132:AA195" si="23">CONCATENATE(REPT("0",14-LEN(B132)),B132)</f>
        <v>00000000000000</v>
      </c>
      <c r="AB132" s="117" t="str">
        <f t="shared" si="14"/>
        <v>000000000000</v>
      </c>
      <c r="AC132" s="118">
        <f t="shared" si="15"/>
        <v>1</v>
      </c>
      <c r="AD132" s="47">
        <v>2</v>
      </c>
      <c r="AE132" s="66">
        <f t="shared" si="18"/>
        <v>0</v>
      </c>
      <c r="AF132" s="66">
        <f t="shared" si="22"/>
        <v>0</v>
      </c>
      <c r="AG132" s="67" t="str">
        <f t="shared" si="19"/>
        <v>0000000000</v>
      </c>
      <c r="AH132" s="67" t="str">
        <f t="shared" si="20"/>
        <v>.00</v>
      </c>
      <c r="AI132" s="67" t="str">
        <f t="shared" si="16"/>
        <v>00</v>
      </c>
      <c r="AJ132" s="67" t="str">
        <f t="shared" si="21"/>
        <v>000000000000</v>
      </c>
      <c r="AK132" s="119"/>
      <c r="AL132" s="120"/>
      <c r="AP132" s="115" t="str">
        <f t="shared" si="17"/>
        <v/>
      </c>
    </row>
    <row r="133" spans="1:42" x14ac:dyDescent="0.2">
      <c r="A133" s="63" t="str">
        <f t="shared" ref="A133:A196" si="24">IF(B133&lt;&gt;"",A132+1,"")</f>
        <v/>
      </c>
      <c r="B133" s="133"/>
      <c r="C133" s="133"/>
      <c r="D133" s="135"/>
      <c r="E133" s="135"/>
      <c r="F133" s="137"/>
      <c r="AA133" s="116" t="str">
        <f t="shared" si="23"/>
        <v>00000000000000</v>
      </c>
      <c r="AB133" s="117" t="str">
        <f t="shared" ref="AB133:AB196" si="25">CONCATENATE(REPT("0",12-LEN(C133)),C133)</f>
        <v>000000000000</v>
      </c>
      <c r="AC133" s="118">
        <f t="shared" ref="AC133:AC196" si="26">AC132</f>
        <v>1</v>
      </c>
      <c r="AD133" s="47">
        <v>2</v>
      </c>
      <c r="AE133" s="66">
        <f t="shared" si="18"/>
        <v>0</v>
      </c>
      <c r="AF133" s="66">
        <f t="shared" si="22"/>
        <v>0</v>
      </c>
      <c r="AG133" s="67" t="str">
        <f t="shared" si="19"/>
        <v>0000000000</v>
      </c>
      <c r="AH133" s="67" t="str">
        <f t="shared" si="20"/>
        <v>.00</v>
      </c>
      <c r="AI133" s="67" t="str">
        <f t="shared" ref="AI133:AI196" si="27">MID(AH133,2,2)</f>
        <v>00</v>
      </c>
      <c r="AJ133" s="67" t="str">
        <f t="shared" si="21"/>
        <v>000000000000</v>
      </c>
      <c r="AK133" s="119"/>
      <c r="AL133" s="120"/>
      <c r="AP133" s="115" t="str">
        <f t="shared" si="17"/>
        <v/>
      </c>
    </row>
    <row r="134" spans="1:42" x14ac:dyDescent="0.2">
      <c r="A134" s="63" t="str">
        <f t="shared" si="24"/>
        <v/>
      </c>
      <c r="B134" s="133"/>
      <c r="C134" s="133"/>
      <c r="D134" s="135"/>
      <c r="E134" s="135"/>
      <c r="F134" s="137"/>
      <c r="AA134" s="116" t="str">
        <f t="shared" si="23"/>
        <v>00000000000000</v>
      </c>
      <c r="AB134" s="117" t="str">
        <f t="shared" si="25"/>
        <v>000000000000</v>
      </c>
      <c r="AC134" s="118">
        <f t="shared" si="26"/>
        <v>1</v>
      </c>
      <c r="AD134" s="47">
        <v>2</v>
      </c>
      <c r="AE134" s="66">
        <f t="shared" si="18"/>
        <v>0</v>
      </c>
      <c r="AF134" s="66">
        <f t="shared" si="22"/>
        <v>0</v>
      </c>
      <c r="AG134" s="67" t="str">
        <f t="shared" si="19"/>
        <v>0000000000</v>
      </c>
      <c r="AH134" s="67" t="str">
        <f t="shared" si="20"/>
        <v>.00</v>
      </c>
      <c r="AI134" s="67" t="str">
        <f t="shared" si="27"/>
        <v>00</v>
      </c>
      <c r="AJ134" s="67" t="str">
        <f t="shared" si="21"/>
        <v>000000000000</v>
      </c>
      <c r="AK134" s="119"/>
      <c r="AL134" s="120"/>
      <c r="AP134" s="115" t="str">
        <f t="shared" ref="AP134:AP197" si="28">IF(B135&lt;&gt;"",CONCATENATE("00000",$AD$1,AA135,$AC$3,"2",AB135,AJ135,$AL$3,"0                                                  "),"")</f>
        <v/>
      </c>
    </row>
    <row r="135" spans="1:42" x14ac:dyDescent="0.2">
      <c r="A135" s="63" t="str">
        <f t="shared" si="24"/>
        <v/>
      </c>
      <c r="B135" s="133"/>
      <c r="C135" s="133"/>
      <c r="D135" s="135"/>
      <c r="E135" s="135"/>
      <c r="F135" s="137"/>
      <c r="AA135" s="116" t="str">
        <f t="shared" si="23"/>
        <v>00000000000000</v>
      </c>
      <c r="AB135" s="117" t="str">
        <f t="shared" si="25"/>
        <v>000000000000</v>
      </c>
      <c r="AC135" s="118">
        <f t="shared" si="26"/>
        <v>1</v>
      </c>
      <c r="AD135" s="47">
        <v>2</v>
      </c>
      <c r="AE135" s="66">
        <f t="shared" si="18"/>
        <v>0</v>
      </c>
      <c r="AF135" s="66">
        <f t="shared" si="22"/>
        <v>0</v>
      </c>
      <c r="AG135" s="67" t="str">
        <f t="shared" si="19"/>
        <v>0000000000</v>
      </c>
      <c r="AH135" s="67" t="str">
        <f t="shared" si="20"/>
        <v>.00</v>
      </c>
      <c r="AI135" s="67" t="str">
        <f t="shared" si="27"/>
        <v>00</v>
      </c>
      <c r="AJ135" s="67" t="str">
        <f t="shared" si="21"/>
        <v>000000000000</v>
      </c>
      <c r="AK135" s="119"/>
      <c r="AL135" s="120"/>
      <c r="AP135" s="115" t="str">
        <f t="shared" si="28"/>
        <v/>
      </c>
    </row>
    <row r="136" spans="1:42" x14ac:dyDescent="0.2">
      <c r="A136" s="63" t="str">
        <f t="shared" si="24"/>
        <v/>
      </c>
      <c r="B136" s="133"/>
      <c r="C136" s="133"/>
      <c r="D136" s="135"/>
      <c r="E136" s="135"/>
      <c r="F136" s="137"/>
      <c r="AA136" s="116" t="str">
        <f t="shared" si="23"/>
        <v>00000000000000</v>
      </c>
      <c r="AB136" s="117" t="str">
        <f t="shared" si="25"/>
        <v>000000000000</v>
      </c>
      <c r="AC136" s="118">
        <f t="shared" si="26"/>
        <v>1</v>
      </c>
      <c r="AD136" s="47">
        <v>2</v>
      </c>
      <c r="AE136" s="66">
        <f t="shared" ref="AE136:AE199" si="29">INT(F136)</f>
        <v>0</v>
      </c>
      <c r="AF136" s="66">
        <f t="shared" si="22"/>
        <v>0</v>
      </c>
      <c r="AG136" s="67" t="str">
        <f t="shared" ref="AG136:AG199" si="30">TEXT(AE136,"0000000000")</f>
        <v>0000000000</v>
      </c>
      <c r="AH136" s="67" t="str">
        <f t="shared" ref="AH136:AH199" si="31">TEXT(AF136,".00")</f>
        <v>.00</v>
      </c>
      <c r="AI136" s="67" t="str">
        <f t="shared" si="27"/>
        <v>00</v>
      </c>
      <c r="AJ136" s="67" t="str">
        <f t="shared" ref="AJ136:AJ199" si="32">CONCATENATE(AG136,AI136)</f>
        <v>000000000000</v>
      </c>
      <c r="AK136" s="119"/>
      <c r="AL136" s="120"/>
      <c r="AP136" s="115" t="str">
        <f t="shared" si="28"/>
        <v/>
      </c>
    </row>
    <row r="137" spans="1:42" x14ac:dyDescent="0.2">
      <c r="A137" s="63" t="str">
        <f t="shared" si="24"/>
        <v/>
      </c>
      <c r="B137" s="133"/>
      <c r="C137" s="133"/>
      <c r="D137" s="135"/>
      <c r="E137" s="135"/>
      <c r="F137" s="137"/>
      <c r="AA137" s="116" t="str">
        <f t="shared" si="23"/>
        <v>00000000000000</v>
      </c>
      <c r="AB137" s="117" t="str">
        <f t="shared" si="25"/>
        <v>000000000000</v>
      </c>
      <c r="AC137" s="118">
        <f t="shared" si="26"/>
        <v>1</v>
      </c>
      <c r="AD137" s="47">
        <v>2</v>
      </c>
      <c r="AE137" s="66">
        <f t="shared" si="29"/>
        <v>0</v>
      </c>
      <c r="AF137" s="66">
        <f t="shared" si="22"/>
        <v>0</v>
      </c>
      <c r="AG137" s="67" t="str">
        <f t="shared" si="30"/>
        <v>0000000000</v>
      </c>
      <c r="AH137" s="67" t="str">
        <f t="shared" si="31"/>
        <v>.00</v>
      </c>
      <c r="AI137" s="67" t="str">
        <f t="shared" si="27"/>
        <v>00</v>
      </c>
      <c r="AJ137" s="67" t="str">
        <f t="shared" si="32"/>
        <v>000000000000</v>
      </c>
      <c r="AK137" s="119"/>
      <c r="AL137" s="120"/>
      <c r="AP137" s="115" t="str">
        <f t="shared" si="28"/>
        <v/>
      </c>
    </row>
    <row r="138" spans="1:42" x14ac:dyDescent="0.2">
      <c r="A138" s="63" t="str">
        <f t="shared" si="24"/>
        <v/>
      </c>
      <c r="B138" s="133"/>
      <c r="C138" s="133"/>
      <c r="D138" s="135"/>
      <c r="E138" s="135"/>
      <c r="F138" s="137"/>
      <c r="AA138" s="116" t="str">
        <f t="shared" si="23"/>
        <v>00000000000000</v>
      </c>
      <c r="AB138" s="117" t="str">
        <f t="shared" si="25"/>
        <v>000000000000</v>
      </c>
      <c r="AC138" s="118">
        <f t="shared" si="26"/>
        <v>1</v>
      </c>
      <c r="AD138" s="47">
        <v>2</v>
      </c>
      <c r="AE138" s="66">
        <f t="shared" si="29"/>
        <v>0</v>
      </c>
      <c r="AF138" s="66">
        <f t="shared" si="22"/>
        <v>0</v>
      </c>
      <c r="AG138" s="67" t="str">
        <f t="shared" si="30"/>
        <v>0000000000</v>
      </c>
      <c r="AH138" s="67" t="str">
        <f t="shared" si="31"/>
        <v>.00</v>
      </c>
      <c r="AI138" s="67" t="str">
        <f t="shared" si="27"/>
        <v>00</v>
      </c>
      <c r="AJ138" s="67" t="str">
        <f t="shared" si="32"/>
        <v>000000000000</v>
      </c>
      <c r="AK138" s="119"/>
      <c r="AL138" s="120"/>
      <c r="AP138" s="115" t="str">
        <f t="shared" si="28"/>
        <v/>
      </c>
    </row>
    <row r="139" spans="1:42" x14ac:dyDescent="0.2">
      <c r="A139" s="63" t="str">
        <f t="shared" si="24"/>
        <v/>
      </c>
      <c r="B139" s="133"/>
      <c r="C139" s="133"/>
      <c r="D139" s="135"/>
      <c r="E139" s="135"/>
      <c r="F139" s="137"/>
      <c r="AA139" s="116" t="str">
        <f t="shared" si="23"/>
        <v>00000000000000</v>
      </c>
      <c r="AB139" s="117" t="str">
        <f t="shared" si="25"/>
        <v>000000000000</v>
      </c>
      <c r="AC139" s="118">
        <f t="shared" si="26"/>
        <v>1</v>
      </c>
      <c r="AD139" s="47">
        <v>2</v>
      </c>
      <c r="AE139" s="66">
        <f t="shared" si="29"/>
        <v>0</v>
      </c>
      <c r="AF139" s="66">
        <f t="shared" si="22"/>
        <v>0</v>
      </c>
      <c r="AG139" s="67" t="str">
        <f t="shared" si="30"/>
        <v>0000000000</v>
      </c>
      <c r="AH139" s="67" t="str">
        <f t="shared" si="31"/>
        <v>.00</v>
      </c>
      <c r="AI139" s="67" t="str">
        <f t="shared" si="27"/>
        <v>00</v>
      </c>
      <c r="AJ139" s="67" t="str">
        <f t="shared" si="32"/>
        <v>000000000000</v>
      </c>
      <c r="AK139" s="119"/>
      <c r="AL139" s="120"/>
      <c r="AP139" s="115" t="str">
        <f t="shared" si="28"/>
        <v/>
      </c>
    </row>
    <row r="140" spans="1:42" x14ac:dyDescent="0.2">
      <c r="A140" s="63" t="str">
        <f t="shared" si="24"/>
        <v/>
      </c>
      <c r="B140" s="133"/>
      <c r="C140" s="133"/>
      <c r="D140" s="135"/>
      <c r="E140" s="135"/>
      <c r="F140" s="137"/>
      <c r="AA140" s="116" t="str">
        <f t="shared" si="23"/>
        <v>00000000000000</v>
      </c>
      <c r="AB140" s="117" t="str">
        <f t="shared" si="25"/>
        <v>000000000000</v>
      </c>
      <c r="AC140" s="118">
        <f t="shared" si="26"/>
        <v>1</v>
      </c>
      <c r="AD140" s="47">
        <v>2</v>
      </c>
      <c r="AE140" s="66">
        <f t="shared" si="29"/>
        <v>0</v>
      </c>
      <c r="AF140" s="66">
        <f t="shared" si="22"/>
        <v>0</v>
      </c>
      <c r="AG140" s="67" t="str">
        <f t="shared" si="30"/>
        <v>0000000000</v>
      </c>
      <c r="AH140" s="67" t="str">
        <f t="shared" si="31"/>
        <v>.00</v>
      </c>
      <c r="AI140" s="67" t="str">
        <f t="shared" si="27"/>
        <v>00</v>
      </c>
      <c r="AJ140" s="67" t="str">
        <f t="shared" si="32"/>
        <v>000000000000</v>
      </c>
      <c r="AK140" s="119"/>
      <c r="AL140" s="120"/>
      <c r="AP140" s="115" t="str">
        <f t="shared" si="28"/>
        <v/>
      </c>
    </row>
    <row r="141" spans="1:42" x14ac:dyDescent="0.2">
      <c r="A141" s="63" t="str">
        <f t="shared" si="24"/>
        <v/>
      </c>
      <c r="B141" s="133"/>
      <c r="C141" s="133"/>
      <c r="D141" s="135"/>
      <c r="E141" s="135"/>
      <c r="F141" s="137"/>
      <c r="AA141" s="116" t="str">
        <f t="shared" si="23"/>
        <v>00000000000000</v>
      </c>
      <c r="AB141" s="117" t="str">
        <f t="shared" si="25"/>
        <v>000000000000</v>
      </c>
      <c r="AC141" s="118">
        <f t="shared" si="26"/>
        <v>1</v>
      </c>
      <c r="AD141" s="47">
        <v>2</v>
      </c>
      <c r="AE141" s="66">
        <f t="shared" si="29"/>
        <v>0</v>
      </c>
      <c r="AF141" s="66">
        <f t="shared" si="22"/>
        <v>0</v>
      </c>
      <c r="AG141" s="67" t="str">
        <f t="shared" si="30"/>
        <v>0000000000</v>
      </c>
      <c r="AH141" s="67" t="str">
        <f t="shared" si="31"/>
        <v>.00</v>
      </c>
      <c r="AI141" s="67" t="str">
        <f t="shared" si="27"/>
        <v>00</v>
      </c>
      <c r="AJ141" s="67" t="str">
        <f t="shared" si="32"/>
        <v>000000000000</v>
      </c>
      <c r="AK141" s="119"/>
      <c r="AL141" s="120"/>
      <c r="AP141" s="115" t="str">
        <f t="shared" si="28"/>
        <v/>
      </c>
    </row>
    <row r="142" spans="1:42" x14ac:dyDescent="0.2">
      <c r="A142" s="63" t="str">
        <f t="shared" si="24"/>
        <v/>
      </c>
      <c r="B142" s="133"/>
      <c r="C142" s="133"/>
      <c r="D142" s="135"/>
      <c r="E142" s="135"/>
      <c r="F142" s="137"/>
      <c r="AA142" s="116" t="str">
        <f t="shared" si="23"/>
        <v>00000000000000</v>
      </c>
      <c r="AB142" s="117" t="str">
        <f t="shared" si="25"/>
        <v>000000000000</v>
      </c>
      <c r="AC142" s="118">
        <f t="shared" si="26"/>
        <v>1</v>
      </c>
      <c r="AD142" s="47">
        <v>2</v>
      </c>
      <c r="AE142" s="66">
        <f t="shared" si="29"/>
        <v>0</v>
      </c>
      <c r="AF142" s="66">
        <f t="shared" si="22"/>
        <v>0</v>
      </c>
      <c r="AG142" s="67" t="str">
        <f t="shared" si="30"/>
        <v>0000000000</v>
      </c>
      <c r="AH142" s="67" t="str">
        <f t="shared" si="31"/>
        <v>.00</v>
      </c>
      <c r="AI142" s="67" t="str">
        <f t="shared" si="27"/>
        <v>00</v>
      </c>
      <c r="AJ142" s="67" t="str">
        <f t="shared" si="32"/>
        <v>000000000000</v>
      </c>
      <c r="AK142" s="119"/>
      <c r="AL142" s="120"/>
      <c r="AP142" s="115" t="str">
        <f t="shared" si="28"/>
        <v/>
      </c>
    </row>
    <row r="143" spans="1:42" x14ac:dyDescent="0.2">
      <c r="A143" s="63" t="str">
        <f t="shared" si="24"/>
        <v/>
      </c>
      <c r="B143" s="133"/>
      <c r="C143" s="133"/>
      <c r="D143" s="135"/>
      <c r="E143" s="135"/>
      <c r="F143" s="137"/>
      <c r="AA143" s="116" t="str">
        <f t="shared" si="23"/>
        <v>00000000000000</v>
      </c>
      <c r="AB143" s="117" t="str">
        <f t="shared" si="25"/>
        <v>000000000000</v>
      </c>
      <c r="AC143" s="118">
        <f t="shared" si="26"/>
        <v>1</v>
      </c>
      <c r="AD143" s="47">
        <v>2</v>
      </c>
      <c r="AE143" s="66">
        <f t="shared" si="29"/>
        <v>0</v>
      </c>
      <c r="AF143" s="66">
        <f t="shared" si="22"/>
        <v>0</v>
      </c>
      <c r="AG143" s="67" t="str">
        <f t="shared" si="30"/>
        <v>0000000000</v>
      </c>
      <c r="AH143" s="67" t="str">
        <f t="shared" si="31"/>
        <v>.00</v>
      </c>
      <c r="AI143" s="67" t="str">
        <f t="shared" si="27"/>
        <v>00</v>
      </c>
      <c r="AJ143" s="67" t="str">
        <f t="shared" si="32"/>
        <v>000000000000</v>
      </c>
      <c r="AK143" s="119"/>
      <c r="AL143" s="120"/>
      <c r="AP143" s="115" t="str">
        <f t="shared" si="28"/>
        <v/>
      </c>
    </row>
    <row r="144" spans="1:42" x14ac:dyDescent="0.2">
      <c r="A144" s="63" t="str">
        <f t="shared" si="24"/>
        <v/>
      </c>
      <c r="B144" s="133"/>
      <c r="C144" s="133"/>
      <c r="D144" s="135"/>
      <c r="E144" s="135"/>
      <c r="F144" s="137"/>
      <c r="AA144" s="116" t="str">
        <f t="shared" si="23"/>
        <v>00000000000000</v>
      </c>
      <c r="AB144" s="117" t="str">
        <f t="shared" si="25"/>
        <v>000000000000</v>
      </c>
      <c r="AC144" s="118">
        <f t="shared" si="26"/>
        <v>1</v>
      </c>
      <c r="AD144" s="47">
        <v>2</v>
      </c>
      <c r="AE144" s="66">
        <f t="shared" si="29"/>
        <v>0</v>
      </c>
      <c r="AF144" s="66">
        <f t="shared" si="22"/>
        <v>0</v>
      </c>
      <c r="AG144" s="67" t="str">
        <f t="shared" si="30"/>
        <v>0000000000</v>
      </c>
      <c r="AH144" s="67" t="str">
        <f t="shared" si="31"/>
        <v>.00</v>
      </c>
      <c r="AI144" s="67" t="str">
        <f t="shared" si="27"/>
        <v>00</v>
      </c>
      <c r="AJ144" s="67" t="str">
        <f t="shared" si="32"/>
        <v>000000000000</v>
      </c>
      <c r="AK144" s="119"/>
      <c r="AL144" s="120"/>
      <c r="AP144" s="115" t="str">
        <f t="shared" si="28"/>
        <v/>
      </c>
    </row>
    <row r="145" spans="1:42" x14ac:dyDescent="0.2">
      <c r="A145" s="63" t="str">
        <f t="shared" si="24"/>
        <v/>
      </c>
      <c r="B145" s="133"/>
      <c r="C145" s="133"/>
      <c r="D145" s="135"/>
      <c r="E145" s="135"/>
      <c r="F145" s="137"/>
      <c r="AA145" s="116" t="str">
        <f t="shared" si="23"/>
        <v>00000000000000</v>
      </c>
      <c r="AB145" s="117" t="str">
        <f t="shared" si="25"/>
        <v>000000000000</v>
      </c>
      <c r="AC145" s="118">
        <f t="shared" si="26"/>
        <v>1</v>
      </c>
      <c r="AD145" s="47">
        <v>2</v>
      </c>
      <c r="AE145" s="66">
        <f t="shared" si="29"/>
        <v>0</v>
      </c>
      <c r="AF145" s="66">
        <f t="shared" si="22"/>
        <v>0</v>
      </c>
      <c r="AG145" s="67" t="str">
        <f t="shared" si="30"/>
        <v>0000000000</v>
      </c>
      <c r="AH145" s="67" t="str">
        <f t="shared" si="31"/>
        <v>.00</v>
      </c>
      <c r="AI145" s="67" t="str">
        <f t="shared" si="27"/>
        <v>00</v>
      </c>
      <c r="AJ145" s="67" t="str">
        <f t="shared" si="32"/>
        <v>000000000000</v>
      </c>
      <c r="AK145" s="119"/>
      <c r="AL145" s="120"/>
      <c r="AP145" s="115" t="str">
        <f t="shared" si="28"/>
        <v/>
      </c>
    </row>
    <row r="146" spans="1:42" x14ac:dyDescent="0.2">
      <c r="A146" s="63" t="str">
        <f t="shared" si="24"/>
        <v/>
      </c>
      <c r="B146" s="133"/>
      <c r="C146" s="133"/>
      <c r="D146" s="135"/>
      <c r="E146" s="135"/>
      <c r="F146" s="137"/>
      <c r="AA146" s="116" t="str">
        <f t="shared" si="23"/>
        <v>00000000000000</v>
      </c>
      <c r="AB146" s="117" t="str">
        <f t="shared" si="25"/>
        <v>000000000000</v>
      </c>
      <c r="AC146" s="118">
        <f t="shared" si="26"/>
        <v>1</v>
      </c>
      <c r="AD146" s="47">
        <v>2</v>
      </c>
      <c r="AE146" s="66">
        <f t="shared" si="29"/>
        <v>0</v>
      </c>
      <c r="AF146" s="66">
        <f t="shared" si="22"/>
        <v>0</v>
      </c>
      <c r="AG146" s="67" t="str">
        <f t="shared" si="30"/>
        <v>0000000000</v>
      </c>
      <c r="AH146" s="67" t="str">
        <f t="shared" si="31"/>
        <v>.00</v>
      </c>
      <c r="AI146" s="67" t="str">
        <f t="shared" si="27"/>
        <v>00</v>
      </c>
      <c r="AJ146" s="67" t="str">
        <f t="shared" si="32"/>
        <v>000000000000</v>
      </c>
      <c r="AK146" s="119"/>
      <c r="AL146" s="120"/>
      <c r="AP146" s="115" t="str">
        <f t="shared" si="28"/>
        <v/>
      </c>
    </row>
    <row r="147" spans="1:42" x14ac:dyDescent="0.2">
      <c r="A147" s="63" t="str">
        <f t="shared" si="24"/>
        <v/>
      </c>
      <c r="B147" s="133"/>
      <c r="C147" s="133"/>
      <c r="D147" s="135"/>
      <c r="E147" s="135"/>
      <c r="F147" s="137"/>
      <c r="AA147" s="116" t="str">
        <f t="shared" si="23"/>
        <v>00000000000000</v>
      </c>
      <c r="AB147" s="117" t="str">
        <f t="shared" si="25"/>
        <v>000000000000</v>
      </c>
      <c r="AC147" s="118">
        <f t="shared" si="26"/>
        <v>1</v>
      </c>
      <c r="AD147" s="47">
        <v>2</v>
      </c>
      <c r="AE147" s="66">
        <f t="shared" si="29"/>
        <v>0</v>
      </c>
      <c r="AF147" s="66">
        <f t="shared" si="22"/>
        <v>0</v>
      </c>
      <c r="AG147" s="67" t="str">
        <f t="shared" si="30"/>
        <v>0000000000</v>
      </c>
      <c r="AH147" s="67" t="str">
        <f t="shared" si="31"/>
        <v>.00</v>
      </c>
      <c r="AI147" s="67" t="str">
        <f t="shared" si="27"/>
        <v>00</v>
      </c>
      <c r="AJ147" s="67" t="str">
        <f t="shared" si="32"/>
        <v>000000000000</v>
      </c>
      <c r="AK147" s="119"/>
      <c r="AL147" s="120"/>
      <c r="AP147" s="115" t="str">
        <f t="shared" si="28"/>
        <v/>
      </c>
    </row>
    <row r="148" spans="1:42" x14ac:dyDescent="0.2">
      <c r="A148" s="63" t="str">
        <f t="shared" si="24"/>
        <v/>
      </c>
      <c r="B148" s="133"/>
      <c r="C148" s="133"/>
      <c r="D148" s="135"/>
      <c r="E148" s="135"/>
      <c r="F148" s="137"/>
      <c r="AA148" s="116" t="str">
        <f t="shared" si="23"/>
        <v>00000000000000</v>
      </c>
      <c r="AB148" s="117" t="str">
        <f t="shared" si="25"/>
        <v>000000000000</v>
      </c>
      <c r="AC148" s="118">
        <f t="shared" si="26"/>
        <v>1</v>
      </c>
      <c r="AD148" s="47">
        <v>2</v>
      </c>
      <c r="AE148" s="66">
        <f t="shared" si="29"/>
        <v>0</v>
      </c>
      <c r="AF148" s="66">
        <f t="shared" si="22"/>
        <v>0</v>
      </c>
      <c r="AG148" s="67" t="str">
        <f t="shared" si="30"/>
        <v>0000000000</v>
      </c>
      <c r="AH148" s="67" t="str">
        <f t="shared" si="31"/>
        <v>.00</v>
      </c>
      <c r="AI148" s="67" t="str">
        <f t="shared" si="27"/>
        <v>00</v>
      </c>
      <c r="AJ148" s="67" t="str">
        <f t="shared" si="32"/>
        <v>000000000000</v>
      </c>
      <c r="AK148" s="119"/>
      <c r="AL148" s="120"/>
      <c r="AP148" s="115" t="str">
        <f t="shared" si="28"/>
        <v/>
      </c>
    </row>
    <row r="149" spans="1:42" x14ac:dyDescent="0.2">
      <c r="A149" s="63" t="str">
        <f t="shared" si="24"/>
        <v/>
      </c>
      <c r="B149" s="133"/>
      <c r="C149" s="133"/>
      <c r="D149" s="135"/>
      <c r="E149" s="135"/>
      <c r="F149" s="137"/>
      <c r="AA149" s="116" t="str">
        <f t="shared" si="23"/>
        <v>00000000000000</v>
      </c>
      <c r="AB149" s="117" t="str">
        <f t="shared" si="25"/>
        <v>000000000000</v>
      </c>
      <c r="AC149" s="118">
        <f t="shared" si="26"/>
        <v>1</v>
      </c>
      <c r="AD149" s="47">
        <v>2</v>
      </c>
      <c r="AE149" s="66">
        <f t="shared" si="29"/>
        <v>0</v>
      </c>
      <c r="AF149" s="66">
        <f t="shared" si="22"/>
        <v>0</v>
      </c>
      <c r="AG149" s="67" t="str">
        <f t="shared" si="30"/>
        <v>0000000000</v>
      </c>
      <c r="AH149" s="67" t="str">
        <f t="shared" si="31"/>
        <v>.00</v>
      </c>
      <c r="AI149" s="67" t="str">
        <f t="shared" si="27"/>
        <v>00</v>
      </c>
      <c r="AJ149" s="67" t="str">
        <f t="shared" si="32"/>
        <v>000000000000</v>
      </c>
      <c r="AK149" s="119"/>
      <c r="AL149" s="120"/>
      <c r="AP149" s="115" t="str">
        <f t="shared" si="28"/>
        <v/>
      </c>
    </row>
    <row r="150" spans="1:42" x14ac:dyDescent="0.2">
      <c r="A150" s="63" t="str">
        <f t="shared" si="24"/>
        <v/>
      </c>
      <c r="B150" s="133"/>
      <c r="C150" s="133"/>
      <c r="D150" s="135"/>
      <c r="E150" s="135"/>
      <c r="F150" s="137"/>
      <c r="AA150" s="116" t="str">
        <f t="shared" si="23"/>
        <v>00000000000000</v>
      </c>
      <c r="AB150" s="117" t="str">
        <f t="shared" si="25"/>
        <v>000000000000</v>
      </c>
      <c r="AC150" s="118">
        <f t="shared" si="26"/>
        <v>1</v>
      </c>
      <c r="AD150" s="47">
        <v>2</v>
      </c>
      <c r="AE150" s="66">
        <f t="shared" si="29"/>
        <v>0</v>
      </c>
      <c r="AF150" s="66">
        <f t="shared" si="22"/>
        <v>0</v>
      </c>
      <c r="AG150" s="67" t="str">
        <f t="shared" si="30"/>
        <v>0000000000</v>
      </c>
      <c r="AH150" s="67" t="str">
        <f t="shared" si="31"/>
        <v>.00</v>
      </c>
      <c r="AI150" s="67" t="str">
        <f t="shared" si="27"/>
        <v>00</v>
      </c>
      <c r="AJ150" s="67" t="str">
        <f t="shared" si="32"/>
        <v>000000000000</v>
      </c>
      <c r="AK150" s="119"/>
      <c r="AL150" s="120"/>
      <c r="AP150" s="115" t="str">
        <f t="shared" si="28"/>
        <v/>
      </c>
    </row>
    <row r="151" spans="1:42" x14ac:dyDescent="0.2">
      <c r="A151" s="63" t="str">
        <f t="shared" si="24"/>
        <v/>
      </c>
      <c r="B151" s="133"/>
      <c r="C151" s="133"/>
      <c r="D151" s="135"/>
      <c r="E151" s="135"/>
      <c r="F151" s="137"/>
      <c r="AA151" s="116" t="str">
        <f t="shared" si="23"/>
        <v>00000000000000</v>
      </c>
      <c r="AB151" s="117" t="str">
        <f t="shared" si="25"/>
        <v>000000000000</v>
      </c>
      <c r="AC151" s="118">
        <f t="shared" si="26"/>
        <v>1</v>
      </c>
      <c r="AD151" s="47">
        <v>2</v>
      </c>
      <c r="AE151" s="66">
        <f t="shared" si="29"/>
        <v>0</v>
      </c>
      <c r="AF151" s="66">
        <f t="shared" si="22"/>
        <v>0</v>
      </c>
      <c r="AG151" s="67" t="str">
        <f t="shared" si="30"/>
        <v>0000000000</v>
      </c>
      <c r="AH151" s="67" t="str">
        <f t="shared" si="31"/>
        <v>.00</v>
      </c>
      <c r="AI151" s="67" t="str">
        <f t="shared" si="27"/>
        <v>00</v>
      </c>
      <c r="AJ151" s="67" t="str">
        <f t="shared" si="32"/>
        <v>000000000000</v>
      </c>
      <c r="AK151" s="119"/>
      <c r="AL151" s="120"/>
      <c r="AP151" s="115" t="str">
        <f t="shared" si="28"/>
        <v/>
      </c>
    </row>
    <row r="152" spans="1:42" x14ac:dyDescent="0.2">
      <c r="A152" s="63" t="str">
        <f t="shared" si="24"/>
        <v/>
      </c>
      <c r="B152" s="133"/>
      <c r="C152" s="133"/>
      <c r="D152" s="135"/>
      <c r="E152" s="135"/>
      <c r="F152" s="137"/>
      <c r="AA152" s="116" t="str">
        <f t="shared" si="23"/>
        <v>00000000000000</v>
      </c>
      <c r="AB152" s="117" t="str">
        <f t="shared" si="25"/>
        <v>000000000000</v>
      </c>
      <c r="AC152" s="118">
        <f t="shared" si="26"/>
        <v>1</v>
      </c>
      <c r="AD152" s="47">
        <v>2</v>
      </c>
      <c r="AE152" s="66">
        <f t="shared" si="29"/>
        <v>0</v>
      </c>
      <c r="AF152" s="66">
        <f t="shared" si="22"/>
        <v>0</v>
      </c>
      <c r="AG152" s="67" t="str">
        <f t="shared" si="30"/>
        <v>0000000000</v>
      </c>
      <c r="AH152" s="67" t="str">
        <f t="shared" si="31"/>
        <v>.00</v>
      </c>
      <c r="AI152" s="67" t="str">
        <f t="shared" si="27"/>
        <v>00</v>
      </c>
      <c r="AJ152" s="67" t="str">
        <f t="shared" si="32"/>
        <v>000000000000</v>
      </c>
      <c r="AK152" s="119"/>
      <c r="AL152" s="120"/>
      <c r="AP152" s="115" t="str">
        <f t="shared" si="28"/>
        <v/>
      </c>
    </row>
    <row r="153" spans="1:42" x14ac:dyDescent="0.2">
      <c r="A153" s="63" t="str">
        <f t="shared" si="24"/>
        <v/>
      </c>
      <c r="B153" s="133"/>
      <c r="C153" s="133"/>
      <c r="D153" s="135"/>
      <c r="E153" s="135"/>
      <c r="F153" s="137"/>
      <c r="AA153" s="116" t="str">
        <f t="shared" si="23"/>
        <v>00000000000000</v>
      </c>
      <c r="AB153" s="117" t="str">
        <f t="shared" si="25"/>
        <v>000000000000</v>
      </c>
      <c r="AC153" s="118">
        <f t="shared" si="26"/>
        <v>1</v>
      </c>
      <c r="AD153" s="47">
        <v>2</v>
      </c>
      <c r="AE153" s="66">
        <f t="shared" si="29"/>
        <v>0</v>
      </c>
      <c r="AF153" s="66">
        <f t="shared" si="22"/>
        <v>0</v>
      </c>
      <c r="AG153" s="67" t="str">
        <f t="shared" si="30"/>
        <v>0000000000</v>
      </c>
      <c r="AH153" s="67" t="str">
        <f t="shared" si="31"/>
        <v>.00</v>
      </c>
      <c r="AI153" s="67" t="str">
        <f t="shared" si="27"/>
        <v>00</v>
      </c>
      <c r="AJ153" s="67" t="str">
        <f t="shared" si="32"/>
        <v>000000000000</v>
      </c>
      <c r="AK153" s="119"/>
      <c r="AL153" s="120"/>
      <c r="AP153" s="115" t="str">
        <f t="shared" si="28"/>
        <v/>
      </c>
    </row>
    <row r="154" spans="1:42" x14ac:dyDescent="0.2">
      <c r="A154" s="63" t="str">
        <f t="shared" si="24"/>
        <v/>
      </c>
      <c r="B154" s="133"/>
      <c r="C154" s="133"/>
      <c r="D154" s="135"/>
      <c r="E154" s="135"/>
      <c r="F154" s="137"/>
      <c r="AA154" s="116" t="str">
        <f t="shared" si="23"/>
        <v>00000000000000</v>
      </c>
      <c r="AB154" s="117" t="str">
        <f t="shared" si="25"/>
        <v>000000000000</v>
      </c>
      <c r="AC154" s="118">
        <f t="shared" si="26"/>
        <v>1</v>
      </c>
      <c r="AD154" s="47">
        <v>2</v>
      </c>
      <c r="AE154" s="66">
        <f t="shared" si="29"/>
        <v>0</v>
      </c>
      <c r="AF154" s="66">
        <f t="shared" si="22"/>
        <v>0</v>
      </c>
      <c r="AG154" s="67" t="str">
        <f t="shared" si="30"/>
        <v>0000000000</v>
      </c>
      <c r="AH154" s="67" t="str">
        <f t="shared" si="31"/>
        <v>.00</v>
      </c>
      <c r="AI154" s="67" t="str">
        <f t="shared" si="27"/>
        <v>00</v>
      </c>
      <c r="AJ154" s="67" t="str">
        <f t="shared" si="32"/>
        <v>000000000000</v>
      </c>
      <c r="AK154" s="119"/>
      <c r="AL154" s="120"/>
      <c r="AP154" s="115" t="str">
        <f t="shared" si="28"/>
        <v/>
      </c>
    </row>
    <row r="155" spans="1:42" x14ac:dyDescent="0.2">
      <c r="A155" s="63" t="str">
        <f t="shared" si="24"/>
        <v/>
      </c>
      <c r="B155" s="133"/>
      <c r="C155" s="133"/>
      <c r="D155" s="135"/>
      <c r="E155" s="135"/>
      <c r="F155" s="137"/>
      <c r="AA155" s="116" t="str">
        <f t="shared" si="23"/>
        <v>00000000000000</v>
      </c>
      <c r="AB155" s="117" t="str">
        <f t="shared" si="25"/>
        <v>000000000000</v>
      </c>
      <c r="AC155" s="118">
        <f t="shared" si="26"/>
        <v>1</v>
      </c>
      <c r="AD155" s="47">
        <v>2</v>
      </c>
      <c r="AE155" s="66">
        <f t="shared" si="29"/>
        <v>0</v>
      </c>
      <c r="AF155" s="66">
        <f t="shared" si="22"/>
        <v>0</v>
      </c>
      <c r="AG155" s="67" t="str">
        <f t="shared" si="30"/>
        <v>0000000000</v>
      </c>
      <c r="AH155" s="67" t="str">
        <f t="shared" si="31"/>
        <v>.00</v>
      </c>
      <c r="AI155" s="67" t="str">
        <f t="shared" si="27"/>
        <v>00</v>
      </c>
      <c r="AJ155" s="67" t="str">
        <f t="shared" si="32"/>
        <v>000000000000</v>
      </c>
      <c r="AK155" s="119"/>
      <c r="AL155" s="120"/>
      <c r="AP155" s="115" t="str">
        <f t="shared" si="28"/>
        <v/>
      </c>
    </row>
    <row r="156" spans="1:42" x14ac:dyDescent="0.2">
      <c r="A156" s="63" t="str">
        <f t="shared" si="24"/>
        <v/>
      </c>
      <c r="B156" s="133"/>
      <c r="C156" s="133"/>
      <c r="D156" s="135"/>
      <c r="E156" s="135"/>
      <c r="F156" s="137"/>
      <c r="AA156" s="116" t="str">
        <f t="shared" si="23"/>
        <v>00000000000000</v>
      </c>
      <c r="AB156" s="117" t="str">
        <f t="shared" si="25"/>
        <v>000000000000</v>
      </c>
      <c r="AC156" s="118">
        <f t="shared" si="26"/>
        <v>1</v>
      </c>
      <c r="AD156" s="47">
        <v>2</v>
      </c>
      <c r="AE156" s="66">
        <f t="shared" si="29"/>
        <v>0</v>
      </c>
      <c r="AF156" s="66">
        <f t="shared" si="22"/>
        <v>0</v>
      </c>
      <c r="AG156" s="67" t="str">
        <f t="shared" si="30"/>
        <v>0000000000</v>
      </c>
      <c r="AH156" s="67" t="str">
        <f t="shared" si="31"/>
        <v>.00</v>
      </c>
      <c r="AI156" s="67" t="str">
        <f t="shared" si="27"/>
        <v>00</v>
      </c>
      <c r="AJ156" s="67" t="str">
        <f t="shared" si="32"/>
        <v>000000000000</v>
      </c>
      <c r="AK156" s="119"/>
      <c r="AL156" s="120"/>
      <c r="AP156" s="115" t="str">
        <f t="shared" si="28"/>
        <v/>
      </c>
    </row>
    <row r="157" spans="1:42" x14ac:dyDescent="0.2">
      <c r="A157" s="63" t="str">
        <f t="shared" si="24"/>
        <v/>
      </c>
      <c r="B157" s="133"/>
      <c r="C157" s="133"/>
      <c r="D157" s="135"/>
      <c r="E157" s="135"/>
      <c r="F157" s="137"/>
      <c r="AA157" s="116" t="str">
        <f t="shared" si="23"/>
        <v>00000000000000</v>
      </c>
      <c r="AB157" s="117" t="str">
        <f t="shared" si="25"/>
        <v>000000000000</v>
      </c>
      <c r="AC157" s="118">
        <f t="shared" si="26"/>
        <v>1</v>
      </c>
      <c r="AD157" s="47">
        <v>2</v>
      </c>
      <c r="AE157" s="66">
        <f t="shared" si="29"/>
        <v>0</v>
      </c>
      <c r="AF157" s="66">
        <f t="shared" si="22"/>
        <v>0</v>
      </c>
      <c r="AG157" s="67" t="str">
        <f t="shared" si="30"/>
        <v>0000000000</v>
      </c>
      <c r="AH157" s="67" t="str">
        <f t="shared" si="31"/>
        <v>.00</v>
      </c>
      <c r="AI157" s="67" t="str">
        <f t="shared" si="27"/>
        <v>00</v>
      </c>
      <c r="AJ157" s="67" t="str">
        <f t="shared" si="32"/>
        <v>000000000000</v>
      </c>
      <c r="AK157" s="119"/>
      <c r="AL157" s="120"/>
      <c r="AP157" s="115" t="str">
        <f t="shared" si="28"/>
        <v/>
      </c>
    </row>
    <row r="158" spans="1:42" x14ac:dyDescent="0.2">
      <c r="A158" s="63" t="str">
        <f t="shared" si="24"/>
        <v/>
      </c>
      <c r="B158" s="133"/>
      <c r="C158" s="133"/>
      <c r="D158" s="135"/>
      <c r="E158" s="135"/>
      <c r="F158" s="137"/>
      <c r="AA158" s="116" t="str">
        <f t="shared" si="23"/>
        <v>00000000000000</v>
      </c>
      <c r="AB158" s="117" t="str">
        <f t="shared" si="25"/>
        <v>000000000000</v>
      </c>
      <c r="AC158" s="118">
        <f t="shared" si="26"/>
        <v>1</v>
      </c>
      <c r="AD158" s="47">
        <v>2</v>
      </c>
      <c r="AE158" s="66">
        <f t="shared" si="29"/>
        <v>0</v>
      </c>
      <c r="AF158" s="66">
        <f t="shared" si="22"/>
        <v>0</v>
      </c>
      <c r="AG158" s="67" t="str">
        <f t="shared" si="30"/>
        <v>0000000000</v>
      </c>
      <c r="AH158" s="67" t="str">
        <f t="shared" si="31"/>
        <v>.00</v>
      </c>
      <c r="AI158" s="67" t="str">
        <f t="shared" si="27"/>
        <v>00</v>
      </c>
      <c r="AJ158" s="67" t="str">
        <f t="shared" si="32"/>
        <v>000000000000</v>
      </c>
      <c r="AK158" s="119"/>
      <c r="AL158" s="120"/>
      <c r="AP158" s="115" t="str">
        <f t="shared" si="28"/>
        <v/>
      </c>
    </row>
    <row r="159" spans="1:42" x14ac:dyDescent="0.2">
      <c r="A159" s="63" t="str">
        <f t="shared" si="24"/>
        <v/>
      </c>
      <c r="B159" s="133"/>
      <c r="C159" s="133"/>
      <c r="D159" s="135"/>
      <c r="E159" s="135"/>
      <c r="F159" s="137"/>
      <c r="AA159" s="116" t="str">
        <f t="shared" si="23"/>
        <v>00000000000000</v>
      </c>
      <c r="AB159" s="117" t="str">
        <f t="shared" si="25"/>
        <v>000000000000</v>
      </c>
      <c r="AC159" s="118">
        <f t="shared" si="26"/>
        <v>1</v>
      </c>
      <c r="AD159" s="47">
        <v>2</v>
      </c>
      <c r="AE159" s="66">
        <f t="shared" si="29"/>
        <v>0</v>
      </c>
      <c r="AF159" s="66">
        <f t="shared" si="22"/>
        <v>0</v>
      </c>
      <c r="AG159" s="67" t="str">
        <f t="shared" si="30"/>
        <v>0000000000</v>
      </c>
      <c r="AH159" s="67" t="str">
        <f t="shared" si="31"/>
        <v>.00</v>
      </c>
      <c r="AI159" s="67" t="str">
        <f t="shared" si="27"/>
        <v>00</v>
      </c>
      <c r="AJ159" s="67" t="str">
        <f t="shared" si="32"/>
        <v>000000000000</v>
      </c>
      <c r="AK159" s="119"/>
      <c r="AL159" s="120"/>
      <c r="AP159" s="115" t="str">
        <f t="shared" si="28"/>
        <v/>
      </c>
    </row>
    <row r="160" spans="1:42" x14ac:dyDescent="0.2">
      <c r="A160" s="63" t="str">
        <f t="shared" si="24"/>
        <v/>
      </c>
      <c r="B160" s="133"/>
      <c r="C160" s="133"/>
      <c r="D160" s="135"/>
      <c r="E160" s="135"/>
      <c r="F160" s="137"/>
      <c r="AA160" s="116" t="str">
        <f t="shared" si="23"/>
        <v>00000000000000</v>
      </c>
      <c r="AB160" s="117" t="str">
        <f t="shared" si="25"/>
        <v>000000000000</v>
      </c>
      <c r="AC160" s="118">
        <f t="shared" si="26"/>
        <v>1</v>
      </c>
      <c r="AD160" s="47">
        <v>2</v>
      </c>
      <c r="AE160" s="66">
        <f t="shared" si="29"/>
        <v>0</v>
      </c>
      <c r="AF160" s="66">
        <f t="shared" si="22"/>
        <v>0</v>
      </c>
      <c r="AG160" s="67" t="str">
        <f t="shared" si="30"/>
        <v>0000000000</v>
      </c>
      <c r="AH160" s="67" t="str">
        <f t="shared" si="31"/>
        <v>.00</v>
      </c>
      <c r="AI160" s="67" t="str">
        <f t="shared" si="27"/>
        <v>00</v>
      </c>
      <c r="AJ160" s="67" t="str">
        <f t="shared" si="32"/>
        <v>000000000000</v>
      </c>
      <c r="AK160" s="119"/>
      <c r="AL160" s="120"/>
      <c r="AP160" s="115" t="str">
        <f t="shared" si="28"/>
        <v/>
      </c>
    </row>
    <row r="161" spans="1:42" x14ac:dyDescent="0.2">
      <c r="A161" s="63" t="str">
        <f t="shared" si="24"/>
        <v/>
      </c>
      <c r="B161" s="133"/>
      <c r="C161" s="133"/>
      <c r="D161" s="135"/>
      <c r="E161" s="135"/>
      <c r="F161" s="137"/>
      <c r="AA161" s="116" t="str">
        <f t="shared" si="23"/>
        <v>00000000000000</v>
      </c>
      <c r="AB161" s="117" t="str">
        <f t="shared" si="25"/>
        <v>000000000000</v>
      </c>
      <c r="AC161" s="118">
        <f t="shared" si="26"/>
        <v>1</v>
      </c>
      <c r="AD161" s="47">
        <v>2</v>
      </c>
      <c r="AE161" s="66">
        <f t="shared" si="29"/>
        <v>0</v>
      </c>
      <c r="AF161" s="66">
        <f t="shared" si="22"/>
        <v>0</v>
      </c>
      <c r="AG161" s="67" t="str">
        <f t="shared" si="30"/>
        <v>0000000000</v>
      </c>
      <c r="AH161" s="67" t="str">
        <f t="shared" si="31"/>
        <v>.00</v>
      </c>
      <c r="AI161" s="67" t="str">
        <f t="shared" si="27"/>
        <v>00</v>
      </c>
      <c r="AJ161" s="67" t="str">
        <f t="shared" si="32"/>
        <v>000000000000</v>
      </c>
      <c r="AK161" s="119"/>
      <c r="AL161" s="120"/>
      <c r="AP161" s="115" t="str">
        <f t="shared" si="28"/>
        <v/>
      </c>
    </row>
    <row r="162" spans="1:42" x14ac:dyDescent="0.2">
      <c r="A162" s="63" t="str">
        <f t="shared" si="24"/>
        <v/>
      </c>
      <c r="B162" s="133"/>
      <c r="C162" s="133"/>
      <c r="D162" s="135"/>
      <c r="E162" s="135"/>
      <c r="F162" s="137"/>
      <c r="AA162" s="116" t="str">
        <f t="shared" si="23"/>
        <v>00000000000000</v>
      </c>
      <c r="AB162" s="117" t="str">
        <f t="shared" si="25"/>
        <v>000000000000</v>
      </c>
      <c r="AC162" s="118">
        <f t="shared" si="26"/>
        <v>1</v>
      </c>
      <c r="AD162" s="47">
        <v>2</v>
      </c>
      <c r="AE162" s="66">
        <f t="shared" si="29"/>
        <v>0</v>
      </c>
      <c r="AF162" s="66">
        <f t="shared" si="22"/>
        <v>0</v>
      </c>
      <c r="AG162" s="67" t="str">
        <f t="shared" si="30"/>
        <v>0000000000</v>
      </c>
      <c r="AH162" s="67" t="str">
        <f t="shared" si="31"/>
        <v>.00</v>
      </c>
      <c r="AI162" s="67" t="str">
        <f t="shared" si="27"/>
        <v>00</v>
      </c>
      <c r="AJ162" s="67" t="str">
        <f t="shared" si="32"/>
        <v>000000000000</v>
      </c>
      <c r="AK162" s="119"/>
      <c r="AL162" s="120"/>
      <c r="AP162" s="115" t="str">
        <f t="shared" si="28"/>
        <v/>
      </c>
    </row>
    <row r="163" spans="1:42" x14ac:dyDescent="0.2">
      <c r="A163" s="63" t="str">
        <f t="shared" si="24"/>
        <v/>
      </c>
      <c r="B163" s="133"/>
      <c r="C163" s="133"/>
      <c r="D163" s="135"/>
      <c r="E163" s="135"/>
      <c r="F163" s="137"/>
      <c r="AA163" s="116" t="str">
        <f t="shared" si="23"/>
        <v>00000000000000</v>
      </c>
      <c r="AB163" s="117" t="str">
        <f t="shared" si="25"/>
        <v>000000000000</v>
      </c>
      <c r="AC163" s="118">
        <f t="shared" si="26"/>
        <v>1</v>
      </c>
      <c r="AD163" s="47">
        <v>2</v>
      </c>
      <c r="AE163" s="66">
        <f t="shared" si="29"/>
        <v>0</v>
      </c>
      <c r="AF163" s="66">
        <f t="shared" si="22"/>
        <v>0</v>
      </c>
      <c r="AG163" s="67" t="str">
        <f t="shared" si="30"/>
        <v>0000000000</v>
      </c>
      <c r="AH163" s="67" t="str">
        <f t="shared" si="31"/>
        <v>.00</v>
      </c>
      <c r="AI163" s="67" t="str">
        <f t="shared" si="27"/>
        <v>00</v>
      </c>
      <c r="AJ163" s="67" t="str">
        <f t="shared" si="32"/>
        <v>000000000000</v>
      </c>
      <c r="AK163" s="119"/>
      <c r="AL163" s="120"/>
      <c r="AP163" s="115" t="str">
        <f t="shared" si="28"/>
        <v/>
      </c>
    </row>
    <row r="164" spans="1:42" x14ac:dyDescent="0.2">
      <c r="A164" s="63" t="str">
        <f t="shared" si="24"/>
        <v/>
      </c>
      <c r="B164" s="133"/>
      <c r="C164" s="133"/>
      <c r="D164" s="135"/>
      <c r="E164" s="135"/>
      <c r="F164" s="137"/>
      <c r="AA164" s="116" t="str">
        <f t="shared" si="23"/>
        <v>00000000000000</v>
      </c>
      <c r="AB164" s="117" t="str">
        <f t="shared" si="25"/>
        <v>000000000000</v>
      </c>
      <c r="AC164" s="118">
        <f t="shared" si="26"/>
        <v>1</v>
      </c>
      <c r="AD164" s="47">
        <v>2</v>
      </c>
      <c r="AE164" s="66">
        <f t="shared" si="29"/>
        <v>0</v>
      </c>
      <c r="AF164" s="66">
        <f t="shared" si="22"/>
        <v>0</v>
      </c>
      <c r="AG164" s="67" t="str">
        <f t="shared" si="30"/>
        <v>0000000000</v>
      </c>
      <c r="AH164" s="67" t="str">
        <f t="shared" si="31"/>
        <v>.00</v>
      </c>
      <c r="AI164" s="67" t="str">
        <f t="shared" si="27"/>
        <v>00</v>
      </c>
      <c r="AJ164" s="67" t="str">
        <f t="shared" si="32"/>
        <v>000000000000</v>
      </c>
      <c r="AK164" s="119"/>
      <c r="AL164" s="120"/>
      <c r="AP164" s="115" t="str">
        <f t="shared" si="28"/>
        <v/>
      </c>
    </row>
    <row r="165" spans="1:42" x14ac:dyDescent="0.2">
      <c r="A165" s="63" t="str">
        <f t="shared" si="24"/>
        <v/>
      </c>
      <c r="B165" s="133"/>
      <c r="C165" s="133"/>
      <c r="D165" s="135"/>
      <c r="E165" s="135"/>
      <c r="F165" s="137"/>
      <c r="AA165" s="116" t="str">
        <f t="shared" si="23"/>
        <v>00000000000000</v>
      </c>
      <c r="AB165" s="117" t="str">
        <f t="shared" si="25"/>
        <v>000000000000</v>
      </c>
      <c r="AC165" s="118">
        <f t="shared" si="26"/>
        <v>1</v>
      </c>
      <c r="AD165" s="47">
        <v>2</v>
      </c>
      <c r="AE165" s="66">
        <f t="shared" si="29"/>
        <v>0</v>
      </c>
      <c r="AF165" s="66">
        <f t="shared" si="22"/>
        <v>0</v>
      </c>
      <c r="AG165" s="67" t="str">
        <f t="shared" si="30"/>
        <v>0000000000</v>
      </c>
      <c r="AH165" s="67" t="str">
        <f t="shared" si="31"/>
        <v>.00</v>
      </c>
      <c r="AI165" s="67" t="str">
        <f t="shared" si="27"/>
        <v>00</v>
      </c>
      <c r="AJ165" s="67" t="str">
        <f t="shared" si="32"/>
        <v>000000000000</v>
      </c>
      <c r="AK165" s="119"/>
      <c r="AL165" s="120"/>
      <c r="AP165" s="115" t="str">
        <f t="shared" si="28"/>
        <v/>
      </c>
    </row>
    <row r="166" spans="1:42" x14ac:dyDescent="0.2">
      <c r="A166" s="63" t="str">
        <f t="shared" si="24"/>
        <v/>
      </c>
      <c r="B166" s="133"/>
      <c r="C166" s="133"/>
      <c r="D166" s="135"/>
      <c r="E166" s="135"/>
      <c r="F166" s="137"/>
      <c r="AA166" s="116" t="str">
        <f t="shared" si="23"/>
        <v>00000000000000</v>
      </c>
      <c r="AB166" s="117" t="str">
        <f t="shared" si="25"/>
        <v>000000000000</v>
      </c>
      <c r="AC166" s="118">
        <f t="shared" si="26"/>
        <v>1</v>
      </c>
      <c r="AD166" s="47">
        <v>2</v>
      </c>
      <c r="AE166" s="66">
        <f t="shared" si="29"/>
        <v>0</v>
      </c>
      <c r="AF166" s="66">
        <f t="shared" si="22"/>
        <v>0</v>
      </c>
      <c r="AG166" s="67" t="str">
        <f t="shared" si="30"/>
        <v>0000000000</v>
      </c>
      <c r="AH166" s="67" t="str">
        <f t="shared" si="31"/>
        <v>.00</v>
      </c>
      <c r="AI166" s="67" t="str">
        <f t="shared" si="27"/>
        <v>00</v>
      </c>
      <c r="AJ166" s="67" t="str">
        <f t="shared" si="32"/>
        <v>000000000000</v>
      </c>
      <c r="AK166" s="119"/>
      <c r="AL166" s="120"/>
      <c r="AP166" s="115" t="str">
        <f t="shared" si="28"/>
        <v/>
      </c>
    </row>
    <row r="167" spans="1:42" x14ac:dyDescent="0.2">
      <c r="A167" s="63" t="str">
        <f t="shared" si="24"/>
        <v/>
      </c>
      <c r="B167" s="133"/>
      <c r="C167" s="133"/>
      <c r="D167" s="135"/>
      <c r="E167" s="135"/>
      <c r="F167" s="137"/>
      <c r="AA167" s="116" t="str">
        <f t="shared" si="23"/>
        <v>00000000000000</v>
      </c>
      <c r="AB167" s="117" t="str">
        <f t="shared" si="25"/>
        <v>000000000000</v>
      </c>
      <c r="AC167" s="118">
        <f t="shared" si="26"/>
        <v>1</v>
      </c>
      <c r="AD167" s="47">
        <v>2</v>
      </c>
      <c r="AE167" s="66">
        <f t="shared" si="29"/>
        <v>0</v>
      </c>
      <c r="AF167" s="66">
        <f t="shared" si="22"/>
        <v>0</v>
      </c>
      <c r="AG167" s="67" t="str">
        <f t="shared" si="30"/>
        <v>0000000000</v>
      </c>
      <c r="AH167" s="67" t="str">
        <f t="shared" si="31"/>
        <v>.00</v>
      </c>
      <c r="AI167" s="67" t="str">
        <f t="shared" si="27"/>
        <v>00</v>
      </c>
      <c r="AJ167" s="67" t="str">
        <f t="shared" si="32"/>
        <v>000000000000</v>
      </c>
      <c r="AK167" s="119"/>
      <c r="AL167" s="120"/>
      <c r="AP167" s="115" t="str">
        <f t="shared" si="28"/>
        <v/>
      </c>
    </row>
    <row r="168" spans="1:42" x14ac:dyDescent="0.2">
      <c r="A168" s="63" t="str">
        <f t="shared" si="24"/>
        <v/>
      </c>
      <c r="B168" s="133"/>
      <c r="C168" s="133"/>
      <c r="D168" s="135"/>
      <c r="E168" s="135"/>
      <c r="F168" s="137"/>
      <c r="AA168" s="116" t="str">
        <f t="shared" si="23"/>
        <v>00000000000000</v>
      </c>
      <c r="AB168" s="117" t="str">
        <f t="shared" si="25"/>
        <v>000000000000</v>
      </c>
      <c r="AC168" s="118">
        <f t="shared" si="26"/>
        <v>1</v>
      </c>
      <c r="AD168" s="47">
        <v>2</v>
      </c>
      <c r="AE168" s="66">
        <f t="shared" si="29"/>
        <v>0</v>
      </c>
      <c r="AF168" s="66">
        <f t="shared" si="22"/>
        <v>0</v>
      </c>
      <c r="AG168" s="67" t="str">
        <f t="shared" si="30"/>
        <v>0000000000</v>
      </c>
      <c r="AH168" s="67" t="str">
        <f t="shared" si="31"/>
        <v>.00</v>
      </c>
      <c r="AI168" s="67" t="str">
        <f t="shared" si="27"/>
        <v>00</v>
      </c>
      <c r="AJ168" s="67" t="str">
        <f t="shared" si="32"/>
        <v>000000000000</v>
      </c>
      <c r="AK168" s="119"/>
      <c r="AL168" s="120"/>
      <c r="AP168" s="115" t="str">
        <f t="shared" si="28"/>
        <v/>
      </c>
    </row>
    <row r="169" spans="1:42" x14ac:dyDescent="0.2">
      <c r="A169" s="63" t="str">
        <f t="shared" si="24"/>
        <v/>
      </c>
      <c r="B169" s="133"/>
      <c r="C169" s="133"/>
      <c r="D169" s="135"/>
      <c r="E169" s="135"/>
      <c r="F169" s="137"/>
      <c r="AA169" s="116" t="str">
        <f t="shared" si="23"/>
        <v>00000000000000</v>
      </c>
      <c r="AB169" s="117" t="str">
        <f t="shared" si="25"/>
        <v>000000000000</v>
      </c>
      <c r="AC169" s="118">
        <f t="shared" si="26"/>
        <v>1</v>
      </c>
      <c r="AD169" s="47">
        <v>2</v>
      </c>
      <c r="AE169" s="66">
        <f t="shared" si="29"/>
        <v>0</v>
      </c>
      <c r="AF169" s="66">
        <f t="shared" si="22"/>
        <v>0</v>
      </c>
      <c r="AG169" s="67" t="str">
        <f t="shared" si="30"/>
        <v>0000000000</v>
      </c>
      <c r="AH169" s="67" t="str">
        <f t="shared" si="31"/>
        <v>.00</v>
      </c>
      <c r="AI169" s="67" t="str">
        <f t="shared" si="27"/>
        <v>00</v>
      </c>
      <c r="AJ169" s="67" t="str">
        <f t="shared" si="32"/>
        <v>000000000000</v>
      </c>
      <c r="AK169" s="119"/>
      <c r="AL169" s="120"/>
      <c r="AP169" s="115" t="str">
        <f t="shared" si="28"/>
        <v/>
      </c>
    </row>
    <row r="170" spans="1:42" x14ac:dyDescent="0.2">
      <c r="A170" s="63" t="str">
        <f t="shared" si="24"/>
        <v/>
      </c>
      <c r="B170" s="133"/>
      <c r="C170" s="133"/>
      <c r="D170" s="135"/>
      <c r="E170" s="135"/>
      <c r="F170" s="137"/>
      <c r="AA170" s="116" t="str">
        <f t="shared" si="23"/>
        <v>00000000000000</v>
      </c>
      <c r="AB170" s="117" t="str">
        <f t="shared" si="25"/>
        <v>000000000000</v>
      </c>
      <c r="AC170" s="118">
        <f t="shared" si="26"/>
        <v>1</v>
      </c>
      <c r="AD170" s="47">
        <v>2</v>
      </c>
      <c r="AE170" s="66">
        <f t="shared" si="29"/>
        <v>0</v>
      </c>
      <c r="AF170" s="66">
        <f t="shared" si="22"/>
        <v>0</v>
      </c>
      <c r="AG170" s="67" t="str">
        <f t="shared" si="30"/>
        <v>0000000000</v>
      </c>
      <c r="AH170" s="67" t="str">
        <f t="shared" si="31"/>
        <v>.00</v>
      </c>
      <c r="AI170" s="67" t="str">
        <f t="shared" si="27"/>
        <v>00</v>
      </c>
      <c r="AJ170" s="67" t="str">
        <f t="shared" si="32"/>
        <v>000000000000</v>
      </c>
      <c r="AK170" s="119"/>
      <c r="AL170" s="120"/>
      <c r="AP170" s="115" t="str">
        <f t="shared" si="28"/>
        <v/>
      </c>
    </row>
    <row r="171" spans="1:42" x14ac:dyDescent="0.2">
      <c r="A171" s="63" t="str">
        <f t="shared" si="24"/>
        <v/>
      </c>
      <c r="B171" s="133"/>
      <c r="C171" s="133"/>
      <c r="D171" s="135"/>
      <c r="E171" s="135"/>
      <c r="F171" s="137"/>
      <c r="AA171" s="116" t="str">
        <f t="shared" si="23"/>
        <v>00000000000000</v>
      </c>
      <c r="AB171" s="117" t="str">
        <f t="shared" si="25"/>
        <v>000000000000</v>
      </c>
      <c r="AC171" s="118">
        <f t="shared" si="26"/>
        <v>1</v>
      </c>
      <c r="AD171" s="47">
        <v>2</v>
      </c>
      <c r="AE171" s="66">
        <f t="shared" si="29"/>
        <v>0</v>
      </c>
      <c r="AF171" s="66">
        <f t="shared" si="22"/>
        <v>0</v>
      </c>
      <c r="AG171" s="67" t="str">
        <f t="shared" si="30"/>
        <v>0000000000</v>
      </c>
      <c r="AH171" s="67" t="str">
        <f t="shared" si="31"/>
        <v>.00</v>
      </c>
      <c r="AI171" s="67" t="str">
        <f t="shared" si="27"/>
        <v>00</v>
      </c>
      <c r="AJ171" s="67" t="str">
        <f t="shared" si="32"/>
        <v>000000000000</v>
      </c>
      <c r="AK171" s="119"/>
      <c r="AL171" s="120"/>
      <c r="AP171" s="115" t="str">
        <f t="shared" si="28"/>
        <v/>
      </c>
    </row>
    <row r="172" spans="1:42" x14ac:dyDescent="0.2">
      <c r="A172" s="63" t="str">
        <f t="shared" si="24"/>
        <v/>
      </c>
      <c r="B172" s="133"/>
      <c r="C172" s="133"/>
      <c r="D172" s="135"/>
      <c r="E172" s="135"/>
      <c r="F172" s="137"/>
      <c r="AA172" s="116" t="str">
        <f t="shared" si="23"/>
        <v>00000000000000</v>
      </c>
      <c r="AB172" s="117" t="str">
        <f t="shared" si="25"/>
        <v>000000000000</v>
      </c>
      <c r="AC172" s="118">
        <f t="shared" si="26"/>
        <v>1</v>
      </c>
      <c r="AD172" s="47">
        <v>2</v>
      </c>
      <c r="AE172" s="66">
        <f t="shared" si="29"/>
        <v>0</v>
      </c>
      <c r="AF172" s="66">
        <f t="shared" si="22"/>
        <v>0</v>
      </c>
      <c r="AG172" s="67" t="str">
        <f t="shared" si="30"/>
        <v>0000000000</v>
      </c>
      <c r="AH172" s="67" t="str">
        <f t="shared" si="31"/>
        <v>.00</v>
      </c>
      <c r="AI172" s="67" t="str">
        <f t="shared" si="27"/>
        <v>00</v>
      </c>
      <c r="AJ172" s="67" t="str">
        <f t="shared" si="32"/>
        <v>000000000000</v>
      </c>
      <c r="AK172" s="119"/>
      <c r="AL172" s="120"/>
      <c r="AP172" s="115" t="str">
        <f t="shared" si="28"/>
        <v/>
      </c>
    </row>
    <row r="173" spans="1:42" x14ac:dyDescent="0.2">
      <c r="A173" s="63" t="str">
        <f t="shared" si="24"/>
        <v/>
      </c>
      <c r="B173" s="133"/>
      <c r="C173" s="133"/>
      <c r="D173" s="135"/>
      <c r="E173" s="135"/>
      <c r="F173" s="137"/>
      <c r="AA173" s="116" t="str">
        <f t="shared" si="23"/>
        <v>00000000000000</v>
      </c>
      <c r="AB173" s="117" t="str">
        <f t="shared" si="25"/>
        <v>000000000000</v>
      </c>
      <c r="AC173" s="118">
        <f t="shared" si="26"/>
        <v>1</v>
      </c>
      <c r="AD173" s="47">
        <v>2</v>
      </c>
      <c r="AE173" s="66">
        <f t="shared" si="29"/>
        <v>0</v>
      </c>
      <c r="AF173" s="66">
        <f t="shared" si="22"/>
        <v>0</v>
      </c>
      <c r="AG173" s="67" t="str">
        <f t="shared" si="30"/>
        <v>0000000000</v>
      </c>
      <c r="AH173" s="67" t="str">
        <f t="shared" si="31"/>
        <v>.00</v>
      </c>
      <c r="AI173" s="67" t="str">
        <f t="shared" si="27"/>
        <v>00</v>
      </c>
      <c r="AJ173" s="67" t="str">
        <f t="shared" si="32"/>
        <v>000000000000</v>
      </c>
      <c r="AK173" s="119"/>
      <c r="AL173" s="120"/>
      <c r="AP173" s="115" t="str">
        <f t="shared" si="28"/>
        <v/>
      </c>
    </row>
    <row r="174" spans="1:42" x14ac:dyDescent="0.2">
      <c r="A174" s="63" t="str">
        <f t="shared" si="24"/>
        <v/>
      </c>
      <c r="B174" s="133"/>
      <c r="C174" s="133"/>
      <c r="D174" s="135"/>
      <c r="E174" s="135"/>
      <c r="F174" s="137"/>
      <c r="AA174" s="116" t="str">
        <f t="shared" si="23"/>
        <v>00000000000000</v>
      </c>
      <c r="AB174" s="117" t="str">
        <f t="shared" si="25"/>
        <v>000000000000</v>
      </c>
      <c r="AC174" s="118">
        <f t="shared" si="26"/>
        <v>1</v>
      </c>
      <c r="AD174" s="47">
        <v>2</v>
      </c>
      <c r="AE174" s="66">
        <f t="shared" si="29"/>
        <v>0</v>
      </c>
      <c r="AF174" s="66">
        <f t="shared" si="22"/>
        <v>0</v>
      </c>
      <c r="AG174" s="67" t="str">
        <f t="shared" si="30"/>
        <v>0000000000</v>
      </c>
      <c r="AH174" s="67" t="str">
        <f t="shared" si="31"/>
        <v>.00</v>
      </c>
      <c r="AI174" s="67" t="str">
        <f t="shared" si="27"/>
        <v>00</v>
      </c>
      <c r="AJ174" s="67" t="str">
        <f t="shared" si="32"/>
        <v>000000000000</v>
      </c>
      <c r="AK174" s="119"/>
      <c r="AL174" s="120"/>
      <c r="AP174" s="115" t="str">
        <f t="shared" si="28"/>
        <v/>
      </c>
    </row>
    <row r="175" spans="1:42" x14ac:dyDescent="0.2">
      <c r="A175" s="63" t="str">
        <f t="shared" si="24"/>
        <v/>
      </c>
      <c r="B175" s="133"/>
      <c r="C175" s="133"/>
      <c r="D175" s="135"/>
      <c r="E175" s="135"/>
      <c r="F175" s="137"/>
      <c r="AA175" s="116" t="str">
        <f t="shared" si="23"/>
        <v>00000000000000</v>
      </c>
      <c r="AB175" s="117" t="str">
        <f t="shared" si="25"/>
        <v>000000000000</v>
      </c>
      <c r="AC175" s="118">
        <f t="shared" si="26"/>
        <v>1</v>
      </c>
      <c r="AD175" s="47">
        <v>2</v>
      </c>
      <c r="AE175" s="66">
        <f t="shared" si="29"/>
        <v>0</v>
      </c>
      <c r="AF175" s="66">
        <f t="shared" si="22"/>
        <v>0</v>
      </c>
      <c r="AG175" s="67" t="str">
        <f t="shared" si="30"/>
        <v>0000000000</v>
      </c>
      <c r="AH175" s="67" t="str">
        <f t="shared" si="31"/>
        <v>.00</v>
      </c>
      <c r="AI175" s="67" t="str">
        <f t="shared" si="27"/>
        <v>00</v>
      </c>
      <c r="AJ175" s="67" t="str">
        <f t="shared" si="32"/>
        <v>000000000000</v>
      </c>
      <c r="AK175" s="119"/>
      <c r="AL175" s="120"/>
      <c r="AP175" s="115" t="str">
        <f t="shared" si="28"/>
        <v/>
      </c>
    </row>
    <row r="176" spans="1:42" x14ac:dyDescent="0.2">
      <c r="A176" s="63" t="str">
        <f t="shared" si="24"/>
        <v/>
      </c>
      <c r="B176" s="133"/>
      <c r="C176" s="133"/>
      <c r="D176" s="135"/>
      <c r="E176" s="135"/>
      <c r="F176" s="137"/>
      <c r="AA176" s="116" t="str">
        <f t="shared" si="23"/>
        <v>00000000000000</v>
      </c>
      <c r="AB176" s="117" t="str">
        <f t="shared" si="25"/>
        <v>000000000000</v>
      </c>
      <c r="AC176" s="118">
        <f t="shared" si="26"/>
        <v>1</v>
      </c>
      <c r="AD176" s="47">
        <v>2</v>
      </c>
      <c r="AE176" s="66">
        <f t="shared" si="29"/>
        <v>0</v>
      </c>
      <c r="AF176" s="66">
        <f t="shared" si="22"/>
        <v>0</v>
      </c>
      <c r="AG176" s="67" t="str">
        <f t="shared" si="30"/>
        <v>0000000000</v>
      </c>
      <c r="AH176" s="67" t="str">
        <f t="shared" si="31"/>
        <v>.00</v>
      </c>
      <c r="AI176" s="67" t="str">
        <f t="shared" si="27"/>
        <v>00</v>
      </c>
      <c r="AJ176" s="67" t="str">
        <f t="shared" si="32"/>
        <v>000000000000</v>
      </c>
      <c r="AK176" s="119"/>
      <c r="AL176" s="120"/>
      <c r="AP176" s="115" t="str">
        <f t="shared" si="28"/>
        <v/>
      </c>
    </row>
    <row r="177" spans="1:42" x14ac:dyDescent="0.2">
      <c r="A177" s="63" t="str">
        <f t="shared" si="24"/>
        <v/>
      </c>
      <c r="B177" s="133"/>
      <c r="C177" s="133"/>
      <c r="D177" s="135"/>
      <c r="E177" s="135"/>
      <c r="F177" s="137"/>
      <c r="AA177" s="116" t="str">
        <f t="shared" si="23"/>
        <v>00000000000000</v>
      </c>
      <c r="AB177" s="117" t="str">
        <f t="shared" si="25"/>
        <v>000000000000</v>
      </c>
      <c r="AC177" s="118">
        <f t="shared" si="26"/>
        <v>1</v>
      </c>
      <c r="AD177" s="47">
        <v>2</v>
      </c>
      <c r="AE177" s="66">
        <f t="shared" si="29"/>
        <v>0</v>
      </c>
      <c r="AF177" s="66">
        <f t="shared" si="22"/>
        <v>0</v>
      </c>
      <c r="AG177" s="67" t="str">
        <f t="shared" si="30"/>
        <v>0000000000</v>
      </c>
      <c r="AH177" s="67" t="str">
        <f t="shared" si="31"/>
        <v>.00</v>
      </c>
      <c r="AI177" s="67" t="str">
        <f t="shared" si="27"/>
        <v>00</v>
      </c>
      <c r="AJ177" s="67" t="str">
        <f t="shared" si="32"/>
        <v>000000000000</v>
      </c>
      <c r="AK177" s="119"/>
      <c r="AL177" s="120"/>
      <c r="AP177" s="115" t="str">
        <f t="shared" si="28"/>
        <v/>
      </c>
    </row>
    <row r="178" spans="1:42" x14ac:dyDescent="0.2">
      <c r="A178" s="63" t="str">
        <f t="shared" si="24"/>
        <v/>
      </c>
      <c r="B178" s="133"/>
      <c r="C178" s="133"/>
      <c r="D178" s="135"/>
      <c r="E178" s="135"/>
      <c r="F178" s="137"/>
      <c r="AA178" s="116" t="str">
        <f t="shared" si="23"/>
        <v>00000000000000</v>
      </c>
      <c r="AB178" s="117" t="str">
        <f t="shared" si="25"/>
        <v>000000000000</v>
      </c>
      <c r="AC178" s="118">
        <f t="shared" si="26"/>
        <v>1</v>
      </c>
      <c r="AD178" s="47">
        <v>2</v>
      </c>
      <c r="AE178" s="66">
        <f t="shared" si="29"/>
        <v>0</v>
      </c>
      <c r="AF178" s="66">
        <f t="shared" si="22"/>
        <v>0</v>
      </c>
      <c r="AG178" s="67" t="str">
        <f t="shared" si="30"/>
        <v>0000000000</v>
      </c>
      <c r="AH178" s="67" t="str">
        <f t="shared" si="31"/>
        <v>.00</v>
      </c>
      <c r="AI178" s="67" t="str">
        <f t="shared" si="27"/>
        <v>00</v>
      </c>
      <c r="AJ178" s="67" t="str">
        <f t="shared" si="32"/>
        <v>000000000000</v>
      </c>
      <c r="AK178" s="119"/>
      <c r="AL178" s="120"/>
      <c r="AP178" s="115" t="str">
        <f t="shared" si="28"/>
        <v/>
      </c>
    </row>
    <row r="179" spans="1:42" x14ac:dyDescent="0.2">
      <c r="A179" s="63" t="str">
        <f t="shared" si="24"/>
        <v/>
      </c>
      <c r="B179" s="133"/>
      <c r="C179" s="133"/>
      <c r="D179" s="135"/>
      <c r="E179" s="135"/>
      <c r="F179" s="137"/>
      <c r="AA179" s="116" t="str">
        <f t="shared" si="23"/>
        <v>00000000000000</v>
      </c>
      <c r="AB179" s="117" t="str">
        <f t="shared" si="25"/>
        <v>000000000000</v>
      </c>
      <c r="AC179" s="118">
        <f t="shared" si="26"/>
        <v>1</v>
      </c>
      <c r="AD179" s="47">
        <v>2</v>
      </c>
      <c r="AE179" s="66">
        <f t="shared" si="29"/>
        <v>0</v>
      </c>
      <c r="AF179" s="66">
        <f t="shared" si="22"/>
        <v>0</v>
      </c>
      <c r="AG179" s="67" t="str">
        <f t="shared" si="30"/>
        <v>0000000000</v>
      </c>
      <c r="AH179" s="67" t="str">
        <f t="shared" si="31"/>
        <v>.00</v>
      </c>
      <c r="AI179" s="67" t="str">
        <f t="shared" si="27"/>
        <v>00</v>
      </c>
      <c r="AJ179" s="67" t="str">
        <f t="shared" si="32"/>
        <v>000000000000</v>
      </c>
      <c r="AK179" s="119"/>
      <c r="AL179" s="120"/>
      <c r="AP179" s="115" t="str">
        <f t="shared" si="28"/>
        <v/>
      </c>
    </row>
    <row r="180" spans="1:42" x14ac:dyDescent="0.2">
      <c r="A180" s="63" t="str">
        <f t="shared" si="24"/>
        <v/>
      </c>
      <c r="B180" s="133"/>
      <c r="C180" s="133"/>
      <c r="D180" s="135"/>
      <c r="E180" s="135"/>
      <c r="F180" s="137"/>
      <c r="AA180" s="116" t="str">
        <f t="shared" si="23"/>
        <v>00000000000000</v>
      </c>
      <c r="AB180" s="117" t="str">
        <f t="shared" si="25"/>
        <v>000000000000</v>
      </c>
      <c r="AC180" s="118">
        <f t="shared" si="26"/>
        <v>1</v>
      </c>
      <c r="AD180" s="47">
        <v>2</v>
      </c>
      <c r="AE180" s="66">
        <f t="shared" si="29"/>
        <v>0</v>
      </c>
      <c r="AF180" s="66">
        <f t="shared" si="22"/>
        <v>0</v>
      </c>
      <c r="AG180" s="67" t="str">
        <f t="shared" si="30"/>
        <v>0000000000</v>
      </c>
      <c r="AH180" s="67" t="str">
        <f t="shared" si="31"/>
        <v>.00</v>
      </c>
      <c r="AI180" s="67" t="str">
        <f t="shared" si="27"/>
        <v>00</v>
      </c>
      <c r="AJ180" s="67" t="str">
        <f t="shared" si="32"/>
        <v>000000000000</v>
      </c>
      <c r="AK180" s="119"/>
      <c r="AL180" s="120"/>
      <c r="AP180" s="115" t="str">
        <f t="shared" si="28"/>
        <v/>
      </c>
    </row>
    <row r="181" spans="1:42" x14ac:dyDescent="0.2">
      <c r="A181" s="63" t="str">
        <f t="shared" si="24"/>
        <v/>
      </c>
      <c r="B181" s="133"/>
      <c r="C181" s="133"/>
      <c r="D181" s="135"/>
      <c r="E181" s="135"/>
      <c r="F181" s="137"/>
      <c r="AA181" s="116" t="str">
        <f t="shared" si="23"/>
        <v>00000000000000</v>
      </c>
      <c r="AB181" s="117" t="str">
        <f t="shared" si="25"/>
        <v>000000000000</v>
      </c>
      <c r="AC181" s="118">
        <f t="shared" si="26"/>
        <v>1</v>
      </c>
      <c r="AD181" s="47">
        <v>2</v>
      </c>
      <c r="AE181" s="66">
        <f t="shared" si="29"/>
        <v>0</v>
      </c>
      <c r="AF181" s="66">
        <f t="shared" si="22"/>
        <v>0</v>
      </c>
      <c r="AG181" s="67" t="str">
        <f t="shared" si="30"/>
        <v>0000000000</v>
      </c>
      <c r="AH181" s="67" t="str">
        <f t="shared" si="31"/>
        <v>.00</v>
      </c>
      <c r="AI181" s="67" t="str">
        <f t="shared" si="27"/>
        <v>00</v>
      </c>
      <c r="AJ181" s="67" t="str">
        <f t="shared" si="32"/>
        <v>000000000000</v>
      </c>
      <c r="AK181" s="119"/>
      <c r="AL181" s="120"/>
      <c r="AP181" s="115" t="str">
        <f t="shared" si="28"/>
        <v/>
      </c>
    </row>
    <row r="182" spans="1:42" x14ac:dyDescent="0.2">
      <c r="A182" s="63" t="str">
        <f t="shared" si="24"/>
        <v/>
      </c>
      <c r="B182" s="133"/>
      <c r="C182" s="133"/>
      <c r="D182" s="135"/>
      <c r="E182" s="135"/>
      <c r="F182" s="137"/>
      <c r="AA182" s="116" t="str">
        <f t="shared" si="23"/>
        <v>00000000000000</v>
      </c>
      <c r="AB182" s="117" t="str">
        <f t="shared" si="25"/>
        <v>000000000000</v>
      </c>
      <c r="AC182" s="118">
        <f t="shared" si="26"/>
        <v>1</v>
      </c>
      <c r="AD182" s="47">
        <v>2</v>
      </c>
      <c r="AE182" s="66">
        <f t="shared" si="29"/>
        <v>0</v>
      </c>
      <c r="AF182" s="66">
        <f t="shared" si="22"/>
        <v>0</v>
      </c>
      <c r="AG182" s="67" t="str">
        <f t="shared" si="30"/>
        <v>0000000000</v>
      </c>
      <c r="AH182" s="67" t="str">
        <f t="shared" si="31"/>
        <v>.00</v>
      </c>
      <c r="AI182" s="67" t="str">
        <f t="shared" si="27"/>
        <v>00</v>
      </c>
      <c r="AJ182" s="67" t="str">
        <f t="shared" si="32"/>
        <v>000000000000</v>
      </c>
      <c r="AK182" s="119"/>
      <c r="AL182" s="120"/>
      <c r="AP182" s="115" t="str">
        <f t="shared" si="28"/>
        <v/>
      </c>
    </row>
    <row r="183" spans="1:42" x14ac:dyDescent="0.2">
      <c r="A183" s="63" t="str">
        <f t="shared" si="24"/>
        <v/>
      </c>
      <c r="B183" s="133"/>
      <c r="C183" s="133"/>
      <c r="D183" s="135"/>
      <c r="E183" s="135"/>
      <c r="F183" s="137"/>
      <c r="AA183" s="116" t="str">
        <f t="shared" si="23"/>
        <v>00000000000000</v>
      </c>
      <c r="AB183" s="117" t="str">
        <f t="shared" si="25"/>
        <v>000000000000</v>
      </c>
      <c r="AC183" s="118">
        <f t="shared" si="26"/>
        <v>1</v>
      </c>
      <c r="AD183" s="47">
        <v>2</v>
      </c>
      <c r="AE183" s="66">
        <f t="shared" si="29"/>
        <v>0</v>
      </c>
      <c r="AF183" s="66">
        <f t="shared" si="22"/>
        <v>0</v>
      </c>
      <c r="AG183" s="67" t="str">
        <f t="shared" si="30"/>
        <v>0000000000</v>
      </c>
      <c r="AH183" s="67" t="str">
        <f t="shared" si="31"/>
        <v>.00</v>
      </c>
      <c r="AI183" s="67" t="str">
        <f t="shared" si="27"/>
        <v>00</v>
      </c>
      <c r="AJ183" s="67" t="str">
        <f t="shared" si="32"/>
        <v>000000000000</v>
      </c>
      <c r="AK183" s="119"/>
      <c r="AL183" s="120"/>
      <c r="AP183" s="115" t="str">
        <f t="shared" si="28"/>
        <v/>
      </c>
    </row>
    <row r="184" spans="1:42" x14ac:dyDescent="0.2">
      <c r="A184" s="63" t="str">
        <f t="shared" si="24"/>
        <v/>
      </c>
      <c r="B184" s="133"/>
      <c r="C184" s="133"/>
      <c r="D184" s="135"/>
      <c r="E184" s="135"/>
      <c r="F184" s="137"/>
      <c r="AA184" s="116" t="str">
        <f t="shared" si="23"/>
        <v>00000000000000</v>
      </c>
      <c r="AB184" s="117" t="str">
        <f t="shared" si="25"/>
        <v>000000000000</v>
      </c>
      <c r="AC184" s="118">
        <f t="shared" si="26"/>
        <v>1</v>
      </c>
      <c r="AD184" s="47">
        <v>2</v>
      </c>
      <c r="AE184" s="66">
        <f t="shared" si="29"/>
        <v>0</v>
      </c>
      <c r="AF184" s="66">
        <f t="shared" si="22"/>
        <v>0</v>
      </c>
      <c r="AG184" s="67" t="str">
        <f t="shared" si="30"/>
        <v>0000000000</v>
      </c>
      <c r="AH184" s="67" t="str">
        <f t="shared" si="31"/>
        <v>.00</v>
      </c>
      <c r="AI184" s="67" t="str">
        <f t="shared" si="27"/>
        <v>00</v>
      </c>
      <c r="AJ184" s="67" t="str">
        <f t="shared" si="32"/>
        <v>000000000000</v>
      </c>
      <c r="AK184" s="119"/>
      <c r="AL184" s="120"/>
      <c r="AP184" s="115" t="str">
        <f t="shared" si="28"/>
        <v/>
      </c>
    </row>
    <row r="185" spans="1:42" x14ac:dyDescent="0.2">
      <c r="A185" s="63" t="str">
        <f t="shared" si="24"/>
        <v/>
      </c>
      <c r="B185" s="133"/>
      <c r="C185" s="133"/>
      <c r="D185" s="135"/>
      <c r="E185" s="135"/>
      <c r="F185" s="137"/>
      <c r="AA185" s="116" t="str">
        <f t="shared" si="23"/>
        <v>00000000000000</v>
      </c>
      <c r="AB185" s="117" t="str">
        <f t="shared" si="25"/>
        <v>000000000000</v>
      </c>
      <c r="AC185" s="118">
        <f t="shared" si="26"/>
        <v>1</v>
      </c>
      <c r="AD185" s="47">
        <v>2</v>
      </c>
      <c r="AE185" s="66">
        <f t="shared" si="29"/>
        <v>0</v>
      </c>
      <c r="AF185" s="66">
        <f t="shared" si="22"/>
        <v>0</v>
      </c>
      <c r="AG185" s="67" t="str">
        <f t="shared" si="30"/>
        <v>0000000000</v>
      </c>
      <c r="AH185" s="67" t="str">
        <f t="shared" si="31"/>
        <v>.00</v>
      </c>
      <c r="AI185" s="67" t="str">
        <f t="shared" si="27"/>
        <v>00</v>
      </c>
      <c r="AJ185" s="67" t="str">
        <f t="shared" si="32"/>
        <v>000000000000</v>
      </c>
      <c r="AK185" s="119"/>
      <c r="AL185" s="120"/>
      <c r="AP185" s="115" t="str">
        <f t="shared" si="28"/>
        <v/>
      </c>
    </row>
    <row r="186" spans="1:42" x14ac:dyDescent="0.2">
      <c r="A186" s="63" t="str">
        <f t="shared" si="24"/>
        <v/>
      </c>
      <c r="B186" s="133"/>
      <c r="C186" s="133"/>
      <c r="D186" s="135"/>
      <c r="E186" s="135"/>
      <c r="F186" s="137"/>
      <c r="AA186" s="116" t="str">
        <f t="shared" si="23"/>
        <v>00000000000000</v>
      </c>
      <c r="AB186" s="117" t="str">
        <f t="shared" si="25"/>
        <v>000000000000</v>
      </c>
      <c r="AC186" s="118">
        <f t="shared" si="26"/>
        <v>1</v>
      </c>
      <c r="AD186" s="47">
        <v>2</v>
      </c>
      <c r="AE186" s="66">
        <f t="shared" si="29"/>
        <v>0</v>
      </c>
      <c r="AF186" s="66">
        <f t="shared" si="22"/>
        <v>0</v>
      </c>
      <c r="AG186" s="67" t="str">
        <f t="shared" si="30"/>
        <v>0000000000</v>
      </c>
      <c r="AH186" s="67" t="str">
        <f t="shared" si="31"/>
        <v>.00</v>
      </c>
      <c r="AI186" s="67" t="str">
        <f t="shared" si="27"/>
        <v>00</v>
      </c>
      <c r="AJ186" s="67" t="str">
        <f t="shared" si="32"/>
        <v>000000000000</v>
      </c>
      <c r="AK186" s="119"/>
      <c r="AL186" s="120"/>
      <c r="AP186" s="115" t="str">
        <f t="shared" si="28"/>
        <v/>
      </c>
    </row>
    <row r="187" spans="1:42" x14ac:dyDescent="0.2">
      <c r="A187" s="63" t="str">
        <f t="shared" si="24"/>
        <v/>
      </c>
      <c r="B187" s="133"/>
      <c r="C187" s="133"/>
      <c r="D187" s="135"/>
      <c r="E187" s="135"/>
      <c r="F187" s="137"/>
      <c r="AA187" s="116" t="str">
        <f t="shared" si="23"/>
        <v>00000000000000</v>
      </c>
      <c r="AB187" s="117" t="str">
        <f t="shared" si="25"/>
        <v>000000000000</v>
      </c>
      <c r="AC187" s="118">
        <f t="shared" si="26"/>
        <v>1</v>
      </c>
      <c r="AD187" s="47">
        <v>2</v>
      </c>
      <c r="AE187" s="66">
        <f t="shared" si="29"/>
        <v>0</v>
      </c>
      <c r="AF187" s="66">
        <f t="shared" si="22"/>
        <v>0</v>
      </c>
      <c r="AG187" s="67" t="str">
        <f t="shared" si="30"/>
        <v>0000000000</v>
      </c>
      <c r="AH187" s="67" t="str">
        <f t="shared" si="31"/>
        <v>.00</v>
      </c>
      <c r="AI187" s="67" t="str">
        <f t="shared" si="27"/>
        <v>00</v>
      </c>
      <c r="AJ187" s="67" t="str">
        <f t="shared" si="32"/>
        <v>000000000000</v>
      </c>
      <c r="AK187" s="119"/>
      <c r="AL187" s="120"/>
      <c r="AP187" s="115" t="str">
        <f t="shared" si="28"/>
        <v/>
      </c>
    </row>
    <row r="188" spans="1:42" x14ac:dyDescent="0.2">
      <c r="A188" s="63" t="str">
        <f t="shared" si="24"/>
        <v/>
      </c>
      <c r="B188" s="133"/>
      <c r="C188" s="133"/>
      <c r="D188" s="135"/>
      <c r="E188" s="135"/>
      <c r="F188" s="137"/>
      <c r="AA188" s="116" t="str">
        <f t="shared" si="23"/>
        <v>00000000000000</v>
      </c>
      <c r="AB188" s="117" t="str">
        <f t="shared" si="25"/>
        <v>000000000000</v>
      </c>
      <c r="AC188" s="118">
        <f t="shared" si="26"/>
        <v>1</v>
      </c>
      <c r="AD188" s="47">
        <v>2</v>
      </c>
      <c r="AE188" s="66">
        <f t="shared" si="29"/>
        <v>0</v>
      </c>
      <c r="AF188" s="66">
        <f t="shared" si="22"/>
        <v>0</v>
      </c>
      <c r="AG188" s="67" t="str">
        <f t="shared" si="30"/>
        <v>0000000000</v>
      </c>
      <c r="AH188" s="67" t="str">
        <f t="shared" si="31"/>
        <v>.00</v>
      </c>
      <c r="AI188" s="67" t="str">
        <f t="shared" si="27"/>
        <v>00</v>
      </c>
      <c r="AJ188" s="67" t="str">
        <f t="shared" si="32"/>
        <v>000000000000</v>
      </c>
      <c r="AK188" s="119"/>
      <c r="AL188" s="120"/>
      <c r="AP188" s="115" t="str">
        <f t="shared" si="28"/>
        <v/>
      </c>
    </row>
    <row r="189" spans="1:42" x14ac:dyDescent="0.2">
      <c r="A189" s="63" t="str">
        <f t="shared" si="24"/>
        <v/>
      </c>
      <c r="B189" s="133"/>
      <c r="C189" s="133"/>
      <c r="D189" s="135"/>
      <c r="E189" s="135"/>
      <c r="F189" s="137"/>
      <c r="AA189" s="116" t="str">
        <f t="shared" si="23"/>
        <v>00000000000000</v>
      </c>
      <c r="AB189" s="117" t="str">
        <f t="shared" si="25"/>
        <v>000000000000</v>
      </c>
      <c r="AC189" s="118">
        <f t="shared" si="26"/>
        <v>1</v>
      </c>
      <c r="AD189" s="47">
        <v>2</v>
      </c>
      <c r="AE189" s="66">
        <f t="shared" si="29"/>
        <v>0</v>
      </c>
      <c r="AF189" s="66">
        <f t="shared" si="22"/>
        <v>0</v>
      </c>
      <c r="AG189" s="67" t="str">
        <f t="shared" si="30"/>
        <v>0000000000</v>
      </c>
      <c r="AH189" s="67" t="str">
        <f t="shared" si="31"/>
        <v>.00</v>
      </c>
      <c r="AI189" s="67" t="str">
        <f t="shared" si="27"/>
        <v>00</v>
      </c>
      <c r="AJ189" s="67" t="str">
        <f t="shared" si="32"/>
        <v>000000000000</v>
      </c>
      <c r="AK189" s="119"/>
      <c r="AL189" s="120"/>
      <c r="AP189" s="115" t="str">
        <f t="shared" si="28"/>
        <v/>
      </c>
    </row>
    <row r="190" spans="1:42" x14ac:dyDescent="0.2">
      <c r="A190" s="63" t="str">
        <f t="shared" si="24"/>
        <v/>
      </c>
      <c r="B190" s="133"/>
      <c r="C190" s="133"/>
      <c r="D190" s="135"/>
      <c r="E190" s="135"/>
      <c r="F190" s="137"/>
      <c r="AA190" s="116" t="str">
        <f t="shared" si="23"/>
        <v>00000000000000</v>
      </c>
      <c r="AB190" s="117" t="str">
        <f t="shared" si="25"/>
        <v>000000000000</v>
      </c>
      <c r="AC190" s="118">
        <f t="shared" si="26"/>
        <v>1</v>
      </c>
      <c r="AD190" s="47">
        <v>2</v>
      </c>
      <c r="AE190" s="66">
        <f t="shared" si="29"/>
        <v>0</v>
      </c>
      <c r="AF190" s="66">
        <f t="shared" si="22"/>
        <v>0</v>
      </c>
      <c r="AG190" s="67" t="str">
        <f t="shared" si="30"/>
        <v>0000000000</v>
      </c>
      <c r="AH190" s="67" t="str">
        <f t="shared" si="31"/>
        <v>.00</v>
      </c>
      <c r="AI190" s="67" t="str">
        <f t="shared" si="27"/>
        <v>00</v>
      </c>
      <c r="AJ190" s="67" t="str">
        <f t="shared" si="32"/>
        <v>000000000000</v>
      </c>
      <c r="AK190" s="119"/>
      <c r="AL190" s="120"/>
      <c r="AP190" s="115" t="str">
        <f t="shared" si="28"/>
        <v/>
      </c>
    </row>
    <row r="191" spans="1:42" x14ac:dyDescent="0.2">
      <c r="A191" s="63" t="str">
        <f t="shared" si="24"/>
        <v/>
      </c>
      <c r="B191" s="133"/>
      <c r="C191" s="133"/>
      <c r="D191" s="135"/>
      <c r="E191" s="135"/>
      <c r="F191" s="137"/>
      <c r="AA191" s="116" t="str">
        <f t="shared" si="23"/>
        <v>00000000000000</v>
      </c>
      <c r="AB191" s="117" t="str">
        <f t="shared" si="25"/>
        <v>000000000000</v>
      </c>
      <c r="AC191" s="118">
        <f t="shared" si="26"/>
        <v>1</v>
      </c>
      <c r="AD191" s="47">
        <v>2</v>
      </c>
      <c r="AE191" s="66">
        <f t="shared" si="29"/>
        <v>0</v>
      </c>
      <c r="AF191" s="66">
        <f t="shared" si="22"/>
        <v>0</v>
      </c>
      <c r="AG191" s="67" t="str">
        <f t="shared" si="30"/>
        <v>0000000000</v>
      </c>
      <c r="AH191" s="67" t="str">
        <f t="shared" si="31"/>
        <v>.00</v>
      </c>
      <c r="AI191" s="67" t="str">
        <f t="shared" si="27"/>
        <v>00</v>
      </c>
      <c r="AJ191" s="67" t="str">
        <f t="shared" si="32"/>
        <v>000000000000</v>
      </c>
      <c r="AK191" s="119"/>
      <c r="AL191" s="120"/>
      <c r="AP191" s="115" t="str">
        <f t="shared" si="28"/>
        <v/>
      </c>
    </row>
    <row r="192" spans="1:42" x14ac:dyDescent="0.2">
      <c r="A192" s="63" t="str">
        <f t="shared" si="24"/>
        <v/>
      </c>
      <c r="B192" s="133"/>
      <c r="C192" s="133"/>
      <c r="D192" s="135"/>
      <c r="E192" s="135"/>
      <c r="F192" s="137"/>
      <c r="AA192" s="116" t="str">
        <f t="shared" si="23"/>
        <v>00000000000000</v>
      </c>
      <c r="AB192" s="117" t="str">
        <f t="shared" si="25"/>
        <v>000000000000</v>
      </c>
      <c r="AC192" s="118">
        <f t="shared" si="26"/>
        <v>1</v>
      </c>
      <c r="AD192" s="47">
        <v>2</v>
      </c>
      <c r="AE192" s="66">
        <f t="shared" si="29"/>
        <v>0</v>
      </c>
      <c r="AF192" s="66">
        <f t="shared" si="22"/>
        <v>0</v>
      </c>
      <c r="AG192" s="67" t="str">
        <f t="shared" si="30"/>
        <v>0000000000</v>
      </c>
      <c r="AH192" s="67" t="str">
        <f t="shared" si="31"/>
        <v>.00</v>
      </c>
      <c r="AI192" s="67" t="str">
        <f t="shared" si="27"/>
        <v>00</v>
      </c>
      <c r="AJ192" s="67" t="str">
        <f t="shared" si="32"/>
        <v>000000000000</v>
      </c>
      <c r="AK192" s="119"/>
      <c r="AL192" s="120"/>
      <c r="AP192" s="115" t="str">
        <f t="shared" si="28"/>
        <v/>
      </c>
    </row>
    <row r="193" spans="1:42" x14ac:dyDescent="0.2">
      <c r="A193" s="63" t="str">
        <f t="shared" si="24"/>
        <v/>
      </c>
      <c r="B193" s="133"/>
      <c r="C193" s="133"/>
      <c r="D193" s="135"/>
      <c r="E193" s="135"/>
      <c r="F193" s="137"/>
      <c r="AA193" s="116" t="str">
        <f t="shared" si="23"/>
        <v>00000000000000</v>
      </c>
      <c r="AB193" s="117" t="str">
        <f t="shared" si="25"/>
        <v>000000000000</v>
      </c>
      <c r="AC193" s="118">
        <f t="shared" si="26"/>
        <v>1</v>
      </c>
      <c r="AD193" s="47">
        <v>2</v>
      </c>
      <c r="AE193" s="66">
        <f t="shared" si="29"/>
        <v>0</v>
      </c>
      <c r="AF193" s="66">
        <f t="shared" si="22"/>
        <v>0</v>
      </c>
      <c r="AG193" s="67" t="str">
        <f t="shared" si="30"/>
        <v>0000000000</v>
      </c>
      <c r="AH193" s="67" t="str">
        <f t="shared" si="31"/>
        <v>.00</v>
      </c>
      <c r="AI193" s="67" t="str">
        <f t="shared" si="27"/>
        <v>00</v>
      </c>
      <c r="AJ193" s="67" t="str">
        <f t="shared" si="32"/>
        <v>000000000000</v>
      </c>
      <c r="AK193" s="119"/>
      <c r="AL193" s="120"/>
      <c r="AP193" s="115" t="str">
        <f t="shared" si="28"/>
        <v/>
      </c>
    </row>
    <row r="194" spans="1:42" x14ac:dyDescent="0.2">
      <c r="A194" s="63" t="str">
        <f t="shared" si="24"/>
        <v/>
      </c>
      <c r="B194" s="133"/>
      <c r="C194" s="133"/>
      <c r="D194" s="135"/>
      <c r="E194" s="135"/>
      <c r="F194" s="137"/>
      <c r="AA194" s="116" t="str">
        <f t="shared" si="23"/>
        <v>00000000000000</v>
      </c>
      <c r="AB194" s="117" t="str">
        <f t="shared" si="25"/>
        <v>000000000000</v>
      </c>
      <c r="AC194" s="118">
        <f t="shared" si="26"/>
        <v>1</v>
      </c>
      <c r="AD194" s="47">
        <v>2</v>
      </c>
      <c r="AE194" s="66">
        <f t="shared" si="29"/>
        <v>0</v>
      </c>
      <c r="AF194" s="66">
        <f t="shared" si="22"/>
        <v>0</v>
      </c>
      <c r="AG194" s="67" t="str">
        <f t="shared" si="30"/>
        <v>0000000000</v>
      </c>
      <c r="AH194" s="67" t="str">
        <f t="shared" si="31"/>
        <v>.00</v>
      </c>
      <c r="AI194" s="67" t="str">
        <f t="shared" si="27"/>
        <v>00</v>
      </c>
      <c r="AJ194" s="67" t="str">
        <f t="shared" si="32"/>
        <v>000000000000</v>
      </c>
      <c r="AK194" s="119"/>
      <c r="AL194" s="120"/>
      <c r="AP194" s="115" t="str">
        <f t="shared" si="28"/>
        <v/>
      </c>
    </row>
    <row r="195" spans="1:42" x14ac:dyDescent="0.2">
      <c r="A195" s="63" t="str">
        <f t="shared" si="24"/>
        <v/>
      </c>
      <c r="B195" s="133"/>
      <c r="C195" s="133"/>
      <c r="D195" s="135"/>
      <c r="E195" s="135"/>
      <c r="F195" s="137"/>
      <c r="AA195" s="116" t="str">
        <f t="shared" si="23"/>
        <v>00000000000000</v>
      </c>
      <c r="AB195" s="117" t="str">
        <f t="shared" si="25"/>
        <v>000000000000</v>
      </c>
      <c r="AC195" s="118">
        <f t="shared" si="26"/>
        <v>1</v>
      </c>
      <c r="AD195" s="47">
        <v>2</v>
      </c>
      <c r="AE195" s="66">
        <f t="shared" si="29"/>
        <v>0</v>
      </c>
      <c r="AF195" s="66">
        <f t="shared" ref="AF195:AF258" si="33">F195-AE195</f>
        <v>0</v>
      </c>
      <c r="AG195" s="67" t="str">
        <f t="shared" si="30"/>
        <v>0000000000</v>
      </c>
      <c r="AH195" s="67" t="str">
        <f t="shared" si="31"/>
        <v>.00</v>
      </c>
      <c r="AI195" s="67" t="str">
        <f t="shared" si="27"/>
        <v>00</v>
      </c>
      <c r="AJ195" s="67" t="str">
        <f t="shared" si="32"/>
        <v>000000000000</v>
      </c>
      <c r="AK195" s="119"/>
      <c r="AL195" s="120"/>
      <c r="AP195" s="115" t="str">
        <f t="shared" si="28"/>
        <v/>
      </c>
    </row>
    <row r="196" spans="1:42" x14ac:dyDescent="0.2">
      <c r="A196" s="63" t="str">
        <f t="shared" si="24"/>
        <v/>
      </c>
      <c r="B196" s="133"/>
      <c r="C196" s="133"/>
      <c r="D196" s="135"/>
      <c r="E196" s="135"/>
      <c r="F196" s="137"/>
      <c r="AA196" s="116" t="str">
        <f t="shared" ref="AA196:AA259" si="34">CONCATENATE(REPT("0",14-LEN(B196)),B196)</f>
        <v>00000000000000</v>
      </c>
      <c r="AB196" s="117" t="str">
        <f t="shared" si="25"/>
        <v>000000000000</v>
      </c>
      <c r="AC196" s="118">
        <f t="shared" si="26"/>
        <v>1</v>
      </c>
      <c r="AD196" s="47">
        <v>2</v>
      </c>
      <c r="AE196" s="66">
        <f t="shared" si="29"/>
        <v>0</v>
      </c>
      <c r="AF196" s="66">
        <f t="shared" si="33"/>
        <v>0</v>
      </c>
      <c r="AG196" s="67" t="str">
        <f t="shared" si="30"/>
        <v>0000000000</v>
      </c>
      <c r="AH196" s="67" t="str">
        <f t="shared" si="31"/>
        <v>.00</v>
      </c>
      <c r="AI196" s="67" t="str">
        <f t="shared" si="27"/>
        <v>00</v>
      </c>
      <c r="AJ196" s="67" t="str">
        <f t="shared" si="32"/>
        <v>000000000000</v>
      </c>
      <c r="AK196" s="119"/>
      <c r="AL196" s="120"/>
      <c r="AP196" s="115" t="str">
        <f t="shared" si="28"/>
        <v/>
      </c>
    </row>
    <row r="197" spans="1:42" x14ac:dyDescent="0.2">
      <c r="A197" s="63" t="str">
        <f t="shared" ref="A197:A260" si="35">IF(B197&lt;&gt;"",A196+1,"")</f>
        <v/>
      </c>
      <c r="B197" s="133"/>
      <c r="C197" s="133"/>
      <c r="D197" s="135"/>
      <c r="E197" s="135"/>
      <c r="F197" s="137"/>
      <c r="AA197" s="116" t="str">
        <f t="shared" si="34"/>
        <v>00000000000000</v>
      </c>
      <c r="AB197" s="117" t="str">
        <f t="shared" ref="AB197:AB260" si="36">CONCATENATE(REPT("0",12-LEN(C197)),C197)</f>
        <v>000000000000</v>
      </c>
      <c r="AC197" s="118">
        <f t="shared" ref="AC197:AC260" si="37">AC196</f>
        <v>1</v>
      </c>
      <c r="AD197" s="47">
        <v>2</v>
      </c>
      <c r="AE197" s="66">
        <f t="shared" si="29"/>
        <v>0</v>
      </c>
      <c r="AF197" s="66">
        <f t="shared" si="33"/>
        <v>0</v>
      </c>
      <c r="AG197" s="67" t="str">
        <f t="shared" si="30"/>
        <v>0000000000</v>
      </c>
      <c r="AH197" s="67" t="str">
        <f t="shared" si="31"/>
        <v>.00</v>
      </c>
      <c r="AI197" s="67" t="str">
        <f t="shared" ref="AI197:AI260" si="38">MID(AH197,2,2)</f>
        <v>00</v>
      </c>
      <c r="AJ197" s="67" t="str">
        <f t="shared" si="32"/>
        <v>000000000000</v>
      </c>
      <c r="AK197" s="119"/>
      <c r="AL197" s="120"/>
      <c r="AP197" s="115" t="str">
        <f t="shared" si="28"/>
        <v/>
      </c>
    </row>
    <row r="198" spans="1:42" x14ac:dyDescent="0.2">
      <c r="A198" s="63" t="str">
        <f t="shared" si="35"/>
        <v/>
      </c>
      <c r="B198" s="133"/>
      <c r="C198" s="133"/>
      <c r="D198" s="135"/>
      <c r="E198" s="135"/>
      <c r="F198" s="137"/>
      <c r="AA198" s="116" t="str">
        <f t="shared" si="34"/>
        <v>00000000000000</v>
      </c>
      <c r="AB198" s="117" t="str">
        <f t="shared" si="36"/>
        <v>000000000000</v>
      </c>
      <c r="AC198" s="118">
        <f t="shared" si="37"/>
        <v>1</v>
      </c>
      <c r="AD198" s="47">
        <v>2</v>
      </c>
      <c r="AE198" s="66">
        <f t="shared" si="29"/>
        <v>0</v>
      </c>
      <c r="AF198" s="66">
        <f t="shared" si="33"/>
        <v>0</v>
      </c>
      <c r="AG198" s="67" t="str">
        <f t="shared" si="30"/>
        <v>0000000000</v>
      </c>
      <c r="AH198" s="67" t="str">
        <f t="shared" si="31"/>
        <v>.00</v>
      </c>
      <c r="AI198" s="67" t="str">
        <f t="shared" si="38"/>
        <v>00</v>
      </c>
      <c r="AJ198" s="67" t="str">
        <f t="shared" si="32"/>
        <v>000000000000</v>
      </c>
      <c r="AK198" s="119"/>
      <c r="AL198" s="120"/>
      <c r="AP198" s="115" t="str">
        <f t="shared" ref="AP198:AP261" si="39">IF(B199&lt;&gt;"",CONCATENATE("00000",$AD$1,AA199,$AC$3,"2",AB199,AJ199,$AL$3,"0                                                  "),"")</f>
        <v/>
      </c>
    </row>
    <row r="199" spans="1:42" x14ac:dyDescent="0.2">
      <c r="A199" s="63" t="str">
        <f t="shared" si="35"/>
        <v/>
      </c>
      <c r="B199" s="133"/>
      <c r="C199" s="133"/>
      <c r="D199" s="135"/>
      <c r="E199" s="135"/>
      <c r="F199" s="137"/>
      <c r="AA199" s="116" t="str">
        <f t="shared" si="34"/>
        <v>00000000000000</v>
      </c>
      <c r="AB199" s="117" t="str">
        <f t="shared" si="36"/>
        <v>000000000000</v>
      </c>
      <c r="AC199" s="118">
        <f t="shared" si="37"/>
        <v>1</v>
      </c>
      <c r="AD199" s="47">
        <v>2</v>
      </c>
      <c r="AE199" s="66">
        <f t="shared" si="29"/>
        <v>0</v>
      </c>
      <c r="AF199" s="66">
        <f t="shared" si="33"/>
        <v>0</v>
      </c>
      <c r="AG199" s="67" t="str">
        <f t="shared" si="30"/>
        <v>0000000000</v>
      </c>
      <c r="AH199" s="67" t="str">
        <f t="shared" si="31"/>
        <v>.00</v>
      </c>
      <c r="AI199" s="67" t="str">
        <f t="shared" si="38"/>
        <v>00</v>
      </c>
      <c r="AJ199" s="67" t="str">
        <f t="shared" si="32"/>
        <v>000000000000</v>
      </c>
      <c r="AK199" s="119"/>
      <c r="AL199" s="120"/>
      <c r="AP199" s="115" t="str">
        <f t="shared" si="39"/>
        <v/>
      </c>
    </row>
    <row r="200" spans="1:42" x14ac:dyDescent="0.2">
      <c r="A200" s="63" t="str">
        <f t="shared" si="35"/>
        <v/>
      </c>
      <c r="B200" s="133"/>
      <c r="C200" s="133"/>
      <c r="D200" s="135"/>
      <c r="E200" s="135"/>
      <c r="F200" s="137"/>
      <c r="AA200" s="116" t="str">
        <f t="shared" si="34"/>
        <v>00000000000000</v>
      </c>
      <c r="AB200" s="117" t="str">
        <f t="shared" si="36"/>
        <v>000000000000</v>
      </c>
      <c r="AC200" s="118">
        <f t="shared" si="37"/>
        <v>1</v>
      </c>
      <c r="AD200" s="47">
        <v>2</v>
      </c>
      <c r="AE200" s="66">
        <f t="shared" ref="AE200:AE263" si="40">INT(F200)</f>
        <v>0</v>
      </c>
      <c r="AF200" s="66">
        <f t="shared" si="33"/>
        <v>0</v>
      </c>
      <c r="AG200" s="67" t="str">
        <f t="shared" ref="AG200:AG263" si="41">TEXT(AE200,"0000000000")</f>
        <v>0000000000</v>
      </c>
      <c r="AH200" s="67" t="str">
        <f t="shared" ref="AH200:AH263" si="42">TEXT(AF200,".00")</f>
        <v>.00</v>
      </c>
      <c r="AI200" s="67" t="str">
        <f t="shared" si="38"/>
        <v>00</v>
      </c>
      <c r="AJ200" s="67" t="str">
        <f t="shared" ref="AJ200:AJ263" si="43">CONCATENATE(AG200,AI200)</f>
        <v>000000000000</v>
      </c>
      <c r="AK200" s="119"/>
      <c r="AL200" s="120"/>
      <c r="AP200" s="115" t="str">
        <f t="shared" si="39"/>
        <v/>
      </c>
    </row>
    <row r="201" spans="1:42" x14ac:dyDescent="0.2">
      <c r="A201" s="63" t="str">
        <f t="shared" si="35"/>
        <v/>
      </c>
      <c r="B201" s="133"/>
      <c r="C201" s="133"/>
      <c r="D201" s="135"/>
      <c r="E201" s="135"/>
      <c r="F201" s="137"/>
      <c r="AA201" s="116" t="str">
        <f t="shared" si="34"/>
        <v>00000000000000</v>
      </c>
      <c r="AB201" s="117" t="str">
        <f t="shared" si="36"/>
        <v>000000000000</v>
      </c>
      <c r="AC201" s="118">
        <f t="shared" si="37"/>
        <v>1</v>
      </c>
      <c r="AD201" s="47">
        <v>2</v>
      </c>
      <c r="AE201" s="66">
        <f t="shared" si="40"/>
        <v>0</v>
      </c>
      <c r="AF201" s="66">
        <f t="shared" si="33"/>
        <v>0</v>
      </c>
      <c r="AG201" s="67" t="str">
        <f t="shared" si="41"/>
        <v>0000000000</v>
      </c>
      <c r="AH201" s="67" t="str">
        <f t="shared" si="42"/>
        <v>.00</v>
      </c>
      <c r="AI201" s="67" t="str">
        <f t="shared" si="38"/>
        <v>00</v>
      </c>
      <c r="AJ201" s="67" t="str">
        <f t="shared" si="43"/>
        <v>000000000000</v>
      </c>
      <c r="AK201" s="119"/>
      <c r="AL201" s="120"/>
      <c r="AP201" s="115" t="str">
        <f t="shared" si="39"/>
        <v/>
      </c>
    </row>
    <row r="202" spans="1:42" x14ac:dyDescent="0.2">
      <c r="A202" s="63" t="str">
        <f t="shared" si="35"/>
        <v/>
      </c>
      <c r="B202" s="133"/>
      <c r="C202" s="133"/>
      <c r="D202" s="135"/>
      <c r="E202" s="135"/>
      <c r="F202" s="137"/>
      <c r="AA202" s="116" t="str">
        <f t="shared" si="34"/>
        <v>00000000000000</v>
      </c>
      <c r="AB202" s="117" t="str">
        <f t="shared" si="36"/>
        <v>000000000000</v>
      </c>
      <c r="AC202" s="118">
        <f t="shared" si="37"/>
        <v>1</v>
      </c>
      <c r="AD202" s="47">
        <v>2</v>
      </c>
      <c r="AE202" s="66">
        <f t="shared" si="40"/>
        <v>0</v>
      </c>
      <c r="AF202" s="66">
        <f t="shared" si="33"/>
        <v>0</v>
      </c>
      <c r="AG202" s="67" t="str">
        <f t="shared" si="41"/>
        <v>0000000000</v>
      </c>
      <c r="AH202" s="67" t="str">
        <f t="shared" si="42"/>
        <v>.00</v>
      </c>
      <c r="AI202" s="67" t="str">
        <f t="shared" si="38"/>
        <v>00</v>
      </c>
      <c r="AJ202" s="67" t="str">
        <f t="shared" si="43"/>
        <v>000000000000</v>
      </c>
      <c r="AK202" s="119"/>
      <c r="AL202" s="120"/>
      <c r="AP202" s="115" t="str">
        <f t="shared" si="39"/>
        <v/>
      </c>
    </row>
    <row r="203" spans="1:42" x14ac:dyDescent="0.2">
      <c r="A203" s="63" t="str">
        <f t="shared" si="35"/>
        <v/>
      </c>
      <c r="B203" s="133"/>
      <c r="C203" s="133"/>
      <c r="D203" s="135"/>
      <c r="E203" s="135"/>
      <c r="F203" s="137"/>
      <c r="AA203" s="116" t="str">
        <f t="shared" si="34"/>
        <v>00000000000000</v>
      </c>
      <c r="AB203" s="117" t="str">
        <f t="shared" si="36"/>
        <v>000000000000</v>
      </c>
      <c r="AC203" s="118">
        <f t="shared" si="37"/>
        <v>1</v>
      </c>
      <c r="AD203" s="47">
        <v>2</v>
      </c>
      <c r="AE203" s="66">
        <f t="shared" si="40"/>
        <v>0</v>
      </c>
      <c r="AF203" s="66">
        <f t="shared" si="33"/>
        <v>0</v>
      </c>
      <c r="AG203" s="67" t="str">
        <f t="shared" si="41"/>
        <v>0000000000</v>
      </c>
      <c r="AH203" s="67" t="str">
        <f t="shared" si="42"/>
        <v>.00</v>
      </c>
      <c r="AI203" s="67" t="str">
        <f t="shared" si="38"/>
        <v>00</v>
      </c>
      <c r="AJ203" s="67" t="str">
        <f t="shared" si="43"/>
        <v>000000000000</v>
      </c>
      <c r="AK203" s="119"/>
      <c r="AL203" s="120"/>
      <c r="AP203" s="115" t="str">
        <f t="shared" si="39"/>
        <v/>
      </c>
    </row>
    <row r="204" spans="1:42" x14ac:dyDescent="0.2">
      <c r="A204" s="63" t="str">
        <f t="shared" si="35"/>
        <v/>
      </c>
      <c r="B204" s="133"/>
      <c r="C204" s="133"/>
      <c r="D204" s="135"/>
      <c r="E204" s="135"/>
      <c r="F204" s="137"/>
      <c r="AA204" s="116" t="str">
        <f t="shared" si="34"/>
        <v>00000000000000</v>
      </c>
      <c r="AB204" s="117" t="str">
        <f t="shared" si="36"/>
        <v>000000000000</v>
      </c>
      <c r="AC204" s="118">
        <f t="shared" si="37"/>
        <v>1</v>
      </c>
      <c r="AD204" s="47">
        <v>2</v>
      </c>
      <c r="AE204" s="66">
        <f t="shared" si="40"/>
        <v>0</v>
      </c>
      <c r="AF204" s="66">
        <f t="shared" si="33"/>
        <v>0</v>
      </c>
      <c r="AG204" s="67" t="str">
        <f t="shared" si="41"/>
        <v>0000000000</v>
      </c>
      <c r="AH204" s="67" t="str">
        <f t="shared" si="42"/>
        <v>.00</v>
      </c>
      <c r="AI204" s="67" t="str">
        <f t="shared" si="38"/>
        <v>00</v>
      </c>
      <c r="AJ204" s="67" t="str">
        <f t="shared" si="43"/>
        <v>000000000000</v>
      </c>
      <c r="AK204" s="119"/>
      <c r="AL204" s="120"/>
      <c r="AP204" s="115" t="str">
        <f t="shared" si="39"/>
        <v/>
      </c>
    </row>
    <row r="205" spans="1:42" x14ac:dyDescent="0.2">
      <c r="A205" s="63" t="str">
        <f t="shared" si="35"/>
        <v/>
      </c>
      <c r="B205" s="133"/>
      <c r="C205" s="133"/>
      <c r="D205" s="135"/>
      <c r="E205" s="135"/>
      <c r="F205" s="137"/>
      <c r="AA205" s="116" t="str">
        <f t="shared" si="34"/>
        <v>00000000000000</v>
      </c>
      <c r="AB205" s="117" t="str">
        <f t="shared" si="36"/>
        <v>000000000000</v>
      </c>
      <c r="AC205" s="118">
        <f t="shared" si="37"/>
        <v>1</v>
      </c>
      <c r="AD205" s="47">
        <v>2</v>
      </c>
      <c r="AE205" s="66">
        <f t="shared" si="40"/>
        <v>0</v>
      </c>
      <c r="AF205" s="66">
        <f t="shared" si="33"/>
        <v>0</v>
      </c>
      <c r="AG205" s="67" t="str">
        <f t="shared" si="41"/>
        <v>0000000000</v>
      </c>
      <c r="AH205" s="67" t="str">
        <f t="shared" si="42"/>
        <v>.00</v>
      </c>
      <c r="AI205" s="67" t="str">
        <f t="shared" si="38"/>
        <v>00</v>
      </c>
      <c r="AJ205" s="67" t="str">
        <f t="shared" si="43"/>
        <v>000000000000</v>
      </c>
      <c r="AK205" s="119"/>
      <c r="AL205" s="120"/>
      <c r="AP205" s="115" t="str">
        <f t="shared" si="39"/>
        <v/>
      </c>
    </row>
    <row r="206" spans="1:42" x14ac:dyDescent="0.2">
      <c r="A206" s="63" t="str">
        <f t="shared" si="35"/>
        <v/>
      </c>
      <c r="B206" s="133"/>
      <c r="C206" s="133"/>
      <c r="D206" s="135"/>
      <c r="E206" s="135"/>
      <c r="F206" s="137"/>
      <c r="AA206" s="116" t="str">
        <f t="shared" si="34"/>
        <v>00000000000000</v>
      </c>
      <c r="AB206" s="117" t="str">
        <f t="shared" si="36"/>
        <v>000000000000</v>
      </c>
      <c r="AC206" s="118">
        <f t="shared" si="37"/>
        <v>1</v>
      </c>
      <c r="AD206" s="47">
        <v>2</v>
      </c>
      <c r="AE206" s="66">
        <f t="shared" si="40"/>
        <v>0</v>
      </c>
      <c r="AF206" s="66">
        <f t="shared" si="33"/>
        <v>0</v>
      </c>
      <c r="AG206" s="67" t="str">
        <f t="shared" si="41"/>
        <v>0000000000</v>
      </c>
      <c r="AH206" s="67" t="str">
        <f t="shared" si="42"/>
        <v>.00</v>
      </c>
      <c r="AI206" s="67" t="str">
        <f t="shared" si="38"/>
        <v>00</v>
      </c>
      <c r="AJ206" s="67" t="str">
        <f t="shared" si="43"/>
        <v>000000000000</v>
      </c>
      <c r="AK206" s="119"/>
      <c r="AL206" s="120"/>
      <c r="AP206" s="115" t="str">
        <f t="shared" si="39"/>
        <v/>
      </c>
    </row>
    <row r="207" spans="1:42" x14ac:dyDescent="0.2">
      <c r="A207" s="63" t="str">
        <f t="shared" si="35"/>
        <v/>
      </c>
      <c r="B207" s="133"/>
      <c r="C207" s="133"/>
      <c r="D207" s="135"/>
      <c r="E207" s="135"/>
      <c r="F207" s="137"/>
      <c r="AA207" s="116" t="str">
        <f t="shared" si="34"/>
        <v>00000000000000</v>
      </c>
      <c r="AB207" s="117" t="str">
        <f t="shared" si="36"/>
        <v>000000000000</v>
      </c>
      <c r="AC207" s="118">
        <f t="shared" si="37"/>
        <v>1</v>
      </c>
      <c r="AD207" s="47">
        <v>2</v>
      </c>
      <c r="AE207" s="66">
        <f t="shared" si="40"/>
        <v>0</v>
      </c>
      <c r="AF207" s="66">
        <f t="shared" si="33"/>
        <v>0</v>
      </c>
      <c r="AG207" s="67" t="str">
        <f t="shared" si="41"/>
        <v>0000000000</v>
      </c>
      <c r="AH207" s="67" t="str">
        <f t="shared" si="42"/>
        <v>.00</v>
      </c>
      <c r="AI207" s="67" t="str">
        <f t="shared" si="38"/>
        <v>00</v>
      </c>
      <c r="AJ207" s="67" t="str">
        <f t="shared" si="43"/>
        <v>000000000000</v>
      </c>
      <c r="AK207" s="119"/>
      <c r="AL207" s="120"/>
      <c r="AP207" s="115" t="str">
        <f t="shared" si="39"/>
        <v/>
      </c>
    </row>
    <row r="208" spans="1:42" x14ac:dyDescent="0.2">
      <c r="A208" s="63" t="str">
        <f t="shared" si="35"/>
        <v/>
      </c>
      <c r="B208" s="133"/>
      <c r="C208" s="133"/>
      <c r="D208" s="135"/>
      <c r="E208" s="135"/>
      <c r="F208" s="137"/>
      <c r="AA208" s="116" t="str">
        <f t="shared" si="34"/>
        <v>00000000000000</v>
      </c>
      <c r="AB208" s="117" t="str">
        <f t="shared" si="36"/>
        <v>000000000000</v>
      </c>
      <c r="AC208" s="118">
        <f t="shared" si="37"/>
        <v>1</v>
      </c>
      <c r="AD208" s="47">
        <v>2</v>
      </c>
      <c r="AE208" s="66">
        <f t="shared" si="40"/>
        <v>0</v>
      </c>
      <c r="AF208" s="66">
        <f t="shared" si="33"/>
        <v>0</v>
      </c>
      <c r="AG208" s="67" t="str">
        <f t="shared" si="41"/>
        <v>0000000000</v>
      </c>
      <c r="AH208" s="67" t="str">
        <f t="shared" si="42"/>
        <v>.00</v>
      </c>
      <c r="AI208" s="67" t="str">
        <f t="shared" si="38"/>
        <v>00</v>
      </c>
      <c r="AJ208" s="67" t="str">
        <f t="shared" si="43"/>
        <v>000000000000</v>
      </c>
      <c r="AK208" s="119"/>
      <c r="AL208" s="120"/>
      <c r="AP208" s="115" t="str">
        <f t="shared" si="39"/>
        <v/>
      </c>
    </row>
    <row r="209" spans="1:42" x14ac:dyDescent="0.2">
      <c r="A209" s="63" t="str">
        <f t="shared" si="35"/>
        <v/>
      </c>
      <c r="B209" s="133"/>
      <c r="C209" s="133"/>
      <c r="D209" s="135"/>
      <c r="E209" s="135"/>
      <c r="F209" s="137"/>
      <c r="AA209" s="116" t="str">
        <f t="shared" si="34"/>
        <v>00000000000000</v>
      </c>
      <c r="AB209" s="117" t="str">
        <f t="shared" si="36"/>
        <v>000000000000</v>
      </c>
      <c r="AC209" s="118">
        <f t="shared" si="37"/>
        <v>1</v>
      </c>
      <c r="AD209" s="47">
        <v>2</v>
      </c>
      <c r="AE209" s="66">
        <f t="shared" si="40"/>
        <v>0</v>
      </c>
      <c r="AF209" s="66">
        <f t="shared" si="33"/>
        <v>0</v>
      </c>
      <c r="AG209" s="67" t="str">
        <f t="shared" si="41"/>
        <v>0000000000</v>
      </c>
      <c r="AH209" s="67" t="str">
        <f t="shared" si="42"/>
        <v>.00</v>
      </c>
      <c r="AI209" s="67" t="str">
        <f t="shared" si="38"/>
        <v>00</v>
      </c>
      <c r="AJ209" s="67" t="str">
        <f t="shared" si="43"/>
        <v>000000000000</v>
      </c>
      <c r="AK209" s="119"/>
      <c r="AL209" s="120"/>
      <c r="AP209" s="115" t="str">
        <f t="shared" si="39"/>
        <v/>
      </c>
    </row>
    <row r="210" spans="1:42" x14ac:dyDescent="0.2">
      <c r="A210" s="63" t="str">
        <f t="shared" si="35"/>
        <v/>
      </c>
      <c r="B210" s="133"/>
      <c r="C210" s="133"/>
      <c r="D210" s="135"/>
      <c r="E210" s="135"/>
      <c r="F210" s="137"/>
      <c r="AA210" s="116" t="str">
        <f t="shared" si="34"/>
        <v>00000000000000</v>
      </c>
      <c r="AB210" s="117" t="str">
        <f t="shared" si="36"/>
        <v>000000000000</v>
      </c>
      <c r="AC210" s="118">
        <f t="shared" si="37"/>
        <v>1</v>
      </c>
      <c r="AD210" s="47">
        <v>2</v>
      </c>
      <c r="AE210" s="66">
        <f t="shared" si="40"/>
        <v>0</v>
      </c>
      <c r="AF210" s="66">
        <f t="shared" si="33"/>
        <v>0</v>
      </c>
      <c r="AG210" s="67" t="str">
        <f t="shared" si="41"/>
        <v>0000000000</v>
      </c>
      <c r="AH210" s="67" t="str">
        <f t="shared" si="42"/>
        <v>.00</v>
      </c>
      <c r="AI210" s="67" t="str">
        <f t="shared" si="38"/>
        <v>00</v>
      </c>
      <c r="AJ210" s="67" t="str">
        <f t="shared" si="43"/>
        <v>000000000000</v>
      </c>
      <c r="AK210" s="119"/>
      <c r="AL210" s="120"/>
      <c r="AP210" s="115" t="str">
        <f t="shared" si="39"/>
        <v/>
      </c>
    </row>
    <row r="211" spans="1:42" x14ac:dyDescent="0.2">
      <c r="A211" s="63" t="str">
        <f t="shared" si="35"/>
        <v/>
      </c>
      <c r="B211" s="133"/>
      <c r="C211" s="133"/>
      <c r="D211" s="135"/>
      <c r="E211" s="135"/>
      <c r="F211" s="137"/>
      <c r="AA211" s="116" t="str">
        <f t="shared" si="34"/>
        <v>00000000000000</v>
      </c>
      <c r="AB211" s="117" t="str">
        <f t="shared" si="36"/>
        <v>000000000000</v>
      </c>
      <c r="AC211" s="118">
        <f t="shared" si="37"/>
        <v>1</v>
      </c>
      <c r="AD211" s="47">
        <v>2</v>
      </c>
      <c r="AE211" s="66">
        <f t="shared" si="40"/>
        <v>0</v>
      </c>
      <c r="AF211" s="66">
        <f t="shared" si="33"/>
        <v>0</v>
      </c>
      <c r="AG211" s="67" t="str">
        <f t="shared" si="41"/>
        <v>0000000000</v>
      </c>
      <c r="AH211" s="67" t="str">
        <f t="shared" si="42"/>
        <v>.00</v>
      </c>
      <c r="AI211" s="67" t="str">
        <f t="shared" si="38"/>
        <v>00</v>
      </c>
      <c r="AJ211" s="67" t="str">
        <f t="shared" si="43"/>
        <v>000000000000</v>
      </c>
      <c r="AK211" s="119"/>
      <c r="AL211" s="120"/>
      <c r="AP211" s="115" t="str">
        <f t="shared" si="39"/>
        <v/>
      </c>
    </row>
    <row r="212" spans="1:42" x14ac:dyDescent="0.2">
      <c r="A212" s="63" t="str">
        <f t="shared" si="35"/>
        <v/>
      </c>
      <c r="B212" s="133"/>
      <c r="C212" s="133"/>
      <c r="D212" s="135"/>
      <c r="E212" s="135"/>
      <c r="F212" s="137"/>
      <c r="AA212" s="116" t="str">
        <f t="shared" si="34"/>
        <v>00000000000000</v>
      </c>
      <c r="AB212" s="117" t="str">
        <f t="shared" si="36"/>
        <v>000000000000</v>
      </c>
      <c r="AC212" s="118">
        <f t="shared" si="37"/>
        <v>1</v>
      </c>
      <c r="AD212" s="47">
        <v>2</v>
      </c>
      <c r="AE212" s="66">
        <f t="shared" si="40"/>
        <v>0</v>
      </c>
      <c r="AF212" s="66">
        <f t="shared" si="33"/>
        <v>0</v>
      </c>
      <c r="AG212" s="67" t="str">
        <f t="shared" si="41"/>
        <v>0000000000</v>
      </c>
      <c r="AH212" s="67" t="str">
        <f t="shared" si="42"/>
        <v>.00</v>
      </c>
      <c r="AI212" s="67" t="str">
        <f t="shared" si="38"/>
        <v>00</v>
      </c>
      <c r="AJ212" s="67" t="str">
        <f t="shared" si="43"/>
        <v>000000000000</v>
      </c>
      <c r="AK212" s="119"/>
      <c r="AL212" s="120"/>
      <c r="AP212" s="115" t="str">
        <f t="shared" si="39"/>
        <v/>
      </c>
    </row>
    <row r="213" spans="1:42" x14ac:dyDescent="0.2">
      <c r="A213" s="63" t="str">
        <f t="shared" si="35"/>
        <v/>
      </c>
      <c r="B213" s="133"/>
      <c r="C213" s="133"/>
      <c r="D213" s="135"/>
      <c r="E213" s="135"/>
      <c r="F213" s="137"/>
      <c r="AA213" s="116" t="str">
        <f t="shared" si="34"/>
        <v>00000000000000</v>
      </c>
      <c r="AB213" s="117" t="str">
        <f t="shared" si="36"/>
        <v>000000000000</v>
      </c>
      <c r="AC213" s="118">
        <f t="shared" si="37"/>
        <v>1</v>
      </c>
      <c r="AD213" s="47">
        <v>2</v>
      </c>
      <c r="AE213" s="66">
        <f t="shared" si="40"/>
        <v>0</v>
      </c>
      <c r="AF213" s="66">
        <f t="shared" si="33"/>
        <v>0</v>
      </c>
      <c r="AG213" s="67" t="str">
        <f t="shared" si="41"/>
        <v>0000000000</v>
      </c>
      <c r="AH213" s="67" t="str">
        <f t="shared" si="42"/>
        <v>.00</v>
      </c>
      <c r="AI213" s="67" t="str">
        <f t="shared" si="38"/>
        <v>00</v>
      </c>
      <c r="AJ213" s="67" t="str">
        <f t="shared" si="43"/>
        <v>000000000000</v>
      </c>
      <c r="AK213" s="119"/>
      <c r="AL213" s="120"/>
      <c r="AP213" s="115" t="str">
        <f t="shared" si="39"/>
        <v/>
      </c>
    </row>
    <row r="214" spans="1:42" x14ac:dyDescent="0.2">
      <c r="A214" s="63" t="str">
        <f t="shared" si="35"/>
        <v/>
      </c>
      <c r="B214" s="133"/>
      <c r="C214" s="133"/>
      <c r="D214" s="135"/>
      <c r="E214" s="135"/>
      <c r="F214" s="137"/>
      <c r="AA214" s="116" t="str">
        <f t="shared" si="34"/>
        <v>00000000000000</v>
      </c>
      <c r="AB214" s="117" t="str">
        <f t="shared" si="36"/>
        <v>000000000000</v>
      </c>
      <c r="AC214" s="118">
        <f t="shared" si="37"/>
        <v>1</v>
      </c>
      <c r="AD214" s="47">
        <v>2</v>
      </c>
      <c r="AE214" s="66">
        <f t="shared" si="40"/>
        <v>0</v>
      </c>
      <c r="AF214" s="66">
        <f t="shared" si="33"/>
        <v>0</v>
      </c>
      <c r="AG214" s="67" t="str">
        <f t="shared" si="41"/>
        <v>0000000000</v>
      </c>
      <c r="AH214" s="67" t="str">
        <f t="shared" si="42"/>
        <v>.00</v>
      </c>
      <c r="AI214" s="67" t="str">
        <f t="shared" si="38"/>
        <v>00</v>
      </c>
      <c r="AJ214" s="67" t="str">
        <f t="shared" si="43"/>
        <v>000000000000</v>
      </c>
      <c r="AK214" s="119"/>
      <c r="AL214" s="120"/>
      <c r="AP214" s="115" t="str">
        <f t="shared" si="39"/>
        <v/>
      </c>
    </row>
    <row r="215" spans="1:42" x14ac:dyDescent="0.2">
      <c r="A215" s="63" t="str">
        <f t="shared" si="35"/>
        <v/>
      </c>
      <c r="B215" s="133"/>
      <c r="C215" s="133"/>
      <c r="D215" s="135"/>
      <c r="E215" s="135"/>
      <c r="F215" s="137"/>
      <c r="AA215" s="116" t="str">
        <f t="shared" si="34"/>
        <v>00000000000000</v>
      </c>
      <c r="AB215" s="117" t="str">
        <f t="shared" si="36"/>
        <v>000000000000</v>
      </c>
      <c r="AC215" s="118">
        <f t="shared" si="37"/>
        <v>1</v>
      </c>
      <c r="AD215" s="47">
        <v>2</v>
      </c>
      <c r="AE215" s="66">
        <f t="shared" si="40"/>
        <v>0</v>
      </c>
      <c r="AF215" s="66">
        <f t="shared" si="33"/>
        <v>0</v>
      </c>
      <c r="AG215" s="67" t="str">
        <f t="shared" si="41"/>
        <v>0000000000</v>
      </c>
      <c r="AH215" s="67" t="str">
        <f t="shared" si="42"/>
        <v>.00</v>
      </c>
      <c r="AI215" s="67" t="str">
        <f t="shared" si="38"/>
        <v>00</v>
      </c>
      <c r="AJ215" s="67" t="str">
        <f t="shared" si="43"/>
        <v>000000000000</v>
      </c>
      <c r="AK215" s="119"/>
      <c r="AL215" s="120"/>
      <c r="AP215" s="115" t="str">
        <f t="shared" si="39"/>
        <v/>
      </c>
    </row>
    <row r="216" spans="1:42" x14ac:dyDescent="0.2">
      <c r="A216" s="63" t="str">
        <f t="shared" si="35"/>
        <v/>
      </c>
      <c r="B216" s="133"/>
      <c r="C216" s="133"/>
      <c r="D216" s="135"/>
      <c r="E216" s="135"/>
      <c r="F216" s="137"/>
      <c r="AA216" s="116" t="str">
        <f t="shared" si="34"/>
        <v>00000000000000</v>
      </c>
      <c r="AB216" s="117" t="str">
        <f t="shared" si="36"/>
        <v>000000000000</v>
      </c>
      <c r="AC216" s="118">
        <f t="shared" si="37"/>
        <v>1</v>
      </c>
      <c r="AD216" s="47">
        <v>2</v>
      </c>
      <c r="AE216" s="66">
        <f t="shared" si="40"/>
        <v>0</v>
      </c>
      <c r="AF216" s="66">
        <f t="shared" si="33"/>
        <v>0</v>
      </c>
      <c r="AG216" s="67" t="str">
        <f t="shared" si="41"/>
        <v>0000000000</v>
      </c>
      <c r="AH216" s="67" t="str">
        <f t="shared" si="42"/>
        <v>.00</v>
      </c>
      <c r="AI216" s="67" t="str">
        <f t="shared" si="38"/>
        <v>00</v>
      </c>
      <c r="AJ216" s="67" t="str">
        <f t="shared" si="43"/>
        <v>000000000000</v>
      </c>
      <c r="AK216" s="119"/>
      <c r="AL216" s="120"/>
      <c r="AP216" s="115" t="str">
        <f t="shared" si="39"/>
        <v/>
      </c>
    </row>
    <row r="217" spans="1:42" x14ac:dyDescent="0.2">
      <c r="A217" s="63" t="str">
        <f t="shared" si="35"/>
        <v/>
      </c>
      <c r="B217" s="133"/>
      <c r="C217" s="133"/>
      <c r="D217" s="135"/>
      <c r="E217" s="135"/>
      <c r="F217" s="137"/>
      <c r="AA217" s="116" t="str">
        <f t="shared" si="34"/>
        <v>00000000000000</v>
      </c>
      <c r="AB217" s="117" t="str">
        <f t="shared" si="36"/>
        <v>000000000000</v>
      </c>
      <c r="AC217" s="118">
        <f t="shared" si="37"/>
        <v>1</v>
      </c>
      <c r="AD217" s="47">
        <v>2</v>
      </c>
      <c r="AE217" s="66">
        <f t="shared" si="40"/>
        <v>0</v>
      </c>
      <c r="AF217" s="66">
        <f t="shared" si="33"/>
        <v>0</v>
      </c>
      <c r="AG217" s="67" t="str">
        <f t="shared" si="41"/>
        <v>0000000000</v>
      </c>
      <c r="AH217" s="67" t="str">
        <f t="shared" si="42"/>
        <v>.00</v>
      </c>
      <c r="AI217" s="67" t="str">
        <f t="shared" si="38"/>
        <v>00</v>
      </c>
      <c r="AJ217" s="67" t="str">
        <f t="shared" si="43"/>
        <v>000000000000</v>
      </c>
      <c r="AK217" s="119"/>
      <c r="AL217" s="120"/>
      <c r="AP217" s="115" t="str">
        <f t="shared" si="39"/>
        <v/>
      </c>
    </row>
    <row r="218" spans="1:42" x14ac:dyDescent="0.2">
      <c r="A218" s="63" t="str">
        <f t="shared" si="35"/>
        <v/>
      </c>
      <c r="B218" s="133"/>
      <c r="C218" s="133"/>
      <c r="D218" s="135"/>
      <c r="E218" s="135"/>
      <c r="F218" s="137"/>
      <c r="AA218" s="116" t="str">
        <f t="shared" si="34"/>
        <v>00000000000000</v>
      </c>
      <c r="AB218" s="117" t="str">
        <f t="shared" si="36"/>
        <v>000000000000</v>
      </c>
      <c r="AC218" s="118">
        <f t="shared" si="37"/>
        <v>1</v>
      </c>
      <c r="AD218" s="47">
        <v>2</v>
      </c>
      <c r="AE218" s="66">
        <f t="shared" si="40"/>
        <v>0</v>
      </c>
      <c r="AF218" s="66">
        <f t="shared" si="33"/>
        <v>0</v>
      </c>
      <c r="AG218" s="67" t="str">
        <f t="shared" si="41"/>
        <v>0000000000</v>
      </c>
      <c r="AH218" s="67" t="str">
        <f t="shared" si="42"/>
        <v>.00</v>
      </c>
      <c r="AI218" s="67" t="str">
        <f t="shared" si="38"/>
        <v>00</v>
      </c>
      <c r="AJ218" s="67" t="str">
        <f t="shared" si="43"/>
        <v>000000000000</v>
      </c>
      <c r="AK218" s="119"/>
      <c r="AL218" s="120"/>
      <c r="AP218" s="115" t="str">
        <f t="shared" si="39"/>
        <v/>
      </c>
    </row>
    <row r="219" spans="1:42" x14ac:dyDescent="0.2">
      <c r="A219" s="63" t="str">
        <f t="shared" si="35"/>
        <v/>
      </c>
      <c r="B219" s="133"/>
      <c r="C219" s="133"/>
      <c r="D219" s="135"/>
      <c r="E219" s="135"/>
      <c r="F219" s="137"/>
      <c r="AA219" s="116" t="str">
        <f t="shared" si="34"/>
        <v>00000000000000</v>
      </c>
      <c r="AB219" s="117" t="str">
        <f t="shared" si="36"/>
        <v>000000000000</v>
      </c>
      <c r="AC219" s="118">
        <f t="shared" si="37"/>
        <v>1</v>
      </c>
      <c r="AD219" s="47">
        <v>2</v>
      </c>
      <c r="AE219" s="66">
        <f t="shared" si="40"/>
        <v>0</v>
      </c>
      <c r="AF219" s="66">
        <f t="shared" si="33"/>
        <v>0</v>
      </c>
      <c r="AG219" s="67" t="str">
        <f t="shared" si="41"/>
        <v>0000000000</v>
      </c>
      <c r="AH219" s="67" t="str">
        <f t="shared" si="42"/>
        <v>.00</v>
      </c>
      <c r="AI219" s="67" t="str">
        <f t="shared" si="38"/>
        <v>00</v>
      </c>
      <c r="AJ219" s="67" t="str">
        <f t="shared" si="43"/>
        <v>000000000000</v>
      </c>
      <c r="AK219" s="119"/>
      <c r="AL219" s="120"/>
      <c r="AP219" s="115" t="str">
        <f t="shared" si="39"/>
        <v/>
      </c>
    </row>
    <row r="220" spans="1:42" x14ac:dyDescent="0.2">
      <c r="A220" s="63" t="str">
        <f t="shared" si="35"/>
        <v/>
      </c>
      <c r="B220" s="133"/>
      <c r="C220" s="133"/>
      <c r="D220" s="135"/>
      <c r="E220" s="135"/>
      <c r="F220" s="137"/>
      <c r="AA220" s="116" t="str">
        <f t="shared" si="34"/>
        <v>00000000000000</v>
      </c>
      <c r="AB220" s="117" t="str">
        <f t="shared" si="36"/>
        <v>000000000000</v>
      </c>
      <c r="AC220" s="118">
        <f t="shared" si="37"/>
        <v>1</v>
      </c>
      <c r="AD220" s="47">
        <v>2</v>
      </c>
      <c r="AE220" s="66">
        <f t="shared" si="40"/>
        <v>0</v>
      </c>
      <c r="AF220" s="66">
        <f t="shared" si="33"/>
        <v>0</v>
      </c>
      <c r="AG220" s="67" t="str">
        <f t="shared" si="41"/>
        <v>0000000000</v>
      </c>
      <c r="AH220" s="67" t="str">
        <f t="shared" si="42"/>
        <v>.00</v>
      </c>
      <c r="AI220" s="67" t="str">
        <f t="shared" si="38"/>
        <v>00</v>
      </c>
      <c r="AJ220" s="67" t="str">
        <f t="shared" si="43"/>
        <v>000000000000</v>
      </c>
      <c r="AK220" s="119"/>
      <c r="AL220" s="120"/>
      <c r="AP220" s="115" t="str">
        <f t="shared" si="39"/>
        <v/>
      </c>
    </row>
    <row r="221" spans="1:42" x14ac:dyDescent="0.2">
      <c r="A221" s="63" t="str">
        <f t="shared" si="35"/>
        <v/>
      </c>
      <c r="B221" s="133"/>
      <c r="C221" s="133"/>
      <c r="D221" s="135"/>
      <c r="E221" s="135"/>
      <c r="F221" s="137"/>
      <c r="AA221" s="116" t="str">
        <f t="shared" si="34"/>
        <v>00000000000000</v>
      </c>
      <c r="AB221" s="117" t="str">
        <f t="shared" si="36"/>
        <v>000000000000</v>
      </c>
      <c r="AC221" s="118">
        <f t="shared" si="37"/>
        <v>1</v>
      </c>
      <c r="AD221" s="47">
        <v>2</v>
      </c>
      <c r="AE221" s="66">
        <f t="shared" si="40"/>
        <v>0</v>
      </c>
      <c r="AF221" s="66">
        <f t="shared" si="33"/>
        <v>0</v>
      </c>
      <c r="AG221" s="67" t="str">
        <f t="shared" si="41"/>
        <v>0000000000</v>
      </c>
      <c r="AH221" s="67" t="str">
        <f t="shared" si="42"/>
        <v>.00</v>
      </c>
      <c r="AI221" s="67" t="str">
        <f t="shared" si="38"/>
        <v>00</v>
      </c>
      <c r="AJ221" s="67" t="str">
        <f t="shared" si="43"/>
        <v>000000000000</v>
      </c>
      <c r="AK221" s="119"/>
      <c r="AL221" s="120"/>
      <c r="AP221" s="115" t="str">
        <f t="shared" si="39"/>
        <v/>
      </c>
    </row>
    <row r="222" spans="1:42" x14ac:dyDescent="0.2">
      <c r="A222" s="63" t="str">
        <f t="shared" si="35"/>
        <v/>
      </c>
      <c r="B222" s="133"/>
      <c r="C222" s="133"/>
      <c r="D222" s="135"/>
      <c r="E222" s="135"/>
      <c r="F222" s="137"/>
      <c r="AA222" s="116" t="str">
        <f t="shared" si="34"/>
        <v>00000000000000</v>
      </c>
      <c r="AB222" s="117" t="str">
        <f t="shared" si="36"/>
        <v>000000000000</v>
      </c>
      <c r="AC222" s="118">
        <f t="shared" si="37"/>
        <v>1</v>
      </c>
      <c r="AD222" s="47">
        <v>2</v>
      </c>
      <c r="AE222" s="66">
        <f t="shared" si="40"/>
        <v>0</v>
      </c>
      <c r="AF222" s="66">
        <f t="shared" si="33"/>
        <v>0</v>
      </c>
      <c r="AG222" s="67" t="str">
        <f t="shared" si="41"/>
        <v>0000000000</v>
      </c>
      <c r="AH222" s="67" t="str">
        <f t="shared" si="42"/>
        <v>.00</v>
      </c>
      <c r="AI222" s="67" t="str">
        <f t="shared" si="38"/>
        <v>00</v>
      </c>
      <c r="AJ222" s="67" t="str">
        <f t="shared" si="43"/>
        <v>000000000000</v>
      </c>
      <c r="AK222" s="119"/>
      <c r="AL222" s="120"/>
      <c r="AP222" s="115" t="str">
        <f t="shared" si="39"/>
        <v/>
      </c>
    </row>
    <row r="223" spans="1:42" x14ac:dyDescent="0.2">
      <c r="A223" s="63" t="str">
        <f t="shared" si="35"/>
        <v/>
      </c>
      <c r="B223" s="133"/>
      <c r="C223" s="133"/>
      <c r="D223" s="135"/>
      <c r="E223" s="135"/>
      <c r="F223" s="137"/>
      <c r="AA223" s="116" t="str">
        <f t="shared" si="34"/>
        <v>00000000000000</v>
      </c>
      <c r="AB223" s="117" t="str">
        <f t="shared" si="36"/>
        <v>000000000000</v>
      </c>
      <c r="AC223" s="118">
        <f t="shared" si="37"/>
        <v>1</v>
      </c>
      <c r="AD223" s="47">
        <v>2</v>
      </c>
      <c r="AE223" s="66">
        <f t="shared" si="40"/>
        <v>0</v>
      </c>
      <c r="AF223" s="66">
        <f t="shared" si="33"/>
        <v>0</v>
      </c>
      <c r="AG223" s="67" t="str">
        <f t="shared" si="41"/>
        <v>0000000000</v>
      </c>
      <c r="AH223" s="67" t="str">
        <f t="shared" si="42"/>
        <v>.00</v>
      </c>
      <c r="AI223" s="67" t="str">
        <f t="shared" si="38"/>
        <v>00</v>
      </c>
      <c r="AJ223" s="67" t="str">
        <f t="shared" si="43"/>
        <v>000000000000</v>
      </c>
      <c r="AK223" s="119"/>
      <c r="AL223" s="120"/>
      <c r="AP223" s="115" t="str">
        <f t="shared" si="39"/>
        <v/>
      </c>
    </row>
    <row r="224" spans="1:42" x14ac:dyDescent="0.2">
      <c r="A224" s="63" t="str">
        <f t="shared" si="35"/>
        <v/>
      </c>
      <c r="B224" s="133"/>
      <c r="C224" s="133"/>
      <c r="D224" s="135"/>
      <c r="E224" s="135"/>
      <c r="F224" s="137"/>
      <c r="AA224" s="116" t="str">
        <f t="shared" si="34"/>
        <v>00000000000000</v>
      </c>
      <c r="AB224" s="117" t="str">
        <f t="shared" si="36"/>
        <v>000000000000</v>
      </c>
      <c r="AC224" s="118">
        <f t="shared" si="37"/>
        <v>1</v>
      </c>
      <c r="AD224" s="47">
        <v>2</v>
      </c>
      <c r="AE224" s="66">
        <f t="shared" si="40"/>
        <v>0</v>
      </c>
      <c r="AF224" s="66">
        <f t="shared" si="33"/>
        <v>0</v>
      </c>
      <c r="AG224" s="67" t="str">
        <f t="shared" si="41"/>
        <v>0000000000</v>
      </c>
      <c r="AH224" s="67" t="str">
        <f t="shared" si="42"/>
        <v>.00</v>
      </c>
      <c r="AI224" s="67" t="str">
        <f t="shared" si="38"/>
        <v>00</v>
      </c>
      <c r="AJ224" s="67" t="str">
        <f t="shared" si="43"/>
        <v>000000000000</v>
      </c>
      <c r="AK224" s="119"/>
      <c r="AL224" s="120"/>
      <c r="AP224" s="115" t="str">
        <f t="shared" si="39"/>
        <v/>
      </c>
    </row>
    <row r="225" spans="1:42" x14ac:dyDescent="0.2">
      <c r="A225" s="63" t="str">
        <f t="shared" si="35"/>
        <v/>
      </c>
      <c r="B225" s="133"/>
      <c r="C225" s="133"/>
      <c r="D225" s="135"/>
      <c r="E225" s="135"/>
      <c r="F225" s="137"/>
      <c r="AA225" s="116" t="str">
        <f t="shared" si="34"/>
        <v>00000000000000</v>
      </c>
      <c r="AB225" s="117" t="str">
        <f t="shared" si="36"/>
        <v>000000000000</v>
      </c>
      <c r="AC225" s="118">
        <f t="shared" si="37"/>
        <v>1</v>
      </c>
      <c r="AD225" s="47">
        <v>2</v>
      </c>
      <c r="AE225" s="66">
        <f t="shared" si="40"/>
        <v>0</v>
      </c>
      <c r="AF225" s="66">
        <f t="shared" si="33"/>
        <v>0</v>
      </c>
      <c r="AG225" s="67" t="str">
        <f t="shared" si="41"/>
        <v>0000000000</v>
      </c>
      <c r="AH225" s="67" t="str">
        <f t="shared" si="42"/>
        <v>.00</v>
      </c>
      <c r="AI225" s="67" t="str">
        <f t="shared" si="38"/>
        <v>00</v>
      </c>
      <c r="AJ225" s="67" t="str">
        <f t="shared" si="43"/>
        <v>000000000000</v>
      </c>
      <c r="AK225" s="119"/>
      <c r="AL225" s="120"/>
      <c r="AP225" s="115" t="str">
        <f t="shared" si="39"/>
        <v/>
      </c>
    </row>
    <row r="226" spans="1:42" x14ac:dyDescent="0.2">
      <c r="A226" s="63" t="str">
        <f t="shared" si="35"/>
        <v/>
      </c>
      <c r="B226" s="133"/>
      <c r="C226" s="133"/>
      <c r="D226" s="135"/>
      <c r="E226" s="135"/>
      <c r="F226" s="137"/>
      <c r="AA226" s="116" t="str">
        <f t="shared" si="34"/>
        <v>00000000000000</v>
      </c>
      <c r="AB226" s="117" t="str">
        <f t="shared" si="36"/>
        <v>000000000000</v>
      </c>
      <c r="AC226" s="118">
        <f t="shared" si="37"/>
        <v>1</v>
      </c>
      <c r="AD226" s="47">
        <v>2</v>
      </c>
      <c r="AE226" s="66">
        <f t="shared" si="40"/>
        <v>0</v>
      </c>
      <c r="AF226" s="66">
        <f t="shared" si="33"/>
        <v>0</v>
      </c>
      <c r="AG226" s="67" t="str">
        <f t="shared" si="41"/>
        <v>0000000000</v>
      </c>
      <c r="AH226" s="67" t="str">
        <f t="shared" si="42"/>
        <v>.00</v>
      </c>
      <c r="AI226" s="67" t="str">
        <f t="shared" si="38"/>
        <v>00</v>
      </c>
      <c r="AJ226" s="67" t="str">
        <f t="shared" si="43"/>
        <v>000000000000</v>
      </c>
      <c r="AK226" s="119"/>
      <c r="AL226" s="120"/>
      <c r="AP226" s="115" t="str">
        <f t="shared" si="39"/>
        <v/>
      </c>
    </row>
    <row r="227" spans="1:42" x14ac:dyDescent="0.2">
      <c r="A227" s="63" t="str">
        <f t="shared" si="35"/>
        <v/>
      </c>
      <c r="B227" s="133"/>
      <c r="C227" s="133"/>
      <c r="D227" s="135"/>
      <c r="E227" s="135"/>
      <c r="F227" s="137"/>
      <c r="AA227" s="116" t="str">
        <f t="shared" si="34"/>
        <v>00000000000000</v>
      </c>
      <c r="AB227" s="117" t="str">
        <f t="shared" si="36"/>
        <v>000000000000</v>
      </c>
      <c r="AC227" s="118">
        <f t="shared" si="37"/>
        <v>1</v>
      </c>
      <c r="AD227" s="47">
        <v>2</v>
      </c>
      <c r="AE227" s="66">
        <f t="shared" si="40"/>
        <v>0</v>
      </c>
      <c r="AF227" s="66">
        <f t="shared" si="33"/>
        <v>0</v>
      </c>
      <c r="AG227" s="67" t="str">
        <f t="shared" si="41"/>
        <v>0000000000</v>
      </c>
      <c r="AH227" s="67" t="str">
        <f t="shared" si="42"/>
        <v>.00</v>
      </c>
      <c r="AI227" s="67" t="str">
        <f t="shared" si="38"/>
        <v>00</v>
      </c>
      <c r="AJ227" s="67" t="str">
        <f t="shared" si="43"/>
        <v>000000000000</v>
      </c>
      <c r="AK227" s="119"/>
      <c r="AL227" s="120"/>
      <c r="AP227" s="115" t="str">
        <f t="shared" si="39"/>
        <v/>
      </c>
    </row>
    <row r="228" spans="1:42" x14ac:dyDescent="0.2">
      <c r="A228" s="63" t="str">
        <f t="shared" si="35"/>
        <v/>
      </c>
      <c r="B228" s="133"/>
      <c r="C228" s="133"/>
      <c r="D228" s="135"/>
      <c r="E228" s="135"/>
      <c r="F228" s="137"/>
      <c r="AA228" s="116" t="str">
        <f t="shared" si="34"/>
        <v>00000000000000</v>
      </c>
      <c r="AB228" s="117" t="str">
        <f t="shared" si="36"/>
        <v>000000000000</v>
      </c>
      <c r="AC228" s="118">
        <f t="shared" si="37"/>
        <v>1</v>
      </c>
      <c r="AD228" s="47">
        <v>2</v>
      </c>
      <c r="AE228" s="66">
        <f t="shared" si="40"/>
        <v>0</v>
      </c>
      <c r="AF228" s="66">
        <f t="shared" si="33"/>
        <v>0</v>
      </c>
      <c r="AG228" s="67" t="str">
        <f t="shared" si="41"/>
        <v>0000000000</v>
      </c>
      <c r="AH228" s="67" t="str">
        <f t="shared" si="42"/>
        <v>.00</v>
      </c>
      <c r="AI228" s="67" t="str">
        <f t="shared" si="38"/>
        <v>00</v>
      </c>
      <c r="AJ228" s="67" t="str">
        <f t="shared" si="43"/>
        <v>000000000000</v>
      </c>
      <c r="AK228" s="119"/>
      <c r="AL228" s="120"/>
      <c r="AP228" s="115" t="str">
        <f t="shared" si="39"/>
        <v/>
      </c>
    </row>
    <row r="229" spans="1:42" x14ac:dyDescent="0.2">
      <c r="A229" s="63" t="str">
        <f t="shared" si="35"/>
        <v/>
      </c>
      <c r="B229" s="133"/>
      <c r="C229" s="133"/>
      <c r="D229" s="135"/>
      <c r="E229" s="135"/>
      <c r="F229" s="137"/>
      <c r="AA229" s="116" t="str">
        <f t="shared" si="34"/>
        <v>00000000000000</v>
      </c>
      <c r="AB229" s="117" t="str">
        <f t="shared" si="36"/>
        <v>000000000000</v>
      </c>
      <c r="AC229" s="118">
        <f t="shared" si="37"/>
        <v>1</v>
      </c>
      <c r="AD229" s="47">
        <v>2</v>
      </c>
      <c r="AE229" s="66">
        <f t="shared" si="40"/>
        <v>0</v>
      </c>
      <c r="AF229" s="66">
        <f t="shared" si="33"/>
        <v>0</v>
      </c>
      <c r="AG229" s="67" t="str">
        <f t="shared" si="41"/>
        <v>0000000000</v>
      </c>
      <c r="AH229" s="67" t="str">
        <f t="shared" si="42"/>
        <v>.00</v>
      </c>
      <c r="AI229" s="67" t="str">
        <f t="shared" si="38"/>
        <v>00</v>
      </c>
      <c r="AJ229" s="67" t="str">
        <f t="shared" si="43"/>
        <v>000000000000</v>
      </c>
      <c r="AK229" s="119"/>
      <c r="AL229" s="120"/>
      <c r="AP229" s="115" t="str">
        <f t="shared" si="39"/>
        <v/>
      </c>
    </row>
    <row r="230" spans="1:42" x14ac:dyDescent="0.2">
      <c r="A230" s="63" t="str">
        <f t="shared" si="35"/>
        <v/>
      </c>
      <c r="B230" s="133"/>
      <c r="C230" s="133"/>
      <c r="D230" s="135"/>
      <c r="E230" s="135"/>
      <c r="F230" s="137"/>
      <c r="AA230" s="116" t="str">
        <f t="shared" si="34"/>
        <v>00000000000000</v>
      </c>
      <c r="AB230" s="117" t="str">
        <f t="shared" si="36"/>
        <v>000000000000</v>
      </c>
      <c r="AC230" s="118">
        <f t="shared" si="37"/>
        <v>1</v>
      </c>
      <c r="AD230" s="47">
        <v>2</v>
      </c>
      <c r="AE230" s="66">
        <f t="shared" si="40"/>
        <v>0</v>
      </c>
      <c r="AF230" s="66">
        <f t="shared" si="33"/>
        <v>0</v>
      </c>
      <c r="AG230" s="67" t="str">
        <f t="shared" si="41"/>
        <v>0000000000</v>
      </c>
      <c r="AH230" s="67" t="str">
        <f t="shared" si="42"/>
        <v>.00</v>
      </c>
      <c r="AI230" s="67" t="str">
        <f t="shared" si="38"/>
        <v>00</v>
      </c>
      <c r="AJ230" s="67" t="str">
        <f t="shared" si="43"/>
        <v>000000000000</v>
      </c>
      <c r="AK230" s="119"/>
      <c r="AL230" s="120"/>
      <c r="AP230" s="115" t="str">
        <f t="shared" si="39"/>
        <v/>
      </c>
    </row>
    <row r="231" spans="1:42" x14ac:dyDescent="0.2">
      <c r="A231" s="63" t="str">
        <f t="shared" si="35"/>
        <v/>
      </c>
      <c r="B231" s="133"/>
      <c r="C231" s="133"/>
      <c r="D231" s="135"/>
      <c r="E231" s="135"/>
      <c r="F231" s="137"/>
      <c r="AA231" s="116" t="str">
        <f t="shared" si="34"/>
        <v>00000000000000</v>
      </c>
      <c r="AB231" s="117" t="str">
        <f t="shared" si="36"/>
        <v>000000000000</v>
      </c>
      <c r="AC231" s="118">
        <f t="shared" si="37"/>
        <v>1</v>
      </c>
      <c r="AD231" s="47">
        <v>2</v>
      </c>
      <c r="AE231" s="66">
        <f t="shared" si="40"/>
        <v>0</v>
      </c>
      <c r="AF231" s="66">
        <f t="shared" si="33"/>
        <v>0</v>
      </c>
      <c r="AG231" s="67" t="str">
        <f t="shared" si="41"/>
        <v>0000000000</v>
      </c>
      <c r="AH231" s="67" t="str">
        <f t="shared" si="42"/>
        <v>.00</v>
      </c>
      <c r="AI231" s="67" t="str">
        <f t="shared" si="38"/>
        <v>00</v>
      </c>
      <c r="AJ231" s="67" t="str">
        <f t="shared" si="43"/>
        <v>000000000000</v>
      </c>
      <c r="AK231" s="119"/>
      <c r="AL231" s="120"/>
      <c r="AP231" s="115" t="str">
        <f t="shared" si="39"/>
        <v/>
      </c>
    </row>
    <row r="232" spans="1:42" x14ac:dyDescent="0.2">
      <c r="A232" s="63" t="str">
        <f t="shared" si="35"/>
        <v/>
      </c>
      <c r="B232" s="133"/>
      <c r="C232" s="133"/>
      <c r="D232" s="135"/>
      <c r="E232" s="135"/>
      <c r="F232" s="137"/>
      <c r="AA232" s="116" t="str">
        <f t="shared" si="34"/>
        <v>00000000000000</v>
      </c>
      <c r="AB232" s="117" t="str">
        <f t="shared" si="36"/>
        <v>000000000000</v>
      </c>
      <c r="AC232" s="118">
        <f t="shared" si="37"/>
        <v>1</v>
      </c>
      <c r="AD232" s="47">
        <v>2</v>
      </c>
      <c r="AE232" s="66">
        <f t="shared" si="40"/>
        <v>0</v>
      </c>
      <c r="AF232" s="66">
        <f t="shared" si="33"/>
        <v>0</v>
      </c>
      <c r="AG232" s="67" t="str">
        <f t="shared" si="41"/>
        <v>0000000000</v>
      </c>
      <c r="AH232" s="67" t="str">
        <f t="shared" si="42"/>
        <v>.00</v>
      </c>
      <c r="AI232" s="67" t="str">
        <f t="shared" si="38"/>
        <v>00</v>
      </c>
      <c r="AJ232" s="67" t="str">
        <f t="shared" si="43"/>
        <v>000000000000</v>
      </c>
      <c r="AK232" s="119"/>
      <c r="AL232" s="120"/>
      <c r="AP232" s="115" t="str">
        <f t="shared" si="39"/>
        <v/>
      </c>
    </row>
    <row r="233" spans="1:42" x14ac:dyDescent="0.2">
      <c r="A233" s="63" t="str">
        <f t="shared" si="35"/>
        <v/>
      </c>
      <c r="B233" s="133"/>
      <c r="C233" s="133"/>
      <c r="D233" s="135"/>
      <c r="E233" s="135"/>
      <c r="F233" s="137"/>
      <c r="AA233" s="116" t="str">
        <f t="shared" si="34"/>
        <v>00000000000000</v>
      </c>
      <c r="AB233" s="117" t="str">
        <f t="shared" si="36"/>
        <v>000000000000</v>
      </c>
      <c r="AC233" s="118">
        <f t="shared" si="37"/>
        <v>1</v>
      </c>
      <c r="AD233" s="47">
        <v>2</v>
      </c>
      <c r="AE233" s="66">
        <f t="shared" si="40"/>
        <v>0</v>
      </c>
      <c r="AF233" s="66">
        <f t="shared" si="33"/>
        <v>0</v>
      </c>
      <c r="AG233" s="67" t="str">
        <f t="shared" si="41"/>
        <v>0000000000</v>
      </c>
      <c r="AH233" s="67" t="str">
        <f t="shared" si="42"/>
        <v>.00</v>
      </c>
      <c r="AI233" s="67" t="str">
        <f t="shared" si="38"/>
        <v>00</v>
      </c>
      <c r="AJ233" s="67" t="str">
        <f t="shared" si="43"/>
        <v>000000000000</v>
      </c>
      <c r="AK233" s="119"/>
      <c r="AL233" s="120"/>
      <c r="AP233" s="115" t="str">
        <f t="shared" si="39"/>
        <v/>
      </c>
    </row>
    <row r="234" spans="1:42" x14ac:dyDescent="0.2">
      <c r="A234" s="63" t="str">
        <f t="shared" si="35"/>
        <v/>
      </c>
      <c r="B234" s="133"/>
      <c r="C234" s="133"/>
      <c r="D234" s="135"/>
      <c r="E234" s="135"/>
      <c r="F234" s="137"/>
      <c r="AA234" s="116" t="str">
        <f t="shared" si="34"/>
        <v>00000000000000</v>
      </c>
      <c r="AB234" s="117" t="str">
        <f t="shared" si="36"/>
        <v>000000000000</v>
      </c>
      <c r="AC234" s="118">
        <f t="shared" si="37"/>
        <v>1</v>
      </c>
      <c r="AD234" s="47">
        <v>2</v>
      </c>
      <c r="AE234" s="66">
        <f t="shared" si="40"/>
        <v>0</v>
      </c>
      <c r="AF234" s="66">
        <f t="shared" si="33"/>
        <v>0</v>
      </c>
      <c r="AG234" s="67" t="str">
        <f t="shared" si="41"/>
        <v>0000000000</v>
      </c>
      <c r="AH234" s="67" t="str">
        <f t="shared" si="42"/>
        <v>.00</v>
      </c>
      <c r="AI234" s="67" t="str">
        <f t="shared" si="38"/>
        <v>00</v>
      </c>
      <c r="AJ234" s="67" t="str">
        <f t="shared" si="43"/>
        <v>000000000000</v>
      </c>
      <c r="AK234" s="119"/>
      <c r="AL234" s="120"/>
      <c r="AP234" s="115" t="str">
        <f t="shared" si="39"/>
        <v/>
      </c>
    </row>
    <row r="235" spans="1:42" x14ac:dyDescent="0.2">
      <c r="A235" s="63" t="str">
        <f t="shared" si="35"/>
        <v/>
      </c>
      <c r="B235" s="133"/>
      <c r="C235" s="133"/>
      <c r="D235" s="135"/>
      <c r="E235" s="135"/>
      <c r="F235" s="137"/>
      <c r="AA235" s="116" t="str">
        <f t="shared" si="34"/>
        <v>00000000000000</v>
      </c>
      <c r="AB235" s="117" t="str">
        <f t="shared" si="36"/>
        <v>000000000000</v>
      </c>
      <c r="AC235" s="118">
        <f t="shared" si="37"/>
        <v>1</v>
      </c>
      <c r="AD235" s="47">
        <v>2</v>
      </c>
      <c r="AE235" s="66">
        <f t="shared" si="40"/>
        <v>0</v>
      </c>
      <c r="AF235" s="66">
        <f t="shared" si="33"/>
        <v>0</v>
      </c>
      <c r="AG235" s="67" t="str">
        <f t="shared" si="41"/>
        <v>0000000000</v>
      </c>
      <c r="AH235" s="67" t="str">
        <f t="shared" si="42"/>
        <v>.00</v>
      </c>
      <c r="AI235" s="67" t="str">
        <f t="shared" si="38"/>
        <v>00</v>
      </c>
      <c r="AJ235" s="67" t="str">
        <f t="shared" si="43"/>
        <v>000000000000</v>
      </c>
      <c r="AK235" s="119"/>
      <c r="AL235" s="120"/>
      <c r="AP235" s="115" t="str">
        <f t="shared" si="39"/>
        <v/>
      </c>
    </row>
    <row r="236" spans="1:42" x14ac:dyDescent="0.2">
      <c r="A236" s="63" t="str">
        <f t="shared" si="35"/>
        <v/>
      </c>
      <c r="B236" s="133"/>
      <c r="C236" s="133"/>
      <c r="D236" s="135"/>
      <c r="E236" s="135"/>
      <c r="F236" s="137"/>
      <c r="AA236" s="116" t="str">
        <f t="shared" si="34"/>
        <v>00000000000000</v>
      </c>
      <c r="AB236" s="117" t="str">
        <f t="shared" si="36"/>
        <v>000000000000</v>
      </c>
      <c r="AC236" s="118">
        <f t="shared" si="37"/>
        <v>1</v>
      </c>
      <c r="AD236" s="47">
        <v>2</v>
      </c>
      <c r="AE236" s="66">
        <f t="shared" si="40"/>
        <v>0</v>
      </c>
      <c r="AF236" s="66">
        <f t="shared" si="33"/>
        <v>0</v>
      </c>
      <c r="AG236" s="67" t="str">
        <f t="shared" si="41"/>
        <v>0000000000</v>
      </c>
      <c r="AH236" s="67" t="str">
        <f t="shared" si="42"/>
        <v>.00</v>
      </c>
      <c r="AI236" s="67" t="str">
        <f t="shared" si="38"/>
        <v>00</v>
      </c>
      <c r="AJ236" s="67" t="str">
        <f t="shared" si="43"/>
        <v>000000000000</v>
      </c>
      <c r="AK236" s="119"/>
      <c r="AL236" s="120"/>
      <c r="AP236" s="115" t="str">
        <f t="shared" si="39"/>
        <v/>
      </c>
    </row>
    <row r="237" spans="1:42" x14ac:dyDescent="0.2">
      <c r="A237" s="63" t="str">
        <f t="shared" si="35"/>
        <v/>
      </c>
      <c r="B237" s="133"/>
      <c r="C237" s="133"/>
      <c r="D237" s="135"/>
      <c r="E237" s="135"/>
      <c r="F237" s="137"/>
      <c r="AA237" s="116" t="str">
        <f t="shared" si="34"/>
        <v>00000000000000</v>
      </c>
      <c r="AB237" s="117" t="str">
        <f t="shared" si="36"/>
        <v>000000000000</v>
      </c>
      <c r="AC237" s="118">
        <f t="shared" si="37"/>
        <v>1</v>
      </c>
      <c r="AD237" s="47">
        <v>2</v>
      </c>
      <c r="AE237" s="66">
        <f t="shared" si="40"/>
        <v>0</v>
      </c>
      <c r="AF237" s="66">
        <f t="shared" si="33"/>
        <v>0</v>
      </c>
      <c r="AG237" s="67" t="str">
        <f t="shared" si="41"/>
        <v>0000000000</v>
      </c>
      <c r="AH237" s="67" t="str">
        <f t="shared" si="42"/>
        <v>.00</v>
      </c>
      <c r="AI237" s="67" t="str">
        <f t="shared" si="38"/>
        <v>00</v>
      </c>
      <c r="AJ237" s="67" t="str">
        <f t="shared" si="43"/>
        <v>000000000000</v>
      </c>
      <c r="AK237" s="119"/>
      <c r="AL237" s="120"/>
      <c r="AP237" s="115" t="str">
        <f t="shared" si="39"/>
        <v/>
      </c>
    </row>
    <row r="238" spans="1:42" x14ac:dyDescent="0.2">
      <c r="A238" s="63" t="str">
        <f t="shared" si="35"/>
        <v/>
      </c>
      <c r="B238" s="133"/>
      <c r="C238" s="133"/>
      <c r="D238" s="135"/>
      <c r="E238" s="135"/>
      <c r="F238" s="137"/>
      <c r="AA238" s="116" t="str">
        <f t="shared" si="34"/>
        <v>00000000000000</v>
      </c>
      <c r="AB238" s="117" t="str">
        <f t="shared" si="36"/>
        <v>000000000000</v>
      </c>
      <c r="AC238" s="118">
        <f t="shared" si="37"/>
        <v>1</v>
      </c>
      <c r="AD238" s="47">
        <v>2</v>
      </c>
      <c r="AE238" s="66">
        <f t="shared" si="40"/>
        <v>0</v>
      </c>
      <c r="AF238" s="66">
        <f t="shared" si="33"/>
        <v>0</v>
      </c>
      <c r="AG238" s="67" t="str">
        <f t="shared" si="41"/>
        <v>0000000000</v>
      </c>
      <c r="AH238" s="67" t="str">
        <f t="shared" si="42"/>
        <v>.00</v>
      </c>
      <c r="AI238" s="67" t="str">
        <f t="shared" si="38"/>
        <v>00</v>
      </c>
      <c r="AJ238" s="67" t="str">
        <f t="shared" si="43"/>
        <v>000000000000</v>
      </c>
      <c r="AK238" s="119"/>
      <c r="AL238" s="120"/>
      <c r="AP238" s="115" t="str">
        <f t="shared" si="39"/>
        <v/>
      </c>
    </row>
    <row r="239" spans="1:42" x14ac:dyDescent="0.2">
      <c r="A239" s="63" t="str">
        <f t="shared" si="35"/>
        <v/>
      </c>
      <c r="B239" s="133"/>
      <c r="C239" s="133"/>
      <c r="D239" s="135"/>
      <c r="E239" s="135"/>
      <c r="F239" s="137"/>
      <c r="AA239" s="116" t="str">
        <f t="shared" si="34"/>
        <v>00000000000000</v>
      </c>
      <c r="AB239" s="117" t="str">
        <f t="shared" si="36"/>
        <v>000000000000</v>
      </c>
      <c r="AC239" s="118">
        <f t="shared" si="37"/>
        <v>1</v>
      </c>
      <c r="AD239" s="47">
        <v>2</v>
      </c>
      <c r="AE239" s="66">
        <f t="shared" si="40"/>
        <v>0</v>
      </c>
      <c r="AF239" s="66">
        <f t="shared" si="33"/>
        <v>0</v>
      </c>
      <c r="AG239" s="67" t="str">
        <f t="shared" si="41"/>
        <v>0000000000</v>
      </c>
      <c r="AH239" s="67" t="str">
        <f t="shared" si="42"/>
        <v>.00</v>
      </c>
      <c r="AI239" s="67" t="str">
        <f t="shared" si="38"/>
        <v>00</v>
      </c>
      <c r="AJ239" s="67" t="str">
        <f t="shared" si="43"/>
        <v>000000000000</v>
      </c>
      <c r="AK239" s="119"/>
      <c r="AL239" s="120"/>
      <c r="AP239" s="115" t="str">
        <f t="shared" si="39"/>
        <v/>
      </c>
    </row>
    <row r="240" spans="1:42" x14ac:dyDescent="0.2">
      <c r="A240" s="63" t="str">
        <f t="shared" si="35"/>
        <v/>
      </c>
      <c r="B240" s="133"/>
      <c r="C240" s="133"/>
      <c r="D240" s="135"/>
      <c r="E240" s="135"/>
      <c r="F240" s="137"/>
      <c r="AA240" s="116" t="str">
        <f t="shared" si="34"/>
        <v>00000000000000</v>
      </c>
      <c r="AB240" s="117" t="str">
        <f t="shared" si="36"/>
        <v>000000000000</v>
      </c>
      <c r="AC240" s="118">
        <f t="shared" si="37"/>
        <v>1</v>
      </c>
      <c r="AD240" s="47">
        <v>2</v>
      </c>
      <c r="AE240" s="66">
        <f t="shared" si="40"/>
        <v>0</v>
      </c>
      <c r="AF240" s="66">
        <f t="shared" si="33"/>
        <v>0</v>
      </c>
      <c r="AG240" s="67" t="str">
        <f t="shared" si="41"/>
        <v>0000000000</v>
      </c>
      <c r="AH240" s="67" t="str">
        <f t="shared" si="42"/>
        <v>.00</v>
      </c>
      <c r="AI240" s="67" t="str">
        <f t="shared" si="38"/>
        <v>00</v>
      </c>
      <c r="AJ240" s="67" t="str">
        <f t="shared" si="43"/>
        <v>000000000000</v>
      </c>
      <c r="AK240" s="119"/>
      <c r="AL240" s="120"/>
      <c r="AP240" s="115" t="str">
        <f t="shared" si="39"/>
        <v/>
      </c>
    </row>
    <row r="241" spans="1:42" x14ac:dyDescent="0.2">
      <c r="A241" s="63" t="str">
        <f t="shared" si="35"/>
        <v/>
      </c>
      <c r="B241" s="133"/>
      <c r="C241" s="133"/>
      <c r="D241" s="135"/>
      <c r="E241" s="135"/>
      <c r="F241" s="137"/>
      <c r="AA241" s="116" t="str">
        <f t="shared" si="34"/>
        <v>00000000000000</v>
      </c>
      <c r="AB241" s="117" t="str">
        <f t="shared" si="36"/>
        <v>000000000000</v>
      </c>
      <c r="AC241" s="118">
        <f t="shared" si="37"/>
        <v>1</v>
      </c>
      <c r="AD241" s="47">
        <v>2</v>
      </c>
      <c r="AE241" s="66">
        <f t="shared" si="40"/>
        <v>0</v>
      </c>
      <c r="AF241" s="66">
        <f t="shared" si="33"/>
        <v>0</v>
      </c>
      <c r="AG241" s="67" t="str">
        <f t="shared" si="41"/>
        <v>0000000000</v>
      </c>
      <c r="AH241" s="67" t="str">
        <f t="shared" si="42"/>
        <v>.00</v>
      </c>
      <c r="AI241" s="67" t="str">
        <f t="shared" si="38"/>
        <v>00</v>
      </c>
      <c r="AJ241" s="67" t="str">
        <f t="shared" si="43"/>
        <v>000000000000</v>
      </c>
      <c r="AK241" s="119"/>
      <c r="AL241" s="120"/>
      <c r="AP241" s="115" t="str">
        <f t="shared" si="39"/>
        <v/>
      </c>
    </row>
    <row r="242" spans="1:42" x14ac:dyDescent="0.2">
      <c r="A242" s="63" t="str">
        <f t="shared" si="35"/>
        <v/>
      </c>
      <c r="B242" s="133"/>
      <c r="C242" s="133"/>
      <c r="D242" s="135"/>
      <c r="E242" s="135"/>
      <c r="F242" s="137"/>
      <c r="AA242" s="116" t="str">
        <f t="shared" si="34"/>
        <v>00000000000000</v>
      </c>
      <c r="AB242" s="117" t="str">
        <f t="shared" si="36"/>
        <v>000000000000</v>
      </c>
      <c r="AC242" s="118">
        <f t="shared" si="37"/>
        <v>1</v>
      </c>
      <c r="AD242" s="47">
        <v>2</v>
      </c>
      <c r="AE242" s="66">
        <f t="shared" si="40"/>
        <v>0</v>
      </c>
      <c r="AF242" s="66">
        <f t="shared" si="33"/>
        <v>0</v>
      </c>
      <c r="AG242" s="67" t="str">
        <f t="shared" si="41"/>
        <v>0000000000</v>
      </c>
      <c r="AH242" s="67" t="str">
        <f t="shared" si="42"/>
        <v>.00</v>
      </c>
      <c r="AI242" s="67" t="str">
        <f t="shared" si="38"/>
        <v>00</v>
      </c>
      <c r="AJ242" s="67" t="str">
        <f t="shared" si="43"/>
        <v>000000000000</v>
      </c>
      <c r="AK242" s="119"/>
      <c r="AL242" s="120"/>
      <c r="AP242" s="115" t="str">
        <f t="shared" si="39"/>
        <v/>
      </c>
    </row>
    <row r="243" spans="1:42" x14ac:dyDescent="0.2">
      <c r="A243" s="63" t="str">
        <f t="shared" si="35"/>
        <v/>
      </c>
      <c r="B243" s="133"/>
      <c r="C243" s="133"/>
      <c r="D243" s="135"/>
      <c r="E243" s="135"/>
      <c r="F243" s="137"/>
      <c r="AA243" s="116" t="str">
        <f t="shared" si="34"/>
        <v>00000000000000</v>
      </c>
      <c r="AB243" s="117" t="str">
        <f t="shared" si="36"/>
        <v>000000000000</v>
      </c>
      <c r="AC243" s="118">
        <f t="shared" si="37"/>
        <v>1</v>
      </c>
      <c r="AD243" s="47">
        <v>2</v>
      </c>
      <c r="AE243" s="66">
        <f t="shared" si="40"/>
        <v>0</v>
      </c>
      <c r="AF243" s="66">
        <f t="shared" si="33"/>
        <v>0</v>
      </c>
      <c r="AG243" s="67" t="str">
        <f t="shared" si="41"/>
        <v>0000000000</v>
      </c>
      <c r="AH243" s="67" t="str">
        <f t="shared" si="42"/>
        <v>.00</v>
      </c>
      <c r="AI243" s="67" t="str">
        <f t="shared" si="38"/>
        <v>00</v>
      </c>
      <c r="AJ243" s="67" t="str">
        <f t="shared" si="43"/>
        <v>000000000000</v>
      </c>
      <c r="AK243" s="119"/>
      <c r="AL243" s="120"/>
      <c r="AP243" s="115" t="str">
        <f t="shared" si="39"/>
        <v/>
      </c>
    </row>
    <row r="244" spans="1:42" x14ac:dyDescent="0.2">
      <c r="A244" s="63" t="str">
        <f t="shared" si="35"/>
        <v/>
      </c>
      <c r="B244" s="133"/>
      <c r="C244" s="133"/>
      <c r="D244" s="135"/>
      <c r="E244" s="135"/>
      <c r="F244" s="137"/>
      <c r="AA244" s="116" t="str">
        <f t="shared" si="34"/>
        <v>00000000000000</v>
      </c>
      <c r="AB244" s="117" t="str">
        <f t="shared" si="36"/>
        <v>000000000000</v>
      </c>
      <c r="AC244" s="118">
        <f t="shared" si="37"/>
        <v>1</v>
      </c>
      <c r="AD244" s="47">
        <v>2</v>
      </c>
      <c r="AE244" s="66">
        <f t="shared" si="40"/>
        <v>0</v>
      </c>
      <c r="AF244" s="66">
        <f t="shared" si="33"/>
        <v>0</v>
      </c>
      <c r="AG244" s="67" t="str">
        <f t="shared" si="41"/>
        <v>0000000000</v>
      </c>
      <c r="AH244" s="67" t="str">
        <f t="shared" si="42"/>
        <v>.00</v>
      </c>
      <c r="AI244" s="67" t="str">
        <f t="shared" si="38"/>
        <v>00</v>
      </c>
      <c r="AJ244" s="67" t="str">
        <f t="shared" si="43"/>
        <v>000000000000</v>
      </c>
      <c r="AK244" s="119"/>
      <c r="AL244" s="120"/>
      <c r="AP244" s="115" t="str">
        <f t="shared" si="39"/>
        <v/>
      </c>
    </row>
    <row r="245" spans="1:42" x14ac:dyDescent="0.2">
      <c r="A245" s="63" t="str">
        <f t="shared" si="35"/>
        <v/>
      </c>
      <c r="B245" s="133"/>
      <c r="C245" s="133"/>
      <c r="D245" s="135"/>
      <c r="E245" s="135"/>
      <c r="F245" s="137"/>
      <c r="AA245" s="116" t="str">
        <f t="shared" si="34"/>
        <v>00000000000000</v>
      </c>
      <c r="AB245" s="117" t="str">
        <f t="shared" si="36"/>
        <v>000000000000</v>
      </c>
      <c r="AC245" s="118">
        <f t="shared" si="37"/>
        <v>1</v>
      </c>
      <c r="AD245" s="47">
        <v>2</v>
      </c>
      <c r="AE245" s="66">
        <f t="shared" si="40"/>
        <v>0</v>
      </c>
      <c r="AF245" s="66">
        <f t="shared" si="33"/>
        <v>0</v>
      </c>
      <c r="AG245" s="67" t="str">
        <f t="shared" si="41"/>
        <v>0000000000</v>
      </c>
      <c r="AH245" s="67" t="str">
        <f t="shared" si="42"/>
        <v>.00</v>
      </c>
      <c r="AI245" s="67" t="str">
        <f t="shared" si="38"/>
        <v>00</v>
      </c>
      <c r="AJ245" s="67" t="str">
        <f t="shared" si="43"/>
        <v>000000000000</v>
      </c>
      <c r="AK245" s="119"/>
      <c r="AL245" s="120"/>
      <c r="AP245" s="115" t="str">
        <f t="shared" si="39"/>
        <v/>
      </c>
    </row>
    <row r="246" spans="1:42" x14ac:dyDescent="0.2">
      <c r="A246" s="63" t="str">
        <f t="shared" si="35"/>
        <v/>
      </c>
      <c r="B246" s="133"/>
      <c r="C246" s="133"/>
      <c r="D246" s="135"/>
      <c r="E246" s="135"/>
      <c r="F246" s="137"/>
      <c r="AA246" s="116" t="str">
        <f t="shared" si="34"/>
        <v>00000000000000</v>
      </c>
      <c r="AB246" s="117" t="str">
        <f t="shared" si="36"/>
        <v>000000000000</v>
      </c>
      <c r="AC246" s="118">
        <f t="shared" si="37"/>
        <v>1</v>
      </c>
      <c r="AD246" s="47">
        <v>2</v>
      </c>
      <c r="AE246" s="66">
        <f t="shared" si="40"/>
        <v>0</v>
      </c>
      <c r="AF246" s="66">
        <f t="shared" si="33"/>
        <v>0</v>
      </c>
      <c r="AG246" s="67" t="str">
        <f t="shared" si="41"/>
        <v>0000000000</v>
      </c>
      <c r="AH246" s="67" t="str">
        <f t="shared" si="42"/>
        <v>.00</v>
      </c>
      <c r="AI246" s="67" t="str">
        <f t="shared" si="38"/>
        <v>00</v>
      </c>
      <c r="AJ246" s="67" t="str">
        <f t="shared" si="43"/>
        <v>000000000000</v>
      </c>
      <c r="AK246" s="119"/>
      <c r="AL246" s="120"/>
      <c r="AP246" s="115" t="str">
        <f t="shared" si="39"/>
        <v/>
      </c>
    </row>
    <row r="247" spans="1:42" x14ac:dyDescent="0.2">
      <c r="A247" s="63" t="str">
        <f t="shared" si="35"/>
        <v/>
      </c>
      <c r="B247" s="133"/>
      <c r="C247" s="133"/>
      <c r="D247" s="135"/>
      <c r="E247" s="135"/>
      <c r="F247" s="137"/>
      <c r="AA247" s="116" t="str">
        <f t="shared" si="34"/>
        <v>00000000000000</v>
      </c>
      <c r="AB247" s="117" t="str">
        <f t="shared" si="36"/>
        <v>000000000000</v>
      </c>
      <c r="AC247" s="118">
        <f t="shared" si="37"/>
        <v>1</v>
      </c>
      <c r="AD247" s="47">
        <v>2</v>
      </c>
      <c r="AE247" s="66">
        <f t="shared" si="40"/>
        <v>0</v>
      </c>
      <c r="AF247" s="66">
        <f t="shared" si="33"/>
        <v>0</v>
      </c>
      <c r="AG247" s="67" t="str">
        <f t="shared" si="41"/>
        <v>0000000000</v>
      </c>
      <c r="AH247" s="67" t="str">
        <f t="shared" si="42"/>
        <v>.00</v>
      </c>
      <c r="AI247" s="67" t="str">
        <f t="shared" si="38"/>
        <v>00</v>
      </c>
      <c r="AJ247" s="67" t="str">
        <f t="shared" si="43"/>
        <v>000000000000</v>
      </c>
      <c r="AK247" s="119"/>
      <c r="AL247" s="120"/>
      <c r="AP247" s="115" t="str">
        <f t="shared" si="39"/>
        <v/>
      </c>
    </row>
    <row r="248" spans="1:42" x14ac:dyDescent="0.2">
      <c r="A248" s="63" t="str">
        <f t="shared" si="35"/>
        <v/>
      </c>
      <c r="B248" s="133"/>
      <c r="C248" s="133"/>
      <c r="D248" s="135"/>
      <c r="E248" s="135"/>
      <c r="F248" s="137"/>
      <c r="AA248" s="116" t="str">
        <f t="shared" si="34"/>
        <v>00000000000000</v>
      </c>
      <c r="AB248" s="117" t="str">
        <f t="shared" si="36"/>
        <v>000000000000</v>
      </c>
      <c r="AC248" s="118">
        <f t="shared" si="37"/>
        <v>1</v>
      </c>
      <c r="AD248" s="47">
        <v>2</v>
      </c>
      <c r="AE248" s="66">
        <f t="shared" si="40"/>
        <v>0</v>
      </c>
      <c r="AF248" s="66">
        <f t="shared" si="33"/>
        <v>0</v>
      </c>
      <c r="AG248" s="67" t="str">
        <f t="shared" si="41"/>
        <v>0000000000</v>
      </c>
      <c r="AH248" s="67" t="str">
        <f t="shared" si="42"/>
        <v>.00</v>
      </c>
      <c r="AI248" s="67" t="str">
        <f t="shared" si="38"/>
        <v>00</v>
      </c>
      <c r="AJ248" s="67" t="str">
        <f t="shared" si="43"/>
        <v>000000000000</v>
      </c>
      <c r="AK248" s="119"/>
      <c r="AL248" s="120"/>
      <c r="AP248" s="115" t="str">
        <f t="shared" si="39"/>
        <v/>
      </c>
    </row>
    <row r="249" spans="1:42" x14ac:dyDescent="0.2">
      <c r="A249" s="63" t="str">
        <f t="shared" si="35"/>
        <v/>
      </c>
      <c r="B249" s="133"/>
      <c r="C249" s="133"/>
      <c r="D249" s="135"/>
      <c r="E249" s="135"/>
      <c r="F249" s="137"/>
      <c r="AA249" s="116" t="str">
        <f t="shared" si="34"/>
        <v>00000000000000</v>
      </c>
      <c r="AB249" s="117" t="str">
        <f t="shared" si="36"/>
        <v>000000000000</v>
      </c>
      <c r="AC249" s="118">
        <f t="shared" si="37"/>
        <v>1</v>
      </c>
      <c r="AD249" s="47">
        <v>2</v>
      </c>
      <c r="AE249" s="66">
        <f t="shared" si="40"/>
        <v>0</v>
      </c>
      <c r="AF249" s="66">
        <f t="shared" si="33"/>
        <v>0</v>
      </c>
      <c r="AG249" s="67" t="str">
        <f t="shared" si="41"/>
        <v>0000000000</v>
      </c>
      <c r="AH249" s="67" t="str">
        <f t="shared" si="42"/>
        <v>.00</v>
      </c>
      <c r="AI249" s="67" t="str">
        <f t="shared" si="38"/>
        <v>00</v>
      </c>
      <c r="AJ249" s="67" t="str">
        <f t="shared" si="43"/>
        <v>000000000000</v>
      </c>
      <c r="AK249" s="119"/>
      <c r="AL249" s="120"/>
      <c r="AP249" s="115" t="str">
        <f t="shared" si="39"/>
        <v/>
      </c>
    </row>
    <row r="250" spans="1:42" x14ac:dyDescent="0.2">
      <c r="A250" s="63" t="str">
        <f t="shared" si="35"/>
        <v/>
      </c>
      <c r="B250" s="133"/>
      <c r="C250" s="133"/>
      <c r="D250" s="135"/>
      <c r="E250" s="135"/>
      <c r="F250" s="137"/>
      <c r="AA250" s="116" t="str">
        <f t="shared" si="34"/>
        <v>00000000000000</v>
      </c>
      <c r="AB250" s="117" t="str">
        <f t="shared" si="36"/>
        <v>000000000000</v>
      </c>
      <c r="AC250" s="118">
        <f t="shared" si="37"/>
        <v>1</v>
      </c>
      <c r="AD250" s="47">
        <v>2</v>
      </c>
      <c r="AE250" s="66">
        <f t="shared" si="40"/>
        <v>0</v>
      </c>
      <c r="AF250" s="66">
        <f t="shared" si="33"/>
        <v>0</v>
      </c>
      <c r="AG250" s="67" t="str">
        <f t="shared" si="41"/>
        <v>0000000000</v>
      </c>
      <c r="AH250" s="67" t="str">
        <f t="shared" si="42"/>
        <v>.00</v>
      </c>
      <c r="AI250" s="67" t="str">
        <f t="shared" si="38"/>
        <v>00</v>
      </c>
      <c r="AJ250" s="67" t="str">
        <f t="shared" si="43"/>
        <v>000000000000</v>
      </c>
      <c r="AK250" s="119"/>
      <c r="AL250" s="120"/>
      <c r="AP250" s="115" t="str">
        <f t="shared" si="39"/>
        <v/>
      </c>
    </row>
    <row r="251" spans="1:42" x14ac:dyDescent="0.2">
      <c r="A251" s="63" t="str">
        <f t="shared" si="35"/>
        <v/>
      </c>
      <c r="B251" s="133"/>
      <c r="C251" s="133"/>
      <c r="D251" s="135"/>
      <c r="E251" s="135"/>
      <c r="F251" s="137"/>
      <c r="AA251" s="116" t="str">
        <f t="shared" si="34"/>
        <v>00000000000000</v>
      </c>
      <c r="AB251" s="117" t="str">
        <f t="shared" si="36"/>
        <v>000000000000</v>
      </c>
      <c r="AC251" s="118">
        <f t="shared" si="37"/>
        <v>1</v>
      </c>
      <c r="AD251" s="47">
        <v>2</v>
      </c>
      <c r="AE251" s="66">
        <f t="shared" si="40"/>
        <v>0</v>
      </c>
      <c r="AF251" s="66">
        <f t="shared" si="33"/>
        <v>0</v>
      </c>
      <c r="AG251" s="67" t="str">
        <f t="shared" si="41"/>
        <v>0000000000</v>
      </c>
      <c r="AH251" s="67" t="str">
        <f t="shared" si="42"/>
        <v>.00</v>
      </c>
      <c r="AI251" s="67" t="str">
        <f t="shared" si="38"/>
        <v>00</v>
      </c>
      <c r="AJ251" s="67" t="str">
        <f t="shared" si="43"/>
        <v>000000000000</v>
      </c>
      <c r="AK251" s="119"/>
      <c r="AL251" s="120"/>
      <c r="AP251" s="115" t="str">
        <f t="shared" si="39"/>
        <v/>
      </c>
    </row>
    <row r="252" spans="1:42" x14ac:dyDescent="0.2">
      <c r="A252" s="63" t="str">
        <f t="shared" si="35"/>
        <v/>
      </c>
      <c r="B252" s="133"/>
      <c r="C252" s="133"/>
      <c r="D252" s="135"/>
      <c r="E252" s="135"/>
      <c r="F252" s="137"/>
      <c r="AA252" s="116" t="str">
        <f t="shared" si="34"/>
        <v>00000000000000</v>
      </c>
      <c r="AB252" s="117" t="str">
        <f t="shared" si="36"/>
        <v>000000000000</v>
      </c>
      <c r="AC252" s="118">
        <f t="shared" si="37"/>
        <v>1</v>
      </c>
      <c r="AD252" s="47">
        <v>2</v>
      </c>
      <c r="AE252" s="66">
        <f t="shared" si="40"/>
        <v>0</v>
      </c>
      <c r="AF252" s="66">
        <f t="shared" si="33"/>
        <v>0</v>
      </c>
      <c r="AG252" s="67" t="str">
        <f t="shared" si="41"/>
        <v>0000000000</v>
      </c>
      <c r="AH252" s="67" t="str">
        <f t="shared" si="42"/>
        <v>.00</v>
      </c>
      <c r="AI252" s="67" t="str">
        <f t="shared" si="38"/>
        <v>00</v>
      </c>
      <c r="AJ252" s="67" t="str">
        <f t="shared" si="43"/>
        <v>000000000000</v>
      </c>
      <c r="AK252" s="119"/>
      <c r="AL252" s="120"/>
      <c r="AP252" s="115" t="str">
        <f t="shared" si="39"/>
        <v/>
      </c>
    </row>
    <row r="253" spans="1:42" x14ac:dyDescent="0.2">
      <c r="A253" s="63" t="str">
        <f t="shared" si="35"/>
        <v/>
      </c>
      <c r="B253" s="133"/>
      <c r="C253" s="133"/>
      <c r="D253" s="135"/>
      <c r="E253" s="135"/>
      <c r="F253" s="137"/>
      <c r="AA253" s="116" t="str">
        <f t="shared" si="34"/>
        <v>00000000000000</v>
      </c>
      <c r="AB253" s="117" t="str">
        <f t="shared" si="36"/>
        <v>000000000000</v>
      </c>
      <c r="AC253" s="118">
        <f t="shared" si="37"/>
        <v>1</v>
      </c>
      <c r="AD253" s="47">
        <v>2</v>
      </c>
      <c r="AE253" s="66">
        <f t="shared" si="40"/>
        <v>0</v>
      </c>
      <c r="AF253" s="66">
        <f t="shared" si="33"/>
        <v>0</v>
      </c>
      <c r="AG253" s="67" t="str">
        <f t="shared" si="41"/>
        <v>0000000000</v>
      </c>
      <c r="AH253" s="67" t="str">
        <f t="shared" si="42"/>
        <v>.00</v>
      </c>
      <c r="AI253" s="67" t="str">
        <f t="shared" si="38"/>
        <v>00</v>
      </c>
      <c r="AJ253" s="67" t="str">
        <f t="shared" si="43"/>
        <v>000000000000</v>
      </c>
      <c r="AK253" s="119"/>
      <c r="AL253" s="120"/>
      <c r="AP253" s="115" t="str">
        <f t="shared" si="39"/>
        <v/>
      </c>
    </row>
    <row r="254" spans="1:42" x14ac:dyDescent="0.2">
      <c r="A254" s="63" t="str">
        <f t="shared" si="35"/>
        <v/>
      </c>
      <c r="B254" s="133"/>
      <c r="C254" s="133"/>
      <c r="D254" s="135"/>
      <c r="E254" s="135"/>
      <c r="F254" s="137"/>
      <c r="AA254" s="116" t="str">
        <f t="shared" si="34"/>
        <v>00000000000000</v>
      </c>
      <c r="AB254" s="117" t="str">
        <f t="shared" si="36"/>
        <v>000000000000</v>
      </c>
      <c r="AC254" s="118">
        <f t="shared" si="37"/>
        <v>1</v>
      </c>
      <c r="AD254" s="47">
        <v>2</v>
      </c>
      <c r="AE254" s="66">
        <f t="shared" si="40"/>
        <v>0</v>
      </c>
      <c r="AF254" s="66">
        <f t="shared" si="33"/>
        <v>0</v>
      </c>
      <c r="AG254" s="67" t="str">
        <f t="shared" si="41"/>
        <v>0000000000</v>
      </c>
      <c r="AH254" s="67" t="str">
        <f t="shared" si="42"/>
        <v>.00</v>
      </c>
      <c r="AI254" s="67" t="str">
        <f t="shared" si="38"/>
        <v>00</v>
      </c>
      <c r="AJ254" s="67" t="str">
        <f t="shared" si="43"/>
        <v>000000000000</v>
      </c>
      <c r="AK254" s="119"/>
      <c r="AL254" s="120"/>
      <c r="AP254" s="115" t="str">
        <f t="shared" si="39"/>
        <v/>
      </c>
    </row>
    <row r="255" spans="1:42" x14ac:dyDescent="0.2">
      <c r="A255" s="63" t="str">
        <f t="shared" si="35"/>
        <v/>
      </c>
      <c r="B255" s="133"/>
      <c r="C255" s="133"/>
      <c r="D255" s="135"/>
      <c r="E255" s="135"/>
      <c r="F255" s="137"/>
      <c r="AA255" s="116" t="str">
        <f t="shared" si="34"/>
        <v>00000000000000</v>
      </c>
      <c r="AB255" s="117" t="str">
        <f t="shared" si="36"/>
        <v>000000000000</v>
      </c>
      <c r="AC255" s="118">
        <f t="shared" si="37"/>
        <v>1</v>
      </c>
      <c r="AD255" s="47">
        <v>2</v>
      </c>
      <c r="AE255" s="66">
        <f t="shared" si="40"/>
        <v>0</v>
      </c>
      <c r="AF255" s="66">
        <f t="shared" si="33"/>
        <v>0</v>
      </c>
      <c r="AG255" s="67" t="str">
        <f t="shared" si="41"/>
        <v>0000000000</v>
      </c>
      <c r="AH255" s="67" t="str">
        <f t="shared" si="42"/>
        <v>.00</v>
      </c>
      <c r="AI255" s="67" t="str">
        <f t="shared" si="38"/>
        <v>00</v>
      </c>
      <c r="AJ255" s="67" t="str">
        <f t="shared" si="43"/>
        <v>000000000000</v>
      </c>
      <c r="AK255" s="119"/>
      <c r="AL255" s="120"/>
      <c r="AP255" s="115" t="str">
        <f t="shared" si="39"/>
        <v/>
      </c>
    </row>
    <row r="256" spans="1:42" x14ac:dyDescent="0.2">
      <c r="A256" s="63" t="str">
        <f t="shared" si="35"/>
        <v/>
      </c>
      <c r="B256" s="133"/>
      <c r="C256" s="133"/>
      <c r="D256" s="135"/>
      <c r="E256" s="135"/>
      <c r="F256" s="137"/>
      <c r="AA256" s="116" t="str">
        <f t="shared" si="34"/>
        <v>00000000000000</v>
      </c>
      <c r="AB256" s="117" t="str">
        <f t="shared" si="36"/>
        <v>000000000000</v>
      </c>
      <c r="AC256" s="118">
        <f t="shared" si="37"/>
        <v>1</v>
      </c>
      <c r="AD256" s="47">
        <v>2</v>
      </c>
      <c r="AE256" s="66">
        <f t="shared" si="40"/>
        <v>0</v>
      </c>
      <c r="AF256" s="66">
        <f t="shared" si="33"/>
        <v>0</v>
      </c>
      <c r="AG256" s="67" t="str">
        <f t="shared" si="41"/>
        <v>0000000000</v>
      </c>
      <c r="AH256" s="67" t="str">
        <f t="shared" si="42"/>
        <v>.00</v>
      </c>
      <c r="AI256" s="67" t="str">
        <f t="shared" si="38"/>
        <v>00</v>
      </c>
      <c r="AJ256" s="67" t="str">
        <f t="shared" si="43"/>
        <v>000000000000</v>
      </c>
      <c r="AK256" s="119"/>
      <c r="AL256" s="120"/>
      <c r="AP256" s="115" t="str">
        <f t="shared" si="39"/>
        <v/>
      </c>
    </row>
    <row r="257" spans="1:42" x14ac:dyDescent="0.2">
      <c r="A257" s="63" t="str">
        <f t="shared" si="35"/>
        <v/>
      </c>
      <c r="B257" s="133"/>
      <c r="C257" s="133"/>
      <c r="D257" s="135"/>
      <c r="E257" s="135"/>
      <c r="F257" s="137"/>
      <c r="AA257" s="116" t="str">
        <f t="shared" si="34"/>
        <v>00000000000000</v>
      </c>
      <c r="AB257" s="117" t="str">
        <f t="shared" si="36"/>
        <v>000000000000</v>
      </c>
      <c r="AC257" s="118">
        <f t="shared" si="37"/>
        <v>1</v>
      </c>
      <c r="AD257" s="47">
        <v>2</v>
      </c>
      <c r="AE257" s="66">
        <f t="shared" si="40"/>
        <v>0</v>
      </c>
      <c r="AF257" s="66">
        <f t="shared" si="33"/>
        <v>0</v>
      </c>
      <c r="AG257" s="67" t="str">
        <f t="shared" si="41"/>
        <v>0000000000</v>
      </c>
      <c r="AH257" s="67" t="str">
        <f t="shared" si="42"/>
        <v>.00</v>
      </c>
      <c r="AI257" s="67" t="str">
        <f t="shared" si="38"/>
        <v>00</v>
      </c>
      <c r="AJ257" s="67" t="str">
        <f t="shared" si="43"/>
        <v>000000000000</v>
      </c>
      <c r="AK257" s="119"/>
      <c r="AL257" s="120"/>
      <c r="AP257" s="115" t="str">
        <f t="shared" si="39"/>
        <v/>
      </c>
    </row>
    <row r="258" spans="1:42" x14ac:dyDescent="0.2">
      <c r="A258" s="63" t="str">
        <f t="shared" si="35"/>
        <v/>
      </c>
      <c r="B258" s="133"/>
      <c r="C258" s="133"/>
      <c r="D258" s="135"/>
      <c r="E258" s="135"/>
      <c r="F258" s="137"/>
      <c r="AA258" s="116" t="str">
        <f t="shared" si="34"/>
        <v>00000000000000</v>
      </c>
      <c r="AB258" s="117" t="str">
        <f t="shared" si="36"/>
        <v>000000000000</v>
      </c>
      <c r="AC258" s="118">
        <f t="shared" si="37"/>
        <v>1</v>
      </c>
      <c r="AD258" s="47">
        <v>2</v>
      </c>
      <c r="AE258" s="66">
        <f t="shared" si="40"/>
        <v>0</v>
      </c>
      <c r="AF258" s="66">
        <f t="shared" si="33"/>
        <v>0</v>
      </c>
      <c r="AG258" s="67" t="str">
        <f t="shared" si="41"/>
        <v>0000000000</v>
      </c>
      <c r="AH258" s="67" t="str">
        <f t="shared" si="42"/>
        <v>.00</v>
      </c>
      <c r="AI258" s="67" t="str">
        <f t="shared" si="38"/>
        <v>00</v>
      </c>
      <c r="AJ258" s="67" t="str">
        <f t="shared" si="43"/>
        <v>000000000000</v>
      </c>
      <c r="AK258" s="119"/>
      <c r="AL258" s="120"/>
      <c r="AP258" s="115" t="str">
        <f t="shared" si="39"/>
        <v/>
      </c>
    </row>
    <row r="259" spans="1:42" x14ac:dyDescent="0.2">
      <c r="A259" s="63" t="str">
        <f t="shared" si="35"/>
        <v/>
      </c>
      <c r="B259" s="133"/>
      <c r="C259" s="133"/>
      <c r="D259" s="135"/>
      <c r="E259" s="135"/>
      <c r="F259" s="137"/>
      <c r="AA259" s="116" t="str">
        <f t="shared" si="34"/>
        <v>00000000000000</v>
      </c>
      <c r="AB259" s="117" t="str">
        <f t="shared" si="36"/>
        <v>000000000000</v>
      </c>
      <c r="AC259" s="118">
        <f t="shared" si="37"/>
        <v>1</v>
      </c>
      <c r="AD259" s="47">
        <v>2</v>
      </c>
      <c r="AE259" s="66">
        <f t="shared" si="40"/>
        <v>0</v>
      </c>
      <c r="AF259" s="66">
        <f t="shared" ref="AF259:AF322" si="44">F259-AE259</f>
        <v>0</v>
      </c>
      <c r="AG259" s="67" t="str">
        <f t="shared" si="41"/>
        <v>0000000000</v>
      </c>
      <c r="AH259" s="67" t="str">
        <f t="shared" si="42"/>
        <v>.00</v>
      </c>
      <c r="AI259" s="67" t="str">
        <f t="shared" si="38"/>
        <v>00</v>
      </c>
      <c r="AJ259" s="67" t="str">
        <f t="shared" si="43"/>
        <v>000000000000</v>
      </c>
      <c r="AK259" s="119"/>
      <c r="AL259" s="120"/>
      <c r="AP259" s="115" t="str">
        <f t="shared" si="39"/>
        <v/>
      </c>
    </row>
    <row r="260" spans="1:42" x14ac:dyDescent="0.2">
      <c r="A260" s="63" t="str">
        <f t="shared" si="35"/>
        <v/>
      </c>
      <c r="B260" s="133"/>
      <c r="C260" s="133"/>
      <c r="D260" s="135"/>
      <c r="E260" s="135"/>
      <c r="F260" s="137"/>
      <c r="AA260" s="116" t="str">
        <f t="shared" ref="AA260:AA323" si="45">CONCATENATE(REPT("0",14-LEN(B260)),B260)</f>
        <v>00000000000000</v>
      </c>
      <c r="AB260" s="117" t="str">
        <f t="shared" si="36"/>
        <v>000000000000</v>
      </c>
      <c r="AC260" s="118">
        <f t="shared" si="37"/>
        <v>1</v>
      </c>
      <c r="AD260" s="47">
        <v>2</v>
      </c>
      <c r="AE260" s="66">
        <f t="shared" si="40"/>
        <v>0</v>
      </c>
      <c r="AF260" s="66">
        <f t="shared" si="44"/>
        <v>0</v>
      </c>
      <c r="AG260" s="67" t="str">
        <f t="shared" si="41"/>
        <v>0000000000</v>
      </c>
      <c r="AH260" s="67" t="str">
        <f t="shared" si="42"/>
        <v>.00</v>
      </c>
      <c r="AI260" s="67" t="str">
        <f t="shared" si="38"/>
        <v>00</v>
      </c>
      <c r="AJ260" s="67" t="str">
        <f t="shared" si="43"/>
        <v>000000000000</v>
      </c>
      <c r="AK260" s="119"/>
      <c r="AL260" s="120"/>
      <c r="AP260" s="115" t="str">
        <f t="shared" si="39"/>
        <v/>
      </c>
    </row>
    <row r="261" spans="1:42" x14ac:dyDescent="0.2">
      <c r="A261" s="63" t="str">
        <f t="shared" ref="A261:A324" si="46">IF(B261&lt;&gt;"",A260+1,"")</f>
        <v/>
      </c>
      <c r="B261" s="133"/>
      <c r="C261" s="133"/>
      <c r="D261" s="135"/>
      <c r="E261" s="135"/>
      <c r="F261" s="137"/>
      <c r="AA261" s="116" t="str">
        <f t="shared" si="45"/>
        <v>00000000000000</v>
      </c>
      <c r="AB261" s="117" t="str">
        <f t="shared" ref="AB261:AB324" si="47">CONCATENATE(REPT("0",12-LEN(C261)),C261)</f>
        <v>000000000000</v>
      </c>
      <c r="AC261" s="118">
        <f t="shared" ref="AC261:AC324" si="48">AC260</f>
        <v>1</v>
      </c>
      <c r="AD261" s="47">
        <v>2</v>
      </c>
      <c r="AE261" s="66">
        <f t="shared" si="40"/>
        <v>0</v>
      </c>
      <c r="AF261" s="66">
        <f t="shared" si="44"/>
        <v>0</v>
      </c>
      <c r="AG261" s="67" t="str">
        <f t="shared" si="41"/>
        <v>0000000000</v>
      </c>
      <c r="AH261" s="67" t="str">
        <f t="shared" si="42"/>
        <v>.00</v>
      </c>
      <c r="AI261" s="67" t="str">
        <f t="shared" ref="AI261:AI324" si="49">MID(AH261,2,2)</f>
        <v>00</v>
      </c>
      <c r="AJ261" s="67" t="str">
        <f t="shared" si="43"/>
        <v>000000000000</v>
      </c>
      <c r="AK261" s="119"/>
      <c r="AL261" s="120"/>
      <c r="AP261" s="115" t="str">
        <f t="shared" si="39"/>
        <v/>
      </c>
    </row>
    <row r="262" spans="1:42" x14ac:dyDescent="0.2">
      <c r="A262" s="63" t="str">
        <f t="shared" si="46"/>
        <v/>
      </c>
      <c r="B262" s="133"/>
      <c r="C262" s="133"/>
      <c r="D262" s="135"/>
      <c r="E262" s="135"/>
      <c r="F262" s="137"/>
      <c r="AA262" s="116" t="str">
        <f t="shared" si="45"/>
        <v>00000000000000</v>
      </c>
      <c r="AB262" s="117" t="str">
        <f t="shared" si="47"/>
        <v>000000000000</v>
      </c>
      <c r="AC262" s="118">
        <f t="shared" si="48"/>
        <v>1</v>
      </c>
      <c r="AD262" s="47">
        <v>2</v>
      </c>
      <c r="AE262" s="66">
        <f t="shared" si="40"/>
        <v>0</v>
      </c>
      <c r="AF262" s="66">
        <f t="shared" si="44"/>
        <v>0</v>
      </c>
      <c r="AG262" s="67" t="str">
        <f t="shared" si="41"/>
        <v>0000000000</v>
      </c>
      <c r="AH262" s="67" t="str">
        <f t="shared" si="42"/>
        <v>.00</v>
      </c>
      <c r="AI262" s="67" t="str">
        <f t="shared" si="49"/>
        <v>00</v>
      </c>
      <c r="AJ262" s="67" t="str">
        <f t="shared" si="43"/>
        <v>000000000000</v>
      </c>
      <c r="AK262" s="119"/>
      <c r="AL262" s="120"/>
      <c r="AP262" s="115" t="str">
        <f t="shared" ref="AP262:AP325" si="50">IF(B263&lt;&gt;"",CONCATENATE("00000",$AD$1,AA263,$AC$3,"2",AB263,AJ263,$AL$3,"0                                                  "),"")</f>
        <v/>
      </c>
    </row>
    <row r="263" spans="1:42" x14ac:dyDescent="0.2">
      <c r="A263" s="63" t="str">
        <f t="shared" si="46"/>
        <v/>
      </c>
      <c r="B263" s="133"/>
      <c r="C263" s="133"/>
      <c r="D263" s="135"/>
      <c r="E263" s="135"/>
      <c r="F263" s="137"/>
      <c r="AA263" s="116" t="str">
        <f t="shared" si="45"/>
        <v>00000000000000</v>
      </c>
      <c r="AB263" s="117" t="str">
        <f t="shared" si="47"/>
        <v>000000000000</v>
      </c>
      <c r="AC263" s="118">
        <f t="shared" si="48"/>
        <v>1</v>
      </c>
      <c r="AD263" s="47">
        <v>2</v>
      </c>
      <c r="AE263" s="66">
        <f t="shared" si="40"/>
        <v>0</v>
      </c>
      <c r="AF263" s="66">
        <f t="shared" si="44"/>
        <v>0</v>
      </c>
      <c r="AG263" s="67" t="str">
        <f t="shared" si="41"/>
        <v>0000000000</v>
      </c>
      <c r="AH263" s="67" t="str">
        <f t="shared" si="42"/>
        <v>.00</v>
      </c>
      <c r="AI263" s="67" t="str">
        <f t="shared" si="49"/>
        <v>00</v>
      </c>
      <c r="AJ263" s="67" t="str">
        <f t="shared" si="43"/>
        <v>000000000000</v>
      </c>
      <c r="AK263" s="119"/>
      <c r="AL263" s="120"/>
      <c r="AP263" s="115" t="str">
        <f t="shared" si="50"/>
        <v/>
      </c>
    </row>
    <row r="264" spans="1:42" x14ac:dyDescent="0.2">
      <c r="A264" s="63" t="str">
        <f t="shared" si="46"/>
        <v/>
      </c>
      <c r="B264" s="133"/>
      <c r="C264" s="133"/>
      <c r="D264" s="135"/>
      <c r="E264" s="135"/>
      <c r="F264" s="137"/>
      <c r="AA264" s="116" t="str">
        <f t="shared" si="45"/>
        <v>00000000000000</v>
      </c>
      <c r="AB264" s="117" t="str">
        <f t="shared" si="47"/>
        <v>000000000000</v>
      </c>
      <c r="AC264" s="118">
        <f t="shared" si="48"/>
        <v>1</v>
      </c>
      <c r="AD264" s="47">
        <v>2</v>
      </c>
      <c r="AE264" s="66">
        <f t="shared" ref="AE264:AE327" si="51">INT(F264)</f>
        <v>0</v>
      </c>
      <c r="AF264" s="66">
        <f t="shared" si="44"/>
        <v>0</v>
      </c>
      <c r="AG264" s="67" t="str">
        <f t="shared" ref="AG264:AG327" si="52">TEXT(AE264,"0000000000")</f>
        <v>0000000000</v>
      </c>
      <c r="AH264" s="67" t="str">
        <f t="shared" ref="AH264:AH327" si="53">TEXT(AF264,".00")</f>
        <v>.00</v>
      </c>
      <c r="AI264" s="67" t="str">
        <f t="shared" si="49"/>
        <v>00</v>
      </c>
      <c r="AJ264" s="67" t="str">
        <f t="shared" ref="AJ264:AJ327" si="54">CONCATENATE(AG264,AI264)</f>
        <v>000000000000</v>
      </c>
      <c r="AK264" s="119"/>
      <c r="AL264" s="120"/>
      <c r="AP264" s="115" t="str">
        <f t="shared" si="50"/>
        <v/>
      </c>
    </row>
    <row r="265" spans="1:42" x14ac:dyDescent="0.2">
      <c r="A265" s="63" t="str">
        <f t="shared" si="46"/>
        <v/>
      </c>
      <c r="B265" s="133"/>
      <c r="C265" s="133"/>
      <c r="D265" s="135"/>
      <c r="E265" s="135"/>
      <c r="F265" s="137"/>
      <c r="AA265" s="116" t="str">
        <f t="shared" si="45"/>
        <v>00000000000000</v>
      </c>
      <c r="AB265" s="117" t="str">
        <f t="shared" si="47"/>
        <v>000000000000</v>
      </c>
      <c r="AC265" s="118">
        <f t="shared" si="48"/>
        <v>1</v>
      </c>
      <c r="AD265" s="47">
        <v>2</v>
      </c>
      <c r="AE265" s="66">
        <f t="shared" si="51"/>
        <v>0</v>
      </c>
      <c r="AF265" s="66">
        <f t="shared" si="44"/>
        <v>0</v>
      </c>
      <c r="AG265" s="67" t="str">
        <f t="shared" si="52"/>
        <v>0000000000</v>
      </c>
      <c r="AH265" s="67" t="str">
        <f t="shared" si="53"/>
        <v>.00</v>
      </c>
      <c r="AI265" s="67" t="str">
        <f t="shared" si="49"/>
        <v>00</v>
      </c>
      <c r="AJ265" s="67" t="str">
        <f t="shared" si="54"/>
        <v>000000000000</v>
      </c>
      <c r="AK265" s="119"/>
      <c r="AL265" s="120"/>
      <c r="AP265" s="115" t="str">
        <f t="shared" si="50"/>
        <v/>
      </c>
    </row>
    <row r="266" spans="1:42" x14ac:dyDescent="0.2">
      <c r="A266" s="63" t="str">
        <f t="shared" si="46"/>
        <v/>
      </c>
      <c r="B266" s="133"/>
      <c r="C266" s="133"/>
      <c r="D266" s="135"/>
      <c r="E266" s="135"/>
      <c r="F266" s="137"/>
      <c r="AA266" s="116" t="str">
        <f t="shared" si="45"/>
        <v>00000000000000</v>
      </c>
      <c r="AB266" s="117" t="str">
        <f t="shared" si="47"/>
        <v>000000000000</v>
      </c>
      <c r="AC266" s="118">
        <f t="shared" si="48"/>
        <v>1</v>
      </c>
      <c r="AD266" s="47">
        <v>2</v>
      </c>
      <c r="AE266" s="66">
        <f t="shared" si="51"/>
        <v>0</v>
      </c>
      <c r="AF266" s="66">
        <f t="shared" si="44"/>
        <v>0</v>
      </c>
      <c r="AG266" s="67" t="str">
        <f t="shared" si="52"/>
        <v>0000000000</v>
      </c>
      <c r="AH266" s="67" t="str">
        <f t="shared" si="53"/>
        <v>.00</v>
      </c>
      <c r="AI266" s="67" t="str">
        <f t="shared" si="49"/>
        <v>00</v>
      </c>
      <c r="AJ266" s="67" t="str">
        <f t="shared" si="54"/>
        <v>000000000000</v>
      </c>
      <c r="AK266" s="119"/>
      <c r="AL266" s="120"/>
      <c r="AP266" s="115" t="str">
        <f t="shared" si="50"/>
        <v/>
      </c>
    </row>
    <row r="267" spans="1:42" x14ac:dyDescent="0.2">
      <c r="A267" s="63" t="str">
        <f t="shared" si="46"/>
        <v/>
      </c>
      <c r="B267" s="133"/>
      <c r="C267" s="133"/>
      <c r="D267" s="135"/>
      <c r="E267" s="135"/>
      <c r="F267" s="137"/>
      <c r="AA267" s="116" t="str">
        <f t="shared" si="45"/>
        <v>00000000000000</v>
      </c>
      <c r="AB267" s="117" t="str">
        <f t="shared" si="47"/>
        <v>000000000000</v>
      </c>
      <c r="AC267" s="118">
        <f t="shared" si="48"/>
        <v>1</v>
      </c>
      <c r="AD267" s="47">
        <v>2</v>
      </c>
      <c r="AE267" s="66">
        <f t="shared" si="51"/>
        <v>0</v>
      </c>
      <c r="AF267" s="66">
        <f t="shared" si="44"/>
        <v>0</v>
      </c>
      <c r="AG267" s="67" t="str">
        <f t="shared" si="52"/>
        <v>0000000000</v>
      </c>
      <c r="AH267" s="67" t="str">
        <f t="shared" si="53"/>
        <v>.00</v>
      </c>
      <c r="AI267" s="67" t="str">
        <f t="shared" si="49"/>
        <v>00</v>
      </c>
      <c r="AJ267" s="67" t="str">
        <f t="shared" si="54"/>
        <v>000000000000</v>
      </c>
      <c r="AK267" s="119"/>
      <c r="AL267" s="120"/>
      <c r="AP267" s="115" t="str">
        <f t="shared" si="50"/>
        <v/>
      </c>
    </row>
    <row r="268" spans="1:42" x14ac:dyDescent="0.2">
      <c r="A268" s="63" t="str">
        <f t="shared" si="46"/>
        <v/>
      </c>
      <c r="B268" s="133"/>
      <c r="C268" s="133"/>
      <c r="D268" s="135"/>
      <c r="E268" s="135"/>
      <c r="F268" s="137"/>
      <c r="AA268" s="116" t="str">
        <f t="shared" si="45"/>
        <v>00000000000000</v>
      </c>
      <c r="AB268" s="117" t="str">
        <f t="shared" si="47"/>
        <v>000000000000</v>
      </c>
      <c r="AC268" s="118">
        <f t="shared" si="48"/>
        <v>1</v>
      </c>
      <c r="AD268" s="47">
        <v>2</v>
      </c>
      <c r="AE268" s="66">
        <f t="shared" si="51"/>
        <v>0</v>
      </c>
      <c r="AF268" s="66">
        <f t="shared" si="44"/>
        <v>0</v>
      </c>
      <c r="AG268" s="67" t="str">
        <f t="shared" si="52"/>
        <v>0000000000</v>
      </c>
      <c r="AH268" s="67" t="str">
        <f t="shared" si="53"/>
        <v>.00</v>
      </c>
      <c r="AI268" s="67" t="str">
        <f t="shared" si="49"/>
        <v>00</v>
      </c>
      <c r="AJ268" s="67" t="str">
        <f t="shared" si="54"/>
        <v>000000000000</v>
      </c>
      <c r="AK268" s="119"/>
      <c r="AL268" s="120"/>
      <c r="AP268" s="115" t="str">
        <f t="shared" si="50"/>
        <v/>
      </c>
    </row>
    <row r="269" spans="1:42" x14ac:dyDescent="0.2">
      <c r="A269" s="63" t="str">
        <f t="shared" si="46"/>
        <v/>
      </c>
      <c r="B269" s="133"/>
      <c r="C269" s="133"/>
      <c r="D269" s="135"/>
      <c r="E269" s="135"/>
      <c r="F269" s="137"/>
      <c r="AA269" s="116" t="str">
        <f t="shared" si="45"/>
        <v>00000000000000</v>
      </c>
      <c r="AB269" s="117" t="str">
        <f t="shared" si="47"/>
        <v>000000000000</v>
      </c>
      <c r="AC269" s="118">
        <f t="shared" si="48"/>
        <v>1</v>
      </c>
      <c r="AD269" s="47">
        <v>2</v>
      </c>
      <c r="AE269" s="66">
        <f t="shared" si="51"/>
        <v>0</v>
      </c>
      <c r="AF269" s="66">
        <f t="shared" si="44"/>
        <v>0</v>
      </c>
      <c r="AG269" s="67" t="str">
        <f t="shared" si="52"/>
        <v>0000000000</v>
      </c>
      <c r="AH269" s="67" t="str">
        <f t="shared" si="53"/>
        <v>.00</v>
      </c>
      <c r="AI269" s="67" t="str">
        <f t="shared" si="49"/>
        <v>00</v>
      </c>
      <c r="AJ269" s="67" t="str">
        <f t="shared" si="54"/>
        <v>000000000000</v>
      </c>
      <c r="AK269" s="119"/>
      <c r="AL269" s="120"/>
      <c r="AP269" s="115" t="str">
        <f t="shared" si="50"/>
        <v/>
      </c>
    </row>
    <row r="270" spans="1:42" x14ac:dyDescent="0.2">
      <c r="A270" s="63" t="str">
        <f t="shared" si="46"/>
        <v/>
      </c>
      <c r="B270" s="133"/>
      <c r="C270" s="133"/>
      <c r="D270" s="135"/>
      <c r="E270" s="135"/>
      <c r="F270" s="137"/>
      <c r="AA270" s="116" t="str">
        <f t="shared" si="45"/>
        <v>00000000000000</v>
      </c>
      <c r="AB270" s="117" t="str">
        <f t="shared" si="47"/>
        <v>000000000000</v>
      </c>
      <c r="AC270" s="118">
        <f t="shared" si="48"/>
        <v>1</v>
      </c>
      <c r="AD270" s="47">
        <v>2</v>
      </c>
      <c r="AE270" s="66">
        <f t="shared" si="51"/>
        <v>0</v>
      </c>
      <c r="AF270" s="66">
        <f t="shared" si="44"/>
        <v>0</v>
      </c>
      <c r="AG270" s="67" t="str">
        <f t="shared" si="52"/>
        <v>0000000000</v>
      </c>
      <c r="AH270" s="67" t="str">
        <f t="shared" si="53"/>
        <v>.00</v>
      </c>
      <c r="AI270" s="67" t="str">
        <f t="shared" si="49"/>
        <v>00</v>
      </c>
      <c r="AJ270" s="67" t="str">
        <f t="shared" si="54"/>
        <v>000000000000</v>
      </c>
      <c r="AK270" s="119"/>
      <c r="AL270" s="120"/>
      <c r="AP270" s="115" t="str">
        <f t="shared" si="50"/>
        <v/>
      </c>
    </row>
    <row r="271" spans="1:42" x14ac:dyDescent="0.2">
      <c r="A271" s="63" t="str">
        <f t="shared" si="46"/>
        <v/>
      </c>
      <c r="B271" s="133"/>
      <c r="C271" s="133"/>
      <c r="D271" s="135"/>
      <c r="E271" s="135"/>
      <c r="F271" s="137"/>
      <c r="AA271" s="116" t="str">
        <f t="shared" si="45"/>
        <v>00000000000000</v>
      </c>
      <c r="AB271" s="117" t="str">
        <f t="shared" si="47"/>
        <v>000000000000</v>
      </c>
      <c r="AC271" s="118">
        <f t="shared" si="48"/>
        <v>1</v>
      </c>
      <c r="AD271" s="47">
        <v>2</v>
      </c>
      <c r="AE271" s="66">
        <f t="shared" si="51"/>
        <v>0</v>
      </c>
      <c r="AF271" s="66">
        <f t="shared" si="44"/>
        <v>0</v>
      </c>
      <c r="AG271" s="67" t="str">
        <f t="shared" si="52"/>
        <v>0000000000</v>
      </c>
      <c r="AH271" s="67" t="str">
        <f t="shared" si="53"/>
        <v>.00</v>
      </c>
      <c r="AI271" s="67" t="str">
        <f t="shared" si="49"/>
        <v>00</v>
      </c>
      <c r="AJ271" s="67" t="str">
        <f t="shared" si="54"/>
        <v>000000000000</v>
      </c>
      <c r="AK271" s="119"/>
      <c r="AL271" s="120"/>
      <c r="AP271" s="115" t="str">
        <f t="shared" si="50"/>
        <v/>
      </c>
    </row>
    <row r="272" spans="1:42" x14ac:dyDescent="0.2">
      <c r="A272" s="63" t="str">
        <f t="shared" si="46"/>
        <v/>
      </c>
      <c r="B272" s="133"/>
      <c r="C272" s="133"/>
      <c r="D272" s="135"/>
      <c r="E272" s="135"/>
      <c r="F272" s="137"/>
      <c r="AA272" s="116" t="str">
        <f t="shared" si="45"/>
        <v>00000000000000</v>
      </c>
      <c r="AB272" s="117" t="str">
        <f t="shared" si="47"/>
        <v>000000000000</v>
      </c>
      <c r="AC272" s="118">
        <f t="shared" si="48"/>
        <v>1</v>
      </c>
      <c r="AD272" s="47">
        <v>2</v>
      </c>
      <c r="AE272" s="66">
        <f t="shared" si="51"/>
        <v>0</v>
      </c>
      <c r="AF272" s="66">
        <f t="shared" si="44"/>
        <v>0</v>
      </c>
      <c r="AG272" s="67" t="str">
        <f t="shared" si="52"/>
        <v>0000000000</v>
      </c>
      <c r="AH272" s="67" t="str">
        <f t="shared" si="53"/>
        <v>.00</v>
      </c>
      <c r="AI272" s="67" t="str">
        <f t="shared" si="49"/>
        <v>00</v>
      </c>
      <c r="AJ272" s="67" t="str">
        <f t="shared" si="54"/>
        <v>000000000000</v>
      </c>
      <c r="AK272" s="119"/>
      <c r="AL272" s="120"/>
      <c r="AP272" s="115" t="str">
        <f t="shared" si="50"/>
        <v/>
      </c>
    </row>
    <row r="273" spans="1:42" x14ac:dyDescent="0.2">
      <c r="A273" s="63" t="str">
        <f t="shared" si="46"/>
        <v/>
      </c>
      <c r="B273" s="133"/>
      <c r="C273" s="133"/>
      <c r="D273" s="135"/>
      <c r="E273" s="135"/>
      <c r="F273" s="137"/>
      <c r="AA273" s="116" t="str">
        <f t="shared" si="45"/>
        <v>00000000000000</v>
      </c>
      <c r="AB273" s="117" t="str">
        <f t="shared" si="47"/>
        <v>000000000000</v>
      </c>
      <c r="AC273" s="118">
        <f t="shared" si="48"/>
        <v>1</v>
      </c>
      <c r="AD273" s="47">
        <v>2</v>
      </c>
      <c r="AE273" s="66">
        <f t="shared" si="51"/>
        <v>0</v>
      </c>
      <c r="AF273" s="66">
        <f t="shared" si="44"/>
        <v>0</v>
      </c>
      <c r="AG273" s="67" t="str">
        <f t="shared" si="52"/>
        <v>0000000000</v>
      </c>
      <c r="AH273" s="67" t="str">
        <f t="shared" si="53"/>
        <v>.00</v>
      </c>
      <c r="AI273" s="67" t="str">
        <f t="shared" si="49"/>
        <v>00</v>
      </c>
      <c r="AJ273" s="67" t="str">
        <f t="shared" si="54"/>
        <v>000000000000</v>
      </c>
      <c r="AK273" s="119"/>
      <c r="AL273" s="120"/>
      <c r="AP273" s="115" t="str">
        <f t="shared" si="50"/>
        <v/>
      </c>
    </row>
    <row r="274" spans="1:42" x14ac:dyDescent="0.2">
      <c r="A274" s="63" t="str">
        <f t="shared" si="46"/>
        <v/>
      </c>
      <c r="B274" s="133"/>
      <c r="C274" s="133"/>
      <c r="D274" s="135"/>
      <c r="E274" s="135"/>
      <c r="F274" s="137"/>
      <c r="AA274" s="116" t="str">
        <f t="shared" si="45"/>
        <v>00000000000000</v>
      </c>
      <c r="AB274" s="117" t="str">
        <f t="shared" si="47"/>
        <v>000000000000</v>
      </c>
      <c r="AC274" s="118">
        <f t="shared" si="48"/>
        <v>1</v>
      </c>
      <c r="AD274" s="47">
        <v>2</v>
      </c>
      <c r="AE274" s="66">
        <f t="shared" si="51"/>
        <v>0</v>
      </c>
      <c r="AF274" s="66">
        <f t="shared" si="44"/>
        <v>0</v>
      </c>
      <c r="AG274" s="67" t="str">
        <f t="shared" si="52"/>
        <v>0000000000</v>
      </c>
      <c r="AH274" s="67" t="str">
        <f t="shared" si="53"/>
        <v>.00</v>
      </c>
      <c r="AI274" s="67" t="str">
        <f t="shared" si="49"/>
        <v>00</v>
      </c>
      <c r="AJ274" s="67" t="str">
        <f t="shared" si="54"/>
        <v>000000000000</v>
      </c>
      <c r="AK274" s="119"/>
      <c r="AL274" s="120"/>
      <c r="AP274" s="115" t="str">
        <f t="shared" si="50"/>
        <v/>
      </c>
    </row>
    <row r="275" spans="1:42" x14ac:dyDescent="0.2">
      <c r="A275" s="63" t="str">
        <f t="shared" si="46"/>
        <v/>
      </c>
      <c r="B275" s="133"/>
      <c r="C275" s="133"/>
      <c r="D275" s="135"/>
      <c r="E275" s="135"/>
      <c r="F275" s="137"/>
      <c r="AA275" s="116" t="str">
        <f t="shared" si="45"/>
        <v>00000000000000</v>
      </c>
      <c r="AB275" s="117" t="str">
        <f t="shared" si="47"/>
        <v>000000000000</v>
      </c>
      <c r="AC275" s="118">
        <f t="shared" si="48"/>
        <v>1</v>
      </c>
      <c r="AD275" s="47">
        <v>2</v>
      </c>
      <c r="AE275" s="66">
        <f t="shared" si="51"/>
        <v>0</v>
      </c>
      <c r="AF275" s="66">
        <f t="shared" si="44"/>
        <v>0</v>
      </c>
      <c r="AG275" s="67" t="str">
        <f t="shared" si="52"/>
        <v>0000000000</v>
      </c>
      <c r="AH275" s="67" t="str">
        <f t="shared" si="53"/>
        <v>.00</v>
      </c>
      <c r="AI275" s="67" t="str">
        <f t="shared" si="49"/>
        <v>00</v>
      </c>
      <c r="AJ275" s="67" t="str">
        <f t="shared" si="54"/>
        <v>000000000000</v>
      </c>
      <c r="AK275" s="119"/>
      <c r="AL275" s="120"/>
      <c r="AP275" s="115" t="str">
        <f t="shared" si="50"/>
        <v/>
      </c>
    </row>
    <row r="276" spans="1:42" x14ac:dyDescent="0.2">
      <c r="A276" s="63" t="str">
        <f t="shared" si="46"/>
        <v/>
      </c>
      <c r="B276" s="133"/>
      <c r="C276" s="133"/>
      <c r="D276" s="135"/>
      <c r="E276" s="135"/>
      <c r="F276" s="137"/>
      <c r="AA276" s="116" t="str">
        <f t="shared" si="45"/>
        <v>00000000000000</v>
      </c>
      <c r="AB276" s="117" t="str">
        <f t="shared" si="47"/>
        <v>000000000000</v>
      </c>
      <c r="AC276" s="118">
        <f t="shared" si="48"/>
        <v>1</v>
      </c>
      <c r="AD276" s="47">
        <v>2</v>
      </c>
      <c r="AE276" s="66">
        <f t="shared" si="51"/>
        <v>0</v>
      </c>
      <c r="AF276" s="66">
        <f t="shared" si="44"/>
        <v>0</v>
      </c>
      <c r="AG276" s="67" t="str">
        <f t="shared" si="52"/>
        <v>0000000000</v>
      </c>
      <c r="AH276" s="67" t="str">
        <f t="shared" si="53"/>
        <v>.00</v>
      </c>
      <c r="AI276" s="67" t="str">
        <f t="shared" si="49"/>
        <v>00</v>
      </c>
      <c r="AJ276" s="67" t="str">
        <f t="shared" si="54"/>
        <v>000000000000</v>
      </c>
      <c r="AK276" s="119"/>
      <c r="AL276" s="120"/>
      <c r="AP276" s="115" t="str">
        <f t="shared" si="50"/>
        <v/>
      </c>
    </row>
    <row r="277" spans="1:42" x14ac:dyDescent="0.2">
      <c r="A277" s="63" t="str">
        <f t="shared" si="46"/>
        <v/>
      </c>
      <c r="B277" s="133"/>
      <c r="C277" s="133"/>
      <c r="D277" s="135"/>
      <c r="E277" s="135"/>
      <c r="F277" s="137"/>
      <c r="AA277" s="116" t="str">
        <f t="shared" si="45"/>
        <v>00000000000000</v>
      </c>
      <c r="AB277" s="117" t="str">
        <f t="shared" si="47"/>
        <v>000000000000</v>
      </c>
      <c r="AC277" s="118">
        <f t="shared" si="48"/>
        <v>1</v>
      </c>
      <c r="AD277" s="47">
        <v>2</v>
      </c>
      <c r="AE277" s="66">
        <f t="shared" si="51"/>
        <v>0</v>
      </c>
      <c r="AF277" s="66">
        <f t="shared" si="44"/>
        <v>0</v>
      </c>
      <c r="AG277" s="67" t="str">
        <f t="shared" si="52"/>
        <v>0000000000</v>
      </c>
      <c r="AH277" s="67" t="str">
        <f t="shared" si="53"/>
        <v>.00</v>
      </c>
      <c r="AI277" s="67" t="str">
        <f t="shared" si="49"/>
        <v>00</v>
      </c>
      <c r="AJ277" s="67" t="str">
        <f t="shared" si="54"/>
        <v>000000000000</v>
      </c>
      <c r="AK277" s="119"/>
      <c r="AL277" s="120"/>
      <c r="AP277" s="115" t="str">
        <f t="shared" si="50"/>
        <v/>
      </c>
    </row>
    <row r="278" spans="1:42" x14ac:dyDescent="0.2">
      <c r="A278" s="63" t="str">
        <f t="shared" si="46"/>
        <v/>
      </c>
      <c r="B278" s="133"/>
      <c r="C278" s="133"/>
      <c r="D278" s="135"/>
      <c r="E278" s="135"/>
      <c r="F278" s="137"/>
      <c r="AA278" s="116" t="str">
        <f t="shared" si="45"/>
        <v>00000000000000</v>
      </c>
      <c r="AB278" s="117" t="str">
        <f t="shared" si="47"/>
        <v>000000000000</v>
      </c>
      <c r="AC278" s="118">
        <f t="shared" si="48"/>
        <v>1</v>
      </c>
      <c r="AD278" s="47">
        <v>2</v>
      </c>
      <c r="AE278" s="66">
        <f t="shared" si="51"/>
        <v>0</v>
      </c>
      <c r="AF278" s="66">
        <f t="shared" si="44"/>
        <v>0</v>
      </c>
      <c r="AG278" s="67" t="str">
        <f t="shared" si="52"/>
        <v>0000000000</v>
      </c>
      <c r="AH278" s="67" t="str">
        <f t="shared" si="53"/>
        <v>.00</v>
      </c>
      <c r="AI278" s="67" t="str">
        <f t="shared" si="49"/>
        <v>00</v>
      </c>
      <c r="AJ278" s="67" t="str">
        <f t="shared" si="54"/>
        <v>000000000000</v>
      </c>
      <c r="AK278" s="119"/>
      <c r="AL278" s="120"/>
      <c r="AP278" s="115" t="str">
        <f t="shared" si="50"/>
        <v/>
      </c>
    </row>
    <row r="279" spans="1:42" x14ac:dyDescent="0.2">
      <c r="A279" s="63" t="str">
        <f t="shared" si="46"/>
        <v/>
      </c>
      <c r="B279" s="133"/>
      <c r="C279" s="133"/>
      <c r="D279" s="135"/>
      <c r="E279" s="135"/>
      <c r="F279" s="137"/>
      <c r="AA279" s="116" t="str">
        <f t="shared" si="45"/>
        <v>00000000000000</v>
      </c>
      <c r="AB279" s="117" t="str">
        <f t="shared" si="47"/>
        <v>000000000000</v>
      </c>
      <c r="AC279" s="118">
        <f t="shared" si="48"/>
        <v>1</v>
      </c>
      <c r="AD279" s="47">
        <v>2</v>
      </c>
      <c r="AE279" s="66">
        <f t="shared" si="51"/>
        <v>0</v>
      </c>
      <c r="AF279" s="66">
        <f t="shared" si="44"/>
        <v>0</v>
      </c>
      <c r="AG279" s="67" t="str">
        <f t="shared" si="52"/>
        <v>0000000000</v>
      </c>
      <c r="AH279" s="67" t="str">
        <f t="shared" si="53"/>
        <v>.00</v>
      </c>
      <c r="AI279" s="67" t="str">
        <f t="shared" si="49"/>
        <v>00</v>
      </c>
      <c r="AJ279" s="67" t="str">
        <f t="shared" si="54"/>
        <v>000000000000</v>
      </c>
      <c r="AK279" s="119"/>
      <c r="AL279" s="120"/>
      <c r="AP279" s="115" t="str">
        <f t="shared" si="50"/>
        <v/>
      </c>
    </row>
    <row r="280" spans="1:42" x14ac:dyDescent="0.2">
      <c r="A280" s="63" t="str">
        <f t="shared" si="46"/>
        <v/>
      </c>
      <c r="B280" s="133"/>
      <c r="C280" s="133"/>
      <c r="D280" s="135"/>
      <c r="E280" s="135"/>
      <c r="F280" s="137"/>
      <c r="AA280" s="116" t="str">
        <f t="shared" si="45"/>
        <v>00000000000000</v>
      </c>
      <c r="AB280" s="117" t="str">
        <f t="shared" si="47"/>
        <v>000000000000</v>
      </c>
      <c r="AC280" s="118">
        <f t="shared" si="48"/>
        <v>1</v>
      </c>
      <c r="AD280" s="47">
        <v>2</v>
      </c>
      <c r="AE280" s="66">
        <f t="shared" si="51"/>
        <v>0</v>
      </c>
      <c r="AF280" s="66">
        <f t="shared" si="44"/>
        <v>0</v>
      </c>
      <c r="AG280" s="67" t="str">
        <f t="shared" si="52"/>
        <v>0000000000</v>
      </c>
      <c r="AH280" s="67" t="str">
        <f t="shared" si="53"/>
        <v>.00</v>
      </c>
      <c r="AI280" s="67" t="str">
        <f t="shared" si="49"/>
        <v>00</v>
      </c>
      <c r="AJ280" s="67" t="str">
        <f t="shared" si="54"/>
        <v>000000000000</v>
      </c>
      <c r="AK280" s="119"/>
      <c r="AL280" s="120"/>
      <c r="AP280" s="115" t="str">
        <f t="shared" si="50"/>
        <v/>
      </c>
    </row>
    <row r="281" spans="1:42" x14ac:dyDescent="0.2">
      <c r="A281" s="63" t="str">
        <f t="shared" si="46"/>
        <v/>
      </c>
      <c r="B281" s="133"/>
      <c r="C281" s="133"/>
      <c r="D281" s="135"/>
      <c r="E281" s="135"/>
      <c r="F281" s="137"/>
      <c r="AA281" s="116" t="str">
        <f t="shared" si="45"/>
        <v>00000000000000</v>
      </c>
      <c r="AB281" s="117" t="str">
        <f t="shared" si="47"/>
        <v>000000000000</v>
      </c>
      <c r="AC281" s="118">
        <f t="shared" si="48"/>
        <v>1</v>
      </c>
      <c r="AD281" s="47">
        <v>2</v>
      </c>
      <c r="AE281" s="66">
        <f t="shared" si="51"/>
        <v>0</v>
      </c>
      <c r="AF281" s="66">
        <f t="shared" si="44"/>
        <v>0</v>
      </c>
      <c r="AG281" s="67" t="str">
        <f t="shared" si="52"/>
        <v>0000000000</v>
      </c>
      <c r="AH281" s="67" t="str">
        <f t="shared" si="53"/>
        <v>.00</v>
      </c>
      <c r="AI281" s="67" t="str">
        <f t="shared" si="49"/>
        <v>00</v>
      </c>
      <c r="AJ281" s="67" t="str">
        <f t="shared" si="54"/>
        <v>000000000000</v>
      </c>
      <c r="AK281" s="119"/>
      <c r="AL281" s="120"/>
      <c r="AP281" s="115" t="str">
        <f t="shared" si="50"/>
        <v/>
      </c>
    </row>
    <row r="282" spans="1:42" x14ac:dyDescent="0.2">
      <c r="A282" s="63" t="str">
        <f t="shared" si="46"/>
        <v/>
      </c>
      <c r="B282" s="133"/>
      <c r="C282" s="133"/>
      <c r="D282" s="135"/>
      <c r="E282" s="135"/>
      <c r="F282" s="137"/>
      <c r="AA282" s="116" t="str">
        <f t="shared" si="45"/>
        <v>00000000000000</v>
      </c>
      <c r="AB282" s="117" t="str">
        <f t="shared" si="47"/>
        <v>000000000000</v>
      </c>
      <c r="AC282" s="118">
        <f t="shared" si="48"/>
        <v>1</v>
      </c>
      <c r="AD282" s="47">
        <v>2</v>
      </c>
      <c r="AE282" s="66">
        <f t="shared" si="51"/>
        <v>0</v>
      </c>
      <c r="AF282" s="66">
        <f t="shared" si="44"/>
        <v>0</v>
      </c>
      <c r="AG282" s="67" t="str">
        <f t="shared" si="52"/>
        <v>0000000000</v>
      </c>
      <c r="AH282" s="67" t="str">
        <f t="shared" si="53"/>
        <v>.00</v>
      </c>
      <c r="AI282" s="67" t="str">
        <f t="shared" si="49"/>
        <v>00</v>
      </c>
      <c r="AJ282" s="67" t="str">
        <f t="shared" si="54"/>
        <v>000000000000</v>
      </c>
      <c r="AK282" s="119"/>
      <c r="AL282" s="120"/>
      <c r="AP282" s="115" t="str">
        <f t="shared" si="50"/>
        <v/>
      </c>
    </row>
    <row r="283" spans="1:42" x14ac:dyDescent="0.2">
      <c r="A283" s="63" t="str">
        <f t="shared" si="46"/>
        <v/>
      </c>
      <c r="B283" s="133"/>
      <c r="C283" s="133"/>
      <c r="D283" s="135"/>
      <c r="E283" s="135"/>
      <c r="F283" s="137"/>
      <c r="AA283" s="116" t="str">
        <f t="shared" si="45"/>
        <v>00000000000000</v>
      </c>
      <c r="AB283" s="117" t="str">
        <f t="shared" si="47"/>
        <v>000000000000</v>
      </c>
      <c r="AC283" s="118">
        <f t="shared" si="48"/>
        <v>1</v>
      </c>
      <c r="AD283" s="47">
        <v>2</v>
      </c>
      <c r="AE283" s="66">
        <f t="shared" si="51"/>
        <v>0</v>
      </c>
      <c r="AF283" s="66">
        <f t="shared" si="44"/>
        <v>0</v>
      </c>
      <c r="AG283" s="67" t="str">
        <f t="shared" si="52"/>
        <v>0000000000</v>
      </c>
      <c r="AH283" s="67" t="str">
        <f t="shared" si="53"/>
        <v>.00</v>
      </c>
      <c r="AI283" s="67" t="str">
        <f t="shared" si="49"/>
        <v>00</v>
      </c>
      <c r="AJ283" s="67" t="str">
        <f t="shared" si="54"/>
        <v>000000000000</v>
      </c>
      <c r="AK283" s="119"/>
      <c r="AL283" s="120"/>
      <c r="AP283" s="115" t="str">
        <f t="shared" si="50"/>
        <v/>
      </c>
    </row>
    <row r="284" spans="1:42" x14ac:dyDescent="0.2">
      <c r="A284" s="63" t="str">
        <f t="shared" si="46"/>
        <v/>
      </c>
      <c r="B284" s="133"/>
      <c r="C284" s="133"/>
      <c r="D284" s="135"/>
      <c r="E284" s="135"/>
      <c r="F284" s="137"/>
      <c r="AA284" s="116" t="str">
        <f t="shared" si="45"/>
        <v>00000000000000</v>
      </c>
      <c r="AB284" s="117" t="str">
        <f t="shared" si="47"/>
        <v>000000000000</v>
      </c>
      <c r="AC284" s="118">
        <f t="shared" si="48"/>
        <v>1</v>
      </c>
      <c r="AD284" s="47">
        <v>2</v>
      </c>
      <c r="AE284" s="66">
        <f t="shared" si="51"/>
        <v>0</v>
      </c>
      <c r="AF284" s="66">
        <f t="shared" si="44"/>
        <v>0</v>
      </c>
      <c r="AG284" s="67" t="str">
        <f t="shared" si="52"/>
        <v>0000000000</v>
      </c>
      <c r="AH284" s="67" t="str">
        <f t="shared" si="53"/>
        <v>.00</v>
      </c>
      <c r="AI284" s="67" t="str">
        <f t="shared" si="49"/>
        <v>00</v>
      </c>
      <c r="AJ284" s="67" t="str">
        <f t="shared" si="54"/>
        <v>000000000000</v>
      </c>
      <c r="AK284" s="119"/>
      <c r="AL284" s="120"/>
      <c r="AP284" s="115" t="str">
        <f t="shared" si="50"/>
        <v/>
      </c>
    </row>
    <row r="285" spans="1:42" x14ac:dyDescent="0.2">
      <c r="A285" s="63" t="str">
        <f t="shared" si="46"/>
        <v/>
      </c>
      <c r="B285" s="133"/>
      <c r="C285" s="133"/>
      <c r="D285" s="135"/>
      <c r="E285" s="135"/>
      <c r="F285" s="137"/>
      <c r="AA285" s="116" t="str">
        <f t="shared" si="45"/>
        <v>00000000000000</v>
      </c>
      <c r="AB285" s="117" t="str">
        <f t="shared" si="47"/>
        <v>000000000000</v>
      </c>
      <c r="AC285" s="118">
        <f t="shared" si="48"/>
        <v>1</v>
      </c>
      <c r="AD285" s="47">
        <v>2</v>
      </c>
      <c r="AE285" s="66">
        <f t="shared" si="51"/>
        <v>0</v>
      </c>
      <c r="AF285" s="66">
        <f t="shared" si="44"/>
        <v>0</v>
      </c>
      <c r="AG285" s="67" t="str">
        <f t="shared" si="52"/>
        <v>0000000000</v>
      </c>
      <c r="AH285" s="67" t="str">
        <f t="shared" si="53"/>
        <v>.00</v>
      </c>
      <c r="AI285" s="67" t="str">
        <f t="shared" si="49"/>
        <v>00</v>
      </c>
      <c r="AJ285" s="67" t="str">
        <f t="shared" si="54"/>
        <v>000000000000</v>
      </c>
      <c r="AK285" s="119"/>
      <c r="AL285" s="120"/>
      <c r="AP285" s="115" t="str">
        <f t="shared" si="50"/>
        <v/>
      </c>
    </row>
    <row r="286" spans="1:42" x14ac:dyDescent="0.2">
      <c r="A286" s="63" t="str">
        <f t="shared" si="46"/>
        <v/>
      </c>
      <c r="B286" s="133"/>
      <c r="C286" s="133"/>
      <c r="D286" s="135"/>
      <c r="E286" s="135"/>
      <c r="F286" s="137"/>
      <c r="AA286" s="116" t="str">
        <f t="shared" si="45"/>
        <v>00000000000000</v>
      </c>
      <c r="AB286" s="117" t="str">
        <f t="shared" si="47"/>
        <v>000000000000</v>
      </c>
      <c r="AC286" s="118">
        <f t="shared" si="48"/>
        <v>1</v>
      </c>
      <c r="AD286" s="47">
        <v>2</v>
      </c>
      <c r="AE286" s="66">
        <f t="shared" si="51"/>
        <v>0</v>
      </c>
      <c r="AF286" s="66">
        <f t="shared" si="44"/>
        <v>0</v>
      </c>
      <c r="AG286" s="67" t="str">
        <f t="shared" si="52"/>
        <v>0000000000</v>
      </c>
      <c r="AH286" s="67" t="str">
        <f t="shared" si="53"/>
        <v>.00</v>
      </c>
      <c r="AI286" s="67" t="str">
        <f t="shared" si="49"/>
        <v>00</v>
      </c>
      <c r="AJ286" s="67" t="str">
        <f t="shared" si="54"/>
        <v>000000000000</v>
      </c>
      <c r="AK286" s="119"/>
      <c r="AL286" s="120"/>
      <c r="AP286" s="115" t="str">
        <f t="shared" si="50"/>
        <v/>
      </c>
    </row>
    <row r="287" spans="1:42" x14ac:dyDescent="0.2">
      <c r="A287" s="63" t="str">
        <f t="shared" si="46"/>
        <v/>
      </c>
      <c r="B287" s="133"/>
      <c r="C287" s="133"/>
      <c r="D287" s="135"/>
      <c r="E287" s="135"/>
      <c r="F287" s="137"/>
      <c r="AA287" s="116" t="str">
        <f t="shared" si="45"/>
        <v>00000000000000</v>
      </c>
      <c r="AB287" s="117" t="str">
        <f t="shared" si="47"/>
        <v>000000000000</v>
      </c>
      <c r="AC287" s="118">
        <f t="shared" si="48"/>
        <v>1</v>
      </c>
      <c r="AD287" s="47">
        <v>2</v>
      </c>
      <c r="AE287" s="66">
        <f t="shared" si="51"/>
        <v>0</v>
      </c>
      <c r="AF287" s="66">
        <f t="shared" si="44"/>
        <v>0</v>
      </c>
      <c r="AG287" s="67" t="str">
        <f t="shared" si="52"/>
        <v>0000000000</v>
      </c>
      <c r="AH287" s="67" t="str">
        <f t="shared" si="53"/>
        <v>.00</v>
      </c>
      <c r="AI287" s="67" t="str">
        <f t="shared" si="49"/>
        <v>00</v>
      </c>
      <c r="AJ287" s="67" t="str">
        <f t="shared" si="54"/>
        <v>000000000000</v>
      </c>
      <c r="AK287" s="119"/>
      <c r="AL287" s="120"/>
      <c r="AP287" s="115" t="str">
        <f t="shared" si="50"/>
        <v/>
      </c>
    </row>
    <row r="288" spans="1:42" x14ac:dyDescent="0.2">
      <c r="A288" s="63" t="str">
        <f t="shared" si="46"/>
        <v/>
      </c>
      <c r="B288" s="133"/>
      <c r="C288" s="133"/>
      <c r="D288" s="135"/>
      <c r="E288" s="135"/>
      <c r="F288" s="137"/>
      <c r="AA288" s="116" t="str">
        <f t="shared" si="45"/>
        <v>00000000000000</v>
      </c>
      <c r="AB288" s="117" t="str">
        <f t="shared" si="47"/>
        <v>000000000000</v>
      </c>
      <c r="AC288" s="118">
        <f t="shared" si="48"/>
        <v>1</v>
      </c>
      <c r="AD288" s="47">
        <v>2</v>
      </c>
      <c r="AE288" s="66">
        <f t="shared" si="51"/>
        <v>0</v>
      </c>
      <c r="AF288" s="66">
        <f t="shared" si="44"/>
        <v>0</v>
      </c>
      <c r="AG288" s="67" t="str">
        <f t="shared" si="52"/>
        <v>0000000000</v>
      </c>
      <c r="AH288" s="67" t="str">
        <f t="shared" si="53"/>
        <v>.00</v>
      </c>
      <c r="AI288" s="67" t="str">
        <f t="shared" si="49"/>
        <v>00</v>
      </c>
      <c r="AJ288" s="67" t="str">
        <f t="shared" si="54"/>
        <v>000000000000</v>
      </c>
      <c r="AK288" s="119"/>
      <c r="AL288" s="120"/>
      <c r="AP288" s="115" t="str">
        <f t="shared" si="50"/>
        <v/>
      </c>
    </row>
    <row r="289" spans="1:42" x14ac:dyDescent="0.2">
      <c r="A289" s="63" t="str">
        <f t="shared" si="46"/>
        <v/>
      </c>
      <c r="B289" s="133"/>
      <c r="C289" s="133"/>
      <c r="D289" s="135"/>
      <c r="E289" s="135"/>
      <c r="F289" s="137"/>
      <c r="AA289" s="116" t="str">
        <f t="shared" si="45"/>
        <v>00000000000000</v>
      </c>
      <c r="AB289" s="117" t="str">
        <f t="shared" si="47"/>
        <v>000000000000</v>
      </c>
      <c r="AC289" s="118">
        <f t="shared" si="48"/>
        <v>1</v>
      </c>
      <c r="AD289" s="47">
        <v>2</v>
      </c>
      <c r="AE289" s="66">
        <f t="shared" si="51"/>
        <v>0</v>
      </c>
      <c r="AF289" s="66">
        <f t="shared" si="44"/>
        <v>0</v>
      </c>
      <c r="AG289" s="67" t="str">
        <f t="shared" si="52"/>
        <v>0000000000</v>
      </c>
      <c r="AH289" s="67" t="str">
        <f t="shared" si="53"/>
        <v>.00</v>
      </c>
      <c r="AI289" s="67" t="str">
        <f t="shared" si="49"/>
        <v>00</v>
      </c>
      <c r="AJ289" s="67" t="str">
        <f t="shared" si="54"/>
        <v>000000000000</v>
      </c>
      <c r="AK289" s="119"/>
      <c r="AL289" s="120"/>
      <c r="AP289" s="115" t="str">
        <f t="shared" si="50"/>
        <v/>
      </c>
    </row>
    <row r="290" spans="1:42" x14ac:dyDescent="0.2">
      <c r="A290" s="63" t="str">
        <f t="shared" si="46"/>
        <v/>
      </c>
      <c r="B290" s="133"/>
      <c r="C290" s="133"/>
      <c r="D290" s="135"/>
      <c r="E290" s="135"/>
      <c r="F290" s="137"/>
      <c r="AA290" s="116" t="str">
        <f t="shared" si="45"/>
        <v>00000000000000</v>
      </c>
      <c r="AB290" s="117" t="str">
        <f t="shared" si="47"/>
        <v>000000000000</v>
      </c>
      <c r="AC290" s="118">
        <f t="shared" si="48"/>
        <v>1</v>
      </c>
      <c r="AD290" s="47">
        <v>2</v>
      </c>
      <c r="AE290" s="66">
        <f t="shared" si="51"/>
        <v>0</v>
      </c>
      <c r="AF290" s="66">
        <f t="shared" si="44"/>
        <v>0</v>
      </c>
      <c r="AG290" s="67" t="str">
        <f t="shared" si="52"/>
        <v>0000000000</v>
      </c>
      <c r="AH290" s="67" t="str">
        <f t="shared" si="53"/>
        <v>.00</v>
      </c>
      <c r="AI290" s="67" t="str">
        <f t="shared" si="49"/>
        <v>00</v>
      </c>
      <c r="AJ290" s="67" t="str">
        <f t="shared" si="54"/>
        <v>000000000000</v>
      </c>
      <c r="AK290" s="119"/>
      <c r="AL290" s="120"/>
      <c r="AP290" s="115" t="str">
        <f t="shared" si="50"/>
        <v/>
      </c>
    </row>
    <row r="291" spans="1:42" x14ac:dyDescent="0.2">
      <c r="A291" s="63" t="str">
        <f t="shared" si="46"/>
        <v/>
      </c>
      <c r="B291" s="133"/>
      <c r="C291" s="133"/>
      <c r="D291" s="135"/>
      <c r="E291" s="135"/>
      <c r="F291" s="137"/>
      <c r="AA291" s="116" t="str">
        <f t="shared" si="45"/>
        <v>00000000000000</v>
      </c>
      <c r="AB291" s="117" t="str">
        <f t="shared" si="47"/>
        <v>000000000000</v>
      </c>
      <c r="AC291" s="118">
        <f t="shared" si="48"/>
        <v>1</v>
      </c>
      <c r="AD291" s="47">
        <v>2</v>
      </c>
      <c r="AE291" s="66">
        <f t="shared" si="51"/>
        <v>0</v>
      </c>
      <c r="AF291" s="66">
        <f t="shared" si="44"/>
        <v>0</v>
      </c>
      <c r="AG291" s="67" t="str">
        <f t="shared" si="52"/>
        <v>0000000000</v>
      </c>
      <c r="AH291" s="67" t="str">
        <f t="shared" si="53"/>
        <v>.00</v>
      </c>
      <c r="AI291" s="67" t="str">
        <f t="shared" si="49"/>
        <v>00</v>
      </c>
      <c r="AJ291" s="67" t="str">
        <f t="shared" si="54"/>
        <v>000000000000</v>
      </c>
      <c r="AK291" s="119"/>
      <c r="AL291" s="120"/>
      <c r="AP291" s="115" t="str">
        <f t="shared" si="50"/>
        <v/>
      </c>
    </row>
    <row r="292" spans="1:42" x14ac:dyDescent="0.2">
      <c r="A292" s="63" t="str">
        <f t="shared" si="46"/>
        <v/>
      </c>
      <c r="B292" s="133"/>
      <c r="C292" s="133"/>
      <c r="D292" s="135"/>
      <c r="E292" s="135"/>
      <c r="F292" s="137"/>
      <c r="AA292" s="116" t="str">
        <f t="shared" si="45"/>
        <v>00000000000000</v>
      </c>
      <c r="AB292" s="117" t="str">
        <f t="shared" si="47"/>
        <v>000000000000</v>
      </c>
      <c r="AC292" s="118">
        <f t="shared" si="48"/>
        <v>1</v>
      </c>
      <c r="AD292" s="47">
        <v>2</v>
      </c>
      <c r="AE292" s="66">
        <f t="shared" si="51"/>
        <v>0</v>
      </c>
      <c r="AF292" s="66">
        <f t="shared" si="44"/>
        <v>0</v>
      </c>
      <c r="AG292" s="67" t="str">
        <f t="shared" si="52"/>
        <v>0000000000</v>
      </c>
      <c r="AH292" s="67" t="str">
        <f t="shared" si="53"/>
        <v>.00</v>
      </c>
      <c r="AI292" s="67" t="str">
        <f t="shared" si="49"/>
        <v>00</v>
      </c>
      <c r="AJ292" s="67" t="str">
        <f t="shared" si="54"/>
        <v>000000000000</v>
      </c>
      <c r="AK292" s="119"/>
      <c r="AL292" s="120"/>
      <c r="AP292" s="115" t="str">
        <f t="shared" si="50"/>
        <v/>
      </c>
    </row>
    <row r="293" spans="1:42" x14ac:dyDescent="0.2">
      <c r="A293" s="63" t="str">
        <f t="shared" si="46"/>
        <v/>
      </c>
      <c r="B293" s="133"/>
      <c r="C293" s="133"/>
      <c r="D293" s="135"/>
      <c r="E293" s="135"/>
      <c r="F293" s="137"/>
      <c r="AA293" s="116" t="str">
        <f t="shared" si="45"/>
        <v>00000000000000</v>
      </c>
      <c r="AB293" s="117" t="str">
        <f t="shared" si="47"/>
        <v>000000000000</v>
      </c>
      <c r="AC293" s="118">
        <f t="shared" si="48"/>
        <v>1</v>
      </c>
      <c r="AD293" s="47">
        <v>2</v>
      </c>
      <c r="AE293" s="66">
        <f t="shared" si="51"/>
        <v>0</v>
      </c>
      <c r="AF293" s="66">
        <f t="shared" si="44"/>
        <v>0</v>
      </c>
      <c r="AG293" s="67" t="str">
        <f t="shared" si="52"/>
        <v>0000000000</v>
      </c>
      <c r="AH293" s="67" t="str">
        <f t="shared" si="53"/>
        <v>.00</v>
      </c>
      <c r="AI293" s="67" t="str">
        <f t="shared" si="49"/>
        <v>00</v>
      </c>
      <c r="AJ293" s="67" t="str">
        <f t="shared" si="54"/>
        <v>000000000000</v>
      </c>
      <c r="AK293" s="119"/>
      <c r="AL293" s="120"/>
      <c r="AP293" s="115" t="str">
        <f t="shared" si="50"/>
        <v/>
      </c>
    </row>
    <row r="294" spans="1:42" x14ac:dyDescent="0.2">
      <c r="A294" s="63" t="str">
        <f t="shared" si="46"/>
        <v/>
      </c>
      <c r="B294" s="133"/>
      <c r="C294" s="133"/>
      <c r="D294" s="135"/>
      <c r="E294" s="135"/>
      <c r="F294" s="137"/>
      <c r="AA294" s="116" t="str">
        <f t="shared" si="45"/>
        <v>00000000000000</v>
      </c>
      <c r="AB294" s="117" t="str">
        <f t="shared" si="47"/>
        <v>000000000000</v>
      </c>
      <c r="AC294" s="118">
        <f t="shared" si="48"/>
        <v>1</v>
      </c>
      <c r="AD294" s="47">
        <v>2</v>
      </c>
      <c r="AE294" s="66">
        <f t="shared" si="51"/>
        <v>0</v>
      </c>
      <c r="AF294" s="66">
        <f t="shared" si="44"/>
        <v>0</v>
      </c>
      <c r="AG294" s="67" t="str">
        <f t="shared" si="52"/>
        <v>0000000000</v>
      </c>
      <c r="AH294" s="67" t="str">
        <f t="shared" si="53"/>
        <v>.00</v>
      </c>
      <c r="AI294" s="67" t="str">
        <f t="shared" si="49"/>
        <v>00</v>
      </c>
      <c r="AJ294" s="67" t="str">
        <f t="shared" si="54"/>
        <v>000000000000</v>
      </c>
      <c r="AK294" s="119"/>
      <c r="AL294" s="120"/>
      <c r="AP294" s="115" t="str">
        <f t="shared" si="50"/>
        <v/>
      </c>
    </row>
    <row r="295" spans="1:42" x14ac:dyDescent="0.2">
      <c r="A295" s="63" t="str">
        <f t="shared" si="46"/>
        <v/>
      </c>
      <c r="B295" s="133"/>
      <c r="C295" s="133"/>
      <c r="D295" s="135"/>
      <c r="E295" s="135"/>
      <c r="F295" s="137"/>
      <c r="AA295" s="116" t="str">
        <f t="shared" si="45"/>
        <v>00000000000000</v>
      </c>
      <c r="AB295" s="117" t="str">
        <f t="shared" si="47"/>
        <v>000000000000</v>
      </c>
      <c r="AC295" s="118">
        <f t="shared" si="48"/>
        <v>1</v>
      </c>
      <c r="AD295" s="47">
        <v>2</v>
      </c>
      <c r="AE295" s="66">
        <f t="shared" si="51"/>
        <v>0</v>
      </c>
      <c r="AF295" s="66">
        <f t="shared" si="44"/>
        <v>0</v>
      </c>
      <c r="AG295" s="67" t="str">
        <f t="shared" si="52"/>
        <v>0000000000</v>
      </c>
      <c r="AH295" s="67" t="str">
        <f t="shared" si="53"/>
        <v>.00</v>
      </c>
      <c r="AI295" s="67" t="str">
        <f t="shared" si="49"/>
        <v>00</v>
      </c>
      <c r="AJ295" s="67" t="str">
        <f t="shared" si="54"/>
        <v>000000000000</v>
      </c>
      <c r="AK295" s="119"/>
      <c r="AL295" s="120"/>
      <c r="AP295" s="115" t="str">
        <f t="shared" si="50"/>
        <v/>
      </c>
    </row>
    <row r="296" spans="1:42" x14ac:dyDescent="0.2">
      <c r="A296" s="63" t="str">
        <f t="shared" si="46"/>
        <v/>
      </c>
      <c r="B296" s="133"/>
      <c r="C296" s="133"/>
      <c r="D296" s="135"/>
      <c r="E296" s="135"/>
      <c r="F296" s="137"/>
      <c r="AA296" s="116" t="str">
        <f t="shared" si="45"/>
        <v>00000000000000</v>
      </c>
      <c r="AB296" s="117" t="str">
        <f t="shared" si="47"/>
        <v>000000000000</v>
      </c>
      <c r="AC296" s="118">
        <f t="shared" si="48"/>
        <v>1</v>
      </c>
      <c r="AD296" s="47">
        <v>2</v>
      </c>
      <c r="AE296" s="66">
        <f t="shared" si="51"/>
        <v>0</v>
      </c>
      <c r="AF296" s="66">
        <f t="shared" si="44"/>
        <v>0</v>
      </c>
      <c r="AG296" s="67" t="str">
        <f t="shared" si="52"/>
        <v>0000000000</v>
      </c>
      <c r="AH296" s="67" t="str">
        <f t="shared" si="53"/>
        <v>.00</v>
      </c>
      <c r="AI296" s="67" t="str">
        <f t="shared" si="49"/>
        <v>00</v>
      </c>
      <c r="AJ296" s="67" t="str">
        <f t="shared" si="54"/>
        <v>000000000000</v>
      </c>
      <c r="AK296" s="119"/>
      <c r="AL296" s="120"/>
      <c r="AP296" s="115" t="str">
        <f t="shared" si="50"/>
        <v/>
      </c>
    </row>
    <row r="297" spans="1:42" x14ac:dyDescent="0.2">
      <c r="A297" s="63" t="str">
        <f t="shared" si="46"/>
        <v/>
      </c>
      <c r="B297" s="133"/>
      <c r="C297" s="133"/>
      <c r="D297" s="135"/>
      <c r="E297" s="135"/>
      <c r="F297" s="137"/>
      <c r="AA297" s="116" t="str">
        <f t="shared" si="45"/>
        <v>00000000000000</v>
      </c>
      <c r="AB297" s="117" t="str">
        <f t="shared" si="47"/>
        <v>000000000000</v>
      </c>
      <c r="AC297" s="118">
        <f t="shared" si="48"/>
        <v>1</v>
      </c>
      <c r="AD297" s="47">
        <v>2</v>
      </c>
      <c r="AE297" s="66">
        <f t="shared" si="51"/>
        <v>0</v>
      </c>
      <c r="AF297" s="66">
        <f t="shared" si="44"/>
        <v>0</v>
      </c>
      <c r="AG297" s="67" t="str">
        <f t="shared" si="52"/>
        <v>0000000000</v>
      </c>
      <c r="AH297" s="67" t="str">
        <f t="shared" si="53"/>
        <v>.00</v>
      </c>
      <c r="AI297" s="67" t="str">
        <f t="shared" si="49"/>
        <v>00</v>
      </c>
      <c r="AJ297" s="67" t="str">
        <f t="shared" si="54"/>
        <v>000000000000</v>
      </c>
      <c r="AK297" s="119"/>
      <c r="AL297" s="120"/>
      <c r="AP297" s="115" t="str">
        <f t="shared" si="50"/>
        <v/>
      </c>
    </row>
    <row r="298" spans="1:42" x14ac:dyDescent="0.2">
      <c r="A298" s="63" t="str">
        <f t="shared" si="46"/>
        <v/>
      </c>
      <c r="B298" s="133"/>
      <c r="C298" s="133"/>
      <c r="D298" s="135"/>
      <c r="E298" s="135"/>
      <c r="F298" s="137"/>
      <c r="AA298" s="116" t="str">
        <f t="shared" si="45"/>
        <v>00000000000000</v>
      </c>
      <c r="AB298" s="117" t="str">
        <f t="shared" si="47"/>
        <v>000000000000</v>
      </c>
      <c r="AC298" s="118">
        <f t="shared" si="48"/>
        <v>1</v>
      </c>
      <c r="AD298" s="47">
        <v>2</v>
      </c>
      <c r="AE298" s="66">
        <f t="shared" si="51"/>
        <v>0</v>
      </c>
      <c r="AF298" s="66">
        <f t="shared" si="44"/>
        <v>0</v>
      </c>
      <c r="AG298" s="67" t="str">
        <f t="shared" si="52"/>
        <v>0000000000</v>
      </c>
      <c r="AH298" s="67" t="str">
        <f t="shared" si="53"/>
        <v>.00</v>
      </c>
      <c r="AI298" s="67" t="str">
        <f t="shared" si="49"/>
        <v>00</v>
      </c>
      <c r="AJ298" s="67" t="str">
        <f t="shared" si="54"/>
        <v>000000000000</v>
      </c>
      <c r="AK298" s="119"/>
      <c r="AL298" s="120"/>
      <c r="AP298" s="115" t="str">
        <f t="shared" si="50"/>
        <v/>
      </c>
    </row>
    <row r="299" spans="1:42" x14ac:dyDescent="0.2">
      <c r="A299" s="63" t="str">
        <f t="shared" si="46"/>
        <v/>
      </c>
      <c r="B299" s="133"/>
      <c r="C299" s="133"/>
      <c r="D299" s="135"/>
      <c r="E299" s="135"/>
      <c r="F299" s="137"/>
      <c r="AA299" s="116" t="str">
        <f t="shared" si="45"/>
        <v>00000000000000</v>
      </c>
      <c r="AB299" s="117" t="str">
        <f t="shared" si="47"/>
        <v>000000000000</v>
      </c>
      <c r="AC299" s="118">
        <f t="shared" si="48"/>
        <v>1</v>
      </c>
      <c r="AD299" s="47">
        <v>2</v>
      </c>
      <c r="AE299" s="66">
        <f t="shared" si="51"/>
        <v>0</v>
      </c>
      <c r="AF299" s="66">
        <f t="shared" si="44"/>
        <v>0</v>
      </c>
      <c r="AG299" s="67" t="str">
        <f t="shared" si="52"/>
        <v>0000000000</v>
      </c>
      <c r="AH299" s="67" t="str">
        <f t="shared" si="53"/>
        <v>.00</v>
      </c>
      <c r="AI299" s="67" t="str">
        <f t="shared" si="49"/>
        <v>00</v>
      </c>
      <c r="AJ299" s="67" t="str">
        <f t="shared" si="54"/>
        <v>000000000000</v>
      </c>
      <c r="AK299" s="119"/>
      <c r="AL299" s="120"/>
      <c r="AP299" s="115" t="str">
        <f t="shared" si="50"/>
        <v/>
      </c>
    </row>
    <row r="300" spans="1:42" x14ac:dyDescent="0.2">
      <c r="A300" s="63" t="str">
        <f t="shared" si="46"/>
        <v/>
      </c>
      <c r="B300" s="133"/>
      <c r="C300" s="133"/>
      <c r="D300" s="135"/>
      <c r="E300" s="135"/>
      <c r="F300" s="137"/>
      <c r="AA300" s="116" t="str">
        <f t="shared" si="45"/>
        <v>00000000000000</v>
      </c>
      <c r="AB300" s="117" t="str">
        <f t="shared" si="47"/>
        <v>000000000000</v>
      </c>
      <c r="AC300" s="118">
        <f t="shared" si="48"/>
        <v>1</v>
      </c>
      <c r="AD300" s="47">
        <v>2</v>
      </c>
      <c r="AE300" s="66">
        <f t="shared" si="51"/>
        <v>0</v>
      </c>
      <c r="AF300" s="66">
        <f t="shared" si="44"/>
        <v>0</v>
      </c>
      <c r="AG300" s="67" t="str">
        <f t="shared" si="52"/>
        <v>0000000000</v>
      </c>
      <c r="AH300" s="67" t="str">
        <f t="shared" si="53"/>
        <v>.00</v>
      </c>
      <c r="AI300" s="67" t="str">
        <f t="shared" si="49"/>
        <v>00</v>
      </c>
      <c r="AJ300" s="67" t="str">
        <f t="shared" si="54"/>
        <v>000000000000</v>
      </c>
      <c r="AK300" s="119"/>
      <c r="AL300" s="120"/>
      <c r="AP300" s="115" t="str">
        <f t="shared" si="50"/>
        <v/>
      </c>
    </row>
    <row r="301" spans="1:42" x14ac:dyDescent="0.2">
      <c r="A301" s="63" t="str">
        <f t="shared" si="46"/>
        <v/>
      </c>
      <c r="B301" s="133"/>
      <c r="C301" s="133"/>
      <c r="D301" s="135"/>
      <c r="E301" s="135"/>
      <c r="F301" s="137"/>
      <c r="AA301" s="116" t="str">
        <f t="shared" si="45"/>
        <v>00000000000000</v>
      </c>
      <c r="AB301" s="117" t="str">
        <f t="shared" si="47"/>
        <v>000000000000</v>
      </c>
      <c r="AC301" s="118">
        <f t="shared" si="48"/>
        <v>1</v>
      </c>
      <c r="AD301" s="47">
        <v>2</v>
      </c>
      <c r="AE301" s="66">
        <f t="shared" si="51"/>
        <v>0</v>
      </c>
      <c r="AF301" s="66">
        <f t="shared" si="44"/>
        <v>0</v>
      </c>
      <c r="AG301" s="67" t="str">
        <f t="shared" si="52"/>
        <v>0000000000</v>
      </c>
      <c r="AH301" s="67" t="str">
        <f t="shared" si="53"/>
        <v>.00</v>
      </c>
      <c r="AI301" s="67" t="str">
        <f t="shared" si="49"/>
        <v>00</v>
      </c>
      <c r="AJ301" s="67" t="str">
        <f t="shared" si="54"/>
        <v>000000000000</v>
      </c>
      <c r="AK301" s="119"/>
      <c r="AL301" s="120"/>
      <c r="AP301" s="115" t="str">
        <f t="shared" si="50"/>
        <v/>
      </c>
    </row>
    <row r="302" spans="1:42" x14ac:dyDescent="0.2">
      <c r="A302" s="63" t="str">
        <f t="shared" si="46"/>
        <v/>
      </c>
      <c r="B302" s="133"/>
      <c r="C302" s="133"/>
      <c r="D302" s="135"/>
      <c r="E302" s="135"/>
      <c r="F302" s="137"/>
      <c r="AA302" s="116" t="str">
        <f t="shared" si="45"/>
        <v>00000000000000</v>
      </c>
      <c r="AB302" s="117" t="str">
        <f t="shared" si="47"/>
        <v>000000000000</v>
      </c>
      <c r="AC302" s="118">
        <f t="shared" si="48"/>
        <v>1</v>
      </c>
      <c r="AD302" s="47">
        <v>2</v>
      </c>
      <c r="AE302" s="66">
        <f t="shared" si="51"/>
        <v>0</v>
      </c>
      <c r="AF302" s="66">
        <f t="shared" si="44"/>
        <v>0</v>
      </c>
      <c r="AG302" s="67" t="str">
        <f t="shared" si="52"/>
        <v>0000000000</v>
      </c>
      <c r="AH302" s="67" t="str">
        <f t="shared" si="53"/>
        <v>.00</v>
      </c>
      <c r="AI302" s="67" t="str">
        <f t="shared" si="49"/>
        <v>00</v>
      </c>
      <c r="AJ302" s="67" t="str">
        <f t="shared" si="54"/>
        <v>000000000000</v>
      </c>
      <c r="AK302" s="119"/>
      <c r="AL302" s="120"/>
      <c r="AP302" s="115" t="str">
        <f t="shared" si="50"/>
        <v/>
      </c>
    </row>
    <row r="303" spans="1:42" x14ac:dyDescent="0.2">
      <c r="A303" s="63" t="str">
        <f t="shared" si="46"/>
        <v/>
      </c>
      <c r="B303" s="133"/>
      <c r="C303" s="133"/>
      <c r="D303" s="135"/>
      <c r="E303" s="135"/>
      <c r="F303" s="137"/>
      <c r="AA303" s="116" t="str">
        <f t="shared" si="45"/>
        <v>00000000000000</v>
      </c>
      <c r="AB303" s="117" t="str">
        <f t="shared" si="47"/>
        <v>000000000000</v>
      </c>
      <c r="AC303" s="118">
        <f t="shared" si="48"/>
        <v>1</v>
      </c>
      <c r="AD303" s="47">
        <v>2</v>
      </c>
      <c r="AE303" s="66">
        <f t="shared" si="51"/>
        <v>0</v>
      </c>
      <c r="AF303" s="66">
        <f t="shared" si="44"/>
        <v>0</v>
      </c>
      <c r="AG303" s="67" t="str">
        <f t="shared" si="52"/>
        <v>0000000000</v>
      </c>
      <c r="AH303" s="67" t="str">
        <f t="shared" si="53"/>
        <v>.00</v>
      </c>
      <c r="AI303" s="67" t="str">
        <f t="shared" si="49"/>
        <v>00</v>
      </c>
      <c r="AJ303" s="67" t="str">
        <f t="shared" si="54"/>
        <v>000000000000</v>
      </c>
      <c r="AK303" s="119"/>
      <c r="AL303" s="120"/>
      <c r="AP303" s="115" t="str">
        <f t="shared" si="50"/>
        <v/>
      </c>
    </row>
    <row r="304" spans="1:42" x14ac:dyDescent="0.2">
      <c r="A304" s="63" t="str">
        <f t="shared" si="46"/>
        <v/>
      </c>
      <c r="B304" s="133"/>
      <c r="C304" s="133"/>
      <c r="D304" s="135"/>
      <c r="E304" s="135"/>
      <c r="F304" s="137"/>
      <c r="AA304" s="116" t="str">
        <f t="shared" si="45"/>
        <v>00000000000000</v>
      </c>
      <c r="AB304" s="117" t="str">
        <f t="shared" si="47"/>
        <v>000000000000</v>
      </c>
      <c r="AC304" s="118">
        <f t="shared" si="48"/>
        <v>1</v>
      </c>
      <c r="AD304" s="47">
        <v>2</v>
      </c>
      <c r="AE304" s="66">
        <f t="shared" si="51"/>
        <v>0</v>
      </c>
      <c r="AF304" s="66">
        <f t="shared" si="44"/>
        <v>0</v>
      </c>
      <c r="AG304" s="67" t="str">
        <f t="shared" si="52"/>
        <v>0000000000</v>
      </c>
      <c r="AH304" s="67" t="str">
        <f t="shared" si="53"/>
        <v>.00</v>
      </c>
      <c r="AI304" s="67" t="str">
        <f t="shared" si="49"/>
        <v>00</v>
      </c>
      <c r="AJ304" s="67" t="str">
        <f t="shared" si="54"/>
        <v>000000000000</v>
      </c>
      <c r="AK304" s="119"/>
      <c r="AL304" s="120"/>
      <c r="AP304" s="115" t="str">
        <f t="shared" si="50"/>
        <v/>
      </c>
    </row>
    <row r="305" spans="1:42" x14ac:dyDescent="0.2">
      <c r="A305" s="63" t="str">
        <f t="shared" si="46"/>
        <v/>
      </c>
      <c r="B305" s="133"/>
      <c r="C305" s="133"/>
      <c r="D305" s="135"/>
      <c r="E305" s="135"/>
      <c r="F305" s="137"/>
      <c r="AA305" s="116" t="str">
        <f t="shared" si="45"/>
        <v>00000000000000</v>
      </c>
      <c r="AB305" s="117" t="str">
        <f t="shared" si="47"/>
        <v>000000000000</v>
      </c>
      <c r="AC305" s="118">
        <f t="shared" si="48"/>
        <v>1</v>
      </c>
      <c r="AD305" s="47">
        <v>2</v>
      </c>
      <c r="AE305" s="66">
        <f t="shared" si="51"/>
        <v>0</v>
      </c>
      <c r="AF305" s="66">
        <f t="shared" si="44"/>
        <v>0</v>
      </c>
      <c r="AG305" s="67" t="str">
        <f t="shared" si="52"/>
        <v>0000000000</v>
      </c>
      <c r="AH305" s="67" t="str">
        <f t="shared" si="53"/>
        <v>.00</v>
      </c>
      <c r="AI305" s="67" t="str">
        <f t="shared" si="49"/>
        <v>00</v>
      </c>
      <c r="AJ305" s="67" t="str">
        <f t="shared" si="54"/>
        <v>000000000000</v>
      </c>
      <c r="AK305" s="119"/>
      <c r="AL305" s="120"/>
      <c r="AP305" s="115" t="str">
        <f t="shared" si="50"/>
        <v/>
      </c>
    </row>
    <row r="306" spans="1:42" x14ac:dyDescent="0.2">
      <c r="A306" s="63" t="str">
        <f t="shared" si="46"/>
        <v/>
      </c>
      <c r="B306" s="133"/>
      <c r="C306" s="133"/>
      <c r="D306" s="135"/>
      <c r="E306" s="135"/>
      <c r="F306" s="137"/>
      <c r="AA306" s="116" t="str">
        <f t="shared" si="45"/>
        <v>00000000000000</v>
      </c>
      <c r="AB306" s="117" t="str">
        <f t="shared" si="47"/>
        <v>000000000000</v>
      </c>
      <c r="AC306" s="118">
        <f t="shared" si="48"/>
        <v>1</v>
      </c>
      <c r="AD306" s="47">
        <v>2</v>
      </c>
      <c r="AE306" s="66">
        <f t="shared" si="51"/>
        <v>0</v>
      </c>
      <c r="AF306" s="66">
        <f t="shared" si="44"/>
        <v>0</v>
      </c>
      <c r="AG306" s="67" t="str">
        <f t="shared" si="52"/>
        <v>0000000000</v>
      </c>
      <c r="AH306" s="67" t="str">
        <f t="shared" si="53"/>
        <v>.00</v>
      </c>
      <c r="AI306" s="67" t="str">
        <f t="shared" si="49"/>
        <v>00</v>
      </c>
      <c r="AJ306" s="67" t="str">
        <f t="shared" si="54"/>
        <v>000000000000</v>
      </c>
      <c r="AK306" s="119"/>
      <c r="AL306" s="120"/>
      <c r="AP306" s="115" t="str">
        <f t="shared" si="50"/>
        <v/>
      </c>
    </row>
    <row r="307" spans="1:42" x14ac:dyDescent="0.2">
      <c r="A307" s="63" t="str">
        <f t="shared" si="46"/>
        <v/>
      </c>
      <c r="B307" s="133"/>
      <c r="C307" s="133"/>
      <c r="D307" s="135"/>
      <c r="E307" s="135"/>
      <c r="F307" s="137"/>
      <c r="AA307" s="116" t="str">
        <f t="shared" si="45"/>
        <v>00000000000000</v>
      </c>
      <c r="AB307" s="117" t="str">
        <f t="shared" si="47"/>
        <v>000000000000</v>
      </c>
      <c r="AC307" s="118">
        <f t="shared" si="48"/>
        <v>1</v>
      </c>
      <c r="AD307" s="47">
        <v>2</v>
      </c>
      <c r="AE307" s="66">
        <f t="shared" si="51"/>
        <v>0</v>
      </c>
      <c r="AF307" s="66">
        <f t="shared" si="44"/>
        <v>0</v>
      </c>
      <c r="AG307" s="67" t="str">
        <f t="shared" si="52"/>
        <v>0000000000</v>
      </c>
      <c r="AH307" s="67" t="str">
        <f t="shared" si="53"/>
        <v>.00</v>
      </c>
      <c r="AI307" s="67" t="str">
        <f t="shared" si="49"/>
        <v>00</v>
      </c>
      <c r="AJ307" s="67" t="str">
        <f t="shared" si="54"/>
        <v>000000000000</v>
      </c>
      <c r="AK307" s="119"/>
      <c r="AL307" s="120"/>
      <c r="AP307" s="115" t="str">
        <f t="shared" si="50"/>
        <v/>
      </c>
    </row>
    <row r="308" spans="1:42" x14ac:dyDescent="0.2">
      <c r="A308" s="63" t="str">
        <f t="shared" si="46"/>
        <v/>
      </c>
      <c r="B308" s="133"/>
      <c r="C308" s="133"/>
      <c r="D308" s="135"/>
      <c r="E308" s="135"/>
      <c r="F308" s="137"/>
      <c r="AA308" s="116" t="str">
        <f t="shared" si="45"/>
        <v>00000000000000</v>
      </c>
      <c r="AB308" s="117" t="str">
        <f t="shared" si="47"/>
        <v>000000000000</v>
      </c>
      <c r="AC308" s="118">
        <f t="shared" si="48"/>
        <v>1</v>
      </c>
      <c r="AD308" s="47">
        <v>2</v>
      </c>
      <c r="AE308" s="66">
        <f t="shared" si="51"/>
        <v>0</v>
      </c>
      <c r="AF308" s="66">
        <f t="shared" si="44"/>
        <v>0</v>
      </c>
      <c r="AG308" s="67" t="str">
        <f t="shared" si="52"/>
        <v>0000000000</v>
      </c>
      <c r="AH308" s="67" t="str">
        <f t="shared" si="53"/>
        <v>.00</v>
      </c>
      <c r="AI308" s="67" t="str">
        <f t="shared" si="49"/>
        <v>00</v>
      </c>
      <c r="AJ308" s="67" t="str">
        <f t="shared" si="54"/>
        <v>000000000000</v>
      </c>
      <c r="AK308" s="119"/>
      <c r="AL308" s="120"/>
      <c r="AP308" s="115" t="str">
        <f t="shared" si="50"/>
        <v/>
      </c>
    </row>
    <row r="309" spans="1:42" x14ac:dyDescent="0.2">
      <c r="A309" s="63" t="str">
        <f t="shared" si="46"/>
        <v/>
      </c>
      <c r="B309" s="133"/>
      <c r="C309" s="133"/>
      <c r="D309" s="135"/>
      <c r="E309" s="135"/>
      <c r="F309" s="137"/>
      <c r="AA309" s="116" t="str">
        <f t="shared" si="45"/>
        <v>00000000000000</v>
      </c>
      <c r="AB309" s="117" t="str">
        <f t="shared" si="47"/>
        <v>000000000000</v>
      </c>
      <c r="AC309" s="118">
        <f t="shared" si="48"/>
        <v>1</v>
      </c>
      <c r="AD309" s="47">
        <v>2</v>
      </c>
      <c r="AE309" s="66">
        <f t="shared" si="51"/>
        <v>0</v>
      </c>
      <c r="AF309" s="66">
        <f t="shared" si="44"/>
        <v>0</v>
      </c>
      <c r="AG309" s="67" t="str">
        <f t="shared" si="52"/>
        <v>0000000000</v>
      </c>
      <c r="AH309" s="67" t="str">
        <f t="shared" si="53"/>
        <v>.00</v>
      </c>
      <c r="AI309" s="67" t="str">
        <f t="shared" si="49"/>
        <v>00</v>
      </c>
      <c r="AJ309" s="67" t="str">
        <f t="shared" si="54"/>
        <v>000000000000</v>
      </c>
      <c r="AK309" s="119"/>
      <c r="AL309" s="120"/>
      <c r="AP309" s="115" t="str">
        <f t="shared" si="50"/>
        <v/>
      </c>
    </row>
    <row r="310" spans="1:42" x14ac:dyDescent="0.2">
      <c r="A310" s="63" t="str">
        <f t="shared" si="46"/>
        <v/>
      </c>
      <c r="B310" s="133"/>
      <c r="C310" s="133"/>
      <c r="D310" s="135"/>
      <c r="E310" s="135"/>
      <c r="F310" s="137"/>
      <c r="AA310" s="116" t="str">
        <f t="shared" si="45"/>
        <v>00000000000000</v>
      </c>
      <c r="AB310" s="117" t="str">
        <f t="shared" si="47"/>
        <v>000000000000</v>
      </c>
      <c r="AC310" s="118">
        <f t="shared" si="48"/>
        <v>1</v>
      </c>
      <c r="AD310" s="47">
        <v>2</v>
      </c>
      <c r="AE310" s="66">
        <f t="shared" si="51"/>
        <v>0</v>
      </c>
      <c r="AF310" s="66">
        <f t="shared" si="44"/>
        <v>0</v>
      </c>
      <c r="AG310" s="67" t="str">
        <f t="shared" si="52"/>
        <v>0000000000</v>
      </c>
      <c r="AH310" s="67" t="str">
        <f t="shared" si="53"/>
        <v>.00</v>
      </c>
      <c r="AI310" s="67" t="str">
        <f t="shared" si="49"/>
        <v>00</v>
      </c>
      <c r="AJ310" s="67" t="str">
        <f t="shared" si="54"/>
        <v>000000000000</v>
      </c>
      <c r="AK310" s="119"/>
      <c r="AL310" s="120"/>
      <c r="AP310" s="115" t="str">
        <f t="shared" si="50"/>
        <v/>
      </c>
    </row>
    <row r="311" spans="1:42" x14ac:dyDescent="0.2">
      <c r="A311" s="63" t="str">
        <f t="shared" si="46"/>
        <v/>
      </c>
      <c r="B311" s="133"/>
      <c r="C311" s="133"/>
      <c r="D311" s="135"/>
      <c r="E311" s="135"/>
      <c r="F311" s="137"/>
      <c r="AA311" s="116" t="str">
        <f t="shared" si="45"/>
        <v>00000000000000</v>
      </c>
      <c r="AB311" s="117" t="str">
        <f t="shared" si="47"/>
        <v>000000000000</v>
      </c>
      <c r="AC311" s="118">
        <f t="shared" si="48"/>
        <v>1</v>
      </c>
      <c r="AD311" s="47">
        <v>2</v>
      </c>
      <c r="AE311" s="66">
        <f t="shared" si="51"/>
        <v>0</v>
      </c>
      <c r="AF311" s="66">
        <f t="shared" si="44"/>
        <v>0</v>
      </c>
      <c r="AG311" s="67" t="str">
        <f t="shared" si="52"/>
        <v>0000000000</v>
      </c>
      <c r="AH311" s="67" t="str">
        <f t="shared" si="53"/>
        <v>.00</v>
      </c>
      <c r="AI311" s="67" t="str">
        <f t="shared" si="49"/>
        <v>00</v>
      </c>
      <c r="AJ311" s="67" t="str">
        <f t="shared" si="54"/>
        <v>000000000000</v>
      </c>
      <c r="AK311" s="119"/>
      <c r="AL311" s="120"/>
      <c r="AP311" s="115" t="str">
        <f t="shared" si="50"/>
        <v/>
      </c>
    </row>
    <row r="312" spans="1:42" x14ac:dyDescent="0.2">
      <c r="A312" s="63" t="str">
        <f t="shared" si="46"/>
        <v/>
      </c>
      <c r="B312" s="133"/>
      <c r="C312" s="133"/>
      <c r="D312" s="135"/>
      <c r="E312" s="135"/>
      <c r="F312" s="137"/>
      <c r="AA312" s="116" t="str">
        <f t="shared" si="45"/>
        <v>00000000000000</v>
      </c>
      <c r="AB312" s="117" t="str">
        <f t="shared" si="47"/>
        <v>000000000000</v>
      </c>
      <c r="AC312" s="118">
        <f t="shared" si="48"/>
        <v>1</v>
      </c>
      <c r="AD312" s="47">
        <v>2</v>
      </c>
      <c r="AE312" s="66">
        <f t="shared" si="51"/>
        <v>0</v>
      </c>
      <c r="AF312" s="66">
        <f t="shared" si="44"/>
        <v>0</v>
      </c>
      <c r="AG312" s="67" t="str">
        <f t="shared" si="52"/>
        <v>0000000000</v>
      </c>
      <c r="AH312" s="67" t="str">
        <f t="shared" si="53"/>
        <v>.00</v>
      </c>
      <c r="AI312" s="67" t="str">
        <f t="shared" si="49"/>
        <v>00</v>
      </c>
      <c r="AJ312" s="67" t="str">
        <f t="shared" si="54"/>
        <v>000000000000</v>
      </c>
      <c r="AK312" s="119"/>
      <c r="AL312" s="120"/>
      <c r="AP312" s="115" t="str">
        <f t="shared" si="50"/>
        <v/>
      </c>
    </row>
    <row r="313" spans="1:42" x14ac:dyDescent="0.2">
      <c r="A313" s="63" t="str">
        <f t="shared" si="46"/>
        <v/>
      </c>
      <c r="B313" s="133"/>
      <c r="C313" s="133"/>
      <c r="D313" s="135"/>
      <c r="E313" s="135"/>
      <c r="F313" s="137"/>
      <c r="AA313" s="116" t="str">
        <f t="shared" si="45"/>
        <v>00000000000000</v>
      </c>
      <c r="AB313" s="117" t="str">
        <f t="shared" si="47"/>
        <v>000000000000</v>
      </c>
      <c r="AC313" s="118">
        <f t="shared" si="48"/>
        <v>1</v>
      </c>
      <c r="AD313" s="47">
        <v>2</v>
      </c>
      <c r="AE313" s="66">
        <f t="shared" si="51"/>
        <v>0</v>
      </c>
      <c r="AF313" s="66">
        <f t="shared" si="44"/>
        <v>0</v>
      </c>
      <c r="AG313" s="67" t="str">
        <f t="shared" si="52"/>
        <v>0000000000</v>
      </c>
      <c r="AH313" s="67" t="str">
        <f t="shared" si="53"/>
        <v>.00</v>
      </c>
      <c r="AI313" s="67" t="str">
        <f t="shared" si="49"/>
        <v>00</v>
      </c>
      <c r="AJ313" s="67" t="str">
        <f t="shared" si="54"/>
        <v>000000000000</v>
      </c>
      <c r="AK313" s="119"/>
      <c r="AL313" s="120"/>
      <c r="AP313" s="115" t="str">
        <f t="shared" si="50"/>
        <v/>
      </c>
    </row>
    <row r="314" spans="1:42" x14ac:dyDescent="0.2">
      <c r="A314" s="63" t="str">
        <f t="shared" si="46"/>
        <v/>
      </c>
      <c r="B314" s="133"/>
      <c r="C314" s="133"/>
      <c r="D314" s="135"/>
      <c r="E314" s="135"/>
      <c r="F314" s="137"/>
      <c r="AA314" s="116" t="str">
        <f t="shared" si="45"/>
        <v>00000000000000</v>
      </c>
      <c r="AB314" s="117" t="str">
        <f t="shared" si="47"/>
        <v>000000000000</v>
      </c>
      <c r="AC314" s="118">
        <f t="shared" si="48"/>
        <v>1</v>
      </c>
      <c r="AD314" s="47">
        <v>2</v>
      </c>
      <c r="AE314" s="66">
        <f t="shared" si="51"/>
        <v>0</v>
      </c>
      <c r="AF314" s="66">
        <f t="shared" si="44"/>
        <v>0</v>
      </c>
      <c r="AG314" s="67" t="str">
        <f t="shared" si="52"/>
        <v>0000000000</v>
      </c>
      <c r="AH314" s="67" t="str">
        <f t="shared" si="53"/>
        <v>.00</v>
      </c>
      <c r="AI314" s="67" t="str">
        <f t="shared" si="49"/>
        <v>00</v>
      </c>
      <c r="AJ314" s="67" t="str">
        <f t="shared" si="54"/>
        <v>000000000000</v>
      </c>
      <c r="AK314" s="119"/>
      <c r="AL314" s="120"/>
      <c r="AP314" s="115" t="str">
        <f t="shared" si="50"/>
        <v/>
      </c>
    </row>
    <row r="315" spans="1:42" x14ac:dyDescent="0.2">
      <c r="A315" s="63" t="str">
        <f t="shared" si="46"/>
        <v/>
      </c>
      <c r="B315" s="133"/>
      <c r="C315" s="133"/>
      <c r="D315" s="135"/>
      <c r="E315" s="135"/>
      <c r="F315" s="137"/>
      <c r="AA315" s="116" t="str">
        <f t="shared" si="45"/>
        <v>00000000000000</v>
      </c>
      <c r="AB315" s="117" t="str">
        <f t="shared" si="47"/>
        <v>000000000000</v>
      </c>
      <c r="AC315" s="118">
        <f t="shared" si="48"/>
        <v>1</v>
      </c>
      <c r="AD315" s="47">
        <v>2</v>
      </c>
      <c r="AE315" s="66">
        <f t="shared" si="51"/>
        <v>0</v>
      </c>
      <c r="AF315" s="66">
        <f t="shared" si="44"/>
        <v>0</v>
      </c>
      <c r="AG315" s="67" t="str">
        <f t="shared" si="52"/>
        <v>0000000000</v>
      </c>
      <c r="AH315" s="67" t="str">
        <f t="shared" si="53"/>
        <v>.00</v>
      </c>
      <c r="AI315" s="67" t="str">
        <f t="shared" si="49"/>
        <v>00</v>
      </c>
      <c r="AJ315" s="67" t="str">
        <f t="shared" si="54"/>
        <v>000000000000</v>
      </c>
      <c r="AK315" s="119"/>
      <c r="AL315" s="120"/>
      <c r="AP315" s="115" t="str">
        <f t="shared" si="50"/>
        <v/>
      </c>
    </row>
    <row r="316" spans="1:42" x14ac:dyDescent="0.2">
      <c r="A316" s="63" t="str">
        <f t="shared" si="46"/>
        <v/>
      </c>
      <c r="B316" s="133"/>
      <c r="C316" s="133"/>
      <c r="D316" s="135"/>
      <c r="E316" s="135"/>
      <c r="F316" s="137"/>
      <c r="AA316" s="116" t="str">
        <f t="shared" si="45"/>
        <v>00000000000000</v>
      </c>
      <c r="AB316" s="117" t="str">
        <f t="shared" si="47"/>
        <v>000000000000</v>
      </c>
      <c r="AC316" s="118">
        <f t="shared" si="48"/>
        <v>1</v>
      </c>
      <c r="AD316" s="47">
        <v>2</v>
      </c>
      <c r="AE316" s="66">
        <f t="shared" si="51"/>
        <v>0</v>
      </c>
      <c r="AF316" s="66">
        <f t="shared" si="44"/>
        <v>0</v>
      </c>
      <c r="AG316" s="67" t="str">
        <f t="shared" si="52"/>
        <v>0000000000</v>
      </c>
      <c r="AH316" s="67" t="str">
        <f t="shared" si="53"/>
        <v>.00</v>
      </c>
      <c r="AI316" s="67" t="str">
        <f t="shared" si="49"/>
        <v>00</v>
      </c>
      <c r="AJ316" s="67" t="str">
        <f t="shared" si="54"/>
        <v>000000000000</v>
      </c>
      <c r="AK316" s="119"/>
      <c r="AL316" s="120"/>
      <c r="AP316" s="115" t="str">
        <f t="shared" si="50"/>
        <v/>
      </c>
    </row>
    <row r="317" spans="1:42" x14ac:dyDescent="0.2">
      <c r="A317" s="63" t="str">
        <f t="shared" si="46"/>
        <v/>
      </c>
      <c r="B317" s="133"/>
      <c r="C317" s="133"/>
      <c r="D317" s="135"/>
      <c r="E317" s="135"/>
      <c r="F317" s="137"/>
      <c r="AA317" s="116" t="str">
        <f t="shared" si="45"/>
        <v>00000000000000</v>
      </c>
      <c r="AB317" s="117" t="str">
        <f t="shared" si="47"/>
        <v>000000000000</v>
      </c>
      <c r="AC317" s="118">
        <f t="shared" si="48"/>
        <v>1</v>
      </c>
      <c r="AD317" s="47">
        <v>2</v>
      </c>
      <c r="AE317" s="66">
        <f t="shared" si="51"/>
        <v>0</v>
      </c>
      <c r="AF317" s="66">
        <f t="shared" si="44"/>
        <v>0</v>
      </c>
      <c r="AG317" s="67" t="str">
        <f t="shared" si="52"/>
        <v>0000000000</v>
      </c>
      <c r="AH317" s="67" t="str">
        <f t="shared" si="53"/>
        <v>.00</v>
      </c>
      <c r="AI317" s="67" t="str">
        <f t="shared" si="49"/>
        <v>00</v>
      </c>
      <c r="AJ317" s="67" t="str">
        <f t="shared" si="54"/>
        <v>000000000000</v>
      </c>
      <c r="AK317" s="119"/>
      <c r="AL317" s="120"/>
      <c r="AP317" s="115" t="str">
        <f t="shared" si="50"/>
        <v/>
      </c>
    </row>
    <row r="318" spans="1:42" x14ac:dyDescent="0.2">
      <c r="A318" s="63" t="str">
        <f t="shared" si="46"/>
        <v/>
      </c>
      <c r="B318" s="133"/>
      <c r="C318" s="133"/>
      <c r="D318" s="135"/>
      <c r="E318" s="135"/>
      <c r="F318" s="137"/>
      <c r="AA318" s="116" t="str">
        <f t="shared" si="45"/>
        <v>00000000000000</v>
      </c>
      <c r="AB318" s="117" t="str">
        <f t="shared" si="47"/>
        <v>000000000000</v>
      </c>
      <c r="AC318" s="118">
        <f t="shared" si="48"/>
        <v>1</v>
      </c>
      <c r="AD318" s="47">
        <v>2</v>
      </c>
      <c r="AE318" s="66">
        <f t="shared" si="51"/>
        <v>0</v>
      </c>
      <c r="AF318" s="66">
        <f t="shared" si="44"/>
        <v>0</v>
      </c>
      <c r="AG318" s="67" t="str">
        <f t="shared" si="52"/>
        <v>0000000000</v>
      </c>
      <c r="AH318" s="67" t="str">
        <f t="shared" si="53"/>
        <v>.00</v>
      </c>
      <c r="AI318" s="67" t="str">
        <f t="shared" si="49"/>
        <v>00</v>
      </c>
      <c r="AJ318" s="67" t="str">
        <f t="shared" si="54"/>
        <v>000000000000</v>
      </c>
      <c r="AK318" s="119"/>
      <c r="AL318" s="120"/>
      <c r="AP318" s="115" t="str">
        <f t="shared" si="50"/>
        <v/>
      </c>
    </row>
    <row r="319" spans="1:42" x14ac:dyDescent="0.2">
      <c r="A319" s="63" t="str">
        <f t="shared" si="46"/>
        <v/>
      </c>
      <c r="B319" s="133"/>
      <c r="C319" s="133"/>
      <c r="D319" s="135"/>
      <c r="E319" s="135"/>
      <c r="F319" s="137"/>
      <c r="AA319" s="116" t="str">
        <f t="shared" si="45"/>
        <v>00000000000000</v>
      </c>
      <c r="AB319" s="117" t="str">
        <f t="shared" si="47"/>
        <v>000000000000</v>
      </c>
      <c r="AC319" s="118">
        <f t="shared" si="48"/>
        <v>1</v>
      </c>
      <c r="AD319" s="47">
        <v>2</v>
      </c>
      <c r="AE319" s="66">
        <f t="shared" si="51"/>
        <v>0</v>
      </c>
      <c r="AF319" s="66">
        <f t="shared" si="44"/>
        <v>0</v>
      </c>
      <c r="AG319" s="67" t="str">
        <f t="shared" si="52"/>
        <v>0000000000</v>
      </c>
      <c r="AH319" s="67" t="str">
        <f t="shared" si="53"/>
        <v>.00</v>
      </c>
      <c r="AI319" s="67" t="str">
        <f t="shared" si="49"/>
        <v>00</v>
      </c>
      <c r="AJ319" s="67" t="str">
        <f t="shared" si="54"/>
        <v>000000000000</v>
      </c>
      <c r="AK319" s="119"/>
      <c r="AL319" s="120"/>
      <c r="AP319" s="115" t="str">
        <f t="shared" si="50"/>
        <v/>
      </c>
    </row>
    <row r="320" spans="1:42" x14ac:dyDescent="0.2">
      <c r="A320" s="63" t="str">
        <f t="shared" si="46"/>
        <v/>
      </c>
      <c r="B320" s="133"/>
      <c r="C320" s="133"/>
      <c r="D320" s="135"/>
      <c r="E320" s="135"/>
      <c r="F320" s="137"/>
      <c r="AA320" s="116" t="str">
        <f t="shared" si="45"/>
        <v>00000000000000</v>
      </c>
      <c r="AB320" s="117" t="str">
        <f t="shared" si="47"/>
        <v>000000000000</v>
      </c>
      <c r="AC320" s="118">
        <f t="shared" si="48"/>
        <v>1</v>
      </c>
      <c r="AD320" s="47">
        <v>2</v>
      </c>
      <c r="AE320" s="66">
        <f t="shared" si="51"/>
        <v>0</v>
      </c>
      <c r="AF320" s="66">
        <f t="shared" si="44"/>
        <v>0</v>
      </c>
      <c r="AG320" s="67" t="str">
        <f t="shared" si="52"/>
        <v>0000000000</v>
      </c>
      <c r="AH320" s="67" t="str">
        <f t="shared" si="53"/>
        <v>.00</v>
      </c>
      <c r="AI320" s="67" t="str">
        <f t="shared" si="49"/>
        <v>00</v>
      </c>
      <c r="AJ320" s="67" t="str">
        <f t="shared" si="54"/>
        <v>000000000000</v>
      </c>
      <c r="AK320" s="119"/>
      <c r="AL320" s="120"/>
      <c r="AP320" s="115" t="str">
        <f t="shared" si="50"/>
        <v/>
      </c>
    </row>
    <row r="321" spans="1:42" x14ac:dyDescent="0.2">
      <c r="A321" s="63" t="str">
        <f t="shared" si="46"/>
        <v/>
      </c>
      <c r="B321" s="133"/>
      <c r="C321" s="133"/>
      <c r="D321" s="135"/>
      <c r="E321" s="135"/>
      <c r="F321" s="137"/>
      <c r="AA321" s="116" t="str">
        <f t="shared" si="45"/>
        <v>00000000000000</v>
      </c>
      <c r="AB321" s="117" t="str">
        <f t="shared" si="47"/>
        <v>000000000000</v>
      </c>
      <c r="AC321" s="118">
        <f t="shared" si="48"/>
        <v>1</v>
      </c>
      <c r="AD321" s="47">
        <v>2</v>
      </c>
      <c r="AE321" s="66">
        <f t="shared" si="51"/>
        <v>0</v>
      </c>
      <c r="AF321" s="66">
        <f t="shared" si="44"/>
        <v>0</v>
      </c>
      <c r="AG321" s="67" t="str">
        <f t="shared" si="52"/>
        <v>0000000000</v>
      </c>
      <c r="AH321" s="67" t="str">
        <f t="shared" si="53"/>
        <v>.00</v>
      </c>
      <c r="AI321" s="67" t="str">
        <f t="shared" si="49"/>
        <v>00</v>
      </c>
      <c r="AJ321" s="67" t="str">
        <f t="shared" si="54"/>
        <v>000000000000</v>
      </c>
      <c r="AK321" s="119"/>
      <c r="AL321" s="120"/>
      <c r="AP321" s="115" t="str">
        <f t="shared" si="50"/>
        <v/>
      </c>
    </row>
    <row r="322" spans="1:42" x14ac:dyDescent="0.2">
      <c r="A322" s="63" t="str">
        <f t="shared" si="46"/>
        <v/>
      </c>
      <c r="B322" s="133"/>
      <c r="C322" s="133"/>
      <c r="D322" s="135"/>
      <c r="E322" s="135"/>
      <c r="F322" s="137"/>
      <c r="AA322" s="116" t="str">
        <f t="shared" si="45"/>
        <v>00000000000000</v>
      </c>
      <c r="AB322" s="117" t="str">
        <f t="shared" si="47"/>
        <v>000000000000</v>
      </c>
      <c r="AC322" s="118">
        <f t="shared" si="48"/>
        <v>1</v>
      </c>
      <c r="AD322" s="47">
        <v>2</v>
      </c>
      <c r="AE322" s="66">
        <f t="shared" si="51"/>
        <v>0</v>
      </c>
      <c r="AF322" s="66">
        <f t="shared" si="44"/>
        <v>0</v>
      </c>
      <c r="AG322" s="67" t="str">
        <f t="shared" si="52"/>
        <v>0000000000</v>
      </c>
      <c r="AH322" s="67" t="str">
        <f t="shared" si="53"/>
        <v>.00</v>
      </c>
      <c r="AI322" s="67" t="str">
        <f t="shared" si="49"/>
        <v>00</v>
      </c>
      <c r="AJ322" s="67" t="str">
        <f t="shared" si="54"/>
        <v>000000000000</v>
      </c>
      <c r="AK322" s="119"/>
      <c r="AL322" s="120"/>
      <c r="AP322" s="115" t="str">
        <f t="shared" si="50"/>
        <v/>
      </c>
    </row>
    <row r="323" spans="1:42" x14ac:dyDescent="0.2">
      <c r="A323" s="63" t="str">
        <f t="shared" si="46"/>
        <v/>
      </c>
      <c r="B323" s="133"/>
      <c r="C323" s="133"/>
      <c r="D323" s="135"/>
      <c r="E323" s="135"/>
      <c r="F323" s="137"/>
      <c r="AA323" s="116" t="str">
        <f t="shared" si="45"/>
        <v>00000000000000</v>
      </c>
      <c r="AB323" s="117" t="str">
        <f t="shared" si="47"/>
        <v>000000000000</v>
      </c>
      <c r="AC323" s="118">
        <f t="shared" si="48"/>
        <v>1</v>
      </c>
      <c r="AD323" s="47">
        <v>2</v>
      </c>
      <c r="AE323" s="66">
        <f t="shared" si="51"/>
        <v>0</v>
      </c>
      <c r="AF323" s="66">
        <f t="shared" ref="AF323:AF386" si="55">F323-AE323</f>
        <v>0</v>
      </c>
      <c r="AG323" s="67" t="str">
        <f t="shared" si="52"/>
        <v>0000000000</v>
      </c>
      <c r="AH323" s="67" t="str">
        <f t="shared" si="53"/>
        <v>.00</v>
      </c>
      <c r="AI323" s="67" t="str">
        <f t="shared" si="49"/>
        <v>00</v>
      </c>
      <c r="AJ323" s="67" t="str">
        <f t="shared" si="54"/>
        <v>000000000000</v>
      </c>
      <c r="AK323" s="119"/>
      <c r="AL323" s="120"/>
      <c r="AP323" s="115" t="str">
        <f t="shared" si="50"/>
        <v/>
      </c>
    </row>
    <row r="324" spans="1:42" x14ac:dyDescent="0.2">
      <c r="A324" s="63" t="str">
        <f t="shared" si="46"/>
        <v/>
      </c>
      <c r="B324" s="133"/>
      <c r="C324" s="133"/>
      <c r="D324" s="135"/>
      <c r="E324" s="135"/>
      <c r="F324" s="137"/>
      <c r="AA324" s="116" t="str">
        <f t="shared" ref="AA324:AA387" si="56">CONCATENATE(REPT("0",14-LEN(B324)),B324)</f>
        <v>00000000000000</v>
      </c>
      <c r="AB324" s="117" t="str">
        <f t="shared" si="47"/>
        <v>000000000000</v>
      </c>
      <c r="AC324" s="118">
        <f t="shared" si="48"/>
        <v>1</v>
      </c>
      <c r="AD324" s="47">
        <v>2</v>
      </c>
      <c r="AE324" s="66">
        <f t="shared" si="51"/>
        <v>0</v>
      </c>
      <c r="AF324" s="66">
        <f t="shared" si="55"/>
        <v>0</v>
      </c>
      <c r="AG324" s="67" t="str">
        <f t="shared" si="52"/>
        <v>0000000000</v>
      </c>
      <c r="AH324" s="67" t="str">
        <f t="shared" si="53"/>
        <v>.00</v>
      </c>
      <c r="AI324" s="67" t="str">
        <f t="shared" si="49"/>
        <v>00</v>
      </c>
      <c r="AJ324" s="67" t="str">
        <f t="shared" si="54"/>
        <v>000000000000</v>
      </c>
      <c r="AK324" s="119"/>
      <c r="AL324" s="120"/>
      <c r="AP324" s="115" t="str">
        <f t="shared" si="50"/>
        <v/>
      </c>
    </row>
    <row r="325" spans="1:42" x14ac:dyDescent="0.2">
      <c r="A325" s="63" t="str">
        <f t="shared" ref="A325:A388" si="57">IF(B325&lt;&gt;"",A324+1,"")</f>
        <v/>
      </c>
      <c r="B325" s="133"/>
      <c r="C325" s="133"/>
      <c r="D325" s="135"/>
      <c r="E325" s="135"/>
      <c r="F325" s="137"/>
      <c r="AA325" s="116" t="str">
        <f t="shared" si="56"/>
        <v>00000000000000</v>
      </c>
      <c r="AB325" s="117" t="str">
        <f t="shared" ref="AB325:AB388" si="58">CONCATENATE(REPT("0",12-LEN(C325)),C325)</f>
        <v>000000000000</v>
      </c>
      <c r="AC325" s="118">
        <f t="shared" ref="AC325:AC388" si="59">AC324</f>
        <v>1</v>
      </c>
      <c r="AD325" s="47">
        <v>2</v>
      </c>
      <c r="AE325" s="66">
        <f t="shared" si="51"/>
        <v>0</v>
      </c>
      <c r="AF325" s="66">
        <f t="shared" si="55"/>
        <v>0</v>
      </c>
      <c r="AG325" s="67" t="str">
        <f t="shared" si="52"/>
        <v>0000000000</v>
      </c>
      <c r="AH325" s="67" t="str">
        <f t="shared" si="53"/>
        <v>.00</v>
      </c>
      <c r="AI325" s="67" t="str">
        <f t="shared" ref="AI325:AI388" si="60">MID(AH325,2,2)</f>
        <v>00</v>
      </c>
      <c r="AJ325" s="67" t="str">
        <f t="shared" si="54"/>
        <v>000000000000</v>
      </c>
      <c r="AK325" s="119"/>
      <c r="AL325" s="120"/>
      <c r="AP325" s="115" t="str">
        <f t="shared" si="50"/>
        <v/>
      </c>
    </row>
    <row r="326" spans="1:42" x14ac:dyDescent="0.2">
      <c r="A326" s="63" t="str">
        <f t="shared" si="57"/>
        <v/>
      </c>
      <c r="B326" s="133"/>
      <c r="C326" s="133"/>
      <c r="D326" s="135"/>
      <c r="E326" s="135"/>
      <c r="F326" s="137"/>
      <c r="AA326" s="116" t="str">
        <f t="shared" si="56"/>
        <v>00000000000000</v>
      </c>
      <c r="AB326" s="117" t="str">
        <f t="shared" si="58"/>
        <v>000000000000</v>
      </c>
      <c r="AC326" s="118">
        <f t="shared" si="59"/>
        <v>1</v>
      </c>
      <c r="AD326" s="47">
        <v>2</v>
      </c>
      <c r="AE326" s="66">
        <f t="shared" si="51"/>
        <v>0</v>
      </c>
      <c r="AF326" s="66">
        <f t="shared" si="55"/>
        <v>0</v>
      </c>
      <c r="AG326" s="67" t="str">
        <f t="shared" si="52"/>
        <v>0000000000</v>
      </c>
      <c r="AH326" s="67" t="str">
        <f t="shared" si="53"/>
        <v>.00</v>
      </c>
      <c r="AI326" s="67" t="str">
        <f t="shared" si="60"/>
        <v>00</v>
      </c>
      <c r="AJ326" s="67" t="str">
        <f t="shared" si="54"/>
        <v>000000000000</v>
      </c>
      <c r="AK326" s="119"/>
      <c r="AL326" s="120"/>
      <c r="AP326" s="115" t="str">
        <f t="shared" ref="AP326:AP389" si="61">IF(B327&lt;&gt;"",CONCATENATE("00000",$AD$1,AA327,$AC$3,"2",AB327,AJ327,$AL$3,"0                                                  "),"")</f>
        <v/>
      </c>
    </row>
    <row r="327" spans="1:42" x14ac:dyDescent="0.2">
      <c r="A327" s="63" t="str">
        <f t="shared" si="57"/>
        <v/>
      </c>
      <c r="B327" s="133"/>
      <c r="C327" s="133"/>
      <c r="D327" s="135"/>
      <c r="E327" s="135"/>
      <c r="F327" s="137"/>
      <c r="AA327" s="116" t="str">
        <f t="shared" si="56"/>
        <v>00000000000000</v>
      </c>
      <c r="AB327" s="117" t="str">
        <f t="shared" si="58"/>
        <v>000000000000</v>
      </c>
      <c r="AC327" s="118">
        <f t="shared" si="59"/>
        <v>1</v>
      </c>
      <c r="AD327" s="47">
        <v>2</v>
      </c>
      <c r="AE327" s="66">
        <f t="shared" si="51"/>
        <v>0</v>
      </c>
      <c r="AF327" s="66">
        <f t="shared" si="55"/>
        <v>0</v>
      </c>
      <c r="AG327" s="67" t="str">
        <f t="shared" si="52"/>
        <v>0000000000</v>
      </c>
      <c r="AH327" s="67" t="str">
        <f t="shared" si="53"/>
        <v>.00</v>
      </c>
      <c r="AI327" s="67" t="str">
        <f t="shared" si="60"/>
        <v>00</v>
      </c>
      <c r="AJ327" s="67" t="str">
        <f t="shared" si="54"/>
        <v>000000000000</v>
      </c>
      <c r="AK327" s="119"/>
      <c r="AL327" s="120"/>
      <c r="AP327" s="115" t="str">
        <f t="shared" si="61"/>
        <v/>
      </c>
    </row>
    <row r="328" spans="1:42" x14ac:dyDescent="0.2">
      <c r="A328" s="63" t="str">
        <f t="shared" si="57"/>
        <v/>
      </c>
      <c r="B328" s="133"/>
      <c r="C328" s="133"/>
      <c r="D328" s="135"/>
      <c r="E328" s="135"/>
      <c r="F328" s="137"/>
      <c r="AA328" s="116" t="str">
        <f t="shared" si="56"/>
        <v>00000000000000</v>
      </c>
      <c r="AB328" s="117" t="str">
        <f t="shared" si="58"/>
        <v>000000000000</v>
      </c>
      <c r="AC328" s="118">
        <f t="shared" si="59"/>
        <v>1</v>
      </c>
      <c r="AD328" s="47">
        <v>2</v>
      </c>
      <c r="AE328" s="66">
        <f t="shared" ref="AE328:AE391" si="62">INT(F328)</f>
        <v>0</v>
      </c>
      <c r="AF328" s="66">
        <f t="shared" si="55"/>
        <v>0</v>
      </c>
      <c r="AG328" s="67" t="str">
        <f t="shared" ref="AG328:AG391" si="63">TEXT(AE328,"0000000000")</f>
        <v>0000000000</v>
      </c>
      <c r="AH328" s="67" t="str">
        <f t="shared" ref="AH328:AH391" si="64">TEXT(AF328,".00")</f>
        <v>.00</v>
      </c>
      <c r="AI328" s="67" t="str">
        <f t="shared" si="60"/>
        <v>00</v>
      </c>
      <c r="AJ328" s="67" t="str">
        <f t="shared" ref="AJ328:AJ391" si="65">CONCATENATE(AG328,AI328)</f>
        <v>000000000000</v>
      </c>
      <c r="AK328" s="119"/>
      <c r="AL328" s="120"/>
      <c r="AP328" s="115" t="str">
        <f t="shared" si="61"/>
        <v/>
      </c>
    </row>
    <row r="329" spans="1:42" x14ac:dyDescent="0.2">
      <c r="A329" s="63" t="str">
        <f t="shared" si="57"/>
        <v/>
      </c>
      <c r="B329" s="133"/>
      <c r="C329" s="133"/>
      <c r="D329" s="135"/>
      <c r="E329" s="135"/>
      <c r="F329" s="137"/>
      <c r="AA329" s="116" t="str">
        <f t="shared" si="56"/>
        <v>00000000000000</v>
      </c>
      <c r="AB329" s="117" t="str">
        <f t="shared" si="58"/>
        <v>000000000000</v>
      </c>
      <c r="AC329" s="118">
        <f t="shared" si="59"/>
        <v>1</v>
      </c>
      <c r="AD329" s="47">
        <v>2</v>
      </c>
      <c r="AE329" s="66">
        <f t="shared" si="62"/>
        <v>0</v>
      </c>
      <c r="AF329" s="66">
        <f t="shared" si="55"/>
        <v>0</v>
      </c>
      <c r="AG329" s="67" t="str">
        <f t="shared" si="63"/>
        <v>0000000000</v>
      </c>
      <c r="AH329" s="67" t="str">
        <f t="shared" si="64"/>
        <v>.00</v>
      </c>
      <c r="AI329" s="67" t="str">
        <f t="shared" si="60"/>
        <v>00</v>
      </c>
      <c r="AJ329" s="67" t="str">
        <f t="shared" si="65"/>
        <v>000000000000</v>
      </c>
      <c r="AK329" s="119"/>
      <c r="AL329" s="120"/>
      <c r="AP329" s="115" t="str">
        <f t="shared" si="61"/>
        <v/>
      </c>
    </row>
    <row r="330" spans="1:42" x14ac:dyDescent="0.2">
      <c r="A330" s="63" t="str">
        <f t="shared" si="57"/>
        <v/>
      </c>
      <c r="B330" s="133"/>
      <c r="C330" s="133"/>
      <c r="D330" s="135"/>
      <c r="E330" s="135"/>
      <c r="F330" s="137"/>
      <c r="AA330" s="116" t="str">
        <f t="shared" si="56"/>
        <v>00000000000000</v>
      </c>
      <c r="AB330" s="117" t="str">
        <f t="shared" si="58"/>
        <v>000000000000</v>
      </c>
      <c r="AC330" s="118">
        <f t="shared" si="59"/>
        <v>1</v>
      </c>
      <c r="AD330" s="47">
        <v>2</v>
      </c>
      <c r="AE330" s="66">
        <f t="shared" si="62"/>
        <v>0</v>
      </c>
      <c r="AF330" s="66">
        <f t="shared" si="55"/>
        <v>0</v>
      </c>
      <c r="AG330" s="67" t="str">
        <f t="shared" si="63"/>
        <v>0000000000</v>
      </c>
      <c r="AH330" s="67" t="str">
        <f t="shared" si="64"/>
        <v>.00</v>
      </c>
      <c r="AI330" s="67" t="str">
        <f t="shared" si="60"/>
        <v>00</v>
      </c>
      <c r="AJ330" s="67" t="str">
        <f t="shared" si="65"/>
        <v>000000000000</v>
      </c>
      <c r="AK330" s="119"/>
      <c r="AL330" s="120"/>
      <c r="AP330" s="115" t="str">
        <f t="shared" si="61"/>
        <v/>
      </c>
    </row>
    <row r="331" spans="1:42" x14ac:dyDescent="0.2">
      <c r="A331" s="63" t="str">
        <f t="shared" si="57"/>
        <v/>
      </c>
      <c r="B331" s="133"/>
      <c r="C331" s="133"/>
      <c r="D331" s="135"/>
      <c r="E331" s="135"/>
      <c r="F331" s="137"/>
      <c r="AA331" s="116" t="str">
        <f t="shared" si="56"/>
        <v>00000000000000</v>
      </c>
      <c r="AB331" s="117" t="str">
        <f t="shared" si="58"/>
        <v>000000000000</v>
      </c>
      <c r="AC331" s="118">
        <f t="shared" si="59"/>
        <v>1</v>
      </c>
      <c r="AD331" s="47">
        <v>2</v>
      </c>
      <c r="AE331" s="66">
        <f t="shared" si="62"/>
        <v>0</v>
      </c>
      <c r="AF331" s="66">
        <f t="shared" si="55"/>
        <v>0</v>
      </c>
      <c r="AG331" s="67" t="str">
        <f t="shared" si="63"/>
        <v>0000000000</v>
      </c>
      <c r="AH331" s="67" t="str">
        <f t="shared" si="64"/>
        <v>.00</v>
      </c>
      <c r="AI331" s="67" t="str">
        <f t="shared" si="60"/>
        <v>00</v>
      </c>
      <c r="AJ331" s="67" t="str">
        <f t="shared" si="65"/>
        <v>000000000000</v>
      </c>
      <c r="AK331" s="119"/>
      <c r="AL331" s="120"/>
      <c r="AP331" s="115" t="str">
        <f t="shared" si="61"/>
        <v/>
      </c>
    </row>
    <row r="332" spans="1:42" x14ac:dyDescent="0.2">
      <c r="A332" s="63" t="str">
        <f t="shared" si="57"/>
        <v/>
      </c>
      <c r="B332" s="133"/>
      <c r="C332" s="133"/>
      <c r="D332" s="135"/>
      <c r="E332" s="135"/>
      <c r="F332" s="137"/>
      <c r="AA332" s="116" t="str">
        <f t="shared" si="56"/>
        <v>00000000000000</v>
      </c>
      <c r="AB332" s="117" t="str">
        <f t="shared" si="58"/>
        <v>000000000000</v>
      </c>
      <c r="AC332" s="118">
        <f t="shared" si="59"/>
        <v>1</v>
      </c>
      <c r="AD332" s="47">
        <v>2</v>
      </c>
      <c r="AE332" s="66">
        <f t="shared" si="62"/>
        <v>0</v>
      </c>
      <c r="AF332" s="66">
        <f t="shared" si="55"/>
        <v>0</v>
      </c>
      <c r="AG332" s="67" t="str">
        <f t="shared" si="63"/>
        <v>0000000000</v>
      </c>
      <c r="AH332" s="67" t="str">
        <f t="shared" si="64"/>
        <v>.00</v>
      </c>
      <c r="AI332" s="67" t="str">
        <f t="shared" si="60"/>
        <v>00</v>
      </c>
      <c r="AJ332" s="67" t="str">
        <f t="shared" si="65"/>
        <v>000000000000</v>
      </c>
      <c r="AK332" s="119"/>
      <c r="AL332" s="120"/>
      <c r="AP332" s="115" t="str">
        <f t="shared" si="61"/>
        <v/>
      </c>
    </row>
    <row r="333" spans="1:42" x14ac:dyDescent="0.2">
      <c r="A333" s="63" t="str">
        <f t="shared" si="57"/>
        <v/>
      </c>
      <c r="B333" s="133"/>
      <c r="C333" s="133"/>
      <c r="D333" s="135"/>
      <c r="E333" s="135"/>
      <c r="F333" s="137"/>
      <c r="AA333" s="116" t="str">
        <f t="shared" si="56"/>
        <v>00000000000000</v>
      </c>
      <c r="AB333" s="117" t="str">
        <f t="shared" si="58"/>
        <v>000000000000</v>
      </c>
      <c r="AC333" s="118">
        <f t="shared" si="59"/>
        <v>1</v>
      </c>
      <c r="AD333" s="47">
        <v>2</v>
      </c>
      <c r="AE333" s="66">
        <f t="shared" si="62"/>
        <v>0</v>
      </c>
      <c r="AF333" s="66">
        <f t="shared" si="55"/>
        <v>0</v>
      </c>
      <c r="AG333" s="67" t="str">
        <f t="shared" si="63"/>
        <v>0000000000</v>
      </c>
      <c r="AH333" s="67" t="str">
        <f t="shared" si="64"/>
        <v>.00</v>
      </c>
      <c r="AI333" s="67" t="str">
        <f t="shared" si="60"/>
        <v>00</v>
      </c>
      <c r="AJ333" s="67" t="str">
        <f t="shared" si="65"/>
        <v>000000000000</v>
      </c>
      <c r="AK333" s="119"/>
      <c r="AL333" s="120"/>
      <c r="AP333" s="115" t="str">
        <f t="shared" si="61"/>
        <v/>
      </c>
    </row>
    <row r="334" spans="1:42" x14ac:dyDescent="0.2">
      <c r="A334" s="63" t="str">
        <f t="shared" si="57"/>
        <v/>
      </c>
      <c r="B334" s="133"/>
      <c r="C334" s="133"/>
      <c r="D334" s="135"/>
      <c r="E334" s="135"/>
      <c r="F334" s="137"/>
      <c r="AA334" s="116" t="str">
        <f t="shared" si="56"/>
        <v>00000000000000</v>
      </c>
      <c r="AB334" s="117" t="str">
        <f t="shared" si="58"/>
        <v>000000000000</v>
      </c>
      <c r="AC334" s="118">
        <f t="shared" si="59"/>
        <v>1</v>
      </c>
      <c r="AD334" s="47">
        <v>2</v>
      </c>
      <c r="AE334" s="66">
        <f t="shared" si="62"/>
        <v>0</v>
      </c>
      <c r="AF334" s="66">
        <f t="shared" si="55"/>
        <v>0</v>
      </c>
      <c r="AG334" s="67" t="str">
        <f t="shared" si="63"/>
        <v>0000000000</v>
      </c>
      <c r="AH334" s="67" t="str">
        <f t="shared" si="64"/>
        <v>.00</v>
      </c>
      <c r="AI334" s="67" t="str">
        <f t="shared" si="60"/>
        <v>00</v>
      </c>
      <c r="AJ334" s="67" t="str">
        <f t="shared" si="65"/>
        <v>000000000000</v>
      </c>
      <c r="AK334" s="119"/>
      <c r="AL334" s="120"/>
      <c r="AP334" s="115" t="str">
        <f t="shared" si="61"/>
        <v/>
      </c>
    </row>
    <row r="335" spans="1:42" x14ac:dyDescent="0.2">
      <c r="A335" s="63" t="str">
        <f t="shared" si="57"/>
        <v/>
      </c>
      <c r="B335" s="133"/>
      <c r="C335" s="133"/>
      <c r="D335" s="135"/>
      <c r="E335" s="135"/>
      <c r="F335" s="137"/>
      <c r="AA335" s="116" t="str">
        <f t="shared" si="56"/>
        <v>00000000000000</v>
      </c>
      <c r="AB335" s="117" t="str">
        <f t="shared" si="58"/>
        <v>000000000000</v>
      </c>
      <c r="AC335" s="118">
        <f t="shared" si="59"/>
        <v>1</v>
      </c>
      <c r="AD335" s="47">
        <v>2</v>
      </c>
      <c r="AE335" s="66">
        <f t="shared" si="62"/>
        <v>0</v>
      </c>
      <c r="AF335" s="66">
        <f t="shared" si="55"/>
        <v>0</v>
      </c>
      <c r="AG335" s="67" t="str">
        <f t="shared" si="63"/>
        <v>0000000000</v>
      </c>
      <c r="AH335" s="67" t="str">
        <f t="shared" si="64"/>
        <v>.00</v>
      </c>
      <c r="AI335" s="67" t="str">
        <f t="shared" si="60"/>
        <v>00</v>
      </c>
      <c r="AJ335" s="67" t="str">
        <f t="shared" si="65"/>
        <v>000000000000</v>
      </c>
      <c r="AK335" s="119"/>
      <c r="AL335" s="120"/>
      <c r="AP335" s="115" t="str">
        <f t="shared" si="61"/>
        <v/>
      </c>
    </row>
    <row r="336" spans="1:42" x14ac:dyDescent="0.2">
      <c r="A336" s="63" t="str">
        <f t="shared" si="57"/>
        <v/>
      </c>
      <c r="B336" s="133"/>
      <c r="C336" s="133"/>
      <c r="D336" s="135"/>
      <c r="E336" s="135"/>
      <c r="F336" s="137"/>
      <c r="AA336" s="116" t="str">
        <f t="shared" si="56"/>
        <v>00000000000000</v>
      </c>
      <c r="AB336" s="117" t="str">
        <f t="shared" si="58"/>
        <v>000000000000</v>
      </c>
      <c r="AC336" s="118">
        <f t="shared" si="59"/>
        <v>1</v>
      </c>
      <c r="AD336" s="47">
        <v>2</v>
      </c>
      <c r="AE336" s="66">
        <f t="shared" si="62"/>
        <v>0</v>
      </c>
      <c r="AF336" s="66">
        <f t="shared" si="55"/>
        <v>0</v>
      </c>
      <c r="AG336" s="67" t="str">
        <f t="shared" si="63"/>
        <v>0000000000</v>
      </c>
      <c r="AH336" s="67" t="str">
        <f t="shared" si="64"/>
        <v>.00</v>
      </c>
      <c r="AI336" s="67" t="str">
        <f t="shared" si="60"/>
        <v>00</v>
      </c>
      <c r="AJ336" s="67" t="str">
        <f t="shared" si="65"/>
        <v>000000000000</v>
      </c>
      <c r="AK336" s="119"/>
      <c r="AL336" s="120"/>
      <c r="AP336" s="115" t="str">
        <f t="shared" si="61"/>
        <v/>
      </c>
    </row>
    <row r="337" spans="1:42" x14ac:dyDescent="0.2">
      <c r="A337" s="63" t="str">
        <f t="shared" si="57"/>
        <v/>
      </c>
      <c r="B337" s="133"/>
      <c r="C337" s="133"/>
      <c r="D337" s="135"/>
      <c r="E337" s="135"/>
      <c r="F337" s="137"/>
      <c r="AA337" s="116" t="str">
        <f t="shared" si="56"/>
        <v>00000000000000</v>
      </c>
      <c r="AB337" s="117" t="str">
        <f t="shared" si="58"/>
        <v>000000000000</v>
      </c>
      <c r="AC337" s="118">
        <f t="shared" si="59"/>
        <v>1</v>
      </c>
      <c r="AD337" s="47">
        <v>2</v>
      </c>
      <c r="AE337" s="66">
        <f t="shared" si="62"/>
        <v>0</v>
      </c>
      <c r="AF337" s="66">
        <f t="shared" si="55"/>
        <v>0</v>
      </c>
      <c r="AG337" s="67" t="str">
        <f t="shared" si="63"/>
        <v>0000000000</v>
      </c>
      <c r="AH337" s="67" t="str">
        <f t="shared" si="64"/>
        <v>.00</v>
      </c>
      <c r="AI337" s="67" t="str">
        <f t="shared" si="60"/>
        <v>00</v>
      </c>
      <c r="AJ337" s="67" t="str">
        <f t="shared" si="65"/>
        <v>000000000000</v>
      </c>
      <c r="AK337" s="119"/>
      <c r="AL337" s="120"/>
      <c r="AP337" s="115" t="str">
        <f t="shared" si="61"/>
        <v/>
      </c>
    </row>
    <row r="338" spans="1:42" x14ac:dyDescent="0.2">
      <c r="A338" s="63" t="str">
        <f t="shared" si="57"/>
        <v/>
      </c>
      <c r="B338" s="133"/>
      <c r="C338" s="133"/>
      <c r="D338" s="135"/>
      <c r="E338" s="135"/>
      <c r="F338" s="137"/>
      <c r="AA338" s="116" t="str">
        <f t="shared" si="56"/>
        <v>00000000000000</v>
      </c>
      <c r="AB338" s="117" t="str">
        <f t="shared" si="58"/>
        <v>000000000000</v>
      </c>
      <c r="AC338" s="118">
        <f t="shared" si="59"/>
        <v>1</v>
      </c>
      <c r="AD338" s="47">
        <v>2</v>
      </c>
      <c r="AE338" s="66">
        <f t="shared" si="62"/>
        <v>0</v>
      </c>
      <c r="AF338" s="66">
        <f t="shared" si="55"/>
        <v>0</v>
      </c>
      <c r="AG338" s="67" t="str">
        <f t="shared" si="63"/>
        <v>0000000000</v>
      </c>
      <c r="AH338" s="67" t="str">
        <f t="shared" si="64"/>
        <v>.00</v>
      </c>
      <c r="AI338" s="67" t="str">
        <f t="shared" si="60"/>
        <v>00</v>
      </c>
      <c r="AJ338" s="67" t="str">
        <f t="shared" si="65"/>
        <v>000000000000</v>
      </c>
      <c r="AK338" s="119"/>
      <c r="AL338" s="120"/>
      <c r="AP338" s="115" t="str">
        <f t="shared" si="61"/>
        <v/>
      </c>
    </row>
    <row r="339" spans="1:42" x14ac:dyDescent="0.2">
      <c r="A339" s="63" t="str">
        <f t="shared" si="57"/>
        <v/>
      </c>
      <c r="B339" s="133"/>
      <c r="C339" s="133"/>
      <c r="D339" s="135"/>
      <c r="E339" s="135"/>
      <c r="F339" s="137"/>
      <c r="AA339" s="116" t="str">
        <f t="shared" si="56"/>
        <v>00000000000000</v>
      </c>
      <c r="AB339" s="117" t="str">
        <f t="shared" si="58"/>
        <v>000000000000</v>
      </c>
      <c r="AC339" s="118">
        <f t="shared" si="59"/>
        <v>1</v>
      </c>
      <c r="AD339" s="47">
        <v>2</v>
      </c>
      <c r="AE339" s="66">
        <f t="shared" si="62"/>
        <v>0</v>
      </c>
      <c r="AF339" s="66">
        <f t="shared" si="55"/>
        <v>0</v>
      </c>
      <c r="AG339" s="67" t="str">
        <f t="shared" si="63"/>
        <v>0000000000</v>
      </c>
      <c r="AH339" s="67" t="str">
        <f t="shared" si="64"/>
        <v>.00</v>
      </c>
      <c r="AI339" s="67" t="str">
        <f t="shared" si="60"/>
        <v>00</v>
      </c>
      <c r="AJ339" s="67" t="str">
        <f t="shared" si="65"/>
        <v>000000000000</v>
      </c>
      <c r="AK339" s="119"/>
      <c r="AL339" s="120"/>
      <c r="AP339" s="115" t="str">
        <f t="shared" si="61"/>
        <v/>
      </c>
    </row>
    <row r="340" spans="1:42" x14ac:dyDescent="0.2">
      <c r="A340" s="63" t="str">
        <f t="shared" si="57"/>
        <v/>
      </c>
      <c r="B340" s="133"/>
      <c r="C340" s="133"/>
      <c r="D340" s="135"/>
      <c r="E340" s="135"/>
      <c r="F340" s="137"/>
      <c r="AA340" s="116" t="str">
        <f t="shared" si="56"/>
        <v>00000000000000</v>
      </c>
      <c r="AB340" s="117" t="str">
        <f t="shared" si="58"/>
        <v>000000000000</v>
      </c>
      <c r="AC340" s="118">
        <f t="shared" si="59"/>
        <v>1</v>
      </c>
      <c r="AD340" s="47">
        <v>2</v>
      </c>
      <c r="AE340" s="66">
        <f t="shared" si="62"/>
        <v>0</v>
      </c>
      <c r="AF340" s="66">
        <f t="shared" si="55"/>
        <v>0</v>
      </c>
      <c r="AG340" s="67" t="str">
        <f t="shared" si="63"/>
        <v>0000000000</v>
      </c>
      <c r="AH340" s="67" t="str">
        <f t="shared" si="64"/>
        <v>.00</v>
      </c>
      <c r="AI340" s="67" t="str">
        <f t="shared" si="60"/>
        <v>00</v>
      </c>
      <c r="AJ340" s="67" t="str">
        <f t="shared" si="65"/>
        <v>000000000000</v>
      </c>
      <c r="AK340" s="119"/>
      <c r="AL340" s="120"/>
      <c r="AP340" s="115" t="str">
        <f t="shared" si="61"/>
        <v/>
      </c>
    </row>
    <row r="341" spans="1:42" x14ac:dyDescent="0.2">
      <c r="A341" s="63" t="str">
        <f t="shared" si="57"/>
        <v/>
      </c>
      <c r="B341" s="133"/>
      <c r="C341" s="133"/>
      <c r="D341" s="135"/>
      <c r="E341" s="135"/>
      <c r="F341" s="137"/>
      <c r="AA341" s="116" t="str">
        <f t="shared" si="56"/>
        <v>00000000000000</v>
      </c>
      <c r="AB341" s="117" t="str">
        <f t="shared" si="58"/>
        <v>000000000000</v>
      </c>
      <c r="AC341" s="118">
        <f t="shared" si="59"/>
        <v>1</v>
      </c>
      <c r="AD341" s="47">
        <v>2</v>
      </c>
      <c r="AE341" s="66">
        <f t="shared" si="62"/>
        <v>0</v>
      </c>
      <c r="AF341" s="66">
        <f t="shared" si="55"/>
        <v>0</v>
      </c>
      <c r="AG341" s="67" t="str">
        <f t="shared" si="63"/>
        <v>0000000000</v>
      </c>
      <c r="AH341" s="67" t="str">
        <f t="shared" si="64"/>
        <v>.00</v>
      </c>
      <c r="AI341" s="67" t="str">
        <f t="shared" si="60"/>
        <v>00</v>
      </c>
      <c r="AJ341" s="67" t="str">
        <f t="shared" si="65"/>
        <v>000000000000</v>
      </c>
      <c r="AK341" s="119"/>
      <c r="AL341" s="120"/>
      <c r="AP341" s="115" t="str">
        <f t="shared" si="61"/>
        <v/>
      </c>
    </row>
    <row r="342" spans="1:42" x14ac:dyDescent="0.2">
      <c r="A342" s="63" t="str">
        <f t="shared" si="57"/>
        <v/>
      </c>
      <c r="B342" s="133"/>
      <c r="C342" s="133"/>
      <c r="D342" s="135"/>
      <c r="E342" s="135"/>
      <c r="F342" s="137"/>
      <c r="AA342" s="116" t="str">
        <f t="shared" si="56"/>
        <v>00000000000000</v>
      </c>
      <c r="AB342" s="117" t="str">
        <f t="shared" si="58"/>
        <v>000000000000</v>
      </c>
      <c r="AC342" s="118">
        <f t="shared" si="59"/>
        <v>1</v>
      </c>
      <c r="AD342" s="47">
        <v>2</v>
      </c>
      <c r="AE342" s="66">
        <f t="shared" si="62"/>
        <v>0</v>
      </c>
      <c r="AF342" s="66">
        <f t="shared" si="55"/>
        <v>0</v>
      </c>
      <c r="AG342" s="67" t="str">
        <f t="shared" si="63"/>
        <v>0000000000</v>
      </c>
      <c r="AH342" s="67" t="str">
        <f t="shared" si="64"/>
        <v>.00</v>
      </c>
      <c r="AI342" s="67" t="str">
        <f t="shared" si="60"/>
        <v>00</v>
      </c>
      <c r="AJ342" s="67" t="str">
        <f t="shared" si="65"/>
        <v>000000000000</v>
      </c>
      <c r="AK342" s="119"/>
      <c r="AL342" s="120"/>
      <c r="AP342" s="115" t="str">
        <f t="shared" si="61"/>
        <v/>
      </c>
    </row>
    <row r="343" spans="1:42" x14ac:dyDescent="0.2">
      <c r="A343" s="63" t="str">
        <f t="shared" si="57"/>
        <v/>
      </c>
      <c r="B343" s="133"/>
      <c r="C343" s="133"/>
      <c r="D343" s="135"/>
      <c r="E343" s="135"/>
      <c r="F343" s="137"/>
      <c r="AA343" s="116" t="str">
        <f t="shared" si="56"/>
        <v>00000000000000</v>
      </c>
      <c r="AB343" s="117" t="str">
        <f t="shared" si="58"/>
        <v>000000000000</v>
      </c>
      <c r="AC343" s="118">
        <f t="shared" si="59"/>
        <v>1</v>
      </c>
      <c r="AD343" s="47">
        <v>2</v>
      </c>
      <c r="AE343" s="66">
        <f t="shared" si="62"/>
        <v>0</v>
      </c>
      <c r="AF343" s="66">
        <f t="shared" si="55"/>
        <v>0</v>
      </c>
      <c r="AG343" s="67" t="str">
        <f t="shared" si="63"/>
        <v>0000000000</v>
      </c>
      <c r="AH343" s="67" t="str">
        <f t="shared" si="64"/>
        <v>.00</v>
      </c>
      <c r="AI343" s="67" t="str">
        <f t="shared" si="60"/>
        <v>00</v>
      </c>
      <c r="AJ343" s="67" t="str">
        <f t="shared" si="65"/>
        <v>000000000000</v>
      </c>
      <c r="AK343" s="119"/>
      <c r="AL343" s="120"/>
      <c r="AP343" s="115" t="str">
        <f t="shared" si="61"/>
        <v/>
      </c>
    </row>
    <row r="344" spans="1:42" x14ac:dyDescent="0.2">
      <c r="A344" s="63" t="str">
        <f t="shared" si="57"/>
        <v/>
      </c>
      <c r="B344" s="133"/>
      <c r="C344" s="133"/>
      <c r="D344" s="135"/>
      <c r="E344" s="135"/>
      <c r="F344" s="137"/>
      <c r="AA344" s="116" t="str">
        <f t="shared" si="56"/>
        <v>00000000000000</v>
      </c>
      <c r="AB344" s="117" t="str">
        <f t="shared" si="58"/>
        <v>000000000000</v>
      </c>
      <c r="AC344" s="118">
        <f t="shared" si="59"/>
        <v>1</v>
      </c>
      <c r="AD344" s="47">
        <v>2</v>
      </c>
      <c r="AE344" s="66">
        <f t="shared" si="62"/>
        <v>0</v>
      </c>
      <c r="AF344" s="66">
        <f t="shared" si="55"/>
        <v>0</v>
      </c>
      <c r="AG344" s="67" t="str">
        <f t="shared" si="63"/>
        <v>0000000000</v>
      </c>
      <c r="AH344" s="67" t="str">
        <f t="shared" si="64"/>
        <v>.00</v>
      </c>
      <c r="AI344" s="67" t="str">
        <f t="shared" si="60"/>
        <v>00</v>
      </c>
      <c r="AJ344" s="67" t="str">
        <f t="shared" si="65"/>
        <v>000000000000</v>
      </c>
      <c r="AK344" s="119"/>
      <c r="AL344" s="120"/>
      <c r="AP344" s="115" t="str">
        <f t="shared" si="61"/>
        <v/>
      </c>
    </row>
    <row r="345" spans="1:42" x14ac:dyDescent="0.2">
      <c r="A345" s="63" t="str">
        <f t="shared" si="57"/>
        <v/>
      </c>
      <c r="B345" s="133"/>
      <c r="C345" s="133"/>
      <c r="D345" s="135"/>
      <c r="E345" s="135"/>
      <c r="F345" s="137"/>
      <c r="AA345" s="116" t="str">
        <f t="shared" si="56"/>
        <v>00000000000000</v>
      </c>
      <c r="AB345" s="117" t="str">
        <f t="shared" si="58"/>
        <v>000000000000</v>
      </c>
      <c r="AC345" s="118">
        <f t="shared" si="59"/>
        <v>1</v>
      </c>
      <c r="AD345" s="47">
        <v>2</v>
      </c>
      <c r="AE345" s="66">
        <f t="shared" si="62"/>
        <v>0</v>
      </c>
      <c r="AF345" s="66">
        <f t="shared" si="55"/>
        <v>0</v>
      </c>
      <c r="AG345" s="67" t="str">
        <f t="shared" si="63"/>
        <v>0000000000</v>
      </c>
      <c r="AH345" s="67" t="str">
        <f t="shared" si="64"/>
        <v>.00</v>
      </c>
      <c r="AI345" s="67" t="str">
        <f t="shared" si="60"/>
        <v>00</v>
      </c>
      <c r="AJ345" s="67" t="str">
        <f t="shared" si="65"/>
        <v>000000000000</v>
      </c>
      <c r="AK345" s="119"/>
      <c r="AL345" s="120"/>
      <c r="AP345" s="115" t="str">
        <f t="shared" si="61"/>
        <v/>
      </c>
    </row>
    <row r="346" spans="1:42" x14ac:dyDescent="0.2">
      <c r="A346" s="63" t="str">
        <f t="shared" si="57"/>
        <v/>
      </c>
      <c r="B346" s="133"/>
      <c r="C346" s="133"/>
      <c r="D346" s="135"/>
      <c r="E346" s="135"/>
      <c r="F346" s="137"/>
      <c r="AA346" s="116" t="str">
        <f t="shared" si="56"/>
        <v>00000000000000</v>
      </c>
      <c r="AB346" s="117" t="str">
        <f t="shared" si="58"/>
        <v>000000000000</v>
      </c>
      <c r="AC346" s="118">
        <f t="shared" si="59"/>
        <v>1</v>
      </c>
      <c r="AD346" s="47">
        <v>2</v>
      </c>
      <c r="AE346" s="66">
        <f t="shared" si="62"/>
        <v>0</v>
      </c>
      <c r="AF346" s="66">
        <f t="shared" si="55"/>
        <v>0</v>
      </c>
      <c r="AG346" s="67" t="str">
        <f t="shared" si="63"/>
        <v>0000000000</v>
      </c>
      <c r="AH346" s="67" t="str">
        <f t="shared" si="64"/>
        <v>.00</v>
      </c>
      <c r="AI346" s="67" t="str">
        <f t="shared" si="60"/>
        <v>00</v>
      </c>
      <c r="AJ346" s="67" t="str">
        <f t="shared" si="65"/>
        <v>000000000000</v>
      </c>
      <c r="AK346" s="119"/>
      <c r="AL346" s="120"/>
      <c r="AP346" s="115" t="str">
        <f t="shared" si="61"/>
        <v/>
      </c>
    </row>
    <row r="347" spans="1:42" x14ac:dyDescent="0.2">
      <c r="A347" s="63" t="str">
        <f t="shared" si="57"/>
        <v/>
      </c>
      <c r="B347" s="133"/>
      <c r="C347" s="133"/>
      <c r="D347" s="135"/>
      <c r="E347" s="135"/>
      <c r="F347" s="137"/>
      <c r="AA347" s="116" t="str">
        <f t="shared" si="56"/>
        <v>00000000000000</v>
      </c>
      <c r="AB347" s="117" t="str">
        <f t="shared" si="58"/>
        <v>000000000000</v>
      </c>
      <c r="AC347" s="118">
        <f t="shared" si="59"/>
        <v>1</v>
      </c>
      <c r="AD347" s="47">
        <v>2</v>
      </c>
      <c r="AE347" s="66">
        <f t="shared" si="62"/>
        <v>0</v>
      </c>
      <c r="AF347" s="66">
        <f t="shared" si="55"/>
        <v>0</v>
      </c>
      <c r="AG347" s="67" t="str">
        <f t="shared" si="63"/>
        <v>0000000000</v>
      </c>
      <c r="AH347" s="67" t="str">
        <f t="shared" si="64"/>
        <v>.00</v>
      </c>
      <c r="AI347" s="67" t="str">
        <f t="shared" si="60"/>
        <v>00</v>
      </c>
      <c r="AJ347" s="67" t="str">
        <f t="shared" si="65"/>
        <v>000000000000</v>
      </c>
      <c r="AK347" s="119"/>
      <c r="AL347" s="120"/>
      <c r="AP347" s="115" t="str">
        <f t="shared" si="61"/>
        <v/>
      </c>
    </row>
    <row r="348" spans="1:42" x14ac:dyDescent="0.2">
      <c r="A348" s="63" t="str">
        <f t="shared" si="57"/>
        <v/>
      </c>
      <c r="B348" s="133"/>
      <c r="C348" s="133"/>
      <c r="D348" s="135"/>
      <c r="E348" s="135"/>
      <c r="F348" s="137"/>
      <c r="AA348" s="116" t="str">
        <f t="shared" si="56"/>
        <v>00000000000000</v>
      </c>
      <c r="AB348" s="117" t="str">
        <f t="shared" si="58"/>
        <v>000000000000</v>
      </c>
      <c r="AC348" s="118">
        <f t="shared" si="59"/>
        <v>1</v>
      </c>
      <c r="AD348" s="47">
        <v>2</v>
      </c>
      <c r="AE348" s="66">
        <f t="shared" si="62"/>
        <v>0</v>
      </c>
      <c r="AF348" s="66">
        <f t="shared" si="55"/>
        <v>0</v>
      </c>
      <c r="AG348" s="67" t="str">
        <f t="shared" si="63"/>
        <v>0000000000</v>
      </c>
      <c r="AH348" s="67" t="str">
        <f t="shared" si="64"/>
        <v>.00</v>
      </c>
      <c r="AI348" s="67" t="str">
        <f t="shared" si="60"/>
        <v>00</v>
      </c>
      <c r="AJ348" s="67" t="str">
        <f t="shared" si="65"/>
        <v>000000000000</v>
      </c>
      <c r="AK348" s="119"/>
      <c r="AL348" s="120"/>
      <c r="AP348" s="115" t="str">
        <f t="shared" si="61"/>
        <v/>
      </c>
    </row>
    <row r="349" spans="1:42" x14ac:dyDescent="0.2">
      <c r="A349" s="63" t="str">
        <f t="shared" si="57"/>
        <v/>
      </c>
      <c r="B349" s="133"/>
      <c r="C349" s="133"/>
      <c r="D349" s="135"/>
      <c r="E349" s="135"/>
      <c r="F349" s="137"/>
      <c r="AA349" s="116" t="str">
        <f t="shared" si="56"/>
        <v>00000000000000</v>
      </c>
      <c r="AB349" s="117" t="str">
        <f t="shared" si="58"/>
        <v>000000000000</v>
      </c>
      <c r="AC349" s="118">
        <f t="shared" si="59"/>
        <v>1</v>
      </c>
      <c r="AD349" s="47">
        <v>2</v>
      </c>
      <c r="AE349" s="66">
        <f t="shared" si="62"/>
        <v>0</v>
      </c>
      <c r="AF349" s="66">
        <f t="shared" si="55"/>
        <v>0</v>
      </c>
      <c r="AG349" s="67" t="str">
        <f t="shared" si="63"/>
        <v>0000000000</v>
      </c>
      <c r="AH349" s="67" t="str">
        <f t="shared" si="64"/>
        <v>.00</v>
      </c>
      <c r="AI349" s="67" t="str">
        <f t="shared" si="60"/>
        <v>00</v>
      </c>
      <c r="AJ349" s="67" t="str">
        <f t="shared" si="65"/>
        <v>000000000000</v>
      </c>
      <c r="AK349" s="119"/>
      <c r="AL349" s="120"/>
      <c r="AP349" s="115" t="str">
        <f t="shared" si="61"/>
        <v/>
      </c>
    </row>
    <row r="350" spans="1:42" x14ac:dyDescent="0.2">
      <c r="A350" s="63" t="str">
        <f t="shared" si="57"/>
        <v/>
      </c>
      <c r="B350" s="133"/>
      <c r="C350" s="133"/>
      <c r="D350" s="135"/>
      <c r="E350" s="135"/>
      <c r="F350" s="137"/>
      <c r="AA350" s="116" t="str">
        <f t="shared" si="56"/>
        <v>00000000000000</v>
      </c>
      <c r="AB350" s="117" t="str">
        <f t="shared" si="58"/>
        <v>000000000000</v>
      </c>
      <c r="AC350" s="118">
        <f t="shared" si="59"/>
        <v>1</v>
      </c>
      <c r="AD350" s="47">
        <v>2</v>
      </c>
      <c r="AE350" s="66">
        <f t="shared" si="62"/>
        <v>0</v>
      </c>
      <c r="AF350" s="66">
        <f t="shared" si="55"/>
        <v>0</v>
      </c>
      <c r="AG350" s="67" t="str">
        <f t="shared" si="63"/>
        <v>0000000000</v>
      </c>
      <c r="AH350" s="67" t="str">
        <f t="shared" si="64"/>
        <v>.00</v>
      </c>
      <c r="AI350" s="67" t="str">
        <f t="shared" si="60"/>
        <v>00</v>
      </c>
      <c r="AJ350" s="67" t="str">
        <f t="shared" si="65"/>
        <v>000000000000</v>
      </c>
      <c r="AK350" s="119"/>
      <c r="AL350" s="120"/>
      <c r="AP350" s="115" t="str">
        <f t="shared" si="61"/>
        <v/>
      </c>
    </row>
    <row r="351" spans="1:42" x14ac:dyDescent="0.2">
      <c r="A351" s="63" t="str">
        <f t="shared" si="57"/>
        <v/>
      </c>
      <c r="B351" s="133"/>
      <c r="C351" s="133"/>
      <c r="D351" s="135"/>
      <c r="E351" s="135"/>
      <c r="F351" s="137"/>
      <c r="AA351" s="116" t="str">
        <f t="shared" si="56"/>
        <v>00000000000000</v>
      </c>
      <c r="AB351" s="117" t="str">
        <f t="shared" si="58"/>
        <v>000000000000</v>
      </c>
      <c r="AC351" s="118">
        <f t="shared" si="59"/>
        <v>1</v>
      </c>
      <c r="AD351" s="47">
        <v>2</v>
      </c>
      <c r="AE351" s="66">
        <f t="shared" si="62"/>
        <v>0</v>
      </c>
      <c r="AF351" s="66">
        <f t="shared" si="55"/>
        <v>0</v>
      </c>
      <c r="AG351" s="67" t="str">
        <f t="shared" si="63"/>
        <v>0000000000</v>
      </c>
      <c r="AH351" s="67" t="str">
        <f t="shared" si="64"/>
        <v>.00</v>
      </c>
      <c r="AI351" s="67" t="str">
        <f t="shared" si="60"/>
        <v>00</v>
      </c>
      <c r="AJ351" s="67" t="str">
        <f t="shared" si="65"/>
        <v>000000000000</v>
      </c>
      <c r="AK351" s="119"/>
      <c r="AL351" s="120"/>
      <c r="AP351" s="115" t="str">
        <f t="shared" si="61"/>
        <v/>
      </c>
    </row>
    <row r="352" spans="1:42" x14ac:dyDescent="0.2">
      <c r="A352" s="63" t="str">
        <f t="shared" si="57"/>
        <v/>
      </c>
      <c r="B352" s="133"/>
      <c r="C352" s="133"/>
      <c r="D352" s="135"/>
      <c r="E352" s="135"/>
      <c r="F352" s="137"/>
      <c r="AA352" s="116" t="str">
        <f t="shared" si="56"/>
        <v>00000000000000</v>
      </c>
      <c r="AB352" s="117" t="str">
        <f t="shared" si="58"/>
        <v>000000000000</v>
      </c>
      <c r="AC352" s="118">
        <f t="shared" si="59"/>
        <v>1</v>
      </c>
      <c r="AD352" s="47">
        <v>2</v>
      </c>
      <c r="AE352" s="66">
        <f t="shared" si="62"/>
        <v>0</v>
      </c>
      <c r="AF352" s="66">
        <f t="shared" si="55"/>
        <v>0</v>
      </c>
      <c r="AG352" s="67" t="str">
        <f t="shared" si="63"/>
        <v>0000000000</v>
      </c>
      <c r="AH352" s="67" t="str">
        <f t="shared" si="64"/>
        <v>.00</v>
      </c>
      <c r="AI352" s="67" t="str">
        <f t="shared" si="60"/>
        <v>00</v>
      </c>
      <c r="AJ352" s="67" t="str">
        <f t="shared" si="65"/>
        <v>000000000000</v>
      </c>
      <c r="AK352" s="119"/>
      <c r="AL352" s="120"/>
      <c r="AP352" s="115" t="str">
        <f t="shared" si="61"/>
        <v/>
      </c>
    </row>
    <row r="353" spans="1:42" x14ac:dyDescent="0.2">
      <c r="A353" s="63" t="str">
        <f t="shared" si="57"/>
        <v/>
      </c>
      <c r="B353" s="133"/>
      <c r="C353" s="133"/>
      <c r="D353" s="135"/>
      <c r="E353" s="135"/>
      <c r="F353" s="137"/>
      <c r="AA353" s="116" t="str">
        <f t="shared" si="56"/>
        <v>00000000000000</v>
      </c>
      <c r="AB353" s="117" t="str">
        <f t="shared" si="58"/>
        <v>000000000000</v>
      </c>
      <c r="AC353" s="118">
        <f t="shared" si="59"/>
        <v>1</v>
      </c>
      <c r="AD353" s="47">
        <v>2</v>
      </c>
      <c r="AE353" s="66">
        <f t="shared" si="62"/>
        <v>0</v>
      </c>
      <c r="AF353" s="66">
        <f t="shared" si="55"/>
        <v>0</v>
      </c>
      <c r="AG353" s="67" t="str">
        <f t="shared" si="63"/>
        <v>0000000000</v>
      </c>
      <c r="AH353" s="67" t="str">
        <f t="shared" si="64"/>
        <v>.00</v>
      </c>
      <c r="AI353" s="67" t="str">
        <f t="shared" si="60"/>
        <v>00</v>
      </c>
      <c r="AJ353" s="67" t="str">
        <f t="shared" si="65"/>
        <v>000000000000</v>
      </c>
      <c r="AK353" s="119"/>
      <c r="AL353" s="120"/>
      <c r="AP353" s="115" t="str">
        <f t="shared" si="61"/>
        <v/>
      </c>
    </row>
    <row r="354" spans="1:42" x14ac:dyDescent="0.2">
      <c r="A354" s="63" t="str">
        <f t="shared" si="57"/>
        <v/>
      </c>
      <c r="B354" s="133"/>
      <c r="C354" s="133"/>
      <c r="D354" s="135"/>
      <c r="E354" s="135"/>
      <c r="F354" s="137"/>
      <c r="AA354" s="116" t="str">
        <f t="shared" si="56"/>
        <v>00000000000000</v>
      </c>
      <c r="AB354" s="117" t="str">
        <f t="shared" si="58"/>
        <v>000000000000</v>
      </c>
      <c r="AC354" s="118">
        <f t="shared" si="59"/>
        <v>1</v>
      </c>
      <c r="AD354" s="47">
        <v>2</v>
      </c>
      <c r="AE354" s="66">
        <f t="shared" si="62"/>
        <v>0</v>
      </c>
      <c r="AF354" s="66">
        <f t="shared" si="55"/>
        <v>0</v>
      </c>
      <c r="AG354" s="67" t="str">
        <f t="shared" si="63"/>
        <v>0000000000</v>
      </c>
      <c r="AH354" s="67" t="str">
        <f t="shared" si="64"/>
        <v>.00</v>
      </c>
      <c r="AI354" s="67" t="str">
        <f t="shared" si="60"/>
        <v>00</v>
      </c>
      <c r="AJ354" s="67" t="str">
        <f t="shared" si="65"/>
        <v>000000000000</v>
      </c>
      <c r="AK354" s="119"/>
      <c r="AL354" s="120"/>
      <c r="AP354" s="115" t="str">
        <f t="shared" si="61"/>
        <v/>
      </c>
    </row>
    <row r="355" spans="1:42" x14ac:dyDescent="0.2">
      <c r="A355" s="63" t="str">
        <f t="shared" si="57"/>
        <v/>
      </c>
      <c r="B355" s="133"/>
      <c r="C355" s="133"/>
      <c r="D355" s="135"/>
      <c r="E355" s="135"/>
      <c r="F355" s="137"/>
      <c r="AA355" s="116" t="str">
        <f t="shared" si="56"/>
        <v>00000000000000</v>
      </c>
      <c r="AB355" s="117" t="str">
        <f t="shared" si="58"/>
        <v>000000000000</v>
      </c>
      <c r="AC355" s="118">
        <f t="shared" si="59"/>
        <v>1</v>
      </c>
      <c r="AD355" s="47">
        <v>2</v>
      </c>
      <c r="AE355" s="66">
        <f t="shared" si="62"/>
        <v>0</v>
      </c>
      <c r="AF355" s="66">
        <f t="shared" si="55"/>
        <v>0</v>
      </c>
      <c r="AG355" s="67" t="str">
        <f t="shared" si="63"/>
        <v>0000000000</v>
      </c>
      <c r="AH355" s="67" t="str">
        <f t="shared" si="64"/>
        <v>.00</v>
      </c>
      <c r="AI355" s="67" t="str">
        <f t="shared" si="60"/>
        <v>00</v>
      </c>
      <c r="AJ355" s="67" t="str">
        <f t="shared" si="65"/>
        <v>000000000000</v>
      </c>
      <c r="AK355" s="119"/>
      <c r="AL355" s="120"/>
      <c r="AP355" s="115" t="str">
        <f t="shared" si="61"/>
        <v/>
      </c>
    </row>
    <row r="356" spans="1:42" x14ac:dyDescent="0.2">
      <c r="A356" s="63" t="str">
        <f t="shared" si="57"/>
        <v/>
      </c>
      <c r="B356" s="133"/>
      <c r="C356" s="133"/>
      <c r="D356" s="135"/>
      <c r="E356" s="135"/>
      <c r="F356" s="137"/>
      <c r="AA356" s="116" t="str">
        <f t="shared" si="56"/>
        <v>00000000000000</v>
      </c>
      <c r="AB356" s="117" t="str">
        <f t="shared" si="58"/>
        <v>000000000000</v>
      </c>
      <c r="AC356" s="118">
        <f t="shared" si="59"/>
        <v>1</v>
      </c>
      <c r="AD356" s="47">
        <v>2</v>
      </c>
      <c r="AE356" s="66">
        <f t="shared" si="62"/>
        <v>0</v>
      </c>
      <c r="AF356" s="66">
        <f t="shared" si="55"/>
        <v>0</v>
      </c>
      <c r="AG356" s="67" t="str">
        <f t="shared" si="63"/>
        <v>0000000000</v>
      </c>
      <c r="AH356" s="67" t="str">
        <f t="shared" si="64"/>
        <v>.00</v>
      </c>
      <c r="AI356" s="67" t="str">
        <f t="shared" si="60"/>
        <v>00</v>
      </c>
      <c r="AJ356" s="67" t="str">
        <f t="shared" si="65"/>
        <v>000000000000</v>
      </c>
      <c r="AK356" s="119"/>
      <c r="AL356" s="120"/>
      <c r="AP356" s="115" t="str">
        <f t="shared" si="61"/>
        <v/>
      </c>
    </row>
    <row r="357" spans="1:42" x14ac:dyDescent="0.2">
      <c r="A357" s="63" t="str">
        <f t="shared" si="57"/>
        <v/>
      </c>
      <c r="B357" s="133"/>
      <c r="C357" s="133"/>
      <c r="D357" s="135"/>
      <c r="E357" s="135"/>
      <c r="F357" s="137"/>
      <c r="AA357" s="116" t="str">
        <f t="shared" si="56"/>
        <v>00000000000000</v>
      </c>
      <c r="AB357" s="117" t="str">
        <f t="shared" si="58"/>
        <v>000000000000</v>
      </c>
      <c r="AC357" s="118">
        <f t="shared" si="59"/>
        <v>1</v>
      </c>
      <c r="AD357" s="47">
        <v>2</v>
      </c>
      <c r="AE357" s="66">
        <f t="shared" si="62"/>
        <v>0</v>
      </c>
      <c r="AF357" s="66">
        <f t="shared" si="55"/>
        <v>0</v>
      </c>
      <c r="AG357" s="67" t="str">
        <f t="shared" si="63"/>
        <v>0000000000</v>
      </c>
      <c r="AH357" s="67" t="str">
        <f t="shared" si="64"/>
        <v>.00</v>
      </c>
      <c r="AI357" s="67" t="str">
        <f t="shared" si="60"/>
        <v>00</v>
      </c>
      <c r="AJ357" s="67" t="str">
        <f t="shared" si="65"/>
        <v>000000000000</v>
      </c>
      <c r="AK357" s="119"/>
      <c r="AL357" s="120"/>
      <c r="AP357" s="115" t="str">
        <f t="shared" si="61"/>
        <v/>
      </c>
    </row>
    <row r="358" spans="1:42" x14ac:dyDescent="0.2">
      <c r="A358" s="63" t="str">
        <f t="shared" si="57"/>
        <v/>
      </c>
      <c r="B358" s="133"/>
      <c r="C358" s="133"/>
      <c r="D358" s="135"/>
      <c r="E358" s="135"/>
      <c r="F358" s="137"/>
      <c r="AA358" s="116" t="str">
        <f t="shared" si="56"/>
        <v>00000000000000</v>
      </c>
      <c r="AB358" s="117" t="str">
        <f t="shared" si="58"/>
        <v>000000000000</v>
      </c>
      <c r="AC358" s="118">
        <f t="shared" si="59"/>
        <v>1</v>
      </c>
      <c r="AD358" s="47">
        <v>2</v>
      </c>
      <c r="AE358" s="66">
        <f t="shared" si="62"/>
        <v>0</v>
      </c>
      <c r="AF358" s="66">
        <f t="shared" si="55"/>
        <v>0</v>
      </c>
      <c r="AG358" s="67" t="str">
        <f t="shared" si="63"/>
        <v>0000000000</v>
      </c>
      <c r="AH358" s="67" t="str">
        <f t="shared" si="64"/>
        <v>.00</v>
      </c>
      <c r="AI358" s="67" t="str">
        <f t="shared" si="60"/>
        <v>00</v>
      </c>
      <c r="AJ358" s="67" t="str">
        <f t="shared" si="65"/>
        <v>000000000000</v>
      </c>
      <c r="AK358" s="119"/>
      <c r="AL358" s="120"/>
      <c r="AP358" s="115" t="str">
        <f t="shared" si="61"/>
        <v/>
      </c>
    </row>
    <row r="359" spans="1:42" x14ac:dyDescent="0.2">
      <c r="A359" s="63" t="str">
        <f t="shared" si="57"/>
        <v/>
      </c>
      <c r="B359" s="133"/>
      <c r="C359" s="133"/>
      <c r="D359" s="135"/>
      <c r="E359" s="135"/>
      <c r="F359" s="137"/>
      <c r="AA359" s="116" t="str">
        <f t="shared" si="56"/>
        <v>00000000000000</v>
      </c>
      <c r="AB359" s="117" t="str">
        <f t="shared" si="58"/>
        <v>000000000000</v>
      </c>
      <c r="AC359" s="118">
        <f t="shared" si="59"/>
        <v>1</v>
      </c>
      <c r="AD359" s="47">
        <v>2</v>
      </c>
      <c r="AE359" s="66">
        <f t="shared" si="62"/>
        <v>0</v>
      </c>
      <c r="AF359" s="66">
        <f t="shared" si="55"/>
        <v>0</v>
      </c>
      <c r="AG359" s="67" t="str">
        <f t="shared" si="63"/>
        <v>0000000000</v>
      </c>
      <c r="AH359" s="67" t="str">
        <f t="shared" si="64"/>
        <v>.00</v>
      </c>
      <c r="AI359" s="67" t="str">
        <f t="shared" si="60"/>
        <v>00</v>
      </c>
      <c r="AJ359" s="67" t="str">
        <f t="shared" si="65"/>
        <v>000000000000</v>
      </c>
      <c r="AK359" s="119"/>
      <c r="AL359" s="120"/>
      <c r="AP359" s="115" t="str">
        <f t="shared" si="61"/>
        <v/>
      </c>
    </row>
    <row r="360" spans="1:42" x14ac:dyDescent="0.2">
      <c r="A360" s="63" t="str">
        <f t="shared" si="57"/>
        <v/>
      </c>
      <c r="B360" s="133"/>
      <c r="C360" s="133"/>
      <c r="D360" s="135"/>
      <c r="E360" s="135"/>
      <c r="F360" s="137"/>
      <c r="AA360" s="116" t="str">
        <f t="shared" si="56"/>
        <v>00000000000000</v>
      </c>
      <c r="AB360" s="117" t="str">
        <f t="shared" si="58"/>
        <v>000000000000</v>
      </c>
      <c r="AC360" s="118">
        <f t="shared" si="59"/>
        <v>1</v>
      </c>
      <c r="AD360" s="47">
        <v>2</v>
      </c>
      <c r="AE360" s="66">
        <f t="shared" si="62"/>
        <v>0</v>
      </c>
      <c r="AF360" s="66">
        <f t="shared" si="55"/>
        <v>0</v>
      </c>
      <c r="AG360" s="67" t="str">
        <f t="shared" si="63"/>
        <v>0000000000</v>
      </c>
      <c r="AH360" s="67" t="str">
        <f t="shared" si="64"/>
        <v>.00</v>
      </c>
      <c r="AI360" s="67" t="str">
        <f t="shared" si="60"/>
        <v>00</v>
      </c>
      <c r="AJ360" s="67" t="str">
        <f t="shared" si="65"/>
        <v>000000000000</v>
      </c>
      <c r="AK360" s="119"/>
      <c r="AL360" s="120"/>
      <c r="AP360" s="115" t="str">
        <f t="shared" si="61"/>
        <v/>
      </c>
    </row>
    <row r="361" spans="1:42" x14ac:dyDescent="0.2">
      <c r="A361" s="63" t="str">
        <f t="shared" si="57"/>
        <v/>
      </c>
      <c r="B361" s="133"/>
      <c r="C361" s="133"/>
      <c r="D361" s="135"/>
      <c r="E361" s="135"/>
      <c r="F361" s="137"/>
      <c r="AA361" s="116" t="str">
        <f t="shared" si="56"/>
        <v>00000000000000</v>
      </c>
      <c r="AB361" s="117" t="str">
        <f t="shared" si="58"/>
        <v>000000000000</v>
      </c>
      <c r="AC361" s="118">
        <f t="shared" si="59"/>
        <v>1</v>
      </c>
      <c r="AD361" s="47">
        <v>2</v>
      </c>
      <c r="AE361" s="66">
        <f t="shared" si="62"/>
        <v>0</v>
      </c>
      <c r="AF361" s="66">
        <f t="shared" si="55"/>
        <v>0</v>
      </c>
      <c r="AG361" s="67" t="str">
        <f t="shared" si="63"/>
        <v>0000000000</v>
      </c>
      <c r="AH361" s="67" t="str">
        <f t="shared" si="64"/>
        <v>.00</v>
      </c>
      <c r="AI361" s="67" t="str">
        <f t="shared" si="60"/>
        <v>00</v>
      </c>
      <c r="AJ361" s="67" t="str">
        <f t="shared" si="65"/>
        <v>000000000000</v>
      </c>
      <c r="AK361" s="119"/>
      <c r="AL361" s="120"/>
      <c r="AP361" s="115" t="str">
        <f t="shared" si="61"/>
        <v/>
      </c>
    </row>
    <row r="362" spans="1:42" x14ac:dyDescent="0.2">
      <c r="A362" s="63" t="str">
        <f t="shared" si="57"/>
        <v/>
      </c>
      <c r="B362" s="133"/>
      <c r="C362" s="133"/>
      <c r="D362" s="135"/>
      <c r="E362" s="135"/>
      <c r="F362" s="137"/>
      <c r="AA362" s="116" t="str">
        <f t="shared" si="56"/>
        <v>00000000000000</v>
      </c>
      <c r="AB362" s="117" t="str">
        <f t="shared" si="58"/>
        <v>000000000000</v>
      </c>
      <c r="AC362" s="118">
        <f t="shared" si="59"/>
        <v>1</v>
      </c>
      <c r="AD362" s="47">
        <v>2</v>
      </c>
      <c r="AE362" s="66">
        <f t="shared" si="62"/>
        <v>0</v>
      </c>
      <c r="AF362" s="66">
        <f t="shared" si="55"/>
        <v>0</v>
      </c>
      <c r="AG362" s="67" t="str">
        <f t="shared" si="63"/>
        <v>0000000000</v>
      </c>
      <c r="AH362" s="67" t="str">
        <f t="shared" si="64"/>
        <v>.00</v>
      </c>
      <c r="AI362" s="67" t="str">
        <f t="shared" si="60"/>
        <v>00</v>
      </c>
      <c r="AJ362" s="67" t="str">
        <f t="shared" si="65"/>
        <v>000000000000</v>
      </c>
      <c r="AK362" s="119"/>
      <c r="AL362" s="120"/>
      <c r="AP362" s="115" t="str">
        <f t="shared" si="61"/>
        <v/>
      </c>
    </row>
    <row r="363" spans="1:42" x14ac:dyDescent="0.2">
      <c r="A363" s="63" t="str">
        <f t="shared" si="57"/>
        <v/>
      </c>
      <c r="B363" s="133"/>
      <c r="C363" s="133"/>
      <c r="D363" s="135"/>
      <c r="E363" s="135"/>
      <c r="F363" s="137"/>
      <c r="AA363" s="116" t="str">
        <f t="shared" si="56"/>
        <v>00000000000000</v>
      </c>
      <c r="AB363" s="117" t="str">
        <f t="shared" si="58"/>
        <v>000000000000</v>
      </c>
      <c r="AC363" s="118">
        <f t="shared" si="59"/>
        <v>1</v>
      </c>
      <c r="AD363" s="47">
        <v>2</v>
      </c>
      <c r="AE363" s="66">
        <f t="shared" si="62"/>
        <v>0</v>
      </c>
      <c r="AF363" s="66">
        <f t="shared" si="55"/>
        <v>0</v>
      </c>
      <c r="AG363" s="67" t="str">
        <f t="shared" si="63"/>
        <v>0000000000</v>
      </c>
      <c r="AH363" s="67" t="str">
        <f t="shared" si="64"/>
        <v>.00</v>
      </c>
      <c r="AI363" s="67" t="str">
        <f t="shared" si="60"/>
        <v>00</v>
      </c>
      <c r="AJ363" s="67" t="str">
        <f t="shared" si="65"/>
        <v>000000000000</v>
      </c>
      <c r="AK363" s="119"/>
      <c r="AL363" s="120"/>
      <c r="AP363" s="115" t="str">
        <f t="shared" si="61"/>
        <v/>
      </c>
    </row>
    <row r="364" spans="1:42" x14ac:dyDescent="0.2">
      <c r="A364" s="63" t="str">
        <f t="shared" si="57"/>
        <v/>
      </c>
      <c r="B364" s="133"/>
      <c r="C364" s="133"/>
      <c r="D364" s="135"/>
      <c r="E364" s="135"/>
      <c r="F364" s="137"/>
      <c r="AA364" s="116" t="str">
        <f t="shared" si="56"/>
        <v>00000000000000</v>
      </c>
      <c r="AB364" s="117" t="str">
        <f t="shared" si="58"/>
        <v>000000000000</v>
      </c>
      <c r="AC364" s="118">
        <f t="shared" si="59"/>
        <v>1</v>
      </c>
      <c r="AD364" s="47">
        <v>2</v>
      </c>
      <c r="AE364" s="66">
        <f t="shared" si="62"/>
        <v>0</v>
      </c>
      <c r="AF364" s="66">
        <f t="shared" si="55"/>
        <v>0</v>
      </c>
      <c r="AG364" s="67" t="str">
        <f t="shared" si="63"/>
        <v>0000000000</v>
      </c>
      <c r="AH364" s="67" t="str">
        <f t="shared" si="64"/>
        <v>.00</v>
      </c>
      <c r="AI364" s="67" t="str">
        <f t="shared" si="60"/>
        <v>00</v>
      </c>
      <c r="AJ364" s="67" t="str">
        <f t="shared" si="65"/>
        <v>000000000000</v>
      </c>
      <c r="AK364" s="119"/>
      <c r="AL364" s="120"/>
      <c r="AP364" s="115" t="str">
        <f t="shared" si="61"/>
        <v/>
      </c>
    </row>
    <row r="365" spans="1:42" x14ac:dyDescent="0.2">
      <c r="A365" s="63" t="str">
        <f t="shared" si="57"/>
        <v/>
      </c>
      <c r="B365" s="133"/>
      <c r="C365" s="133"/>
      <c r="D365" s="135"/>
      <c r="E365" s="135"/>
      <c r="F365" s="137"/>
      <c r="AA365" s="116" t="str">
        <f t="shared" si="56"/>
        <v>00000000000000</v>
      </c>
      <c r="AB365" s="117" t="str">
        <f t="shared" si="58"/>
        <v>000000000000</v>
      </c>
      <c r="AC365" s="118">
        <f t="shared" si="59"/>
        <v>1</v>
      </c>
      <c r="AD365" s="47">
        <v>2</v>
      </c>
      <c r="AE365" s="66">
        <f t="shared" si="62"/>
        <v>0</v>
      </c>
      <c r="AF365" s="66">
        <f t="shared" si="55"/>
        <v>0</v>
      </c>
      <c r="AG365" s="67" t="str">
        <f t="shared" si="63"/>
        <v>0000000000</v>
      </c>
      <c r="AH365" s="67" t="str">
        <f t="shared" si="64"/>
        <v>.00</v>
      </c>
      <c r="AI365" s="67" t="str">
        <f t="shared" si="60"/>
        <v>00</v>
      </c>
      <c r="AJ365" s="67" t="str">
        <f t="shared" si="65"/>
        <v>000000000000</v>
      </c>
      <c r="AK365" s="119"/>
      <c r="AL365" s="120"/>
      <c r="AP365" s="115" t="str">
        <f t="shared" si="61"/>
        <v/>
      </c>
    </row>
    <row r="366" spans="1:42" x14ac:dyDescent="0.2">
      <c r="A366" s="63" t="str">
        <f t="shared" si="57"/>
        <v/>
      </c>
      <c r="B366" s="133"/>
      <c r="C366" s="133"/>
      <c r="D366" s="135"/>
      <c r="E366" s="135"/>
      <c r="F366" s="137"/>
      <c r="AA366" s="116" t="str">
        <f t="shared" si="56"/>
        <v>00000000000000</v>
      </c>
      <c r="AB366" s="117" t="str">
        <f t="shared" si="58"/>
        <v>000000000000</v>
      </c>
      <c r="AC366" s="118">
        <f t="shared" si="59"/>
        <v>1</v>
      </c>
      <c r="AD366" s="47">
        <v>2</v>
      </c>
      <c r="AE366" s="66">
        <f t="shared" si="62"/>
        <v>0</v>
      </c>
      <c r="AF366" s="66">
        <f t="shared" si="55"/>
        <v>0</v>
      </c>
      <c r="AG366" s="67" t="str">
        <f t="shared" si="63"/>
        <v>0000000000</v>
      </c>
      <c r="AH366" s="67" t="str">
        <f t="shared" si="64"/>
        <v>.00</v>
      </c>
      <c r="AI366" s="67" t="str">
        <f t="shared" si="60"/>
        <v>00</v>
      </c>
      <c r="AJ366" s="67" t="str">
        <f t="shared" si="65"/>
        <v>000000000000</v>
      </c>
      <c r="AK366" s="119"/>
      <c r="AL366" s="120"/>
      <c r="AP366" s="115" t="str">
        <f t="shared" si="61"/>
        <v/>
      </c>
    </row>
    <row r="367" spans="1:42" x14ac:dyDescent="0.2">
      <c r="A367" s="63" t="str">
        <f t="shared" si="57"/>
        <v/>
      </c>
      <c r="B367" s="133"/>
      <c r="C367" s="133"/>
      <c r="D367" s="135"/>
      <c r="E367" s="135"/>
      <c r="F367" s="137"/>
      <c r="AA367" s="116" t="str">
        <f t="shared" si="56"/>
        <v>00000000000000</v>
      </c>
      <c r="AB367" s="117" t="str">
        <f t="shared" si="58"/>
        <v>000000000000</v>
      </c>
      <c r="AC367" s="118">
        <f t="shared" si="59"/>
        <v>1</v>
      </c>
      <c r="AD367" s="47">
        <v>2</v>
      </c>
      <c r="AE367" s="66">
        <f t="shared" si="62"/>
        <v>0</v>
      </c>
      <c r="AF367" s="66">
        <f t="shared" si="55"/>
        <v>0</v>
      </c>
      <c r="AG367" s="67" t="str">
        <f t="shared" si="63"/>
        <v>0000000000</v>
      </c>
      <c r="AH367" s="67" t="str">
        <f t="shared" si="64"/>
        <v>.00</v>
      </c>
      <c r="AI367" s="67" t="str">
        <f t="shared" si="60"/>
        <v>00</v>
      </c>
      <c r="AJ367" s="67" t="str">
        <f t="shared" si="65"/>
        <v>000000000000</v>
      </c>
      <c r="AK367" s="119"/>
      <c r="AL367" s="120"/>
      <c r="AP367" s="115" t="str">
        <f t="shared" si="61"/>
        <v/>
      </c>
    </row>
    <row r="368" spans="1:42" x14ac:dyDescent="0.2">
      <c r="A368" s="63" t="str">
        <f t="shared" si="57"/>
        <v/>
      </c>
      <c r="B368" s="133"/>
      <c r="C368" s="133"/>
      <c r="D368" s="135"/>
      <c r="E368" s="135"/>
      <c r="F368" s="137"/>
      <c r="AA368" s="116" t="str">
        <f t="shared" si="56"/>
        <v>00000000000000</v>
      </c>
      <c r="AB368" s="117" t="str">
        <f t="shared" si="58"/>
        <v>000000000000</v>
      </c>
      <c r="AC368" s="118">
        <f t="shared" si="59"/>
        <v>1</v>
      </c>
      <c r="AD368" s="47">
        <v>2</v>
      </c>
      <c r="AE368" s="66">
        <f t="shared" si="62"/>
        <v>0</v>
      </c>
      <c r="AF368" s="66">
        <f t="shared" si="55"/>
        <v>0</v>
      </c>
      <c r="AG368" s="67" t="str">
        <f t="shared" si="63"/>
        <v>0000000000</v>
      </c>
      <c r="AH368" s="67" t="str">
        <f t="shared" si="64"/>
        <v>.00</v>
      </c>
      <c r="AI368" s="67" t="str">
        <f t="shared" si="60"/>
        <v>00</v>
      </c>
      <c r="AJ368" s="67" t="str">
        <f t="shared" si="65"/>
        <v>000000000000</v>
      </c>
      <c r="AK368" s="119"/>
      <c r="AL368" s="120"/>
      <c r="AP368" s="115" t="str">
        <f t="shared" si="61"/>
        <v/>
      </c>
    </row>
    <row r="369" spans="1:42" x14ac:dyDescent="0.2">
      <c r="A369" s="63" t="str">
        <f t="shared" si="57"/>
        <v/>
      </c>
      <c r="B369" s="133"/>
      <c r="C369" s="133"/>
      <c r="D369" s="135"/>
      <c r="E369" s="135"/>
      <c r="F369" s="137"/>
      <c r="AA369" s="116" t="str">
        <f t="shared" si="56"/>
        <v>00000000000000</v>
      </c>
      <c r="AB369" s="117" t="str">
        <f t="shared" si="58"/>
        <v>000000000000</v>
      </c>
      <c r="AC369" s="118">
        <f t="shared" si="59"/>
        <v>1</v>
      </c>
      <c r="AD369" s="47">
        <v>2</v>
      </c>
      <c r="AE369" s="66">
        <f t="shared" si="62"/>
        <v>0</v>
      </c>
      <c r="AF369" s="66">
        <f t="shared" si="55"/>
        <v>0</v>
      </c>
      <c r="AG369" s="67" t="str">
        <f t="shared" si="63"/>
        <v>0000000000</v>
      </c>
      <c r="AH369" s="67" t="str">
        <f t="shared" si="64"/>
        <v>.00</v>
      </c>
      <c r="AI369" s="67" t="str">
        <f t="shared" si="60"/>
        <v>00</v>
      </c>
      <c r="AJ369" s="67" t="str">
        <f t="shared" si="65"/>
        <v>000000000000</v>
      </c>
      <c r="AK369" s="119"/>
      <c r="AL369" s="120"/>
      <c r="AP369" s="115" t="str">
        <f t="shared" si="61"/>
        <v/>
      </c>
    </row>
    <row r="370" spans="1:42" x14ac:dyDescent="0.2">
      <c r="A370" s="63" t="str">
        <f t="shared" si="57"/>
        <v/>
      </c>
      <c r="B370" s="133"/>
      <c r="C370" s="133"/>
      <c r="D370" s="135"/>
      <c r="E370" s="135"/>
      <c r="F370" s="137"/>
      <c r="AA370" s="116" t="str">
        <f t="shared" si="56"/>
        <v>00000000000000</v>
      </c>
      <c r="AB370" s="117" t="str">
        <f t="shared" si="58"/>
        <v>000000000000</v>
      </c>
      <c r="AC370" s="118">
        <f t="shared" si="59"/>
        <v>1</v>
      </c>
      <c r="AD370" s="47">
        <v>2</v>
      </c>
      <c r="AE370" s="66">
        <f t="shared" si="62"/>
        <v>0</v>
      </c>
      <c r="AF370" s="66">
        <f t="shared" si="55"/>
        <v>0</v>
      </c>
      <c r="AG370" s="67" t="str">
        <f t="shared" si="63"/>
        <v>0000000000</v>
      </c>
      <c r="AH370" s="67" t="str">
        <f t="shared" si="64"/>
        <v>.00</v>
      </c>
      <c r="AI370" s="67" t="str">
        <f t="shared" si="60"/>
        <v>00</v>
      </c>
      <c r="AJ370" s="67" t="str">
        <f t="shared" si="65"/>
        <v>000000000000</v>
      </c>
      <c r="AK370" s="119"/>
      <c r="AL370" s="120"/>
      <c r="AP370" s="115" t="str">
        <f t="shared" si="61"/>
        <v/>
      </c>
    </row>
    <row r="371" spans="1:42" x14ac:dyDescent="0.2">
      <c r="A371" s="63" t="str">
        <f t="shared" si="57"/>
        <v/>
      </c>
      <c r="B371" s="133"/>
      <c r="C371" s="133"/>
      <c r="D371" s="135"/>
      <c r="E371" s="135"/>
      <c r="F371" s="137"/>
      <c r="AA371" s="116" t="str">
        <f t="shared" si="56"/>
        <v>00000000000000</v>
      </c>
      <c r="AB371" s="117" t="str">
        <f t="shared" si="58"/>
        <v>000000000000</v>
      </c>
      <c r="AC371" s="118">
        <f t="shared" si="59"/>
        <v>1</v>
      </c>
      <c r="AD371" s="47">
        <v>2</v>
      </c>
      <c r="AE371" s="66">
        <f t="shared" si="62"/>
        <v>0</v>
      </c>
      <c r="AF371" s="66">
        <f t="shared" si="55"/>
        <v>0</v>
      </c>
      <c r="AG371" s="67" t="str">
        <f t="shared" si="63"/>
        <v>0000000000</v>
      </c>
      <c r="AH371" s="67" t="str">
        <f t="shared" si="64"/>
        <v>.00</v>
      </c>
      <c r="AI371" s="67" t="str">
        <f t="shared" si="60"/>
        <v>00</v>
      </c>
      <c r="AJ371" s="67" t="str">
        <f t="shared" si="65"/>
        <v>000000000000</v>
      </c>
      <c r="AK371" s="119"/>
      <c r="AL371" s="120"/>
      <c r="AP371" s="115" t="str">
        <f t="shared" si="61"/>
        <v/>
      </c>
    </row>
    <row r="372" spans="1:42" x14ac:dyDescent="0.2">
      <c r="A372" s="63" t="str">
        <f t="shared" si="57"/>
        <v/>
      </c>
      <c r="B372" s="133"/>
      <c r="C372" s="133"/>
      <c r="D372" s="135"/>
      <c r="E372" s="135"/>
      <c r="F372" s="137"/>
      <c r="AA372" s="116" t="str">
        <f t="shared" si="56"/>
        <v>00000000000000</v>
      </c>
      <c r="AB372" s="117" t="str">
        <f t="shared" si="58"/>
        <v>000000000000</v>
      </c>
      <c r="AC372" s="118">
        <f t="shared" si="59"/>
        <v>1</v>
      </c>
      <c r="AD372" s="47">
        <v>2</v>
      </c>
      <c r="AE372" s="66">
        <f t="shared" si="62"/>
        <v>0</v>
      </c>
      <c r="AF372" s="66">
        <f t="shared" si="55"/>
        <v>0</v>
      </c>
      <c r="AG372" s="67" t="str">
        <f t="shared" si="63"/>
        <v>0000000000</v>
      </c>
      <c r="AH372" s="67" t="str">
        <f t="shared" si="64"/>
        <v>.00</v>
      </c>
      <c r="AI372" s="67" t="str">
        <f t="shared" si="60"/>
        <v>00</v>
      </c>
      <c r="AJ372" s="67" t="str">
        <f t="shared" si="65"/>
        <v>000000000000</v>
      </c>
      <c r="AK372" s="119"/>
      <c r="AL372" s="120"/>
      <c r="AP372" s="115" t="str">
        <f t="shared" si="61"/>
        <v/>
      </c>
    </row>
    <row r="373" spans="1:42" x14ac:dyDescent="0.2">
      <c r="A373" s="63" t="str">
        <f t="shared" si="57"/>
        <v/>
      </c>
      <c r="B373" s="133"/>
      <c r="C373" s="133"/>
      <c r="D373" s="135"/>
      <c r="E373" s="135"/>
      <c r="F373" s="137"/>
      <c r="AA373" s="116" t="str">
        <f t="shared" si="56"/>
        <v>00000000000000</v>
      </c>
      <c r="AB373" s="117" t="str">
        <f t="shared" si="58"/>
        <v>000000000000</v>
      </c>
      <c r="AC373" s="118">
        <f t="shared" si="59"/>
        <v>1</v>
      </c>
      <c r="AD373" s="47">
        <v>2</v>
      </c>
      <c r="AE373" s="66">
        <f t="shared" si="62"/>
        <v>0</v>
      </c>
      <c r="AF373" s="66">
        <f t="shared" si="55"/>
        <v>0</v>
      </c>
      <c r="AG373" s="67" t="str">
        <f t="shared" si="63"/>
        <v>0000000000</v>
      </c>
      <c r="AH373" s="67" t="str">
        <f t="shared" si="64"/>
        <v>.00</v>
      </c>
      <c r="AI373" s="67" t="str">
        <f t="shared" si="60"/>
        <v>00</v>
      </c>
      <c r="AJ373" s="67" t="str">
        <f t="shared" si="65"/>
        <v>000000000000</v>
      </c>
      <c r="AK373" s="119"/>
      <c r="AL373" s="120"/>
      <c r="AP373" s="115" t="str">
        <f t="shared" si="61"/>
        <v/>
      </c>
    </row>
    <row r="374" spans="1:42" x14ac:dyDescent="0.2">
      <c r="A374" s="63" t="str">
        <f t="shared" si="57"/>
        <v/>
      </c>
      <c r="B374" s="133"/>
      <c r="C374" s="133"/>
      <c r="D374" s="135"/>
      <c r="E374" s="135"/>
      <c r="F374" s="137"/>
      <c r="AA374" s="116" t="str">
        <f t="shared" si="56"/>
        <v>00000000000000</v>
      </c>
      <c r="AB374" s="117" t="str">
        <f t="shared" si="58"/>
        <v>000000000000</v>
      </c>
      <c r="AC374" s="118">
        <f t="shared" si="59"/>
        <v>1</v>
      </c>
      <c r="AD374" s="47">
        <v>2</v>
      </c>
      <c r="AE374" s="66">
        <f t="shared" si="62"/>
        <v>0</v>
      </c>
      <c r="AF374" s="66">
        <f t="shared" si="55"/>
        <v>0</v>
      </c>
      <c r="AG374" s="67" t="str">
        <f t="shared" si="63"/>
        <v>0000000000</v>
      </c>
      <c r="AH374" s="67" t="str">
        <f t="shared" si="64"/>
        <v>.00</v>
      </c>
      <c r="AI374" s="67" t="str">
        <f t="shared" si="60"/>
        <v>00</v>
      </c>
      <c r="AJ374" s="67" t="str">
        <f t="shared" si="65"/>
        <v>000000000000</v>
      </c>
      <c r="AK374" s="119"/>
      <c r="AL374" s="120"/>
      <c r="AP374" s="115" t="str">
        <f t="shared" si="61"/>
        <v/>
      </c>
    </row>
    <row r="375" spans="1:42" x14ac:dyDescent="0.2">
      <c r="A375" s="63" t="str">
        <f t="shared" si="57"/>
        <v/>
      </c>
      <c r="B375" s="133"/>
      <c r="C375" s="133"/>
      <c r="D375" s="135"/>
      <c r="E375" s="135"/>
      <c r="F375" s="137"/>
      <c r="AA375" s="116" t="str">
        <f t="shared" si="56"/>
        <v>00000000000000</v>
      </c>
      <c r="AB375" s="117" t="str">
        <f t="shared" si="58"/>
        <v>000000000000</v>
      </c>
      <c r="AC375" s="118">
        <f t="shared" si="59"/>
        <v>1</v>
      </c>
      <c r="AD375" s="47">
        <v>2</v>
      </c>
      <c r="AE375" s="66">
        <f t="shared" si="62"/>
        <v>0</v>
      </c>
      <c r="AF375" s="66">
        <f t="shared" si="55"/>
        <v>0</v>
      </c>
      <c r="AG375" s="67" t="str">
        <f t="shared" si="63"/>
        <v>0000000000</v>
      </c>
      <c r="AH375" s="67" t="str">
        <f t="shared" si="64"/>
        <v>.00</v>
      </c>
      <c r="AI375" s="67" t="str">
        <f t="shared" si="60"/>
        <v>00</v>
      </c>
      <c r="AJ375" s="67" t="str">
        <f t="shared" si="65"/>
        <v>000000000000</v>
      </c>
      <c r="AK375" s="119"/>
      <c r="AL375" s="120"/>
      <c r="AP375" s="115" t="str">
        <f t="shared" si="61"/>
        <v/>
      </c>
    </row>
    <row r="376" spans="1:42" x14ac:dyDescent="0.2">
      <c r="A376" s="63" t="str">
        <f t="shared" si="57"/>
        <v/>
      </c>
      <c r="B376" s="133"/>
      <c r="C376" s="133"/>
      <c r="D376" s="135"/>
      <c r="E376" s="135"/>
      <c r="F376" s="137"/>
      <c r="AA376" s="116" t="str">
        <f t="shared" si="56"/>
        <v>00000000000000</v>
      </c>
      <c r="AB376" s="117" t="str">
        <f t="shared" si="58"/>
        <v>000000000000</v>
      </c>
      <c r="AC376" s="118">
        <f t="shared" si="59"/>
        <v>1</v>
      </c>
      <c r="AD376" s="47">
        <v>2</v>
      </c>
      <c r="AE376" s="66">
        <f t="shared" si="62"/>
        <v>0</v>
      </c>
      <c r="AF376" s="66">
        <f t="shared" si="55"/>
        <v>0</v>
      </c>
      <c r="AG376" s="67" t="str">
        <f t="shared" si="63"/>
        <v>0000000000</v>
      </c>
      <c r="AH376" s="67" t="str">
        <f t="shared" si="64"/>
        <v>.00</v>
      </c>
      <c r="AI376" s="67" t="str">
        <f t="shared" si="60"/>
        <v>00</v>
      </c>
      <c r="AJ376" s="67" t="str">
        <f t="shared" si="65"/>
        <v>000000000000</v>
      </c>
      <c r="AK376" s="119"/>
      <c r="AL376" s="120"/>
      <c r="AP376" s="115" t="str">
        <f t="shared" si="61"/>
        <v/>
      </c>
    </row>
    <row r="377" spans="1:42" x14ac:dyDescent="0.2">
      <c r="A377" s="63" t="str">
        <f t="shared" si="57"/>
        <v/>
      </c>
      <c r="B377" s="133"/>
      <c r="C377" s="133"/>
      <c r="D377" s="135"/>
      <c r="E377" s="135"/>
      <c r="F377" s="137"/>
      <c r="AA377" s="116" t="str">
        <f t="shared" si="56"/>
        <v>00000000000000</v>
      </c>
      <c r="AB377" s="117" t="str">
        <f t="shared" si="58"/>
        <v>000000000000</v>
      </c>
      <c r="AC377" s="118">
        <f t="shared" si="59"/>
        <v>1</v>
      </c>
      <c r="AD377" s="47">
        <v>2</v>
      </c>
      <c r="AE377" s="66">
        <f t="shared" si="62"/>
        <v>0</v>
      </c>
      <c r="AF377" s="66">
        <f t="shared" si="55"/>
        <v>0</v>
      </c>
      <c r="AG377" s="67" t="str">
        <f t="shared" si="63"/>
        <v>0000000000</v>
      </c>
      <c r="AH377" s="67" t="str">
        <f t="shared" si="64"/>
        <v>.00</v>
      </c>
      <c r="AI377" s="67" t="str">
        <f t="shared" si="60"/>
        <v>00</v>
      </c>
      <c r="AJ377" s="67" t="str">
        <f t="shared" si="65"/>
        <v>000000000000</v>
      </c>
      <c r="AK377" s="119"/>
      <c r="AL377" s="120"/>
      <c r="AP377" s="115" t="str">
        <f t="shared" si="61"/>
        <v/>
      </c>
    </row>
    <row r="378" spans="1:42" x14ac:dyDescent="0.2">
      <c r="A378" s="63" t="str">
        <f t="shared" si="57"/>
        <v/>
      </c>
      <c r="B378" s="133"/>
      <c r="C378" s="133"/>
      <c r="D378" s="135"/>
      <c r="E378" s="135"/>
      <c r="F378" s="137"/>
      <c r="AA378" s="116" t="str">
        <f t="shared" si="56"/>
        <v>00000000000000</v>
      </c>
      <c r="AB378" s="117" t="str">
        <f t="shared" si="58"/>
        <v>000000000000</v>
      </c>
      <c r="AC378" s="118">
        <f t="shared" si="59"/>
        <v>1</v>
      </c>
      <c r="AD378" s="47">
        <v>2</v>
      </c>
      <c r="AE378" s="66">
        <f t="shared" si="62"/>
        <v>0</v>
      </c>
      <c r="AF378" s="66">
        <f t="shared" si="55"/>
        <v>0</v>
      </c>
      <c r="AG378" s="67" t="str">
        <f t="shared" si="63"/>
        <v>0000000000</v>
      </c>
      <c r="AH378" s="67" t="str">
        <f t="shared" si="64"/>
        <v>.00</v>
      </c>
      <c r="AI378" s="67" t="str">
        <f t="shared" si="60"/>
        <v>00</v>
      </c>
      <c r="AJ378" s="67" t="str">
        <f t="shared" si="65"/>
        <v>000000000000</v>
      </c>
      <c r="AK378" s="119"/>
      <c r="AL378" s="120"/>
      <c r="AP378" s="115" t="str">
        <f t="shared" si="61"/>
        <v/>
      </c>
    </row>
    <row r="379" spans="1:42" x14ac:dyDescent="0.2">
      <c r="A379" s="63" t="str">
        <f t="shared" si="57"/>
        <v/>
      </c>
      <c r="B379" s="133"/>
      <c r="C379" s="133"/>
      <c r="D379" s="135"/>
      <c r="E379" s="135"/>
      <c r="F379" s="137"/>
      <c r="AA379" s="116" t="str">
        <f t="shared" si="56"/>
        <v>00000000000000</v>
      </c>
      <c r="AB379" s="117" t="str">
        <f t="shared" si="58"/>
        <v>000000000000</v>
      </c>
      <c r="AC379" s="118">
        <f t="shared" si="59"/>
        <v>1</v>
      </c>
      <c r="AD379" s="47">
        <v>2</v>
      </c>
      <c r="AE379" s="66">
        <f t="shared" si="62"/>
        <v>0</v>
      </c>
      <c r="AF379" s="66">
        <f t="shared" si="55"/>
        <v>0</v>
      </c>
      <c r="AG379" s="67" t="str">
        <f t="shared" si="63"/>
        <v>0000000000</v>
      </c>
      <c r="AH379" s="67" t="str">
        <f t="shared" si="64"/>
        <v>.00</v>
      </c>
      <c r="AI379" s="67" t="str">
        <f t="shared" si="60"/>
        <v>00</v>
      </c>
      <c r="AJ379" s="67" t="str">
        <f t="shared" si="65"/>
        <v>000000000000</v>
      </c>
      <c r="AK379" s="119"/>
      <c r="AL379" s="120"/>
      <c r="AP379" s="115" t="str">
        <f t="shared" si="61"/>
        <v/>
      </c>
    </row>
    <row r="380" spans="1:42" x14ac:dyDescent="0.2">
      <c r="A380" s="63" t="str">
        <f t="shared" si="57"/>
        <v/>
      </c>
      <c r="B380" s="133"/>
      <c r="C380" s="133"/>
      <c r="D380" s="135"/>
      <c r="E380" s="135"/>
      <c r="F380" s="137"/>
      <c r="AA380" s="116" t="str">
        <f t="shared" si="56"/>
        <v>00000000000000</v>
      </c>
      <c r="AB380" s="117" t="str">
        <f t="shared" si="58"/>
        <v>000000000000</v>
      </c>
      <c r="AC380" s="118">
        <f t="shared" si="59"/>
        <v>1</v>
      </c>
      <c r="AD380" s="47">
        <v>2</v>
      </c>
      <c r="AE380" s="66">
        <f t="shared" si="62"/>
        <v>0</v>
      </c>
      <c r="AF380" s="66">
        <f t="shared" si="55"/>
        <v>0</v>
      </c>
      <c r="AG380" s="67" t="str">
        <f t="shared" si="63"/>
        <v>0000000000</v>
      </c>
      <c r="AH380" s="67" t="str">
        <f t="shared" si="64"/>
        <v>.00</v>
      </c>
      <c r="AI380" s="67" t="str">
        <f t="shared" si="60"/>
        <v>00</v>
      </c>
      <c r="AJ380" s="67" t="str">
        <f t="shared" si="65"/>
        <v>000000000000</v>
      </c>
      <c r="AK380" s="119"/>
      <c r="AL380" s="120"/>
      <c r="AP380" s="115" t="str">
        <f t="shared" si="61"/>
        <v/>
      </c>
    </row>
    <row r="381" spans="1:42" x14ac:dyDescent="0.2">
      <c r="A381" s="63" t="str">
        <f t="shared" si="57"/>
        <v/>
      </c>
      <c r="B381" s="133"/>
      <c r="C381" s="133"/>
      <c r="D381" s="135"/>
      <c r="E381" s="135"/>
      <c r="F381" s="137"/>
      <c r="AA381" s="116" t="str">
        <f t="shared" si="56"/>
        <v>00000000000000</v>
      </c>
      <c r="AB381" s="117" t="str">
        <f t="shared" si="58"/>
        <v>000000000000</v>
      </c>
      <c r="AC381" s="118">
        <f t="shared" si="59"/>
        <v>1</v>
      </c>
      <c r="AD381" s="47">
        <v>2</v>
      </c>
      <c r="AE381" s="66">
        <f t="shared" si="62"/>
        <v>0</v>
      </c>
      <c r="AF381" s="66">
        <f t="shared" si="55"/>
        <v>0</v>
      </c>
      <c r="AG381" s="67" t="str">
        <f t="shared" si="63"/>
        <v>0000000000</v>
      </c>
      <c r="AH381" s="67" t="str">
        <f t="shared" si="64"/>
        <v>.00</v>
      </c>
      <c r="AI381" s="67" t="str">
        <f t="shared" si="60"/>
        <v>00</v>
      </c>
      <c r="AJ381" s="67" t="str">
        <f t="shared" si="65"/>
        <v>000000000000</v>
      </c>
      <c r="AK381" s="119"/>
      <c r="AL381" s="120"/>
      <c r="AP381" s="115" t="str">
        <f t="shared" si="61"/>
        <v/>
      </c>
    </row>
    <row r="382" spans="1:42" x14ac:dyDescent="0.2">
      <c r="A382" s="63" t="str">
        <f t="shared" si="57"/>
        <v/>
      </c>
      <c r="B382" s="133"/>
      <c r="C382" s="133"/>
      <c r="D382" s="135"/>
      <c r="E382" s="135"/>
      <c r="F382" s="137"/>
      <c r="AA382" s="116" t="str">
        <f t="shared" si="56"/>
        <v>00000000000000</v>
      </c>
      <c r="AB382" s="117" t="str">
        <f t="shared" si="58"/>
        <v>000000000000</v>
      </c>
      <c r="AC382" s="118">
        <f t="shared" si="59"/>
        <v>1</v>
      </c>
      <c r="AD382" s="47">
        <v>2</v>
      </c>
      <c r="AE382" s="66">
        <f t="shared" si="62"/>
        <v>0</v>
      </c>
      <c r="AF382" s="66">
        <f t="shared" si="55"/>
        <v>0</v>
      </c>
      <c r="AG382" s="67" t="str">
        <f t="shared" si="63"/>
        <v>0000000000</v>
      </c>
      <c r="AH382" s="67" t="str">
        <f t="shared" si="64"/>
        <v>.00</v>
      </c>
      <c r="AI382" s="67" t="str">
        <f t="shared" si="60"/>
        <v>00</v>
      </c>
      <c r="AJ382" s="67" t="str">
        <f t="shared" si="65"/>
        <v>000000000000</v>
      </c>
      <c r="AK382" s="119"/>
      <c r="AL382" s="120"/>
      <c r="AP382" s="115" t="str">
        <f t="shared" si="61"/>
        <v/>
      </c>
    </row>
    <row r="383" spans="1:42" x14ac:dyDescent="0.2">
      <c r="A383" s="63" t="str">
        <f t="shared" si="57"/>
        <v/>
      </c>
      <c r="B383" s="133"/>
      <c r="C383" s="133"/>
      <c r="D383" s="135"/>
      <c r="E383" s="135"/>
      <c r="F383" s="137"/>
      <c r="AA383" s="116" t="str">
        <f t="shared" si="56"/>
        <v>00000000000000</v>
      </c>
      <c r="AB383" s="117" t="str">
        <f t="shared" si="58"/>
        <v>000000000000</v>
      </c>
      <c r="AC383" s="118">
        <f t="shared" si="59"/>
        <v>1</v>
      </c>
      <c r="AD383" s="47">
        <v>2</v>
      </c>
      <c r="AE383" s="66">
        <f t="shared" si="62"/>
        <v>0</v>
      </c>
      <c r="AF383" s="66">
        <f t="shared" si="55"/>
        <v>0</v>
      </c>
      <c r="AG383" s="67" t="str">
        <f t="shared" si="63"/>
        <v>0000000000</v>
      </c>
      <c r="AH383" s="67" t="str">
        <f t="shared" si="64"/>
        <v>.00</v>
      </c>
      <c r="AI383" s="67" t="str">
        <f t="shared" si="60"/>
        <v>00</v>
      </c>
      <c r="AJ383" s="67" t="str">
        <f t="shared" si="65"/>
        <v>000000000000</v>
      </c>
      <c r="AK383" s="119"/>
      <c r="AL383" s="120"/>
      <c r="AP383" s="115" t="str">
        <f t="shared" si="61"/>
        <v/>
      </c>
    </row>
    <row r="384" spans="1:42" x14ac:dyDescent="0.2">
      <c r="A384" s="63" t="str">
        <f t="shared" si="57"/>
        <v/>
      </c>
      <c r="B384" s="133"/>
      <c r="C384" s="133"/>
      <c r="D384" s="135"/>
      <c r="E384" s="135"/>
      <c r="F384" s="137"/>
      <c r="AA384" s="116" t="str">
        <f t="shared" si="56"/>
        <v>00000000000000</v>
      </c>
      <c r="AB384" s="117" t="str">
        <f t="shared" si="58"/>
        <v>000000000000</v>
      </c>
      <c r="AC384" s="118">
        <f t="shared" si="59"/>
        <v>1</v>
      </c>
      <c r="AD384" s="47">
        <v>2</v>
      </c>
      <c r="AE384" s="66">
        <f t="shared" si="62"/>
        <v>0</v>
      </c>
      <c r="AF384" s="66">
        <f t="shared" si="55"/>
        <v>0</v>
      </c>
      <c r="AG384" s="67" t="str">
        <f t="shared" si="63"/>
        <v>0000000000</v>
      </c>
      <c r="AH384" s="67" t="str">
        <f t="shared" si="64"/>
        <v>.00</v>
      </c>
      <c r="AI384" s="67" t="str">
        <f t="shared" si="60"/>
        <v>00</v>
      </c>
      <c r="AJ384" s="67" t="str">
        <f t="shared" si="65"/>
        <v>000000000000</v>
      </c>
      <c r="AK384" s="119"/>
      <c r="AL384" s="120"/>
      <c r="AP384" s="115" t="str">
        <f t="shared" si="61"/>
        <v/>
      </c>
    </row>
    <row r="385" spans="1:42" x14ac:dyDescent="0.2">
      <c r="A385" s="63" t="str">
        <f t="shared" si="57"/>
        <v/>
      </c>
      <c r="B385" s="133"/>
      <c r="C385" s="133"/>
      <c r="D385" s="135"/>
      <c r="E385" s="135"/>
      <c r="F385" s="137"/>
      <c r="AA385" s="116" t="str">
        <f t="shared" si="56"/>
        <v>00000000000000</v>
      </c>
      <c r="AB385" s="117" t="str">
        <f t="shared" si="58"/>
        <v>000000000000</v>
      </c>
      <c r="AC385" s="118">
        <f t="shared" si="59"/>
        <v>1</v>
      </c>
      <c r="AD385" s="47">
        <v>2</v>
      </c>
      <c r="AE385" s="66">
        <f t="shared" si="62"/>
        <v>0</v>
      </c>
      <c r="AF385" s="66">
        <f t="shared" si="55"/>
        <v>0</v>
      </c>
      <c r="AG385" s="67" t="str">
        <f t="shared" si="63"/>
        <v>0000000000</v>
      </c>
      <c r="AH385" s="67" t="str">
        <f t="shared" si="64"/>
        <v>.00</v>
      </c>
      <c r="AI385" s="67" t="str">
        <f t="shared" si="60"/>
        <v>00</v>
      </c>
      <c r="AJ385" s="67" t="str">
        <f t="shared" si="65"/>
        <v>000000000000</v>
      </c>
      <c r="AK385" s="119"/>
      <c r="AL385" s="120"/>
      <c r="AP385" s="115" t="str">
        <f t="shared" si="61"/>
        <v/>
      </c>
    </row>
    <row r="386" spans="1:42" x14ac:dyDescent="0.2">
      <c r="A386" s="63" t="str">
        <f t="shared" si="57"/>
        <v/>
      </c>
      <c r="B386" s="133"/>
      <c r="C386" s="133"/>
      <c r="D386" s="135"/>
      <c r="E386" s="135"/>
      <c r="F386" s="137"/>
      <c r="AA386" s="116" t="str">
        <f t="shared" si="56"/>
        <v>00000000000000</v>
      </c>
      <c r="AB386" s="117" t="str">
        <f t="shared" si="58"/>
        <v>000000000000</v>
      </c>
      <c r="AC386" s="118">
        <f t="shared" si="59"/>
        <v>1</v>
      </c>
      <c r="AD386" s="47">
        <v>2</v>
      </c>
      <c r="AE386" s="66">
        <f t="shared" si="62"/>
        <v>0</v>
      </c>
      <c r="AF386" s="66">
        <f t="shared" si="55"/>
        <v>0</v>
      </c>
      <c r="AG386" s="67" t="str">
        <f t="shared" si="63"/>
        <v>0000000000</v>
      </c>
      <c r="AH386" s="67" t="str">
        <f t="shared" si="64"/>
        <v>.00</v>
      </c>
      <c r="AI386" s="67" t="str">
        <f t="shared" si="60"/>
        <v>00</v>
      </c>
      <c r="AJ386" s="67" t="str">
        <f t="shared" si="65"/>
        <v>000000000000</v>
      </c>
      <c r="AK386" s="119"/>
      <c r="AL386" s="120"/>
      <c r="AP386" s="115" t="str">
        <f t="shared" si="61"/>
        <v/>
      </c>
    </row>
    <row r="387" spans="1:42" x14ac:dyDescent="0.2">
      <c r="A387" s="63" t="str">
        <f t="shared" si="57"/>
        <v/>
      </c>
      <c r="B387" s="133"/>
      <c r="C387" s="133"/>
      <c r="D387" s="135"/>
      <c r="E387" s="135"/>
      <c r="F387" s="137"/>
      <c r="AA387" s="116" t="str">
        <f t="shared" si="56"/>
        <v>00000000000000</v>
      </c>
      <c r="AB387" s="117" t="str">
        <f t="shared" si="58"/>
        <v>000000000000</v>
      </c>
      <c r="AC387" s="118">
        <f t="shared" si="59"/>
        <v>1</v>
      </c>
      <c r="AD387" s="47">
        <v>2</v>
      </c>
      <c r="AE387" s="66">
        <f t="shared" si="62"/>
        <v>0</v>
      </c>
      <c r="AF387" s="66">
        <f t="shared" ref="AF387:AF450" si="66">F387-AE387</f>
        <v>0</v>
      </c>
      <c r="AG387" s="67" t="str">
        <f t="shared" si="63"/>
        <v>0000000000</v>
      </c>
      <c r="AH387" s="67" t="str">
        <f t="shared" si="64"/>
        <v>.00</v>
      </c>
      <c r="AI387" s="67" t="str">
        <f t="shared" si="60"/>
        <v>00</v>
      </c>
      <c r="AJ387" s="67" t="str">
        <f t="shared" si="65"/>
        <v>000000000000</v>
      </c>
      <c r="AK387" s="119"/>
      <c r="AL387" s="120"/>
      <c r="AP387" s="115" t="str">
        <f t="shared" si="61"/>
        <v/>
      </c>
    </row>
    <row r="388" spans="1:42" x14ac:dyDescent="0.2">
      <c r="A388" s="63" t="str">
        <f t="shared" si="57"/>
        <v/>
      </c>
      <c r="B388" s="133"/>
      <c r="C388" s="133"/>
      <c r="D388" s="135"/>
      <c r="E388" s="135"/>
      <c r="F388" s="137"/>
      <c r="AA388" s="116" t="str">
        <f t="shared" ref="AA388:AA451" si="67">CONCATENATE(REPT("0",14-LEN(B388)),B388)</f>
        <v>00000000000000</v>
      </c>
      <c r="AB388" s="117" t="str">
        <f t="shared" si="58"/>
        <v>000000000000</v>
      </c>
      <c r="AC388" s="118">
        <f t="shared" si="59"/>
        <v>1</v>
      </c>
      <c r="AD388" s="47">
        <v>2</v>
      </c>
      <c r="AE388" s="66">
        <f t="shared" si="62"/>
        <v>0</v>
      </c>
      <c r="AF388" s="66">
        <f t="shared" si="66"/>
        <v>0</v>
      </c>
      <c r="AG388" s="67" t="str">
        <f t="shared" si="63"/>
        <v>0000000000</v>
      </c>
      <c r="AH388" s="67" t="str">
        <f t="shared" si="64"/>
        <v>.00</v>
      </c>
      <c r="AI388" s="67" t="str">
        <f t="shared" si="60"/>
        <v>00</v>
      </c>
      <c r="AJ388" s="67" t="str">
        <f t="shared" si="65"/>
        <v>000000000000</v>
      </c>
      <c r="AK388" s="119"/>
      <c r="AL388" s="120"/>
      <c r="AP388" s="115" t="str">
        <f t="shared" si="61"/>
        <v/>
      </c>
    </row>
    <row r="389" spans="1:42" x14ac:dyDescent="0.2">
      <c r="A389" s="63" t="str">
        <f t="shared" ref="A389:A452" si="68">IF(B389&lt;&gt;"",A388+1,"")</f>
        <v/>
      </c>
      <c r="B389" s="133"/>
      <c r="C389" s="133"/>
      <c r="D389" s="135"/>
      <c r="E389" s="135"/>
      <c r="F389" s="137"/>
      <c r="AA389" s="116" t="str">
        <f t="shared" si="67"/>
        <v>00000000000000</v>
      </c>
      <c r="AB389" s="117" t="str">
        <f t="shared" ref="AB389:AB452" si="69">CONCATENATE(REPT("0",12-LEN(C389)),C389)</f>
        <v>000000000000</v>
      </c>
      <c r="AC389" s="118">
        <f t="shared" ref="AC389:AC452" si="70">AC388</f>
        <v>1</v>
      </c>
      <c r="AD389" s="47">
        <v>2</v>
      </c>
      <c r="AE389" s="66">
        <f t="shared" si="62"/>
        <v>0</v>
      </c>
      <c r="AF389" s="66">
        <f t="shared" si="66"/>
        <v>0</v>
      </c>
      <c r="AG389" s="67" t="str">
        <f t="shared" si="63"/>
        <v>0000000000</v>
      </c>
      <c r="AH389" s="67" t="str">
        <f t="shared" si="64"/>
        <v>.00</v>
      </c>
      <c r="AI389" s="67" t="str">
        <f t="shared" ref="AI389:AI452" si="71">MID(AH389,2,2)</f>
        <v>00</v>
      </c>
      <c r="AJ389" s="67" t="str">
        <f t="shared" si="65"/>
        <v>000000000000</v>
      </c>
      <c r="AK389" s="119"/>
      <c r="AL389" s="120"/>
      <c r="AP389" s="115" t="str">
        <f t="shared" si="61"/>
        <v/>
      </c>
    </row>
    <row r="390" spans="1:42" x14ac:dyDescent="0.2">
      <c r="A390" s="63" t="str">
        <f t="shared" si="68"/>
        <v/>
      </c>
      <c r="B390" s="133"/>
      <c r="C390" s="133"/>
      <c r="D390" s="135"/>
      <c r="E390" s="135"/>
      <c r="F390" s="137"/>
      <c r="AA390" s="116" t="str">
        <f t="shared" si="67"/>
        <v>00000000000000</v>
      </c>
      <c r="AB390" s="117" t="str">
        <f t="shared" si="69"/>
        <v>000000000000</v>
      </c>
      <c r="AC390" s="118">
        <f t="shared" si="70"/>
        <v>1</v>
      </c>
      <c r="AD390" s="47">
        <v>2</v>
      </c>
      <c r="AE390" s="66">
        <f t="shared" si="62"/>
        <v>0</v>
      </c>
      <c r="AF390" s="66">
        <f t="shared" si="66"/>
        <v>0</v>
      </c>
      <c r="AG390" s="67" t="str">
        <f t="shared" si="63"/>
        <v>0000000000</v>
      </c>
      <c r="AH390" s="67" t="str">
        <f t="shared" si="64"/>
        <v>.00</v>
      </c>
      <c r="AI390" s="67" t="str">
        <f t="shared" si="71"/>
        <v>00</v>
      </c>
      <c r="AJ390" s="67" t="str">
        <f t="shared" si="65"/>
        <v>000000000000</v>
      </c>
      <c r="AK390" s="119"/>
      <c r="AL390" s="120"/>
      <c r="AP390" s="115" t="str">
        <f t="shared" ref="AP390:AP453" si="72">IF(B391&lt;&gt;"",CONCATENATE("00000",$AD$1,AA391,$AC$3,"2",AB391,AJ391,$AL$3,"0                                                  "),"")</f>
        <v/>
      </c>
    </row>
    <row r="391" spans="1:42" x14ac:dyDescent="0.2">
      <c r="A391" s="63" t="str">
        <f t="shared" si="68"/>
        <v/>
      </c>
      <c r="B391" s="133"/>
      <c r="C391" s="133"/>
      <c r="D391" s="135"/>
      <c r="E391" s="135"/>
      <c r="F391" s="137"/>
      <c r="AA391" s="116" t="str">
        <f t="shared" si="67"/>
        <v>00000000000000</v>
      </c>
      <c r="AB391" s="117" t="str">
        <f t="shared" si="69"/>
        <v>000000000000</v>
      </c>
      <c r="AC391" s="118">
        <f t="shared" si="70"/>
        <v>1</v>
      </c>
      <c r="AD391" s="47">
        <v>2</v>
      </c>
      <c r="AE391" s="66">
        <f t="shared" si="62"/>
        <v>0</v>
      </c>
      <c r="AF391" s="66">
        <f t="shared" si="66"/>
        <v>0</v>
      </c>
      <c r="AG391" s="67" t="str">
        <f t="shared" si="63"/>
        <v>0000000000</v>
      </c>
      <c r="AH391" s="67" t="str">
        <f t="shared" si="64"/>
        <v>.00</v>
      </c>
      <c r="AI391" s="67" t="str">
        <f t="shared" si="71"/>
        <v>00</v>
      </c>
      <c r="AJ391" s="67" t="str">
        <f t="shared" si="65"/>
        <v>000000000000</v>
      </c>
      <c r="AK391" s="119"/>
      <c r="AL391" s="120"/>
      <c r="AP391" s="115" t="str">
        <f t="shared" si="72"/>
        <v/>
      </c>
    </row>
    <row r="392" spans="1:42" x14ac:dyDescent="0.2">
      <c r="A392" s="63" t="str">
        <f t="shared" si="68"/>
        <v/>
      </c>
      <c r="B392" s="133"/>
      <c r="C392" s="133"/>
      <c r="D392" s="135"/>
      <c r="E392" s="135"/>
      <c r="F392" s="137"/>
      <c r="AA392" s="116" t="str">
        <f t="shared" si="67"/>
        <v>00000000000000</v>
      </c>
      <c r="AB392" s="117" t="str">
        <f t="shared" si="69"/>
        <v>000000000000</v>
      </c>
      <c r="AC392" s="118">
        <f t="shared" si="70"/>
        <v>1</v>
      </c>
      <c r="AD392" s="47">
        <v>2</v>
      </c>
      <c r="AE392" s="66">
        <f t="shared" ref="AE392:AE455" si="73">INT(F392)</f>
        <v>0</v>
      </c>
      <c r="AF392" s="66">
        <f t="shared" si="66"/>
        <v>0</v>
      </c>
      <c r="AG392" s="67" t="str">
        <f t="shared" ref="AG392:AG455" si="74">TEXT(AE392,"0000000000")</f>
        <v>0000000000</v>
      </c>
      <c r="AH392" s="67" t="str">
        <f t="shared" ref="AH392:AH455" si="75">TEXT(AF392,".00")</f>
        <v>.00</v>
      </c>
      <c r="AI392" s="67" t="str">
        <f t="shared" si="71"/>
        <v>00</v>
      </c>
      <c r="AJ392" s="67" t="str">
        <f t="shared" ref="AJ392:AJ455" si="76">CONCATENATE(AG392,AI392)</f>
        <v>000000000000</v>
      </c>
      <c r="AK392" s="119"/>
      <c r="AL392" s="120"/>
      <c r="AP392" s="115" t="str">
        <f t="shared" si="72"/>
        <v/>
      </c>
    </row>
    <row r="393" spans="1:42" x14ac:dyDescent="0.2">
      <c r="A393" s="63" t="str">
        <f t="shared" si="68"/>
        <v/>
      </c>
      <c r="B393" s="133"/>
      <c r="C393" s="133"/>
      <c r="D393" s="135"/>
      <c r="E393" s="135"/>
      <c r="F393" s="137"/>
      <c r="AA393" s="116" t="str">
        <f t="shared" si="67"/>
        <v>00000000000000</v>
      </c>
      <c r="AB393" s="117" t="str">
        <f t="shared" si="69"/>
        <v>000000000000</v>
      </c>
      <c r="AC393" s="118">
        <f t="shared" si="70"/>
        <v>1</v>
      </c>
      <c r="AD393" s="47">
        <v>2</v>
      </c>
      <c r="AE393" s="66">
        <f t="shared" si="73"/>
        <v>0</v>
      </c>
      <c r="AF393" s="66">
        <f t="shared" si="66"/>
        <v>0</v>
      </c>
      <c r="AG393" s="67" t="str">
        <f t="shared" si="74"/>
        <v>0000000000</v>
      </c>
      <c r="AH393" s="67" t="str">
        <f t="shared" si="75"/>
        <v>.00</v>
      </c>
      <c r="AI393" s="67" t="str">
        <f t="shared" si="71"/>
        <v>00</v>
      </c>
      <c r="AJ393" s="67" t="str">
        <f t="shared" si="76"/>
        <v>000000000000</v>
      </c>
      <c r="AK393" s="119"/>
      <c r="AL393" s="120"/>
      <c r="AP393" s="115" t="str">
        <f t="shared" si="72"/>
        <v/>
      </c>
    </row>
    <row r="394" spans="1:42" x14ac:dyDescent="0.2">
      <c r="A394" s="63" t="str">
        <f t="shared" si="68"/>
        <v/>
      </c>
      <c r="B394" s="133"/>
      <c r="C394" s="133"/>
      <c r="D394" s="135"/>
      <c r="E394" s="135"/>
      <c r="F394" s="137"/>
      <c r="AA394" s="116" t="str">
        <f t="shared" si="67"/>
        <v>00000000000000</v>
      </c>
      <c r="AB394" s="117" t="str">
        <f t="shared" si="69"/>
        <v>000000000000</v>
      </c>
      <c r="AC394" s="118">
        <f t="shared" si="70"/>
        <v>1</v>
      </c>
      <c r="AD394" s="47">
        <v>2</v>
      </c>
      <c r="AE394" s="66">
        <f t="shared" si="73"/>
        <v>0</v>
      </c>
      <c r="AF394" s="66">
        <f t="shared" si="66"/>
        <v>0</v>
      </c>
      <c r="AG394" s="67" t="str">
        <f t="shared" si="74"/>
        <v>0000000000</v>
      </c>
      <c r="AH394" s="67" t="str">
        <f t="shared" si="75"/>
        <v>.00</v>
      </c>
      <c r="AI394" s="67" t="str">
        <f t="shared" si="71"/>
        <v>00</v>
      </c>
      <c r="AJ394" s="67" t="str">
        <f t="shared" si="76"/>
        <v>000000000000</v>
      </c>
      <c r="AK394" s="119"/>
      <c r="AL394" s="120"/>
      <c r="AP394" s="115" t="str">
        <f t="shared" si="72"/>
        <v/>
      </c>
    </row>
    <row r="395" spans="1:42" x14ac:dyDescent="0.2">
      <c r="A395" s="63" t="str">
        <f t="shared" si="68"/>
        <v/>
      </c>
      <c r="B395" s="133"/>
      <c r="C395" s="133"/>
      <c r="D395" s="135"/>
      <c r="E395" s="135"/>
      <c r="F395" s="137"/>
      <c r="AA395" s="116" t="str">
        <f t="shared" si="67"/>
        <v>00000000000000</v>
      </c>
      <c r="AB395" s="117" t="str">
        <f t="shared" si="69"/>
        <v>000000000000</v>
      </c>
      <c r="AC395" s="118">
        <f t="shared" si="70"/>
        <v>1</v>
      </c>
      <c r="AD395" s="47">
        <v>2</v>
      </c>
      <c r="AE395" s="66">
        <f t="shared" si="73"/>
        <v>0</v>
      </c>
      <c r="AF395" s="66">
        <f t="shared" si="66"/>
        <v>0</v>
      </c>
      <c r="AG395" s="67" t="str">
        <f t="shared" si="74"/>
        <v>0000000000</v>
      </c>
      <c r="AH395" s="67" t="str">
        <f t="shared" si="75"/>
        <v>.00</v>
      </c>
      <c r="AI395" s="67" t="str">
        <f t="shared" si="71"/>
        <v>00</v>
      </c>
      <c r="AJ395" s="67" t="str">
        <f t="shared" si="76"/>
        <v>000000000000</v>
      </c>
      <c r="AK395" s="119"/>
      <c r="AL395" s="120"/>
      <c r="AP395" s="115" t="str">
        <f t="shared" si="72"/>
        <v/>
      </c>
    </row>
    <row r="396" spans="1:42" x14ac:dyDescent="0.2">
      <c r="A396" s="63" t="str">
        <f t="shared" si="68"/>
        <v/>
      </c>
      <c r="B396" s="133"/>
      <c r="C396" s="133"/>
      <c r="D396" s="135"/>
      <c r="E396" s="135"/>
      <c r="F396" s="137"/>
      <c r="AA396" s="116" t="str">
        <f t="shared" si="67"/>
        <v>00000000000000</v>
      </c>
      <c r="AB396" s="117" t="str">
        <f t="shared" si="69"/>
        <v>000000000000</v>
      </c>
      <c r="AC396" s="118">
        <f t="shared" si="70"/>
        <v>1</v>
      </c>
      <c r="AD396" s="47">
        <v>2</v>
      </c>
      <c r="AE396" s="66">
        <f t="shared" si="73"/>
        <v>0</v>
      </c>
      <c r="AF396" s="66">
        <f t="shared" si="66"/>
        <v>0</v>
      </c>
      <c r="AG396" s="67" t="str">
        <f t="shared" si="74"/>
        <v>0000000000</v>
      </c>
      <c r="AH396" s="67" t="str">
        <f t="shared" si="75"/>
        <v>.00</v>
      </c>
      <c r="AI396" s="67" t="str">
        <f t="shared" si="71"/>
        <v>00</v>
      </c>
      <c r="AJ396" s="67" t="str">
        <f t="shared" si="76"/>
        <v>000000000000</v>
      </c>
      <c r="AK396" s="119"/>
      <c r="AL396" s="120"/>
      <c r="AP396" s="115" t="str">
        <f t="shared" si="72"/>
        <v/>
      </c>
    </row>
    <row r="397" spans="1:42" x14ac:dyDescent="0.2">
      <c r="A397" s="63" t="str">
        <f t="shared" si="68"/>
        <v/>
      </c>
      <c r="B397" s="133"/>
      <c r="C397" s="133"/>
      <c r="D397" s="135"/>
      <c r="E397" s="135"/>
      <c r="F397" s="137"/>
      <c r="AA397" s="116" t="str">
        <f t="shared" si="67"/>
        <v>00000000000000</v>
      </c>
      <c r="AB397" s="117" t="str">
        <f t="shared" si="69"/>
        <v>000000000000</v>
      </c>
      <c r="AC397" s="118">
        <f t="shared" si="70"/>
        <v>1</v>
      </c>
      <c r="AD397" s="47">
        <v>2</v>
      </c>
      <c r="AE397" s="66">
        <f t="shared" si="73"/>
        <v>0</v>
      </c>
      <c r="AF397" s="66">
        <f t="shared" si="66"/>
        <v>0</v>
      </c>
      <c r="AG397" s="67" t="str">
        <f t="shared" si="74"/>
        <v>0000000000</v>
      </c>
      <c r="AH397" s="67" t="str">
        <f t="shared" si="75"/>
        <v>.00</v>
      </c>
      <c r="AI397" s="67" t="str">
        <f t="shared" si="71"/>
        <v>00</v>
      </c>
      <c r="AJ397" s="67" t="str">
        <f t="shared" si="76"/>
        <v>000000000000</v>
      </c>
      <c r="AK397" s="119"/>
      <c r="AL397" s="120"/>
      <c r="AP397" s="115" t="str">
        <f t="shared" si="72"/>
        <v/>
      </c>
    </row>
    <row r="398" spans="1:42" x14ac:dyDescent="0.2">
      <c r="A398" s="63" t="str">
        <f t="shared" si="68"/>
        <v/>
      </c>
      <c r="B398" s="133"/>
      <c r="C398" s="133"/>
      <c r="D398" s="135"/>
      <c r="E398" s="135"/>
      <c r="F398" s="137"/>
      <c r="AA398" s="116" t="str">
        <f t="shared" si="67"/>
        <v>00000000000000</v>
      </c>
      <c r="AB398" s="117" t="str">
        <f t="shared" si="69"/>
        <v>000000000000</v>
      </c>
      <c r="AC398" s="118">
        <f t="shared" si="70"/>
        <v>1</v>
      </c>
      <c r="AD398" s="47">
        <v>2</v>
      </c>
      <c r="AE398" s="66">
        <f t="shared" si="73"/>
        <v>0</v>
      </c>
      <c r="AF398" s="66">
        <f t="shared" si="66"/>
        <v>0</v>
      </c>
      <c r="AG398" s="67" t="str">
        <f t="shared" si="74"/>
        <v>0000000000</v>
      </c>
      <c r="AH398" s="67" t="str">
        <f t="shared" si="75"/>
        <v>.00</v>
      </c>
      <c r="AI398" s="67" t="str">
        <f t="shared" si="71"/>
        <v>00</v>
      </c>
      <c r="AJ398" s="67" t="str">
        <f t="shared" si="76"/>
        <v>000000000000</v>
      </c>
      <c r="AK398" s="119"/>
      <c r="AL398" s="120"/>
      <c r="AP398" s="115" t="str">
        <f t="shared" si="72"/>
        <v/>
      </c>
    </row>
    <row r="399" spans="1:42" x14ac:dyDescent="0.2">
      <c r="A399" s="63" t="str">
        <f t="shared" si="68"/>
        <v/>
      </c>
      <c r="B399" s="133"/>
      <c r="C399" s="133"/>
      <c r="D399" s="135"/>
      <c r="E399" s="135"/>
      <c r="F399" s="137"/>
      <c r="AA399" s="116" t="str">
        <f t="shared" si="67"/>
        <v>00000000000000</v>
      </c>
      <c r="AB399" s="117" t="str">
        <f t="shared" si="69"/>
        <v>000000000000</v>
      </c>
      <c r="AC399" s="118">
        <f t="shared" si="70"/>
        <v>1</v>
      </c>
      <c r="AD399" s="47">
        <v>2</v>
      </c>
      <c r="AE399" s="66">
        <f t="shared" si="73"/>
        <v>0</v>
      </c>
      <c r="AF399" s="66">
        <f t="shared" si="66"/>
        <v>0</v>
      </c>
      <c r="AG399" s="67" t="str">
        <f t="shared" si="74"/>
        <v>0000000000</v>
      </c>
      <c r="AH399" s="67" t="str">
        <f t="shared" si="75"/>
        <v>.00</v>
      </c>
      <c r="AI399" s="67" t="str">
        <f t="shared" si="71"/>
        <v>00</v>
      </c>
      <c r="AJ399" s="67" t="str">
        <f t="shared" si="76"/>
        <v>000000000000</v>
      </c>
      <c r="AK399" s="119"/>
      <c r="AL399" s="120"/>
      <c r="AP399" s="115" t="str">
        <f t="shared" si="72"/>
        <v/>
      </c>
    </row>
    <row r="400" spans="1:42" x14ac:dyDescent="0.2">
      <c r="A400" s="63" t="str">
        <f t="shared" si="68"/>
        <v/>
      </c>
      <c r="B400" s="133"/>
      <c r="C400" s="133"/>
      <c r="D400" s="135"/>
      <c r="E400" s="135"/>
      <c r="F400" s="137"/>
      <c r="AA400" s="116" t="str">
        <f t="shared" si="67"/>
        <v>00000000000000</v>
      </c>
      <c r="AB400" s="117" t="str">
        <f t="shared" si="69"/>
        <v>000000000000</v>
      </c>
      <c r="AC400" s="118">
        <f t="shared" si="70"/>
        <v>1</v>
      </c>
      <c r="AD400" s="47">
        <v>2</v>
      </c>
      <c r="AE400" s="66">
        <f t="shared" si="73"/>
        <v>0</v>
      </c>
      <c r="AF400" s="66">
        <f t="shared" si="66"/>
        <v>0</v>
      </c>
      <c r="AG400" s="67" t="str">
        <f t="shared" si="74"/>
        <v>0000000000</v>
      </c>
      <c r="AH400" s="67" t="str">
        <f t="shared" si="75"/>
        <v>.00</v>
      </c>
      <c r="AI400" s="67" t="str">
        <f t="shared" si="71"/>
        <v>00</v>
      </c>
      <c r="AJ400" s="67" t="str">
        <f t="shared" si="76"/>
        <v>000000000000</v>
      </c>
      <c r="AK400" s="119"/>
      <c r="AL400" s="120"/>
      <c r="AP400" s="115" t="str">
        <f t="shared" si="72"/>
        <v/>
      </c>
    </row>
    <row r="401" spans="1:42" x14ac:dyDescent="0.2">
      <c r="A401" s="63" t="str">
        <f t="shared" si="68"/>
        <v/>
      </c>
      <c r="B401" s="133"/>
      <c r="C401" s="133"/>
      <c r="D401" s="135"/>
      <c r="E401" s="135"/>
      <c r="F401" s="137"/>
      <c r="AA401" s="116" t="str">
        <f t="shared" si="67"/>
        <v>00000000000000</v>
      </c>
      <c r="AB401" s="117" t="str">
        <f t="shared" si="69"/>
        <v>000000000000</v>
      </c>
      <c r="AC401" s="118">
        <f t="shared" si="70"/>
        <v>1</v>
      </c>
      <c r="AD401" s="47">
        <v>2</v>
      </c>
      <c r="AE401" s="66">
        <f t="shared" si="73"/>
        <v>0</v>
      </c>
      <c r="AF401" s="66">
        <f t="shared" si="66"/>
        <v>0</v>
      </c>
      <c r="AG401" s="67" t="str">
        <f t="shared" si="74"/>
        <v>0000000000</v>
      </c>
      <c r="AH401" s="67" t="str">
        <f t="shared" si="75"/>
        <v>.00</v>
      </c>
      <c r="AI401" s="67" t="str">
        <f t="shared" si="71"/>
        <v>00</v>
      </c>
      <c r="AJ401" s="67" t="str">
        <f t="shared" si="76"/>
        <v>000000000000</v>
      </c>
      <c r="AK401" s="119"/>
      <c r="AL401" s="120"/>
      <c r="AP401" s="115" t="str">
        <f t="shared" si="72"/>
        <v/>
      </c>
    </row>
    <row r="402" spans="1:42" x14ac:dyDescent="0.2">
      <c r="A402" s="63" t="str">
        <f t="shared" si="68"/>
        <v/>
      </c>
      <c r="B402" s="133"/>
      <c r="C402" s="133"/>
      <c r="D402" s="135"/>
      <c r="E402" s="135"/>
      <c r="F402" s="137"/>
      <c r="AA402" s="116" t="str">
        <f t="shared" si="67"/>
        <v>00000000000000</v>
      </c>
      <c r="AB402" s="117" t="str">
        <f t="shared" si="69"/>
        <v>000000000000</v>
      </c>
      <c r="AC402" s="118">
        <f t="shared" si="70"/>
        <v>1</v>
      </c>
      <c r="AD402" s="47">
        <v>2</v>
      </c>
      <c r="AE402" s="66">
        <f t="shared" si="73"/>
        <v>0</v>
      </c>
      <c r="AF402" s="66">
        <f t="shared" si="66"/>
        <v>0</v>
      </c>
      <c r="AG402" s="67" t="str">
        <f t="shared" si="74"/>
        <v>0000000000</v>
      </c>
      <c r="AH402" s="67" t="str">
        <f t="shared" si="75"/>
        <v>.00</v>
      </c>
      <c r="AI402" s="67" t="str">
        <f t="shared" si="71"/>
        <v>00</v>
      </c>
      <c r="AJ402" s="67" t="str">
        <f t="shared" si="76"/>
        <v>000000000000</v>
      </c>
      <c r="AK402" s="119"/>
      <c r="AL402" s="120"/>
      <c r="AP402" s="115" t="str">
        <f t="shared" si="72"/>
        <v/>
      </c>
    </row>
    <row r="403" spans="1:42" x14ac:dyDescent="0.2">
      <c r="A403" s="63" t="str">
        <f t="shared" si="68"/>
        <v/>
      </c>
      <c r="B403" s="133"/>
      <c r="C403" s="133"/>
      <c r="D403" s="135"/>
      <c r="E403" s="135"/>
      <c r="F403" s="137"/>
      <c r="AA403" s="116" t="str">
        <f t="shared" si="67"/>
        <v>00000000000000</v>
      </c>
      <c r="AB403" s="117" t="str">
        <f t="shared" si="69"/>
        <v>000000000000</v>
      </c>
      <c r="AC403" s="118">
        <f t="shared" si="70"/>
        <v>1</v>
      </c>
      <c r="AD403" s="47">
        <v>2</v>
      </c>
      <c r="AE403" s="66">
        <f t="shared" si="73"/>
        <v>0</v>
      </c>
      <c r="AF403" s="66">
        <f t="shared" si="66"/>
        <v>0</v>
      </c>
      <c r="AG403" s="67" t="str">
        <f t="shared" si="74"/>
        <v>0000000000</v>
      </c>
      <c r="AH403" s="67" t="str">
        <f t="shared" si="75"/>
        <v>.00</v>
      </c>
      <c r="AI403" s="67" t="str">
        <f t="shared" si="71"/>
        <v>00</v>
      </c>
      <c r="AJ403" s="67" t="str">
        <f t="shared" si="76"/>
        <v>000000000000</v>
      </c>
      <c r="AK403" s="119"/>
      <c r="AL403" s="120"/>
      <c r="AP403" s="115" t="str">
        <f t="shared" si="72"/>
        <v/>
      </c>
    </row>
    <row r="404" spans="1:42" x14ac:dyDescent="0.2">
      <c r="A404" s="63" t="str">
        <f t="shared" si="68"/>
        <v/>
      </c>
      <c r="B404" s="133"/>
      <c r="C404" s="133"/>
      <c r="D404" s="135"/>
      <c r="E404" s="135"/>
      <c r="F404" s="137"/>
      <c r="AA404" s="116" t="str">
        <f t="shared" si="67"/>
        <v>00000000000000</v>
      </c>
      <c r="AB404" s="117" t="str">
        <f t="shared" si="69"/>
        <v>000000000000</v>
      </c>
      <c r="AC404" s="118">
        <f t="shared" si="70"/>
        <v>1</v>
      </c>
      <c r="AD404" s="47">
        <v>2</v>
      </c>
      <c r="AE404" s="66">
        <f t="shared" si="73"/>
        <v>0</v>
      </c>
      <c r="AF404" s="66">
        <f t="shared" si="66"/>
        <v>0</v>
      </c>
      <c r="AG404" s="67" t="str">
        <f t="shared" si="74"/>
        <v>0000000000</v>
      </c>
      <c r="AH404" s="67" t="str">
        <f t="shared" si="75"/>
        <v>.00</v>
      </c>
      <c r="AI404" s="67" t="str">
        <f t="shared" si="71"/>
        <v>00</v>
      </c>
      <c r="AJ404" s="67" t="str">
        <f t="shared" si="76"/>
        <v>000000000000</v>
      </c>
      <c r="AK404" s="119"/>
      <c r="AL404" s="120"/>
      <c r="AP404" s="115" t="str">
        <f t="shared" si="72"/>
        <v/>
      </c>
    </row>
    <row r="405" spans="1:42" x14ac:dyDescent="0.2">
      <c r="A405" s="63" t="str">
        <f t="shared" si="68"/>
        <v/>
      </c>
      <c r="B405" s="133"/>
      <c r="C405" s="133"/>
      <c r="D405" s="135"/>
      <c r="E405" s="135"/>
      <c r="F405" s="137"/>
      <c r="AA405" s="116" t="str">
        <f t="shared" si="67"/>
        <v>00000000000000</v>
      </c>
      <c r="AB405" s="117" t="str">
        <f t="shared" si="69"/>
        <v>000000000000</v>
      </c>
      <c r="AC405" s="118">
        <f t="shared" si="70"/>
        <v>1</v>
      </c>
      <c r="AD405" s="47">
        <v>2</v>
      </c>
      <c r="AE405" s="66">
        <f t="shared" si="73"/>
        <v>0</v>
      </c>
      <c r="AF405" s="66">
        <f t="shared" si="66"/>
        <v>0</v>
      </c>
      <c r="AG405" s="67" t="str">
        <f t="shared" si="74"/>
        <v>0000000000</v>
      </c>
      <c r="AH405" s="67" t="str">
        <f t="shared" si="75"/>
        <v>.00</v>
      </c>
      <c r="AI405" s="67" t="str">
        <f t="shared" si="71"/>
        <v>00</v>
      </c>
      <c r="AJ405" s="67" t="str">
        <f t="shared" si="76"/>
        <v>000000000000</v>
      </c>
      <c r="AK405" s="119"/>
      <c r="AL405" s="120"/>
      <c r="AP405" s="115" t="str">
        <f t="shared" si="72"/>
        <v/>
      </c>
    </row>
    <row r="406" spans="1:42" x14ac:dyDescent="0.2">
      <c r="A406" s="63" t="str">
        <f t="shared" si="68"/>
        <v/>
      </c>
      <c r="B406" s="133"/>
      <c r="C406" s="133"/>
      <c r="D406" s="135"/>
      <c r="E406" s="135"/>
      <c r="F406" s="137"/>
      <c r="AA406" s="116" t="str">
        <f t="shared" si="67"/>
        <v>00000000000000</v>
      </c>
      <c r="AB406" s="117" t="str">
        <f t="shared" si="69"/>
        <v>000000000000</v>
      </c>
      <c r="AC406" s="118">
        <f t="shared" si="70"/>
        <v>1</v>
      </c>
      <c r="AD406" s="47">
        <v>2</v>
      </c>
      <c r="AE406" s="66">
        <f t="shared" si="73"/>
        <v>0</v>
      </c>
      <c r="AF406" s="66">
        <f t="shared" si="66"/>
        <v>0</v>
      </c>
      <c r="AG406" s="67" t="str">
        <f t="shared" si="74"/>
        <v>0000000000</v>
      </c>
      <c r="AH406" s="67" t="str">
        <f t="shared" si="75"/>
        <v>.00</v>
      </c>
      <c r="AI406" s="67" t="str">
        <f t="shared" si="71"/>
        <v>00</v>
      </c>
      <c r="AJ406" s="67" t="str">
        <f t="shared" si="76"/>
        <v>000000000000</v>
      </c>
      <c r="AK406" s="119"/>
      <c r="AL406" s="120"/>
      <c r="AP406" s="115" t="str">
        <f t="shared" si="72"/>
        <v/>
      </c>
    </row>
    <row r="407" spans="1:42" x14ac:dyDescent="0.2">
      <c r="A407" s="63" t="str">
        <f t="shared" si="68"/>
        <v/>
      </c>
      <c r="B407" s="133"/>
      <c r="C407" s="133"/>
      <c r="D407" s="135"/>
      <c r="E407" s="135"/>
      <c r="F407" s="137"/>
      <c r="AA407" s="116" t="str">
        <f t="shared" si="67"/>
        <v>00000000000000</v>
      </c>
      <c r="AB407" s="117" t="str">
        <f t="shared" si="69"/>
        <v>000000000000</v>
      </c>
      <c r="AC407" s="118">
        <f t="shared" si="70"/>
        <v>1</v>
      </c>
      <c r="AD407" s="47">
        <v>2</v>
      </c>
      <c r="AE407" s="66">
        <f t="shared" si="73"/>
        <v>0</v>
      </c>
      <c r="AF407" s="66">
        <f t="shared" si="66"/>
        <v>0</v>
      </c>
      <c r="AG407" s="67" t="str">
        <f t="shared" si="74"/>
        <v>0000000000</v>
      </c>
      <c r="AH407" s="67" t="str">
        <f t="shared" si="75"/>
        <v>.00</v>
      </c>
      <c r="AI407" s="67" t="str">
        <f t="shared" si="71"/>
        <v>00</v>
      </c>
      <c r="AJ407" s="67" t="str">
        <f t="shared" si="76"/>
        <v>000000000000</v>
      </c>
      <c r="AK407" s="119"/>
      <c r="AL407" s="120"/>
      <c r="AP407" s="115" t="str">
        <f t="shared" si="72"/>
        <v/>
      </c>
    </row>
    <row r="408" spans="1:42" x14ac:dyDescent="0.2">
      <c r="A408" s="63" t="str">
        <f t="shared" si="68"/>
        <v/>
      </c>
      <c r="B408" s="133"/>
      <c r="C408" s="133"/>
      <c r="D408" s="135"/>
      <c r="E408" s="135"/>
      <c r="F408" s="137"/>
      <c r="AA408" s="116" t="str">
        <f t="shared" si="67"/>
        <v>00000000000000</v>
      </c>
      <c r="AB408" s="117" t="str">
        <f t="shared" si="69"/>
        <v>000000000000</v>
      </c>
      <c r="AC408" s="118">
        <f t="shared" si="70"/>
        <v>1</v>
      </c>
      <c r="AD408" s="47">
        <v>2</v>
      </c>
      <c r="AE408" s="66">
        <f t="shared" si="73"/>
        <v>0</v>
      </c>
      <c r="AF408" s="66">
        <f t="shared" si="66"/>
        <v>0</v>
      </c>
      <c r="AG408" s="67" t="str">
        <f t="shared" si="74"/>
        <v>0000000000</v>
      </c>
      <c r="AH408" s="67" t="str">
        <f t="shared" si="75"/>
        <v>.00</v>
      </c>
      <c r="AI408" s="67" t="str">
        <f t="shared" si="71"/>
        <v>00</v>
      </c>
      <c r="AJ408" s="67" t="str">
        <f t="shared" si="76"/>
        <v>000000000000</v>
      </c>
      <c r="AK408" s="119"/>
      <c r="AL408" s="120"/>
      <c r="AP408" s="115" t="str">
        <f t="shared" si="72"/>
        <v/>
      </c>
    </row>
    <row r="409" spans="1:42" x14ac:dyDescent="0.2">
      <c r="A409" s="63" t="str">
        <f t="shared" si="68"/>
        <v/>
      </c>
      <c r="B409" s="133"/>
      <c r="C409" s="133"/>
      <c r="D409" s="135"/>
      <c r="E409" s="135"/>
      <c r="F409" s="137"/>
      <c r="AA409" s="116" t="str">
        <f t="shared" si="67"/>
        <v>00000000000000</v>
      </c>
      <c r="AB409" s="117" t="str">
        <f t="shared" si="69"/>
        <v>000000000000</v>
      </c>
      <c r="AC409" s="118">
        <f t="shared" si="70"/>
        <v>1</v>
      </c>
      <c r="AD409" s="47">
        <v>2</v>
      </c>
      <c r="AE409" s="66">
        <f t="shared" si="73"/>
        <v>0</v>
      </c>
      <c r="AF409" s="66">
        <f t="shared" si="66"/>
        <v>0</v>
      </c>
      <c r="AG409" s="67" t="str">
        <f t="shared" si="74"/>
        <v>0000000000</v>
      </c>
      <c r="AH409" s="67" t="str">
        <f t="shared" si="75"/>
        <v>.00</v>
      </c>
      <c r="AI409" s="67" t="str">
        <f t="shared" si="71"/>
        <v>00</v>
      </c>
      <c r="AJ409" s="67" t="str">
        <f t="shared" si="76"/>
        <v>000000000000</v>
      </c>
      <c r="AK409" s="119"/>
      <c r="AL409" s="120"/>
      <c r="AP409" s="115" t="str">
        <f t="shared" si="72"/>
        <v/>
      </c>
    </row>
    <row r="410" spans="1:42" x14ac:dyDescent="0.2">
      <c r="A410" s="63" t="str">
        <f t="shared" si="68"/>
        <v/>
      </c>
      <c r="B410" s="133"/>
      <c r="C410" s="133"/>
      <c r="D410" s="135"/>
      <c r="E410" s="135"/>
      <c r="F410" s="137"/>
      <c r="AA410" s="116" t="str">
        <f t="shared" si="67"/>
        <v>00000000000000</v>
      </c>
      <c r="AB410" s="117" t="str">
        <f t="shared" si="69"/>
        <v>000000000000</v>
      </c>
      <c r="AC410" s="118">
        <f t="shared" si="70"/>
        <v>1</v>
      </c>
      <c r="AD410" s="47">
        <v>2</v>
      </c>
      <c r="AE410" s="66">
        <f t="shared" si="73"/>
        <v>0</v>
      </c>
      <c r="AF410" s="66">
        <f t="shared" si="66"/>
        <v>0</v>
      </c>
      <c r="AG410" s="67" t="str">
        <f t="shared" si="74"/>
        <v>0000000000</v>
      </c>
      <c r="AH410" s="67" t="str">
        <f t="shared" si="75"/>
        <v>.00</v>
      </c>
      <c r="AI410" s="67" t="str">
        <f t="shared" si="71"/>
        <v>00</v>
      </c>
      <c r="AJ410" s="67" t="str">
        <f t="shared" si="76"/>
        <v>000000000000</v>
      </c>
      <c r="AK410" s="119"/>
      <c r="AL410" s="120"/>
      <c r="AP410" s="115" t="str">
        <f t="shared" si="72"/>
        <v/>
      </c>
    </row>
    <row r="411" spans="1:42" x14ac:dyDescent="0.2">
      <c r="A411" s="63" t="str">
        <f t="shared" si="68"/>
        <v/>
      </c>
      <c r="B411" s="133"/>
      <c r="C411" s="133"/>
      <c r="D411" s="135"/>
      <c r="E411" s="135"/>
      <c r="F411" s="137"/>
      <c r="AA411" s="116" t="str">
        <f t="shared" si="67"/>
        <v>00000000000000</v>
      </c>
      <c r="AB411" s="117" t="str">
        <f t="shared" si="69"/>
        <v>000000000000</v>
      </c>
      <c r="AC411" s="118">
        <f t="shared" si="70"/>
        <v>1</v>
      </c>
      <c r="AD411" s="47">
        <v>2</v>
      </c>
      <c r="AE411" s="66">
        <f t="shared" si="73"/>
        <v>0</v>
      </c>
      <c r="AF411" s="66">
        <f t="shared" si="66"/>
        <v>0</v>
      </c>
      <c r="AG411" s="67" t="str">
        <f t="shared" si="74"/>
        <v>0000000000</v>
      </c>
      <c r="AH411" s="67" t="str">
        <f t="shared" si="75"/>
        <v>.00</v>
      </c>
      <c r="AI411" s="67" t="str">
        <f t="shared" si="71"/>
        <v>00</v>
      </c>
      <c r="AJ411" s="67" t="str">
        <f t="shared" si="76"/>
        <v>000000000000</v>
      </c>
      <c r="AK411" s="119"/>
      <c r="AL411" s="120"/>
      <c r="AP411" s="115" t="str">
        <f t="shared" si="72"/>
        <v/>
      </c>
    </row>
    <row r="412" spans="1:42" x14ac:dyDescent="0.2">
      <c r="A412" s="63" t="str">
        <f t="shared" si="68"/>
        <v/>
      </c>
      <c r="B412" s="133"/>
      <c r="C412" s="133"/>
      <c r="D412" s="135"/>
      <c r="E412" s="135"/>
      <c r="F412" s="137"/>
      <c r="AA412" s="116" t="str">
        <f t="shared" si="67"/>
        <v>00000000000000</v>
      </c>
      <c r="AB412" s="117" t="str">
        <f t="shared" si="69"/>
        <v>000000000000</v>
      </c>
      <c r="AC412" s="118">
        <f t="shared" si="70"/>
        <v>1</v>
      </c>
      <c r="AD412" s="47">
        <v>2</v>
      </c>
      <c r="AE412" s="66">
        <f t="shared" si="73"/>
        <v>0</v>
      </c>
      <c r="AF412" s="66">
        <f t="shared" si="66"/>
        <v>0</v>
      </c>
      <c r="AG412" s="67" t="str">
        <f t="shared" si="74"/>
        <v>0000000000</v>
      </c>
      <c r="AH412" s="67" t="str">
        <f t="shared" si="75"/>
        <v>.00</v>
      </c>
      <c r="AI412" s="67" t="str">
        <f t="shared" si="71"/>
        <v>00</v>
      </c>
      <c r="AJ412" s="67" t="str">
        <f t="shared" si="76"/>
        <v>000000000000</v>
      </c>
      <c r="AK412" s="119"/>
      <c r="AL412" s="120"/>
      <c r="AP412" s="115" t="str">
        <f t="shared" si="72"/>
        <v/>
      </c>
    </row>
    <row r="413" spans="1:42" x14ac:dyDescent="0.2">
      <c r="A413" s="63" t="str">
        <f t="shared" si="68"/>
        <v/>
      </c>
      <c r="B413" s="133"/>
      <c r="C413" s="133"/>
      <c r="D413" s="135"/>
      <c r="E413" s="135"/>
      <c r="F413" s="137"/>
      <c r="AA413" s="116" t="str">
        <f t="shared" si="67"/>
        <v>00000000000000</v>
      </c>
      <c r="AB413" s="117" t="str">
        <f t="shared" si="69"/>
        <v>000000000000</v>
      </c>
      <c r="AC413" s="118">
        <f t="shared" si="70"/>
        <v>1</v>
      </c>
      <c r="AD413" s="47">
        <v>2</v>
      </c>
      <c r="AE413" s="66">
        <f t="shared" si="73"/>
        <v>0</v>
      </c>
      <c r="AF413" s="66">
        <f t="shared" si="66"/>
        <v>0</v>
      </c>
      <c r="AG413" s="67" t="str">
        <f t="shared" si="74"/>
        <v>0000000000</v>
      </c>
      <c r="AH413" s="67" t="str">
        <f t="shared" si="75"/>
        <v>.00</v>
      </c>
      <c r="AI413" s="67" t="str">
        <f t="shared" si="71"/>
        <v>00</v>
      </c>
      <c r="AJ413" s="67" t="str">
        <f t="shared" si="76"/>
        <v>000000000000</v>
      </c>
      <c r="AK413" s="119"/>
      <c r="AL413" s="120"/>
      <c r="AP413" s="115" t="str">
        <f t="shared" si="72"/>
        <v/>
      </c>
    </row>
    <row r="414" spans="1:42" x14ac:dyDescent="0.2">
      <c r="A414" s="63" t="str">
        <f t="shared" si="68"/>
        <v/>
      </c>
      <c r="B414" s="133"/>
      <c r="C414" s="133"/>
      <c r="D414" s="135"/>
      <c r="E414" s="135"/>
      <c r="F414" s="137"/>
      <c r="AA414" s="116" t="str">
        <f t="shared" si="67"/>
        <v>00000000000000</v>
      </c>
      <c r="AB414" s="117" t="str">
        <f t="shared" si="69"/>
        <v>000000000000</v>
      </c>
      <c r="AC414" s="118">
        <f t="shared" si="70"/>
        <v>1</v>
      </c>
      <c r="AD414" s="47">
        <v>2</v>
      </c>
      <c r="AE414" s="66">
        <f t="shared" si="73"/>
        <v>0</v>
      </c>
      <c r="AF414" s="66">
        <f t="shared" si="66"/>
        <v>0</v>
      </c>
      <c r="AG414" s="67" t="str">
        <f t="shared" si="74"/>
        <v>0000000000</v>
      </c>
      <c r="AH414" s="67" t="str">
        <f t="shared" si="75"/>
        <v>.00</v>
      </c>
      <c r="AI414" s="67" t="str">
        <f t="shared" si="71"/>
        <v>00</v>
      </c>
      <c r="AJ414" s="67" t="str">
        <f t="shared" si="76"/>
        <v>000000000000</v>
      </c>
      <c r="AK414" s="119"/>
      <c r="AL414" s="120"/>
      <c r="AP414" s="115" t="str">
        <f t="shared" si="72"/>
        <v/>
      </c>
    </row>
    <row r="415" spans="1:42" x14ac:dyDescent="0.2">
      <c r="A415" s="63" t="str">
        <f t="shared" si="68"/>
        <v/>
      </c>
      <c r="B415" s="133"/>
      <c r="C415" s="133"/>
      <c r="D415" s="135"/>
      <c r="E415" s="135"/>
      <c r="F415" s="137"/>
      <c r="AA415" s="116" t="str">
        <f t="shared" si="67"/>
        <v>00000000000000</v>
      </c>
      <c r="AB415" s="117" t="str">
        <f t="shared" si="69"/>
        <v>000000000000</v>
      </c>
      <c r="AC415" s="118">
        <f t="shared" si="70"/>
        <v>1</v>
      </c>
      <c r="AD415" s="47">
        <v>2</v>
      </c>
      <c r="AE415" s="66">
        <f t="shared" si="73"/>
        <v>0</v>
      </c>
      <c r="AF415" s="66">
        <f t="shared" si="66"/>
        <v>0</v>
      </c>
      <c r="AG415" s="67" t="str">
        <f t="shared" si="74"/>
        <v>0000000000</v>
      </c>
      <c r="AH415" s="67" t="str">
        <f t="shared" si="75"/>
        <v>.00</v>
      </c>
      <c r="AI415" s="67" t="str">
        <f t="shared" si="71"/>
        <v>00</v>
      </c>
      <c r="AJ415" s="67" t="str">
        <f t="shared" si="76"/>
        <v>000000000000</v>
      </c>
      <c r="AK415" s="119"/>
      <c r="AL415" s="120"/>
      <c r="AP415" s="115" t="str">
        <f t="shared" si="72"/>
        <v/>
      </c>
    </row>
    <row r="416" spans="1:42" x14ac:dyDescent="0.2">
      <c r="A416" s="63" t="str">
        <f t="shared" si="68"/>
        <v/>
      </c>
      <c r="B416" s="133"/>
      <c r="C416" s="133"/>
      <c r="D416" s="135"/>
      <c r="E416" s="135"/>
      <c r="F416" s="137"/>
      <c r="AA416" s="116" t="str">
        <f t="shared" si="67"/>
        <v>00000000000000</v>
      </c>
      <c r="AB416" s="117" t="str">
        <f t="shared" si="69"/>
        <v>000000000000</v>
      </c>
      <c r="AC416" s="118">
        <f t="shared" si="70"/>
        <v>1</v>
      </c>
      <c r="AD416" s="47">
        <v>2</v>
      </c>
      <c r="AE416" s="66">
        <f t="shared" si="73"/>
        <v>0</v>
      </c>
      <c r="AF416" s="66">
        <f t="shared" si="66"/>
        <v>0</v>
      </c>
      <c r="AG416" s="67" t="str">
        <f t="shared" si="74"/>
        <v>0000000000</v>
      </c>
      <c r="AH416" s="67" t="str">
        <f t="shared" si="75"/>
        <v>.00</v>
      </c>
      <c r="AI416" s="67" t="str">
        <f t="shared" si="71"/>
        <v>00</v>
      </c>
      <c r="AJ416" s="67" t="str">
        <f t="shared" si="76"/>
        <v>000000000000</v>
      </c>
      <c r="AK416" s="119"/>
      <c r="AL416" s="120"/>
      <c r="AP416" s="115" t="str">
        <f t="shared" si="72"/>
        <v/>
      </c>
    </row>
    <row r="417" spans="1:42" x14ac:dyDescent="0.2">
      <c r="A417" s="63" t="str">
        <f t="shared" si="68"/>
        <v/>
      </c>
      <c r="B417" s="133"/>
      <c r="C417" s="133"/>
      <c r="D417" s="135"/>
      <c r="E417" s="135"/>
      <c r="F417" s="137"/>
      <c r="AA417" s="116" t="str">
        <f t="shared" si="67"/>
        <v>00000000000000</v>
      </c>
      <c r="AB417" s="117" t="str">
        <f t="shared" si="69"/>
        <v>000000000000</v>
      </c>
      <c r="AC417" s="118">
        <f t="shared" si="70"/>
        <v>1</v>
      </c>
      <c r="AD417" s="47">
        <v>2</v>
      </c>
      <c r="AE417" s="66">
        <f t="shared" si="73"/>
        <v>0</v>
      </c>
      <c r="AF417" s="66">
        <f t="shared" si="66"/>
        <v>0</v>
      </c>
      <c r="AG417" s="67" t="str">
        <f t="shared" si="74"/>
        <v>0000000000</v>
      </c>
      <c r="AH417" s="67" t="str">
        <f t="shared" si="75"/>
        <v>.00</v>
      </c>
      <c r="AI417" s="67" t="str">
        <f t="shared" si="71"/>
        <v>00</v>
      </c>
      <c r="AJ417" s="67" t="str">
        <f t="shared" si="76"/>
        <v>000000000000</v>
      </c>
      <c r="AK417" s="119"/>
      <c r="AL417" s="120"/>
      <c r="AP417" s="115" t="str">
        <f t="shared" si="72"/>
        <v/>
      </c>
    </row>
    <row r="418" spans="1:42" x14ac:dyDescent="0.2">
      <c r="A418" s="63" t="str">
        <f t="shared" si="68"/>
        <v/>
      </c>
      <c r="B418" s="133"/>
      <c r="C418" s="133"/>
      <c r="D418" s="135"/>
      <c r="E418" s="135"/>
      <c r="F418" s="137"/>
      <c r="AA418" s="116" t="str">
        <f t="shared" si="67"/>
        <v>00000000000000</v>
      </c>
      <c r="AB418" s="117" t="str">
        <f t="shared" si="69"/>
        <v>000000000000</v>
      </c>
      <c r="AC418" s="118">
        <f t="shared" si="70"/>
        <v>1</v>
      </c>
      <c r="AD418" s="47">
        <v>2</v>
      </c>
      <c r="AE418" s="66">
        <f t="shared" si="73"/>
        <v>0</v>
      </c>
      <c r="AF418" s="66">
        <f t="shared" si="66"/>
        <v>0</v>
      </c>
      <c r="AG418" s="67" t="str">
        <f t="shared" si="74"/>
        <v>0000000000</v>
      </c>
      <c r="AH418" s="67" t="str">
        <f t="shared" si="75"/>
        <v>.00</v>
      </c>
      <c r="AI418" s="67" t="str">
        <f t="shared" si="71"/>
        <v>00</v>
      </c>
      <c r="AJ418" s="67" t="str">
        <f t="shared" si="76"/>
        <v>000000000000</v>
      </c>
      <c r="AK418" s="119"/>
      <c r="AL418" s="120"/>
      <c r="AP418" s="115" t="str">
        <f t="shared" si="72"/>
        <v/>
      </c>
    </row>
    <row r="419" spans="1:42" x14ac:dyDescent="0.2">
      <c r="A419" s="63" t="str">
        <f t="shared" si="68"/>
        <v/>
      </c>
      <c r="B419" s="133"/>
      <c r="C419" s="133"/>
      <c r="D419" s="135"/>
      <c r="E419" s="135"/>
      <c r="F419" s="137"/>
      <c r="AA419" s="116" t="str">
        <f t="shared" si="67"/>
        <v>00000000000000</v>
      </c>
      <c r="AB419" s="117" t="str">
        <f t="shared" si="69"/>
        <v>000000000000</v>
      </c>
      <c r="AC419" s="118">
        <f t="shared" si="70"/>
        <v>1</v>
      </c>
      <c r="AD419" s="47">
        <v>2</v>
      </c>
      <c r="AE419" s="66">
        <f t="shared" si="73"/>
        <v>0</v>
      </c>
      <c r="AF419" s="66">
        <f t="shared" si="66"/>
        <v>0</v>
      </c>
      <c r="AG419" s="67" t="str">
        <f t="shared" si="74"/>
        <v>0000000000</v>
      </c>
      <c r="AH419" s="67" t="str">
        <f t="shared" si="75"/>
        <v>.00</v>
      </c>
      <c r="AI419" s="67" t="str">
        <f t="shared" si="71"/>
        <v>00</v>
      </c>
      <c r="AJ419" s="67" t="str">
        <f t="shared" si="76"/>
        <v>000000000000</v>
      </c>
      <c r="AK419" s="119"/>
      <c r="AL419" s="120"/>
      <c r="AP419" s="115" t="str">
        <f t="shared" si="72"/>
        <v/>
      </c>
    </row>
    <row r="420" spans="1:42" x14ac:dyDescent="0.2">
      <c r="A420" s="63" t="str">
        <f t="shared" si="68"/>
        <v/>
      </c>
      <c r="B420" s="133"/>
      <c r="C420" s="133"/>
      <c r="D420" s="135"/>
      <c r="E420" s="135"/>
      <c r="F420" s="137"/>
      <c r="AA420" s="116" t="str">
        <f t="shared" si="67"/>
        <v>00000000000000</v>
      </c>
      <c r="AB420" s="117" t="str">
        <f t="shared" si="69"/>
        <v>000000000000</v>
      </c>
      <c r="AC420" s="118">
        <f t="shared" si="70"/>
        <v>1</v>
      </c>
      <c r="AD420" s="47">
        <v>2</v>
      </c>
      <c r="AE420" s="66">
        <f t="shared" si="73"/>
        <v>0</v>
      </c>
      <c r="AF420" s="66">
        <f t="shared" si="66"/>
        <v>0</v>
      </c>
      <c r="AG420" s="67" t="str">
        <f t="shared" si="74"/>
        <v>0000000000</v>
      </c>
      <c r="AH420" s="67" t="str">
        <f t="shared" si="75"/>
        <v>.00</v>
      </c>
      <c r="AI420" s="67" t="str">
        <f t="shared" si="71"/>
        <v>00</v>
      </c>
      <c r="AJ420" s="67" t="str">
        <f t="shared" si="76"/>
        <v>000000000000</v>
      </c>
      <c r="AK420" s="119"/>
      <c r="AL420" s="120"/>
      <c r="AP420" s="115" t="str">
        <f t="shared" si="72"/>
        <v/>
      </c>
    </row>
    <row r="421" spans="1:42" x14ac:dyDescent="0.2">
      <c r="A421" s="63" t="str">
        <f t="shared" si="68"/>
        <v/>
      </c>
      <c r="B421" s="133"/>
      <c r="C421" s="133"/>
      <c r="D421" s="135"/>
      <c r="E421" s="135"/>
      <c r="F421" s="137"/>
      <c r="AA421" s="116" t="str">
        <f t="shared" si="67"/>
        <v>00000000000000</v>
      </c>
      <c r="AB421" s="117" t="str">
        <f t="shared" si="69"/>
        <v>000000000000</v>
      </c>
      <c r="AC421" s="118">
        <f t="shared" si="70"/>
        <v>1</v>
      </c>
      <c r="AD421" s="47">
        <v>2</v>
      </c>
      <c r="AE421" s="66">
        <f t="shared" si="73"/>
        <v>0</v>
      </c>
      <c r="AF421" s="66">
        <f t="shared" si="66"/>
        <v>0</v>
      </c>
      <c r="AG421" s="67" t="str">
        <f t="shared" si="74"/>
        <v>0000000000</v>
      </c>
      <c r="AH421" s="67" t="str">
        <f t="shared" si="75"/>
        <v>.00</v>
      </c>
      <c r="AI421" s="67" t="str">
        <f t="shared" si="71"/>
        <v>00</v>
      </c>
      <c r="AJ421" s="67" t="str">
        <f t="shared" si="76"/>
        <v>000000000000</v>
      </c>
      <c r="AK421" s="119"/>
      <c r="AL421" s="120"/>
      <c r="AP421" s="115" t="str">
        <f t="shared" si="72"/>
        <v/>
      </c>
    </row>
    <row r="422" spans="1:42" x14ac:dyDescent="0.2">
      <c r="A422" s="63" t="str">
        <f t="shared" si="68"/>
        <v/>
      </c>
      <c r="B422" s="133"/>
      <c r="C422" s="133"/>
      <c r="D422" s="135"/>
      <c r="E422" s="135"/>
      <c r="F422" s="137"/>
      <c r="AA422" s="116" t="str">
        <f t="shared" si="67"/>
        <v>00000000000000</v>
      </c>
      <c r="AB422" s="117" t="str">
        <f t="shared" si="69"/>
        <v>000000000000</v>
      </c>
      <c r="AC422" s="118">
        <f t="shared" si="70"/>
        <v>1</v>
      </c>
      <c r="AD422" s="47">
        <v>2</v>
      </c>
      <c r="AE422" s="66">
        <f t="shared" si="73"/>
        <v>0</v>
      </c>
      <c r="AF422" s="66">
        <f t="shared" si="66"/>
        <v>0</v>
      </c>
      <c r="AG422" s="67" t="str">
        <f t="shared" si="74"/>
        <v>0000000000</v>
      </c>
      <c r="AH422" s="67" t="str">
        <f t="shared" si="75"/>
        <v>.00</v>
      </c>
      <c r="AI422" s="67" t="str">
        <f t="shared" si="71"/>
        <v>00</v>
      </c>
      <c r="AJ422" s="67" t="str">
        <f t="shared" si="76"/>
        <v>000000000000</v>
      </c>
      <c r="AK422" s="119"/>
      <c r="AL422" s="120"/>
      <c r="AP422" s="115" t="str">
        <f t="shared" si="72"/>
        <v/>
      </c>
    </row>
    <row r="423" spans="1:42" x14ac:dyDescent="0.2">
      <c r="A423" s="63" t="str">
        <f t="shared" si="68"/>
        <v/>
      </c>
      <c r="B423" s="133"/>
      <c r="C423" s="133"/>
      <c r="D423" s="135"/>
      <c r="E423" s="135"/>
      <c r="F423" s="137"/>
      <c r="AA423" s="116" t="str">
        <f t="shared" si="67"/>
        <v>00000000000000</v>
      </c>
      <c r="AB423" s="117" t="str">
        <f t="shared" si="69"/>
        <v>000000000000</v>
      </c>
      <c r="AC423" s="118">
        <f t="shared" si="70"/>
        <v>1</v>
      </c>
      <c r="AD423" s="47">
        <v>2</v>
      </c>
      <c r="AE423" s="66">
        <f t="shared" si="73"/>
        <v>0</v>
      </c>
      <c r="AF423" s="66">
        <f t="shared" si="66"/>
        <v>0</v>
      </c>
      <c r="AG423" s="67" t="str">
        <f t="shared" si="74"/>
        <v>0000000000</v>
      </c>
      <c r="AH423" s="67" t="str">
        <f t="shared" si="75"/>
        <v>.00</v>
      </c>
      <c r="AI423" s="67" t="str">
        <f t="shared" si="71"/>
        <v>00</v>
      </c>
      <c r="AJ423" s="67" t="str">
        <f t="shared" si="76"/>
        <v>000000000000</v>
      </c>
      <c r="AK423" s="119"/>
      <c r="AL423" s="120"/>
      <c r="AP423" s="115" t="str">
        <f t="shared" si="72"/>
        <v/>
      </c>
    </row>
    <row r="424" spans="1:42" x14ac:dyDescent="0.2">
      <c r="A424" s="63" t="str">
        <f t="shared" si="68"/>
        <v/>
      </c>
      <c r="B424" s="133"/>
      <c r="C424" s="133"/>
      <c r="D424" s="135"/>
      <c r="E424" s="135"/>
      <c r="F424" s="137"/>
      <c r="AA424" s="116" t="str">
        <f t="shared" si="67"/>
        <v>00000000000000</v>
      </c>
      <c r="AB424" s="117" t="str">
        <f t="shared" si="69"/>
        <v>000000000000</v>
      </c>
      <c r="AC424" s="118">
        <f t="shared" si="70"/>
        <v>1</v>
      </c>
      <c r="AD424" s="47">
        <v>2</v>
      </c>
      <c r="AE424" s="66">
        <f t="shared" si="73"/>
        <v>0</v>
      </c>
      <c r="AF424" s="66">
        <f t="shared" si="66"/>
        <v>0</v>
      </c>
      <c r="AG424" s="67" t="str">
        <f t="shared" si="74"/>
        <v>0000000000</v>
      </c>
      <c r="AH424" s="67" t="str">
        <f t="shared" si="75"/>
        <v>.00</v>
      </c>
      <c r="AI424" s="67" t="str">
        <f t="shared" si="71"/>
        <v>00</v>
      </c>
      <c r="AJ424" s="67" t="str">
        <f t="shared" si="76"/>
        <v>000000000000</v>
      </c>
      <c r="AK424" s="119"/>
      <c r="AL424" s="120"/>
      <c r="AP424" s="115" t="str">
        <f t="shared" si="72"/>
        <v/>
      </c>
    </row>
    <row r="425" spans="1:42" x14ac:dyDescent="0.2">
      <c r="A425" s="63" t="str">
        <f t="shared" si="68"/>
        <v/>
      </c>
      <c r="B425" s="133"/>
      <c r="C425" s="133"/>
      <c r="D425" s="135"/>
      <c r="E425" s="135"/>
      <c r="F425" s="137"/>
      <c r="AA425" s="116" t="str">
        <f t="shared" si="67"/>
        <v>00000000000000</v>
      </c>
      <c r="AB425" s="117" t="str">
        <f t="shared" si="69"/>
        <v>000000000000</v>
      </c>
      <c r="AC425" s="118">
        <f t="shared" si="70"/>
        <v>1</v>
      </c>
      <c r="AD425" s="47">
        <v>2</v>
      </c>
      <c r="AE425" s="66">
        <f t="shared" si="73"/>
        <v>0</v>
      </c>
      <c r="AF425" s="66">
        <f t="shared" si="66"/>
        <v>0</v>
      </c>
      <c r="AG425" s="67" t="str">
        <f t="shared" si="74"/>
        <v>0000000000</v>
      </c>
      <c r="AH425" s="67" t="str">
        <f t="shared" si="75"/>
        <v>.00</v>
      </c>
      <c r="AI425" s="67" t="str">
        <f t="shared" si="71"/>
        <v>00</v>
      </c>
      <c r="AJ425" s="67" t="str">
        <f t="shared" si="76"/>
        <v>000000000000</v>
      </c>
      <c r="AK425" s="119"/>
      <c r="AL425" s="120"/>
      <c r="AP425" s="115" t="str">
        <f t="shared" si="72"/>
        <v/>
      </c>
    </row>
    <row r="426" spans="1:42" x14ac:dyDescent="0.2">
      <c r="A426" s="63" t="str">
        <f t="shared" si="68"/>
        <v/>
      </c>
      <c r="B426" s="133"/>
      <c r="C426" s="133"/>
      <c r="D426" s="135"/>
      <c r="E426" s="135"/>
      <c r="F426" s="137"/>
      <c r="AA426" s="116" t="str">
        <f t="shared" si="67"/>
        <v>00000000000000</v>
      </c>
      <c r="AB426" s="117" t="str">
        <f t="shared" si="69"/>
        <v>000000000000</v>
      </c>
      <c r="AC426" s="118">
        <f t="shared" si="70"/>
        <v>1</v>
      </c>
      <c r="AD426" s="47">
        <v>2</v>
      </c>
      <c r="AE426" s="66">
        <f t="shared" si="73"/>
        <v>0</v>
      </c>
      <c r="AF426" s="66">
        <f t="shared" si="66"/>
        <v>0</v>
      </c>
      <c r="AG426" s="67" t="str">
        <f t="shared" si="74"/>
        <v>0000000000</v>
      </c>
      <c r="AH426" s="67" t="str">
        <f t="shared" si="75"/>
        <v>.00</v>
      </c>
      <c r="AI426" s="67" t="str">
        <f t="shared" si="71"/>
        <v>00</v>
      </c>
      <c r="AJ426" s="67" t="str">
        <f t="shared" si="76"/>
        <v>000000000000</v>
      </c>
      <c r="AK426" s="119"/>
      <c r="AL426" s="120"/>
      <c r="AP426" s="115" t="str">
        <f t="shared" si="72"/>
        <v/>
      </c>
    </row>
    <row r="427" spans="1:42" x14ac:dyDescent="0.2">
      <c r="A427" s="63" t="str">
        <f t="shared" si="68"/>
        <v/>
      </c>
      <c r="B427" s="133"/>
      <c r="C427" s="133"/>
      <c r="D427" s="135"/>
      <c r="E427" s="135"/>
      <c r="F427" s="137"/>
      <c r="AA427" s="116" t="str">
        <f t="shared" si="67"/>
        <v>00000000000000</v>
      </c>
      <c r="AB427" s="117" t="str">
        <f t="shared" si="69"/>
        <v>000000000000</v>
      </c>
      <c r="AC427" s="118">
        <f t="shared" si="70"/>
        <v>1</v>
      </c>
      <c r="AD427" s="47">
        <v>2</v>
      </c>
      <c r="AE427" s="66">
        <f t="shared" si="73"/>
        <v>0</v>
      </c>
      <c r="AF427" s="66">
        <f t="shared" si="66"/>
        <v>0</v>
      </c>
      <c r="AG427" s="67" t="str">
        <f t="shared" si="74"/>
        <v>0000000000</v>
      </c>
      <c r="AH427" s="67" t="str">
        <f t="shared" si="75"/>
        <v>.00</v>
      </c>
      <c r="AI427" s="67" t="str">
        <f t="shared" si="71"/>
        <v>00</v>
      </c>
      <c r="AJ427" s="67" t="str">
        <f t="shared" si="76"/>
        <v>000000000000</v>
      </c>
      <c r="AK427" s="119"/>
      <c r="AL427" s="120"/>
      <c r="AP427" s="115" t="str">
        <f t="shared" si="72"/>
        <v/>
      </c>
    </row>
    <row r="428" spans="1:42" x14ac:dyDescent="0.2">
      <c r="A428" s="63" t="str">
        <f t="shared" si="68"/>
        <v/>
      </c>
      <c r="B428" s="133"/>
      <c r="C428" s="133"/>
      <c r="D428" s="135"/>
      <c r="E428" s="135"/>
      <c r="F428" s="137"/>
      <c r="AA428" s="116" t="str">
        <f t="shared" si="67"/>
        <v>00000000000000</v>
      </c>
      <c r="AB428" s="117" t="str">
        <f t="shared" si="69"/>
        <v>000000000000</v>
      </c>
      <c r="AC428" s="118">
        <f t="shared" si="70"/>
        <v>1</v>
      </c>
      <c r="AD428" s="47">
        <v>2</v>
      </c>
      <c r="AE428" s="66">
        <f t="shared" si="73"/>
        <v>0</v>
      </c>
      <c r="AF428" s="66">
        <f t="shared" si="66"/>
        <v>0</v>
      </c>
      <c r="AG428" s="67" t="str">
        <f t="shared" si="74"/>
        <v>0000000000</v>
      </c>
      <c r="AH428" s="67" t="str">
        <f t="shared" si="75"/>
        <v>.00</v>
      </c>
      <c r="AI428" s="67" t="str">
        <f t="shared" si="71"/>
        <v>00</v>
      </c>
      <c r="AJ428" s="67" t="str">
        <f t="shared" si="76"/>
        <v>000000000000</v>
      </c>
      <c r="AK428" s="119"/>
      <c r="AL428" s="120"/>
      <c r="AP428" s="115" t="str">
        <f t="shared" si="72"/>
        <v/>
      </c>
    </row>
    <row r="429" spans="1:42" x14ac:dyDescent="0.2">
      <c r="A429" s="63" t="str">
        <f t="shared" si="68"/>
        <v/>
      </c>
      <c r="B429" s="133"/>
      <c r="C429" s="133"/>
      <c r="D429" s="135"/>
      <c r="E429" s="135"/>
      <c r="F429" s="137"/>
      <c r="AA429" s="116" t="str">
        <f t="shared" si="67"/>
        <v>00000000000000</v>
      </c>
      <c r="AB429" s="117" t="str">
        <f t="shared" si="69"/>
        <v>000000000000</v>
      </c>
      <c r="AC429" s="118">
        <f t="shared" si="70"/>
        <v>1</v>
      </c>
      <c r="AD429" s="47">
        <v>2</v>
      </c>
      <c r="AE429" s="66">
        <f t="shared" si="73"/>
        <v>0</v>
      </c>
      <c r="AF429" s="66">
        <f t="shared" si="66"/>
        <v>0</v>
      </c>
      <c r="AG429" s="67" t="str">
        <f t="shared" si="74"/>
        <v>0000000000</v>
      </c>
      <c r="AH429" s="67" t="str">
        <f t="shared" si="75"/>
        <v>.00</v>
      </c>
      <c r="AI429" s="67" t="str">
        <f t="shared" si="71"/>
        <v>00</v>
      </c>
      <c r="AJ429" s="67" t="str">
        <f t="shared" si="76"/>
        <v>000000000000</v>
      </c>
      <c r="AK429" s="119"/>
      <c r="AL429" s="120"/>
      <c r="AP429" s="115" t="str">
        <f t="shared" si="72"/>
        <v/>
      </c>
    </row>
    <row r="430" spans="1:42" x14ac:dyDescent="0.2">
      <c r="A430" s="63" t="str">
        <f t="shared" si="68"/>
        <v/>
      </c>
      <c r="B430" s="133"/>
      <c r="C430" s="133"/>
      <c r="D430" s="135"/>
      <c r="E430" s="135"/>
      <c r="F430" s="137"/>
      <c r="AA430" s="116" t="str">
        <f t="shared" si="67"/>
        <v>00000000000000</v>
      </c>
      <c r="AB430" s="117" t="str">
        <f t="shared" si="69"/>
        <v>000000000000</v>
      </c>
      <c r="AC430" s="118">
        <f t="shared" si="70"/>
        <v>1</v>
      </c>
      <c r="AD430" s="47">
        <v>2</v>
      </c>
      <c r="AE430" s="66">
        <f t="shared" si="73"/>
        <v>0</v>
      </c>
      <c r="AF430" s="66">
        <f t="shared" si="66"/>
        <v>0</v>
      </c>
      <c r="AG430" s="67" t="str">
        <f t="shared" si="74"/>
        <v>0000000000</v>
      </c>
      <c r="AH430" s="67" t="str">
        <f t="shared" si="75"/>
        <v>.00</v>
      </c>
      <c r="AI430" s="67" t="str">
        <f t="shared" si="71"/>
        <v>00</v>
      </c>
      <c r="AJ430" s="67" t="str">
        <f t="shared" si="76"/>
        <v>000000000000</v>
      </c>
      <c r="AK430" s="119"/>
      <c r="AL430" s="120"/>
      <c r="AP430" s="115" t="str">
        <f t="shared" si="72"/>
        <v/>
      </c>
    </row>
    <row r="431" spans="1:42" x14ac:dyDescent="0.2">
      <c r="A431" s="63" t="str">
        <f t="shared" si="68"/>
        <v/>
      </c>
      <c r="B431" s="133"/>
      <c r="C431" s="133"/>
      <c r="D431" s="135"/>
      <c r="E431" s="135"/>
      <c r="F431" s="137"/>
      <c r="AA431" s="116" t="str">
        <f t="shared" si="67"/>
        <v>00000000000000</v>
      </c>
      <c r="AB431" s="117" t="str">
        <f t="shared" si="69"/>
        <v>000000000000</v>
      </c>
      <c r="AC431" s="118">
        <f t="shared" si="70"/>
        <v>1</v>
      </c>
      <c r="AD431" s="47">
        <v>2</v>
      </c>
      <c r="AE431" s="66">
        <f t="shared" si="73"/>
        <v>0</v>
      </c>
      <c r="AF431" s="66">
        <f t="shared" si="66"/>
        <v>0</v>
      </c>
      <c r="AG431" s="67" t="str">
        <f t="shared" si="74"/>
        <v>0000000000</v>
      </c>
      <c r="AH431" s="67" t="str">
        <f t="shared" si="75"/>
        <v>.00</v>
      </c>
      <c r="AI431" s="67" t="str">
        <f t="shared" si="71"/>
        <v>00</v>
      </c>
      <c r="AJ431" s="67" t="str">
        <f t="shared" si="76"/>
        <v>000000000000</v>
      </c>
      <c r="AK431" s="119"/>
      <c r="AL431" s="120"/>
      <c r="AP431" s="115" t="str">
        <f t="shared" si="72"/>
        <v/>
      </c>
    </row>
    <row r="432" spans="1:42" x14ac:dyDescent="0.2">
      <c r="A432" s="63" t="str">
        <f t="shared" si="68"/>
        <v/>
      </c>
      <c r="B432" s="133"/>
      <c r="C432" s="133"/>
      <c r="D432" s="135"/>
      <c r="E432" s="135"/>
      <c r="F432" s="137"/>
      <c r="AA432" s="116" t="str">
        <f t="shared" si="67"/>
        <v>00000000000000</v>
      </c>
      <c r="AB432" s="117" t="str">
        <f t="shared" si="69"/>
        <v>000000000000</v>
      </c>
      <c r="AC432" s="118">
        <f t="shared" si="70"/>
        <v>1</v>
      </c>
      <c r="AD432" s="47">
        <v>2</v>
      </c>
      <c r="AE432" s="66">
        <f t="shared" si="73"/>
        <v>0</v>
      </c>
      <c r="AF432" s="66">
        <f t="shared" si="66"/>
        <v>0</v>
      </c>
      <c r="AG432" s="67" t="str">
        <f t="shared" si="74"/>
        <v>0000000000</v>
      </c>
      <c r="AH432" s="67" t="str">
        <f t="shared" si="75"/>
        <v>.00</v>
      </c>
      <c r="AI432" s="67" t="str">
        <f t="shared" si="71"/>
        <v>00</v>
      </c>
      <c r="AJ432" s="67" t="str">
        <f t="shared" si="76"/>
        <v>000000000000</v>
      </c>
      <c r="AK432" s="119"/>
      <c r="AL432" s="120"/>
      <c r="AP432" s="115" t="str">
        <f t="shared" si="72"/>
        <v/>
      </c>
    </row>
    <row r="433" spans="1:42" x14ac:dyDescent="0.2">
      <c r="A433" s="63" t="str">
        <f t="shared" si="68"/>
        <v/>
      </c>
      <c r="B433" s="133"/>
      <c r="C433" s="133"/>
      <c r="D433" s="135"/>
      <c r="E433" s="135"/>
      <c r="F433" s="137"/>
      <c r="AA433" s="116" t="str">
        <f t="shared" si="67"/>
        <v>00000000000000</v>
      </c>
      <c r="AB433" s="117" t="str">
        <f t="shared" si="69"/>
        <v>000000000000</v>
      </c>
      <c r="AC433" s="118">
        <f t="shared" si="70"/>
        <v>1</v>
      </c>
      <c r="AD433" s="47">
        <v>2</v>
      </c>
      <c r="AE433" s="66">
        <f t="shared" si="73"/>
        <v>0</v>
      </c>
      <c r="AF433" s="66">
        <f t="shared" si="66"/>
        <v>0</v>
      </c>
      <c r="AG433" s="67" t="str">
        <f t="shared" si="74"/>
        <v>0000000000</v>
      </c>
      <c r="AH433" s="67" t="str">
        <f t="shared" si="75"/>
        <v>.00</v>
      </c>
      <c r="AI433" s="67" t="str">
        <f t="shared" si="71"/>
        <v>00</v>
      </c>
      <c r="AJ433" s="67" t="str">
        <f t="shared" si="76"/>
        <v>000000000000</v>
      </c>
      <c r="AK433" s="119"/>
      <c r="AL433" s="120"/>
      <c r="AP433" s="115" t="str">
        <f t="shared" si="72"/>
        <v/>
      </c>
    </row>
    <row r="434" spans="1:42" x14ac:dyDescent="0.2">
      <c r="A434" s="63" t="str">
        <f t="shared" si="68"/>
        <v/>
      </c>
      <c r="B434" s="133"/>
      <c r="C434" s="133"/>
      <c r="D434" s="135"/>
      <c r="E434" s="135"/>
      <c r="F434" s="137"/>
      <c r="AA434" s="116" t="str">
        <f t="shared" si="67"/>
        <v>00000000000000</v>
      </c>
      <c r="AB434" s="117" t="str">
        <f t="shared" si="69"/>
        <v>000000000000</v>
      </c>
      <c r="AC434" s="118">
        <f t="shared" si="70"/>
        <v>1</v>
      </c>
      <c r="AD434" s="47">
        <v>2</v>
      </c>
      <c r="AE434" s="66">
        <f t="shared" si="73"/>
        <v>0</v>
      </c>
      <c r="AF434" s="66">
        <f t="shared" si="66"/>
        <v>0</v>
      </c>
      <c r="AG434" s="67" t="str">
        <f t="shared" si="74"/>
        <v>0000000000</v>
      </c>
      <c r="AH434" s="67" t="str">
        <f t="shared" si="75"/>
        <v>.00</v>
      </c>
      <c r="AI434" s="67" t="str">
        <f t="shared" si="71"/>
        <v>00</v>
      </c>
      <c r="AJ434" s="67" t="str">
        <f t="shared" si="76"/>
        <v>000000000000</v>
      </c>
      <c r="AK434" s="119"/>
      <c r="AL434" s="120"/>
      <c r="AP434" s="115" t="str">
        <f t="shared" si="72"/>
        <v/>
      </c>
    </row>
    <row r="435" spans="1:42" x14ac:dyDescent="0.2">
      <c r="A435" s="63" t="str">
        <f t="shared" si="68"/>
        <v/>
      </c>
      <c r="B435" s="133"/>
      <c r="C435" s="133"/>
      <c r="D435" s="135"/>
      <c r="E435" s="135"/>
      <c r="F435" s="137"/>
      <c r="AA435" s="116" t="str">
        <f t="shared" si="67"/>
        <v>00000000000000</v>
      </c>
      <c r="AB435" s="117" t="str">
        <f t="shared" si="69"/>
        <v>000000000000</v>
      </c>
      <c r="AC435" s="118">
        <f t="shared" si="70"/>
        <v>1</v>
      </c>
      <c r="AD435" s="47">
        <v>2</v>
      </c>
      <c r="AE435" s="66">
        <f t="shared" si="73"/>
        <v>0</v>
      </c>
      <c r="AF435" s="66">
        <f t="shared" si="66"/>
        <v>0</v>
      </c>
      <c r="AG435" s="67" t="str">
        <f t="shared" si="74"/>
        <v>0000000000</v>
      </c>
      <c r="AH435" s="67" t="str">
        <f t="shared" si="75"/>
        <v>.00</v>
      </c>
      <c r="AI435" s="67" t="str">
        <f t="shared" si="71"/>
        <v>00</v>
      </c>
      <c r="AJ435" s="67" t="str">
        <f t="shared" si="76"/>
        <v>000000000000</v>
      </c>
      <c r="AK435" s="119"/>
      <c r="AL435" s="120"/>
      <c r="AP435" s="115" t="str">
        <f t="shared" si="72"/>
        <v/>
      </c>
    </row>
    <row r="436" spans="1:42" x14ac:dyDescent="0.2">
      <c r="A436" s="63" t="str">
        <f t="shared" si="68"/>
        <v/>
      </c>
      <c r="B436" s="133"/>
      <c r="C436" s="133"/>
      <c r="D436" s="135"/>
      <c r="E436" s="135"/>
      <c r="F436" s="137"/>
      <c r="AA436" s="116" t="str">
        <f t="shared" si="67"/>
        <v>00000000000000</v>
      </c>
      <c r="AB436" s="117" t="str">
        <f t="shared" si="69"/>
        <v>000000000000</v>
      </c>
      <c r="AC436" s="118">
        <f t="shared" si="70"/>
        <v>1</v>
      </c>
      <c r="AD436" s="47">
        <v>2</v>
      </c>
      <c r="AE436" s="66">
        <f t="shared" si="73"/>
        <v>0</v>
      </c>
      <c r="AF436" s="66">
        <f t="shared" si="66"/>
        <v>0</v>
      </c>
      <c r="AG436" s="67" t="str">
        <f t="shared" si="74"/>
        <v>0000000000</v>
      </c>
      <c r="AH436" s="67" t="str">
        <f t="shared" si="75"/>
        <v>.00</v>
      </c>
      <c r="AI436" s="67" t="str">
        <f t="shared" si="71"/>
        <v>00</v>
      </c>
      <c r="AJ436" s="67" t="str">
        <f t="shared" si="76"/>
        <v>000000000000</v>
      </c>
      <c r="AK436" s="119"/>
      <c r="AL436" s="120"/>
      <c r="AP436" s="115" t="str">
        <f t="shared" si="72"/>
        <v/>
      </c>
    </row>
    <row r="437" spans="1:42" x14ac:dyDescent="0.2">
      <c r="A437" s="63" t="str">
        <f t="shared" si="68"/>
        <v/>
      </c>
      <c r="B437" s="133"/>
      <c r="C437" s="133"/>
      <c r="D437" s="135"/>
      <c r="E437" s="135"/>
      <c r="F437" s="137"/>
      <c r="AA437" s="116" t="str">
        <f t="shared" si="67"/>
        <v>00000000000000</v>
      </c>
      <c r="AB437" s="117" t="str">
        <f t="shared" si="69"/>
        <v>000000000000</v>
      </c>
      <c r="AC437" s="118">
        <f t="shared" si="70"/>
        <v>1</v>
      </c>
      <c r="AD437" s="47">
        <v>2</v>
      </c>
      <c r="AE437" s="66">
        <f t="shared" si="73"/>
        <v>0</v>
      </c>
      <c r="AF437" s="66">
        <f t="shared" si="66"/>
        <v>0</v>
      </c>
      <c r="AG437" s="67" t="str">
        <f t="shared" si="74"/>
        <v>0000000000</v>
      </c>
      <c r="AH437" s="67" t="str">
        <f t="shared" si="75"/>
        <v>.00</v>
      </c>
      <c r="AI437" s="67" t="str">
        <f t="shared" si="71"/>
        <v>00</v>
      </c>
      <c r="AJ437" s="67" t="str">
        <f t="shared" si="76"/>
        <v>000000000000</v>
      </c>
      <c r="AK437" s="119"/>
      <c r="AL437" s="120"/>
      <c r="AP437" s="115" t="str">
        <f t="shared" si="72"/>
        <v/>
      </c>
    </row>
    <row r="438" spans="1:42" x14ac:dyDescent="0.2">
      <c r="A438" s="63" t="str">
        <f t="shared" si="68"/>
        <v/>
      </c>
      <c r="B438" s="133"/>
      <c r="C438" s="133"/>
      <c r="D438" s="135"/>
      <c r="E438" s="135"/>
      <c r="F438" s="137"/>
      <c r="AA438" s="116" t="str">
        <f t="shared" si="67"/>
        <v>00000000000000</v>
      </c>
      <c r="AB438" s="117" t="str">
        <f t="shared" si="69"/>
        <v>000000000000</v>
      </c>
      <c r="AC438" s="118">
        <f t="shared" si="70"/>
        <v>1</v>
      </c>
      <c r="AD438" s="47">
        <v>2</v>
      </c>
      <c r="AE438" s="66">
        <f t="shared" si="73"/>
        <v>0</v>
      </c>
      <c r="AF438" s="66">
        <f t="shared" si="66"/>
        <v>0</v>
      </c>
      <c r="AG438" s="67" t="str">
        <f t="shared" si="74"/>
        <v>0000000000</v>
      </c>
      <c r="AH438" s="67" t="str">
        <f t="shared" si="75"/>
        <v>.00</v>
      </c>
      <c r="AI438" s="67" t="str">
        <f t="shared" si="71"/>
        <v>00</v>
      </c>
      <c r="AJ438" s="67" t="str">
        <f t="shared" si="76"/>
        <v>000000000000</v>
      </c>
      <c r="AK438" s="119"/>
      <c r="AL438" s="120"/>
      <c r="AP438" s="115" t="str">
        <f t="shared" si="72"/>
        <v/>
      </c>
    </row>
    <row r="439" spans="1:42" x14ac:dyDescent="0.2">
      <c r="A439" s="63" t="str">
        <f t="shared" si="68"/>
        <v/>
      </c>
      <c r="B439" s="133"/>
      <c r="C439" s="133"/>
      <c r="D439" s="135"/>
      <c r="E439" s="135"/>
      <c r="F439" s="137"/>
      <c r="AA439" s="116" t="str">
        <f t="shared" si="67"/>
        <v>00000000000000</v>
      </c>
      <c r="AB439" s="117" t="str">
        <f t="shared" si="69"/>
        <v>000000000000</v>
      </c>
      <c r="AC439" s="118">
        <f t="shared" si="70"/>
        <v>1</v>
      </c>
      <c r="AD439" s="47">
        <v>2</v>
      </c>
      <c r="AE439" s="66">
        <f t="shared" si="73"/>
        <v>0</v>
      </c>
      <c r="AF439" s="66">
        <f t="shared" si="66"/>
        <v>0</v>
      </c>
      <c r="AG439" s="67" t="str">
        <f t="shared" si="74"/>
        <v>0000000000</v>
      </c>
      <c r="AH439" s="67" t="str">
        <f t="shared" si="75"/>
        <v>.00</v>
      </c>
      <c r="AI439" s="67" t="str">
        <f t="shared" si="71"/>
        <v>00</v>
      </c>
      <c r="AJ439" s="67" t="str">
        <f t="shared" si="76"/>
        <v>000000000000</v>
      </c>
      <c r="AK439" s="119"/>
      <c r="AL439" s="120"/>
      <c r="AP439" s="115" t="str">
        <f t="shared" si="72"/>
        <v/>
      </c>
    </row>
    <row r="440" spans="1:42" x14ac:dyDescent="0.2">
      <c r="A440" s="63" t="str">
        <f t="shared" si="68"/>
        <v/>
      </c>
      <c r="B440" s="133"/>
      <c r="C440" s="133"/>
      <c r="D440" s="135"/>
      <c r="E440" s="135"/>
      <c r="F440" s="137"/>
      <c r="AA440" s="116" t="str">
        <f t="shared" si="67"/>
        <v>00000000000000</v>
      </c>
      <c r="AB440" s="117" t="str">
        <f t="shared" si="69"/>
        <v>000000000000</v>
      </c>
      <c r="AC440" s="118">
        <f t="shared" si="70"/>
        <v>1</v>
      </c>
      <c r="AD440" s="47">
        <v>2</v>
      </c>
      <c r="AE440" s="66">
        <f t="shared" si="73"/>
        <v>0</v>
      </c>
      <c r="AF440" s="66">
        <f t="shared" si="66"/>
        <v>0</v>
      </c>
      <c r="AG440" s="67" t="str">
        <f t="shared" si="74"/>
        <v>0000000000</v>
      </c>
      <c r="AH440" s="67" t="str">
        <f t="shared" si="75"/>
        <v>.00</v>
      </c>
      <c r="AI440" s="67" t="str">
        <f t="shared" si="71"/>
        <v>00</v>
      </c>
      <c r="AJ440" s="67" t="str">
        <f t="shared" si="76"/>
        <v>000000000000</v>
      </c>
      <c r="AK440" s="119"/>
      <c r="AL440" s="120"/>
      <c r="AP440" s="115" t="str">
        <f t="shared" si="72"/>
        <v/>
      </c>
    </row>
    <row r="441" spans="1:42" x14ac:dyDescent="0.2">
      <c r="A441" s="63" t="str">
        <f t="shared" si="68"/>
        <v/>
      </c>
      <c r="B441" s="133"/>
      <c r="C441" s="133"/>
      <c r="D441" s="135"/>
      <c r="E441" s="135"/>
      <c r="F441" s="137"/>
      <c r="AA441" s="116" t="str">
        <f t="shared" si="67"/>
        <v>00000000000000</v>
      </c>
      <c r="AB441" s="117" t="str">
        <f t="shared" si="69"/>
        <v>000000000000</v>
      </c>
      <c r="AC441" s="118">
        <f t="shared" si="70"/>
        <v>1</v>
      </c>
      <c r="AD441" s="47">
        <v>2</v>
      </c>
      <c r="AE441" s="66">
        <f t="shared" si="73"/>
        <v>0</v>
      </c>
      <c r="AF441" s="66">
        <f t="shared" si="66"/>
        <v>0</v>
      </c>
      <c r="AG441" s="67" t="str">
        <f t="shared" si="74"/>
        <v>0000000000</v>
      </c>
      <c r="AH441" s="67" t="str">
        <f t="shared" si="75"/>
        <v>.00</v>
      </c>
      <c r="AI441" s="67" t="str">
        <f t="shared" si="71"/>
        <v>00</v>
      </c>
      <c r="AJ441" s="67" t="str">
        <f t="shared" si="76"/>
        <v>000000000000</v>
      </c>
      <c r="AK441" s="119"/>
      <c r="AL441" s="120"/>
      <c r="AP441" s="115" t="str">
        <f t="shared" si="72"/>
        <v/>
      </c>
    </row>
    <row r="442" spans="1:42" x14ac:dyDescent="0.2">
      <c r="A442" s="63" t="str">
        <f t="shared" si="68"/>
        <v/>
      </c>
      <c r="B442" s="133"/>
      <c r="C442" s="133"/>
      <c r="D442" s="135"/>
      <c r="E442" s="135"/>
      <c r="F442" s="137"/>
      <c r="AA442" s="116" t="str">
        <f t="shared" si="67"/>
        <v>00000000000000</v>
      </c>
      <c r="AB442" s="117" t="str">
        <f t="shared" si="69"/>
        <v>000000000000</v>
      </c>
      <c r="AC442" s="118">
        <f t="shared" si="70"/>
        <v>1</v>
      </c>
      <c r="AD442" s="47">
        <v>2</v>
      </c>
      <c r="AE442" s="66">
        <f t="shared" si="73"/>
        <v>0</v>
      </c>
      <c r="AF442" s="66">
        <f t="shared" si="66"/>
        <v>0</v>
      </c>
      <c r="AG442" s="67" t="str">
        <f t="shared" si="74"/>
        <v>0000000000</v>
      </c>
      <c r="AH442" s="67" t="str">
        <f t="shared" si="75"/>
        <v>.00</v>
      </c>
      <c r="AI442" s="67" t="str">
        <f t="shared" si="71"/>
        <v>00</v>
      </c>
      <c r="AJ442" s="67" t="str">
        <f t="shared" si="76"/>
        <v>000000000000</v>
      </c>
      <c r="AK442" s="119"/>
      <c r="AL442" s="120"/>
      <c r="AP442" s="115" t="str">
        <f t="shared" si="72"/>
        <v/>
      </c>
    </row>
    <row r="443" spans="1:42" x14ac:dyDescent="0.2">
      <c r="A443" s="63" t="str">
        <f t="shared" si="68"/>
        <v/>
      </c>
      <c r="B443" s="133"/>
      <c r="C443" s="133"/>
      <c r="D443" s="135"/>
      <c r="E443" s="135"/>
      <c r="F443" s="137"/>
      <c r="AA443" s="116" t="str">
        <f t="shared" si="67"/>
        <v>00000000000000</v>
      </c>
      <c r="AB443" s="117" t="str">
        <f t="shared" si="69"/>
        <v>000000000000</v>
      </c>
      <c r="AC443" s="118">
        <f t="shared" si="70"/>
        <v>1</v>
      </c>
      <c r="AD443" s="47">
        <v>2</v>
      </c>
      <c r="AE443" s="66">
        <f t="shared" si="73"/>
        <v>0</v>
      </c>
      <c r="AF443" s="66">
        <f t="shared" si="66"/>
        <v>0</v>
      </c>
      <c r="AG443" s="67" t="str">
        <f t="shared" si="74"/>
        <v>0000000000</v>
      </c>
      <c r="AH443" s="67" t="str">
        <f t="shared" si="75"/>
        <v>.00</v>
      </c>
      <c r="AI443" s="67" t="str">
        <f t="shared" si="71"/>
        <v>00</v>
      </c>
      <c r="AJ443" s="67" t="str">
        <f t="shared" si="76"/>
        <v>000000000000</v>
      </c>
      <c r="AK443" s="119"/>
      <c r="AL443" s="120"/>
      <c r="AP443" s="115" t="str">
        <f t="shared" si="72"/>
        <v/>
      </c>
    </row>
    <row r="444" spans="1:42" x14ac:dyDescent="0.2">
      <c r="A444" s="63" t="str">
        <f t="shared" si="68"/>
        <v/>
      </c>
      <c r="B444" s="133"/>
      <c r="C444" s="133"/>
      <c r="D444" s="135"/>
      <c r="E444" s="135"/>
      <c r="F444" s="137"/>
      <c r="AA444" s="116" t="str">
        <f t="shared" si="67"/>
        <v>00000000000000</v>
      </c>
      <c r="AB444" s="117" t="str">
        <f t="shared" si="69"/>
        <v>000000000000</v>
      </c>
      <c r="AC444" s="118">
        <f t="shared" si="70"/>
        <v>1</v>
      </c>
      <c r="AD444" s="47">
        <v>2</v>
      </c>
      <c r="AE444" s="66">
        <f t="shared" si="73"/>
        <v>0</v>
      </c>
      <c r="AF444" s="66">
        <f t="shared" si="66"/>
        <v>0</v>
      </c>
      <c r="AG444" s="67" t="str">
        <f t="shared" si="74"/>
        <v>0000000000</v>
      </c>
      <c r="AH444" s="67" t="str">
        <f t="shared" si="75"/>
        <v>.00</v>
      </c>
      <c r="AI444" s="67" t="str">
        <f t="shared" si="71"/>
        <v>00</v>
      </c>
      <c r="AJ444" s="67" t="str">
        <f t="shared" si="76"/>
        <v>000000000000</v>
      </c>
      <c r="AK444" s="119"/>
      <c r="AL444" s="120"/>
      <c r="AP444" s="115" t="str">
        <f t="shared" si="72"/>
        <v/>
      </c>
    </row>
    <row r="445" spans="1:42" x14ac:dyDescent="0.2">
      <c r="A445" s="63" t="str">
        <f t="shared" si="68"/>
        <v/>
      </c>
      <c r="B445" s="133"/>
      <c r="C445" s="133"/>
      <c r="D445" s="135"/>
      <c r="E445" s="135"/>
      <c r="F445" s="137"/>
      <c r="AA445" s="116" t="str">
        <f t="shared" si="67"/>
        <v>00000000000000</v>
      </c>
      <c r="AB445" s="117" t="str">
        <f t="shared" si="69"/>
        <v>000000000000</v>
      </c>
      <c r="AC445" s="118">
        <f t="shared" si="70"/>
        <v>1</v>
      </c>
      <c r="AD445" s="47">
        <v>2</v>
      </c>
      <c r="AE445" s="66">
        <f t="shared" si="73"/>
        <v>0</v>
      </c>
      <c r="AF445" s="66">
        <f t="shared" si="66"/>
        <v>0</v>
      </c>
      <c r="AG445" s="67" t="str">
        <f t="shared" si="74"/>
        <v>0000000000</v>
      </c>
      <c r="AH445" s="67" t="str">
        <f t="shared" si="75"/>
        <v>.00</v>
      </c>
      <c r="AI445" s="67" t="str">
        <f t="shared" si="71"/>
        <v>00</v>
      </c>
      <c r="AJ445" s="67" t="str">
        <f t="shared" si="76"/>
        <v>000000000000</v>
      </c>
      <c r="AK445" s="119"/>
      <c r="AL445" s="120"/>
      <c r="AP445" s="115" t="str">
        <f t="shared" si="72"/>
        <v/>
      </c>
    </row>
    <row r="446" spans="1:42" x14ac:dyDescent="0.2">
      <c r="A446" s="63" t="str">
        <f t="shared" si="68"/>
        <v/>
      </c>
      <c r="B446" s="133"/>
      <c r="C446" s="133"/>
      <c r="D446" s="135"/>
      <c r="E446" s="135"/>
      <c r="F446" s="137"/>
      <c r="AA446" s="116" t="str">
        <f t="shared" si="67"/>
        <v>00000000000000</v>
      </c>
      <c r="AB446" s="117" t="str">
        <f t="shared" si="69"/>
        <v>000000000000</v>
      </c>
      <c r="AC446" s="118">
        <f t="shared" si="70"/>
        <v>1</v>
      </c>
      <c r="AD446" s="47">
        <v>2</v>
      </c>
      <c r="AE446" s="66">
        <f t="shared" si="73"/>
        <v>0</v>
      </c>
      <c r="AF446" s="66">
        <f t="shared" si="66"/>
        <v>0</v>
      </c>
      <c r="AG446" s="67" t="str">
        <f t="shared" si="74"/>
        <v>0000000000</v>
      </c>
      <c r="AH446" s="67" t="str">
        <f t="shared" si="75"/>
        <v>.00</v>
      </c>
      <c r="AI446" s="67" t="str">
        <f t="shared" si="71"/>
        <v>00</v>
      </c>
      <c r="AJ446" s="67" t="str">
        <f t="shared" si="76"/>
        <v>000000000000</v>
      </c>
      <c r="AK446" s="119"/>
      <c r="AL446" s="120"/>
      <c r="AP446" s="115" t="str">
        <f t="shared" si="72"/>
        <v/>
      </c>
    </row>
    <row r="447" spans="1:42" x14ac:dyDescent="0.2">
      <c r="A447" s="63" t="str">
        <f t="shared" si="68"/>
        <v/>
      </c>
      <c r="B447" s="133"/>
      <c r="C447" s="133"/>
      <c r="D447" s="135"/>
      <c r="E447" s="135"/>
      <c r="F447" s="137"/>
      <c r="AA447" s="116" t="str">
        <f t="shared" si="67"/>
        <v>00000000000000</v>
      </c>
      <c r="AB447" s="117" t="str">
        <f t="shared" si="69"/>
        <v>000000000000</v>
      </c>
      <c r="AC447" s="118">
        <f t="shared" si="70"/>
        <v>1</v>
      </c>
      <c r="AD447" s="47">
        <v>2</v>
      </c>
      <c r="AE447" s="66">
        <f t="shared" si="73"/>
        <v>0</v>
      </c>
      <c r="AF447" s="66">
        <f t="shared" si="66"/>
        <v>0</v>
      </c>
      <c r="AG447" s="67" t="str">
        <f t="shared" si="74"/>
        <v>0000000000</v>
      </c>
      <c r="AH447" s="67" t="str">
        <f t="shared" si="75"/>
        <v>.00</v>
      </c>
      <c r="AI447" s="67" t="str">
        <f t="shared" si="71"/>
        <v>00</v>
      </c>
      <c r="AJ447" s="67" t="str">
        <f t="shared" si="76"/>
        <v>000000000000</v>
      </c>
      <c r="AK447" s="119"/>
      <c r="AL447" s="120"/>
      <c r="AP447" s="115" t="str">
        <f t="shared" si="72"/>
        <v/>
      </c>
    </row>
    <row r="448" spans="1:42" x14ac:dyDescent="0.2">
      <c r="A448" s="63" t="str">
        <f t="shared" si="68"/>
        <v/>
      </c>
      <c r="B448" s="133"/>
      <c r="C448" s="133"/>
      <c r="D448" s="135"/>
      <c r="E448" s="135"/>
      <c r="F448" s="137"/>
      <c r="AA448" s="116" t="str">
        <f t="shared" si="67"/>
        <v>00000000000000</v>
      </c>
      <c r="AB448" s="117" t="str">
        <f t="shared" si="69"/>
        <v>000000000000</v>
      </c>
      <c r="AC448" s="118">
        <f t="shared" si="70"/>
        <v>1</v>
      </c>
      <c r="AD448" s="47">
        <v>2</v>
      </c>
      <c r="AE448" s="66">
        <f t="shared" si="73"/>
        <v>0</v>
      </c>
      <c r="AF448" s="66">
        <f t="shared" si="66"/>
        <v>0</v>
      </c>
      <c r="AG448" s="67" t="str">
        <f t="shared" si="74"/>
        <v>0000000000</v>
      </c>
      <c r="AH448" s="67" t="str">
        <f t="shared" si="75"/>
        <v>.00</v>
      </c>
      <c r="AI448" s="67" t="str">
        <f t="shared" si="71"/>
        <v>00</v>
      </c>
      <c r="AJ448" s="67" t="str">
        <f t="shared" si="76"/>
        <v>000000000000</v>
      </c>
      <c r="AK448" s="119"/>
      <c r="AL448" s="120"/>
      <c r="AP448" s="115" t="str">
        <f t="shared" si="72"/>
        <v/>
      </c>
    </row>
    <row r="449" spans="1:42" x14ac:dyDescent="0.2">
      <c r="A449" s="63" t="str">
        <f t="shared" si="68"/>
        <v/>
      </c>
      <c r="B449" s="133"/>
      <c r="C449" s="133"/>
      <c r="D449" s="135"/>
      <c r="E449" s="135"/>
      <c r="F449" s="137"/>
      <c r="AA449" s="116" t="str">
        <f t="shared" si="67"/>
        <v>00000000000000</v>
      </c>
      <c r="AB449" s="117" t="str">
        <f t="shared" si="69"/>
        <v>000000000000</v>
      </c>
      <c r="AC449" s="118">
        <f t="shared" si="70"/>
        <v>1</v>
      </c>
      <c r="AD449" s="47">
        <v>2</v>
      </c>
      <c r="AE449" s="66">
        <f t="shared" si="73"/>
        <v>0</v>
      </c>
      <c r="AF449" s="66">
        <f t="shared" si="66"/>
        <v>0</v>
      </c>
      <c r="AG449" s="67" t="str">
        <f t="shared" si="74"/>
        <v>0000000000</v>
      </c>
      <c r="AH449" s="67" t="str">
        <f t="shared" si="75"/>
        <v>.00</v>
      </c>
      <c r="AI449" s="67" t="str">
        <f t="shared" si="71"/>
        <v>00</v>
      </c>
      <c r="AJ449" s="67" t="str">
        <f t="shared" si="76"/>
        <v>000000000000</v>
      </c>
      <c r="AK449" s="119"/>
      <c r="AL449" s="120"/>
      <c r="AP449" s="115" t="str">
        <f t="shared" si="72"/>
        <v/>
      </c>
    </row>
    <row r="450" spans="1:42" x14ac:dyDescent="0.2">
      <c r="A450" s="63" t="str">
        <f t="shared" si="68"/>
        <v/>
      </c>
      <c r="B450" s="133"/>
      <c r="C450" s="133"/>
      <c r="D450" s="135"/>
      <c r="E450" s="135"/>
      <c r="F450" s="137"/>
      <c r="AA450" s="116" t="str">
        <f t="shared" si="67"/>
        <v>00000000000000</v>
      </c>
      <c r="AB450" s="117" t="str">
        <f t="shared" si="69"/>
        <v>000000000000</v>
      </c>
      <c r="AC450" s="118">
        <f t="shared" si="70"/>
        <v>1</v>
      </c>
      <c r="AD450" s="47">
        <v>2</v>
      </c>
      <c r="AE450" s="66">
        <f t="shared" si="73"/>
        <v>0</v>
      </c>
      <c r="AF450" s="66">
        <f t="shared" si="66"/>
        <v>0</v>
      </c>
      <c r="AG450" s="67" t="str">
        <f t="shared" si="74"/>
        <v>0000000000</v>
      </c>
      <c r="AH450" s="67" t="str">
        <f t="shared" si="75"/>
        <v>.00</v>
      </c>
      <c r="AI450" s="67" t="str">
        <f t="shared" si="71"/>
        <v>00</v>
      </c>
      <c r="AJ450" s="67" t="str">
        <f t="shared" si="76"/>
        <v>000000000000</v>
      </c>
      <c r="AK450" s="119"/>
      <c r="AL450" s="120"/>
      <c r="AP450" s="115" t="str">
        <f t="shared" si="72"/>
        <v/>
      </c>
    </row>
    <row r="451" spans="1:42" x14ac:dyDescent="0.2">
      <c r="A451" s="63" t="str">
        <f t="shared" si="68"/>
        <v/>
      </c>
      <c r="B451" s="133"/>
      <c r="C451" s="133"/>
      <c r="D451" s="135"/>
      <c r="E451" s="135"/>
      <c r="F451" s="137"/>
      <c r="AA451" s="116" t="str">
        <f t="shared" si="67"/>
        <v>00000000000000</v>
      </c>
      <c r="AB451" s="117" t="str">
        <f t="shared" si="69"/>
        <v>000000000000</v>
      </c>
      <c r="AC451" s="118">
        <f t="shared" si="70"/>
        <v>1</v>
      </c>
      <c r="AD451" s="47">
        <v>2</v>
      </c>
      <c r="AE451" s="66">
        <f t="shared" si="73"/>
        <v>0</v>
      </c>
      <c r="AF451" s="66">
        <f t="shared" ref="AF451:AF514" si="77">F451-AE451</f>
        <v>0</v>
      </c>
      <c r="AG451" s="67" t="str">
        <f t="shared" si="74"/>
        <v>0000000000</v>
      </c>
      <c r="AH451" s="67" t="str">
        <f t="shared" si="75"/>
        <v>.00</v>
      </c>
      <c r="AI451" s="67" t="str">
        <f t="shared" si="71"/>
        <v>00</v>
      </c>
      <c r="AJ451" s="67" t="str">
        <f t="shared" si="76"/>
        <v>000000000000</v>
      </c>
      <c r="AK451" s="119"/>
      <c r="AL451" s="120"/>
      <c r="AP451" s="115" t="str">
        <f t="shared" si="72"/>
        <v/>
      </c>
    </row>
    <row r="452" spans="1:42" x14ac:dyDescent="0.2">
      <c r="A452" s="63" t="str">
        <f t="shared" si="68"/>
        <v/>
      </c>
      <c r="B452" s="133"/>
      <c r="C452" s="133"/>
      <c r="D452" s="135"/>
      <c r="E452" s="135"/>
      <c r="F452" s="137"/>
      <c r="AA452" s="116" t="str">
        <f t="shared" ref="AA452:AA515" si="78">CONCATENATE(REPT("0",14-LEN(B452)),B452)</f>
        <v>00000000000000</v>
      </c>
      <c r="AB452" s="117" t="str">
        <f t="shared" si="69"/>
        <v>000000000000</v>
      </c>
      <c r="AC452" s="118">
        <f t="shared" si="70"/>
        <v>1</v>
      </c>
      <c r="AD452" s="47">
        <v>2</v>
      </c>
      <c r="AE452" s="66">
        <f t="shared" si="73"/>
        <v>0</v>
      </c>
      <c r="AF452" s="66">
        <f t="shared" si="77"/>
        <v>0</v>
      </c>
      <c r="AG452" s="67" t="str">
        <f t="shared" si="74"/>
        <v>0000000000</v>
      </c>
      <c r="AH452" s="67" t="str">
        <f t="shared" si="75"/>
        <v>.00</v>
      </c>
      <c r="AI452" s="67" t="str">
        <f t="shared" si="71"/>
        <v>00</v>
      </c>
      <c r="AJ452" s="67" t="str">
        <f t="shared" si="76"/>
        <v>000000000000</v>
      </c>
      <c r="AK452" s="119"/>
      <c r="AL452" s="120"/>
      <c r="AP452" s="115" t="str">
        <f t="shared" si="72"/>
        <v/>
      </c>
    </row>
    <row r="453" spans="1:42" x14ac:dyDescent="0.2">
      <c r="A453" s="63" t="str">
        <f t="shared" ref="A453:A516" si="79">IF(B453&lt;&gt;"",A452+1,"")</f>
        <v/>
      </c>
      <c r="B453" s="133"/>
      <c r="C453" s="133"/>
      <c r="D453" s="135"/>
      <c r="E453" s="135"/>
      <c r="F453" s="137"/>
      <c r="AA453" s="116" t="str">
        <f t="shared" si="78"/>
        <v>00000000000000</v>
      </c>
      <c r="AB453" s="117" t="str">
        <f t="shared" ref="AB453:AB516" si="80">CONCATENATE(REPT("0",12-LEN(C453)),C453)</f>
        <v>000000000000</v>
      </c>
      <c r="AC453" s="118">
        <f t="shared" ref="AC453:AC516" si="81">AC452</f>
        <v>1</v>
      </c>
      <c r="AD453" s="47">
        <v>2</v>
      </c>
      <c r="AE453" s="66">
        <f t="shared" si="73"/>
        <v>0</v>
      </c>
      <c r="AF453" s="66">
        <f t="shared" si="77"/>
        <v>0</v>
      </c>
      <c r="AG453" s="67" t="str">
        <f t="shared" si="74"/>
        <v>0000000000</v>
      </c>
      <c r="AH453" s="67" t="str">
        <f t="shared" si="75"/>
        <v>.00</v>
      </c>
      <c r="AI453" s="67" t="str">
        <f t="shared" ref="AI453:AI516" si="82">MID(AH453,2,2)</f>
        <v>00</v>
      </c>
      <c r="AJ453" s="67" t="str">
        <f t="shared" si="76"/>
        <v>000000000000</v>
      </c>
      <c r="AK453" s="119"/>
      <c r="AL453" s="120"/>
      <c r="AP453" s="115" t="str">
        <f t="shared" si="72"/>
        <v/>
      </c>
    </row>
    <row r="454" spans="1:42" x14ac:dyDescent="0.2">
      <c r="A454" s="63" t="str">
        <f t="shared" si="79"/>
        <v/>
      </c>
      <c r="B454" s="133"/>
      <c r="C454" s="133"/>
      <c r="D454" s="135"/>
      <c r="E454" s="135"/>
      <c r="F454" s="137"/>
      <c r="AA454" s="116" t="str">
        <f t="shared" si="78"/>
        <v>00000000000000</v>
      </c>
      <c r="AB454" s="117" t="str">
        <f t="shared" si="80"/>
        <v>000000000000</v>
      </c>
      <c r="AC454" s="118">
        <f t="shared" si="81"/>
        <v>1</v>
      </c>
      <c r="AD454" s="47">
        <v>2</v>
      </c>
      <c r="AE454" s="66">
        <f t="shared" si="73"/>
        <v>0</v>
      </c>
      <c r="AF454" s="66">
        <f t="shared" si="77"/>
        <v>0</v>
      </c>
      <c r="AG454" s="67" t="str">
        <f t="shared" si="74"/>
        <v>0000000000</v>
      </c>
      <c r="AH454" s="67" t="str">
        <f t="shared" si="75"/>
        <v>.00</v>
      </c>
      <c r="AI454" s="67" t="str">
        <f t="shared" si="82"/>
        <v>00</v>
      </c>
      <c r="AJ454" s="67" t="str">
        <f t="shared" si="76"/>
        <v>000000000000</v>
      </c>
      <c r="AK454" s="119"/>
      <c r="AL454" s="120"/>
      <c r="AP454" s="115" t="str">
        <f t="shared" ref="AP454:AP517" si="83">IF(B455&lt;&gt;"",CONCATENATE("00000",$AD$1,AA455,$AC$3,"2",AB455,AJ455,$AL$3,"0                                                  "),"")</f>
        <v/>
      </c>
    </row>
    <row r="455" spans="1:42" x14ac:dyDescent="0.2">
      <c r="A455" s="63" t="str">
        <f t="shared" si="79"/>
        <v/>
      </c>
      <c r="B455" s="133"/>
      <c r="C455" s="133"/>
      <c r="D455" s="135"/>
      <c r="E455" s="135"/>
      <c r="F455" s="137"/>
      <c r="AA455" s="116" t="str">
        <f t="shared" si="78"/>
        <v>00000000000000</v>
      </c>
      <c r="AB455" s="117" t="str">
        <f t="shared" si="80"/>
        <v>000000000000</v>
      </c>
      <c r="AC455" s="118">
        <f t="shared" si="81"/>
        <v>1</v>
      </c>
      <c r="AD455" s="47">
        <v>2</v>
      </c>
      <c r="AE455" s="66">
        <f t="shared" si="73"/>
        <v>0</v>
      </c>
      <c r="AF455" s="66">
        <f t="shared" si="77"/>
        <v>0</v>
      </c>
      <c r="AG455" s="67" t="str">
        <f t="shared" si="74"/>
        <v>0000000000</v>
      </c>
      <c r="AH455" s="67" t="str">
        <f t="shared" si="75"/>
        <v>.00</v>
      </c>
      <c r="AI455" s="67" t="str">
        <f t="shared" si="82"/>
        <v>00</v>
      </c>
      <c r="AJ455" s="67" t="str">
        <f t="shared" si="76"/>
        <v>000000000000</v>
      </c>
      <c r="AK455" s="119"/>
      <c r="AL455" s="120"/>
      <c r="AP455" s="115" t="str">
        <f t="shared" si="83"/>
        <v/>
      </c>
    </row>
    <row r="456" spans="1:42" x14ac:dyDescent="0.2">
      <c r="A456" s="63" t="str">
        <f t="shared" si="79"/>
        <v/>
      </c>
      <c r="B456" s="133"/>
      <c r="C456" s="133"/>
      <c r="D456" s="135"/>
      <c r="E456" s="135"/>
      <c r="F456" s="137"/>
      <c r="AA456" s="116" t="str">
        <f t="shared" si="78"/>
        <v>00000000000000</v>
      </c>
      <c r="AB456" s="117" t="str">
        <f t="shared" si="80"/>
        <v>000000000000</v>
      </c>
      <c r="AC456" s="118">
        <f t="shared" si="81"/>
        <v>1</v>
      </c>
      <c r="AD456" s="47">
        <v>2</v>
      </c>
      <c r="AE456" s="66">
        <f t="shared" ref="AE456:AE519" si="84">INT(F456)</f>
        <v>0</v>
      </c>
      <c r="AF456" s="66">
        <f t="shared" si="77"/>
        <v>0</v>
      </c>
      <c r="AG456" s="67" t="str">
        <f t="shared" ref="AG456:AG519" si="85">TEXT(AE456,"0000000000")</f>
        <v>0000000000</v>
      </c>
      <c r="AH456" s="67" t="str">
        <f t="shared" ref="AH456:AH519" si="86">TEXT(AF456,".00")</f>
        <v>.00</v>
      </c>
      <c r="AI456" s="67" t="str">
        <f t="shared" si="82"/>
        <v>00</v>
      </c>
      <c r="AJ456" s="67" t="str">
        <f t="shared" ref="AJ456:AJ519" si="87">CONCATENATE(AG456,AI456)</f>
        <v>000000000000</v>
      </c>
      <c r="AK456" s="119"/>
      <c r="AL456" s="120"/>
      <c r="AP456" s="115" t="str">
        <f t="shared" si="83"/>
        <v/>
      </c>
    </row>
    <row r="457" spans="1:42" x14ac:dyDescent="0.2">
      <c r="A457" s="63" t="str">
        <f t="shared" si="79"/>
        <v/>
      </c>
      <c r="B457" s="133"/>
      <c r="C457" s="133"/>
      <c r="D457" s="135"/>
      <c r="E457" s="135"/>
      <c r="F457" s="137"/>
      <c r="AA457" s="116" t="str">
        <f t="shared" si="78"/>
        <v>00000000000000</v>
      </c>
      <c r="AB457" s="117" t="str">
        <f t="shared" si="80"/>
        <v>000000000000</v>
      </c>
      <c r="AC457" s="118">
        <f t="shared" si="81"/>
        <v>1</v>
      </c>
      <c r="AD457" s="47">
        <v>2</v>
      </c>
      <c r="AE457" s="66">
        <f t="shared" si="84"/>
        <v>0</v>
      </c>
      <c r="AF457" s="66">
        <f t="shared" si="77"/>
        <v>0</v>
      </c>
      <c r="AG457" s="67" t="str">
        <f t="shared" si="85"/>
        <v>0000000000</v>
      </c>
      <c r="AH457" s="67" t="str">
        <f t="shared" si="86"/>
        <v>.00</v>
      </c>
      <c r="AI457" s="67" t="str">
        <f t="shared" si="82"/>
        <v>00</v>
      </c>
      <c r="AJ457" s="67" t="str">
        <f t="shared" si="87"/>
        <v>000000000000</v>
      </c>
      <c r="AK457" s="119"/>
      <c r="AL457" s="120"/>
      <c r="AP457" s="115" t="str">
        <f t="shared" si="83"/>
        <v/>
      </c>
    </row>
    <row r="458" spans="1:42" x14ac:dyDescent="0.2">
      <c r="A458" s="63" t="str">
        <f t="shared" si="79"/>
        <v/>
      </c>
      <c r="B458" s="133"/>
      <c r="C458" s="133"/>
      <c r="D458" s="135"/>
      <c r="E458" s="135"/>
      <c r="F458" s="137"/>
      <c r="AA458" s="116" t="str">
        <f t="shared" si="78"/>
        <v>00000000000000</v>
      </c>
      <c r="AB458" s="117" t="str">
        <f t="shared" si="80"/>
        <v>000000000000</v>
      </c>
      <c r="AC458" s="118">
        <f t="shared" si="81"/>
        <v>1</v>
      </c>
      <c r="AD458" s="47">
        <v>2</v>
      </c>
      <c r="AE458" s="66">
        <f t="shared" si="84"/>
        <v>0</v>
      </c>
      <c r="AF458" s="66">
        <f t="shared" si="77"/>
        <v>0</v>
      </c>
      <c r="AG458" s="67" t="str">
        <f t="shared" si="85"/>
        <v>0000000000</v>
      </c>
      <c r="AH458" s="67" t="str">
        <f t="shared" si="86"/>
        <v>.00</v>
      </c>
      <c r="AI458" s="67" t="str">
        <f t="shared" si="82"/>
        <v>00</v>
      </c>
      <c r="AJ458" s="67" t="str">
        <f t="shared" si="87"/>
        <v>000000000000</v>
      </c>
      <c r="AK458" s="119"/>
      <c r="AL458" s="120"/>
      <c r="AP458" s="115" t="str">
        <f t="shared" si="83"/>
        <v/>
      </c>
    </row>
    <row r="459" spans="1:42" x14ac:dyDescent="0.2">
      <c r="A459" s="63" t="str">
        <f t="shared" si="79"/>
        <v/>
      </c>
      <c r="B459" s="133"/>
      <c r="C459" s="133"/>
      <c r="D459" s="135"/>
      <c r="E459" s="135"/>
      <c r="F459" s="137"/>
      <c r="AA459" s="116" t="str">
        <f t="shared" si="78"/>
        <v>00000000000000</v>
      </c>
      <c r="AB459" s="117" t="str">
        <f t="shared" si="80"/>
        <v>000000000000</v>
      </c>
      <c r="AC459" s="118">
        <f t="shared" si="81"/>
        <v>1</v>
      </c>
      <c r="AD459" s="47">
        <v>2</v>
      </c>
      <c r="AE459" s="66">
        <f t="shared" si="84"/>
        <v>0</v>
      </c>
      <c r="AF459" s="66">
        <f t="shared" si="77"/>
        <v>0</v>
      </c>
      <c r="AG459" s="67" t="str">
        <f t="shared" si="85"/>
        <v>0000000000</v>
      </c>
      <c r="AH459" s="67" t="str">
        <f t="shared" si="86"/>
        <v>.00</v>
      </c>
      <c r="AI459" s="67" t="str">
        <f t="shared" si="82"/>
        <v>00</v>
      </c>
      <c r="AJ459" s="67" t="str">
        <f t="shared" si="87"/>
        <v>000000000000</v>
      </c>
      <c r="AK459" s="119"/>
      <c r="AL459" s="120"/>
      <c r="AP459" s="115" t="str">
        <f t="shared" si="83"/>
        <v/>
      </c>
    </row>
    <row r="460" spans="1:42" x14ac:dyDescent="0.2">
      <c r="A460" s="63" t="str">
        <f t="shared" si="79"/>
        <v/>
      </c>
      <c r="B460" s="133"/>
      <c r="C460" s="133"/>
      <c r="D460" s="135"/>
      <c r="E460" s="135"/>
      <c r="F460" s="137"/>
      <c r="AA460" s="116" t="str">
        <f t="shared" si="78"/>
        <v>00000000000000</v>
      </c>
      <c r="AB460" s="117" t="str">
        <f t="shared" si="80"/>
        <v>000000000000</v>
      </c>
      <c r="AC460" s="118">
        <f t="shared" si="81"/>
        <v>1</v>
      </c>
      <c r="AD460" s="47">
        <v>2</v>
      </c>
      <c r="AE460" s="66">
        <f t="shared" si="84"/>
        <v>0</v>
      </c>
      <c r="AF460" s="66">
        <f t="shared" si="77"/>
        <v>0</v>
      </c>
      <c r="AG460" s="67" t="str">
        <f t="shared" si="85"/>
        <v>0000000000</v>
      </c>
      <c r="AH460" s="67" t="str">
        <f t="shared" si="86"/>
        <v>.00</v>
      </c>
      <c r="AI460" s="67" t="str">
        <f t="shared" si="82"/>
        <v>00</v>
      </c>
      <c r="AJ460" s="67" t="str">
        <f t="shared" si="87"/>
        <v>000000000000</v>
      </c>
      <c r="AK460" s="119"/>
      <c r="AL460" s="120"/>
      <c r="AP460" s="115" t="str">
        <f t="shared" si="83"/>
        <v/>
      </c>
    </row>
    <row r="461" spans="1:42" x14ac:dyDescent="0.2">
      <c r="A461" s="63" t="str">
        <f t="shared" si="79"/>
        <v/>
      </c>
      <c r="B461" s="133"/>
      <c r="C461" s="133"/>
      <c r="D461" s="135"/>
      <c r="E461" s="135"/>
      <c r="F461" s="137"/>
      <c r="AA461" s="116" t="str">
        <f t="shared" si="78"/>
        <v>00000000000000</v>
      </c>
      <c r="AB461" s="117" t="str">
        <f t="shared" si="80"/>
        <v>000000000000</v>
      </c>
      <c r="AC461" s="118">
        <f t="shared" si="81"/>
        <v>1</v>
      </c>
      <c r="AD461" s="47">
        <v>2</v>
      </c>
      <c r="AE461" s="66">
        <f t="shared" si="84"/>
        <v>0</v>
      </c>
      <c r="AF461" s="66">
        <f t="shared" si="77"/>
        <v>0</v>
      </c>
      <c r="AG461" s="67" t="str">
        <f t="shared" si="85"/>
        <v>0000000000</v>
      </c>
      <c r="AH461" s="67" t="str">
        <f t="shared" si="86"/>
        <v>.00</v>
      </c>
      <c r="AI461" s="67" t="str">
        <f t="shared" si="82"/>
        <v>00</v>
      </c>
      <c r="AJ461" s="67" t="str">
        <f t="shared" si="87"/>
        <v>000000000000</v>
      </c>
      <c r="AK461" s="119"/>
      <c r="AL461" s="120"/>
      <c r="AP461" s="115" t="str">
        <f t="shared" si="83"/>
        <v/>
      </c>
    </row>
    <row r="462" spans="1:42" x14ac:dyDescent="0.2">
      <c r="A462" s="63" t="str">
        <f t="shared" si="79"/>
        <v/>
      </c>
      <c r="B462" s="133"/>
      <c r="C462" s="133"/>
      <c r="D462" s="135"/>
      <c r="E462" s="135"/>
      <c r="F462" s="137"/>
      <c r="AA462" s="116" t="str">
        <f t="shared" si="78"/>
        <v>00000000000000</v>
      </c>
      <c r="AB462" s="117" t="str">
        <f t="shared" si="80"/>
        <v>000000000000</v>
      </c>
      <c r="AC462" s="118">
        <f t="shared" si="81"/>
        <v>1</v>
      </c>
      <c r="AD462" s="47">
        <v>2</v>
      </c>
      <c r="AE462" s="66">
        <f t="shared" si="84"/>
        <v>0</v>
      </c>
      <c r="AF462" s="66">
        <f t="shared" si="77"/>
        <v>0</v>
      </c>
      <c r="AG462" s="67" t="str">
        <f t="shared" si="85"/>
        <v>0000000000</v>
      </c>
      <c r="AH462" s="67" t="str">
        <f t="shared" si="86"/>
        <v>.00</v>
      </c>
      <c r="AI462" s="67" t="str">
        <f t="shared" si="82"/>
        <v>00</v>
      </c>
      <c r="AJ462" s="67" t="str">
        <f t="shared" si="87"/>
        <v>000000000000</v>
      </c>
      <c r="AK462" s="119"/>
      <c r="AL462" s="120"/>
      <c r="AP462" s="115" t="str">
        <f t="shared" si="83"/>
        <v/>
      </c>
    </row>
    <row r="463" spans="1:42" x14ac:dyDescent="0.2">
      <c r="A463" s="63" t="str">
        <f t="shared" si="79"/>
        <v/>
      </c>
      <c r="B463" s="133"/>
      <c r="C463" s="133"/>
      <c r="D463" s="135"/>
      <c r="E463" s="135"/>
      <c r="F463" s="137"/>
      <c r="AA463" s="116" t="str">
        <f t="shared" si="78"/>
        <v>00000000000000</v>
      </c>
      <c r="AB463" s="117" t="str">
        <f t="shared" si="80"/>
        <v>000000000000</v>
      </c>
      <c r="AC463" s="118">
        <f t="shared" si="81"/>
        <v>1</v>
      </c>
      <c r="AD463" s="47">
        <v>2</v>
      </c>
      <c r="AE463" s="66">
        <f t="shared" si="84"/>
        <v>0</v>
      </c>
      <c r="AF463" s="66">
        <f t="shared" si="77"/>
        <v>0</v>
      </c>
      <c r="AG463" s="67" t="str">
        <f t="shared" si="85"/>
        <v>0000000000</v>
      </c>
      <c r="AH463" s="67" t="str">
        <f t="shared" si="86"/>
        <v>.00</v>
      </c>
      <c r="AI463" s="67" t="str">
        <f t="shared" si="82"/>
        <v>00</v>
      </c>
      <c r="AJ463" s="67" t="str">
        <f t="shared" si="87"/>
        <v>000000000000</v>
      </c>
      <c r="AK463" s="119"/>
      <c r="AL463" s="120"/>
      <c r="AP463" s="115" t="str">
        <f t="shared" si="83"/>
        <v/>
      </c>
    </row>
    <row r="464" spans="1:42" x14ac:dyDescent="0.2">
      <c r="A464" s="63" t="str">
        <f t="shared" si="79"/>
        <v/>
      </c>
      <c r="B464" s="133"/>
      <c r="C464" s="133"/>
      <c r="D464" s="135"/>
      <c r="E464" s="135"/>
      <c r="F464" s="137"/>
      <c r="AA464" s="116" t="str">
        <f t="shared" si="78"/>
        <v>00000000000000</v>
      </c>
      <c r="AB464" s="117" t="str">
        <f t="shared" si="80"/>
        <v>000000000000</v>
      </c>
      <c r="AC464" s="118">
        <f t="shared" si="81"/>
        <v>1</v>
      </c>
      <c r="AD464" s="47">
        <v>2</v>
      </c>
      <c r="AE464" s="66">
        <f t="shared" si="84"/>
        <v>0</v>
      </c>
      <c r="AF464" s="66">
        <f t="shared" si="77"/>
        <v>0</v>
      </c>
      <c r="AG464" s="67" t="str">
        <f t="shared" si="85"/>
        <v>0000000000</v>
      </c>
      <c r="AH464" s="67" t="str">
        <f t="shared" si="86"/>
        <v>.00</v>
      </c>
      <c r="AI464" s="67" t="str">
        <f t="shared" si="82"/>
        <v>00</v>
      </c>
      <c r="AJ464" s="67" t="str">
        <f t="shared" si="87"/>
        <v>000000000000</v>
      </c>
      <c r="AK464" s="119"/>
      <c r="AL464" s="120"/>
      <c r="AP464" s="115" t="str">
        <f t="shared" si="83"/>
        <v/>
      </c>
    </row>
    <row r="465" spans="1:42" x14ac:dyDescent="0.2">
      <c r="A465" s="63" t="str">
        <f t="shared" si="79"/>
        <v/>
      </c>
      <c r="B465" s="133"/>
      <c r="C465" s="133"/>
      <c r="D465" s="135"/>
      <c r="E465" s="135"/>
      <c r="F465" s="137"/>
      <c r="AA465" s="116" t="str">
        <f t="shared" si="78"/>
        <v>00000000000000</v>
      </c>
      <c r="AB465" s="117" t="str">
        <f t="shared" si="80"/>
        <v>000000000000</v>
      </c>
      <c r="AC465" s="118">
        <f t="shared" si="81"/>
        <v>1</v>
      </c>
      <c r="AD465" s="47">
        <v>2</v>
      </c>
      <c r="AE465" s="66">
        <f t="shared" si="84"/>
        <v>0</v>
      </c>
      <c r="AF465" s="66">
        <f t="shared" si="77"/>
        <v>0</v>
      </c>
      <c r="AG465" s="67" t="str">
        <f t="shared" si="85"/>
        <v>0000000000</v>
      </c>
      <c r="AH465" s="67" t="str">
        <f t="shared" si="86"/>
        <v>.00</v>
      </c>
      <c r="AI465" s="67" t="str">
        <f t="shared" si="82"/>
        <v>00</v>
      </c>
      <c r="AJ465" s="67" t="str">
        <f t="shared" si="87"/>
        <v>000000000000</v>
      </c>
      <c r="AK465" s="119"/>
      <c r="AL465" s="120"/>
      <c r="AP465" s="115" t="str">
        <f t="shared" si="83"/>
        <v/>
      </c>
    </row>
    <row r="466" spans="1:42" x14ac:dyDescent="0.2">
      <c r="A466" s="63" t="str">
        <f t="shared" si="79"/>
        <v/>
      </c>
      <c r="B466" s="133"/>
      <c r="C466" s="133"/>
      <c r="D466" s="135"/>
      <c r="E466" s="135"/>
      <c r="F466" s="137"/>
      <c r="AA466" s="116" t="str">
        <f t="shared" si="78"/>
        <v>00000000000000</v>
      </c>
      <c r="AB466" s="117" t="str">
        <f t="shared" si="80"/>
        <v>000000000000</v>
      </c>
      <c r="AC466" s="118">
        <f t="shared" si="81"/>
        <v>1</v>
      </c>
      <c r="AD466" s="47">
        <v>2</v>
      </c>
      <c r="AE466" s="66">
        <f t="shared" si="84"/>
        <v>0</v>
      </c>
      <c r="AF466" s="66">
        <f t="shared" si="77"/>
        <v>0</v>
      </c>
      <c r="AG466" s="67" t="str">
        <f t="shared" si="85"/>
        <v>0000000000</v>
      </c>
      <c r="AH466" s="67" t="str">
        <f t="shared" si="86"/>
        <v>.00</v>
      </c>
      <c r="AI466" s="67" t="str">
        <f t="shared" si="82"/>
        <v>00</v>
      </c>
      <c r="AJ466" s="67" t="str">
        <f t="shared" si="87"/>
        <v>000000000000</v>
      </c>
      <c r="AK466" s="119"/>
      <c r="AL466" s="120"/>
      <c r="AP466" s="115" t="str">
        <f t="shared" si="83"/>
        <v/>
      </c>
    </row>
    <row r="467" spans="1:42" x14ac:dyDescent="0.2">
      <c r="A467" s="63" t="str">
        <f t="shared" si="79"/>
        <v/>
      </c>
      <c r="B467" s="133"/>
      <c r="C467" s="133"/>
      <c r="D467" s="135"/>
      <c r="E467" s="135"/>
      <c r="F467" s="137"/>
      <c r="AA467" s="116" t="str">
        <f t="shared" si="78"/>
        <v>00000000000000</v>
      </c>
      <c r="AB467" s="117" t="str">
        <f t="shared" si="80"/>
        <v>000000000000</v>
      </c>
      <c r="AC467" s="118">
        <f t="shared" si="81"/>
        <v>1</v>
      </c>
      <c r="AD467" s="47">
        <v>2</v>
      </c>
      <c r="AE467" s="66">
        <f t="shared" si="84"/>
        <v>0</v>
      </c>
      <c r="AF467" s="66">
        <f t="shared" si="77"/>
        <v>0</v>
      </c>
      <c r="AG467" s="67" t="str">
        <f t="shared" si="85"/>
        <v>0000000000</v>
      </c>
      <c r="AH467" s="67" t="str">
        <f t="shared" si="86"/>
        <v>.00</v>
      </c>
      <c r="AI467" s="67" t="str">
        <f t="shared" si="82"/>
        <v>00</v>
      </c>
      <c r="AJ467" s="67" t="str">
        <f t="shared" si="87"/>
        <v>000000000000</v>
      </c>
      <c r="AK467" s="119"/>
      <c r="AL467" s="120"/>
      <c r="AP467" s="115" t="str">
        <f t="shared" si="83"/>
        <v/>
      </c>
    </row>
    <row r="468" spans="1:42" x14ac:dyDescent="0.2">
      <c r="A468" s="63" t="str">
        <f t="shared" si="79"/>
        <v/>
      </c>
      <c r="B468" s="133"/>
      <c r="C468" s="133"/>
      <c r="D468" s="135"/>
      <c r="E468" s="135"/>
      <c r="F468" s="137"/>
      <c r="AA468" s="116" t="str">
        <f t="shared" si="78"/>
        <v>00000000000000</v>
      </c>
      <c r="AB468" s="117" t="str">
        <f t="shared" si="80"/>
        <v>000000000000</v>
      </c>
      <c r="AC468" s="118">
        <f t="shared" si="81"/>
        <v>1</v>
      </c>
      <c r="AD468" s="47">
        <v>2</v>
      </c>
      <c r="AE468" s="66">
        <f t="shared" si="84"/>
        <v>0</v>
      </c>
      <c r="AF468" s="66">
        <f t="shared" si="77"/>
        <v>0</v>
      </c>
      <c r="AG468" s="67" t="str">
        <f t="shared" si="85"/>
        <v>0000000000</v>
      </c>
      <c r="AH468" s="67" t="str">
        <f t="shared" si="86"/>
        <v>.00</v>
      </c>
      <c r="AI468" s="67" t="str">
        <f t="shared" si="82"/>
        <v>00</v>
      </c>
      <c r="AJ468" s="67" t="str">
        <f t="shared" si="87"/>
        <v>000000000000</v>
      </c>
      <c r="AK468" s="119"/>
      <c r="AL468" s="120"/>
      <c r="AP468" s="115" t="str">
        <f t="shared" si="83"/>
        <v/>
      </c>
    </row>
    <row r="469" spans="1:42" x14ac:dyDescent="0.2">
      <c r="A469" s="63" t="str">
        <f t="shared" si="79"/>
        <v/>
      </c>
      <c r="B469" s="133"/>
      <c r="C469" s="133"/>
      <c r="D469" s="135"/>
      <c r="E469" s="135"/>
      <c r="F469" s="137"/>
      <c r="AA469" s="116" t="str">
        <f t="shared" si="78"/>
        <v>00000000000000</v>
      </c>
      <c r="AB469" s="117" t="str">
        <f t="shared" si="80"/>
        <v>000000000000</v>
      </c>
      <c r="AC469" s="118">
        <f t="shared" si="81"/>
        <v>1</v>
      </c>
      <c r="AD469" s="47">
        <v>2</v>
      </c>
      <c r="AE469" s="66">
        <f t="shared" si="84"/>
        <v>0</v>
      </c>
      <c r="AF469" s="66">
        <f t="shared" si="77"/>
        <v>0</v>
      </c>
      <c r="AG469" s="67" t="str">
        <f t="shared" si="85"/>
        <v>0000000000</v>
      </c>
      <c r="AH469" s="67" t="str">
        <f t="shared" si="86"/>
        <v>.00</v>
      </c>
      <c r="AI469" s="67" t="str">
        <f t="shared" si="82"/>
        <v>00</v>
      </c>
      <c r="AJ469" s="67" t="str">
        <f t="shared" si="87"/>
        <v>000000000000</v>
      </c>
      <c r="AK469" s="119"/>
      <c r="AL469" s="120"/>
      <c r="AP469" s="115" t="str">
        <f t="shared" si="83"/>
        <v/>
      </c>
    </row>
    <row r="470" spans="1:42" x14ac:dyDescent="0.2">
      <c r="A470" s="63" t="str">
        <f t="shared" si="79"/>
        <v/>
      </c>
      <c r="B470" s="133"/>
      <c r="C470" s="133"/>
      <c r="D470" s="135"/>
      <c r="E470" s="135"/>
      <c r="F470" s="137"/>
      <c r="AA470" s="116" t="str">
        <f t="shared" si="78"/>
        <v>00000000000000</v>
      </c>
      <c r="AB470" s="117" t="str">
        <f t="shared" si="80"/>
        <v>000000000000</v>
      </c>
      <c r="AC470" s="118">
        <f t="shared" si="81"/>
        <v>1</v>
      </c>
      <c r="AD470" s="47">
        <v>2</v>
      </c>
      <c r="AE470" s="66">
        <f t="shared" si="84"/>
        <v>0</v>
      </c>
      <c r="AF470" s="66">
        <f t="shared" si="77"/>
        <v>0</v>
      </c>
      <c r="AG470" s="67" t="str">
        <f t="shared" si="85"/>
        <v>0000000000</v>
      </c>
      <c r="AH470" s="67" t="str">
        <f t="shared" si="86"/>
        <v>.00</v>
      </c>
      <c r="AI470" s="67" t="str">
        <f t="shared" si="82"/>
        <v>00</v>
      </c>
      <c r="AJ470" s="67" t="str">
        <f t="shared" si="87"/>
        <v>000000000000</v>
      </c>
      <c r="AK470" s="119"/>
      <c r="AL470" s="120"/>
      <c r="AP470" s="115" t="str">
        <f t="shared" si="83"/>
        <v/>
      </c>
    </row>
    <row r="471" spans="1:42" x14ac:dyDescent="0.2">
      <c r="A471" s="63" t="str">
        <f t="shared" si="79"/>
        <v/>
      </c>
      <c r="B471" s="133"/>
      <c r="C471" s="133"/>
      <c r="D471" s="135"/>
      <c r="E471" s="135"/>
      <c r="F471" s="137"/>
      <c r="AA471" s="116" t="str">
        <f t="shared" si="78"/>
        <v>00000000000000</v>
      </c>
      <c r="AB471" s="117" t="str">
        <f t="shared" si="80"/>
        <v>000000000000</v>
      </c>
      <c r="AC471" s="118">
        <f t="shared" si="81"/>
        <v>1</v>
      </c>
      <c r="AD471" s="47">
        <v>2</v>
      </c>
      <c r="AE471" s="66">
        <f t="shared" si="84"/>
        <v>0</v>
      </c>
      <c r="AF471" s="66">
        <f t="shared" si="77"/>
        <v>0</v>
      </c>
      <c r="AG471" s="67" t="str">
        <f t="shared" si="85"/>
        <v>0000000000</v>
      </c>
      <c r="AH471" s="67" t="str">
        <f t="shared" si="86"/>
        <v>.00</v>
      </c>
      <c r="AI471" s="67" t="str">
        <f t="shared" si="82"/>
        <v>00</v>
      </c>
      <c r="AJ471" s="67" t="str">
        <f t="shared" si="87"/>
        <v>000000000000</v>
      </c>
      <c r="AK471" s="119"/>
      <c r="AL471" s="120"/>
      <c r="AP471" s="115" t="str">
        <f t="shared" si="83"/>
        <v/>
      </c>
    </row>
    <row r="472" spans="1:42" x14ac:dyDescent="0.2">
      <c r="A472" s="63" t="str">
        <f t="shared" si="79"/>
        <v/>
      </c>
      <c r="B472" s="133"/>
      <c r="C472" s="133"/>
      <c r="D472" s="135"/>
      <c r="E472" s="135"/>
      <c r="F472" s="137"/>
      <c r="AA472" s="116" t="str">
        <f t="shared" si="78"/>
        <v>00000000000000</v>
      </c>
      <c r="AB472" s="117" t="str">
        <f t="shared" si="80"/>
        <v>000000000000</v>
      </c>
      <c r="AC472" s="118">
        <f t="shared" si="81"/>
        <v>1</v>
      </c>
      <c r="AD472" s="47">
        <v>2</v>
      </c>
      <c r="AE472" s="66">
        <f t="shared" si="84"/>
        <v>0</v>
      </c>
      <c r="AF472" s="66">
        <f t="shared" si="77"/>
        <v>0</v>
      </c>
      <c r="AG472" s="67" t="str">
        <f t="shared" si="85"/>
        <v>0000000000</v>
      </c>
      <c r="AH472" s="67" t="str">
        <f t="shared" si="86"/>
        <v>.00</v>
      </c>
      <c r="AI472" s="67" t="str">
        <f t="shared" si="82"/>
        <v>00</v>
      </c>
      <c r="AJ472" s="67" t="str">
        <f t="shared" si="87"/>
        <v>000000000000</v>
      </c>
      <c r="AK472" s="119"/>
      <c r="AL472" s="120"/>
      <c r="AP472" s="115" t="str">
        <f t="shared" si="83"/>
        <v/>
      </c>
    </row>
    <row r="473" spans="1:42" x14ac:dyDescent="0.2">
      <c r="A473" s="63" t="str">
        <f t="shared" si="79"/>
        <v/>
      </c>
      <c r="B473" s="133"/>
      <c r="C473" s="133"/>
      <c r="D473" s="135"/>
      <c r="E473" s="135"/>
      <c r="F473" s="137"/>
      <c r="AA473" s="116" t="str">
        <f t="shared" si="78"/>
        <v>00000000000000</v>
      </c>
      <c r="AB473" s="117" t="str">
        <f t="shared" si="80"/>
        <v>000000000000</v>
      </c>
      <c r="AC473" s="118">
        <f t="shared" si="81"/>
        <v>1</v>
      </c>
      <c r="AD473" s="47">
        <v>2</v>
      </c>
      <c r="AE473" s="66">
        <f t="shared" si="84"/>
        <v>0</v>
      </c>
      <c r="AF473" s="66">
        <f t="shared" si="77"/>
        <v>0</v>
      </c>
      <c r="AG473" s="67" t="str">
        <f t="shared" si="85"/>
        <v>0000000000</v>
      </c>
      <c r="AH473" s="67" t="str">
        <f t="shared" si="86"/>
        <v>.00</v>
      </c>
      <c r="AI473" s="67" t="str">
        <f t="shared" si="82"/>
        <v>00</v>
      </c>
      <c r="AJ473" s="67" t="str">
        <f t="shared" si="87"/>
        <v>000000000000</v>
      </c>
      <c r="AK473" s="119"/>
      <c r="AL473" s="120"/>
      <c r="AP473" s="115" t="str">
        <f t="shared" si="83"/>
        <v/>
      </c>
    </row>
    <row r="474" spans="1:42" x14ac:dyDescent="0.2">
      <c r="A474" s="63" t="str">
        <f t="shared" si="79"/>
        <v/>
      </c>
      <c r="B474" s="133"/>
      <c r="C474" s="133"/>
      <c r="D474" s="135"/>
      <c r="E474" s="135"/>
      <c r="F474" s="137"/>
      <c r="AA474" s="116" t="str">
        <f t="shared" si="78"/>
        <v>00000000000000</v>
      </c>
      <c r="AB474" s="117" t="str">
        <f t="shared" si="80"/>
        <v>000000000000</v>
      </c>
      <c r="AC474" s="118">
        <f t="shared" si="81"/>
        <v>1</v>
      </c>
      <c r="AD474" s="47">
        <v>2</v>
      </c>
      <c r="AE474" s="66">
        <f t="shared" si="84"/>
        <v>0</v>
      </c>
      <c r="AF474" s="66">
        <f t="shared" si="77"/>
        <v>0</v>
      </c>
      <c r="AG474" s="67" t="str">
        <f t="shared" si="85"/>
        <v>0000000000</v>
      </c>
      <c r="AH474" s="67" t="str">
        <f t="shared" si="86"/>
        <v>.00</v>
      </c>
      <c r="AI474" s="67" t="str">
        <f t="shared" si="82"/>
        <v>00</v>
      </c>
      <c r="AJ474" s="67" t="str">
        <f t="shared" si="87"/>
        <v>000000000000</v>
      </c>
      <c r="AK474" s="119"/>
      <c r="AL474" s="120"/>
      <c r="AP474" s="115" t="str">
        <f t="shared" si="83"/>
        <v/>
      </c>
    </row>
    <row r="475" spans="1:42" x14ac:dyDescent="0.2">
      <c r="A475" s="63" t="str">
        <f t="shared" si="79"/>
        <v/>
      </c>
      <c r="B475" s="133"/>
      <c r="C475" s="133"/>
      <c r="D475" s="135"/>
      <c r="E475" s="135"/>
      <c r="F475" s="137"/>
      <c r="AA475" s="116" t="str">
        <f t="shared" si="78"/>
        <v>00000000000000</v>
      </c>
      <c r="AB475" s="117" t="str">
        <f t="shared" si="80"/>
        <v>000000000000</v>
      </c>
      <c r="AC475" s="118">
        <f t="shared" si="81"/>
        <v>1</v>
      </c>
      <c r="AD475" s="47">
        <v>2</v>
      </c>
      <c r="AE475" s="66">
        <f t="shared" si="84"/>
        <v>0</v>
      </c>
      <c r="AF475" s="66">
        <f t="shared" si="77"/>
        <v>0</v>
      </c>
      <c r="AG475" s="67" t="str">
        <f t="shared" si="85"/>
        <v>0000000000</v>
      </c>
      <c r="AH475" s="67" t="str">
        <f t="shared" si="86"/>
        <v>.00</v>
      </c>
      <c r="AI475" s="67" t="str">
        <f t="shared" si="82"/>
        <v>00</v>
      </c>
      <c r="AJ475" s="67" t="str">
        <f t="shared" si="87"/>
        <v>000000000000</v>
      </c>
      <c r="AK475" s="119"/>
      <c r="AL475" s="120"/>
      <c r="AP475" s="115" t="str">
        <f t="shared" si="83"/>
        <v/>
      </c>
    </row>
    <row r="476" spans="1:42" x14ac:dyDescent="0.2">
      <c r="A476" s="63" t="str">
        <f t="shared" si="79"/>
        <v/>
      </c>
      <c r="B476" s="133"/>
      <c r="C476" s="133"/>
      <c r="D476" s="135"/>
      <c r="E476" s="135"/>
      <c r="F476" s="137"/>
      <c r="AA476" s="116" t="str">
        <f t="shared" si="78"/>
        <v>00000000000000</v>
      </c>
      <c r="AB476" s="117" t="str">
        <f t="shared" si="80"/>
        <v>000000000000</v>
      </c>
      <c r="AC476" s="118">
        <f t="shared" si="81"/>
        <v>1</v>
      </c>
      <c r="AD476" s="47">
        <v>2</v>
      </c>
      <c r="AE476" s="66">
        <f t="shared" si="84"/>
        <v>0</v>
      </c>
      <c r="AF476" s="66">
        <f t="shared" si="77"/>
        <v>0</v>
      </c>
      <c r="AG476" s="67" t="str">
        <f t="shared" si="85"/>
        <v>0000000000</v>
      </c>
      <c r="AH476" s="67" t="str">
        <f t="shared" si="86"/>
        <v>.00</v>
      </c>
      <c r="AI476" s="67" t="str">
        <f t="shared" si="82"/>
        <v>00</v>
      </c>
      <c r="AJ476" s="67" t="str">
        <f t="shared" si="87"/>
        <v>000000000000</v>
      </c>
      <c r="AK476" s="119"/>
      <c r="AL476" s="120"/>
      <c r="AP476" s="115" t="str">
        <f t="shared" si="83"/>
        <v/>
      </c>
    </row>
    <row r="477" spans="1:42" x14ac:dyDescent="0.2">
      <c r="A477" s="63" t="str">
        <f t="shared" si="79"/>
        <v/>
      </c>
      <c r="B477" s="133"/>
      <c r="C477" s="133"/>
      <c r="D477" s="135"/>
      <c r="E477" s="135"/>
      <c r="F477" s="137"/>
      <c r="AA477" s="116" t="str">
        <f t="shared" si="78"/>
        <v>00000000000000</v>
      </c>
      <c r="AB477" s="117" t="str">
        <f t="shared" si="80"/>
        <v>000000000000</v>
      </c>
      <c r="AC477" s="118">
        <f t="shared" si="81"/>
        <v>1</v>
      </c>
      <c r="AD477" s="47">
        <v>2</v>
      </c>
      <c r="AE477" s="66">
        <f t="shared" si="84"/>
        <v>0</v>
      </c>
      <c r="AF477" s="66">
        <f t="shared" si="77"/>
        <v>0</v>
      </c>
      <c r="AG477" s="67" t="str">
        <f t="shared" si="85"/>
        <v>0000000000</v>
      </c>
      <c r="AH477" s="67" t="str">
        <f t="shared" si="86"/>
        <v>.00</v>
      </c>
      <c r="AI477" s="67" t="str">
        <f t="shared" si="82"/>
        <v>00</v>
      </c>
      <c r="AJ477" s="67" t="str">
        <f t="shared" si="87"/>
        <v>000000000000</v>
      </c>
      <c r="AK477" s="119"/>
      <c r="AL477" s="120"/>
      <c r="AP477" s="115" t="str">
        <f t="shared" si="83"/>
        <v/>
      </c>
    </row>
    <row r="478" spans="1:42" x14ac:dyDescent="0.2">
      <c r="A478" s="63" t="str">
        <f t="shared" si="79"/>
        <v/>
      </c>
      <c r="B478" s="133"/>
      <c r="C478" s="133"/>
      <c r="D478" s="135"/>
      <c r="E478" s="135"/>
      <c r="F478" s="137"/>
      <c r="AA478" s="116" t="str">
        <f t="shared" si="78"/>
        <v>00000000000000</v>
      </c>
      <c r="AB478" s="117" t="str">
        <f t="shared" si="80"/>
        <v>000000000000</v>
      </c>
      <c r="AC478" s="118">
        <f t="shared" si="81"/>
        <v>1</v>
      </c>
      <c r="AD478" s="47">
        <v>2</v>
      </c>
      <c r="AE478" s="66">
        <f t="shared" si="84"/>
        <v>0</v>
      </c>
      <c r="AF478" s="66">
        <f t="shared" si="77"/>
        <v>0</v>
      </c>
      <c r="AG478" s="67" t="str">
        <f t="shared" si="85"/>
        <v>0000000000</v>
      </c>
      <c r="AH478" s="67" t="str">
        <f t="shared" si="86"/>
        <v>.00</v>
      </c>
      <c r="AI478" s="67" t="str">
        <f t="shared" si="82"/>
        <v>00</v>
      </c>
      <c r="AJ478" s="67" t="str">
        <f t="shared" si="87"/>
        <v>000000000000</v>
      </c>
      <c r="AK478" s="119"/>
      <c r="AL478" s="120"/>
      <c r="AP478" s="115" t="str">
        <f t="shared" si="83"/>
        <v/>
      </c>
    </row>
    <row r="479" spans="1:42" x14ac:dyDescent="0.2">
      <c r="A479" s="63" t="str">
        <f t="shared" si="79"/>
        <v/>
      </c>
      <c r="B479" s="133"/>
      <c r="C479" s="133"/>
      <c r="D479" s="135"/>
      <c r="E479" s="135"/>
      <c r="F479" s="137"/>
      <c r="AA479" s="116" t="str">
        <f t="shared" si="78"/>
        <v>00000000000000</v>
      </c>
      <c r="AB479" s="117" t="str">
        <f t="shared" si="80"/>
        <v>000000000000</v>
      </c>
      <c r="AC479" s="118">
        <f t="shared" si="81"/>
        <v>1</v>
      </c>
      <c r="AD479" s="47">
        <v>2</v>
      </c>
      <c r="AE479" s="66">
        <f t="shared" si="84"/>
        <v>0</v>
      </c>
      <c r="AF479" s="66">
        <f t="shared" si="77"/>
        <v>0</v>
      </c>
      <c r="AG479" s="67" t="str">
        <f t="shared" si="85"/>
        <v>0000000000</v>
      </c>
      <c r="AH479" s="67" t="str">
        <f t="shared" si="86"/>
        <v>.00</v>
      </c>
      <c r="AI479" s="67" t="str">
        <f t="shared" si="82"/>
        <v>00</v>
      </c>
      <c r="AJ479" s="67" t="str">
        <f t="shared" si="87"/>
        <v>000000000000</v>
      </c>
      <c r="AK479" s="119"/>
      <c r="AL479" s="120"/>
      <c r="AP479" s="115" t="str">
        <f t="shared" si="83"/>
        <v/>
      </c>
    </row>
    <row r="480" spans="1:42" x14ac:dyDescent="0.2">
      <c r="A480" s="63" t="str">
        <f t="shared" si="79"/>
        <v/>
      </c>
      <c r="B480" s="133"/>
      <c r="C480" s="133"/>
      <c r="D480" s="135"/>
      <c r="E480" s="135"/>
      <c r="F480" s="137"/>
      <c r="AA480" s="116" t="str">
        <f t="shared" si="78"/>
        <v>00000000000000</v>
      </c>
      <c r="AB480" s="117" t="str">
        <f t="shared" si="80"/>
        <v>000000000000</v>
      </c>
      <c r="AC480" s="118">
        <f t="shared" si="81"/>
        <v>1</v>
      </c>
      <c r="AD480" s="47">
        <v>2</v>
      </c>
      <c r="AE480" s="66">
        <f t="shared" si="84"/>
        <v>0</v>
      </c>
      <c r="AF480" s="66">
        <f t="shared" si="77"/>
        <v>0</v>
      </c>
      <c r="AG480" s="67" t="str">
        <f t="shared" si="85"/>
        <v>0000000000</v>
      </c>
      <c r="AH480" s="67" t="str">
        <f t="shared" si="86"/>
        <v>.00</v>
      </c>
      <c r="AI480" s="67" t="str">
        <f t="shared" si="82"/>
        <v>00</v>
      </c>
      <c r="AJ480" s="67" t="str">
        <f t="shared" si="87"/>
        <v>000000000000</v>
      </c>
      <c r="AK480" s="119"/>
      <c r="AL480" s="120"/>
      <c r="AP480" s="115" t="str">
        <f t="shared" si="83"/>
        <v/>
      </c>
    </row>
    <row r="481" spans="1:42" x14ac:dyDescent="0.2">
      <c r="A481" s="63" t="str">
        <f t="shared" si="79"/>
        <v/>
      </c>
      <c r="B481" s="133"/>
      <c r="C481" s="133"/>
      <c r="D481" s="135"/>
      <c r="E481" s="135"/>
      <c r="F481" s="137"/>
      <c r="AA481" s="116" t="str">
        <f t="shared" si="78"/>
        <v>00000000000000</v>
      </c>
      <c r="AB481" s="117" t="str">
        <f t="shared" si="80"/>
        <v>000000000000</v>
      </c>
      <c r="AC481" s="118">
        <f t="shared" si="81"/>
        <v>1</v>
      </c>
      <c r="AD481" s="47">
        <v>2</v>
      </c>
      <c r="AE481" s="66">
        <f t="shared" si="84"/>
        <v>0</v>
      </c>
      <c r="AF481" s="66">
        <f t="shared" si="77"/>
        <v>0</v>
      </c>
      <c r="AG481" s="67" t="str">
        <f t="shared" si="85"/>
        <v>0000000000</v>
      </c>
      <c r="AH481" s="67" t="str">
        <f t="shared" si="86"/>
        <v>.00</v>
      </c>
      <c r="AI481" s="67" t="str">
        <f t="shared" si="82"/>
        <v>00</v>
      </c>
      <c r="AJ481" s="67" t="str">
        <f t="shared" si="87"/>
        <v>000000000000</v>
      </c>
      <c r="AK481" s="119"/>
      <c r="AL481" s="120"/>
      <c r="AP481" s="115" t="str">
        <f t="shared" si="83"/>
        <v/>
      </c>
    </row>
    <row r="482" spans="1:42" x14ac:dyDescent="0.2">
      <c r="A482" s="63" t="str">
        <f t="shared" si="79"/>
        <v/>
      </c>
      <c r="B482" s="133"/>
      <c r="C482" s="133"/>
      <c r="D482" s="135"/>
      <c r="E482" s="135"/>
      <c r="F482" s="137"/>
      <c r="AA482" s="116" t="str">
        <f t="shared" si="78"/>
        <v>00000000000000</v>
      </c>
      <c r="AB482" s="117" t="str">
        <f t="shared" si="80"/>
        <v>000000000000</v>
      </c>
      <c r="AC482" s="118">
        <f t="shared" si="81"/>
        <v>1</v>
      </c>
      <c r="AD482" s="47">
        <v>2</v>
      </c>
      <c r="AE482" s="66">
        <f t="shared" si="84"/>
        <v>0</v>
      </c>
      <c r="AF482" s="66">
        <f t="shared" si="77"/>
        <v>0</v>
      </c>
      <c r="AG482" s="67" t="str">
        <f t="shared" si="85"/>
        <v>0000000000</v>
      </c>
      <c r="AH482" s="67" t="str">
        <f t="shared" si="86"/>
        <v>.00</v>
      </c>
      <c r="AI482" s="67" t="str">
        <f t="shared" si="82"/>
        <v>00</v>
      </c>
      <c r="AJ482" s="67" t="str">
        <f t="shared" si="87"/>
        <v>000000000000</v>
      </c>
      <c r="AK482" s="119"/>
      <c r="AL482" s="120"/>
      <c r="AP482" s="115" t="str">
        <f t="shared" si="83"/>
        <v/>
      </c>
    </row>
    <row r="483" spans="1:42" x14ac:dyDescent="0.2">
      <c r="A483" s="63" t="str">
        <f t="shared" si="79"/>
        <v/>
      </c>
      <c r="B483" s="133"/>
      <c r="C483" s="133"/>
      <c r="D483" s="135"/>
      <c r="E483" s="135"/>
      <c r="F483" s="137"/>
      <c r="AA483" s="116" t="str">
        <f t="shared" si="78"/>
        <v>00000000000000</v>
      </c>
      <c r="AB483" s="117" t="str">
        <f t="shared" si="80"/>
        <v>000000000000</v>
      </c>
      <c r="AC483" s="118">
        <f t="shared" si="81"/>
        <v>1</v>
      </c>
      <c r="AD483" s="47">
        <v>2</v>
      </c>
      <c r="AE483" s="66">
        <f t="shared" si="84"/>
        <v>0</v>
      </c>
      <c r="AF483" s="66">
        <f t="shared" si="77"/>
        <v>0</v>
      </c>
      <c r="AG483" s="67" t="str">
        <f t="shared" si="85"/>
        <v>0000000000</v>
      </c>
      <c r="AH483" s="67" t="str">
        <f t="shared" si="86"/>
        <v>.00</v>
      </c>
      <c r="AI483" s="67" t="str">
        <f t="shared" si="82"/>
        <v>00</v>
      </c>
      <c r="AJ483" s="67" t="str">
        <f t="shared" si="87"/>
        <v>000000000000</v>
      </c>
      <c r="AK483" s="119"/>
      <c r="AL483" s="120"/>
      <c r="AP483" s="115" t="str">
        <f t="shared" si="83"/>
        <v/>
      </c>
    </row>
    <row r="484" spans="1:42" x14ac:dyDescent="0.2">
      <c r="A484" s="63" t="str">
        <f t="shared" si="79"/>
        <v/>
      </c>
      <c r="B484" s="133"/>
      <c r="C484" s="133"/>
      <c r="D484" s="135"/>
      <c r="E484" s="135"/>
      <c r="F484" s="137"/>
      <c r="AA484" s="116" t="str">
        <f t="shared" si="78"/>
        <v>00000000000000</v>
      </c>
      <c r="AB484" s="117" t="str">
        <f t="shared" si="80"/>
        <v>000000000000</v>
      </c>
      <c r="AC484" s="118">
        <f t="shared" si="81"/>
        <v>1</v>
      </c>
      <c r="AD484" s="47">
        <v>2</v>
      </c>
      <c r="AE484" s="66">
        <f t="shared" si="84"/>
        <v>0</v>
      </c>
      <c r="AF484" s="66">
        <f t="shared" si="77"/>
        <v>0</v>
      </c>
      <c r="AG484" s="67" t="str">
        <f t="shared" si="85"/>
        <v>0000000000</v>
      </c>
      <c r="AH484" s="67" t="str">
        <f t="shared" si="86"/>
        <v>.00</v>
      </c>
      <c r="AI484" s="67" t="str">
        <f t="shared" si="82"/>
        <v>00</v>
      </c>
      <c r="AJ484" s="67" t="str">
        <f t="shared" si="87"/>
        <v>000000000000</v>
      </c>
      <c r="AK484" s="119"/>
      <c r="AL484" s="120"/>
      <c r="AP484" s="115" t="str">
        <f t="shared" si="83"/>
        <v/>
      </c>
    </row>
    <row r="485" spans="1:42" x14ac:dyDescent="0.2">
      <c r="A485" s="63" t="str">
        <f t="shared" si="79"/>
        <v/>
      </c>
      <c r="B485" s="133"/>
      <c r="C485" s="133"/>
      <c r="D485" s="135"/>
      <c r="E485" s="135"/>
      <c r="F485" s="137"/>
      <c r="AA485" s="116" t="str">
        <f t="shared" si="78"/>
        <v>00000000000000</v>
      </c>
      <c r="AB485" s="117" t="str">
        <f t="shared" si="80"/>
        <v>000000000000</v>
      </c>
      <c r="AC485" s="118">
        <f t="shared" si="81"/>
        <v>1</v>
      </c>
      <c r="AD485" s="47">
        <v>2</v>
      </c>
      <c r="AE485" s="66">
        <f t="shared" si="84"/>
        <v>0</v>
      </c>
      <c r="AF485" s="66">
        <f t="shared" si="77"/>
        <v>0</v>
      </c>
      <c r="AG485" s="67" t="str">
        <f t="shared" si="85"/>
        <v>0000000000</v>
      </c>
      <c r="AH485" s="67" t="str">
        <f t="shared" si="86"/>
        <v>.00</v>
      </c>
      <c r="AI485" s="67" t="str">
        <f t="shared" si="82"/>
        <v>00</v>
      </c>
      <c r="AJ485" s="67" t="str">
        <f t="shared" si="87"/>
        <v>000000000000</v>
      </c>
      <c r="AK485" s="119"/>
      <c r="AL485" s="120"/>
      <c r="AP485" s="115" t="str">
        <f t="shared" si="83"/>
        <v/>
      </c>
    </row>
    <row r="486" spans="1:42" x14ac:dyDescent="0.2">
      <c r="A486" s="63" t="str">
        <f t="shared" si="79"/>
        <v/>
      </c>
      <c r="B486" s="133"/>
      <c r="C486" s="133"/>
      <c r="D486" s="135"/>
      <c r="E486" s="135"/>
      <c r="F486" s="137"/>
      <c r="AA486" s="116" t="str">
        <f t="shared" si="78"/>
        <v>00000000000000</v>
      </c>
      <c r="AB486" s="117" t="str">
        <f t="shared" si="80"/>
        <v>000000000000</v>
      </c>
      <c r="AC486" s="118">
        <f t="shared" si="81"/>
        <v>1</v>
      </c>
      <c r="AD486" s="47">
        <v>2</v>
      </c>
      <c r="AE486" s="66">
        <f t="shared" si="84"/>
        <v>0</v>
      </c>
      <c r="AF486" s="66">
        <f t="shared" si="77"/>
        <v>0</v>
      </c>
      <c r="AG486" s="67" t="str">
        <f t="shared" si="85"/>
        <v>0000000000</v>
      </c>
      <c r="AH486" s="67" t="str">
        <f t="shared" si="86"/>
        <v>.00</v>
      </c>
      <c r="AI486" s="67" t="str">
        <f t="shared" si="82"/>
        <v>00</v>
      </c>
      <c r="AJ486" s="67" t="str">
        <f t="shared" si="87"/>
        <v>000000000000</v>
      </c>
      <c r="AK486" s="119"/>
      <c r="AL486" s="120"/>
      <c r="AP486" s="115" t="str">
        <f t="shared" si="83"/>
        <v/>
      </c>
    </row>
    <row r="487" spans="1:42" x14ac:dyDescent="0.2">
      <c r="A487" s="63" t="str">
        <f t="shared" si="79"/>
        <v/>
      </c>
      <c r="B487" s="133"/>
      <c r="C487" s="133"/>
      <c r="D487" s="135"/>
      <c r="E487" s="135"/>
      <c r="F487" s="137"/>
      <c r="AA487" s="116" t="str">
        <f t="shared" si="78"/>
        <v>00000000000000</v>
      </c>
      <c r="AB487" s="117" t="str">
        <f t="shared" si="80"/>
        <v>000000000000</v>
      </c>
      <c r="AC487" s="118">
        <f t="shared" si="81"/>
        <v>1</v>
      </c>
      <c r="AD487" s="47">
        <v>2</v>
      </c>
      <c r="AE487" s="66">
        <f t="shared" si="84"/>
        <v>0</v>
      </c>
      <c r="AF487" s="66">
        <f t="shared" si="77"/>
        <v>0</v>
      </c>
      <c r="AG487" s="67" t="str">
        <f t="shared" si="85"/>
        <v>0000000000</v>
      </c>
      <c r="AH487" s="67" t="str">
        <f t="shared" si="86"/>
        <v>.00</v>
      </c>
      <c r="AI487" s="67" t="str">
        <f t="shared" si="82"/>
        <v>00</v>
      </c>
      <c r="AJ487" s="67" t="str">
        <f t="shared" si="87"/>
        <v>000000000000</v>
      </c>
      <c r="AK487" s="119"/>
      <c r="AL487" s="120"/>
      <c r="AP487" s="115" t="str">
        <f t="shared" si="83"/>
        <v/>
      </c>
    </row>
    <row r="488" spans="1:42" x14ac:dyDescent="0.2">
      <c r="A488" s="63" t="str">
        <f t="shared" si="79"/>
        <v/>
      </c>
      <c r="B488" s="133"/>
      <c r="C488" s="133"/>
      <c r="D488" s="135"/>
      <c r="E488" s="135"/>
      <c r="F488" s="137"/>
      <c r="AA488" s="116" t="str">
        <f t="shared" si="78"/>
        <v>00000000000000</v>
      </c>
      <c r="AB488" s="117" t="str">
        <f t="shared" si="80"/>
        <v>000000000000</v>
      </c>
      <c r="AC488" s="118">
        <f t="shared" si="81"/>
        <v>1</v>
      </c>
      <c r="AD488" s="47">
        <v>2</v>
      </c>
      <c r="AE488" s="66">
        <f t="shared" si="84"/>
        <v>0</v>
      </c>
      <c r="AF488" s="66">
        <f t="shared" si="77"/>
        <v>0</v>
      </c>
      <c r="AG488" s="67" t="str">
        <f t="shared" si="85"/>
        <v>0000000000</v>
      </c>
      <c r="AH488" s="67" t="str">
        <f t="shared" si="86"/>
        <v>.00</v>
      </c>
      <c r="AI488" s="67" t="str">
        <f t="shared" si="82"/>
        <v>00</v>
      </c>
      <c r="AJ488" s="67" t="str">
        <f t="shared" si="87"/>
        <v>000000000000</v>
      </c>
      <c r="AK488" s="119"/>
      <c r="AL488" s="120"/>
      <c r="AP488" s="115" t="str">
        <f t="shared" si="83"/>
        <v/>
      </c>
    </row>
    <row r="489" spans="1:42" x14ac:dyDescent="0.2">
      <c r="A489" s="63" t="str">
        <f t="shared" si="79"/>
        <v/>
      </c>
      <c r="B489" s="133"/>
      <c r="C489" s="133"/>
      <c r="D489" s="135"/>
      <c r="E489" s="135"/>
      <c r="F489" s="137"/>
      <c r="AA489" s="116" t="str">
        <f t="shared" si="78"/>
        <v>00000000000000</v>
      </c>
      <c r="AB489" s="117" t="str">
        <f t="shared" si="80"/>
        <v>000000000000</v>
      </c>
      <c r="AC489" s="118">
        <f t="shared" si="81"/>
        <v>1</v>
      </c>
      <c r="AD489" s="47">
        <v>2</v>
      </c>
      <c r="AE489" s="66">
        <f t="shared" si="84"/>
        <v>0</v>
      </c>
      <c r="AF489" s="66">
        <f t="shared" si="77"/>
        <v>0</v>
      </c>
      <c r="AG489" s="67" t="str">
        <f t="shared" si="85"/>
        <v>0000000000</v>
      </c>
      <c r="AH489" s="67" t="str">
        <f t="shared" si="86"/>
        <v>.00</v>
      </c>
      <c r="AI489" s="67" t="str">
        <f t="shared" si="82"/>
        <v>00</v>
      </c>
      <c r="AJ489" s="67" t="str">
        <f t="shared" si="87"/>
        <v>000000000000</v>
      </c>
      <c r="AK489" s="119"/>
      <c r="AL489" s="120"/>
      <c r="AP489" s="115" t="str">
        <f t="shared" si="83"/>
        <v/>
      </c>
    </row>
    <row r="490" spans="1:42" x14ac:dyDescent="0.2">
      <c r="A490" s="63" t="str">
        <f t="shared" si="79"/>
        <v/>
      </c>
      <c r="B490" s="133"/>
      <c r="C490" s="133"/>
      <c r="D490" s="135"/>
      <c r="E490" s="135"/>
      <c r="F490" s="137"/>
      <c r="AA490" s="116" t="str">
        <f t="shared" si="78"/>
        <v>00000000000000</v>
      </c>
      <c r="AB490" s="117" t="str">
        <f t="shared" si="80"/>
        <v>000000000000</v>
      </c>
      <c r="AC490" s="118">
        <f t="shared" si="81"/>
        <v>1</v>
      </c>
      <c r="AD490" s="47">
        <v>2</v>
      </c>
      <c r="AE490" s="66">
        <f t="shared" si="84"/>
        <v>0</v>
      </c>
      <c r="AF490" s="66">
        <f t="shared" si="77"/>
        <v>0</v>
      </c>
      <c r="AG490" s="67" t="str">
        <f t="shared" si="85"/>
        <v>0000000000</v>
      </c>
      <c r="AH490" s="67" t="str">
        <f t="shared" si="86"/>
        <v>.00</v>
      </c>
      <c r="AI490" s="67" t="str">
        <f t="shared" si="82"/>
        <v>00</v>
      </c>
      <c r="AJ490" s="67" t="str">
        <f t="shared" si="87"/>
        <v>000000000000</v>
      </c>
      <c r="AK490" s="119"/>
      <c r="AL490" s="120"/>
      <c r="AP490" s="115" t="str">
        <f t="shared" si="83"/>
        <v/>
      </c>
    </row>
    <row r="491" spans="1:42" x14ac:dyDescent="0.2">
      <c r="A491" s="63" t="str">
        <f t="shared" si="79"/>
        <v/>
      </c>
      <c r="B491" s="133"/>
      <c r="C491" s="133"/>
      <c r="D491" s="135"/>
      <c r="E491" s="135"/>
      <c r="F491" s="137"/>
      <c r="AA491" s="116" t="str">
        <f t="shared" si="78"/>
        <v>00000000000000</v>
      </c>
      <c r="AB491" s="117" t="str">
        <f t="shared" si="80"/>
        <v>000000000000</v>
      </c>
      <c r="AC491" s="118">
        <f t="shared" si="81"/>
        <v>1</v>
      </c>
      <c r="AD491" s="47">
        <v>2</v>
      </c>
      <c r="AE491" s="66">
        <f t="shared" si="84"/>
        <v>0</v>
      </c>
      <c r="AF491" s="66">
        <f t="shared" si="77"/>
        <v>0</v>
      </c>
      <c r="AG491" s="67" t="str">
        <f t="shared" si="85"/>
        <v>0000000000</v>
      </c>
      <c r="AH491" s="67" t="str">
        <f t="shared" si="86"/>
        <v>.00</v>
      </c>
      <c r="AI491" s="67" t="str">
        <f t="shared" si="82"/>
        <v>00</v>
      </c>
      <c r="AJ491" s="67" t="str">
        <f t="shared" si="87"/>
        <v>000000000000</v>
      </c>
      <c r="AK491" s="119"/>
      <c r="AL491" s="120"/>
      <c r="AP491" s="115" t="str">
        <f t="shared" si="83"/>
        <v/>
      </c>
    </row>
    <row r="492" spans="1:42" x14ac:dyDescent="0.2">
      <c r="A492" s="63" t="str">
        <f t="shared" si="79"/>
        <v/>
      </c>
      <c r="B492" s="133"/>
      <c r="C492" s="133"/>
      <c r="D492" s="135"/>
      <c r="E492" s="135"/>
      <c r="F492" s="137"/>
      <c r="AA492" s="116" t="str">
        <f t="shared" si="78"/>
        <v>00000000000000</v>
      </c>
      <c r="AB492" s="117" t="str">
        <f t="shared" si="80"/>
        <v>000000000000</v>
      </c>
      <c r="AC492" s="118">
        <f t="shared" si="81"/>
        <v>1</v>
      </c>
      <c r="AD492" s="47">
        <v>2</v>
      </c>
      <c r="AE492" s="66">
        <f t="shared" si="84"/>
        <v>0</v>
      </c>
      <c r="AF492" s="66">
        <f t="shared" si="77"/>
        <v>0</v>
      </c>
      <c r="AG492" s="67" t="str">
        <f t="shared" si="85"/>
        <v>0000000000</v>
      </c>
      <c r="AH492" s="67" t="str">
        <f t="shared" si="86"/>
        <v>.00</v>
      </c>
      <c r="AI492" s="67" t="str">
        <f t="shared" si="82"/>
        <v>00</v>
      </c>
      <c r="AJ492" s="67" t="str">
        <f t="shared" si="87"/>
        <v>000000000000</v>
      </c>
      <c r="AK492" s="119"/>
      <c r="AL492" s="120"/>
      <c r="AP492" s="115" t="str">
        <f t="shared" si="83"/>
        <v/>
      </c>
    </row>
    <row r="493" spans="1:42" x14ac:dyDescent="0.2">
      <c r="A493" s="63" t="str">
        <f t="shared" si="79"/>
        <v/>
      </c>
      <c r="B493" s="133"/>
      <c r="C493" s="133"/>
      <c r="D493" s="135"/>
      <c r="E493" s="135"/>
      <c r="F493" s="137"/>
      <c r="AA493" s="116" t="str">
        <f t="shared" si="78"/>
        <v>00000000000000</v>
      </c>
      <c r="AB493" s="117" t="str">
        <f t="shared" si="80"/>
        <v>000000000000</v>
      </c>
      <c r="AC493" s="118">
        <f t="shared" si="81"/>
        <v>1</v>
      </c>
      <c r="AD493" s="47">
        <v>2</v>
      </c>
      <c r="AE493" s="66">
        <f t="shared" si="84"/>
        <v>0</v>
      </c>
      <c r="AF493" s="66">
        <f t="shared" si="77"/>
        <v>0</v>
      </c>
      <c r="AG493" s="67" t="str">
        <f t="shared" si="85"/>
        <v>0000000000</v>
      </c>
      <c r="AH493" s="67" t="str">
        <f t="shared" si="86"/>
        <v>.00</v>
      </c>
      <c r="AI493" s="67" t="str">
        <f t="shared" si="82"/>
        <v>00</v>
      </c>
      <c r="AJ493" s="67" t="str">
        <f t="shared" si="87"/>
        <v>000000000000</v>
      </c>
      <c r="AK493" s="119"/>
      <c r="AL493" s="120"/>
      <c r="AP493" s="115" t="str">
        <f t="shared" si="83"/>
        <v/>
      </c>
    </row>
    <row r="494" spans="1:42" x14ac:dyDescent="0.2">
      <c r="A494" s="63" t="str">
        <f t="shared" si="79"/>
        <v/>
      </c>
      <c r="B494" s="133"/>
      <c r="C494" s="133"/>
      <c r="D494" s="135"/>
      <c r="E494" s="135"/>
      <c r="F494" s="137"/>
      <c r="AA494" s="116" t="str">
        <f t="shared" si="78"/>
        <v>00000000000000</v>
      </c>
      <c r="AB494" s="117" t="str">
        <f t="shared" si="80"/>
        <v>000000000000</v>
      </c>
      <c r="AC494" s="118">
        <f t="shared" si="81"/>
        <v>1</v>
      </c>
      <c r="AD494" s="47">
        <v>2</v>
      </c>
      <c r="AE494" s="66">
        <f t="shared" si="84"/>
        <v>0</v>
      </c>
      <c r="AF494" s="66">
        <f t="shared" si="77"/>
        <v>0</v>
      </c>
      <c r="AG494" s="67" t="str">
        <f t="shared" si="85"/>
        <v>0000000000</v>
      </c>
      <c r="AH494" s="67" t="str">
        <f t="shared" si="86"/>
        <v>.00</v>
      </c>
      <c r="AI494" s="67" t="str">
        <f t="shared" si="82"/>
        <v>00</v>
      </c>
      <c r="AJ494" s="67" t="str">
        <f t="shared" si="87"/>
        <v>000000000000</v>
      </c>
      <c r="AK494" s="119"/>
      <c r="AL494" s="120"/>
      <c r="AP494" s="115" t="str">
        <f t="shared" si="83"/>
        <v/>
      </c>
    </row>
    <row r="495" spans="1:42" x14ac:dyDescent="0.2">
      <c r="A495" s="63" t="str">
        <f t="shared" si="79"/>
        <v/>
      </c>
      <c r="B495" s="133"/>
      <c r="C495" s="133"/>
      <c r="D495" s="135"/>
      <c r="E495" s="135"/>
      <c r="F495" s="137"/>
      <c r="AA495" s="116" t="str">
        <f t="shared" si="78"/>
        <v>00000000000000</v>
      </c>
      <c r="AB495" s="117" t="str">
        <f t="shared" si="80"/>
        <v>000000000000</v>
      </c>
      <c r="AC495" s="118">
        <f t="shared" si="81"/>
        <v>1</v>
      </c>
      <c r="AD495" s="47">
        <v>2</v>
      </c>
      <c r="AE495" s="66">
        <f t="shared" si="84"/>
        <v>0</v>
      </c>
      <c r="AF495" s="66">
        <f t="shared" si="77"/>
        <v>0</v>
      </c>
      <c r="AG495" s="67" t="str">
        <f t="shared" si="85"/>
        <v>0000000000</v>
      </c>
      <c r="AH495" s="67" t="str">
        <f t="shared" si="86"/>
        <v>.00</v>
      </c>
      <c r="AI495" s="67" t="str">
        <f t="shared" si="82"/>
        <v>00</v>
      </c>
      <c r="AJ495" s="67" t="str">
        <f t="shared" si="87"/>
        <v>000000000000</v>
      </c>
      <c r="AK495" s="119"/>
      <c r="AL495" s="120"/>
      <c r="AP495" s="115" t="str">
        <f t="shared" si="83"/>
        <v/>
      </c>
    </row>
    <row r="496" spans="1:42" x14ac:dyDescent="0.2">
      <c r="A496" s="63" t="str">
        <f t="shared" si="79"/>
        <v/>
      </c>
      <c r="B496" s="133"/>
      <c r="C496" s="133"/>
      <c r="D496" s="135"/>
      <c r="E496" s="135"/>
      <c r="F496" s="137"/>
      <c r="AA496" s="116" t="str">
        <f t="shared" si="78"/>
        <v>00000000000000</v>
      </c>
      <c r="AB496" s="117" t="str">
        <f t="shared" si="80"/>
        <v>000000000000</v>
      </c>
      <c r="AC496" s="118">
        <f t="shared" si="81"/>
        <v>1</v>
      </c>
      <c r="AD496" s="47">
        <v>2</v>
      </c>
      <c r="AE496" s="66">
        <f t="shared" si="84"/>
        <v>0</v>
      </c>
      <c r="AF496" s="66">
        <f t="shared" si="77"/>
        <v>0</v>
      </c>
      <c r="AG496" s="67" t="str">
        <f t="shared" si="85"/>
        <v>0000000000</v>
      </c>
      <c r="AH496" s="67" t="str">
        <f t="shared" si="86"/>
        <v>.00</v>
      </c>
      <c r="AI496" s="67" t="str">
        <f t="shared" si="82"/>
        <v>00</v>
      </c>
      <c r="AJ496" s="67" t="str">
        <f t="shared" si="87"/>
        <v>000000000000</v>
      </c>
      <c r="AK496" s="119"/>
      <c r="AL496" s="120"/>
      <c r="AP496" s="115" t="str">
        <f t="shared" si="83"/>
        <v/>
      </c>
    </row>
    <row r="497" spans="1:42" x14ac:dyDescent="0.2">
      <c r="A497" s="63" t="str">
        <f t="shared" si="79"/>
        <v/>
      </c>
      <c r="B497" s="133"/>
      <c r="C497" s="133"/>
      <c r="D497" s="135"/>
      <c r="E497" s="135"/>
      <c r="F497" s="137"/>
      <c r="AA497" s="116" t="str">
        <f t="shared" si="78"/>
        <v>00000000000000</v>
      </c>
      <c r="AB497" s="117" t="str">
        <f t="shared" si="80"/>
        <v>000000000000</v>
      </c>
      <c r="AC497" s="118">
        <f t="shared" si="81"/>
        <v>1</v>
      </c>
      <c r="AD497" s="47">
        <v>2</v>
      </c>
      <c r="AE497" s="66">
        <f t="shared" si="84"/>
        <v>0</v>
      </c>
      <c r="AF497" s="66">
        <f t="shared" si="77"/>
        <v>0</v>
      </c>
      <c r="AG497" s="67" t="str">
        <f t="shared" si="85"/>
        <v>0000000000</v>
      </c>
      <c r="AH497" s="67" t="str">
        <f t="shared" si="86"/>
        <v>.00</v>
      </c>
      <c r="AI497" s="67" t="str">
        <f t="shared" si="82"/>
        <v>00</v>
      </c>
      <c r="AJ497" s="67" t="str">
        <f t="shared" si="87"/>
        <v>000000000000</v>
      </c>
      <c r="AK497" s="119"/>
      <c r="AL497" s="120"/>
      <c r="AP497" s="115" t="str">
        <f t="shared" si="83"/>
        <v/>
      </c>
    </row>
    <row r="498" spans="1:42" x14ac:dyDescent="0.2">
      <c r="A498" s="63" t="str">
        <f t="shared" si="79"/>
        <v/>
      </c>
      <c r="B498" s="133"/>
      <c r="C498" s="133"/>
      <c r="D498" s="135"/>
      <c r="E498" s="135"/>
      <c r="F498" s="137"/>
      <c r="AA498" s="116" t="str">
        <f t="shared" si="78"/>
        <v>00000000000000</v>
      </c>
      <c r="AB498" s="117" t="str">
        <f t="shared" si="80"/>
        <v>000000000000</v>
      </c>
      <c r="AC498" s="118">
        <f t="shared" si="81"/>
        <v>1</v>
      </c>
      <c r="AD498" s="47">
        <v>2</v>
      </c>
      <c r="AE498" s="66">
        <f t="shared" si="84"/>
        <v>0</v>
      </c>
      <c r="AF498" s="66">
        <f t="shared" si="77"/>
        <v>0</v>
      </c>
      <c r="AG498" s="67" t="str">
        <f t="shared" si="85"/>
        <v>0000000000</v>
      </c>
      <c r="AH498" s="67" t="str">
        <f t="shared" si="86"/>
        <v>.00</v>
      </c>
      <c r="AI498" s="67" t="str">
        <f t="shared" si="82"/>
        <v>00</v>
      </c>
      <c r="AJ498" s="67" t="str">
        <f t="shared" si="87"/>
        <v>000000000000</v>
      </c>
      <c r="AK498" s="119"/>
      <c r="AL498" s="120"/>
      <c r="AP498" s="115" t="str">
        <f t="shared" si="83"/>
        <v/>
      </c>
    </row>
    <row r="499" spans="1:42" x14ac:dyDescent="0.2">
      <c r="A499" s="63" t="str">
        <f t="shared" si="79"/>
        <v/>
      </c>
      <c r="B499" s="133"/>
      <c r="C499" s="133"/>
      <c r="D499" s="135"/>
      <c r="E499" s="135"/>
      <c r="F499" s="137"/>
      <c r="AA499" s="116" t="str">
        <f t="shared" si="78"/>
        <v>00000000000000</v>
      </c>
      <c r="AB499" s="117" t="str">
        <f t="shared" si="80"/>
        <v>000000000000</v>
      </c>
      <c r="AC499" s="118">
        <f t="shared" si="81"/>
        <v>1</v>
      </c>
      <c r="AD499" s="47">
        <v>2</v>
      </c>
      <c r="AE499" s="66">
        <f t="shared" si="84"/>
        <v>0</v>
      </c>
      <c r="AF499" s="66">
        <f t="shared" si="77"/>
        <v>0</v>
      </c>
      <c r="AG499" s="67" t="str">
        <f t="shared" si="85"/>
        <v>0000000000</v>
      </c>
      <c r="AH499" s="67" t="str">
        <f t="shared" si="86"/>
        <v>.00</v>
      </c>
      <c r="AI499" s="67" t="str">
        <f t="shared" si="82"/>
        <v>00</v>
      </c>
      <c r="AJ499" s="67" t="str">
        <f t="shared" si="87"/>
        <v>000000000000</v>
      </c>
      <c r="AK499" s="119"/>
      <c r="AL499" s="120"/>
      <c r="AP499" s="115" t="str">
        <f t="shared" si="83"/>
        <v/>
      </c>
    </row>
    <row r="500" spans="1:42" x14ac:dyDescent="0.2">
      <c r="A500" s="63" t="str">
        <f t="shared" si="79"/>
        <v/>
      </c>
      <c r="B500" s="133"/>
      <c r="C500" s="133"/>
      <c r="D500" s="135"/>
      <c r="E500" s="135"/>
      <c r="F500" s="137"/>
      <c r="AA500" s="116" t="str">
        <f t="shared" si="78"/>
        <v>00000000000000</v>
      </c>
      <c r="AB500" s="117" t="str">
        <f t="shared" si="80"/>
        <v>000000000000</v>
      </c>
      <c r="AC500" s="118">
        <f t="shared" si="81"/>
        <v>1</v>
      </c>
      <c r="AD500" s="47">
        <v>2</v>
      </c>
      <c r="AE500" s="66">
        <f t="shared" si="84"/>
        <v>0</v>
      </c>
      <c r="AF500" s="66">
        <f t="shared" si="77"/>
        <v>0</v>
      </c>
      <c r="AG500" s="67" t="str">
        <f t="shared" si="85"/>
        <v>0000000000</v>
      </c>
      <c r="AH500" s="67" t="str">
        <f t="shared" si="86"/>
        <v>.00</v>
      </c>
      <c r="AI500" s="67" t="str">
        <f t="shared" si="82"/>
        <v>00</v>
      </c>
      <c r="AJ500" s="67" t="str">
        <f t="shared" si="87"/>
        <v>000000000000</v>
      </c>
      <c r="AK500" s="119"/>
      <c r="AL500" s="120"/>
      <c r="AP500" s="115" t="str">
        <f t="shared" si="83"/>
        <v/>
      </c>
    </row>
    <row r="501" spans="1:42" x14ac:dyDescent="0.2">
      <c r="A501" s="63" t="str">
        <f t="shared" si="79"/>
        <v/>
      </c>
      <c r="B501" s="133"/>
      <c r="C501" s="133"/>
      <c r="D501" s="135"/>
      <c r="E501" s="135"/>
      <c r="F501" s="137"/>
      <c r="AA501" s="116" t="str">
        <f t="shared" si="78"/>
        <v>00000000000000</v>
      </c>
      <c r="AB501" s="117" t="str">
        <f t="shared" si="80"/>
        <v>000000000000</v>
      </c>
      <c r="AC501" s="118">
        <f t="shared" si="81"/>
        <v>1</v>
      </c>
      <c r="AD501" s="47">
        <v>2</v>
      </c>
      <c r="AE501" s="66">
        <f t="shared" si="84"/>
        <v>0</v>
      </c>
      <c r="AF501" s="66">
        <f t="shared" si="77"/>
        <v>0</v>
      </c>
      <c r="AG501" s="67" t="str">
        <f t="shared" si="85"/>
        <v>0000000000</v>
      </c>
      <c r="AH501" s="67" t="str">
        <f t="shared" si="86"/>
        <v>.00</v>
      </c>
      <c r="AI501" s="67" t="str">
        <f t="shared" si="82"/>
        <v>00</v>
      </c>
      <c r="AJ501" s="67" t="str">
        <f t="shared" si="87"/>
        <v>000000000000</v>
      </c>
      <c r="AK501" s="119"/>
      <c r="AL501" s="120"/>
      <c r="AP501" s="115" t="str">
        <f t="shared" si="83"/>
        <v/>
      </c>
    </row>
    <row r="502" spans="1:42" x14ac:dyDescent="0.2">
      <c r="A502" s="63" t="str">
        <f t="shared" si="79"/>
        <v/>
      </c>
      <c r="B502" s="133"/>
      <c r="C502" s="133"/>
      <c r="D502" s="135"/>
      <c r="E502" s="135"/>
      <c r="F502" s="137"/>
      <c r="AA502" s="116" t="str">
        <f t="shared" si="78"/>
        <v>00000000000000</v>
      </c>
      <c r="AB502" s="117" t="str">
        <f t="shared" si="80"/>
        <v>000000000000</v>
      </c>
      <c r="AC502" s="118">
        <f t="shared" si="81"/>
        <v>1</v>
      </c>
      <c r="AD502" s="47">
        <v>2</v>
      </c>
      <c r="AE502" s="66">
        <f t="shared" si="84"/>
        <v>0</v>
      </c>
      <c r="AF502" s="66">
        <f t="shared" si="77"/>
        <v>0</v>
      </c>
      <c r="AG502" s="67" t="str">
        <f t="shared" si="85"/>
        <v>0000000000</v>
      </c>
      <c r="AH502" s="67" t="str">
        <f t="shared" si="86"/>
        <v>.00</v>
      </c>
      <c r="AI502" s="67" t="str">
        <f t="shared" si="82"/>
        <v>00</v>
      </c>
      <c r="AJ502" s="67" t="str">
        <f t="shared" si="87"/>
        <v>000000000000</v>
      </c>
      <c r="AK502" s="119"/>
      <c r="AL502" s="120"/>
      <c r="AP502" s="115" t="str">
        <f t="shared" si="83"/>
        <v/>
      </c>
    </row>
    <row r="503" spans="1:42" x14ac:dyDescent="0.2">
      <c r="A503" s="63" t="str">
        <f t="shared" si="79"/>
        <v/>
      </c>
      <c r="B503" s="133"/>
      <c r="C503" s="133"/>
      <c r="D503" s="135"/>
      <c r="E503" s="135"/>
      <c r="F503" s="137"/>
      <c r="AA503" s="116" t="str">
        <f t="shared" si="78"/>
        <v>00000000000000</v>
      </c>
      <c r="AB503" s="117" t="str">
        <f t="shared" si="80"/>
        <v>000000000000</v>
      </c>
      <c r="AC503" s="118">
        <f t="shared" si="81"/>
        <v>1</v>
      </c>
      <c r="AD503" s="47">
        <v>2</v>
      </c>
      <c r="AE503" s="66">
        <f t="shared" si="84"/>
        <v>0</v>
      </c>
      <c r="AF503" s="66">
        <f t="shared" si="77"/>
        <v>0</v>
      </c>
      <c r="AG503" s="67" t="str">
        <f t="shared" si="85"/>
        <v>0000000000</v>
      </c>
      <c r="AH503" s="67" t="str">
        <f t="shared" si="86"/>
        <v>.00</v>
      </c>
      <c r="AI503" s="67" t="str">
        <f t="shared" si="82"/>
        <v>00</v>
      </c>
      <c r="AJ503" s="67" t="str">
        <f t="shared" si="87"/>
        <v>000000000000</v>
      </c>
      <c r="AK503" s="119"/>
      <c r="AL503" s="120"/>
      <c r="AP503" s="115" t="str">
        <f t="shared" si="83"/>
        <v/>
      </c>
    </row>
    <row r="504" spans="1:42" x14ac:dyDescent="0.2">
      <c r="A504" s="63" t="str">
        <f t="shared" si="79"/>
        <v/>
      </c>
      <c r="B504" s="133"/>
      <c r="C504" s="133"/>
      <c r="D504" s="135"/>
      <c r="E504" s="135"/>
      <c r="F504" s="137"/>
      <c r="AA504" s="116" t="str">
        <f t="shared" si="78"/>
        <v>00000000000000</v>
      </c>
      <c r="AB504" s="117" t="str">
        <f t="shared" si="80"/>
        <v>000000000000</v>
      </c>
      <c r="AC504" s="118">
        <f t="shared" si="81"/>
        <v>1</v>
      </c>
      <c r="AD504" s="47">
        <v>2</v>
      </c>
      <c r="AE504" s="66">
        <f t="shared" si="84"/>
        <v>0</v>
      </c>
      <c r="AF504" s="66">
        <f t="shared" si="77"/>
        <v>0</v>
      </c>
      <c r="AG504" s="67" t="str">
        <f t="shared" si="85"/>
        <v>0000000000</v>
      </c>
      <c r="AH504" s="67" t="str">
        <f t="shared" si="86"/>
        <v>.00</v>
      </c>
      <c r="AI504" s="67" t="str">
        <f t="shared" si="82"/>
        <v>00</v>
      </c>
      <c r="AJ504" s="67" t="str">
        <f t="shared" si="87"/>
        <v>000000000000</v>
      </c>
      <c r="AK504" s="119"/>
      <c r="AL504" s="120"/>
      <c r="AP504" s="115" t="str">
        <f t="shared" si="83"/>
        <v/>
      </c>
    </row>
    <row r="505" spans="1:42" x14ac:dyDescent="0.2">
      <c r="A505" s="63" t="str">
        <f t="shared" si="79"/>
        <v/>
      </c>
      <c r="B505" s="133"/>
      <c r="C505" s="133"/>
      <c r="D505" s="135"/>
      <c r="E505" s="135"/>
      <c r="F505" s="137"/>
      <c r="AA505" s="116" t="str">
        <f t="shared" si="78"/>
        <v>00000000000000</v>
      </c>
      <c r="AB505" s="117" t="str">
        <f t="shared" si="80"/>
        <v>000000000000</v>
      </c>
      <c r="AC505" s="118">
        <f t="shared" si="81"/>
        <v>1</v>
      </c>
      <c r="AD505" s="47">
        <v>2</v>
      </c>
      <c r="AE505" s="66">
        <f t="shared" si="84"/>
        <v>0</v>
      </c>
      <c r="AF505" s="66">
        <f t="shared" si="77"/>
        <v>0</v>
      </c>
      <c r="AG505" s="67" t="str">
        <f t="shared" si="85"/>
        <v>0000000000</v>
      </c>
      <c r="AH505" s="67" t="str">
        <f t="shared" si="86"/>
        <v>.00</v>
      </c>
      <c r="AI505" s="67" t="str">
        <f t="shared" si="82"/>
        <v>00</v>
      </c>
      <c r="AJ505" s="67" t="str">
        <f t="shared" si="87"/>
        <v>000000000000</v>
      </c>
      <c r="AK505" s="119"/>
      <c r="AL505" s="120"/>
      <c r="AP505" s="115" t="str">
        <f t="shared" si="83"/>
        <v/>
      </c>
    </row>
    <row r="506" spans="1:42" x14ac:dyDescent="0.2">
      <c r="A506" s="63" t="str">
        <f t="shared" si="79"/>
        <v/>
      </c>
      <c r="B506" s="133"/>
      <c r="C506" s="133"/>
      <c r="D506" s="135"/>
      <c r="E506" s="135"/>
      <c r="F506" s="137"/>
      <c r="AA506" s="116" t="str">
        <f t="shared" si="78"/>
        <v>00000000000000</v>
      </c>
      <c r="AB506" s="117" t="str">
        <f t="shared" si="80"/>
        <v>000000000000</v>
      </c>
      <c r="AC506" s="118">
        <f t="shared" si="81"/>
        <v>1</v>
      </c>
      <c r="AD506" s="47">
        <v>2</v>
      </c>
      <c r="AE506" s="66">
        <f t="shared" si="84"/>
        <v>0</v>
      </c>
      <c r="AF506" s="66">
        <f t="shared" si="77"/>
        <v>0</v>
      </c>
      <c r="AG506" s="67" t="str">
        <f t="shared" si="85"/>
        <v>0000000000</v>
      </c>
      <c r="AH506" s="67" t="str">
        <f t="shared" si="86"/>
        <v>.00</v>
      </c>
      <c r="AI506" s="67" t="str">
        <f t="shared" si="82"/>
        <v>00</v>
      </c>
      <c r="AJ506" s="67" t="str">
        <f t="shared" si="87"/>
        <v>000000000000</v>
      </c>
      <c r="AK506" s="119"/>
      <c r="AL506" s="120"/>
      <c r="AP506" s="115" t="str">
        <f t="shared" si="83"/>
        <v/>
      </c>
    </row>
    <row r="507" spans="1:42" x14ac:dyDescent="0.2">
      <c r="A507" s="63" t="str">
        <f t="shared" si="79"/>
        <v/>
      </c>
      <c r="B507" s="133"/>
      <c r="C507" s="133"/>
      <c r="D507" s="135"/>
      <c r="E507" s="135"/>
      <c r="F507" s="137"/>
      <c r="AA507" s="116" t="str">
        <f t="shared" si="78"/>
        <v>00000000000000</v>
      </c>
      <c r="AB507" s="117" t="str">
        <f t="shared" si="80"/>
        <v>000000000000</v>
      </c>
      <c r="AC507" s="118">
        <f t="shared" si="81"/>
        <v>1</v>
      </c>
      <c r="AD507" s="47">
        <v>2</v>
      </c>
      <c r="AE507" s="66">
        <f t="shared" si="84"/>
        <v>0</v>
      </c>
      <c r="AF507" s="66">
        <f t="shared" si="77"/>
        <v>0</v>
      </c>
      <c r="AG507" s="67" t="str">
        <f t="shared" si="85"/>
        <v>0000000000</v>
      </c>
      <c r="AH507" s="67" t="str">
        <f t="shared" si="86"/>
        <v>.00</v>
      </c>
      <c r="AI507" s="67" t="str">
        <f t="shared" si="82"/>
        <v>00</v>
      </c>
      <c r="AJ507" s="67" t="str">
        <f t="shared" si="87"/>
        <v>000000000000</v>
      </c>
      <c r="AK507" s="119"/>
      <c r="AL507" s="120"/>
      <c r="AP507" s="115" t="str">
        <f t="shared" si="83"/>
        <v/>
      </c>
    </row>
    <row r="508" spans="1:42" x14ac:dyDescent="0.2">
      <c r="A508" s="63" t="str">
        <f t="shared" si="79"/>
        <v/>
      </c>
      <c r="B508" s="133"/>
      <c r="C508" s="133"/>
      <c r="D508" s="135"/>
      <c r="E508" s="135"/>
      <c r="F508" s="137"/>
      <c r="AA508" s="116" t="str">
        <f t="shared" si="78"/>
        <v>00000000000000</v>
      </c>
      <c r="AB508" s="117" t="str">
        <f t="shared" si="80"/>
        <v>000000000000</v>
      </c>
      <c r="AC508" s="118">
        <f t="shared" si="81"/>
        <v>1</v>
      </c>
      <c r="AD508" s="47">
        <v>2</v>
      </c>
      <c r="AE508" s="66">
        <f t="shared" si="84"/>
        <v>0</v>
      </c>
      <c r="AF508" s="66">
        <f t="shared" si="77"/>
        <v>0</v>
      </c>
      <c r="AG508" s="67" t="str">
        <f t="shared" si="85"/>
        <v>0000000000</v>
      </c>
      <c r="AH508" s="67" t="str">
        <f t="shared" si="86"/>
        <v>.00</v>
      </c>
      <c r="AI508" s="67" t="str">
        <f t="shared" si="82"/>
        <v>00</v>
      </c>
      <c r="AJ508" s="67" t="str">
        <f t="shared" si="87"/>
        <v>000000000000</v>
      </c>
      <c r="AK508" s="119"/>
      <c r="AL508" s="120"/>
      <c r="AP508" s="115" t="str">
        <f t="shared" si="83"/>
        <v/>
      </c>
    </row>
    <row r="509" spans="1:42" x14ac:dyDescent="0.2">
      <c r="A509" s="63" t="str">
        <f t="shared" si="79"/>
        <v/>
      </c>
      <c r="B509" s="133"/>
      <c r="C509" s="133"/>
      <c r="D509" s="135"/>
      <c r="E509" s="135"/>
      <c r="F509" s="137"/>
      <c r="AA509" s="116" t="str">
        <f t="shared" si="78"/>
        <v>00000000000000</v>
      </c>
      <c r="AB509" s="117" t="str">
        <f t="shared" si="80"/>
        <v>000000000000</v>
      </c>
      <c r="AC509" s="118">
        <f t="shared" si="81"/>
        <v>1</v>
      </c>
      <c r="AD509" s="47">
        <v>2</v>
      </c>
      <c r="AE509" s="66">
        <f t="shared" si="84"/>
        <v>0</v>
      </c>
      <c r="AF509" s="66">
        <f t="shared" si="77"/>
        <v>0</v>
      </c>
      <c r="AG509" s="67" t="str">
        <f t="shared" si="85"/>
        <v>0000000000</v>
      </c>
      <c r="AH509" s="67" t="str">
        <f t="shared" si="86"/>
        <v>.00</v>
      </c>
      <c r="AI509" s="67" t="str">
        <f t="shared" si="82"/>
        <v>00</v>
      </c>
      <c r="AJ509" s="67" t="str">
        <f t="shared" si="87"/>
        <v>000000000000</v>
      </c>
      <c r="AK509" s="119"/>
      <c r="AL509" s="120"/>
      <c r="AP509" s="115" t="str">
        <f t="shared" si="83"/>
        <v/>
      </c>
    </row>
    <row r="510" spans="1:42" x14ac:dyDescent="0.2">
      <c r="A510" s="63" t="str">
        <f t="shared" si="79"/>
        <v/>
      </c>
      <c r="B510" s="133"/>
      <c r="C510" s="133"/>
      <c r="D510" s="135"/>
      <c r="E510" s="135"/>
      <c r="F510" s="137"/>
      <c r="AA510" s="116" t="str">
        <f t="shared" si="78"/>
        <v>00000000000000</v>
      </c>
      <c r="AB510" s="117" t="str">
        <f t="shared" si="80"/>
        <v>000000000000</v>
      </c>
      <c r="AC510" s="118">
        <f t="shared" si="81"/>
        <v>1</v>
      </c>
      <c r="AD510" s="47">
        <v>2</v>
      </c>
      <c r="AE510" s="66">
        <f t="shared" si="84"/>
        <v>0</v>
      </c>
      <c r="AF510" s="66">
        <f t="shared" si="77"/>
        <v>0</v>
      </c>
      <c r="AG510" s="67" t="str">
        <f t="shared" si="85"/>
        <v>0000000000</v>
      </c>
      <c r="AH510" s="67" t="str">
        <f t="shared" si="86"/>
        <v>.00</v>
      </c>
      <c r="AI510" s="67" t="str">
        <f t="shared" si="82"/>
        <v>00</v>
      </c>
      <c r="AJ510" s="67" t="str">
        <f t="shared" si="87"/>
        <v>000000000000</v>
      </c>
      <c r="AK510" s="119"/>
      <c r="AL510" s="120"/>
      <c r="AP510" s="115" t="str">
        <f t="shared" si="83"/>
        <v/>
      </c>
    </row>
    <row r="511" spans="1:42" x14ac:dyDescent="0.2">
      <c r="A511" s="63" t="str">
        <f t="shared" si="79"/>
        <v/>
      </c>
      <c r="B511" s="133"/>
      <c r="C511" s="133"/>
      <c r="D511" s="135"/>
      <c r="E511" s="135"/>
      <c r="F511" s="137"/>
      <c r="AA511" s="116" t="str">
        <f t="shared" si="78"/>
        <v>00000000000000</v>
      </c>
      <c r="AB511" s="117" t="str">
        <f t="shared" si="80"/>
        <v>000000000000</v>
      </c>
      <c r="AC511" s="118">
        <f t="shared" si="81"/>
        <v>1</v>
      </c>
      <c r="AD511" s="47">
        <v>2</v>
      </c>
      <c r="AE511" s="66">
        <f t="shared" si="84"/>
        <v>0</v>
      </c>
      <c r="AF511" s="66">
        <f t="shared" si="77"/>
        <v>0</v>
      </c>
      <c r="AG511" s="67" t="str">
        <f t="shared" si="85"/>
        <v>0000000000</v>
      </c>
      <c r="AH511" s="67" t="str">
        <f t="shared" si="86"/>
        <v>.00</v>
      </c>
      <c r="AI511" s="67" t="str">
        <f t="shared" si="82"/>
        <v>00</v>
      </c>
      <c r="AJ511" s="67" t="str">
        <f t="shared" si="87"/>
        <v>000000000000</v>
      </c>
      <c r="AK511" s="119"/>
      <c r="AL511" s="120"/>
      <c r="AP511" s="115" t="str">
        <f t="shared" si="83"/>
        <v/>
      </c>
    </row>
    <row r="512" spans="1:42" x14ac:dyDescent="0.2">
      <c r="A512" s="63" t="str">
        <f t="shared" si="79"/>
        <v/>
      </c>
      <c r="B512" s="133"/>
      <c r="C512" s="133"/>
      <c r="D512" s="135"/>
      <c r="E512" s="135"/>
      <c r="F512" s="137"/>
      <c r="AA512" s="116" t="str">
        <f t="shared" si="78"/>
        <v>00000000000000</v>
      </c>
      <c r="AB512" s="117" t="str">
        <f t="shared" si="80"/>
        <v>000000000000</v>
      </c>
      <c r="AC512" s="118">
        <f t="shared" si="81"/>
        <v>1</v>
      </c>
      <c r="AD512" s="47">
        <v>2</v>
      </c>
      <c r="AE512" s="66">
        <f t="shared" si="84"/>
        <v>0</v>
      </c>
      <c r="AF512" s="66">
        <f t="shared" si="77"/>
        <v>0</v>
      </c>
      <c r="AG512" s="67" t="str">
        <f t="shared" si="85"/>
        <v>0000000000</v>
      </c>
      <c r="AH512" s="67" t="str">
        <f t="shared" si="86"/>
        <v>.00</v>
      </c>
      <c r="AI512" s="67" t="str">
        <f t="shared" si="82"/>
        <v>00</v>
      </c>
      <c r="AJ512" s="67" t="str">
        <f t="shared" si="87"/>
        <v>000000000000</v>
      </c>
      <c r="AK512" s="119"/>
      <c r="AL512" s="120"/>
      <c r="AP512" s="115" t="str">
        <f t="shared" si="83"/>
        <v/>
      </c>
    </row>
    <row r="513" spans="1:42" x14ac:dyDescent="0.2">
      <c r="A513" s="63" t="str">
        <f t="shared" si="79"/>
        <v/>
      </c>
      <c r="B513" s="133"/>
      <c r="C513" s="133"/>
      <c r="D513" s="135"/>
      <c r="E513" s="135"/>
      <c r="F513" s="137"/>
      <c r="AA513" s="116" t="str">
        <f t="shared" si="78"/>
        <v>00000000000000</v>
      </c>
      <c r="AB513" s="117" t="str">
        <f t="shared" si="80"/>
        <v>000000000000</v>
      </c>
      <c r="AC513" s="118">
        <f t="shared" si="81"/>
        <v>1</v>
      </c>
      <c r="AD513" s="47">
        <v>2</v>
      </c>
      <c r="AE513" s="66">
        <f t="shared" si="84"/>
        <v>0</v>
      </c>
      <c r="AF513" s="66">
        <f t="shared" si="77"/>
        <v>0</v>
      </c>
      <c r="AG513" s="67" t="str">
        <f t="shared" si="85"/>
        <v>0000000000</v>
      </c>
      <c r="AH513" s="67" t="str">
        <f t="shared" si="86"/>
        <v>.00</v>
      </c>
      <c r="AI513" s="67" t="str">
        <f t="shared" si="82"/>
        <v>00</v>
      </c>
      <c r="AJ513" s="67" t="str">
        <f t="shared" si="87"/>
        <v>000000000000</v>
      </c>
      <c r="AK513" s="119"/>
      <c r="AL513" s="120"/>
      <c r="AP513" s="115" t="str">
        <f t="shared" si="83"/>
        <v/>
      </c>
    </row>
    <row r="514" spans="1:42" x14ac:dyDescent="0.2">
      <c r="A514" s="63" t="str">
        <f t="shared" si="79"/>
        <v/>
      </c>
      <c r="B514" s="133"/>
      <c r="C514" s="133"/>
      <c r="D514" s="135"/>
      <c r="E514" s="135"/>
      <c r="F514" s="137"/>
      <c r="AA514" s="116" t="str">
        <f t="shared" si="78"/>
        <v>00000000000000</v>
      </c>
      <c r="AB514" s="117" t="str">
        <f t="shared" si="80"/>
        <v>000000000000</v>
      </c>
      <c r="AC514" s="118">
        <f t="shared" si="81"/>
        <v>1</v>
      </c>
      <c r="AD514" s="47">
        <v>2</v>
      </c>
      <c r="AE514" s="66">
        <f t="shared" si="84"/>
        <v>0</v>
      </c>
      <c r="AF514" s="66">
        <f t="shared" si="77"/>
        <v>0</v>
      </c>
      <c r="AG514" s="67" t="str">
        <f t="shared" si="85"/>
        <v>0000000000</v>
      </c>
      <c r="AH514" s="67" t="str">
        <f t="shared" si="86"/>
        <v>.00</v>
      </c>
      <c r="AI514" s="67" t="str">
        <f t="shared" si="82"/>
        <v>00</v>
      </c>
      <c r="AJ514" s="67" t="str">
        <f t="shared" si="87"/>
        <v>000000000000</v>
      </c>
      <c r="AK514" s="119"/>
      <c r="AL514" s="120"/>
      <c r="AP514" s="115" t="str">
        <f t="shared" si="83"/>
        <v/>
      </c>
    </row>
    <row r="515" spans="1:42" x14ac:dyDescent="0.2">
      <c r="A515" s="63" t="str">
        <f t="shared" si="79"/>
        <v/>
      </c>
      <c r="B515" s="133"/>
      <c r="C515" s="133"/>
      <c r="D515" s="135"/>
      <c r="E515" s="135"/>
      <c r="F515" s="137"/>
      <c r="AA515" s="116" t="str">
        <f t="shared" si="78"/>
        <v>00000000000000</v>
      </c>
      <c r="AB515" s="117" t="str">
        <f t="shared" si="80"/>
        <v>000000000000</v>
      </c>
      <c r="AC515" s="118">
        <f t="shared" si="81"/>
        <v>1</v>
      </c>
      <c r="AD515" s="47">
        <v>2</v>
      </c>
      <c r="AE515" s="66">
        <f t="shared" si="84"/>
        <v>0</v>
      </c>
      <c r="AF515" s="66">
        <f t="shared" ref="AF515:AF578" si="88">F515-AE515</f>
        <v>0</v>
      </c>
      <c r="AG515" s="67" t="str">
        <f t="shared" si="85"/>
        <v>0000000000</v>
      </c>
      <c r="AH515" s="67" t="str">
        <f t="shared" si="86"/>
        <v>.00</v>
      </c>
      <c r="AI515" s="67" t="str">
        <f t="shared" si="82"/>
        <v>00</v>
      </c>
      <c r="AJ515" s="67" t="str">
        <f t="shared" si="87"/>
        <v>000000000000</v>
      </c>
      <c r="AK515" s="119"/>
      <c r="AL515" s="120"/>
      <c r="AP515" s="115" t="str">
        <f t="shared" si="83"/>
        <v/>
      </c>
    </row>
    <row r="516" spans="1:42" x14ac:dyDescent="0.2">
      <c r="A516" s="63" t="str">
        <f t="shared" si="79"/>
        <v/>
      </c>
      <c r="B516" s="133"/>
      <c r="C516" s="133"/>
      <c r="D516" s="135"/>
      <c r="E516" s="135"/>
      <c r="F516" s="137"/>
      <c r="AA516" s="116" t="str">
        <f t="shared" ref="AA516:AA579" si="89">CONCATENATE(REPT("0",14-LEN(B516)),B516)</f>
        <v>00000000000000</v>
      </c>
      <c r="AB516" s="117" t="str">
        <f t="shared" si="80"/>
        <v>000000000000</v>
      </c>
      <c r="AC516" s="118">
        <f t="shared" si="81"/>
        <v>1</v>
      </c>
      <c r="AD516" s="47">
        <v>2</v>
      </c>
      <c r="AE516" s="66">
        <f t="shared" si="84"/>
        <v>0</v>
      </c>
      <c r="AF516" s="66">
        <f t="shared" si="88"/>
        <v>0</v>
      </c>
      <c r="AG516" s="67" t="str">
        <f t="shared" si="85"/>
        <v>0000000000</v>
      </c>
      <c r="AH516" s="67" t="str">
        <f t="shared" si="86"/>
        <v>.00</v>
      </c>
      <c r="AI516" s="67" t="str">
        <f t="shared" si="82"/>
        <v>00</v>
      </c>
      <c r="AJ516" s="67" t="str">
        <f t="shared" si="87"/>
        <v>000000000000</v>
      </c>
      <c r="AK516" s="119"/>
      <c r="AL516" s="120"/>
      <c r="AP516" s="115" t="str">
        <f t="shared" si="83"/>
        <v/>
      </c>
    </row>
    <row r="517" spans="1:42" x14ac:dyDescent="0.2">
      <c r="A517" s="63" t="str">
        <f t="shared" ref="A517:A580" si="90">IF(B517&lt;&gt;"",A516+1,"")</f>
        <v/>
      </c>
      <c r="B517" s="133"/>
      <c r="C517" s="133"/>
      <c r="D517" s="135"/>
      <c r="E517" s="135"/>
      <c r="F517" s="137"/>
      <c r="AA517" s="116" t="str">
        <f t="shared" si="89"/>
        <v>00000000000000</v>
      </c>
      <c r="AB517" s="117" t="str">
        <f t="shared" ref="AB517:AB580" si="91">CONCATENATE(REPT("0",12-LEN(C517)),C517)</f>
        <v>000000000000</v>
      </c>
      <c r="AC517" s="118">
        <f t="shared" ref="AC517:AC580" si="92">AC516</f>
        <v>1</v>
      </c>
      <c r="AD517" s="47">
        <v>2</v>
      </c>
      <c r="AE517" s="66">
        <f t="shared" si="84"/>
        <v>0</v>
      </c>
      <c r="AF517" s="66">
        <f t="shared" si="88"/>
        <v>0</v>
      </c>
      <c r="AG517" s="67" t="str">
        <f t="shared" si="85"/>
        <v>0000000000</v>
      </c>
      <c r="AH517" s="67" t="str">
        <f t="shared" si="86"/>
        <v>.00</v>
      </c>
      <c r="AI517" s="67" t="str">
        <f t="shared" ref="AI517:AI580" si="93">MID(AH517,2,2)</f>
        <v>00</v>
      </c>
      <c r="AJ517" s="67" t="str">
        <f t="shared" si="87"/>
        <v>000000000000</v>
      </c>
      <c r="AK517" s="119"/>
      <c r="AL517" s="120"/>
      <c r="AP517" s="115" t="str">
        <f t="shared" si="83"/>
        <v/>
      </c>
    </row>
    <row r="518" spans="1:42" x14ac:dyDescent="0.2">
      <c r="A518" s="63" t="str">
        <f t="shared" si="90"/>
        <v/>
      </c>
      <c r="B518" s="133"/>
      <c r="C518" s="133"/>
      <c r="D518" s="135"/>
      <c r="E518" s="135"/>
      <c r="F518" s="137"/>
      <c r="AA518" s="116" t="str">
        <f t="shared" si="89"/>
        <v>00000000000000</v>
      </c>
      <c r="AB518" s="117" t="str">
        <f t="shared" si="91"/>
        <v>000000000000</v>
      </c>
      <c r="AC518" s="118">
        <f t="shared" si="92"/>
        <v>1</v>
      </c>
      <c r="AD518" s="47">
        <v>2</v>
      </c>
      <c r="AE518" s="66">
        <f t="shared" si="84"/>
        <v>0</v>
      </c>
      <c r="AF518" s="66">
        <f t="shared" si="88"/>
        <v>0</v>
      </c>
      <c r="AG518" s="67" t="str">
        <f t="shared" si="85"/>
        <v>0000000000</v>
      </c>
      <c r="AH518" s="67" t="str">
        <f t="shared" si="86"/>
        <v>.00</v>
      </c>
      <c r="AI518" s="67" t="str">
        <f t="shared" si="93"/>
        <v>00</v>
      </c>
      <c r="AJ518" s="67" t="str">
        <f t="shared" si="87"/>
        <v>000000000000</v>
      </c>
      <c r="AK518" s="119"/>
      <c r="AL518" s="120"/>
      <c r="AP518" s="115" t="str">
        <f t="shared" ref="AP518:AP581" si="94">IF(B519&lt;&gt;"",CONCATENATE("00000",$AD$1,AA519,$AC$3,"2",AB519,AJ519,$AL$3,"0                                                  "),"")</f>
        <v/>
      </c>
    </row>
    <row r="519" spans="1:42" x14ac:dyDescent="0.2">
      <c r="A519" s="63" t="str">
        <f t="shared" si="90"/>
        <v/>
      </c>
      <c r="B519" s="133"/>
      <c r="C519" s="133"/>
      <c r="D519" s="135"/>
      <c r="E519" s="135"/>
      <c r="F519" s="137"/>
      <c r="AA519" s="116" t="str">
        <f t="shared" si="89"/>
        <v>00000000000000</v>
      </c>
      <c r="AB519" s="117" t="str">
        <f t="shared" si="91"/>
        <v>000000000000</v>
      </c>
      <c r="AC519" s="118">
        <f t="shared" si="92"/>
        <v>1</v>
      </c>
      <c r="AD519" s="47">
        <v>2</v>
      </c>
      <c r="AE519" s="66">
        <f t="shared" si="84"/>
        <v>0</v>
      </c>
      <c r="AF519" s="66">
        <f t="shared" si="88"/>
        <v>0</v>
      </c>
      <c r="AG519" s="67" t="str">
        <f t="shared" si="85"/>
        <v>0000000000</v>
      </c>
      <c r="AH519" s="67" t="str">
        <f t="shared" si="86"/>
        <v>.00</v>
      </c>
      <c r="AI519" s="67" t="str">
        <f t="shared" si="93"/>
        <v>00</v>
      </c>
      <c r="AJ519" s="67" t="str">
        <f t="shared" si="87"/>
        <v>000000000000</v>
      </c>
      <c r="AK519" s="119"/>
      <c r="AL519" s="120"/>
      <c r="AP519" s="115" t="str">
        <f t="shared" si="94"/>
        <v/>
      </c>
    </row>
    <row r="520" spans="1:42" x14ac:dyDescent="0.2">
      <c r="A520" s="63" t="str">
        <f t="shared" si="90"/>
        <v/>
      </c>
      <c r="B520" s="133"/>
      <c r="C520" s="133"/>
      <c r="D520" s="135"/>
      <c r="E520" s="135"/>
      <c r="F520" s="137"/>
      <c r="AA520" s="116" t="str">
        <f t="shared" si="89"/>
        <v>00000000000000</v>
      </c>
      <c r="AB520" s="117" t="str">
        <f t="shared" si="91"/>
        <v>000000000000</v>
      </c>
      <c r="AC520" s="118">
        <f t="shared" si="92"/>
        <v>1</v>
      </c>
      <c r="AD520" s="47">
        <v>2</v>
      </c>
      <c r="AE520" s="66">
        <f t="shared" ref="AE520:AE583" si="95">INT(F520)</f>
        <v>0</v>
      </c>
      <c r="AF520" s="66">
        <f t="shared" si="88"/>
        <v>0</v>
      </c>
      <c r="AG520" s="67" t="str">
        <f t="shared" ref="AG520:AG583" si="96">TEXT(AE520,"0000000000")</f>
        <v>0000000000</v>
      </c>
      <c r="AH520" s="67" t="str">
        <f t="shared" ref="AH520:AH583" si="97">TEXT(AF520,".00")</f>
        <v>.00</v>
      </c>
      <c r="AI520" s="67" t="str">
        <f t="shared" si="93"/>
        <v>00</v>
      </c>
      <c r="AJ520" s="67" t="str">
        <f t="shared" ref="AJ520:AJ583" si="98">CONCATENATE(AG520,AI520)</f>
        <v>000000000000</v>
      </c>
      <c r="AK520" s="119"/>
      <c r="AL520" s="120"/>
      <c r="AP520" s="115" t="str">
        <f t="shared" si="94"/>
        <v/>
      </c>
    </row>
    <row r="521" spans="1:42" x14ac:dyDescent="0.2">
      <c r="A521" s="63" t="str">
        <f t="shared" si="90"/>
        <v/>
      </c>
      <c r="B521" s="133"/>
      <c r="C521" s="133"/>
      <c r="D521" s="135"/>
      <c r="E521" s="135"/>
      <c r="F521" s="137"/>
      <c r="AA521" s="116" t="str">
        <f t="shared" si="89"/>
        <v>00000000000000</v>
      </c>
      <c r="AB521" s="117" t="str">
        <f t="shared" si="91"/>
        <v>000000000000</v>
      </c>
      <c r="AC521" s="118">
        <f t="shared" si="92"/>
        <v>1</v>
      </c>
      <c r="AD521" s="47">
        <v>2</v>
      </c>
      <c r="AE521" s="66">
        <f t="shared" si="95"/>
        <v>0</v>
      </c>
      <c r="AF521" s="66">
        <f t="shared" si="88"/>
        <v>0</v>
      </c>
      <c r="AG521" s="67" t="str">
        <f t="shared" si="96"/>
        <v>0000000000</v>
      </c>
      <c r="AH521" s="67" t="str">
        <f t="shared" si="97"/>
        <v>.00</v>
      </c>
      <c r="AI521" s="67" t="str">
        <f t="shared" si="93"/>
        <v>00</v>
      </c>
      <c r="AJ521" s="67" t="str">
        <f t="shared" si="98"/>
        <v>000000000000</v>
      </c>
      <c r="AK521" s="119"/>
      <c r="AL521" s="120"/>
      <c r="AP521" s="115" t="str">
        <f t="shared" si="94"/>
        <v/>
      </c>
    </row>
    <row r="522" spans="1:42" x14ac:dyDescent="0.2">
      <c r="A522" s="63" t="str">
        <f t="shared" si="90"/>
        <v/>
      </c>
      <c r="B522" s="133"/>
      <c r="C522" s="133"/>
      <c r="D522" s="135"/>
      <c r="E522" s="135"/>
      <c r="F522" s="137"/>
      <c r="AA522" s="116" t="str">
        <f t="shared" si="89"/>
        <v>00000000000000</v>
      </c>
      <c r="AB522" s="117" t="str">
        <f t="shared" si="91"/>
        <v>000000000000</v>
      </c>
      <c r="AC522" s="118">
        <f t="shared" si="92"/>
        <v>1</v>
      </c>
      <c r="AD522" s="47">
        <v>2</v>
      </c>
      <c r="AE522" s="66">
        <f t="shared" si="95"/>
        <v>0</v>
      </c>
      <c r="AF522" s="66">
        <f t="shared" si="88"/>
        <v>0</v>
      </c>
      <c r="AG522" s="67" t="str">
        <f t="shared" si="96"/>
        <v>0000000000</v>
      </c>
      <c r="AH522" s="67" t="str">
        <f t="shared" si="97"/>
        <v>.00</v>
      </c>
      <c r="AI522" s="67" t="str">
        <f t="shared" si="93"/>
        <v>00</v>
      </c>
      <c r="AJ522" s="67" t="str">
        <f t="shared" si="98"/>
        <v>000000000000</v>
      </c>
      <c r="AK522" s="119"/>
      <c r="AL522" s="120"/>
      <c r="AP522" s="115" t="str">
        <f t="shared" si="94"/>
        <v/>
      </c>
    </row>
    <row r="523" spans="1:42" x14ac:dyDescent="0.2">
      <c r="A523" s="63" t="str">
        <f t="shared" si="90"/>
        <v/>
      </c>
      <c r="B523" s="133"/>
      <c r="C523" s="133"/>
      <c r="D523" s="135"/>
      <c r="E523" s="135"/>
      <c r="F523" s="137"/>
      <c r="AA523" s="116" t="str">
        <f t="shared" si="89"/>
        <v>00000000000000</v>
      </c>
      <c r="AB523" s="117" t="str">
        <f t="shared" si="91"/>
        <v>000000000000</v>
      </c>
      <c r="AC523" s="118">
        <f t="shared" si="92"/>
        <v>1</v>
      </c>
      <c r="AD523" s="47">
        <v>2</v>
      </c>
      <c r="AE523" s="66">
        <f t="shared" si="95"/>
        <v>0</v>
      </c>
      <c r="AF523" s="66">
        <f t="shared" si="88"/>
        <v>0</v>
      </c>
      <c r="AG523" s="67" t="str">
        <f t="shared" si="96"/>
        <v>0000000000</v>
      </c>
      <c r="AH523" s="67" t="str">
        <f t="shared" si="97"/>
        <v>.00</v>
      </c>
      <c r="AI523" s="67" t="str">
        <f t="shared" si="93"/>
        <v>00</v>
      </c>
      <c r="AJ523" s="67" t="str">
        <f t="shared" si="98"/>
        <v>000000000000</v>
      </c>
      <c r="AK523" s="119"/>
      <c r="AL523" s="120"/>
      <c r="AP523" s="115" t="str">
        <f t="shared" si="94"/>
        <v/>
      </c>
    </row>
    <row r="524" spans="1:42" x14ac:dyDescent="0.2">
      <c r="A524" s="63" t="str">
        <f t="shared" si="90"/>
        <v/>
      </c>
      <c r="B524" s="133"/>
      <c r="C524" s="133"/>
      <c r="D524" s="135"/>
      <c r="E524" s="135"/>
      <c r="F524" s="137"/>
      <c r="AA524" s="116" t="str">
        <f t="shared" si="89"/>
        <v>00000000000000</v>
      </c>
      <c r="AB524" s="117" t="str">
        <f t="shared" si="91"/>
        <v>000000000000</v>
      </c>
      <c r="AC524" s="118">
        <f t="shared" si="92"/>
        <v>1</v>
      </c>
      <c r="AD524" s="47">
        <v>2</v>
      </c>
      <c r="AE524" s="66">
        <f t="shared" si="95"/>
        <v>0</v>
      </c>
      <c r="AF524" s="66">
        <f t="shared" si="88"/>
        <v>0</v>
      </c>
      <c r="AG524" s="67" t="str">
        <f t="shared" si="96"/>
        <v>0000000000</v>
      </c>
      <c r="AH524" s="67" t="str">
        <f t="shared" si="97"/>
        <v>.00</v>
      </c>
      <c r="AI524" s="67" t="str">
        <f t="shared" si="93"/>
        <v>00</v>
      </c>
      <c r="AJ524" s="67" t="str">
        <f t="shared" si="98"/>
        <v>000000000000</v>
      </c>
      <c r="AK524" s="119"/>
      <c r="AL524" s="120"/>
      <c r="AP524" s="115" t="str">
        <f t="shared" si="94"/>
        <v/>
      </c>
    </row>
    <row r="525" spans="1:42" x14ac:dyDescent="0.2">
      <c r="A525" s="63" t="str">
        <f t="shared" si="90"/>
        <v/>
      </c>
      <c r="B525" s="133"/>
      <c r="C525" s="133"/>
      <c r="D525" s="135"/>
      <c r="E525" s="135"/>
      <c r="F525" s="137"/>
      <c r="AA525" s="116" t="str">
        <f t="shared" si="89"/>
        <v>00000000000000</v>
      </c>
      <c r="AB525" s="117" t="str">
        <f t="shared" si="91"/>
        <v>000000000000</v>
      </c>
      <c r="AC525" s="118">
        <f t="shared" si="92"/>
        <v>1</v>
      </c>
      <c r="AD525" s="47">
        <v>2</v>
      </c>
      <c r="AE525" s="66">
        <f t="shared" si="95"/>
        <v>0</v>
      </c>
      <c r="AF525" s="66">
        <f t="shared" si="88"/>
        <v>0</v>
      </c>
      <c r="AG525" s="67" t="str">
        <f t="shared" si="96"/>
        <v>0000000000</v>
      </c>
      <c r="AH525" s="67" t="str">
        <f t="shared" si="97"/>
        <v>.00</v>
      </c>
      <c r="AI525" s="67" t="str">
        <f t="shared" si="93"/>
        <v>00</v>
      </c>
      <c r="AJ525" s="67" t="str">
        <f t="shared" si="98"/>
        <v>000000000000</v>
      </c>
      <c r="AK525" s="119"/>
      <c r="AL525" s="120"/>
      <c r="AP525" s="115" t="str">
        <f t="shared" si="94"/>
        <v/>
      </c>
    </row>
    <row r="526" spans="1:42" x14ac:dyDescent="0.2">
      <c r="A526" s="63" t="str">
        <f t="shared" si="90"/>
        <v/>
      </c>
      <c r="B526" s="133"/>
      <c r="C526" s="133"/>
      <c r="D526" s="135"/>
      <c r="E526" s="135"/>
      <c r="F526" s="137"/>
      <c r="AA526" s="116" t="str">
        <f t="shared" si="89"/>
        <v>00000000000000</v>
      </c>
      <c r="AB526" s="117" t="str">
        <f t="shared" si="91"/>
        <v>000000000000</v>
      </c>
      <c r="AC526" s="118">
        <f t="shared" si="92"/>
        <v>1</v>
      </c>
      <c r="AD526" s="47">
        <v>2</v>
      </c>
      <c r="AE526" s="66">
        <f t="shared" si="95"/>
        <v>0</v>
      </c>
      <c r="AF526" s="66">
        <f t="shared" si="88"/>
        <v>0</v>
      </c>
      <c r="AG526" s="67" t="str">
        <f t="shared" si="96"/>
        <v>0000000000</v>
      </c>
      <c r="AH526" s="67" t="str">
        <f t="shared" si="97"/>
        <v>.00</v>
      </c>
      <c r="AI526" s="67" t="str">
        <f t="shared" si="93"/>
        <v>00</v>
      </c>
      <c r="AJ526" s="67" t="str">
        <f t="shared" si="98"/>
        <v>000000000000</v>
      </c>
      <c r="AK526" s="119"/>
      <c r="AL526" s="120"/>
      <c r="AP526" s="115" t="str">
        <f t="shared" si="94"/>
        <v/>
      </c>
    </row>
    <row r="527" spans="1:42" x14ac:dyDescent="0.2">
      <c r="A527" s="63" t="str">
        <f t="shared" si="90"/>
        <v/>
      </c>
      <c r="B527" s="133"/>
      <c r="C527" s="133"/>
      <c r="D527" s="135"/>
      <c r="E527" s="135"/>
      <c r="F527" s="137"/>
      <c r="AA527" s="116" t="str">
        <f t="shared" si="89"/>
        <v>00000000000000</v>
      </c>
      <c r="AB527" s="117" t="str">
        <f t="shared" si="91"/>
        <v>000000000000</v>
      </c>
      <c r="AC527" s="118">
        <f t="shared" si="92"/>
        <v>1</v>
      </c>
      <c r="AD527" s="47">
        <v>2</v>
      </c>
      <c r="AE527" s="66">
        <f t="shared" si="95"/>
        <v>0</v>
      </c>
      <c r="AF527" s="66">
        <f t="shared" si="88"/>
        <v>0</v>
      </c>
      <c r="AG527" s="67" t="str">
        <f t="shared" si="96"/>
        <v>0000000000</v>
      </c>
      <c r="AH527" s="67" t="str">
        <f t="shared" si="97"/>
        <v>.00</v>
      </c>
      <c r="AI527" s="67" t="str">
        <f t="shared" si="93"/>
        <v>00</v>
      </c>
      <c r="AJ527" s="67" t="str">
        <f t="shared" si="98"/>
        <v>000000000000</v>
      </c>
      <c r="AK527" s="119"/>
      <c r="AL527" s="120"/>
      <c r="AP527" s="115" t="str">
        <f t="shared" si="94"/>
        <v/>
      </c>
    </row>
    <row r="528" spans="1:42" x14ac:dyDescent="0.2">
      <c r="A528" s="63" t="str">
        <f t="shared" si="90"/>
        <v/>
      </c>
      <c r="B528" s="133"/>
      <c r="C528" s="133"/>
      <c r="D528" s="135"/>
      <c r="E528" s="135"/>
      <c r="F528" s="137"/>
      <c r="AA528" s="116" t="str">
        <f t="shared" si="89"/>
        <v>00000000000000</v>
      </c>
      <c r="AB528" s="117" t="str">
        <f t="shared" si="91"/>
        <v>000000000000</v>
      </c>
      <c r="AC528" s="118">
        <f t="shared" si="92"/>
        <v>1</v>
      </c>
      <c r="AD528" s="47">
        <v>2</v>
      </c>
      <c r="AE528" s="66">
        <f t="shared" si="95"/>
        <v>0</v>
      </c>
      <c r="AF528" s="66">
        <f t="shared" si="88"/>
        <v>0</v>
      </c>
      <c r="AG528" s="67" t="str">
        <f t="shared" si="96"/>
        <v>0000000000</v>
      </c>
      <c r="AH528" s="67" t="str">
        <f t="shared" si="97"/>
        <v>.00</v>
      </c>
      <c r="AI528" s="67" t="str">
        <f t="shared" si="93"/>
        <v>00</v>
      </c>
      <c r="AJ528" s="67" t="str">
        <f t="shared" si="98"/>
        <v>000000000000</v>
      </c>
      <c r="AK528" s="119"/>
      <c r="AL528" s="120"/>
      <c r="AP528" s="115" t="str">
        <f t="shared" si="94"/>
        <v/>
      </c>
    </row>
    <row r="529" spans="1:42" x14ac:dyDescent="0.2">
      <c r="A529" s="63" t="str">
        <f t="shared" si="90"/>
        <v/>
      </c>
      <c r="B529" s="133"/>
      <c r="C529" s="133"/>
      <c r="D529" s="135"/>
      <c r="E529" s="135"/>
      <c r="F529" s="137"/>
      <c r="AA529" s="116" t="str">
        <f t="shared" si="89"/>
        <v>00000000000000</v>
      </c>
      <c r="AB529" s="117" t="str">
        <f t="shared" si="91"/>
        <v>000000000000</v>
      </c>
      <c r="AC529" s="118">
        <f t="shared" si="92"/>
        <v>1</v>
      </c>
      <c r="AD529" s="47">
        <v>2</v>
      </c>
      <c r="AE529" s="66">
        <f t="shared" si="95"/>
        <v>0</v>
      </c>
      <c r="AF529" s="66">
        <f t="shared" si="88"/>
        <v>0</v>
      </c>
      <c r="AG529" s="67" t="str">
        <f t="shared" si="96"/>
        <v>0000000000</v>
      </c>
      <c r="AH529" s="67" t="str">
        <f t="shared" si="97"/>
        <v>.00</v>
      </c>
      <c r="AI529" s="67" t="str">
        <f t="shared" si="93"/>
        <v>00</v>
      </c>
      <c r="AJ529" s="67" t="str">
        <f t="shared" si="98"/>
        <v>000000000000</v>
      </c>
      <c r="AK529" s="119"/>
      <c r="AL529" s="120"/>
      <c r="AP529" s="115" t="str">
        <f t="shared" si="94"/>
        <v/>
      </c>
    </row>
    <row r="530" spans="1:42" x14ac:dyDescent="0.2">
      <c r="A530" s="63" t="str">
        <f t="shared" si="90"/>
        <v/>
      </c>
      <c r="B530" s="133"/>
      <c r="C530" s="133"/>
      <c r="D530" s="135"/>
      <c r="E530" s="135"/>
      <c r="F530" s="137"/>
      <c r="AA530" s="116" t="str">
        <f t="shared" si="89"/>
        <v>00000000000000</v>
      </c>
      <c r="AB530" s="117" t="str">
        <f t="shared" si="91"/>
        <v>000000000000</v>
      </c>
      <c r="AC530" s="118">
        <f t="shared" si="92"/>
        <v>1</v>
      </c>
      <c r="AD530" s="47">
        <v>2</v>
      </c>
      <c r="AE530" s="66">
        <f t="shared" si="95"/>
        <v>0</v>
      </c>
      <c r="AF530" s="66">
        <f t="shared" si="88"/>
        <v>0</v>
      </c>
      <c r="AG530" s="67" t="str">
        <f t="shared" si="96"/>
        <v>0000000000</v>
      </c>
      <c r="AH530" s="67" t="str">
        <f t="shared" si="97"/>
        <v>.00</v>
      </c>
      <c r="AI530" s="67" t="str">
        <f t="shared" si="93"/>
        <v>00</v>
      </c>
      <c r="AJ530" s="67" t="str">
        <f t="shared" si="98"/>
        <v>000000000000</v>
      </c>
      <c r="AK530" s="119"/>
      <c r="AL530" s="120"/>
      <c r="AP530" s="115" t="str">
        <f t="shared" si="94"/>
        <v/>
      </c>
    </row>
    <row r="531" spans="1:42" x14ac:dyDescent="0.2">
      <c r="A531" s="63" t="str">
        <f t="shared" si="90"/>
        <v/>
      </c>
      <c r="B531" s="133"/>
      <c r="C531" s="133"/>
      <c r="D531" s="135"/>
      <c r="E531" s="135"/>
      <c r="F531" s="137"/>
      <c r="AA531" s="116" t="str">
        <f t="shared" si="89"/>
        <v>00000000000000</v>
      </c>
      <c r="AB531" s="117" t="str">
        <f t="shared" si="91"/>
        <v>000000000000</v>
      </c>
      <c r="AC531" s="118">
        <f t="shared" si="92"/>
        <v>1</v>
      </c>
      <c r="AD531" s="47">
        <v>2</v>
      </c>
      <c r="AE531" s="66">
        <f t="shared" si="95"/>
        <v>0</v>
      </c>
      <c r="AF531" s="66">
        <f t="shared" si="88"/>
        <v>0</v>
      </c>
      <c r="AG531" s="67" t="str">
        <f t="shared" si="96"/>
        <v>0000000000</v>
      </c>
      <c r="AH531" s="67" t="str">
        <f t="shared" si="97"/>
        <v>.00</v>
      </c>
      <c r="AI531" s="67" t="str">
        <f t="shared" si="93"/>
        <v>00</v>
      </c>
      <c r="AJ531" s="67" t="str">
        <f t="shared" si="98"/>
        <v>000000000000</v>
      </c>
      <c r="AK531" s="119"/>
      <c r="AL531" s="120"/>
      <c r="AP531" s="115" t="str">
        <f t="shared" si="94"/>
        <v/>
      </c>
    </row>
    <row r="532" spans="1:42" x14ac:dyDescent="0.2">
      <c r="A532" s="63" t="str">
        <f t="shared" si="90"/>
        <v/>
      </c>
      <c r="B532" s="133"/>
      <c r="C532" s="133"/>
      <c r="D532" s="135"/>
      <c r="E532" s="135"/>
      <c r="F532" s="137"/>
      <c r="AA532" s="116" t="str">
        <f t="shared" si="89"/>
        <v>00000000000000</v>
      </c>
      <c r="AB532" s="117" t="str">
        <f t="shared" si="91"/>
        <v>000000000000</v>
      </c>
      <c r="AC532" s="118">
        <f t="shared" si="92"/>
        <v>1</v>
      </c>
      <c r="AD532" s="47">
        <v>2</v>
      </c>
      <c r="AE532" s="66">
        <f t="shared" si="95"/>
        <v>0</v>
      </c>
      <c r="AF532" s="66">
        <f t="shared" si="88"/>
        <v>0</v>
      </c>
      <c r="AG532" s="67" t="str">
        <f t="shared" si="96"/>
        <v>0000000000</v>
      </c>
      <c r="AH532" s="67" t="str">
        <f t="shared" si="97"/>
        <v>.00</v>
      </c>
      <c r="AI532" s="67" t="str">
        <f t="shared" si="93"/>
        <v>00</v>
      </c>
      <c r="AJ532" s="67" t="str">
        <f t="shared" si="98"/>
        <v>000000000000</v>
      </c>
      <c r="AK532" s="119"/>
      <c r="AL532" s="120"/>
      <c r="AP532" s="115" t="str">
        <f t="shared" si="94"/>
        <v/>
      </c>
    </row>
    <row r="533" spans="1:42" x14ac:dyDescent="0.2">
      <c r="A533" s="63" t="str">
        <f t="shared" si="90"/>
        <v/>
      </c>
      <c r="B533" s="133"/>
      <c r="C533" s="133"/>
      <c r="D533" s="135"/>
      <c r="E533" s="135"/>
      <c r="F533" s="137"/>
      <c r="AA533" s="116" t="str">
        <f t="shared" si="89"/>
        <v>00000000000000</v>
      </c>
      <c r="AB533" s="117" t="str">
        <f t="shared" si="91"/>
        <v>000000000000</v>
      </c>
      <c r="AC533" s="118">
        <f t="shared" si="92"/>
        <v>1</v>
      </c>
      <c r="AD533" s="47">
        <v>2</v>
      </c>
      <c r="AE533" s="66">
        <f t="shared" si="95"/>
        <v>0</v>
      </c>
      <c r="AF533" s="66">
        <f t="shared" si="88"/>
        <v>0</v>
      </c>
      <c r="AG533" s="67" t="str">
        <f t="shared" si="96"/>
        <v>0000000000</v>
      </c>
      <c r="AH533" s="67" t="str">
        <f t="shared" si="97"/>
        <v>.00</v>
      </c>
      <c r="AI533" s="67" t="str">
        <f t="shared" si="93"/>
        <v>00</v>
      </c>
      <c r="AJ533" s="67" t="str">
        <f t="shared" si="98"/>
        <v>000000000000</v>
      </c>
      <c r="AK533" s="119"/>
      <c r="AL533" s="120"/>
      <c r="AP533" s="115" t="str">
        <f t="shared" si="94"/>
        <v/>
      </c>
    </row>
    <row r="534" spans="1:42" x14ac:dyDescent="0.2">
      <c r="A534" s="63" t="str">
        <f t="shared" si="90"/>
        <v/>
      </c>
      <c r="B534" s="133"/>
      <c r="C534" s="133"/>
      <c r="D534" s="135"/>
      <c r="E534" s="135"/>
      <c r="F534" s="137"/>
      <c r="AA534" s="116" t="str">
        <f t="shared" si="89"/>
        <v>00000000000000</v>
      </c>
      <c r="AB534" s="117" t="str">
        <f t="shared" si="91"/>
        <v>000000000000</v>
      </c>
      <c r="AC534" s="118">
        <f t="shared" si="92"/>
        <v>1</v>
      </c>
      <c r="AD534" s="47">
        <v>2</v>
      </c>
      <c r="AE534" s="66">
        <f t="shared" si="95"/>
        <v>0</v>
      </c>
      <c r="AF534" s="66">
        <f t="shared" si="88"/>
        <v>0</v>
      </c>
      <c r="AG534" s="67" t="str">
        <f t="shared" si="96"/>
        <v>0000000000</v>
      </c>
      <c r="AH534" s="67" t="str">
        <f t="shared" si="97"/>
        <v>.00</v>
      </c>
      <c r="AI534" s="67" t="str">
        <f t="shared" si="93"/>
        <v>00</v>
      </c>
      <c r="AJ534" s="67" t="str">
        <f t="shared" si="98"/>
        <v>000000000000</v>
      </c>
      <c r="AK534" s="119"/>
      <c r="AL534" s="120"/>
      <c r="AP534" s="115" t="str">
        <f t="shared" si="94"/>
        <v/>
      </c>
    </row>
    <row r="535" spans="1:42" x14ac:dyDescent="0.2">
      <c r="A535" s="63" t="str">
        <f t="shared" si="90"/>
        <v/>
      </c>
      <c r="B535" s="133"/>
      <c r="C535" s="133"/>
      <c r="D535" s="135"/>
      <c r="E535" s="135"/>
      <c r="F535" s="137"/>
      <c r="AA535" s="116" t="str">
        <f t="shared" si="89"/>
        <v>00000000000000</v>
      </c>
      <c r="AB535" s="117" t="str">
        <f t="shared" si="91"/>
        <v>000000000000</v>
      </c>
      <c r="AC535" s="118">
        <f t="shared" si="92"/>
        <v>1</v>
      </c>
      <c r="AD535" s="47">
        <v>2</v>
      </c>
      <c r="AE535" s="66">
        <f t="shared" si="95"/>
        <v>0</v>
      </c>
      <c r="AF535" s="66">
        <f t="shared" si="88"/>
        <v>0</v>
      </c>
      <c r="AG535" s="67" t="str">
        <f t="shared" si="96"/>
        <v>0000000000</v>
      </c>
      <c r="AH535" s="67" t="str">
        <f t="shared" si="97"/>
        <v>.00</v>
      </c>
      <c r="AI535" s="67" t="str">
        <f t="shared" si="93"/>
        <v>00</v>
      </c>
      <c r="AJ535" s="67" t="str">
        <f t="shared" si="98"/>
        <v>000000000000</v>
      </c>
      <c r="AK535" s="119"/>
      <c r="AL535" s="120"/>
      <c r="AP535" s="115" t="str">
        <f t="shared" si="94"/>
        <v/>
      </c>
    </row>
    <row r="536" spans="1:42" x14ac:dyDescent="0.2">
      <c r="A536" s="63" t="str">
        <f t="shared" si="90"/>
        <v/>
      </c>
      <c r="B536" s="133"/>
      <c r="C536" s="133"/>
      <c r="D536" s="135"/>
      <c r="E536" s="135"/>
      <c r="F536" s="137"/>
      <c r="AA536" s="116" t="str">
        <f t="shared" si="89"/>
        <v>00000000000000</v>
      </c>
      <c r="AB536" s="117" t="str">
        <f t="shared" si="91"/>
        <v>000000000000</v>
      </c>
      <c r="AC536" s="118">
        <f t="shared" si="92"/>
        <v>1</v>
      </c>
      <c r="AD536" s="47">
        <v>2</v>
      </c>
      <c r="AE536" s="66">
        <f t="shared" si="95"/>
        <v>0</v>
      </c>
      <c r="AF536" s="66">
        <f t="shared" si="88"/>
        <v>0</v>
      </c>
      <c r="AG536" s="67" t="str">
        <f t="shared" si="96"/>
        <v>0000000000</v>
      </c>
      <c r="AH536" s="67" t="str">
        <f t="shared" si="97"/>
        <v>.00</v>
      </c>
      <c r="AI536" s="67" t="str">
        <f t="shared" si="93"/>
        <v>00</v>
      </c>
      <c r="AJ536" s="67" t="str">
        <f t="shared" si="98"/>
        <v>000000000000</v>
      </c>
      <c r="AK536" s="119"/>
      <c r="AL536" s="120"/>
      <c r="AP536" s="115" t="str">
        <f t="shared" si="94"/>
        <v/>
      </c>
    </row>
    <row r="537" spans="1:42" x14ac:dyDescent="0.2">
      <c r="A537" s="63" t="str">
        <f t="shared" si="90"/>
        <v/>
      </c>
      <c r="B537" s="133"/>
      <c r="C537" s="133"/>
      <c r="D537" s="135"/>
      <c r="E537" s="135"/>
      <c r="F537" s="137"/>
      <c r="AA537" s="116" t="str">
        <f t="shared" si="89"/>
        <v>00000000000000</v>
      </c>
      <c r="AB537" s="117" t="str">
        <f t="shared" si="91"/>
        <v>000000000000</v>
      </c>
      <c r="AC537" s="118">
        <f t="shared" si="92"/>
        <v>1</v>
      </c>
      <c r="AD537" s="47">
        <v>2</v>
      </c>
      <c r="AE537" s="66">
        <f t="shared" si="95"/>
        <v>0</v>
      </c>
      <c r="AF537" s="66">
        <f t="shared" si="88"/>
        <v>0</v>
      </c>
      <c r="AG537" s="67" t="str">
        <f t="shared" si="96"/>
        <v>0000000000</v>
      </c>
      <c r="AH537" s="67" t="str">
        <f t="shared" si="97"/>
        <v>.00</v>
      </c>
      <c r="AI537" s="67" t="str">
        <f t="shared" si="93"/>
        <v>00</v>
      </c>
      <c r="AJ537" s="67" t="str">
        <f t="shared" si="98"/>
        <v>000000000000</v>
      </c>
      <c r="AK537" s="119"/>
      <c r="AL537" s="120"/>
      <c r="AP537" s="115" t="str">
        <f t="shared" si="94"/>
        <v/>
      </c>
    </row>
    <row r="538" spans="1:42" x14ac:dyDescent="0.2">
      <c r="A538" s="63" t="str">
        <f t="shared" si="90"/>
        <v/>
      </c>
      <c r="B538" s="133"/>
      <c r="C538" s="133"/>
      <c r="D538" s="135"/>
      <c r="E538" s="135"/>
      <c r="F538" s="137"/>
      <c r="AA538" s="116" t="str">
        <f t="shared" si="89"/>
        <v>00000000000000</v>
      </c>
      <c r="AB538" s="117" t="str">
        <f t="shared" si="91"/>
        <v>000000000000</v>
      </c>
      <c r="AC538" s="118">
        <f t="shared" si="92"/>
        <v>1</v>
      </c>
      <c r="AD538" s="47">
        <v>2</v>
      </c>
      <c r="AE538" s="66">
        <f t="shared" si="95"/>
        <v>0</v>
      </c>
      <c r="AF538" s="66">
        <f t="shared" si="88"/>
        <v>0</v>
      </c>
      <c r="AG538" s="67" t="str">
        <f t="shared" si="96"/>
        <v>0000000000</v>
      </c>
      <c r="AH538" s="67" t="str">
        <f t="shared" si="97"/>
        <v>.00</v>
      </c>
      <c r="AI538" s="67" t="str">
        <f t="shared" si="93"/>
        <v>00</v>
      </c>
      <c r="AJ538" s="67" t="str">
        <f t="shared" si="98"/>
        <v>000000000000</v>
      </c>
      <c r="AK538" s="119"/>
      <c r="AL538" s="120"/>
      <c r="AP538" s="115" t="str">
        <f t="shared" si="94"/>
        <v/>
      </c>
    </row>
    <row r="539" spans="1:42" x14ac:dyDescent="0.2">
      <c r="A539" s="63" t="str">
        <f t="shared" si="90"/>
        <v/>
      </c>
      <c r="B539" s="133"/>
      <c r="C539" s="133"/>
      <c r="D539" s="135"/>
      <c r="E539" s="135"/>
      <c r="F539" s="137"/>
      <c r="AA539" s="116" t="str">
        <f t="shared" si="89"/>
        <v>00000000000000</v>
      </c>
      <c r="AB539" s="117" t="str">
        <f t="shared" si="91"/>
        <v>000000000000</v>
      </c>
      <c r="AC539" s="118">
        <f t="shared" si="92"/>
        <v>1</v>
      </c>
      <c r="AD539" s="47">
        <v>2</v>
      </c>
      <c r="AE539" s="66">
        <f t="shared" si="95"/>
        <v>0</v>
      </c>
      <c r="AF539" s="66">
        <f t="shared" si="88"/>
        <v>0</v>
      </c>
      <c r="AG539" s="67" t="str">
        <f t="shared" si="96"/>
        <v>0000000000</v>
      </c>
      <c r="AH539" s="67" t="str">
        <f t="shared" si="97"/>
        <v>.00</v>
      </c>
      <c r="AI539" s="67" t="str">
        <f t="shared" si="93"/>
        <v>00</v>
      </c>
      <c r="AJ539" s="67" t="str">
        <f t="shared" si="98"/>
        <v>000000000000</v>
      </c>
      <c r="AK539" s="119"/>
      <c r="AL539" s="120"/>
      <c r="AP539" s="115" t="str">
        <f t="shared" si="94"/>
        <v/>
      </c>
    </row>
    <row r="540" spans="1:42" x14ac:dyDescent="0.2">
      <c r="A540" s="63" t="str">
        <f t="shared" si="90"/>
        <v/>
      </c>
      <c r="B540" s="133"/>
      <c r="C540" s="133"/>
      <c r="D540" s="135"/>
      <c r="E540" s="135"/>
      <c r="F540" s="137"/>
      <c r="AA540" s="116" t="str">
        <f t="shared" si="89"/>
        <v>00000000000000</v>
      </c>
      <c r="AB540" s="117" t="str">
        <f t="shared" si="91"/>
        <v>000000000000</v>
      </c>
      <c r="AC540" s="118">
        <f t="shared" si="92"/>
        <v>1</v>
      </c>
      <c r="AD540" s="47">
        <v>2</v>
      </c>
      <c r="AE540" s="66">
        <f t="shared" si="95"/>
        <v>0</v>
      </c>
      <c r="AF540" s="66">
        <f t="shared" si="88"/>
        <v>0</v>
      </c>
      <c r="AG540" s="67" t="str">
        <f t="shared" si="96"/>
        <v>0000000000</v>
      </c>
      <c r="AH540" s="67" t="str">
        <f t="shared" si="97"/>
        <v>.00</v>
      </c>
      <c r="AI540" s="67" t="str">
        <f t="shared" si="93"/>
        <v>00</v>
      </c>
      <c r="AJ540" s="67" t="str">
        <f t="shared" si="98"/>
        <v>000000000000</v>
      </c>
      <c r="AK540" s="119"/>
      <c r="AL540" s="120"/>
      <c r="AP540" s="115" t="str">
        <f t="shared" si="94"/>
        <v/>
      </c>
    </row>
    <row r="541" spans="1:42" x14ac:dyDescent="0.2">
      <c r="A541" s="63" t="str">
        <f t="shared" si="90"/>
        <v/>
      </c>
      <c r="B541" s="133"/>
      <c r="C541" s="133"/>
      <c r="D541" s="135"/>
      <c r="E541" s="135"/>
      <c r="F541" s="137"/>
      <c r="AA541" s="116" t="str">
        <f t="shared" si="89"/>
        <v>00000000000000</v>
      </c>
      <c r="AB541" s="117" t="str">
        <f t="shared" si="91"/>
        <v>000000000000</v>
      </c>
      <c r="AC541" s="118">
        <f t="shared" si="92"/>
        <v>1</v>
      </c>
      <c r="AD541" s="47">
        <v>2</v>
      </c>
      <c r="AE541" s="66">
        <f t="shared" si="95"/>
        <v>0</v>
      </c>
      <c r="AF541" s="66">
        <f t="shared" si="88"/>
        <v>0</v>
      </c>
      <c r="AG541" s="67" t="str">
        <f t="shared" si="96"/>
        <v>0000000000</v>
      </c>
      <c r="AH541" s="67" t="str">
        <f t="shared" si="97"/>
        <v>.00</v>
      </c>
      <c r="AI541" s="67" t="str">
        <f t="shared" si="93"/>
        <v>00</v>
      </c>
      <c r="AJ541" s="67" t="str">
        <f t="shared" si="98"/>
        <v>000000000000</v>
      </c>
      <c r="AK541" s="119"/>
      <c r="AL541" s="120"/>
      <c r="AP541" s="115" t="str">
        <f t="shared" si="94"/>
        <v/>
      </c>
    </row>
    <row r="542" spans="1:42" x14ac:dyDescent="0.2">
      <c r="A542" s="63" t="str">
        <f t="shared" si="90"/>
        <v/>
      </c>
      <c r="B542" s="133"/>
      <c r="C542" s="133"/>
      <c r="D542" s="135"/>
      <c r="E542" s="135"/>
      <c r="F542" s="137"/>
      <c r="AA542" s="116" t="str">
        <f t="shared" si="89"/>
        <v>00000000000000</v>
      </c>
      <c r="AB542" s="117" t="str">
        <f t="shared" si="91"/>
        <v>000000000000</v>
      </c>
      <c r="AC542" s="118">
        <f t="shared" si="92"/>
        <v>1</v>
      </c>
      <c r="AD542" s="47">
        <v>2</v>
      </c>
      <c r="AE542" s="66">
        <f t="shared" si="95"/>
        <v>0</v>
      </c>
      <c r="AF542" s="66">
        <f t="shared" si="88"/>
        <v>0</v>
      </c>
      <c r="AG542" s="67" t="str">
        <f t="shared" si="96"/>
        <v>0000000000</v>
      </c>
      <c r="AH542" s="67" t="str">
        <f t="shared" si="97"/>
        <v>.00</v>
      </c>
      <c r="AI542" s="67" t="str">
        <f t="shared" si="93"/>
        <v>00</v>
      </c>
      <c r="AJ542" s="67" t="str">
        <f t="shared" si="98"/>
        <v>000000000000</v>
      </c>
      <c r="AK542" s="119"/>
      <c r="AL542" s="120"/>
      <c r="AP542" s="115" t="str">
        <f t="shared" si="94"/>
        <v/>
      </c>
    </row>
    <row r="543" spans="1:42" x14ac:dyDescent="0.2">
      <c r="A543" s="63" t="str">
        <f t="shared" si="90"/>
        <v/>
      </c>
      <c r="B543" s="133"/>
      <c r="C543" s="133"/>
      <c r="D543" s="135"/>
      <c r="E543" s="135"/>
      <c r="F543" s="137"/>
      <c r="AA543" s="116" t="str">
        <f t="shared" si="89"/>
        <v>00000000000000</v>
      </c>
      <c r="AB543" s="117" t="str">
        <f t="shared" si="91"/>
        <v>000000000000</v>
      </c>
      <c r="AC543" s="118">
        <f t="shared" si="92"/>
        <v>1</v>
      </c>
      <c r="AD543" s="47">
        <v>2</v>
      </c>
      <c r="AE543" s="66">
        <f t="shared" si="95"/>
        <v>0</v>
      </c>
      <c r="AF543" s="66">
        <f t="shared" si="88"/>
        <v>0</v>
      </c>
      <c r="AG543" s="67" t="str">
        <f t="shared" si="96"/>
        <v>0000000000</v>
      </c>
      <c r="AH543" s="67" t="str">
        <f t="shared" si="97"/>
        <v>.00</v>
      </c>
      <c r="AI543" s="67" t="str">
        <f t="shared" si="93"/>
        <v>00</v>
      </c>
      <c r="AJ543" s="67" t="str">
        <f t="shared" si="98"/>
        <v>000000000000</v>
      </c>
      <c r="AK543" s="119"/>
      <c r="AL543" s="120"/>
      <c r="AP543" s="115" t="str">
        <f t="shared" si="94"/>
        <v/>
      </c>
    </row>
    <row r="544" spans="1:42" x14ac:dyDescent="0.2">
      <c r="A544" s="63" t="str">
        <f t="shared" si="90"/>
        <v/>
      </c>
      <c r="B544" s="133"/>
      <c r="C544" s="133"/>
      <c r="D544" s="135"/>
      <c r="E544" s="135"/>
      <c r="F544" s="137"/>
      <c r="AA544" s="116" t="str">
        <f t="shared" si="89"/>
        <v>00000000000000</v>
      </c>
      <c r="AB544" s="117" t="str">
        <f t="shared" si="91"/>
        <v>000000000000</v>
      </c>
      <c r="AC544" s="118">
        <f t="shared" si="92"/>
        <v>1</v>
      </c>
      <c r="AD544" s="47">
        <v>2</v>
      </c>
      <c r="AE544" s="66">
        <f t="shared" si="95"/>
        <v>0</v>
      </c>
      <c r="AF544" s="66">
        <f t="shared" si="88"/>
        <v>0</v>
      </c>
      <c r="AG544" s="67" t="str">
        <f t="shared" si="96"/>
        <v>0000000000</v>
      </c>
      <c r="AH544" s="67" t="str">
        <f t="shared" si="97"/>
        <v>.00</v>
      </c>
      <c r="AI544" s="67" t="str">
        <f t="shared" si="93"/>
        <v>00</v>
      </c>
      <c r="AJ544" s="67" t="str">
        <f t="shared" si="98"/>
        <v>000000000000</v>
      </c>
      <c r="AK544" s="119"/>
      <c r="AL544" s="120"/>
      <c r="AP544" s="115" t="str">
        <f t="shared" si="94"/>
        <v/>
      </c>
    </row>
    <row r="545" spans="1:42" x14ac:dyDescent="0.2">
      <c r="A545" s="63" t="str">
        <f t="shared" si="90"/>
        <v/>
      </c>
      <c r="B545" s="133"/>
      <c r="C545" s="133"/>
      <c r="D545" s="135"/>
      <c r="E545" s="135"/>
      <c r="F545" s="137"/>
      <c r="AA545" s="116" t="str">
        <f t="shared" si="89"/>
        <v>00000000000000</v>
      </c>
      <c r="AB545" s="117" t="str">
        <f t="shared" si="91"/>
        <v>000000000000</v>
      </c>
      <c r="AC545" s="118">
        <f t="shared" si="92"/>
        <v>1</v>
      </c>
      <c r="AD545" s="47">
        <v>2</v>
      </c>
      <c r="AE545" s="66">
        <f t="shared" si="95"/>
        <v>0</v>
      </c>
      <c r="AF545" s="66">
        <f t="shared" si="88"/>
        <v>0</v>
      </c>
      <c r="AG545" s="67" t="str">
        <f t="shared" si="96"/>
        <v>0000000000</v>
      </c>
      <c r="AH545" s="67" t="str">
        <f t="shared" si="97"/>
        <v>.00</v>
      </c>
      <c r="AI545" s="67" t="str">
        <f t="shared" si="93"/>
        <v>00</v>
      </c>
      <c r="AJ545" s="67" t="str">
        <f t="shared" si="98"/>
        <v>000000000000</v>
      </c>
      <c r="AK545" s="119"/>
      <c r="AL545" s="120"/>
      <c r="AP545" s="115" t="str">
        <f t="shared" si="94"/>
        <v/>
      </c>
    </row>
    <row r="546" spans="1:42" x14ac:dyDescent="0.2">
      <c r="A546" s="63" t="str">
        <f t="shared" si="90"/>
        <v/>
      </c>
      <c r="B546" s="133"/>
      <c r="C546" s="133"/>
      <c r="D546" s="135"/>
      <c r="E546" s="135"/>
      <c r="F546" s="137"/>
      <c r="AA546" s="116" t="str">
        <f t="shared" si="89"/>
        <v>00000000000000</v>
      </c>
      <c r="AB546" s="117" t="str">
        <f t="shared" si="91"/>
        <v>000000000000</v>
      </c>
      <c r="AC546" s="118">
        <f t="shared" si="92"/>
        <v>1</v>
      </c>
      <c r="AD546" s="47">
        <v>2</v>
      </c>
      <c r="AE546" s="66">
        <f t="shared" si="95"/>
        <v>0</v>
      </c>
      <c r="AF546" s="66">
        <f t="shared" si="88"/>
        <v>0</v>
      </c>
      <c r="AG546" s="67" t="str">
        <f t="shared" si="96"/>
        <v>0000000000</v>
      </c>
      <c r="AH546" s="67" t="str">
        <f t="shared" si="97"/>
        <v>.00</v>
      </c>
      <c r="AI546" s="67" t="str">
        <f t="shared" si="93"/>
        <v>00</v>
      </c>
      <c r="AJ546" s="67" t="str">
        <f t="shared" si="98"/>
        <v>000000000000</v>
      </c>
      <c r="AK546" s="119"/>
      <c r="AL546" s="120"/>
      <c r="AP546" s="115" t="str">
        <f t="shared" si="94"/>
        <v/>
      </c>
    </row>
    <row r="547" spans="1:42" x14ac:dyDescent="0.2">
      <c r="A547" s="63" t="str">
        <f t="shared" si="90"/>
        <v/>
      </c>
      <c r="B547" s="133"/>
      <c r="C547" s="133"/>
      <c r="D547" s="135"/>
      <c r="E547" s="135"/>
      <c r="F547" s="137"/>
      <c r="AA547" s="116" t="str">
        <f t="shared" si="89"/>
        <v>00000000000000</v>
      </c>
      <c r="AB547" s="117" t="str">
        <f t="shared" si="91"/>
        <v>000000000000</v>
      </c>
      <c r="AC547" s="118">
        <f t="shared" si="92"/>
        <v>1</v>
      </c>
      <c r="AD547" s="47">
        <v>2</v>
      </c>
      <c r="AE547" s="66">
        <f t="shared" si="95"/>
        <v>0</v>
      </c>
      <c r="AF547" s="66">
        <f t="shared" si="88"/>
        <v>0</v>
      </c>
      <c r="AG547" s="67" t="str">
        <f t="shared" si="96"/>
        <v>0000000000</v>
      </c>
      <c r="AH547" s="67" t="str">
        <f t="shared" si="97"/>
        <v>.00</v>
      </c>
      <c r="AI547" s="67" t="str">
        <f t="shared" si="93"/>
        <v>00</v>
      </c>
      <c r="AJ547" s="67" t="str">
        <f t="shared" si="98"/>
        <v>000000000000</v>
      </c>
      <c r="AK547" s="119"/>
      <c r="AL547" s="120"/>
      <c r="AP547" s="115" t="str">
        <f t="shared" si="94"/>
        <v/>
      </c>
    </row>
    <row r="548" spans="1:42" x14ac:dyDescent="0.2">
      <c r="A548" s="63" t="str">
        <f t="shared" si="90"/>
        <v/>
      </c>
      <c r="B548" s="133"/>
      <c r="C548" s="133"/>
      <c r="D548" s="135"/>
      <c r="E548" s="135"/>
      <c r="F548" s="137"/>
      <c r="AA548" s="116" t="str">
        <f t="shared" si="89"/>
        <v>00000000000000</v>
      </c>
      <c r="AB548" s="117" t="str">
        <f t="shared" si="91"/>
        <v>000000000000</v>
      </c>
      <c r="AC548" s="118">
        <f t="shared" si="92"/>
        <v>1</v>
      </c>
      <c r="AD548" s="47">
        <v>2</v>
      </c>
      <c r="AE548" s="66">
        <f t="shared" si="95"/>
        <v>0</v>
      </c>
      <c r="AF548" s="66">
        <f t="shared" si="88"/>
        <v>0</v>
      </c>
      <c r="AG548" s="67" t="str">
        <f t="shared" si="96"/>
        <v>0000000000</v>
      </c>
      <c r="AH548" s="67" t="str">
        <f t="shared" si="97"/>
        <v>.00</v>
      </c>
      <c r="AI548" s="67" t="str">
        <f t="shared" si="93"/>
        <v>00</v>
      </c>
      <c r="AJ548" s="67" t="str">
        <f t="shared" si="98"/>
        <v>000000000000</v>
      </c>
      <c r="AK548" s="119"/>
      <c r="AL548" s="120"/>
      <c r="AP548" s="115" t="str">
        <f t="shared" si="94"/>
        <v/>
      </c>
    </row>
    <row r="549" spans="1:42" x14ac:dyDescent="0.2">
      <c r="A549" s="63" t="str">
        <f t="shared" si="90"/>
        <v/>
      </c>
      <c r="B549" s="133"/>
      <c r="C549" s="133"/>
      <c r="D549" s="135"/>
      <c r="E549" s="135"/>
      <c r="F549" s="137"/>
      <c r="AA549" s="116" t="str">
        <f t="shared" si="89"/>
        <v>00000000000000</v>
      </c>
      <c r="AB549" s="117" t="str">
        <f t="shared" si="91"/>
        <v>000000000000</v>
      </c>
      <c r="AC549" s="118">
        <f t="shared" si="92"/>
        <v>1</v>
      </c>
      <c r="AD549" s="47">
        <v>2</v>
      </c>
      <c r="AE549" s="66">
        <f t="shared" si="95"/>
        <v>0</v>
      </c>
      <c r="AF549" s="66">
        <f t="shared" si="88"/>
        <v>0</v>
      </c>
      <c r="AG549" s="67" t="str">
        <f t="shared" si="96"/>
        <v>0000000000</v>
      </c>
      <c r="AH549" s="67" t="str">
        <f t="shared" si="97"/>
        <v>.00</v>
      </c>
      <c r="AI549" s="67" t="str">
        <f t="shared" si="93"/>
        <v>00</v>
      </c>
      <c r="AJ549" s="67" t="str">
        <f t="shared" si="98"/>
        <v>000000000000</v>
      </c>
      <c r="AK549" s="119"/>
      <c r="AL549" s="120"/>
      <c r="AP549" s="115" t="str">
        <f t="shared" si="94"/>
        <v/>
      </c>
    </row>
    <row r="550" spans="1:42" x14ac:dyDescent="0.2">
      <c r="A550" s="63" t="str">
        <f t="shared" si="90"/>
        <v/>
      </c>
      <c r="B550" s="133"/>
      <c r="C550" s="133"/>
      <c r="D550" s="135"/>
      <c r="E550" s="135"/>
      <c r="F550" s="137"/>
      <c r="AA550" s="116" t="str">
        <f t="shared" si="89"/>
        <v>00000000000000</v>
      </c>
      <c r="AB550" s="117" t="str">
        <f t="shared" si="91"/>
        <v>000000000000</v>
      </c>
      <c r="AC550" s="118">
        <f t="shared" si="92"/>
        <v>1</v>
      </c>
      <c r="AD550" s="47">
        <v>2</v>
      </c>
      <c r="AE550" s="66">
        <f t="shared" si="95"/>
        <v>0</v>
      </c>
      <c r="AF550" s="66">
        <f t="shared" si="88"/>
        <v>0</v>
      </c>
      <c r="AG550" s="67" t="str">
        <f t="shared" si="96"/>
        <v>0000000000</v>
      </c>
      <c r="AH550" s="67" t="str">
        <f t="shared" si="97"/>
        <v>.00</v>
      </c>
      <c r="AI550" s="67" t="str">
        <f t="shared" si="93"/>
        <v>00</v>
      </c>
      <c r="AJ550" s="67" t="str">
        <f t="shared" si="98"/>
        <v>000000000000</v>
      </c>
      <c r="AK550" s="119"/>
      <c r="AL550" s="120"/>
      <c r="AP550" s="115" t="str">
        <f t="shared" si="94"/>
        <v/>
      </c>
    </row>
    <row r="551" spans="1:42" x14ac:dyDescent="0.2">
      <c r="A551" s="63" t="str">
        <f t="shared" si="90"/>
        <v/>
      </c>
      <c r="B551" s="133"/>
      <c r="C551" s="133"/>
      <c r="D551" s="135"/>
      <c r="E551" s="135"/>
      <c r="F551" s="137"/>
      <c r="AA551" s="116" t="str">
        <f t="shared" si="89"/>
        <v>00000000000000</v>
      </c>
      <c r="AB551" s="117" t="str">
        <f t="shared" si="91"/>
        <v>000000000000</v>
      </c>
      <c r="AC551" s="118">
        <f t="shared" si="92"/>
        <v>1</v>
      </c>
      <c r="AD551" s="47">
        <v>2</v>
      </c>
      <c r="AE551" s="66">
        <f t="shared" si="95"/>
        <v>0</v>
      </c>
      <c r="AF551" s="66">
        <f t="shared" si="88"/>
        <v>0</v>
      </c>
      <c r="AG551" s="67" t="str">
        <f t="shared" si="96"/>
        <v>0000000000</v>
      </c>
      <c r="AH551" s="67" t="str">
        <f t="shared" si="97"/>
        <v>.00</v>
      </c>
      <c r="AI551" s="67" t="str">
        <f t="shared" si="93"/>
        <v>00</v>
      </c>
      <c r="AJ551" s="67" t="str">
        <f t="shared" si="98"/>
        <v>000000000000</v>
      </c>
      <c r="AK551" s="119"/>
      <c r="AL551" s="120"/>
      <c r="AP551" s="115" t="str">
        <f t="shared" si="94"/>
        <v/>
      </c>
    </row>
    <row r="552" spans="1:42" x14ac:dyDescent="0.2">
      <c r="A552" s="63" t="str">
        <f t="shared" si="90"/>
        <v/>
      </c>
      <c r="B552" s="133"/>
      <c r="C552" s="133"/>
      <c r="D552" s="135"/>
      <c r="E552" s="135"/>
      <c r="F552" s="137"/>
      <c r="AA552" s="116" t="str">
        <f t="shared" si="89"/>
        <v>00000000000000</v>
      </c>
      <c r="AB552" s="117" t="str">
        <f t="shared" si="91"/>
        <v>000000000000</v>
      </c>
      <c r="AC552" s="118">
        <f t="shared" si="92"/>
        <v>1</v>
      </c>
      <c r="AD552" s="47">
        <v>2</v>
      </c>
      <c r="AE552" s="66">
        <f t="shared" si="95"/>
        <v>0</v>
      </c>
      <c r="AF552" s="66">
        <f t="shared" si="88"/>
        <v>0</v>
      </c>
      <c r="AG552" s="67" t="str">
        <f t="shared" si="96"/>
        <v>0000000000</v>
      </c>
      <c r="AH552" s="67" t="str">
        <f t="shared" si="97"/>
        <v>.00</v>
      </c>
      <c r="AI552" s="67" t="str">
        <f t="shared" si="93"/>
        <v>00</v>
      </c>
      <c r="AJ552" s="67" t="str">
        <f t="shared" si="98"/>
        <v>000000000000</v>
      </c>
      <c r="AK552" s="119"/>
      <c r="AL552" s="120"/>
      <c r="AP552" s="115" t="str">
        <f t="shared" si="94"/>
        <v/>
      </c>
    </row>
    <row r="553" spans="1:42" x14ac:dyDescent="0.2">
      <c r="A553" s="63" t="str">
        <f t="shared" si="90"/>
        <v/>
      </c>
      <c r="B553" s="133"/>
      <c r="C553" s="133"/>
      <c r="D553" s="135"/>
      <c r="E553" s="135"/>
      <c r="F553" s="137"/>
      <c r="AA553" s="116" t="str">
        <f t="shared" si="89"/>
        <v>00000000000000</v>
      </c>
      <c r="AB553" s="117" t="str">
        <f t="shared" si="91"/>
        <v>000000000000</v>
      </c>
      <c r="AC553" s="118">
        <f t="shared" si="92"/>
        <v>1</v>
      </c>
      <c r="AD553" s="47">
        <v>2</v>
      </c>
      <c r="AE553" s="66">
        <f t="shared" si="95"/>
        <v>0</v>
      </c>
      <c r="AF553" s="66">
        <f t="shared" si="88"/>
        <v>0</v>
      </c>
      <c r="AG553" s="67" t="str">
        <f t="shared" si="96"/>
        <v>0000000000</v>
      </c>
      <c r="AH553" s="67" t="str">
        <f t="shared" si="97"/>
        <v>.00</v>
      </c>
      <c r="AI553" s="67" t="str">
        <f t="shared" si="93"/>
        <v>00</v>
      </c>
      <c r="AJ553" s="67" t="str">
        <f t="shared" si="98"/>
        <v>000000000000</v>
      </c>
      <c r="AK553" s="119"/>
      <c r="AL553" s="120"/>
      <c r="AP553" s="115" t="str">
        <f t="shared" si="94"/>
        <v/>
      </c>
    </row>
    <row r="554" spans="1:42" x14ac:dyDescent="0.2">
      <c r="A554" s="63" t="str">
        <f t="shared" si="90"/>
        <v/>
      </c>
      <c r="B554" s="133"/>
      <c r="C554" s="133"/>
      <c r="D554" s="135"/>
      <c r="E554" s="135"/>
      <c r="F554" s="137"/>
      <c r="AA554" s="116" t="str">
        <f t="shared" si="89"/>
        <v>00000000000000</v>
      </c>
      <c r="AB554" s="117" t="str">
        <f t="shared" si="91"/>
        <v>000000000000</v>
      </c>
      <c r="AC554" s="118">
        <f t="shared" si="92"/>
        <v>1</v>
      </c>
      <c r="AD554" s="47">
        <v>2</v>
      </c>
      <c r="AE554" s="66">
        <f t="shared" si="95"/>
        <v>0</v>
      </c>
      <c r="AF554" s="66">
        <f t="shared" si="88"/>
        <v>0</v>
      </c>
      <c r="AG554" s="67" t="str">
        <f t="shared" si="96"/>
        <v>0000000000</v>
      </c>
      <c r="AH554" s="67" t="str">
        <f t="shared" si="97"/>
        <v>.00</v>
      </c>
      <c r="AI554" s="67" t="str">
        <f t="shared" si="93"/>
        <v>00</v>
      </c>
      <c r="AJ554" s="67" t="str">
        <f t="shared" si="98"/>
        <v>000000000000</v>
      </c>
      <c r="AK554" s="119"/>
      <c r="AL554" s="120"/>
      <c r="AP554" s="115" t="str">
        <f t="shared" si="94"/>
        <v/>
      </c>
    </row>
    <row r="555" spans="1:42" x14ac:dyDescent="0.2">
      <c r="A555" s="63" t="str">
        <f t="shared" si="90"/>
        <v/>
      </c>
      <c r="B555" s="133"/>
      <c r="C555" s="133"/>
      <c r="D555" s="135"/>
      <c r="E555" s="135"/>
      <c r="F555" s="137"/>
      <c r="AA555" s="116" t="str">
        <f t="shared" si="89"/>
        <v>00000000000000</v>
      </c>
      <c r="AB555" s="117" t="str">
        <f t="shared" si="91"/>
        <v>000000000000</v>
      </c>
      <c r="AC555" s="118">
        <f t="shared" si="92"/>
        <v>1</v>
      </c>
      <c r="AD555" s="47">
        <v>2</v>
      </c>
      <c r="AE555" s="66">
        <f t="shared" si="95"/>
        <v>0</v>
      </c>
      <c r="AF555" s="66">
        <f t="shared" si="88"/>
        <v>0</v>
      </c>
      <c r="AG555" s="67" t="str">
        <f t="shared" si="96"/>
        <v>0000000000</v>
      </c>
      <c r="AH555" s="67" t="str">
        <f t="shared" si="97"/>
        <v>.00</v>
      </c>
      <c r="AI555" s="67" t="str">
        <f t="shared" si="93"/>
        <v>00</v>
      </c>
      <c r="AJ555" s="67" t="str">
        <f t="shared" si="98"/>
        <v>000000000000</v>
      </c>
      <c r="AK555" s="119"/>
      <c r="AL555" s="120"/>
      <c r="AP555" s="115" t="str">
        <f t="shared" si="94"/>
        <v/>
      </c>
    </row>
    <row r="556" spans="1:42" x14ac:dyDescent="0.2">
      <c r="A556" s="63" t="str">
        <f t="shared" si="90"/>
        <v/>
      </c>
      <c r="B556" s="133"/>
      <c r="C556" s="133"/>
      <c r="D556" s="135"/>
      <c r="E556" s="135"/>
      <c r="F556" s="137"/>
      <c r="AA556" s="116" t="str">
        <f t="shared" si="89"/>
        <v>00000000000000</v>
      </c>
      <c r="AB556" s="117" t="str">
        <f t="shared" si="91"/>
        <v>000000000000</v>
      </c>
      <c r="AC556" s="118">
        <f t="shared" si="92"/>
        <v>1</v>
      </c>
      <c r="AD556" s="47">
        <v>2</v>
      </c>
      <c r="AE556" s="66">
        <f t="shared" si="95"/>
        <v>0</v>
      </c>
      <c r="AF556" s="66">
        <f t="shared" si="88"/>
        <v>0</v>
      </c>
      <c r="AG556" s="67" t="str">
        <f t="shared" si="96"/>
        <v>0000000000</v>
      </c>
      <c r="AH556" s="67" t="str">
        <f t="shared" si="97"/>
        <v>.00</v>
      </c>
      <c r="AI556" s="67" t="str">
        <f t="shared" si="93"/>
        <v>00</v>
      </c>
      <c r="AJ556" s="67" t="str">
        <f t="shared" si="98"/>
        <v>000000000000</v>
      </c>
      <c r="AK556" s="119"/>
      <c r="AL556" s="120"/>
      <c r="AP556" s="115" t="str">
        <f t="shared" si="94"/>
        <v/>
      </c>
    </row>
    <row r="557" spans="1:42" x14ac:dyDescent="0.2">
      <c r="A557" s="63" t="str">
        <f t="shared" si="90"/>
        <v/>
      </c>
      <c r="B557" s="133"/>
      <c r="C557" s="133"/>
      <c r="D557" s="135"/>
      <c r="E557" s="135"/>
      <c r="F557" s="137"/>
      <c r="AA557" s="116" t="str">
        <f t="shared" si="89"/>
        <v>00000000000000</v>
      </c>
      <c r="AB557" s="117" t="str">
        <f t="shared" si="91"/>
        <v>000000000000</v>
      </c>
      <c r="AC557" s="118">
        <f t="shared" si="92"/>
        <v>1</v>
      </c>
      <c r="AD557" s="47">
        <v>2</v>
      </c>
      <c r="AE557" s="66">
        <f t="shared" si="95"/>
        <v>0</v>
      </c>
      <c r="AF557" s="66">
        <f t="shared" si="88"/>
        <v>0</v>
      </c>
      <c r="AG557" s="67" t="str">
        <f t="shared" si="96"/>
        <v>0000000000</v>
      </c>
      <c r="AH557" s="67" t="str">
        <f t="shared" si="97"/>
        <v>.00</v>
      </c>
      <c r="AI557" s="67" t="str">
        <f t="shared" si="93"/>
        <v>00</v>
      </c>
      <c r="AJ557" s="67" t="str">
        <f t="shared" si="98"/>
        <v>000000000000</v>
      </c>
      <c r="AK557" s="119"/>
      <c r="AL557" s="120"/>
      <c r="AP557" s="115" t="str">
        <f t="shared" si="94"/>
        <v/>
      </c>
    </row>
    <row r="558" spans="1:42" x14ac:dyDescent="0.2">
      <c r="A558" s="63" t="str">
        <f t="shared" si="90"/>
        <v/>
      </c>
      <c r="B558" s="133"/>
      <c r="C558" s="133"/>
      <c r="D558" s="135"/>
      <c r="E558" s="135"/>
      <c r="F558" s="137"/>
      <c r="AA558" s="116" t="str">
        <f t="shared" si="89"/>
        <v>00000000000000</v>
      </c>
      <c r="AB558" s="117" t="str">
        <f t="shared" si="91"/>
        <v>000000000000</v>
      </c>
      <c r="AC558" s="118">
        <f t="shared" si="92"/>
        <v>1</v>
      </c>
      <c r="AD558" s="47">
        <v>2</v>
      </c>
      <c r="AE558" s="66">
        <f t="shared" si="95"/>
        <v>0</v>
      </c>
      <c r="AF558" s="66">
        <f t="shared" si="88"/>
        <v>0</v>
      </c>
      <c r="AG558" s="67" t="str">
        <f t="shared" si="96"/>
        <v>0000000000</v>
      </c>
      <c r="AH558" s="67" t="str">
        <f t="shared" si="97"/>
        <v>.00</v>
      </c>
      <c r="AI558" s="67" t="str">
        <f t="shared" si="93"/>
        <v>00</v>
      </c>
      <c r="AJ558" s="67" t="str">
        <f t="shared" si="98"/>
        <v>000000000000</v>
      </c>
      <c r="AK558" s="119"/>
      <c r="AL558" s="120"/>
      <c r="AP558" s="115" t="str">
        <f t="shared" si="94"/>
        <v/>
      </c>
    </row>
    <row r="559" spans="1:42" x14ac:dyDescent="0.2">
      <c r="A559" s="63" t="str">
        <f t="shared" si="90"/>
        <v/>
      </c>
      <c r="B559" s="133"/>
      <c r="C559" s="133"/>
      <c r="D559" s="135"/>
      <c r="E559" s="135"/>
      <c r="F559" s="137"/>
      <c r="AA559" s="116" t="str">
        <f t="shared" si="89"/>
        <v>00000000000000</v>
      </c>
      <c r="AB559" s="117" t="str">
        <f t="shared" si="91"/>
        <v>000000000000</v>
      </c>
      <c r="AC559" s="118">
        <f t="shared" si="92"/>
        <v>1</v>
      </c>
      <c r="AD559" s="47">
        <v>2</v>
      </c>
      <c r="AE559" s="66">
        <f t="shared" si="95"/>
        <v>0</v>
      </c>
      <c r="AF559" s="66">
        <f t="shared" si="88"/>
        <v>0</v>
      </c>
      <c r="AG559" s="67" t="str">
        <f t="shared" si="96"/>
        <v>0000000000</v>
      </c>
      <c r="AH559" s="67" t="str">
        <f t="shared" si="97"/>
        <v>.00</v>
      </c>
      <c r="AI559" s="67" t="str">
        <f t="shared" si="93"/>
        <v>00</v>
      </c>
      <c r="AJ559" s="67" t="str">
        <f t="shared" si="98"/>
        <v>000000000000</v>
      </c>
      <c r="AK559" s="119"/>
      <c r="AL559" s="120"/>
      <c r="AP559" s="115" t="str">
        <f t="shared" si="94"/>
        <v/>
      </c>
    </row>
    <row r="560" spans="1:42" x14ac:dyDescent="0.2">
      <c r="A560" s="63" t="str">
        <f t="shared" si="90"/>
        <v/>
      </c>
      <c r="B560" s="133"/>
      <c r="C560" s="133"/>
      <c r="D560" s="135"/>
      <c r="E560" s="135"/>
      <c r="F560" s="137"/>
      <c r="AA560" s="116" t="str">
        <f t="shared" si="89"/>
        <v>00000000000000</v>
      </c>
      <c r="AB560" s="117" t="str">
        <f t="shared" si="91"/>
        <v>000000000000</v>
      </c>
      <c r="AC560" s="118">
        <f t="shared" si="92"/>
        <v>1</v>
      </c>
      <c r="AD560" s="47">
        <v>2</v>
      </c>
      <c r="AE560" s="66">
        <f t="shared" si="95"/>
        <v>0</v>
      </c>
      <c r="AF560" s="66">
        <f t="shared" si="88"/>
        <v>0</v>
      </c>
      <c r="AG560" s="67" t="str">
        <f t="shared" si="96"/>
        <v>0000000000</v>
      </c>
      <c r="AH560" s="67" t="str">
        <f t="shared" si="97"/>
        <v>.00</v>
      </c>
      <c r="AI560" s="67" t="str">
        <f t="shared" si="93"/>
        <v>00</v>
      </c>
      <c r="AJ560" s="67" t="str">
        <f t="shared" si="98"/>
        <v>000000000000</v>
      </c>
      <c r="AK560" s="119"/>
      <c r="AL560" s="120"/>
      <c r="AP560" s="115" t="str">
        <f t="shared" si="94"/>
        <v/>
      </c>
    </row>
    <row r="561" spans="1:42" x14ac:dyDescent="0.2">
      <c r="A561" s="63" t="str">
        <f t="shared" si="90"/>
        <v/>
      </c>
      <c r="B561" s="133"/>
      <c r="C561" s="133"/>
      <c r="D561" s="135"/>
      <c r="E561" s="135"/>
      <c r="F561" s="137"/>
      <c r="AA561" s="116" t="str">
        <f t="shared" si="89"/>
        <v>00000000000000</v>
      </c>
      <c r="AB561" s="117" t="str">
        <f t="shared" si="91"/>
        <v>000000000000</v>
      </c>
      <c r="AC561" s="118">
        <f t="shared" si="92"/>
        <v>1</v>
      </c>
      <c r="AD561" s="47">
        <v>2</v>
      </c>
      <c r="AE561" s="66">
        <f t="shared" si="95"/>
        <v>0</v>
      </c>
      <c r="AF561" s="66">
        <f t="shared" si="88"/>
        <v>0</v>
      </c>
      <c r="AG561" s="67" t="str">
        <f t="shared" si="96"/>
        <v>0000000000</v>
      </c>
      <c r="AH561" s="67" t="str">
        <f t="shared" si="97"/>
        <v>.00</v>
      </c>
      <c r="AI561" s="67" t="str">
        <f t="shared" si="93"/>
        <v>00</v>
      </c>
      <c r="AJ561" s="67" t="str">
        <f t="shared" si="98"/>
        <v>000000000000</v>
      </c>
      <c r="AK561" s="119"/>
      <c r="AL561" s="120"/>
      <c r="AP561" s="115" t="str">
        <f t="shared" si="94"/>
        <v/>
      </c>
    </row>
    <row r="562" spans="1:42" x14ac:dyDescent="0.2">
      <c r="A562" s="63" t="str">
        <f t="shared" si="90"/>
        <v/>
      </c>
      <c r="B562" s="133"/>
      <c r="C562" s="133"/>
      <c r="D562" s="135"/>
      <c r="E562" s="135"/>
      <c r="F562" s="137"/>
      <c r="AA562" s="116" t="str">
        <f t="shared" si="89"/>
        <v>00000000000000</v>
      </c>
      <c r="AB562" s="117" t="str">
        <f t="shared" si="91"/>
        <v>000000000000</v>
      </c>
      <c r="AC562" s="118">
        <f t="shared" si="92"/>
        <v>1</v>
      </c>
      <c r="AD562" s="47">
        <v>2</v>
      </c>
      <c r="AE562" s="66">
        <f t="shared" si="95"/>
        <v>0</v>
      </c>
      <c r="AF562" s="66">
        <f t="shared" si="88"/>
        <v>0</v>
      </c>
      <c r="AG562" s="67" t="str">
        <f t="shared" si="96"/>
        <v>0000000000</v>
      </c>
      <c r="AH562" s="67" t="str">
        <f t="shared" si="97"/>
        <v>.00</v>
      </c>
      <c r="AI562" s="67" t="str">
        <f t="shared" si="93"/>
        <v>00</v>
      </c>
      <c r="AJ562" s="67" t="str">
        <f t="shared" si="98"/>
        <v>000000000000</v>
      </c>
      <c r="AK562" s="119"/>
      <c r="AL562" s="120"/>
      <c r="AP562" s="115" t="str">
        <f t="shared" si="94"/>
        <v/>
      </c>
    </row>
    <row r="563" spans="1:42" x14ac:dyDescent="0.2">
      <c r="A563" s="63" t="str">
        <f t="shared" si="90"/>
        <v/>
      </c>
      <c r="B563" s="133"/>
      <c r="C563" s="133"/>
      <c r="D563" s="135"/>
      <c r="E563" s="135"/>
      <c r="F563" s="137"/>
      <c r="AA563" s="116" t="str">
        <f t="shared" si="89"/>
        <v>00000000000000</v>
      </c>
      <c r="AB563" s="117" t="str">
        <f t="shared" si="91"/>
        <v>000000000000</v>
      </c>
      <c r="AC563" s="118">
        <f t="shared" si="92"/>
        <v>1</v>
      </c>
      <c r="AD563" s="47">
        <v>2</v>
      </c>
      <c r="AE563" s="66">
        <f t="shared" si="95"/>
        <v>0</v>
      </c>
      <c r="AF563" s="66">
        <f t="shared" si="88"/>
        <v>0</v>
      </c>
      <c r="AG563" s="67" t="str">
        <f t="shared" si="96"/>
        <v>0000000000</v>
      </c>
      <c r="AH563" s="67" t="str">
        <f t="shared" si="97"/>
        <v>.00</v>
      </c>
      <c r="AI563" s="67" t="str">
        <f t="shared" si="93"/>
        <v>00</v>
      </c>
      <c r="AJ563" s="67" t="str">
        <f t="shared" si="98"/>
        <v>000000000000</v>
      </c>
      <c r="AK563" s="119"/>
      <c r="AL563" s="120"/>
      <c r="AP563" s="115" t="str">
        <f t="shared" si="94"/>
        <v/>
      </c>
    </row>
    <row r="564" spans="1:42" x14ac:dyDescent="0.2">
      <c r="A564" s="63" t="str">
        <f t="shared" si="90"/>
        <v/>
      </c>
      <c r="B564" s="133"/>
      <c r="C564" s="133"/>
      <c r="D564" s="135"/>
      <c r="E564" s="135"/>
      <c r="F564" s="137"/>
      <c r="AA564" s="116" t="str">
        <f t="shared" si="89"/>
        <v>00000000000000</v>
      </c>
      <c r="AB564" s="117" t="str">
        <f t="shared" si="91"/>
        <v>000000000000</v>
      </c>
      <c r="AC564" s="118">
        <f t="shared" si="92"/>
        <v>1</v>
      </c>
      <c r="AD564" s="47">
        <v>2</v>
      </c>
      <c r="AE564" s="66">
        <f t="shared" si="95"/>
        <v>0</v>
      </c>
      <c r="AF564" s="66">
        <f t="shared" si="88"/>
        <v>0</v>
      </c>
      <c r="AG564" s="67" t="str">
        <f t="shared" si="96"/>
        <v>0000000000</v>
      </c>
      <c r="AH564" s="67" t="str">
        <f t="shared" si="97"/>
        <v>.00</v>
      </c>
      <c r="AI564" s="67" t="str">
        <f t="shared" si="93"/>
        <v>00</v>
      </c>
      <c r="AJ564" s="67" t="str">
        <f t="shared" si="98"/>
        <v>000000000000</v>
      </c>
      <c r="AK564" s="119"/>
      <c r="AL564" s="120"/>
      <c r="AP564" s="115" t="str">
        <f t="shared" si="94"/>
        <v/>
      </c>
    </row>
    <row r="565" spans="1:42" x14ac:dyDescent="0.2">
      <c r="A565" s="63" t="str">
        <f t="shared" si="90"/>
        <v/>
      </c>
      <c r="B565" s="133"/>
      <c r="C565" s="133"/>
      <c r="D565" s="135"/>
      <c r="E565" s="135"/>
      <c r="F565" s="137"/>
      <c r="AA565" s="116" t="str">
        <f t="shared" si="89"/>
        <v>00000000000000</v>
      </c>
      <c r="AB565" s="117" t="str">
        <f t="shared" si="91"/>
        <v>000000000000</v>
      </c>
      <c r="AC565" s="118">
        <f t="shared" si="92"/>
        <v>1</v>
      </c>
      <c r="AD565" s="47">
        <v>2</v>
      </c>
      <c r="AE565" s="66">
        <f t="shared" si="95"/>
        <v>0</v>
      </c>
      <c r="AF565" s="66">
        <f t="shared" si="88"/>
        <v>0</v>
      </c>
      <c r="AG565" s="67" t="str">
        <f t="shared" si="96"/>
        <v>0000000000</v>
      </c>
      <c r="AH565" s="67" t="str">
        <f t="shared" si="97"/>
        <v>.00</v>
      </c>
      <c r="AI565" s="67" t="str">
        <f t="shared" si="93"/>
        <v>00</v>
      </c>
      <c r="AJ565" s="67" t="str">
        <f t="shared" si="98"/>
        <v>000000000000</v>
      </c>
      <c r="AK565" s="119"/>
      <c r="AL565" s="120"/>
      <c r="AP565" s="115" t="str">
        <f t="shared" si="94"/>
        <v/>
      </c>
    </row>
    <row r="566" spans="1:42" x14ac:dyDescent="0.2">
      <c r="A566" s="63" t="str">
        <f t="shared" si="90"/>
        <v/>
      </c>
      <c r="B566" s="133"/>
      <c r="C566" s="133"/>
      <c r="D566" s="135"/>
      <c r="E566" s="135"/>
      <c r="F566" s="137"/>
      <c r="AA566" s="116" t="str">
        <f t="shared" si="89"/>
        <v>00000000000000</v>
      </c>
      <c r="AB566" s="117" t="str">
        <f t="shared" si="91"/>
        <v>000000000000</v>
      </c>
      <c r="AC566" s="118">
        <f t="shared" si="92"/>
        <v>1</v>
      </c>
      <c r="AD566" s="47">
        <v>2</v>
      </c>
      <c r="AE566" s="66">
        <f t="shared" si="95"/>
        <v>0</v>
      </c>
      <c r="AF566" s="66">
        <f t="shared" si="88"/>
        <v>0</v>
      </c>
      <c r="AG566" s="67" t="str">
        <f t="shared" si="96"/>
        <v>0000000000</v>
      </c>
      <c r="AH566" s="67" t="str">
        <f t="shared" si="97"/>
        <v>.00</v>
      </c>
      <c r="AI566" s="67" t="str">
        <f t="shared" si="93"/>
        <v>00</v>
      </c>
      <c r="AJ566" s="67" t="str">
        <f t="shared" si="98"/>
        <v>000000000000</v>
      </c>
      <c r="AK566" s="119"/>
      <c r="AL566" s="120"/>
      <c r="AP566" s="115" t="str">
        <f t="shared" si="94"/>
        <v/>
      </c>
    </row>
    <row r="567" spans="1:42" x14ac:dyDescent="0.2">
      <c r="A567" s="63" t="str">
        <f t="shared" si="90"/>
        <v/>
      </c>
      <c r="B567" s="133"/>
      <c r="C567" s="133"/>
      <c r="D567" s="135"/>
      <c r="E567" s="135"/>
      <c r="F567" s="137"/>
      <c r="AA567" s="116" t="str">
        <f t="shared" si="89"/>
        <v>00000000000000</v>
      </c>
      <c r="AB567" s="117" t="str">
        <f t="shared" si="91"/>
        <v>000000000000</v>
      </c>
      <c r="AC567" s="118">
        <f t="shared" si="92"/>
        <v>1</v>
      </c>
      <c r="AD567" s="47">
        <v>2</v>
      </c>
      <c r="AE567" s="66">
        <f t="shared" si="95"/>
        <v>0</v>
      </c>
      <c r="AF567" s="66">
        <f t="shared" si="88"/>
        <v>0</v>
      </c>
      <c r="AG567" s="67" t="str">
        <f t="shared" si="96"/>
        <v>0000000000</v>
      </c>
      <c r="AH567" s="67" t="str">
        <f t="shared" si="97"/>
        <v>.00</v>
      </c>
      <c r="AI567" s="67" t="str">
        <f t="shared" si="93"/>
        <v>00</v>
      </c>
      <c r="AJ567" s="67" t="str">
        <f t="shared" si="98"/>
        <v>000000000000</v>
      </c>
      <c r="AK567" s="119"/>
      <c r="AL567" s="120"/>
      <c r="AP567" s="115" t="str">
        <f t="shared" si="94"/>
        <v/>
      </c>
    </row>
    <row r="568" spans="1:42" x14ac:dyDescent="0.2">
      <c r="A568" s="63" t="str">
        <f t="shared" si="90"/>
        <v/>
      </c>
      <c r="B568" s="133"/>
      <c r="C568" s="133"/>
      <c r="D568" s="135"/>
      <c r="E568" s="135"/>
      <c r="F568" s="137"/>
      <c r="AA568" s="116" t="str">
        <f t="shared" si="89"/>
        <v>00000000000000</v>
      </c>
      <c r="AB568" s="117" t="str">
        <f t="shared" si="91"/>
        <v>000000000000</v>
      </c>
      <c r="AC568" s="118">
        <f t="shared" si="92"/>
        <v>1</v>
      </c>
      <c r="AD568" s="47">
        <v>2</v>
      </c>
      <c r="AE568" s="66">
        <f t="shared" si="95"/>
        <v>0</v>
      </c>
      <c r="AF568" s="66">
        <f t="shared" si="88"/>
        <v>0</v>
      </c>
      <c r="AG568" s="67" t="str">
        <f t="shared" si="96"/>
        <v>0000000000</v>
      </c>
      <c r="AH568" s="67" t="str">
        <f t="shared" si="97"/>
        <v>.00</v>
      </c>
      <c r="AI568" s="67" t="str">
        <f t="shared" si="93"/>
        <v>00</v>
      </c>
      <c r="AJ568" s="67" t="str">
        <f t="shared" si="98"/>
        <v>000000000000</v>
      </c>
      <c r="AK568" s="119"/>
      <c r="AL568" s="120"/>
      <c r="AP568" s="115" t="str">
        <f t="shared" si="94"/>
        <v/>
      </c>
    </row>
    <row r="569" spans="1:42" x14ac:dyDescent="0.2">
      <c r="A569" s="63" t="str">
        <f t="shared" si="90"/>
        <v/>
      </c>
      <c r="B569" s="133"/>
      <c r="C569" s="133"/>
      <c r="D569" s="135"/>
      <c r="E569" s="135"/>
      <c r="F569" s="137"/>
      <c r="AA569" s="116" t="str">
        <f t="shared" si="89"/>
        <v>00000000000000</v>
      </c>
      <c r="AB569" s="117" t="str">
        <f t="shared" si="91"/>
        <v>000000000000</v>
      </c>
      <c r="AC569" s="118">
        <f t="shared" si="92"/>
        <v>1</v>
      </c>
      <c r="AD569" s="47">
        <v>2</v>
      </c>
      <c r="AE569" s="66">
        <f t="shared" si="95"/>
        <v>0</v>
      </c>
      <c r="AF569" s="66">
        <f t="shared" si="88"/>
        <v>0</v>
      </c>
      <c r="AG569" s="67" t="str">
        <f t="shared" si="96"/>
        <v>0000000000</v>
      </c>
      <c r="AH569" s="67" t="str">
        <f t="shared" si="97"/>
        <v>.00</v>
      </c>
      <c r="AI569" s="67" t="str">
        <f t="shared" si="93"/>
        <v>00</v>
      </c>
      <c r="AJ569" s="67" t="str">
        <f t="shared" si="98"/>
        <v>000000000000</v>
      </c>
      <c r="AK569" s="119"/>
      <c r="AL569" s="120"/>
      <c r="AP569" s="115" t="str">
        <f t="shared" si="94"/>
        <v/>
      </c>
    </row>
    <row r="570" spans="1:42" x14ac:dyDescent="0.2">
      <c r="A570" s="63" t="str">
        <f t="shared" si="90"/>
        <v/>
      </c>
      <c r="B570" s="133"/>
      <c r="C570" s="133"/>
      <c r="D570" s="135"/>
      <c r="E570" s="135"/>
      <c r="F570" s="137"/>
      <c r="AA570" s="116" t="str">
        <f t="shared" si="89"/>
        <v>00000000000000</v>
      </c>
      <c r="AB570" s="117" t="str">
        <f t="shared" si="91"/>
        <v>000000000000</v>
      </c>
      <c r="AC570" s="118">
        <f t="shared" si="92"/>
        <v>1</v>
      </c>
      <c r="AD570" s="47">
        <v>2</v>
      </c>
      <c r="AE570" s="66">
        <f t="shared" si="95"/>
        <v>0</v>
      </c>
      <c r="AF570" s="66">
        <f t="shared" si="88"/>
        <v>0</v>
      </c>
      <c r="AG570" s="67" t="str">
        <f t="shared" si="96"/>
        <v>0000000000</v>
      </c>
      <c r="AH570" s="67" t="str">
        <f t="shared" si="97"/>
        <v>.00</v>
      </c>
      <c r="AI570" s="67" t="str">
        <f t="shared" si="93"/>
        <v>00</v>
      </c>
      <c r="AJ570" s="67" t="str">
        <f t="shared" si="98"/>
        <v>000000000000</v>
      </c>
      <c r="AK570" s="119"/>
      <c r="AL570" s="120"/>
      <c r="AP570" s="115" t="str">
        <f t="shared" si="94"/>
        <v/>
      </c>
    </row>
    <row r="571" spans="1:42" x14ac:dyDescent="0.2">
      <c r="A571" s="63" t="str">
        <f t="shared" si="90"/>
        <v/>
      </c>
      <c r="B571" s="133"/>
      <c r="C571" s="133"/>
      <c r="D571" s="135"/>
      <c r="E571" s="135"/>
      <c r="F571" s="137"/>
      <c r="AA571" s="116" t="str">
        <f t="shared" si="89"/>
        <v>00000000000000</v>
      </c>
      <c r="AB571" s="117" t="str">
        <f t="shared" si="91"/>
        <v>000000000000</v>
      </c>
      <c r="AC571" s="118">
        <f t="shared" si="92"/>
        <v>1</v>
      </c>
      <c r="AD571" s="47">
        <v>2</v>
      </c>
      <c r="AE571" s="66">
        <f t="shared" si="95"/>
        <v>0</v>
      </c>
      <c r="AF571" s="66">
        <f t="shared" si="88"/>
        <v>0</v>
      </c>
      <c r="AG571" s="67" t="str">
        <f t="shared" si="96"/>
        <v>0000000000</v>
      </c>
      <c r="AH571" s="67" t="str">
        <f t="shared" si="97"/>
        <v>.00</v>
      </c>
      <c r="AI571" s="67" t="str">
        <f t="shared" si="93"/>
        <v>00</v>
      </c>
      <c r="AJ571" s="67" t="str">
        <f t="shared" si="98"/>
        <v>000000000000</v>
      </c>
      <c r="AK571" s="119"/>
      <c r="AL571" s="120"/>
      <c r="AP571" s="115" t="str">
        <f t="shared" si="94"/>
        <v/>
      </c>
    </row>
    <row r="572" spans="1:42" x14ac:dyDescent="0.2">
      <c r="A572" s="63" t="str">
        <f t="shared" si="90"/>
        <v/>
      </c>
      <c r="B572" s="133"/>
      <c r="C572" s="133"/>
      <c r="D572" s="135"/>
      <c r="E572" s="135"/>
      <c r="F572" s="137"/>
      <c r="AA572" s="116" t="str">
        <f t="shared" si="89"/>
        <v>00000000000000</v>
      </c>
      <c r="AB572" s="117" t="str">
        <f t="shared" si="91"/>
        <v>000000000000</v>
      </c>
      <c r="AC572" s="118">
        <f t="shared" si="92"/>
        <v>1</v>
      </c>
      <c r="AD572" s="47">
        <v>2</v>
      </c>
      <c r="AE572" s="66">
        <f t="shared" si="95"/>
        <v>0</v>
      </c>
      <c r="AF572" s="66">
        <f t="shared" si="88"/>
        <v>0</v>
      </c>
      <c r="AG572" s="67" t="str">
        <f t="shared" si="96"/>
        <v>0000000000</v>
      </c>
      <c r="AH572" s="67" t="str">
        <f t="shared" si="97"/>
        <v>.00</v>
      </c>
      <c r="AI572" s="67" t="str">
        <f t="shared" si="93"/>
        <v>00</v>
      </c>
      <c r="AJ572" s="67" t="str">
        <f t="shared" si="98"/>
        <v>000000000000</v>
      </c>
      <c r="AK572" s="119"/>
      <c r="AL572" s="120"/>
      <c r="AP572" s="115" t="str">
        <f t="shared" si="94"/>
        <v/>
      </c>
    </row>
    <row r="573" spans="1:42" x14ac:dyDescent="0.2">
      <c r="A573" s="63" t="str">
        <f t="shared" si="90"/>
        <v/>
      </c>
      <c r="B573" s="133"/>
      <c r="C573" s="133"/>
      <c r="D573" s="135"/>
      <c r="E573" s="135"/>
      <c r="F573" s="137"/>
      <c r="AA573" s="116" t="str">
        <f t="shared" si="89"/>
        <v>00000000000000</v>
      </c>
      <c r="AB573" s="117" t="str">
        <f t="shared" si="91"/>
        <v>000000000000</v>
      </c>
      <c r="AC573" s="118">
        <f t="shared" si="92"/>
        <v>1</v>
      </c>
      <c r="AD573" s="47">
        <v>2</v>
      </c>
      <c r="AE573" s="66">
        <f t="shared" si="95"/>
        <v>0</v>
      </c>
      <c r="AF573" s="66">
        <f t="shared" si="88"/>
        <v>0</v>
      </c>
      <c r="AG573" s="67" t="str">
        <f t="shared" si="96"/>
        <v>0000000000</v>
      </c>
      <c r="AH573" s="67" t="str">
        <f t="shared" si="97"/>
        <v>.00</v>
      </c>
      <c r="AI573" s="67" t="str">
        <f t="shared" si="93"/>
        <v>00</v>
      </c>
      <c r="AJ573" s="67" t="str">
        <f t="shared" si="98"/>
        <v>000000000000</v>
      </c>
      <c r="AK573" s="119"/>
      <c r="AL573" s="120"/>
      <c r="AP573" s="115" t="str">
        <f t="shared" si="94"/>
        <v/>
      </c>
    </row>
    <row r="574" spans="1:42" x14ac:dyDescent="0.2">
      <c r="A574" s="63" t="str">
        <f t="shared" si="90"/>
        <v/>
      </c>
      <c r="B574" s="133"/>
      <c r="C574" s="133"/>
      <c r="D574" s="135"/>
      <c r="E574" s="135"/>
      <c r="F574" s="137"/>
      <c r="AA574" s="116" t="str">
        <f t="shared" si="89"/>
        <v>00000000000000</v>
      </c>
      <c r="AB574" s="117" t="str">
        <f t="shared" si="91"/>
        <v>000000000000</v>
      </c>
      <c r="AC574" s="118">
        <f t="shared" si="92"/>
        <v>1</v>
      </c>
      <c r="AD574" s="47">
        <v>2</v>
      </c>
      <c r="AE574" s="66">
        <f t="shared" si="95"/>
        <v>0</v>
      </c>
      <c r="AF574" s="66">
        <f t="shared" si="88"/>
        <v>0</v>
      </c>
      <c r="AG574" s="67" t="str">
        <f t="shared" si="96"/>
        <v>0000000000</v>
      </c>
      <c r="AH574" s="67" t="str">
        <f t="shared" si="97"/>
        <v>.00</v>
      </c>
      <c r="AI574" s="67" t="str">
        <f t="shared" si="93"/>
        <v>00</v>
      </c>
      <c r="AJ574" s="67" t="str">
        <f t="shared" si="98"/>
        <v>000000000000</v>
      </c>
      <c r="AK574" s="119"/>
      <c r="AL574" s="120"/>
      <c r="AP574" s="115" t="str">
        <f t="shared" si="94"/>
        <v/>
      </c>
    </row>
    <row r="575" spans="1:42" x14ac:dyDescent="0.2">
      <c r="A575" s="63" t="str">
        <f t="shared" si="90"/>
        <v/>
      </c>
      <c r="B575" s="133"/>
      <c r="C575" s="133"/>
      <c r="D575" s="135"/>
      <c r="E575" s="135"/>
      <c r="F575" s="137"/>
      <c r="AA575" s="116" t="str">
        <f t="shared" si="89"/>
        <v>00000000000000</v>
      </c>
      <c r="AB575" s="117" t="str">
        <f t="shared" si="91"/>
        <v>000000000000</v>
      </c>
      <c r="AC575" s="118">
        <f t="shared" si="92"/>
        <v>1</v>
      </c>
      <c r="AD575" s="47">
        <v>2</v>
      </c>
      <c r="AE575" s="66">
        <f t="shared" si="95"/>
        <v>0</v>
      </c>
      <c r="AF575" s="66">
        <f t="shared" si="88"/>
        <v>0</v>
      </c>
      <c r="AG575" s="67" t="str">
        <f t="shared" si="96"/>
        <v>0000000000</v>
      </c>
      <c r="AH575" s="67" t="str">
        <f t="shared" si="97"/>
        <v>.00</v>
      </c>
      <c r="AI575" s="67" t="str">
        <f t="shared" si="93"/>
        <v>00</v>
      </c>
      <c r="AJ575" s="67" t="str">
        <f t="shared" si="98"/>
        <v>000000000000</v>
      </c>
      <c r="AK575" s="119"/>
      <c r="AL575" s="120"/>
      <c r="AP575" s="115" t="str">
        <f t="shared" si="94"/>
        <v/>
      </c>
    </row>
    <row r="576" spans="1:42" x14ac:dyDescent="0.2">
      <c r="A576" s="63" t="str">
        <f t="shared" si="90"/>
        <v/>
      </c>
      <c r="B576" s="133"/>
      <c r="C576" s="133"/>
      <c r="D576" s="135"/>
      <c r="E576" s="135"/>
      <c r="F576" s="137"/>
      <c r="AA576" s="116" t="str">
        <f t="shared" si="89"/>
        <v>00000000000000</v>
      </c>
      <c r="AB576" s="117" t="str">
        <f t="shared" si="91"/>
        <v>000000000000</v>
      </c>
      <c r="AC576" s="118">
        <f t="shared" si="92"/>
        <v>1</v>
      </c>
      <c r="AD576" s="47">
        <v>2</v>
      </c>
      <c r="AE576" s="66">
        <f t="shared" si="95"/>
        <v>0</v>
      </c>
      <c r="AF576" s="66">
        <f t="shared" si="88"/>
        <v>0</v>
      </c>
      <c r="AG576" s="67" t="str">
        <f t="shared" si="96"/>
        <v>0000000000</v>
      </c>
      <c r="AH576" s="67" t="str">
        <f t="shared" si="97"/>
        <v>.00</v>
      </c>
      <c r="AI576" s="67" t="str">
        <f t="shared" si="93"/>
        <v>00</v>
      </c>
      <c r="AJ576" s="67" t="str">
        <f t="shared" si="98"/>
        <v>000000000000</v>
      </c>
      <c r="AK576" s="119"/>
      <c r="AL576" s="120"/>
      <c r="AP576" s="115" t="str">
        <f t="shared" si="94"/>
        <v/>
      </c>
    </row>
    <row r="577" spans="1:42" x14ac:dyDescent="0.2">
      <c r="A577" s="63" t="str">
        <f t="shared" si="90"/>
        <v/>
      </c>
      <c r="B577" s="133"/>
      <c r="C577" s="133"/>
      <c r="D577" s="135"/>
      <c r="E577" s="135"/>
      <c r="F577" s="137"/>
      <c r="AA577" s="116" t="str">
        <f t="shared" si="89"/>
        <v>00000000000000</v>
      </c>
      <c r="AB577" s="117" t="str">
        <f t="shared" si="91"/>
        <v>000000000000</v>
      </c>
      <c r="AC577" s="118">
        <f t="shared" si="92"/>
        <v>1</v>
      </c>
      <c r="AD577" s="47">
        <v>2</v>
      </c>
      <c r="AE577" s="66">
        <f t="shared" si="95"/>
        <v>0</v>
      </c>
      <c r="AF577" s="66">
        <f t="shared" si="88"/>
        <v>0</v>
      </c>
      <c r="AG577" s="67" t="str">
        <f t="shared" si="96"/>
        <v>0000000000</v>
      </c>
      <c r="AH577" s="67" t="str">
        <f t="shared" si="97"/>
        <v>.00</v>
      </c>
      <c r="AI577" s="67" t="str">
        <f t="shared" si="93"/>
        <v>00</v>
      </c>
      <c r="AJ577" s="67" t="str">
        <f t="shared" si="98"/>
        <v>000000000000</v>
      </c>
      <c r="AK577" s="119"/>
      <c r="AL577" s="120"/>
      <c r="AP577" s="115" t="str">
        <f t="shared" si="94"/>
        <v/>
      </c>
    </row>
    <row r="578" spans="1:42" x14ac:dyDescent="0.2">
      <c r="A578" s="63" t="str">
        <f t="shared" si="90"/>
        <v/>
      </c>
      <c r="B578" s="133"/>
      <c r="C578" s="133"/>
      <c r="D578" s="135"/>
      <c r="E578" s="135"/>
      <c r="F578" s="137"/>
      <c r="AA578" s="116" t="str">
        <f t="shared" si="89"/>
        <v>00000000000000</v>
      </c>
      <c r="AB578" s="117" t="str">
        <f t="shared" si="91"/>
        <v>000000000000</v>
      </c>
      <c r="AC578" s="118">
        <f t="shared" si="92"/>
        <v>1</v>
      </c>
      <c r="AD578" s="47">
        <v>2</v>
      </c>
      <c r="AE578" s="66">
        <f t="shared" si="95"/>
        <v>0</v>
      </c>
      <c r="AF578" s="66">
        <f t="shared" si="88"/>
        <v>0</v>
      </c>
      <c r="AG578" s="67" t="str">
        <f t="shared" si="96"/>
        <v>0000000000</v>
      </c>
      <c r="AH578" s="67" t="str">
        <f t="shared" si="97"/>
        <v>.00</v>
      </c>
      <c r="AI578" s="67" t="str">
        <f t="shared" si="93"/>
        <v>00</v>
      </c>
      <c r="AJ578" s="67" t="str">
        <f t="shared" si="98"/>
        <v>000000000000</v>
      </c>
      <c r="AK578" s="119"/>
      <c r="AL578" s="120"/>
      <c r="AP578" s="115" t="str">
        <f t="shared" si="94"/>
        <v/>
      </c>
    </row>
    <row r="579" spans="1:42" x14ac:dyDescent="0.2">
      <c r="A579" s="63" t="str">
        <f t="shared" si="90"/>
        <v/>
      </c>
      <c r="B579" s="133"/>
      <c r="C579" s="133"/>
      <c r="D579" s="135"/>
      <c r="E579" s="135"/>
      <c r="F579" s="137"/>
      <c r="AA579" s="116" t="str">
        <f t="shared" si="89"/>
        <v>00000000000000</v>
      </c>
      <c r="AB579" s="117" t="str">
        <f t="shared" si="91"/>
        <v>000000000000</v>
      </c>
      <c r="AC579" s="118">
        <f t="shared" si="92"/>
        <v>1</v>
      </c>
      <c r="AD579" s="47">
        <v>2</v>
      </c>
      <c r="AE579" s="66">
        <f t="shared" si="95"/>
        <v>0</v>
      </c>
      <c r="AF579" s="66">
        <f t="shared" ref="AF579:AF642" si="99">F579-AE579</f>
        <v>0</v>
      </c>
      <c r="AG579" s="67" t="str">
        <f t="shared" si="96"/>
        <v>0000000000</v>
      </c>
      <c r="AH579" s="67" t="str">
        <f t="shared" si="97"/>
        <v>.00</v>
      </c>
      <c r="AI579" s="67" t="str">
        <f t="shared" si="93"/>
        <v>00</v>
      </c>
      <c r="AJ579" s="67" t="str">
        <f t="shared" si="98"/>
        <v>000000000000</v>
      </c>
      <c r="AK579" s="119"/>
      <c r="AL579" s="120"/>
      <c r="AP579" s="115" t="str">
        <f t="shared" si="94"/>
        <v/>
      </c>
    </row>
    <row r="580" spans="1:42" x14ac:dyDescent="0.2">
      <c r="A580" s="63" t="str">
        <f t="shared" si="90"/>
        <v/>
      </c>
      <c r="B580" s="133"/>
      <c r="C580" s="133"/>
      <c r="D580" s="135"/>
      <c r="E580" s="135"/>
      <c r="F580" s="137"/>
      <c r="AA580" s="116" t="str">
        <f t="shared" ref="AA580:AA643" si="100">CONCATENATE(REPT("0",14-LEN(B580)),B580)</f>
        <v>00000000000000</v>
      </c>
      <c r="AB580" s="117" t="str">
        <f t="shared" si="91"/>
        <v>000000000000</v>
      </c>
      <c r="AC580" s="118">
        <f t="shared" si="92"/>
        <v>1</v>
      </c>
      <c r="AD580" s="47">
        <v>2</v>
      </c>
      <c r="AE580" s="66">
        <f t="shared" si="95"/>
        <v>0</v>
      </c>
      <c r="AF580" s="66">
        <f t="shared" si="99"/>
        <v>0</v>
      </c>
      <c r="AG580" s="67" t="str">
        <f t="shared" si="96"/>
        <v>0000000000</v>
      </c>
      <c r="AH580" s="67" t="str">
        <f t="shared" si="97"/>
        <v>.00</v>
      </c>
      <c r="AI580" s="67" t="str">
        <f t="shared" si="93"/>
        <v>00</v>
      </c>
      <c r="AJ580" s="67" t="str">
        <f t="shared" si="98"/>
        <v>000000000000</v>
      </c>
      <c r="AK580" s="119"/>
      <c r="AL580" s="120"/>
      <c r="AP580" s="115" t="str">
        <f t="shared" si="94"/>
        <v/>
      </c>
    </row>
    <row r="581" spans="1:42" x14ac:dyDescent="0.2">
      <c r="A581" s="63" t="str">
        <f t="shared" ref="A581:A644" si="101">IF(B581&lt;&gt;"",A580+1,"")</f>
        <v/>
      </c>
      <c r="B581" s="133"/>
      <c r="C581" s="133"/>
      <c r="D581" s="135"/>
      <c r="E581" s="135"/>
      <c r="F581" s="137"/>
      <c r="AA581" s="116" t="str">
        <f t="shared" si="100"/>
        <v>00000000000000</v>
      </c>
      <c r="AB581" s="117" t="str">
        <f t="shared" ref="AB581:AB644" si="102">CONCATENATE(REPT("0",12-LEN(C581)),C581)</f>
        <v>000000000000</v>
      </c>
      <c r="AC581" s="118">
        <f t="shared" ref="AC581:AC644" si="103">AC580</f>
        <v>1</v>
      </c>
      <c r="AD581" s="47">
        <v>2</v>
      </c>
      <c r="AE581" s="66">
        <f t="shared" si="95"/>
        <v>0</v>
      </c>
      <c r="AF581" s="66">
        <f t="shared" si="99"/>
        <v>0</v>
      </c>
      <c r="AG581" s="67" t="str">
        <f t="shared" si="96"/>
        <v>0000000000</v>
      </c>
      <c r="AH581" s="67" t="str">
        <f t="shared" si="97"/>
        <v>.00</v>
      </c>
      <c r="AI581" s="67" t="str">
        <f t="shared" ref="AI581:AI644" si="104">MID(AH581,2,2)</f>
        <v>00</v>
      </c>
      <c r="AJ581" s="67" t="str">
        <f t="shared" si="98"/>
        <v>000000000000</v>
      </c>
      <c r="AK581" s="119"/>
      <c r="AL581" s="120"/>
      <c r="AP581" s="115" t="str">
        <f t="shared" si="94"/>
        <v/>
      </c>
    </row>
    <row r="582" spans="1:42" x14ac:dyDescent="0.2">
      <c r="A582" s="63" t="str">
        <f t="shared" si="101"/>
        <v/>
      </c>
      <c r="B582" s="133"/>
      <c r="C582" s="133"/>
      <c r="D582" s="135"/>
      <c r="E582" s="135"/>
      <c r="F582" s="137"/>
      <c r="AA582" s="116" t="str">
        <f t="shared" si="100"/>
        <v>00000000000000</v>
      </c>
      <c r="AB582" s="117" t="str">
        <f t="shared" si="102"/>
        <v>000000000000</v>
      </c>
      <c r="AC582" s="118">
        <f t="shared" si="103"/>
        <v>1</v>
      </c>
      <c r="AD582" s="47">
        <v>2</v>
      </c>
      <c r="AE582" s="66">
        <f t="shared" si="95"/>
        <v>0</v>
      </c>
      <c r="AF582" s="66">
        <f t="shared" si="99"/>
        <v>0</v>
      </c>
      <c r="AG582" s="67" t="str">
        <f t="shared" si="96"/>
        <v>0000000000</v>
      </c>
      <c r="AH582" s="67" t="str">
        <f t="shared" si="97"/>
        <v>.00</v>
      </c>
      <c r="AI582" s="67" t="str">
        <f t="shared" si="104"/>
        <v>00</v>
      </c>
      <c r="AJ582" s="67" t="str">
        <f t="shared" si="98"/>
        <v>000000000000</v>
      </c>
      <c r="AK582" s="119"/>
      <c r="AL582" s="120"/>
      <c r="AP582" s="115" t="str">
        <f t="shared" ref="AP582:AP645" si="105">IF(B583&lt;&gt;"",CONCATENATE("00000",$AD$1,AA583,$AC$3,"2",AB583,AJ583,$AL$3,"0                                                  "),"")</f>
        <v/>
      </c>
    </row>
    <row r="583" spans="1:42" x14ac:dyDescent="0.2">
      <c r="A583" s="63" t="str">
        <f t="shared" si="101"/>
        <v/>
      </c>
      <c r="B583" s="133"/>
      <c r="C583" s="133"/>
      <c r="D583" s="135"/>
      <c r="E583" s="135"/>
      <c r="F583" s="137"/>
      <c r="AA583" s="116" t="str">
        <f t="shared" si="100"/>
        <v>00000000000000</v>
      </c>
      <c r="AB583" s="117" t="str">
        <f t="shared" si="102"/>
        <v>000000000000</v>
      </c>
      <c r="AC583" s="118">
        <f t="shared" si="103"/>
        <v>1</v>
      </c>
      <c r="AD583" s="47">
        <v>2</v>
      </c>
      <c r="AE583" s="66">
        <f t="shared" si="95"/>
        <v>0</v>
      </c>
      <c r="AF583" s="66">
        <f t="shared" si="99"/>
        <v>0</v>
      </c>
      <c r="AG583" s="67" t="str">
        <f t="shared" si="96"/>
        <v>0000000000</v>
      </c>
      <c r="AH583" s="67" t="str">
        <f t="shared" si="97"/>
        <v>.00</v>
      </c>
      <c r="AI583" s="67" t="str">
        <f t="shared" si="104"/>
        <v>00</v>
      </c>
      <c r="AJ583" s="67" t="str">
        <f t="shared" si="98"/>
        <v>000000000000</v>
      </c>
      <c r="AK583" s="119"/>
      <c r="AL583" s="120"/>
      <c r="AP583" s="115" t="str">
        <f t="shared" si="105"/>
        <v/>
      </c>
    </row>
    <row r="584" spans="1:42" x14ac:dyDescent="0.2">
      <c r="A584" s="63" t="str">
        <f t="shared" si="101"/>
        <v/>
      </c>
      <c r="B584" s="133"/>
      <c r="C584" s="133"/>
      <c r="D584" s="135"/>
      <c r="E584" s="135"/>
      <c r="F584" s="137"/>
      <c r="AA584" s="116" t="str">
        <f t="shared" si="100"/>
        <v>00000000000000</v>
      </c>
      <c r="AB584" s="117" t="str">
        <f t="shared" si="102"/>
        <v>000000000000</v>
      </c>
      <c r="AC584" s="118">
        <f t="shared" si="103"/>
        <v>1</v>
      </c>
      <c r="AD584" s="47">
        <v>2</v>
      </c>
      <c r="AE584" s="66">
        <f t="shared" ref="AE584:AE647" si="106">INT(F584)</f>
        <v>0</v>
      </c>
      <c r="AF584" s="66">
        <f t="shared" si="99"/>
        <v>0</v>
      </c>
      <c r="AG584" s="67" t="str">
        <f t="shared" ref="AG584:AG647" si="107">TEXT(AE584,"0000000000")</f>
        <v>0000000000</v>
      </c>
      <c r="AH584" s="67" t="str">
        <f t="shared" ref="AH584:AH647" si="108">TEXT(AF584,".00")</f>
        <v>.00</v>
      </c>
      <c r="AI584" s="67" t="str">
        <f t="shared" si="104"/>
        <v>00</v>
      </c>
      <c r="AJ584" s="67" t="str">
        <f t="shared" ref="AJ584:AJ647" si="109">CONCATENATE(AG584,AI584)</f>
        <v>000000000000</v>
      </c>
      <c r="AK584" s="119"/>
      <c r="AL584" s="120"/>
      <c r="AP584" s="115" t="str">
        <f t="shared" si="105"/>
        <v/>
      </c>
    </row>
    <row r="585" spans="1:42" x14ac:dyDescent="0.2">
      <c r="A585" s="63" t="str">
        <f t="shared" si="101"/>
        <v/>
      </c>
      <c r="B585" s="133"/>
      <c r="C585" s="133"/>
      <c r="D585" s="135"/>
      <c r="E585" s="135"/>
      <c r="F585" s="137"/>
      <c r="AA585" s="116" t="str">
        <f t="shared" si="100"/>
        <v>00000000000000</v>
      </c>
      <c r="AB585" s="117" t="str">
        <f t="shared" si="102"/>
        <v>000000000000</v>
      </c>
      <c r="AC585" s="118">
        <f t="shared" si="103"/>
        <v>1</v>
      </c>
      <c r="AD585" s="47">
        <v>2</v>
      </c>
      <c r="AE585" s="66">
        <f t="shared" si="106"/>
        <v>0</v>
      </c>
      <c r="AF585" s="66">
        <f t="shared" si="99"/>
        <v>0</v>
      </c>
      <c r="AG585" s="67" t="str">
        <f t="shared" si="107"/>
        <v>0000000000</v>
      </c>
      <c r="AH585" s="67" t="str">
        <f t="shared" si="108"/>
        <v>.00</v>
      </c>
      <c r="AI585" s="67" t="str">
        <f t="shared" si="104"/>
        <v>00</v>
      </c>
      <c r="AJ585" s="67" t="str">
        <f t="shared" si="109"/>
        <v>000000000000</v>
      </c>
      <c r="AK585" s="119"/>
      <c r="AL585" s="120"/>
      <c r="AP585" s="115" t="str">
        <f t="shared" si="105"/>
        <v/>
      </c>
    </row>
    <row r="586" spans="1:42" x14ac:dyDescent="0.2">
      <c r="A586" s="63" t="str">
        <f t="shared" si="101"/>
        <v/>
      </c>
      <c r="B586" s="133"/>
      <c r="C586" s="133"/>
      <c r="D586" s="135"/>
      <c r="E586" s="135"/>
      <c r="F586" s="137"/>
      <c r="AA586" s="116" t="str">
        <f t="shared" si="100"/>
        <v>00000000000000</v>
      </c>
      <c r="AB586" s="117" t="str">
        <f t="shared" si="102"/>
        <v>000000000000</v>
      </c>
      <c r="AC586" s="118">
        <f t="shared" si="103"/>
        <v>1</v>
      </c>
      <c r="AD586" s="47">
        <v>2</v>
      </c>
      <c r="AE586" s="66">
        <f t="shared" si="106"/>
        <v>0</v>
      </c>
      <c r="AF586" s="66">
        <f t="shared" si="99"/>
        <v>0</v>
      </c>
      <c r="AG586" s="67" t="str">
        <f t="shared" si="107"/>
        <v>0000000000</v>
      </c>
      <c r="AH586" s="67" t="str">
        <f t="shared" si="108"/>
        <v>.00</v>
      </c>
      <c r="AI586" s="67" t="str">
        <f t="shared" si="104"/>
        <v>00</v>
      </c>
      <c r="AJ586" s="67" t="str">
        <f t="shared" si="109"/>
        <v>000000000000</v>
      </c>
      <c r="AK586" s="119"/>
      <c r="AL586" s="120"/>
      <c r="AP586" s="115" t="str">
        <f t="shared" si="105"/>
        <v/>
      </c>
    </row>
    <row r="587" spans="1:42" x14ac:dyDescent="0.2">
      <c r="A587" s="63" t="str">
        <f t="shared" si="101"/>
        <v/>
      </c>
      <c r="B587" s="133"/>
      <c r="C587" s="133"/>
      <c r="D587" s="135"/>
      <c r="E587" s="135"/>
      <c r="F587" s="137"/>
      <c r="AA587" s="116" t="str">
        <f t="shared" si="100"/>
        <v>00000000000000</v>
      </c>
      <c r="AB587" s="117" t="str">
        <f t="shared" si="102"/>
        <v>000000000000</v>
      </c>
      <c r="AC587" s="118">
        <f t="shared" si="103"/>
        <v>1</v>
      </c>
      <c r="AD587" s="47">
        <v>2</v>
      </c>
      <c r="AE587" s="66">
        <f t="shared" si="106"/>
        <v>0</v>
      </c>
      <c r="AF587" s="66">
        <f t="shared" si="99"/>
        <v>0</v>
      </c>
      <c r="AG587" s="67" t="str">
        <f t="shared" si="107"/>
        <v>0000000000</v>
      </c>
      <c r="AH587" s="67" t="str">
        <f t="shared" si="108"/>
        <v>.00</v>
      </c>
      <c r="AI587" s="67" t="str">
        <f t="shared" si="104"/>
        <v>00</v>
      </c>
      <c r="AJ587" s="67" t="str">
        <f t="shared" si="109"/>
        <v>000000000000</v>
      </c>
      <c r="AK587" s="119"/>
      <c r="AL587" s="120"/>
      <c r="AP587" s="115" t="str">
        <f t="shared" si="105"/>
        <v/>
      </c>
    </row>
    <row r="588" spans="1:42" x14ac:dyDescent="0.2">
      <c r="A588" s="63" t="str">
        <f t="shared" si="101"/>
        <v/>
      </c>
      <c r="B588" s="133"/>
      <c r="C588" s="133"/>
      <c r="D588" s="135"/>
      <c r="E588" s="135"/>
      <c r="F588" s="137"/>
      <c r="AA588" s="116" t="str">
        <f t="shared" si="100"/>
        <v>00000000000000</v>
      </c>
      <c r="AB588" s="117" t="str">
        <f t="shared" si="102"/>
        <v>000000000000</v>
      </c>
      <c r="AC588" s="118">
        <f t="shared" si="103"/>
        <v>1</v>
      </c>
      <c r="AD588" s="47">
        <v>2</v>
      </c>
      <c r="AE588" s="66">
        <f t="shared" si="106"/>
        <v>0</v>
      </c>
      <c r="AF588" s="66">
        <f t="shared" si="99"/>
        <v>0</v>
      </c>
      <c r="AG588" s="67" t="str">
        <f t="shared" si="107"/>
        <v>0000000000</v>
      </c>
      <c r="AH588" s="67" t="str">
        <f t="shared" si="108"/>
        <v>.00</v>
      </c>
      <c r="AI588" s="67" t="str">
        <f t="shared" si="104"/>
        <v>00</v>
      </c>
      <c r="AJ588" s="67" t="str">
        <f t="shared" si="109"/>
        <v>000000000000</v>
      </c>
      <c r="AK588" s="119"/>
      <c r="AL588" s="120"/>
      <c r="AP588" s="115" t="str">
        <f t="shared" si="105"/>
        <v/>
      </c>
    </row>
    <row r="589" spans="1:42" x14ac:dyDescent="0.2">
      <c r="A589" s="63" t="str">
        <f t="shared" si="101"/>
        <v/>
      </c>
      <c r="B589" s="133"/>
      <c r="C589" s="133"/>
      <c r="D589" s="135"/>
      <c r="E589" s="135"/>
      <c r="F589" s="137"/>
      <c r="AA589" s="116" t="str">
        <f t="shared" si="100"/>
        <v>00000000000000</v>
      </c>
      <c r="AB589" s="117" t="str">
        <f t="shared" si="102"/>
        <v>000000000000</v>
      </c>
      <c r="AC589" s="118">
        <f t="shared" si="103"/>
        <v>1</v>
      </c>
      <c r="AD589" s="47">
        <v>2</v>
      </c>
      <c r="AE589" s="66">
        <f t="shared" si="106"/>
        <v>0</v>
      </c>
      <c r="AF589" s="66">
        <f t="shared" si="99"/>
        <v>0</v>
      </c>
      <c r="AG589" s="67" t="str">
        <f t="shared" si="107"/>
        <v>0000000000</v>
      </c>
      <c r="AH589" s="67" t="str">
        <f t="shared" si="108"/>
        <v>.00</v>
      </c>
      <c r="AI589" s="67" t="str">
        <f t="shared" si="104"/>
        <v>00</v>
      </c>
      <c r="AJ589" s="67" t="str">
        <f t="shared" si="109"/>
        <v>000000000000</v>
      </c>
      <c r="AK589" s="119"/>
      <c r="AL589" s="120"/>
      <c r="AP589" s="115" t="str">
        <f t="shared" si="105"/>
        <v/>
      </c>
    </row>
    <row r="590" spans="1:42" x14ac:dyDescent="0.2">
      <c r="A590" s="63" t="str">
        <f t="shared" si="101"/>
        <v/>
      </c>
      <c r="B590" s="133"/>
      <c r="C590" s="133"/>
      <c r="D590" s="135"/>
      <c r="E590" s="135"/>
      <c r="F590" s="137"/>
      <c r="AA590" s="116" t="str">
        <f t="shared" si="100"/>
        <v>00000000000000</v>
      </c>
      <c r="AB590" s="117" t="str">
        <f t="shared" si="102"/>
        <v>000000000000</v>
      </c>
      <c r="AC590" s="118">
        <f t="shared" si="103"/>
        <v>1</v>
      </c>
      <c r="AD590" s="47">
        <v>2</v>
      </c>
      <c r="AE590" s="66">
        <f t="shared" si="106"/>
        <v>0</v>
      </c>
      <c r="AF590" s="66">
        <f t="shared" si="99"/>
        <v>0</v>
      </c>
      <c r="AG590" s="67" t="str">
        <f t="shared" si="107"/>
        <v>0000000000</v>
      </c>
      <c r="AH590" s="67" t="str">
        <f t="shared" si="108"/>
        <v>.00</v>
      </c>
      <c r="AI590" s="67" t="str">
        <f t="shared" si="104"/>
        <v>00</v>
      </c>
      <c r="AJ590" s="67" t="str">
        <f t="shared" si="109"/>
        <v>000000000000</v>
      </c>
      <c r="AK590" s="119"/>
      <c r="AL590" s="120"/>
      <c r="AP590" s="115" t="str">
        <f t="shared" si="105"/>
        <v/>
      </c>
    </row>
    <row r="591" spans="1:42" x14ac:dyDescent="0.2">
      <c r="A591" s="63" t="str">
        <f t="shared" si="101"/>
        <v/>
      </c>
      <c r="B591" s="133"/>
      <c r="C591" s="133"/>
      <c r="D591" s="135"/>
      <c r="E591" s="135"/>
      <c r="F591" s="137"/>
      <c r="AA591" s="116" t="str">
        <f t="shared" si="100"/>
        <v>00000000000000</v>
      </c>
      <c r="AB591" s="117" t="str">
        <f t="shared" si="102"/>
        <v>000000000000</v>
      </c>
      <c r="AC591" s="118">
        <f t="shared" si="103"/>
        <v>1</v>
      </c>
      <c r="AD591" s="47">
        <v>2</v>
      </c>
      <c r="AE591" s="66">
        <f t="shared" si="106"/>
        <v>0</v>
      </c>
      <c r="AF591" s="66">
        <f t="shared" si="99"/>
        <v>0</v>
      </c>
      <c r="AG591" s="67" t="str">
        <f t="shared" si="107"/>
        <v>0000000000</v>
      </c>
      <c r="AH591" s="67" t="str">
        <f t="shared" si="108"/>
        <v>.00</v>
      </c>
      <c r="AI591" s="67" t="str">
        <f t="shared" si="104"/>
        <v>00</v>
      </c>
      <c r="AJ591" s="67" t="str">
        <f t="shared" si="109"/>
        <v>000000000000</v>
      </c>
      <c r="AK591" s="119"/>
      <c r="AL591" s="120"/>
      <c r="AP591" s="115" t="str">
        <f t="shared" si="105"/>
        <v/>
      </c>
    </row>
    <row r="592" spans="1:42" x14ac:dyDescent="0.2">
      <c r="A592" s="63" t="str">
        <f t="shared" si="101"/>
        <v/>
      </c>
      <c r="B592" s="133"/>
      <c r="C592" s="133"/>
      <c r="D592" s="135"/>
      <c r="E592" s="135"/>
      <c r="F592" s="137"/>
      <c r="AA592" s="116" t="str">
        <f t="shared" si="100"/>
        <v>00000000000000</v>
      </c>
      <c r="AB592" s="117" t="str">
        <f t="shared" si="102"/>
        <v>000000000000</v>
      </c>
      <c r="AC592" s="118">
        <f t="shared" si="103"/>
        <v>1</v>
      </c>
      <c r="AD592" s="47">
        <v>2</v>
      </c>
      <c r="AE592" s="66">
        <f t="shared" si="106"/>
        <v>0</v>
      </c>
      <c r="AF592" s="66">
        <f t="shared" si="99"/>
        <v>0</v>
      </c>
      <c r="AG592" s="67" t="str">
        <f t="shared" si="107"/>
        <v>0000000000</v>
      </c>
      <c r="AH592" s="67" t="str">
        <f t="shared" si="108"/>
        <v>.00</v>
      </c>
      <c r="AI592" s="67" t="str">
        <f t="shared" si="104"/>
        <v>00</v>
      </c>
      <c r="AJ592" s="67" t="str">
        <f t="shared" si="109"/>
        <v>000000000000</v>
      </c>
      <c r="AK592" s="119"/>
      <c r="AL592" s="120"/>
      <c r="AP592" s="115" t="str">
        <f t="shared" si="105"/>
        <v/>
      </c>
    </row>
    <row r="593" spans="1:42" x14ac:dyDescent="0.2">
      <c r="A593" s="63" t="str">
        <f t="shared" si="101"/>
        <v/>
      </c>
      <c r="B593" s="133"/>
      <c r="C593" s="133"/>
      <c r="D593" s="135"/>
      <c r="E593" s="135"/>
      <c r="F593" s="137"/>
      <c r="AA593" s="116" t="str">
        <f t="shared" si="100"/>
        <v>00000000000000</v>
      </c>
      <c r="AB593" s="117" t="str">
        <f t="shared" si="102"/>
        <v>000000000000</v>
      </c>
      <c r="AC593" s="118">
        <f t="shared" si="103"/>
        <v>1</v>
      </c>
      <c r="AD593" s="47">
        <v>2</v>
      </c>
      <c r="AE593" s="66">
        <f t="shared" si="106"/>
        <v>0</v>
      </c>
      <c r="AF593" s="66">
        <f t="shared" si="99"/>
        <v>0</v>
      </c>
      <c r="AG593" s="67" t="str">
        <f t="shared" si="107"/>
        <v>0000000000</v>
      </c>
      <c r="AH593" s="67" t="str">
        <f t="shared" si="108"/>
        <v>.00</v>
      </c>
      <c r="AI593" s="67" t="str">
        <f t="shared" si="104"/>
        <v>00</v>
      </c>
      <c r="AJ593" s="67" t="str">
        <f t="shared" si="109"/>
        <v>000000000000</v>
      </c>
      <c r="AK593" s="119"/>
      <c r="AL593" s="120"/>
      <c r="AP593" s="115" t="str">
        <f t="shared" si="105"/>
        <v/>
      </c>
    </row>
    <row r="594" spans="1:42" x14ac:dyDescent="0.2">
      <c r="A594" s="63" t="str">
        <f t="shared" si="101"/>
        <v/>
      </c>
      <c r="B594" s="133"/>
      <c r="C594" s="133"/>
      <c r="D594" s="135"/>
      <c r="E594" s="135"/>
      <c r="F594" s="137"/>
      <c r="AA594" s="116" t="str">
        <f t="shared" si="100"/>
        <v>00000000000000</v>
      </c>
      <c r="AB594" s="117" t="str">
        <f t="shared" si="102"/>
        <v>000000000000</v>
      </c>
      <c r="AC594" s="118">
        <f t="shared" si="103"/>
        <v>1</v>
      </c>
      <c r="AD594" s="47">
        <v>2</v>
      </c>
      <c r="AE594" s="66">
        <f t="shared" si="106"/>
        <v>0</v>
      </c>
      <c r="AF594" s="66">
        <f t="shared" si="99"/>
        <v>0</v>
      </c>
      <c r="AG594" s="67" t="str">
        <f t="shared" si="107"/>
        <v>0000000000</v>
      </c>
      <c r="AH594" s="67" t="str">
        <f t="shared" si="108"/>
        <v>.00</v>
      </c>
      <c r="AI594" s="67" t="str">
        <f t="shared" si="104"/>
        <v>00</v>
      </c>
      <c r="AJ594" s="67" t="str">
        <f t="shared" si="109"/>
        <v>000000000000</v>
      </c>
      <c r="AK594" s="119"/>
      <c r="AL594" s="120"/>
      <c r="AP594" s="115" t="str">
        <f t="shared" si="105"/>
        <v/>
      </c>
    </row>
    <row r="595" spans="1:42" x14ac:dyDescent="0.2">
      <c r="A595" s="63" t="str">
        <f t="shared" si="101"/>
        <v/>
      </c>
      <c r="B595" s="133"/>
      <c r="C595" s="133"/>
      <c r="D595" s="135"/>
      <c r="E595" s="135"/>
      <c r="F595" s="137"/>
      <c r="AA595" s="116" t="str">
        <f t="shared" si="100"/>
        <v>00000000000000</v>
      </c>
      <c r="AB595" s="117" t="str">
        <f t="shared" si="102"/>
        <v>000000000000</v>
      </c>
      <c r="AC595" s="118">
        <f t="shared" si="103"/>
        <v>1</v>
      </c>
      <c r="AD595" s="47">
        <v>2</v>
      </c>
      <c r="AE595" s="66">
        <f t="shared" si="106"/>
        <v>0</v>
      </c>
      <c r="AF595" s="66">
        <f t="shared" si="99"/>
        <v>0</v>
      </c>
      <c r="AG595" s="67" t="str">
        <f t="shared" si="107"/>
        <v>0000000000</v>
      </c>
      <c r="AH595" s="67" t="str">
        <f t="shared" si="108"/>
        <v>.00</v>
      </c>
      <c r="AI595" s="67" t="str">
        <f t="shared" si="104"/>
        <v>00</v>
      </c>
      <c r="AJ595" s="67" t="str">
        <f t="shared" si="109"/>
        <v>000000000000</v>
      </c>
      <c r="AK595" s="119"/>
      <c r="AL595" s="120"/>
      <c r="AP595" s="115" t="str">
        <f t="shared" si="105"/>
        <v/>
      </c>
    </row>
    <row r="596" spans="1:42" x14ac:dyDescent="0.2">
      <c r="A596" s="63" t="str">
        <f t="shared" si="101"/>
        <v/>
      </c>
      <c r="B596" s="133"/>
      <c r="C596" s="133"/>
      <c r="D596" s="135"/>
      <c r="E596" s="135"/>
      <c r="F596" s="137"/>
      <c r="AA596" s="116" t="str">
        <f t="shared" si="100"/>
        <v>00000000000000</v>
      </c>
      <c r="AB596" s="117" t="str">
        <f t="shared" si="102"/>
        <v>000000000000</v>
      </c>
      <c r="AC596" s="118">
        <f t="shared" si="103"/>
        <v>1</v>
      </c>
      <c r="AD596" s="47">
        <v>2</v>
      </c>
      <c r="AE596" s="66">
        <f t="shared" si="106"/>
        <v>0</v>
      </c>
      <c r="AF596" s="66">
        <f t="shared" si="99"/>
        <v>0</v>
      </c>
      <c r="AG596" s="67" t="str">
        <f t="shared" si="107"/>
        <v>0000000000</v>
      </c>
      <c r="AH596" s="67" t="str">
        <f t="shared" si="108"/>
        <v>.00</v>
      </c>
      <c r="AI596" s="67" t="str">
        <f t="shared" si="104"/>
        <v>00</v>
      </c>
      <c r="AJ596" s="67" t="str">
        <f t="shared" si="109"/>
        <v>000000000000</v>
      </c>
      <c r="AK596" s="119"/>
      <c r="AL596" s="120"/>
      <c r="AP596" s="115" t="str">
        <f t="shared" si="105"/>
        <v/>
      </c>
    </row>
    <row r="597" spans="1:42" x14ac:dyDescent="0.2">
      <c r="A597" s="63" t="str">
        <f t="shared" si="101"/>
        <v/>
      </c>
      <c r="B597" s="133"/>
      <c r="C597" s="133"/>
      <c r="D597" s="135"/>
      <c r="E597" s="135"/>
      <c r="F597" s="137"/>
      <c r="AA597" s="116" t="str">
        <f t="shared" si="100"/>
        <v>00000000000000</v>
      </c>
      <c r="AB597" s="117" t="str">
        <f t="shared" si="102"/>
        <v>000000000000</v>
      </c>
      <c r="AC597" s="118">
        <f t="shared" si="103"/>
        <v>1</v>
      </c>
      <c r="AD597" s="47">
        <v>2</v>
      </c>
      <c r="AE597" s="66">
        <f t="shared" si="106"/>
        <v>0</v>
      </c>
      <c r="AF597" s="66">
        <f t="shared" si="99"/>
        <v>0</v>
      </c>
      <c r="AG597" s="67" t="str">
        <f t="shared" si="107"/>
        <v>0000000000</v>
      </c>
      <c r="AH597" s="67" t="str">
        <f t="shared" si="108"/>
        <v>.00</v>
      </c>
      <c r="AI597" s="67" t="str">
        <f t="shared" si="104"/>
        <v>00</v>
      </c>
      <c r="AJ597" s="67" t="str">
        <f t="shared" si="109"/>
        <v>000000000000</v>
      </c>
      <c r="AK597" s="119"/>
      <c r="AL597" s="120"/>
      <c r="AP597" s="115" t="str">
        <f t="shared" si="105"/>
        <v/>
      </c>
    </row>
    <row r="598" spans="1:42" x14ac:dyDescent="0.2">
      <c r="A598" s="63" t="str">
        <f t="shared" si="101"/>
        <v/>
      </c>
      <c r="B598" s="133"/>
      <c r="C598" s="133"/>
      <c r="D598" s="135"/>
      <c r="E598" s="135"/>
      <c r="F598" s="137"/>
      <c r="AA598" s="116" t="str">
        <f t="shared" si="100"/>
        <v>00000000000000</v>
      </c>
      <c r="AB598" s="117" t="str">
        <f t="shared" si="102"/>
        <v>000000000000</v>
      </c>
      <c r="AC598" s="118">
        <f t="shared" si="103"/>
        <v>1</v>
      </c>
      <c r="AD598" s="47">
        <v>2</v>
      </c>
      <c r="AE598" s="66">
        <f t="shared" si="106"/>
        <v>0</v>
      </c>
      <c r="AF598" s="66">
        <f t="shared" si="99"/>
        <v>0</v>
      </c>
      <c r="AG598" s="67" t="str">
        <f t="shared" si="107"/>
        <v>0000000000</v>
      </c>
      <c r="AH598" s="67" t="str">
        <f t="shared" si="108"/>
        <v>.00</v>
      </c>
      <c r="AI598" s="67" t="str">
        <f t="shared" si="104"/>
        <v>00</v>
      </c>
      <c r="AJ598" s="67" t="str">
        <f t="shared" si="109"/>
        <v>000000000000</v>
      </c>
      <c r="AK598" s="119"/>
      <c r="AL598" s="120"/>
      <c r="AP598" s="115" t="str">
        <f t="shared" si="105"/>
        <v/>
      </c>
    </row>
    <row r="599" spans="1:42" x14ac:dyDescent="0.2">
      <c r="A599" s="63" t="str">
        <f t="shared" si="101"/>
        <v/>
      </c>
      <c r="B599" s="133"/>
      <c r="C599" s="133"/>
      <c r="D599" s="135"/>
      <c r="E599" s="135"/>
      <c r="F599" s="137"/>
      <c r="AA599" s="116" t="str">
        <f t="shared" si="100"/>
        <v>00000000000000</v>
      </c>
      <c r="AB599" s="117" t="str">
        <f t="shared" si="102"/>
        <v>000000000000</v>
      </c>
      <c r="AC599" s="118">
        <f t="shared" si="103"/>
        <v>1</v>
      </c>
      <c r="AD599" s="47">
        <v>2</v>
      </c>
      <c r="AE599" s="66">
        <f t="shared" si="106"/>
        <v>0</v>
      </c>
      <c r="AF599" s="66">
        <f t="shared" si="99"/>
        <v>0</v>
      </c>
      <c r="AG599" s="67" t="str">
        <f t="shared" si="107"/>
        <v>0000000000</v>
      </c>
      <c r="AH599" s="67" t="str">
        <f t="shared" si="108"/>
        <v>.00</v>
      </c>
      <c r="AI599" s="67" t="str">
        <f t="shared" si="104"/>
        <v>00</v>
      </c>
      <c r="AJ599" s="67" t="str">
        <f t="shared" si="109"/>
        <v>000000000000</v>
      </c>
      <c r="AK599" s="119"/>
      <c r="AL599" s="120"/>
      <c r="AP599" s="115" t="str">
        <f t="shared" si="105"/>
        <v/>
      </c>
    </row>
    <row r="600" spans="1:42" x14ac:dyDescent="0.2">
      <c r="A600" s="63" t="str">
        <f t="shared" si="101"/>
        <v/>
      </c>
      <c r="B600" s="133"/>
      <c r="C600" s="133"/>
      <c r="D600" s="135"/>
      <c r="E600" s="135"/>
      <c r="F600" s="137"/>
      <c r="AA600" s="116" t="str">
        <f t="shared" si="100"/>
        <v>00000000000000</v>
      </c>
      <c r="AB600" s="117" t="str">
        <f t="shared" si="102"/>
        <v>000000000000</v>
      </c>
      <c r="AC600" s="118">
        <f t="shared" si="103"/>
        <v>1</v>
      </c>
      <c r="AD600" s="47">
        <v>2</v>
      </c>
      <c r="AE600" s="66">
        <f t="shared" si="106"/>
        <v>0</v>
      </c>
      <c r="AF600" s="66">
        <f t="shared" si="99"/>
        <v>0</v>
      </c>
      <c r="AG600" s="67" t="str">
        <f t="shared" si="107"/>
        <v>0000000000</v>
      </c>
      <c r="AH600" s="67" t="str">
        <f t="shared" si="108"/>
        <v>.00</v>
      </c>
      <c r="AI600" s="67" t="str">
        <f t="shared" si="104"/>
        <v>00</v>
      </c>
      <c r="AJ600" s="67" t="str">
        <f t="shared" si="109"/>
        <v>000000000000</v>
      </c>
      <c r="AK600" s="119"/>
      <c r="AL600" s="120"/>
      <c r="AP600" s="115" t="str">
        <f t="shared" si="105"/>
        <v/>
      </c>
    </row>
    <row r="601" spans="1:42" x14ac:dyDescent="0.2">
      <c r="A601" s="63" t="str">
        <f t="shared" si="101"/>
        <v/>
      </c>
      <c r="B601" s="133"/>
      <c r="C601" s="133"/>
      <c r="D601" s="135"/>
      <c r="E601" s="135"/>
      <c r="F601" s="137"/>
      <c r="AA601" s="116" t="str">
        <f t="shared" si="100"/>
        <v>00000000000000</v>
      </c>
      <c r="AB601" s="117" t="str">
        <f t="shared" si="102"/>
        <v>000000000000</v>
      </c>
      <c r="AC601" s="118">
        <f t="shared" si="103"/>
        <v>1</v>
      </c>
      <c r="AD601" s="47">
        <v>2</v>
      </c>
      <c r="AE601" s="66">
        <f t="shared" si="106"/>
        <v>0</v>
      </c>
      <c r="AF601" s="66">
        <f t="shared" si="99"/>
        <v>0</v>
      </c>
      <c r="AG601" s="67" t="str">
        <f t="shared" si="107"/>
        <v>0000000000</v>
      </c>
      <c r="AH601" s="67" t="str">
        <f t="shared" si="108"/>
        <v>.00</v>
      </c>
      <c r="AI601" s="67" t="str">
        <f t="shared" si="104"/>
        <v>00</v>
      </c>
      <c r="AJ601" s="67" t="str">
        <f t="shared" si="109"/>
        <v>000000000000</v>
      </c>
      <c r="AK601" s="119"/>
      <c r="AL601" s="120"/>
      <c r="AP601" s="115" t="str">
        <f t="shared" si="105"/>
        <v/>
      </c>
    </row>
    <row r="602" spans="1:42" x14ac:dyDescent="0.2">
      <c r="A602" s="63" t="str">
        <f t="shared" si="101"/>
        <v/>
      </c>
      <c r="B602" s="133"/>
      <c r="C602" s="133"/>
      <c r="D602" s="135"/>
      <c r="E602" s="135"/>
      <c r="F602" s="137"/>
      <c r="AA602" s="116" t="str">
        <f t="shared" si="100"/>
        <v>00000000000000</v>
      </c>
      <c r="AB602" s="117" t="str">
        <f t="shared" si="102"/>
        <v>000000000000</v>
      </c>
      <c r="AC602" s="118">
        <f t="shared" si="103"/>
        <v>1</v>
      </c>
      <c r="AD602" s="47">
        <v>2</v>
      </c>
      <c r="AE602" s="66">
        <f t="shared" si="106"/>
        <v>0</v>
      </c>
      <c r="AF602" s="66">
        <f t="shared" si="99"/>
        <v>0</v>
      </c>
      <c r="AG602" s="67" t="str">
        <f t="shared" si="107"/>
        <v>0000000000</v>
      </c>
      <c r="AH602" s="67" t="str">
        <f t="shared" si="108"/>
        <v>.00</v>
      </c>
      <c r="AI602" s="67" t="str">
        <f t="shared" si="104"/>
        <v>00</v>
      </c>
      <c r="AJ602" s="67" t="str">
        <f t="shared" si="109"/>
        <v>000000000000</v>
      </c>
      <c r="AK602" s="119"/>
      <c r="AL602" s="120"/>
      <c r="AP602" s="115" t="str">
        <f t="shared" si="105"/>
        <v/>
      </c>
    </row>
    <row r="603" spans="1:42" x14ac:dyDescent="0.2">
      <c r="A603" s="63" t="str">
        <f t="shared" si="101"/>
        <v/>
      </c>
      <c r="B603" s="133"/>
      <c r="C603" s="133"/>
      <c r="D603" s="135"/>
      <c r="E603" s="135"/>
      <c r="F603" s="137"/>
      <c r="AA603" s="116" t="str">
        <f t="shared" si="100"/>
        <v>00000000000000</v>
      </c>
      <c r="AB603" s="117" t="str">
        <f t="shared" si="102"/>
        <v>000000000000</v>
      </c>
      <c r="AC603" s="118">
        <f t="shared" si="103"/>
        <v>1</v>
      </c>
      <c r="AD603" s="47">
        <v>2</v>
      </c>
      <c r="AE603" s="66">
        <f t="shared" si="106"/>
        <v>0</v>
      </c>
      <c r="AF603" s="66">
        <f t="shared" si="99"/>
        <v>0</v>
      </c>
      <c r="AG603" s="67" t="str">
        <f t="shared" si="107"/>
        <v>0000000000</v>
      </c>
      <c r="AH603" s="67" t="str">
        <f t="shared" si="108"/>
        <v>.00</v>
      </c>
      <c r="AI603" s="67" t="str">
        <f t="shared" si="104"/>
        <v>00</v>
      </c>
      <c r="AJ603" s="67" t="str">
        <f t="shared" si="109"/>
        <v>000000000000</v>
      </c>
      <c r="AK603" s="119"/>
      <c r="AL603" s="120"/>
      <c r="AP603" s="115" t="str">
        <f t="shared" si="105"/>
        <v/>
      </c>
    </row>
    <row r="604" spans="1:42" x14ac:dyDescent="0.2">
      <c r="A604" s="63" t="str">
        <f t="shared" si="101"/>
        <v/>
      </c>
      <c r="B604" s="133"/>
      <c r="C604" s="133"/>
      <c r="D604" s="135"/>
      <c r="E604" s="135"/>
      <c r="F604" s="137"/>
      <c r="AA604" s="116" t="str">
        <f t="shared" si="100"/>
        <v>00000000000000</v>
      </c>
      <c r="AB604" s="117" t="str">
        <f t="shared" si="102"/>
        <v>000000000000</v>
      </c>
      <c r="AC604" s="118">
        <f t="shared" si="103"/>
        <v>1</v>
      </c>
      <c r="AD604" s="47">
        <v>2</v>
      </c>
      <c r="AE604" s="66">
        <f t="shared" si="106"/>
        <v>0</v>
      </c>
      <c r="AF604" s="66">
        <f t="shared" si="99"/>
        <v>0</v>
      </c>
      <c r="AG604" s="67" t="str">
        <f t="shared" si="107"/>
        <v>0000000000</v>
      </c>
      <c r="AH604" s="67" t="str">
        <f t="shared" si="108"/>
        <v>.00</v>
      </c>
      <c r="AI604" s="67" t="str">
        <f t="shared" si="104"/>
        <v>00</v>
      </c>
      <c r="AJ604" s="67" t="str">
        <f t="shared" si="109"/>
        <v>000000000000</v>
      </c>
      <c r="AK604" s="119"/>
      <c r="AL604" s="120"/>
      <c r="AP604" s="115" t="str">
        <f t="shared" si="105"/>
        <v/>
      </c>
    </row>
    <row r="605" spans="1:42" x14ac:dyDescent="0.2">
      <c r="A605" s="63" t="str">
        <f t="shared" si="101"/>
        <v/>
      </c>
      <c r="B605" s="133"/>
      <c r="C605" s="133"/>
      <c r="D605" s="135"/>
      <c r="E605" s="135"/>
      <c r="F605" s="137"/>
      <c r="AA605" s="116" t="str">
        <f t="shared" si="100"/>
        <v>00000000000000</v>
      </c>
      <c r="AB605" s="117" t="str">
        <f t="shared" si="102"/>
        <v>000000000000</v>
      </c>
      <c r="AC605" s="118">
        <f t="shared" si="103"/>
        <v>1</v>
      </c>
      <c r="AD605" s="47">
        <v>2</v>
      </c>
      <c r="AE605" s="66">
        <f t="shared" si="106"/>
        <v>0</v>
      </c>
      <c r="AF605" s="66">
        <f t="shared" si="99"/>
        <v>0</v>
      </c>
      <c r="AG605" s="67" t="str">
        <f t="shared" si="107"/>
        <v>0000000000</v>
      </c>
      <c r="AH605" s="67" t="str">
        <f t="shared" si="108"/>
        <v>.00</v>
      </c>
      <c r="AI605" s="67" t="str">
        <f t="shared" si="104"/>
        <v>00</v>
      </c>
      <c r="AJ605" s="67" t="str">
        <f t="shared" si="109"/>
        <v>000000000000</v>
      </c>
      <c r="AK605" s="119"/>
      <c r="AL605" s="120"/>
      <c r="AP605" s="115" t="str">
        <f t="shared" si="105"/>
        <v/>
      </c>
    </row>
    <row r="606" spans="1:42" x14ac:dyDescent="0.2">
      <c r="A606" s="63" t="str">
        <f t="shared" si="101"/>
        <v/>
      </c>
      <c r="B606" s="133"/>
      <c r="C606" s="133"/>
      <c r="D606" s="135"/>
      <c r="E606" s="135"/>
      <c r="F606" s="137"/>
      <c r="AA606" s="116" t="str">
        <f t="shared" si="100"/>
        <v>00000000000000</v>
      </c>
      <c r="AB606" s="117" t="str">
        <f t="shared" si="102"/>
        <v>000000000000</v>
      </c>
      <c r="AC606" s="118">
        <f t="shared" si="103"/>
        <v>1</v>
      </c>
      <c r="AD606" s="47">
        <v>2</v>
      </c>
      <c r="AE606" s="66">
        <f t="shared" si="106"/>
        <v>0</v>
      </c>
      <c r="AF606" s="66">
        <f t="shared" si="99"/>
        <v>0</v>
      </c>
      <c r="AG606" s="67" t="str">
        <f t="shared" si="107"/>
        <v>0000000000</v>
      </c>
      <c r="AH606" s="67" t="str">
        <f t="shared" si="108"/>
        <v>.00</v>
      </c>
      <c r="AI606" s="67" t="str">
        <f t="shared" si="104"/>
        <v>00</v>
      </c>
      <c r="AJ606" s="67" t="str">
        <f t="shared" si="109"/>
        <v>000000000000</v>
      </c>
      <c r="AK606" s="119"/>
      <c r="AL606" s="120"/>
      <c r="AP606" s="115" t="str">
        <f t="shared" si="105"/>
        <v/>
      </c>
    </row>
    <row r="607" spans="1:42" x14ac:dyDescent="0.2">
      <c r="A607" s="63" t="str">
        <f t="shared" si="101"/>
        <v/>
      </c>
      <c r="B607" s="133"/>
      <c r="C607" s="133"/>
      <c r="D607" s="135"/>
      <c r="E607" s="135"/>
      <c r="F607" s="137"/>
      <c r="AA607" s="116" t="str">
        <f t="shared" si="100"/>
        <v>00000000000000</v>
      </c>
      <c r="AB607" s="117" t="str">
        <f t="shared" si="102"/>
        <v>000000000000</v>
      </c>
      <c r="AC607" s="118">
        <f t="shared" si="103"/>
        <v>1</v>
      </c>
      <c r="AD607" s="47">
        <v>2</v>
      </c>
      <c r="AE607" s="66">
        <f t="shared" si="106"/>
        <v>0</v>
      </c>
      <c r="AF607" s="66">
        <f t="shared" si="99"/>
        <v>0</v>
      </c>
      <c r="AG607" s="67" t="str">
        <f t="shared" si="107"/>
        <v>0000000000</v>
      </c>
      <c r="AH607" s="67" t="str">
        <f t="shared" si="108"/>
        <v>.00</v>
      </c>
      <c r="AI607" s="67" t="str">
        <f t="shared" si="104"/>
        <v>00</v>
      </c>
      <c r="AJ607" s="67" t="str">
        <f t="shared" si="109"/>
        <v>000000000000</v>
      </c>
      <c r="AK607" s="119"/>
      <c r="AL607" s="120"/>
      <c r="AP607" s="115" t="str">
        <f t="shared" si="105"/>
        <v/>
      </c>
    </row>
    <row r="608" spans="1:42" x14ac:dyDescent="0.2">
      <c r="A608" s="63" t="str">
        <f t="shared" si="101"/>
        <v/>
      </c>
      <c r="B608" s="133"/>
      <c r="C608" s="133"/>
      <c r="D608" s="135"/>
      <c r="E608" s="135"/>
      <c r="F608" s="137"/>
      <c r="AA608" s="116" t="str">
        <f t="shared" si="100"/>
        <v>00000000000000</v>
      </c>
      <c r="AB608" s="117" t="str">
        <f t="shared" si="102"/>
        <v>000000000000</v>
      </c>
      <c r="AC608" s="118">
        <f t="shared" si="103"/>
        <v>1</v>
      </c>
      <c r="AD608" s="47">
        <v>2</v>
      </c>
      <c r="AE608" s="66">
        <f t="shared" si="106"/>
        <v>0</v>
      </c>
      <c r="AF608" s="66">
        <f t="shared" si="99"/>
        <v>0</v>
      </c>
      <c r="AG608" s="67" t="str">
        <f t="shared" si="107"/>
        <v>0000000000</v>
      </c>
      <c r="AH608" s="67" t="str">
        <f t="shared" si="108"/>
        <v>.00</v>
      </c>
      <c r="AI608" s="67" t="str">
        <f t="shared" si="104"/>
        <v>00</v>
      </c>
      <c r="AJ608" s="67" t="str">
        <f t="shared" si="109"/>
        <v>000000000000</v>
      </c>
      <c r="AK608" s="119"/>
      <c r="AL608" s="120"/>
      <c r="AP608" s="115" t="str">
        <f t="shared" si="105"/>
        <v/>
      </c>
    </row>
    <row r="609" spans="1:42" x14ac:dyDescent="0.2">
      <c r="A609" s="63" t="str">
        <f t="shared" si="101"/>
        <v/>
      </c>
      <c r="B609" s="133"/>
      <c r="C609" s="133"/>
      <c r="D609" s="135"/>
      <c r="E609" s="135"/>
      <c r="F609" s="137"/>
      <c r="AA609" s="116" t="str">
        <f t="shared" si="100"/>
        <v>00000000000000</v>
      </c>
      <c r="AB609" s="117" t="str">
        <f t="shared" si="102"/>
        <v>000000000000</v>
      </c>
      <c r="AC609" s="118">
        <f t="shared" si="103"/>
        <v>1</v>
      </c>
      <c r="AD609" s="47">
        <v>2</v>
      </c>
      <c r="AE609" s="66">
        <f t="shared" si="106"/>
        <v>0</v>
      </c>
      <c r="AF609" s="66">
        <f t="shared" si="99"/>
        <v>0</v>
      </c>
      <c r="AG609" s="67" t="str">
        <f t="shared" si="107"/>
        <v>0000000000</v>
      </c>
      <c r="AH609" s="67" t="str">
        <f t="shared" si="108"/>
        <v>.00</v>
      </c>
      <c r="AI609" s="67" t="str">
        <f t="shared" si="104"/>
        <v>00</v>
      </c>
      <c r="AJ609" s="67" t="str">
        <f t="shared" si="109"/>
        <v>000000000000</v>
      </c>
      <c r="AK609" s="119"/>
      <c r="AL609" s="120"/>
      <c r="AP609" s="115" t="str">
        <f t="shared" si="105"/>
        <v/>
      </c>
    </row>
    <row r="610" spans="1:42" x14ac:dyDescent="0.2">
      <c r="A610" s="63" t="str">
        <f t="shared" si="101"/>
        <v/>
      </c>
      <c r="B610" s="133"/>
      <c r="C610" s="133"/>
      <c r="D610" s="135"/>
      <c r="E610" s="135"/>
      <c r="F610" s="137"/>
      <c r="AA610" s="116" t="str">
        <f t="shared" si="100"/>
        <v>00000000000000</v>
      </c>
      <c r="AB610" s="117" t="str">
        <f t="shared" si="102"/>
        <v>000000000000</v>
      </c>
      <c r="AC610" s="118">
        <f t="shared" si="103"/>
        <v>1</v>
      </c>
      <c r="AD610" s="47">
        <v>2</v>
      </c>
      <c r="AE610" s="66">
        <f t="shared" si="106"/>
        <v>0</v>
      </c>
      <c r="AF610" s="66">
        <f t="shared" si="99"/>
        <v>0</v>
      </c>
      <c r="AG610" s="67" t="str">
        <f t="shared" si="107"/>
        <v>0000000000</v>
      </c>
      <c r="AH610" s="67" t="str">
        <f t="shared" si="108"/>
        <v>.00</v>
      </c>
      <c r="AI610" s="67" t="str">
        <f t="shared" si="104"/>
        <v>00</v>
      </c>
      <c r="AJ610" s="67" t="str">
        <f t="shared" si="109"/>
        <v>000000000000</v>
      </c>
      <c r="AK610" s="119"/>
      <c r="AL610" s="120"/>
      <c r="AP610" s="115" t="str">
        <f t="shared" si="105"/>
        <v/>
      </c>
    </row>
    <row r="611" spans="1:42" x14ac:dyDescent="0.2">
      <c r="A611" s="63" t="str">
        <f t="shared" si="101"/>
        <v/>
      </c>
      <c r="B611" s="133"/>
      <c r="C611" s="133"/>
      <c r="D611" s="135"/>
      <c r="E611" s="135"/>
      <c r="F611" s="137"/>
      <c r="AA611" s="116" t="str">
        <f t="shared" si="100"/>
        <v>00000000000000</v>
      </c>
      <c r="AB611" s="117" t="str">
        <f t="shared" si="102"/>
        <v>000000000000</v>
      </c>
      <c r="AC611" s="118">
        <f t="shared" si="103"/>
        <v>1</v>
      </c>
      <c r="AD611" s="47">
        <v>2</v>
      </c>
      <c r="AE611" s="66">
        <f t="shared" si="106"/>
        <v>0</v>
      </c>
      <c r="AF611" s="66">
        <f t="shared" si="99"/>
        <v>0</v>
      </c>
      <c r="AG611" s="67" t="str">
        <f t="shared" si="107"/>
        <v>0000000000</v>
      </c>
      <c r="AH611" s="67" t="str">
        <f t="shared" si="108"/>
        <v>.00</v>
      </c>
      <c r="AI611" s="67" t="str">
        <f t="shared" si="104"/>
        <v>00</v>
      </c>
      <c r="AJ611" s="67" t="str">
        <f t="shared" si="109"/>
        <v>000000000000</v>
      </c>
      <c r="AK611" s="119"/>
      <c r="AL611" s="120"/>
      <c r="AP611" s="115" t="str">
        <f t="shared" si="105"/>
        <v/>
      </c>
    </row>
    <row r="612" spans="1:42" x14ac:dyDescent="0.2">
      <c r="A612" s="63" t="str">
        <f t="shared" si="101"/>
        <v/>
      </c>
      <c r="B612" s="133"/>
      <c r="C612" s="133"/>
      <c r="D612" s="135"/>
      <c r="E612" s="135"/>
      <c r="F612" s="137"/>
      <c r="AA612" s="116" t="str">
        <f t="shared" si="100"/>
        <v>00000000000000</v>
      </c>
      <c r="AB612" s="117" t="str">
        <f t="shared" si="102"/>
        <v>000000000000</v>
      </c>
      <c r="AC612" s="118">
        <f t="shared" si="103"/>
        <v>1</v>
      </c>
      <c r="AD612" s="47">
        <v>2</v>
      </c>
      <c r="AE612" s="66">
        <f t="shared" si="106"/>
        <v>0</v>
      </c>
      <c r="AF612" s="66">
        <f t="shared" si="99"/>
        <v>0</v>
      </c>
      <c r="AG612" s="67" t="str">
        <f t="shared" si="107"/>
        <v>0000000000</v>
      </c>
      <c r="AH612" s="67" t="str">
        <f t="shared" si="108"/>
        <v>.00</v>
      </c>
      <c r="AI612" s="67" t="str">
        <f t="shared" si="104"/>
        <v>00</v>
      </c>
      <c r="AJ612" s="67" t="str">
        <f t="shared" si="109"/>
        <v>000000000000</v>
      </c>
      <c r="AK612" s="119"/>
      <c r="AL612" s="120"/>
      <c r="AP612" s="115" t="str">
        <f t="shared" si="105"/>
        <v/>
      </c>
    </row>
    <row r="613" spans="1:42" x14ac:dyDescent="0.2">
      <c r="A613" s="63" t="str">
        <f t="shared" si="101"/>
        <v/>
      </c>
      <c r="B613" s="133"/>
      <c r="C613" s="133"/>
      <c r="D613" s="135"/>
      <c r="E613" s="135"/>
      <c r="F613" s="137"/>
      <c r="AA613" s="116" t="str">
        <f t="shared" si="100"/>
        <v>00000000000000</v>
      </c>
      <c r="AB613" s="117" t="str">
        <f t="shared" si="102"/>
        <v>000000000000</v>
      </c>
      <c r="AC613" s="118">
        <f t="shared" si="103"/>
        <v>1</v>
      </c>
      <c r="AD613" s="47">
        <v>2</v>
      </c>
      <c r="AE613" s="66">
        <f t="shared" si="106"/>
        <v>0</v>
      </c>
      <c r="AF613" s="66">
        <f t="shared" si="99"/>
        <v>0</v>
      </c>
      <c r="AG613" s="67" t="str">
        <f t="shared" si="107"/>
        <v>0000000000</v>
      </c>
      <c r="AH613" s="67" t="str">
        <f t="shared" si="108"/>
        <v>.00</v>
      </c>
      <c r="AI613" s="67" t="str">
        <f t="shared" si="104"/>
        <v>00</v>
      </c>
      <c r="AJ613" s="67" t="str">
        <f t="shared" si="109"/>
        <v>000000000000</v>
      </c>
      <c r="AK613" s="119"/>
      <c r="AL613" s="120"/>
      <c r="AP613" s="115" t="str">
        <f t="shared" si="105"/>
        <v/>
      </c>
    </row>
    <row r="614" spans="1:42" x14ac:dyDescent="0.2">
      <c r="A614" s="63" t="str">
        <f t="shared" si="101"/>
        <v/>
      </c>
      <c r="B614" s="133"/>
      <c r="C614" s="133"/>
      <c r="D614" s="135"/>
      <c r="E614" s="135"/>
      <c r="F614" s="137"/>
      <c r="AA614" s="116" t="str">
        <f t="shared" si="100"/>
        <v>00000000000000</v>
      </c>
      <c r="AB614" s="117" t="str">
        <f t="shared" si="102"/>
        <v>000000000000</v>
      </c>
      <c r="AC614" s="118">
        <f t="shared" si="103"/>
        <v>1</v>
      </c>
      <c r="AD614" s="47">
        <v>2</v>
      </c>
      <c r="AE614" s="66">
        <f t="shared" si="106"/>
        <v>0</v>
      </c>
      <c r="AF614" s="66">
        <f t="shared" si="99"/>
        <v>0</v>
      </c>
      <c r="AG614" s="67" t="str">
        <f t="shared" si="107"/>
        <v>0000000000</v>
      </c>
      <c r="AH614" s="67" t="str">
        <f t="shared" si="108"/>
        <v>.00</v>
      </c>
      <c r="AI614" s="67" t="str">
        <f t="shared" si="104"/>
        <v>00</v>
      </c>
      <c r="AJ614" s="67" t="str">
        <f t="shared" si="109"/>
        <v>000000000000</v>
      </c>
      <c r="AK614" s="119"/>
      <c r="AL614" s="120"/>
      <c r="AP614" s="115" t="str">
        <f t="shared" si="105"/>
        <v/>
      </c>
    </row>
    <row r="615" spans="1:42" x14ac:dyDescent="0.2">
      <c r="A615" s="63" t="str">
        <f t="shared" si="101"/>
        <v/>
      </c>
      <c r="B615" s="133"/>
      <c r="C615" s="133"/>
      <c r="D615" s="135"/>
      <c r="E615" s="135"/>
      <c r="F615" s="137"/>
      <c r="AA615" s="116" t="str">
        <f t="shared" si="100"/>
        <v>00000000000000</v>
      </c>
      <c r="AB615" s="117" t="str">
        <f t="shared" si="102"/>
        <v>000000000000</v>
      </c>
      <c r="AC615" s="118">
        <f t="shared" si="103"/>
        <v>1</v>
      </c>
      <c r="AD615" s="47">
        <v>2</v>
      </c>
      <c r="AE615" s="66">
        <f t="shared" si="106"/>
        <v>0</v>
      </c>
      <c r="AF615" s="66">
        <f t="shared" si="99"/>
        <v>0</v>
      </c>
      <c r="AG615" s="67" t="str">
        <f t="shared" si="107"/>
        <v>0000000000</v>
      </c>
      <c r="AH615" s="67" t="str">
        <f t="shared" si="108"/>
        <v>.00</v>
      </c>
      <c r="AI615" s="67" t="str">
        <f t="shared" si="104"/>
        <v>00</v>
      </c>
      <c r="AJ615" s="67" t="str">
        <f t="shared" si="109"/>
        <v>000000000000</v>
      </c>
      <c r="AK615" s="119"/>
      <c r="AL615" s="120"/>
      <c r="AP615" s="115" t="str">
        <f t="shared" si="105"/>
        <v/>
      </c>
    </row>
    <row r="616" spans="1:42" x14ac:dyDescent="0.2">
      <c r="A616" s="63" t="str">
        <f t="shared" si="101"/>
        <v/>
      </c>
      <c r="B616" s="133"/>
      <c r="C616" s="133"/>
      <c r="D616" s="135"/>
      <c r="E616" s="135"/>
      <c r="F616" s="137"/>
      <c r="AA616" s="116" t="str">
        <f t="shared" si="100"/>
        <v>00000000000000</v>
      </c>
      <c r="AB616" s="117" t="str">
        <f t="shared" si="102"/>
        <v>000000000000</v>
      </c>
      <c r="AC616" s="118">
        <f t="shared" si="103"/>
        <v>1</v>
      </c>
      <c r="AD616" s="47">
        <v>2</v>
      </c>
      <c r="AE616" s="66">
        <f t="shared" si="106"/>
        <v>0</v>
      </c>
      <c r="AF616" s="66">
        <f t="shared" si="99"/>
        <v>0</v>
      </c>
      <c r="AG616" s="67" t="str">
        <f t="shared" si="107"/>
        <v>0000000000</v>
      </c>
      <c r="AH616" s="67" t="str">
        <f t="shared" si="108"/>
        <v>.00</v>
      </c>
      <c r="AI616" s="67" t="str">
        <f t="shared" si="104"/>
        <v>00</v>
      </c>
      <c r="AJ616" s="67" t="str">
        <f t="shared" si="109"/>
        <v>000000000000</v>
      </c>
      <c r="AK616" s="119"/>
      <c r="AL616" s="120"/>
      <c r="AP616" s="115" t="str">
        <f t="shared" si="105"/>
        <v/>
      </c>
    </row>
    <row r="617" spans="1:42" x14ac:dyDescent="0.2">
      <c r="A617" s="63" t="str">
        <f t="shared" si="101"/>
        <v/>
      </c>
      <c r="B617" s="133"/>
      <c r="C617" s="133"/>
      <c r="D617" s="135"/>
      <c r="E617" s="135"/>
      <c r="F617" s="137"/>
      <c r="AA617" s="116" t="str">
        <f t="shared" si="100"/>
        <v>00000000000000</v>
      </c>
      <c r="AB617" s="117" t="str">
        <f t="shared" si="102"/>
        <v>000000000000</v>
      </c>
      <c r="AC617" s="118">
        <f t="shared" si="103"/>
        <v>1</v>
      </c>
      <c r="AD617" s="47">
        <v>2</v>
      </c>
      <c r="AE617" s="66">
        <f t="shared" si="106"/>
        <v>0</v>
      </c>
      <c r="AF617" s="66">
        <f t="shared" si="99"/>
        <v>0</v>
      </c>
      <c r="AG617" s="67" t="str">
        <f t="shared" si="107"/>
        <v>0000000000</v>
      </c>
      <c r="AH617" s="67" t="str">
        <f t="shared" si="108"/>
        <v>.00</v>
      </c>
      <c r="AI617" s="67" t="str">
        <f t="shared" si="104"/>
        <v>00</v>
      </c>
      <c r="AJ617" s="67" t="str">
        <f t="shared" si="109"/>
        <v>000000000000</v>
      </c>
      <c r="AK617" s="119"/>
      <c r="AL617" s="120"/>
      <c r="AP617" s="115" t="str">
        <f t="shared" si="105"/>
        <v/>
      </c>
    </row>
    <row r="618" spans="1:42" x14ac:dyDescent="0.2">
      <c r="A618" s="63" t="str">
        <f t="shared" si="101"/>
        <v/>
      </c>
      <c r="B618" s="133"/>
      <c r="C618" s="133"/>
      <c r="D618" s="135"/>
      <c r="E618" s="135"/>
      <c r="F618" s="137"/>
      <c r="AA618" s="116" t="str">
        <f t="shared" si="100"/>
        <v>00000000000000</v>
      </c>
      <c r="AB618" s="117" t="str">
        <f t="shared" si="102"/>
        <v>000000000000</v>
      </c>
      <c r="AC618" s="118">
        <f t="shared" si="103"/>
        <v>1</v>
      </c>
      <c r="AD618" s="47">
        <v>2</v>
      </c>
      <c r="AE618" s="66">
        <f t="shared" si="106"/>
        <v>0</v>
      </c>
      <c r="AF618" s="66">
        <f t="shared" si="99"/>
        <v>0</v>
      </c>
      <c r="AG618" s="67" t="str">
        <f t="shared" si="107"/>
        <v>0000000000</v>
      </c>
      <c r="AH618" s="67" t="str">
        <f t="shared" si="108"/>
        <v>.00</v>
      </c>
      <c r="AI618" s="67" t="str">
        <f t="shared" si="104"/>
        <v>00</v>
      </c>
      <c r="AJ618" s="67" t="str">
        <f t="shared" si="109"/>
        <v>000000000000</v>
      </c>
      <c r="AK618" s="119"/>
      <c r="AL618" s="120"/>
      <c r="AP618" s="115" t="str">
        <f t="shared" si="105"/>
        <v/>
      </c>
    </row>
    <row r="619" spans="1:42" x14ac:dyDescent="0.2">
      <c r="A619" s="63" t="str">
        <f t="shared" si="101"/>
        <v/>
      </c>
      <c r="B619" s="133"/>
      <c r="C619" s="133"/>
      <c r="D619" s="135"/>
      <c r="E619" s="135"/>
      <c r="F619" s="137"/>
      <c r="AA619" s="116" t="str">
        <f t="shared" si="100"/>
        <v>00000000000000</v>
      </c>
      <c r="AB619" s="117" t="str">
        <f t="shared" si="102"/>
        <v>000000000000</v>
      </c>
      <c r="AC619" s="118">
        <f t="shared" si="103"/>
        <v>1</v>
      </c>
      <c r="AD619" s="47">
        <v>2</v>
      </c>
      <c r="AE619" s="66">
        <f t="shared" si="106"/>
        <v>0</v>
      </c>
      <c r="AF619" s="66">
        <f t="shared" si="99"/>
        <v>0</v>
      </c>
      <c r="AG619" s="67" t="str">
        <f t="shared" si="107"/>
        <v>0000000000</v>
      </c>
      <c r="AH619" s="67" t="str">
        <f t="shared" si="108"/>
        <v>.00</v>
      </c>
      <c r="AI619" s="67" t="str">
        <f t="shared" si="104"/>
        <v>00</v>
      </c>
      <c r="AJ619" s="67" t="str">
        <f t="shared" si="109"/>
        <v>000000000000</v>
      </c>
      <c r="AK619" s="119"/>
      <c r="AL619" s="120"/>
      <c r="AP619" s="115" t="str">
        <f t="shared" si="105"/>
        <v/>
      </c>
    </row>
    <row r="620" spans="1:42" x14ac:dyDescent="0.2">
      <c r="A620" s="63" t="str">
        <f t="shared" si="101"/>
        <v/>
      </c>
      <c r="B620" s="133"/>
      <c r="C620" s="133"/>
      <c r="D620" s="135"/>
      <c r="E620" s="135"/>
      <c r="F620" s="137"/>
      <c r="AA620" s="116" t="str">
        <f t="shared" si="100"/>
        <v>00000000000000</v>
      </c>
      <c r="AB620" s="117" t="str">
        <f t="shared" si="102"/>
        <v>000000000000</v>
      </c>
      <c r="AC620" s="118">
        <f t="shared" si="103"/>
        <v>1</v>
      </c>
      <c r="AD620" s="47">
        <v>2</v>
      </c>
      <c r="AE620" s="66">
        <f t="shared" si="106"/>
        <v>0</v>
      </c>
      <c r="AF620" s="66">
        <f t="shared" si="99"/>
        <v>0</v>
      </c>
      <c r="AG620" s="67" t="str">
        <f t="shared" si="107"/>
        <v>0000000000</v>
      </c>
      <c r="AH620" s="67" t="str">
        <f t="shared" si="108"/>
        <v>.00</v>
      </c>
      <c r="AI620" s="67" t="str">
        <f t="shared" si="104"/>
        <v>00</v>
      </c>
      <c r="AJ620" s="67" t="str">
        <f t="shared" si="109"/>
        <v>000000000000</v>
      </c>
      <c r="AK620" s="119"/>
      <c r="AL620" s="120"/>
      <c r="AP620" s="115" t="str">
        <f t="shared" si="105"/>
        <v/>
      </c>
    </row>
    <row r="621" spans="1:42" x14ac:dyDescent="0.2">
      <c r="A621" s="63" t="str">
        <f t="shared" si="101"/>
        <v/>
      </c>
      <c r="B621" s="133"/>
      <c r="C621" s="133"/>
      <c r="D621" s="135"/>
      <c r="E621" s="135"/>
      <c r="F621" s="137"/>
      <c r="AA621" s="116" t="str">
        <f t="shared" si="100"/>
        <v>00000000000000</v>
      </c>
      <c r="AB621" s="117" t="str">
        <f t="shared" si="102"/>
        <v>000000000000</v>
      </c>
      <c r="AC621" s="118">
        <f t="shared" si="103"/>
        <v>1</v>
      </c>
      <c r="AD621" s="47">
        <v>2</v>
      </c>
      <c r="AE621" s="66">
        <f t="shared" si="106"/>
        <v>0</v>
      </c>
      <c r="AF621" s="66">
        <f t="shared" si="99"/>
        <v>0</v>
      </c>
      <c r="AG621" s="67" t="str">
        <f t="shared" si="107"/>
        <v>0000000000</v>
      </c>
      <c r="AH621" s="67" t="str">
        <f t="shared" si="108"/>
        <v>.00</v>
      </c>
      <c r="AI621" s="67" t="str">
        <f t="shared" si="104"/>
        <v>00</v>
      </c>
      <c r="AJ621" s="67" t="str">
        <f t="shared" si="109"/>
        <v>000000000000</v>
      </c>
      <c r="AK621" s="119"/>
      <c r="AL621" s="120"/>
      <c r="AP621" s="115" t="str">
        <f t="shared" si="105"/>
        <v/>
      </c>
    </row>
    <row r="622" spans="1:42" x14ac:dyDescent="0.2">
      <c r="A622" s="63" t="str">
        <f t="shared" si="101"/>
        <v/>
      </c>
      <c r="B622" s="133"/>
      <c r="C622" s="133"/>
      <c r="D622" s="135"/>
      <c r="E622" s="135"/>
      <c r="F622" s="137"/>
      <c r="AA622" s="116" t="str">
        <f t="shared" si="100"/>
        <v>00000000000000</v>
      </c>
      <c r="AB622" s="117" t="str">
        <f t="shared" si="102"/>
        <v>000000000000</v>
      </c>
      <c r="AC622" s="118">
        <f t="shared" si="103"/>
        <v>1</v>
      </c>
      <c r="AD622" s="47">
        <v>2</v>
      </c>
      <c r="AE622" s="66">
        <f t="shared" si="106"/>
        <v>0</v>
      </c>
      <c r="AF622" s="66">
        <f t="shared" si="99"/>
        <v>0</v>
      </c>
      <c r="AG622" s="67" t="str">
        <f t="shared" si="107"/>
        <v>0000000000</v>
      </c>
      <c r="AH622" s="67" t="str">
        <f t="shared" si="108"/>
        <v>.00</v>
      </c>
      <c r="AI622" s="67" t="str">
        <f t="shared" si="104"/>
        <v>00</v>
      </c>
      <c r="AJ622" s="67" t="str">
        <f t="shared" si="109"/>
        <v>000000000000</v>
      </c>
      <c r="AK622" s="119"/>
      <c r="AL622" s="120"/>
      <c r="AP622" s="115" t="str">
        <f t="shared" si="105"/>
        <v/>
      </c>
    </row>
    <row r="623" spans="1:42" x14ac:dyDescent="0.2">
      <c r="A623" s="63" t="str">
        <f t="shared" si="101"/>
        <v/>
      </c>
      <c r="B623" s="133"/>
      <c r="C623" s="133"/>
      <c r="D623" s="135"/>
      <c r="E623" s="135"/>
      <c r="F623" s="137"/>
      <c r="AA623" s="116" t="str">
        <f t="shared" si="100"/>
        <v>00000000000000</v>
      </c>
      <c r="AB623" s="117" t="str">
        <f t="shared" si="102"/>
        <v>000000000000</v>
      </c>
      <c r="AC623" s="118">
        <f t="shared" si="103"/>
        <v>1</v>
      </c>
      <c r="AD623" s="47">
        <v>2</v>
      </c>
      <c r="AE623" s="66">
        <f t="shared" si="106"/>
        <v>0</v>
      </c>
      <c r="AF623" s="66">
        <f t="shared" si="99"/>
        <v>0</v>
      </c>
      <c r="AG623" s="67" t="str">
        <f t="shared" si="107"/>
        <v>0000000000</v>
      </c>
      <c r="AH623" s="67" t="str">
        <f t="shared" si="108"/>
        <v>.00</v>
      </c>
      <c r="AI623" s="67" t="str">
        <f t="shared" si="104"/>
        <v>00</v>
      </c>
      <c r="AJ623" s="67" t="str">
        <f t="shared" si="109"/>
        <v>000000000000</v>
      </c>
      <c r="AK623" s="119"/>
      <c r="AL623" s="120"/>
      <c r="AP623" s="115" t="str">
        <f t="shared" si="105"/>
        <v/>
      </c>
    </row>
    <row r="624" spans="1:42" x14ac:dyDescent="0.2">
      <c r="A624" s="63" t="str">
        <f t="shared" si="101"/>
        <v/>
      </c>
      <c r="B624" s="133"/>
      <c r="C624" s="133"/>
      <c r="D624" s="135"/>
      <c r="E624" s="135"/>
      <c r="F624" s="137"/>
      <c r="AA624" s="116" t="str">
        <f t="shared" si="100"/>
        <v>00000000000000</v>
      </c>
      <c r="AB624" s="117" t="str">
        <f t="shared" si="102"/>
        <v>000000000000</v>
      </c>
      <c r="AC624" s="118">
        <f t="shared" si="103"/>
        <v>1</v>
      </c>
      <c r="AD624" s="47">
        <v>2</v>
      </c>
      <c r="AE624" s="66">
        <f t="shared" si="106"/>
        <v>0</v>
      </c>
      <c r="AF624" s="66">
        <f t="shared" si="99"/>
        <v>0</v>
      </c>
      <c r="AG624" s="67" t="str">
        <f t="shared" si="107"/>
        <v>0000000000</v>
      </c>
      <c r="AH624" s="67" t="str">
        <f t="shared" si="108"/>
        <v>.00</v>
      </c>
      <c r="AI624" s="67" t="str">
        <f t="shared" si="104"/>
        <v>00</v>
      </c>
      <c r="AJ624" s="67" t="str">
        <f t="shared" si="109"/>
        <v>000000000000</v>
      </c>
      <c r="AK624" s="119"/>
      <c r="AL624" s="120"/>
      <c r="AP624" s="115" t="str">
        <f t="shared" si="105"/>
        <v/>
      </c>
    </row>
    <row r="625" spans="1:42" x14ac:dyDescent="0.2">
      <c r="A625" s="63" t="str">
        <f t="shared" si="101"/>
        <v/>
      </c>
      <c r="B625" s="133"/>
      <c r="C625" s="133"/>
      <c r="D625" s="135"/>
      <c r="E625" s="135"/>
      <c r="F625" s="137"/>
      <c r="AA625" s="116" t="str">
        <f t="shared" si="100"/>
        <v>00000000000000</v>
      </c>
      <c r="AB625" s="117" t="str">
        <f t="shared" si="102"/>
        <v>000000000000</v>
      </c>
      <c r="AC625" s="118">
        <f t="shared" si="103"/>
        <v>1</v>
      </c>
      <c r="AD625" s="47">
        <v>2</v>
      </c>
      <c r="AE625" s="66">
        <f t="shared" si="106"/>
        <v>0</v>
      </c>
      <c r="AF625" s="66">
        <f t="shared" si="99"/>
        <v>0</v>
      </c>
      <c r="AG625" s="67" t="str">
        <f t="shared" si="107"/>
        <v>0000000000</v>
      </c>
      <c r="AH625" s="67" t="str">
        <f t="shared" si="108"/>
        <v>.00</v>
      </c>
      <c r="AI625" s="67" t="str">
        <f t="shared" si="104"/>
        <v>00</v>
      </c>
      <c r="AJ625" s="67" t="str">
        <f t="shared" si="109"/>
        <v>000000000000</v>
      </c>
      <c r="AK625" s="119"/>
      <c r="AL625" s="120"/>
      <c r="AP625" s="115" t="str">
        <f t="shared" si="105"/>
        <v/>
      </c>
    </row>
    <row r="626" spans="1:42" x14ac:dyDescent="0.2">
      <c r="A626" s="63" t="str">
        <f t="shared" si="101"/>
        <v/>
      </c>
      <c r="B626" s="133"/>
      <c r="C626" s="133"/>
      <c r="D626" s="135"/>
      <c r="E626" s="135"/>
      <c r="F626" s="137"/>
      <c r="AA626" s="116" t="str">
        <f t="shared" si="100"/>
        <v>00000000000000</v>
      </c>
      <c r="AB626" s="117" t="str">
        <f t="shared" si="102"/>
        <v>000000000000</v>
      </c>
      <c r="AC626" s="118">
        <f t="shared" si="103"/>
        <v>1</v>
      </c>
      <c r="AD626" s="47">
        <v>2</v>
      </c>
      <c r="AE626" s="66">
        <f t="shared" si="106"/>
        <v>0</v>
      </c>
      <c r="AF626" s="66">
        <f t="shared" si="99"/>
        <v>0</v>
      </c>
      <c r="AG626" s="67" t="str">
        <f t="shared" si="107"/>
        <v>0000000000</v>
      </c>
      <c r="AH626" s="67" t="str">
        <f t="shared" si="108"/>
        <v>.00</v>
      </c>
      <c r="AI626" s="67" t="str">
        <f t="shared" si="104"/>
        <v>00</v>
      </c>
      <c r="AJ626" s="67" t="str">
        <f t="shared" si="109"/>
        <v>000000000000</v>
      </c>
      <c r="AK626" s="119"/>
      <c r="AL626" s="120"/>
      <c r="AP626" s="115" t="str">
        <f t="shared" si="105"/>
        <v/>
      </c>
    </row>
    <row r="627" spans="1:42" x14ac:dyDescent="0.2">
      <c r="A627" s="63" t="str">
        <f t="shared" si="101"/>
        <v/>
      </c>
      <c r="B627" s="133"/>
      <c r="C627" s="133"/>
      <c r="D627" s="135"/>
      <c r="E627" s="135"/>
      <c r="F627" s="137"/>
      <c r="AA627" s="116" t="str">
        <f t="shared" si="100"/>
        <v>00000000000000</v>
      </c>
      <c r="AB627" s="117" t="str">
        <f t="shared" si="102"/>
        <v>000000000000</v>
      </c>
      <c r="AC627" s="118">
        <f t="shared" si="103"/>
        <v>1</v>
      </c>
      <c r="AD627" s="47">
        <v>2</v>
      </c>
      <c r="AE627" s="66">
        <f t="shared" si="106"/>
        <v>0</v>
      </c>
      <c r="AF627" s="66">
        <f t="shared" si="99"/>
        <v>0</v>
      </c>
      <c r="AG627" s="67" t="str">
        <f t="shared" si="107"/>
        <v>0000000000</v>
      </c>
      <c r="AH627" s="67" t="str">
        <f t="shared" si="108"/>
        <v>.00</v>
      </c>
      <c r="AI627" s="67" t="str">
        <f t="shared" si="104"/>
        <v>00</v>
      </c>
      <c r="AJ627" s="67" t="str">
        <f t="shared" si="109"/>
        <v>000000000000</v>
      </c>
      <c r="AK627" s="119"/>
      <c r="AL627" s="120"/>
      <c r="AP627" s="115" t="str">
        <f t="shared" si="105"/>
        <v/>
      </c>
    </row>
    <row r="628" spans="1:42" x14ac:dyDescent="0.2">
      <c r="A628" s="63" t="str">
        <f t="shared" si="101"/>
        <v/>
      </c>
      <c r="B628" s="133"/>
      <c r="C628" s="133"/>
      <c r="D628" s="135"/>
      <c r="E628" s="135"/>
      <c r="F628" s="137"/>
      <c r="AA628" s="116" t="str">
        <f t="shared" si="100"/>
        <v>00000000000000</v>
      </c>
      <c r="AB628" s="117" t="str">
        <f t="shared" si="102"/>
        <v>000000000000</v>
      </c>
      <c r="AC628" s="118">
        <f t="shared" si="103"/>
        <v>1</v>
      </c>
      <c r="AD628" s="47">
        <v>2</v>
      </c>
      <c r="AE628" s="66">
        <f t="shared" si="106"/>
        <v>0</v>
      </c>
      <c r="AF628" s="66">
        <f t="shared" si="99"/>
        <v>0</v>
      </c>
      <c r="AG628" s="67" t="str">
        <f t="shared" si="107"/>
        <v>0000000000</v>
      </c>
      <c r="AH628" s="67" t="str">
        <f t="shared" si="108"/>
        <v>.00</v>
      </c>
      <c r="AI628" s="67" t="str">
        <f t="shared" si="104"/>
        <v>00</v>
      </c>
      <c r="AJ628" s="67" t="str">
        <f t="shared" si="109"/>
        <v>000000000000</v>
      </c>
      <c r="AK628" s="119"/>
      <c r="AL628" s="120"/>
      <c r="AP628" s="115" t="str">
        <f t="shared" si="105"/>
        <v/>
      </c>
    </row>
    <row r="629" spans="1:42" x14ac:dyDescent="0.2">
      <c r="A629" s="63" t="str">
        <f t="shared" si="101"/>
        <v/>
      </c>
      <c r="B629" s="133"/>
      <c r="C629" s="133"/>
      <c r="D629" s="135"/>
      <c r="E629" s="135"/>
      <c r="F629" s="137"/>
      <c r="AA629" s="116" t="str">
        <f t="shared" si="100"/>
        <v>00000000000000</v>
      </c>
      <c r="AB629" s="117" t="str">
        <f t="shared" si="102"/>
        <v>000000000000</v>
      </c>
      <c r="AC629" s="118">
        <f t="shared" si="103"/>
        <v>1</v>
      </c>
      <c r="AD629" s="47">
        <v>2</v>
      </c>
      <c r="AE629" s="66">
        <f t="shared" si="106"/>
        <v>0</v>
      </c>
      <c r="AF629" s="66">
        <f t="shared" si="99"/>
        <v>0</v>
      </c>
      <c r="AG629" s="67" t="str">
        <f t="shared" si="107"/>
        <v>0000000000</v>
      </c>
      <c r="AH629" s="67" t="str">
        <f t="shared" si="108"/>
        <v>.00</v>
      </c>
      <c r="AI629" s="67" t="str">
        <f t="shared" si="104"/>
        <v>00</v>
      </c>
      <c r="AJ629" s="67" t="str">
        <f t="shared" si="109"/>
        <v>000000000000</v>
      </c>
      <c r="AK629" s="119"/>
      <c r="AL629" s="120"/>
      <c r="AP629" s="115" t="str">
        <f t="shared" si="105"/>
        <v/>
      </c>
    </row>
    <row r="630" spans="1:42" x14ac:dyDescent="0.2">
      <c r="A630" s="63" t="str">
        <f t="shared" si="101"/>
        <v/>
      </c>
      <c r="B630" s="133"/>
      <c r="C630" s="133"/>
      <c r="D630" s="135"/>
      <c r="E630" s="135"/>
      <c r="F630" s="137"/>
      <c r="AA630" s="116" t="str">
        <f t="shared" si="100"/>
        <v>00000000000000</v>
      </c>
      <c r="AB630" s="117" t="str">
        <f t="shared" si="102"/>
        <v>000000000000</v>
      </c>
      <c r="AC630" s="118">
        <f t="shared" si="103"/>
        <v>1</v>
      </c>
      <c r="AD630" s="47">
        <v>2</v>
      </c>
      <c r="AE630" s="66">
        <f t="shared" si="106"/>
        <v>0</v>
      </c>
      <c r="AF630" s="66">
        <f t="shared" si="99"/>
        <v>0</v>
      </c>
      <c r="AG630" s="67" t="str">
        <f t="shared" si="107"/>
        <v>0000000000</v>
      </c>
      <c r="AH630" s="67" t="str">
        <f t="shared" si="108"/>
        <v>.00</v>
      </c>
      <c r="AI630" s="67" t="str">
        <f t="shared" si="104"/>
        <v>00</v>
      </c>
      <c r="AJ630" s="67" t="str">
        <f t="shared" si="109"/>
        <v>000000000000</v>
      </c>
      <c r="AK630" s="119"/>
      <c r="AL630" s="120"/>
      <c r="AP630" s="115" t="str">
        <f t="shared" si="105"/>
        <v/>
      </c>
    </row>
    <row r="631" spans="1:42" x14ac:dyDescent="0.2">
      <c r="A631" s="63" t="str">
        <f t="shared" si="101"/>
        <v/>
      </c>
      <c r="B631" s="133"/>
      <c r="C631" s="133"/>
      <c r="D631" s="135"/>
      <c r="E631" s="135"/>
      <c r="F631" s="137"/>
      <c r="AA631" s="116" t="str">
        <f t="shared" si="100"/>
        <v>00000000000000</v>
      </c>
      <c r="AB631" s="117" t="str">
        <f t="shared" si="102"/>
        <v>000000000000</v>
      </c>
      <c r="AC631" s="118">
        <f t="shared" si="103"/>
        <v>1</v>
      </c>
      <c r="AD631" s="47">
        <v>2</v>
      </c>
      <c r="AE631" s="66">
        <f t="shared" si="106"/>
        <v>0</v>
      </c>
      <c r="AF631" s="66">
        <f t="shared" si="99"/>
        <v>0</v>
      </c>
      <c r="AG631" s="67" t="str">
        <f t="shared" si="107"/>
        <v>0000000000</v>
      </c>
      <c r="AH631" s="67" t="str">
        <f t="shared" si="108"/>
        <v>.00</v>
      </c>
      <c r="AI631" s="67" t="str">
        <f t="shared" si="104"/>
        <v>00</v>
      </c>
      <c r="AJ631" s="67" t="str">
        <f t="shared" si="109"/>
        <v>000000000000</v>
      </c>
      <c r="AK631" s="119"/>
      <c r="AL631" s="120"/>
      <c r="AP631" s="115" t="str">
        <f t="shared" si="105"/>
        <v/>
      </c>
    </row>
    <row r="632" spans="1:42" x14ac:dyDescent="0.2">
      <c r="A632" s="63" t="str">
        <f t="shared" si="101"/>
        <v/>
      </c>
      <c r="B632" s="133"/>
      <c r="C632" s="133"/>
      <c r="D632" s="135"/>
      <c r="E632" s="135"/>
      <c r="F632" s="137"/>
      <c r="AA632" s="116" t="str">
        <f t="shared" si="100"/>
        <v>00000000000000</v>
      </c>
      <c r="AB632" s="117" t="str">
        <f t="shared" si="102"/>
        <v>000000000000</v>
      </c>
      <c r="AC632" s="118">
        <f t="shared" si="103"/>
        <v>1</v>
      </c>
      <c r="AD632" s="47">
        <v>2</v>
      </c>
      <c r="AE632" s="66">
        <f t="shared" si="106"/>
        <v>0</v>
      </c>
      <c r="AF632" s="66">
        <f t="shared" si="99"/>
        <v>0</v>
      </c>
      <c r="AG632" s="67" t="str">
        <f t="shared" si="107"/>
        <v>0000000000</v>
      </c>
      <c r="AH632" s="67" t="str">
        <f t="shared" si="108"/>
        <v>.00</v>
      </c>
      <c r="AI632" s="67" t="str">
        <f t="shared" si="104"/>
        <v>00</v>
      </c>
      <c r="AJ632" s="67" t="str">
        <f t="shared" si="109"/>
        <v>000000000000</v>
      </c>
      <c r="AK632" s="119"/>
      <c r="AL632" s="120"/>
      <c r="AP632" s="115" t="str">
        <f t="shared" si="105"/>
        <v/>
      </c>
    </row>
    <row r="633" spans="1:42" x14ac:dyDescent="0.2">
      <c r="A633" s="63" t="str">
        <f t="shared" si="101"/>
        <v/>
      </c>
      <c r="B633" s="133"/>
      <c r="C633" s="133"/>
      <c r="D633" s="135"/>
      <c r="E633" s="135"/>
      <c r="F633" s="137"/>
      <c r="AA633" s="116" t="str">
        <f t="shared" si="100"/>
        <v>00000000000000</v>
      </c>
      <c r="AB633" s="117" t="str">
        <f t="shared" si="102"/>
        <v>000000000000</v>
      </c>
      <c r="AC633" s="118">
        <f t="shared" si="103"/>
        <v>1</v>
      </c>
      <c r="AD633" s="47">
        <v>2</v>
      </c>
      <c r="AE633" s="66">
        <f t="shared" si="106"/>
        <v>0</v>
      </c>
      <c r="AF633" s="66">
        <f t="shared" si="99"/>
        <v>0</v>
      </c>
      <c r="AG633" s="67" t="str">
        <f t="shared" si="107"/>
        <v>0000000000</v>
      </c>
      <c r="AH633" s="67" t="str">
        <f t="shared" si="108"/>
        <v>.00</v>
      </c>
      <c r="AI633" s="67" t="str">
        <f t="shared" si="104"/>
        <v>00</v>
      </c>
      <c r="AJ633" s="67" t="str">
        <f t="shared" si="109"/>
        <v>000000000000</v>
      </c>
      <c r="AK633" s="119"/>
      <c r="AL633" s="120"/>
      <c r="AP633" s="115" t="str">
        <f t="shared" si="105"/>
        <v/>
      </c>
    </row>
    <row r="634" spans="1:42" x14ac:dyDescent="0.2">
      <c r="A634" s="63" t="str">
        <f t="shared" si="101"/>
        <v/>
      </c>
      <c r="B634" s="133"/>
      <c r="C634" s="133"/>
      <c r="D634" s="135"/>
      <c r="E634" s="135"/>
      <c r="F634" s="137"/>
      <c r="AA634" s="116" t="str">
        <f t="shared" si="100"/>
        <v>00000000000000</v>
      </c>
      <c r="AB634" s="117" t="str">
        <f t="shared" si="102"/>
        <v>000000000000</v>
      </c>
      <c r="AC634" s="118">
        <f t="shared" si="103"/>
        <v>1</v>
      </c>
      <c r="AD634" s="47">
        <v>2</v>
      </c>
      <c r="AE634" s="66">
        <f t="shared" si="106"/>
        <v>0</v>
      </c>
      <c r="AF634" s="66">
        <f t="shared" si="99"/>
        <v>0</v>
      </c>
      <c r="AG634" s="67" t="str">
        <f t="shared" si="107"/>
        <v>0000000000</v>
      </c>
      <c r="AH634" s="67" t="str">
        <f t="shared" si="108"/>
        <v>.00</v>
      </c>
      <c r="AI634" s="67" t="str">
        <f t="shared" si="104"/>
        <v>00</v>
      </c>
      <c r="AJ634" s="67" t="str">
        <f t="shared" si="109"/>
        <v>000000000000</v>
      </c>
      <c r="AK634" s="119"/>
      <c r="AL634" s="120"/>
      <c r="AP634" s="115" t="str">
        <f t="shared" si="105"/>
        <v/>
      </c>
    </row>
    <row r="635" spans="1:42" x14ac:dyDescent="0.2">
      <c r="A635" s="63" t="str">
        <f t="shared" si="101"/>
        <v/>
      </c>
      <c r="B635" s="133"/>
      <c r="C635" s="133"/>
      <c r="D635" s="135"/>
      <c r="E635" s="135"/>
      <c r="F635" s="137"/>
      <c r="AA635" s="116" t="str">
        <f t="shared" si="100"/>
        <v>00000000000000</v>
      </c>
      <c r="AB635" s="117" t="str">
        <f t="shared" si="102"/>
        <v>000000000000</v>
      </c>
      <c r="AC635" s="118">
        <f t="shared" si="103"/>
        <v>1</v>
      </c>
      <c r="AD635" s="47">
        <v>2</v>
      </c>
      <c r="AE635" s="66">
        <f t="shared" si="106"/>
        <v>0</v>
      </c>
      <c r="AF635" s="66">
        <f t="shared" si="99"/>
        <v>0</v>
      </c>
      <c r="AG635" s="67" t="str">
        <f t="shared" si="107"/>
        <v>0000000000</v>
      </c>
      <c r="AH635" s="67" t="str">
        <f t="shared" si="108"/>
        <v>.00</v>
      </c>
      <c r="AI635" s="67" t="str">
        <f t="shared" si="104"/>
        <v>00</v>
      </c>
      <c r="AJ635" s="67" t="str">
        <f t="shared" si="109"/>
        <v>000000000000</v>
      </c>
      <c r="AK635" s="119"/>
      <c r="AL635" s="120"/>
      <c r="AP635" s="115" t="str">
        <f t="shared" si="105"/>
        <v/>
      </c>
    </row>
    <row r="636" spans="1:42" x14ac:dyDescent="0.2">
      <c r="A636" s="63" t="str">
        <f t="shared" si="101"/>
        <v/>
      </c>
      <c r="B636" s="133"/>
      <c r="C636" s="133"/>
      <c r="D636" s="135"/>
      <c r="E636" s="135"/>
      <c r="F636" s="137"/>
      <c r="AA636" s="116" t="str">
        <f t="shared" si="100"/>
        <v>00000000000000</v>
      </c>
      <c r="AB636" s="117" t="str">
        <f t="shared" si="102"/>
        <v>000000000000</v>
      </c>
      <c r="AC636" s="118">
        <f t="shared" si="103"/>
        <v>1</v>
      </c>
      <c r="AD636" s="47">
        <v>2</v>
      </c>
      <c r="AE636" s="66">
        <f t="shared" si="106"/>
        <v>0</v>
      </c>
      <c r="AF636" s="66">
        <f t="shared" si="99"/>
        <v>0</v>
      </c>
      <c r="AG636" s="67" t="str">
        <f t="shared" si="107"/>
        <v>0000000000</v>
      </c>
      <c r="AH636" s="67" t="str">
        <f t="shared" si="108"/>
        <v>.00</v>
      </c>
      <c r="AI636" s="67" t="str">
        <f t="shared" si="104"/>
        <v>00</v>
      </c>
      <c r="AJ636" s="67" t="str">
        <f t="shared" si="109"/>
        <v>000000000000</v>
      </c>
      <c r="AK636" s="119"/>
      <c r="AL636" s="120"/>
      <c r="AP636" s="115" t="str">
        <f t="shared" si="105"/>
        <v/>
      </c>
    </row>
    <row r="637" spans="1:42" x14ac:dyDescent="0.2">
      <c r="A637" s="63" t="str">
        <f t="shared" si="101"/>
        <v/>
      </c>
      <c r="B637" s="133"/>
      <c r="C637" s="133"/>
      <c r="D637" s="135"/>
      <c r="E637" s="135"/>
      <c r="F637" s="137"/>
      <c r="AA637" s="116" t="str">
        <f t="shared" si="100"/>
        <v>00000000000000</v>
      </c>
      <c r="AB637" s="117" t="str">
        <f t="shared" si="102"/>
        <v>000000000000</v>
      </c>
      <c r="AC637" s="118">
        <f t="shared" si="103"/>
        <v>1</v>
      </c>
      <c r="AD637" s="47">
        <v>2</v>
      </c>
      <c r="AE637" s="66">
        <f t="shared" si="106"/>
        <v>0</v>
      </c>
      <c r="AF637" s="66">
        <f t="shared" si="99"/>
        <v>0</v>
      </c>
      <c r="AG637" s="67" t="str">
        <f t="shared" si="107"/>
        <v>0000000000</v>
      </c>
      <c r="AH637" s="67" t="str">
        <f t="shared" si="108"/>
        <v>.00</v>
      </c>
      <c r="AI637" s="67" t="str">
        <f t="shared" si="104"/>
        <v>00</v>
      </c>
      <c r="AJ637" s="67" t="str">
        <f t="shared" si="109"/>
        <v>000000000000</v>
      </c>
      <c r="AK637" s="119"/>
      <c r="AL637" s="120"/>
      <c r="AP637" s="115" t="str">
        <f t="shared" si="105"/>
        <v/>
      </c>
    </row>
    <row r="638" spans="1:42" x14ac:dyDescent="0.2">
      <c r="A638" s="63" t="str">
        <f t="shared" si="101"/>
        <v/>
      </c>
      <c r="B638" s="133"/>
      <c r="C638" s="133"/>
      <c r="D638" s="135"/>
      <c r="E638" s="135"/>
      <c r="F638" s="137"/>
      <c r="AA638" s="116" t="str">
        <f t="shared" si="100"/>
        <v>00000000000000</v>
      </c>
      <c r="AB638" s="117" t="str">
        <f t="shared" si="102"/>
        <v>000000000000</v>
      </c>
      <c r="AC638" s="118">
        <f t="shared" si="103"/>
        <v>1</v>
      </c>
      <c r="AD638" s="47">
        <v>2</v>
      </c>
      <c r="AE638" s="66">
        <f t="shared" si="106"/>
        <v>0</v>
      </c>
      <c r="AF638" s="66">
        <f t="shared" si="99"/>
        <v>0</v>
      </c>
      <c r="AG638" s="67" t="str">
        <f t="shared" si="107"/>
        <v>0000000000</v>
      </c>
      <c r="AH638" s="67" t="str">
        <f t="shared" si="108"/>
        <v>.00</v>
      </c>
      <c r="AI638" s="67" t="str">
        <f t="shared" si="104"/>
        <v>00</v>
      </c>
      <c r="AJ638" s="67" t="str">
        <f t="shared" si="109"/>
        <v>000000000000</v>
      </c>
      <c r="AK638" s="119"/>
      <c r="AL638" s="120"/>
      <c r="AP638" s="115" t="str">
        <f t="shared" si="105"/>
        <v/>
      </c>
    </row>
    <row r="639" spans="1:42" x14ac:dyDescent="0.2">
      <c r="A639" s="63" t="str">
        <f t="shared" si="101"/>
        <v/>
      </c>
      <c r="B639" s="133"/>
      <c r="C639" s="133"/>
      <c r="D639" s="135"/>
      <c r="E639" s="135"/>
      <c r="F639" s="137"/>
      <c r="AA639" s="116" t="str">
        <f t="shared" si="100"/>
        <v>00000000000000</v>
      </c>
      <c r="AB639" s="117" t="str">
        <f t="shared" si="102"/>
        <v>000000000000</v>
      </c>
      <c r="AC639" s="118">
        <f t="shared" si="103"/>
        <v>1</v>
      </c>
      <c r="AD639" s="47">
        <v>2</v>
      </c>
      <c r="AE639" s="66">
        <f t="shared" si="106"/>
        <v>0</v>
      </c>
      <c r="AF639" s="66">
        <f t="shared" si="99"/>
        <v>0</v>
      </c>
      <c r="AG639" s="67" t="str">
        <f t="shared" si="107"/>
        <v>0000000000</v>
      </c>
      <c r="AH639" s="67" t="str">
        <f t="shared" si="108"/>
        <v>.00</v>
      </c>
      <c r="AI639" s="67" t="str">
        <f t="shared" si="104"/>
        <v>00</v>
      </c>
      <c r="AJ639" s="67" t="str">
        <f t="shared" si="109"/>
        <v>000000000000</v>
      </c>
      <c r="AK639" s="119"/>
      <c r="AL639" s="120"/>
      <c r="AP639" s="115" t="str">
        <f t="shared" si="105"/>
        <v/>
      </c>
    </row>
    <row r="640" spans="1:42" x14ac:dyDescent="0.2">
      <c r="A640" s="63" t="str">
        <f t="shared" si="101"/>
        <v/>
      </c>
      <c r="B640" s="133"/>
      <c r="C640" s="133"/>
      <c r="D640" s="135"/>
      <c r="E640" s="135"/>
      <c r="F640" s="137"/>
      <c r="AA640" s="116" t="str">
        <f t="shared" si="100"/>
        <v>00000000000000</v>
      </c>
      <c r="AB640" s="117" t="str">
        <f t="shared" si="102"/>
        <v>000000000000</v>
      </c>
      <c r="AC640" s="118">
        <f t="shared" si="103"/>
        <v>1</v>
      </c>
      <c r="AD640" s="47">
        <v>2</v>
      </c>
      <c r="AE640" s="66">
        <f t="shared" si="106"/>
        <v>0</v>
      </c>
      <c r="AF640" s="66">
        <f t="shared" si="99"/>
        <v>0</v>
      </c>
      <c r="AG640" s="67" t="str">
        <f t="shared" si="107"/>
        <v>0000000000</v>
      </c>
      <c r="AH640" s="67" t="str">
        <f t="shared" si="108"/>
        <v>.00</v>
      </c>
      <c r="AI640" s="67" t="str">
        <f t="shared" si="104"/>
        <v>00</v>
      </c>
      <c r="AJ640" s="67" t="str">
        <f t="shared" si="109"/>
        <v>000000000000</v>
      </c>
      <c r="AK640" s="119"/>
      <c r="AL640" s="120"/>
      <c r="AP640" s="115" t="str">
        <f t="shared" si="105"/>
        <v/>
      </c>
    </row>
    <row r="641" spans="1:42" x14ac:dyDescent="0.2">
      <c r="A641" s="63" t="str">
        <f t="shared" si="101"/>
        <v/>
      </c>
      <c r="B641" s="133"/>
      <c r="C641" s="133"/>
      <c r="D641" s="135"/>
      <c r="E641" s="135"/>
      <c r="F641" s="137"/>
      <c r="AA641" s="116" t="str">
        <f t="shared" si="100"/>
        <v>00000000000000</v>
      </c>
      <c r="AB641" s="117" t="str">
        <f t="shared" si="102"/>
        <v>000000000000</v>
      </c>
      <c r="AC641" s="118">
        <f t="shared" si="103"/>
        <v>1</v>
      </c>
      <c r="AD641" s="47">
        <v>2</v>
      </c>
      <c r="AE641" s="66">
        <f t="shared" si="106"/>
        <v>0</v>
      </c>
      <c r="AF641" s="66">
        <f t="shared" si="99"/>
        <v>0</v>
      </c>
      <c r="AG641" s="67" t="str">
        <f t="shared" si="107"/>
        <v>0000000000</v>
      </c>
      <c r="AH641" s="67" t="str">
        <f t="shared" si="108"/>
        <v>.00</v>
      </c>
      <c r="AI641" s="67" t="str">
        <f t="shared" si="104"/>
        <v>00</v>
      </c>
      <c r="AJ641" s="67" t="str">
        <f t="shared" si="109"/>
        <v>000000000000</v>
      </c>
      <c r="AK641" s="119"/>
      <c r="AL641" s="120"/>
      <c r="AP641" s="115" t="str">
        <f t="shared" si="105"/>
        <v/>
      </c>
    </row>
    <row r="642" spans="1:42" x14ac:dyDescent="0.2">
      <c r="A642" s="63" t="str">
        <f t="shared" si="101"/>
        <v/>
      </c>
      <c r="B642" s="133"/>
      <c r="C642" s="133"/>
      <c r="D642" s="135"/>
      <c r="E642" s="135"/>
      <c r="F642" s="137"/>
      <c r="AA642" s="116" t="str">
        <f t="shared" si="100"/>
        <v>00000000000000</v>
      </c>
      <c r="AB642" s="117" t="str">
        <f t="shared" si="102"/>
        <v>000000000000</v>
      </c>
      <c r="AC642" s="118">
        <f t="shared" si="103"/>
        <v>1</v>
      </c>
      <c r="AD642" s="47">
        <v>2</v>
      </c>
      <c r="AE642" s="66">
        <f t="shared" si="106"/>
        <v>0</v>
      </c>
      <c r="AF642" s="66">
        <f t="shared" si="99"/>
        <v>0</v>
      </c>
      <c r="AG642" s="67" t="str">
        <f t="shared" si="107"/>
        <v>0000000000</v>
      </c>
      <c r="AH642" s="67" t="str">
        <f t="shared" si="108"/>
        <v>.00</v>
      </c>
      <c r="AI642" s="67" t="str">
        <f t="shared" si="104"/>
        <v>00</v>
      </c>
      <c r="AJ642" s="67" t="str">
        <f t="shared" si="109"/>
        <v>000000000000</v>
      </c>
      <c r="AK642" s="119"/>
      <c r="AL642" s="120"/>
      <c r="AP642" s="115" t="str">
        <f t="shared" si="105"/>
        <v/>
      </c>
    </row>
    <row r="643" spans="1:42" x14ac:dyDescent="0.2">
      <c r="A643" s="63" t="str">
        <f t="shared" si="101"/>
        <v/>
      </c>
      <c r="B643" s="133"/>
      <c r="C643" s="133"/>
      <c r="D643" s="135"/>
      <c r="E643" s="135"/>
      <c r="F643" s="137"/>
      <c r="AA643" s="116" t="str">
        <f t="shared" si="100"/>
        <v>00000000000000</v>
      </c>
      <c r="AB643" s="117" t="str">
        <f t="shared" si="102"/>
        <v>000000000000</v>
      </c>
      <c r="AC643" s="118">
        <f t="shared" si="103"/>
        <v>1</v>
      </c>
      <c r="AD643" s="47">
        <v>2</v>
      </c>
      <c r="AE643" s="66">
        <f t="shared" si="106"/>
        <v>0</v>
      </c>
      <c r="AF643" s="66">
        <f t="shared" ref="AF643:AF706" si="110">F643-AE643</f>
        <v>0</v>
      </c>
      <c r="AG643" s="67" t="str">
        <f t="shared" si="107"/>
        <v>0000000000</v>
      </c>
      <c r="AH643" s="67" t="str">
        <f t="shared" si="108"/>
        <v>.00</v>
      </c>
      <c r="AI643" s="67" t="str">
        <f t="shared" si="104"/>
        <v>00</v>
      </c>
      <c r="AJ643" s="67" t="str">
        <f t="shared" si="109"/>
        <v>000000000000</v>
      </c>
      <c r="AK643" s="119"/>
      <c r="AL643" s="120"/>
      <c r="AP643" s="115" t="str">
        <f t="shared" si="105"/>
        <v/>
      </c>
    </row>
    <row r="644" spans="1:42" x14ac:dyDescent="0.2">
      <c r="A644" s="63" t="str">
        <f t="shared" si="101"/>
        <v/>
      </c>
      <c r="B644" s="133"/>
      <c r="C644" s="133"/>
      <c r="D644" s="135"/>
      <c r="E644" s="135"/>
      <c r="F644" s="137"/>
      <c r="AA644" s="116" t="str">
        <f t="shared" ref="AA644:AA707" si="111">CONCATENATE(REPT("0",14-LEN(B644)),B644)</f>
        <v>00000000000000</v>
      </c>
      <c r="AB644" s="117" t="str">
        <f t="shared" si="102"/>
        <v>000000000000</v>
      </c>
      <c r="AC644" s="118">
        <f t="shared" si="103"/>
        <v>1</v>
      </c>
      <c r="AD644" s="47">
        <v>2</v>
      </c>
      <c r="AE644" s="66">
        <f t="shared" si="106"/>
        <v>0</v>
      </c>
      <c r="AF644" s="66">
        <f t="shared" si="110"/>
        <v>0</v>
      </c>
      <c r="AG644" s="67" t="str">
        <f t="shared" si="107"/>
        <v>0000000000</v>
      </c>
      <c r="AH644" s="67" t="str">
        <f t="shared" si="108"/>
        <v>.00</v>
      </c>
      <c r="AI644" s="67" t="str">
        <f t="shared" si="104"/>
        <v>00</v>
      </c>
      <c r="AJ644" s="67" t="str">
        <f t="shared" si="109"/>
        <v>000000000000</v>
      </c>
      <c r="AK644" s="119"/>
      <c r="AL644" s="120"/>
      <c r="AP644" s="115" t="str">
        <f t="shared" si="105"/>
        <v/>
      </c>
    </row>
    <row r="645" spans="1:42" x14ac:dyDescent="0.2">
      <c r="A645" s="63" t="str">
        <f t="shared" ref="A645:A708" si="112">IF(B645&lt;&gt;"",A644+1,"")</f>
        <v/>
      </c>
      <c r="B645" s="133"/>
      <c r="C645" s="133"/>
      <c r="D645" s="135"/>
      <c r="E645" s="135"/>
      <c r="F645" s="137"/>
      <c r="AA645" s="116" t="str">
        <f t="shared" si="111"/>
        <v>00000000000000</v>
      </c>
      <c r="AB645" s="117" t="str">
        <f t="shared" ref="AB645:AB708" si="113">CONCATENATE(REPT("0",12-LEN(C645)),C645)</f>
        <v>000000000000</v>
      </c>
      <c r="AC645" s="118">
        <f t="shared" ref="AC645:AC708" si="114">AC644</f>
        <v>1</v>
      </c>
      <c r="AD645" s="47">
        <v>2</v>
      </c>
      <c r="AE645" s="66">
        <f t="shared" si="106"/>
        <v>0</v>
      </c>
      <c r="AF645" s="66">
        <f t="shared" si="110"/>
        <v>0</v>
      </c>
      <c r="AG645" s="67" t="str">
        <f t="shared" si="107"/>
        <v>0000000000</v>
      </c>
      <c r="AH645" s="67" t="str">
        <f t="shared" si="108"/>
        <v>.00</v>
      </c>
      <c r="AI645" s="67" t="str">
        <f t="shared" ref="AI645:AI708" si="115">MID(AH645,2,2)</f>
        <v>00</v>
      </c>
      <c r="AJ645" s="67" t="str">
        <f t="shared" si="109"/>
        <v>000000000000</v>
      </c>
      <c r="AK645" s="119"/>
      <c r="AL645" s="120"/>
      <c r="AP645" s="115" t="str">
        <f t="shared" si="105"/>
        <v/>
      </c>
    </row>
    <row r="646" spans="1:42" x14ac:dyDescent="0.2">
      <c r="A646" s="63" t="str">
        <f t="shared" si="112"/>
        <v/>
      </c>
      <c r="B646" s="133"/>
      <c r="C646" s="133"/>
      <c r="D646" s="135"/>
      <c r="E646" s="135"/>
      <c r="F646" s="137"/>
      <c r="AA646" s="116" t="str">
        <f t="shared" si="111"/>
        <v>00000000000000</v>
      </c>
      <c r="AB646" s="117" t="str">
        <f t="shared" si="113"/>
        <v>000000000000</v>
      </c>
      <c r="AC646" s="118">
        <f t="shared" si="114"/>
        <v>1</v>
      </c>
      <c r="AD646" s="47">
        <v>2</v>
      </c>
      <c r="AE646" s="66">
        <f t="shared" si="106"/>
        <v>0</v>
      </c>
      <c r="AF646" s="66">
        <f t="shared" si="110"/>
        <v>0</v>
      </c>
      <c r="AG646" s="67" t="str">
        <f t="shared" si="107"/>
        <v>0000000000</v>
      </c>
      <c r="AH646" s="67" t="str">
        <f t="shared" si="108"/>
        <v>.00</v>
      </c>
      <c r="AI646" s="67" t="str">
        <f t="shared" si="115"/>
        <v>00</v>
      </c>
      <c r="AJ646" s="67" t="str">
        <f t="shared" si="109"/>
        <v>000000000000</v>
      </c>
      <c r="AK646" s="119"/>
      <c r="AL646" s="120"/>
      <c r="AP646" s="115" t="str">
        <f t="shared" ref="AP646:AP709" si="116">IF(B647&lt;&gt;"",CONCATENATE("00000",$AD$1,AA647,$AC$3,"2",AB647,AJ647,$AL$3,"0                                                  "),"")</f>
        <v/>
      </c>
    </row>
    <row r="647" spans="1:42" x14ac:dyDescent="0.2">
      <c r="A647" s="63" t="str">
        <f t="shared" si="112"/>
        <v/>
      </c>
      <c r="B647" s="133"/>
      <c r="C647" s="133"/>
      <c r="D647" s="135"/>
      <c r="E647" s="135"/>
      <c r="F647" s="137"/>
      <c r="AA647" s="116" t="str">
        <f t="shared" si="111"/>
        <v>00000000000000</v>
      </c>
      <c r="AB647" s="117" t="str">
        <f t="shared" si="113"/>
        <v>000000000000</v>
      </c>
      <c r="AC647" s="118">
        <f t="shared" si="114"/>
        <v>1</v>
      </c>
      <c r="AD647" s="47">
        <v>2</v>
      </c>
      <c r="AE647" s="66">
        <f t="shared" si="106"/>
        <v>0</v>
      </c>
      <c r="AF647" s="66">
        <f t="shared" si="110"/>
        <v>0</v>
      </c>
      <c r="AG647" s="67" t="str">
        <f t="shared" si="107"/>
        <v>0000000000</v>
      </c>
      <c r="AH647" s="67" t="str">
        <f t="shared" si="108"/>
        <v>.00</v>
      </c>
      <c r="AI647" s="67" t="str">
        <f t="shared" si="115"/>
        <v>00</v>
      </c>
      <c r="AJ647" s="67" t="str">
        <f t="shared" si="109"/>
        <v>000000000000</v>
      </c>
      <c r="AK647" s="119"/>
      <c r="AL647" s="120"/>
      <c r="AP647" s="115" t="str">
        <f t="shared" si="116"/>
        <v/>
      </c>
    </row>
    <row r="648" spans="1:42" x14ac:dyDescent="0.2">
      <c r="A648" s="63" t="str">
        <f t="shared" si="112"/>
        <v/>
      </c>
      <c r="B648" s="133"/>
      <c r="C648" s="133"/>
      <c r="D648" s="135"/>
      <c r="E648" s="135"/>
      <c r="F648" s="137"/>
      <c r="AA648" s="116" t="str">
        <f t="shared" si="111"/>
        <v>00000000000000</v>
      </c>
      <c r="AB648" s="117" t="str">
        <f t="shared" si="113"/>
        <v>000000000000</v>
      </c>
      <c r="AC648" s="118">
        <f t="shared" si="114"/>
        <v>1</v>
      </c>
      <c r="AD648" s="47">
        <v>2</v>
      </c>
      <c r="AE648" s="66">
        <f t="shared" ref="AE648:AE711" si="117">INT(F648)</f>
        <v>0</v>
      </c>
      <c r="AF648" s="66">
        <f t="shared" si="110"/>
        <v>0</v>
      </c>
      <c r="AG648" s="67" t="str">
        <f t="shared" ref="AG648:AG711" si="118">TEXT(AE648,"0000000000")</f>
        <v>0000000000</v>
      </c>
      <c r="AH648" s="67" t="str">
        <f t="shared" ref="AH648:AH711" si="119">TEXT(AF648,".00")</f>
        <v>.00</v>
      </c>
      <c r="AI648" s="67" t="str">
        <f t="shared" si="115"/>
        <v>00</v>
      </c>
      <c r="AJ648" s="67" t="str">
        <f t="shared" ref="AJ648:AJ711" si="120">CONCATENATE(AG648,AI648)</f>
        <v>000000000000</v>
      </c>
      <c r="AK648" s="119"/>
      <c r="AL648" s="120"/>
      <c r="AP648" s="115" t="str">
        <f t="shared" si="116"/>
        <v/>
      </c>
    </row>
    <row r="649" spans="1:42" x14ac:dyDescent="0.2">
      <c r="A649" s="63" t="str">
        <f t="shared" si="112"/>
        <v/>
      </c>
      <c r="B649" s="133"/>
      <c r="C649" s="133"/>
      <c r="D649" s="135"/>
      <c r="E649" s="135"/>
      <c r="F649" s="137"/>
      <c r="AA649" s="116" t="str">
        <f t="shared" si="111"/>
        <v>00000000000000</v>
      </c>
      <c r="AB649" s="117" t="str">
        <f t="shared" si="113"/>
        <v>000000000000</v>
      </c>
      <c r="AC649" s="118">
        <f t="shared" si="114"/>
        <v>1</v>
      </c>
      <c r="AD649" s="47">
        <v>2</v>
      </c>
      <c r="AE649" s="66">
        <f t="shared" si="117"/>
        <v>0</v>
      </c>
      <c r="AF649" s="66">
        <f t="shared" si="110"/>
        <v>0</v>
      </c>
      <c r="AG649" s="67" t="str">
        <f t="shared" si="118"/>
        <v>0000000000</v>
      </c>
      <c r="AH649" s="67" t="str">
        <f t="shared" si="119"/>
        <v>.00</v>
      </c>
      <c r="AI649" s="67" t="str">
        <f t="shared" si="115"/>
        <v>00</v>
      </c>
      <c r="AJ649" s="67" t="str">
        <f t="shared" si="120"/>
        <v>000000000000</v>
      </c>
      <c r="AK649" s="119"/>
      <c r="AL649" s="120"/>
      <c r="AP649" s="115" t="str">
        <f t="shared" si="116"/>
        <v/>
      </c>
    </row>
    <row r="650" spans="1:42" x14ac:dyDescent="0.2">
      <c r="A650" s="63" t="str">
        <f t="shared" si="112"/>
        <v/>
      </c>
      <c r="B650" s="133"/>
      <c r="C650" s="133"/>
      <c r="D650" s="135"/>
      <c r="E650" s="135"/>
      <c r="F650" s="137"/>
      <c r="AA650" s="116" t="str">
        <f t="shared" si="111"/>
        <v>00000000000000</v>
      </c>
      <c r="AB650" s="117" t="str">
        <f t="shared" si="113"/>
        <v>000000000000</v>
      </c>
      <c r="AC650" s="118">
        <f t="shared" si="114"/>
        <v>1</v>
      </c>
      <c r="AD650" s="47">
        <v>2</v>
      </c>
      <c r="AE650" s="66">
        <f t="shared" si="117"/>
        <v>0</v>
      </c>
      <c r="AF650" s="66">
        <f t="shared" si="110"/>
        <v>0</v>
      </c>
      <c r="AG650" s="67" t="str">
        <f t="shared" si="118"/>
        <v>0000000000</v>
      </c>
      <c r="AH650" s="67" t="str">
        <f t="shared" si="119"/>
        <v>.00</v>
      </c>
      <c r="AI650" s="67" t="str">
        <f t="shared" si="115"/>
        <v>00</v>
      </c>
      <c r="AJ650" s="67" t="str">
        <f t="shared" si="120"/>
        <v>000000000000</v>
      </c>
      <c r="AK650" s="119"/>
      <c r="AL650" s="120"/>
      <c r="AP650" s="115" t="str">
        <f t="shared" si="116"/>
        <v/>
      </c>
    </row>
    <row r="651" spans="1:42" x14ac:dyDescent="0.2">
      <c r="A651" s="63" t="str">
        <f t="shared" si="112"/>
        <v/>
      </c>
      <c r="B651" s="133"/>
      <c r="C651" s="133"/>
      <c r="D651" s="135"/>
      <c r="E651" s="135"/>
      <c r="F651" s="137"/>
      <c r="AA651" s="116" t="str">
        <f t="shared" si="111"/>
        <v>00000000000000</v>
      </c>
      <c r="AB651" s="117" t="str">
        <f t="shared" si="113"/>
        <v>000000000000</v>
      </c>
      <c r="AC651" s="118">
        <f t="shared" si="114"/>
        <v>1</v>
      </c>
      <c r="AD651" s="47">
        <v>2</v>
      </c>
      <c r="AE651" s="66">
        <f t="shared" si="117"/>
        <v>0</v>
      </c>
      <c r="AF651" s="66">
        <f t="shared" si="110"/>
        <v>0</v>
      </c>
      <c r="AG651" s="67" t="str">
        <f t="shared" si="118"/>
        <v>0000000000</v>
      </c>
      <c r="AH651" s="67" t="str">
        <f t="shared" si="119"/>
        <v>.00</v>
      </c>
      <c r="AI651" s="67" t="str">
        <f t="shared" si="115"/>
        <v>00</v>
      </c>
      <c r="AJ651" s="67" t="str">
        <f t="shared" si="120"/>
        <v>000000000000</v>
      </c>
      <c r="AK651" s="119"/>
      <c r="AL651" s="120"/>
      <c r="AP651" s="115" t="str">
        <f t="shared" si="116"/>
        <v/>
      </c>
    </row>
    <row r="652" spans="1:42" x14ac:dyDescent="0.2">
      <c r="A652" s="63" t="str">
        <f t="shared" si="112"/>
        <v/>
      </c>
      <c r="B652" s="133"/>
      <c r="C652" s="133"/>
      <c r="D652" s="135"/>
      <c r="E652" s="135"/>
      <c r="F652" s="137"/>
      <c r="AA652" s="116" t="str">
        <f t="shared" si="111"/>
        <v>00000000000000</v>
      </c>
      <c r="AB652" s="117" t="str">
        <f t="shared" si="113"/>
        <v>000000000000</v>
      </c>
      <c r="AC652" s="118">
        <f t="shared" si="114"/>
        <v>1</v>
      </c>
      <c r="AD652" s="47">
        <v>2</v>
      </c>
      <c r="AE652" s="66">
        <f t="shared" si="117"/>
        <v>0</v>
      </c>
      <c r="AF652" s="66">
        <f t="shared" si="110"/>
        <v>0</v>
      </c>
      <c r="AG652" s="67" t="str">
        <f t="shared" si="118"/>
        <v>0000000000</v>
      </c>
      <c r="AH652" s="67" t="str">
        <f t="shared" si="119"/>
        <v>.00</v>
      </c>
      <c r="AI652" s="67" t="str">
        <f t="shared" si="115"/>
        <v>00</v>
      </c>
      <c r="AJ652" s="67" t="str">
        <f t="shared" si="120"/>
        <v>000000000000</v>
      </c>
      <c r="AK652" s="119"/>
      <c r="AL652" s="120"/>
      <c r="AP652" s="115" t="str">
        <f t="shared" si="116"/>
        <v/>
      </c>
    </row>
    <row r="653" spans="1:42" x14ac:dyDescent="0.2">
      <c r="A653" s="63" t="str">
        <f t="shared" si="112"/>
        <v/>
      </c>
      <c r="B653" s="133"/>
      <c r="C653" s="133"/>
      <c r="D653" s="135"/>
      <c r="E653" s="135"/>
      <c r="F653" s="137"/>
      <c r="AA653" s="116" t="str">
        <f t="shared" si="111"/>
        <v>00000000000000</v>
      </c>
      <c r="AB653" s="117" t="str">
        <f t="shared" si="113"/>
        <v>000000000000</v>
      </c>
      <c r="AC653" s="118">
        <f t="shared" si="114"/>
        <v>1</v>
      </c>
      <c r="AD653" s="47">
        <v>2</v>
      </c>
      <c r="AE653" s="66">
        <f t="shared" si="117"/>
        <v>0</v>
      </c>
      <c r="AF653" s="66">
        <f t="shared" si="110"/>
        <v>0</v>
      </c>
      <c r="AG653" s="67" t="str">
        <f t="shared" si="118"/>
        <v>0000000000</v>
      </c>
      <c r="AH653" s="67" t="str">
        <f t="shared" si="119"/>
        <v>.00</v>
      </c>
      <c r="AI653" s="67" t="str">
        <f t="shared" si="115"/>
        <v>00</v>
      </c>
      <c r="AJ653" s="67" t="str">
        <f t="shared" si="120"/>
        <v>000000000000</v>
      </c>
      <c r="AK653" s="119"/>
      <c r="AL653" s="120"/>
      <c r="AP653" s="115" t="str">
        <f t="shared" si="116"/>
        <v/>
      </c>
    </row>
    <row r="654" spans="1:42" x14ac:dyDescent="0.2">
      <c r="A654" s="63" t="str">
        <f t="shared" si="112"/>
        <v/>
      </c>
      <c r="B654" s="133"/>
      <c r="C654" s="133"/>
      <c r="D654" s="135"/>
      <c r="E654" s="135"/>
      <c r="F654" s="137"/>
      <c r="AA654" s="116" t="str">
        <f t="shared" si="111"/>
        <v>00000000000000</v>
      </c>
      <c r="AB654" s="117" t="str">
        <f t="shared" si="113"/>
        <v>000000000000</v>
      </c>
      <c r="AC654" s="118">
        <f t="shared" si="114"/>
        <v>1</v>
      </c>
      <c r="AD654" s="47">
        <v>2</v>
      </c>
      <c r="AE654" s="66">
        <f t="shared" si="117"/>
        <v>0</v>
      </c>
      <c r="AF654" s="66">
        <f t="shared" si="110"/>
        <v>0</v>
      </c>
      <c r="AG654" s="67" t="str">
        <f t="shared" si="118"/>
        <v>0000000000</v>
      </c>
      <c r="AH654" s="67" t="str">
        <f t="shared" si="119"/>
        <v>.00</v>
      </c>
      <c r="AI654" s="67" t="str">
        <f t="shared" si="115"/>
        <v>00</v>
      </c>
      <c r="AJ654" s="67" t="str">
        <f t="shared" si="120"/>
        <v>000000000000</v>
      </c>
      <c r="AK654" s="119"/>
      <c r="AL654" s="120"/>
      <c r="AP654" s="115" t="str">
        <f t="shared" si="116"/>
        <v/>
      </c>
    </row>
    <row r="655" spans="1:42" x14ac:dyDescent="0.2">
      <c r="A655" s="63" t="str">
        <f t="shared" si="112"/>
        <v/>
      </c>
      <c r="B655" s="133"/>
      <c r="C655" s="133"/>
      <c r="D655" s="135"/>
      <c r="E655" s="135"/>
      <c r="F655" s="137"/>
      <c r="AA655" s="116" t="str">
        <f t="shared" si="111"/>
        <v>00000000000000</v>
      </c>
      <c r="AB655" s="117" t="str">
        <f t="shared" si="113"/>
        <v>000000000000</v>
      </c>
      <c r="AC655" s="118">
        <f t="shared" si="114"/>
        <v>1</v>
      </c>
      <c r="AD655" s="47">
        <v>2</v>
      </c>
      <c r="AE655" s="66">
        <f t="shared" si="117"/>
        <v>0</v>
      </c>
      <c r="AF655" s="66">
        <f t="shared" si="110"/>
        <v>0</v>
      </c>
      <c r="AG655" s="67" t="str">
        <f t="shared" si="118"/>
        <v>0000000000</v>
      </c>
      <c r="AH655" s="67" t="str">
        <f t="shared" si="119"/>
        <v>.00</v>
      </c>
      <c r="AI655" s="67" t="str">
        <f t="shared" si="115"/>
        <v>00</v>
      </c>
      <c r="AJ655" s="67" t="str">
        <f t="shared" si="120"/>
        <v>000000000000</v>
      </c>
      <c r="AK655" s="119"/>
      <c r="AL655" s="120"/>
      <c r="AP655" s="115" t="str">
        <f t="shared" si="116"/>
        <v/>
      </c>
    </row>
    <row r="656" spans="1:42" x14ac:dyDescent="0.2">
      <c r="A656" s="63" t="str">
        <f t="shared" si="112"/>
        <v/>
      </c>
      <c r="B656" s="133"/>
      <c r="C656" s="133"/>
      <c r="D656" s="135"/>
      <c r="E656" s="135"/>
      <c r="F656" s="137"/>
      <c r="AA656" s="116" t="str">
        <f t="shared" si="111"/>
        <v>00000000000000</v>
      </c>
      <c r="AB656" s="117" t="str">
        <f t="shared" si="113"/>
        <v>000000000000</v>
      </c>
      <c r="AC656" s="118">
        <f t="shared" si="114"/>
        <v>1</v>
      </c>
      <c r="AD656" s="47">
        <v>2</v>
      </c>
      <c r="AE656" s="66">
        <f t="shared" si="117"/>
        <v>0</v>
      </c>
      <c r="AF656" s="66">
        <f t="shared" si="110"/>
        <v>0</v>
      </c>
      <c r="AG656" s="67" t="str">
        <f t="shared" si="118"/>
        <v>0000000000</v>
      </c>
      <c r="AH656" s="67" t="str">
        <f t="shared" si="119"/>
        <v>.00</v>
      </c>
      <c r="AI656" s="67" t="str">
        <f t="shared" si="115"/>
        <v>00</v>
      </c>
      <c r="AJ656" s="67" t="str">
        <f t="shared" si="120"/>
        <v>000000000000</v>
      </c>
      <c r="AK656" s="119"/>
      <c r="AL656" s="120"/>
      <c r="AP656" s="115" t="str">
        <f t="shared" si="116"/>
        <v/>
      </c>
    </row>
    <row r="657" spans="1:42" x14ac:dyDescent="0.2">
      <c r="A657" s="63" t="str">
        <f t="shared" si="112"/>
        <v/>
      </c>
      <c r="B657" s="133"/>
      <c r="C657" s="133"/>
      <c r="D657" s="135"/>
      <c r="E657" s="135"/>
      <c r="F657" s="137"/>
      <c r="AA657" s="116" t="str">
        <f t="shared" si="111"/>
        <v>00000000000000</v>
      </c>
      <c r="AB657" s="117" t="str">
        <f t="shared" si="113"/>
        <v>000000000000</v>
      </c>
      <c r="AC657" s="118">
        <f t="shared" si="114"/>
        <v>1</v>
      </c>
      <c r="AD657" s="47">
        <v>2</v>
      </c>
      <c r="AE657" s="66">
        <f t="shared" si="117"/>
        <v>0</v>
      </c>
      <c r="AF657" s="66">
        <f t="shared" si="110"/>
        <v>0</v>
      </c>
      <c r="AG657" s="67" t="str">
        <f t="shared" si="118"/>
        <v>0000000000</v>
      </c>
      <c r="AH657" s="67" t="str">
        <f t="shared" si="119"/>
        <v>.00</v>
      </c>
      <c r="AI657" s="67" t="str">
        <f t="shared" si="115"/>
        <v>00</v>
      </c>
      <c r="AJ657" s="67" t="str">
        <f t="shared" si="120"/>
        <v>000000000000</v>
      </c>
      <c r="AK657" s="119"/>
      <c r="AL657" s="120"/>
      <c r="AP657" s="115" t="str">
        <f t="shared" si="116"/>
        <v/>
      </c>
    </row>
    <row r="658" spans="1:42" x14ac:dyDescent="0.2">
      <c r="A658" s="63" t="str">
        <f t="shared" si="112"/>
        <v/>
      </c>
      <c r="B658" s="133"/>
      <c r="C658" s="133"/>
      <c r="D658" s="135"/>
      <c r="E658" s="135"/>
      <c r="F658" s="137"/>
      <c r="AA658" s="116" t="str">
        <f t="shared" si="111"/>
        <v>00000000000000</v>
      </c>
      <c r="AB658" s="117" t="str">
        <f t="shared" si="113"/>
        <v>000000000000</v>
      </c>
      <c r="AC658" s="118">
        <f t="shared" si="114"/>
        <v>1</v>
      </c>
      <c r="AD658" s="47">
        <v>2</v>
      </c>
      <c r="AE658" s="66">
        <f t="shared" si="117"/>
        <v>0</v>
      </c>
      <c r="AF658" s="66">
        <f t="shared" si="110"/>
        <v>0</v>
      </c>
      <c r="AG658" s="67" t="str">
        <f t="shared" si="118"/>
        <v>0000000000</v>
      </c>
      <c r="AH658" s="67" t="str">
        <f t="shared" si="119"/>
        <v>.00</v>
      </c>
      <c r="AI658" s="67" t="str">
        <f t="shared" si="115"/>
        <v>00</v>
      </c>
      <c r="AJ658" s="67" t="str">
        <f t="shared" si="120"/>
        <v>000000000000</v>
      </c>
      <c r="AK658" s="119"/>
      <c r="AL658" s="120"/>
      <c r="AP658" s="115" t="str">
        <f t="shared" si="116"/>
        <v/>
      </c>
    </row>
    <row r="659" spans="1:42" x14ac:dyDescent="0.2">
      <c r="A659" s="63" t="str">
        <f t="shared" si="112"/>
        <v/>
      </c>
      <c r="B659" s="133"/>
      <c r="C659" s="133"/>
      <c r="D659" s="135"/>
      <c r="E659" s="135"/>
      <c r="F659" s="137"/>
      <c r="AA659" s="116" t="str">
        <f t="shared" si="111"/>
        <v>00000000000000</v>
      </c>
      <c r="AB659" s="117" t="str">
        <f t="shared" si="113"/>
        <v>000000000000</v>
      </c>
      <c r="AC659" s="118">
        <f t="shared" si="114"/>
        <v>1</v>
      </c>
      <c r="AD659" s="47">
        <v>2</v>
      </c>
      <c r="AE659" s="66">
        <f t="shared" si="117"/>
        <v>0</v>
      </c>
      <c r="AF659" s="66">
        <f t="shared" si="110"/>
        <v>0</v>
      </c>
      <c r="AG659" s="67" t="str">
        <f t="shared" si="118"/>
        <v>0000000000</v>
      </c>
      <c r="AH659" s="67" t="str">
        <f t="shared" si="119"/>
        <v>.00</v>
      </c>
      <c r="AI659" s="67" t="str">
        <f t="shared" si="115"/>
        <v>00</v>
      </c>
      <c r="AJ659" s="67" t="str">
        <f t="shared" si="120"/>
        <v>000000000000</v>
      </c>
      <c r="AK659" s="119"/>
      <c r="AL659" s="120"/>
      <c r="AP659" s="115" t="str">
        <f t="shared" si="116"/>
        <v/>
      </c>
    </row>
    <row r="660" spans="1:42" x14ac:dyDescent="0.2">
      <c r="A660" s="63" t="str">
        <f t="shared" si="112"/>
        <v/>
      </c>
      <c r="B660" s="133"/>
      <c r="C660" s="133"/>
      <c r="D660" s="135"/>
      <c r="E660" s="135"/>
      <c r="F660" s="137"/>
      <c r="AA660" s="116" t="str">
        <f t="shared" si="111"/>
        <v>00000000000000</v>
      </c>
      <c r="AB660" s="117" t="str">
        <f t="shared" si="113"/>
        <v>000000000000</v>
      </c>
      <c r="AC660" s="118">
        <f t="shared" si="114"/>
        <v>1</v>
      </c>
      <c r="AD660" s="47">
        <v>2</v>
      </c>
      <c r="AE660" s="66">
        <f t="shared" si="117"/>
        <v>0</v>
      </c>
      <c r="AF660" s="66">
        <f t="shared" si="110"/>
        <v>0</v>
      </c>
      <c r="AG660" s="67" t="str">
        <f t="shared" si="118"/>
        <v>0000000000</v>
      </c>
      <c r="AH660" s="67" t="str">
        <f t="shared" si="119"/>
        <v>.00</v>
      </c>
      <c r="AI660" s="67" t="str">
        <f t="shared" si="115"/>
        <v>00</v>
      </c>
      <c r="AJ660" s="67" t="str">
        <f t="shared" si="120"/>
        <v>000000000000</v>
      </c>
      <c r="AK660" s="119"/>
      <c r="AL660" s="120"/>
      <c r="AP660" s="115" t="str">
        <f t="shared" si="116"/>
        <v/>
      </c>
    </row>
    <row r="661" spans="1:42" x14ac:dyDescent="0.2">
      <c r="A661" s="63" t="str">
        <f t="shared" si="112"/>
        <v/>
      </c>
      <c r="B661" s="133"/>
      <c r="C661" s="133"/>
      <c r="D661" s="135"/>
      <c r="E661" s="135"/>
      <c r="F661" s="137"/>
      <c r="AA661" s="116" t="str">
        <f t="shared" si="111"/>
        <v>00000000000000</v>
      </c>
      <c r="AB661" s="117" t="str">
        <f t="shared" si="113"/>
        <v>000000000000</v>
      </c>
      <c r="AC661" s="118">
        <f t="shared" si="114"/>
        <v>1</v>
      </c>
      <c r="AD661" s="47">
        <v>2</v>
      </c>
      <c r="AE661" s="66">
        <f t="shared" si="117"/>
        <v>0</v>
      </c>
      <c r="AF661" s="66">
        <f t="shared" si="110"/>
        <v>0</v>
      </c>
      <c r="AG661" s="67" t="str">
        <f t="shared" si="118"/>
        <v>0000000000</v>
      </c>
      <c r="AH661" s="67" t="str">
        <f t="shared" si="119"/>
        <v>.00</v>
      </c>
      <c r="AI661" s="67" t="str">
        <f t="shared" si="115"/>
        <v>00</v>
      </c>
      <c r="AJ661" s="67" t="str">
        <f t="shared" si="120"/>
        <v>000000000000</v>
      </c>
      <c r="AK661" s="119"/>
      <c r="AL661" s="120"/>
      <c r="AP661" s="115" t="str">
        <f t="shared" si="116"/>
        <v/>
      </c>
    </row>
    <row r="662" spans="1:42" x14ac:dyDescent="0.2">
      <c r="A662" s="63" t="str">
        <f t="shared" si="112"/>
        <v/>
      </c>
      <c r="B662" s="133"/>
      <c r="C662" s="133"/>
      <c r="D662" s="135"/>
      <c r="E662" s="135"/>
      <c r="F662" s="137"/>
      <c r="AA662" s="116" t="str">
        <f t="shared" si="111"/>
        <v>00000000000000</v>
      </c>
      <c r="AB662" s="117" t="str">
        <f t="shared" si="113"/>
        <v>000000000000</v>
      </c>
      <c r="AC662" s="118">
        <f t="shared" si="114"/>
        <v>1</v>
      </c>
      <c r="AD662" s="47">
        <v>2</v>
      </c>
      <c r="AE662" s="66">
        <f t="shared" si="117"/>
        <v>0</v>
      </c>
      <c r="AF662" s="66">
        <f t="shared" si="110"/>
        <v>0</v>
      </c>
      <c r="AG662" s="67" t="str">
        <f t="shared" si="118"/>
        <v>0000000000</v>
      </c>
      <c r="AH662" s="67" t="str">
        <f t="shared" si="119"/>
        <v>.00</v>
      </c>
      <c r="AI662" s="67" t="str">
        <f t="shared" si="115"/>
        <v>00</v>
      </c>
      <c r="AJ662" s="67" t="str">
        <f t="shared" si="120"/>
        <v>000000000000</v>
      </c>
      <c r="AK662" s="119"/>
      <c r="AL662" s="120"/>
      <c r="AP662" s="115" t="str">
        <f t="shared" si="116"/>
        <v/>
      </c>
    </row>
    <row r="663" spans="1:42" x14ac:dyDescent="0.2">
      <c r="A663" s="63" t="str">
        <f t="shared" si="112"/>
        <v/>
      </c>
      <c r="B663" s="133"/>
      <c r="C663" s="133"/>
      <c r="D663" s="135"/>
      <c r="E663" s="135"/>
      <c r="F663" s="137"/>
      <c r="AA663" s="116" t="str">
        <f t="shared" si="111"/>
        <v>00000000000000</v>
      </c>
      <c r="AB663" s="117" t="str">
        <f t="shared" si="113"/>
        <v>000000000000</v>
      </c>
      <c r="AC663" s="118">
        <f t="shared" si="114"/>
        <v>1</v>
      </c>
      <c r="AD663" s="47">
        <v>2</v>
      </c>
      <c r="AE663" s="66">
        <f t="shared" si="117"/>
        <v>0</v>
      </c>
      <c r="AF663" s="66">
        <f t="shared" si="110"/>
        <v>0</v>
      </c>
      <c r="AG663" s="67" t="str">
        <f t="shared" si="118"/>
        <v>0000000000</v>
      </c>
      <c r="AH663" s="67" t="str">
        <f t="shared" si="119"/>
        <v>.00</v>
      </c>
      <c r="AI663" s="67" t="str">
        <f t="shared" si="115"/>
        <v>00</v>
      </c>
      <c r="AJ663" s="67" t="str">
        <f t="shared" si="120"/>
        <v>000000000000</v>
      </c>
      <c r="AK663" s="119"/>
      <c r="AL663" s="120"/>
      <c r="AP663" s="115" t="str">
        <f t="shared" si="116"/>
        <v/>
      </c>
    </row>
    <row r="664" spans="1:42" x14ac:dyDescent="0.2">
      <c r="A664" s="63" t="str">
        <f t="shared" si="112"/>
        <v/>
      </c>
      <c r="B664" s="133"/>
      <c r="C664" s="133"/>
      <c r="D664" s="135"/>
      <c r="E664" s="135"/>
      <c r="F664" s="137"/>
      <c r="AA664" s="116" t="str">
        <f t="shared" si="111"/>
        <v>00000000000000</v>
      </c>
      <c r="AB664" s="117" t="str">
        <f t="shared" si="113"/>
        <v>000000000000</v>
      </c>
      <c r="AC664" s="118">
        <f t="shared" si="114"/>
        <v>1</v>
      </c>
      <c r="AD664" s="47">
        <v>2</v>
      </c>
      <c r="AE664" s="66">
        <f t="shared" si="117"/>
        <v>0</v>
      </c>
      <c r="AF664" s="66">
        <f t="shared" si="110"/>
        <v>0</v>
      </c>
      <c r="AG664" s="67" t="str">
        <f t="shared" si="118"/>
        <v>0000000000</v>
      </c>
      <c r="AH664" s="67" t="str">
        <f t="shared" si="119"/>
        <v>.00</v>
      </c>
      <c r="AI664" s="67" t="str">
        <f t="shared" si="115"/>
        <v>00</v>
      </c>
      <c r="AJ664" s="67" t="str">
        <f t="shared" si="120"/>
        <v>000000000000</v>
      </c>
      <c r="AK664" s="119"/>
      <c r="AL664" s="120"/>
      <c r="AP664" s="115" t="str">
        <f t="shared" si="116"/>
        <v/>
      </c>
    </row>
    <row r="665" spans="1:42" x14ac:dyDescent="0.2">
      <c r="A665" s="63" t="str">
        <f t="shared" si="112"/>
        <v/>
      </c>
      <c r="B665" s="133"/>
      <c r="C665" s="133"/>
      <c r="D665" s="135"/>
      <c r="E665" s="135"/>
      <c r="F665" s="137"/>
      <c r="AA665" s="116" t="str">
        <f t="shared" si="111"/>
        <v>00000000000000</v>
      </c>
      <c r="AB665" s="117" t="str">
        <f t="shared" si="113"/>
        <v>000000000000</v>
      </c>
      <c r="AC665" s="118">
        <f t="shared" si="114"/>
        <v>1</v>
      </c>
      <c r="AD665" s="47">
        <v>2</v>
      </c>
      <c r="AE665" s="66">
        <f t="shared" si="117"/>
        <v>0</v>
      </c>
      <c r="AF665" s="66">
        <f t="shared" si="110"/>
        <v>0</v>
      </c>
      <c r="AG665" s="67" t="str">
        <f t="shared" si="118"/>
        <v>0000000000</v>
      </c>
      <c r="AH665" s="67" t="str">
        <f t="shared" si="119"/>
        <v>.00</v>
      </c>
      <c r="AI665" s="67" t="str">
        <f t="shared" si="115"/>
        <v>00</v>
      </c>
      <c r="AJ665" s="67" t="str">
        <f t="shared" si="120"/>
        <v>000000000000</v>
      </c>
      <c r="AK665" s="119"/>
      <c r="AL665" s="120"/>
      <c r="AP665" s="115" t="str">
        <f t="shared" si="116"/>
        <v/>
      </c>
    </row>
    <row r="666" spans="1:42" x14ac:dyDescent="0.2">
      <c r="A666" s="63" t="str">
        <f t="shared" si="112"/>
        <v/>
      </c>
      <c r="B666" s="133"/>
      <c r="C666" s="133"/>
      <c r="D666" s="135"/>
      <c r="E666" s="135"/>
      <c r="F666" s="137"/>
      <c r="AA666" s="116" t="str">
        <f t="shared" si="111"/>
        <v>00000000000000</v>
      </c>
      <c r="AB666" s="117" t="str">
        <f t="shared" si="113"/>
        <v>000000000000</v>
      </c>
      <c r="AC666" s="118">
        <f t="shared" si="114"/>
        <v>1</v>
      </c>
      <c r="AD666" s="47">
        <v>2</v>
      </c>
      <c r="AE666" s="66">
        <f t="shared" si="117"/>
        <v>0</v>
      </c>
      <c r="AF666" s="66">
        <f t="shared" si="110"/>
        <v>0</v>
      </c>
      <c r="AG666" s="67" t="str">
        <f t="shared" si="118"/>
        <v>0000000000</v>
      </c>
      <c r="AH666" s="67" t="str">
        <f t="shared" si="119"/>
        <v>.00</v>
      </c>
      <c r="AI666" s="67" t="str">
        <f t="shared" si="115"/>
        <v>00</v>
      </c>
      <c r="AJ666" s="67" t="str">
        <f t="shared" si="120"/>
        <v>000000000000</v>
      </c>
      <c r="AK666" s="119"/>
      <c r="AL666" s="120"/>
      <c r="AP666" s="115" t="str">
        <f t="shared" si="116"/>
        <v/>
      </c>
    </row>
    <row r="667" spans="1:42" x14ac:dyDescent="0.2">
      <c r="A667" s="63" t="str">
        <f t="shared" si="112"/>
        <v/>
      </c>
      <c r="B667" s="133"/>
      <c r="C667" s="133"/>
      <c r="D667" s="135"/>
      <c r="E667" s="135"/>
      <c r="F667" s="137"/>
      <c r="AA667" s="116" t="str">
        <f t="shared" si="111"/>
        <v>00000000000000</v>
      </c>
      <c r="AB667" s="117" t="str">
        <f t="shared" si="113"/>
        <v>000000000000</v>
      </c>
      <c r="AC667" s="118">
        <f t="shared" si="114"/>
        <v>1</v>
      </c>
      <c r="AD667" s="47">
        <v>2</v>
      </c>
      <c r="AE667" s="66">
        <f t="shared" si="117"/>
        <v>0</v>
      </c>
      <c r="AF667" s="66">
        <f t="shared" si="110"/>
        <v>0</v>
      </c>
      <c r="AG667" s="67" t="str">
        <f t="shared" si="118"/>
        <v>0000000000</v>
      </c>
      <c r="AH667" s="67" t="str">
        <f t="shared" si="119"/>
        <v>.00</v>
      </c>
      <c r="AI667" s="67" t="str">
        <f t="shared" si="115"/>
        <v>00</v>
      </c>
      <c r="AJ667" s="67" t="str">
        <f t="shared" si="120"/>
        <v>000000000000</v>
      </c>
      <c r="AK667" s="119"/>
      <c r="AL667" s="120"/>
      <c r="AP667" s="115" t="str">
        <f t="shared" si="116"/>
        <v/>
      </c>
    </row>
    <row r="668" spans="1:42" x14ac:dyDescent="0.2">
      <c r="A668" s="63" t="str">
        <f t="shared" si="112"/>
        <v/>
      </c>
      <c r="B668" s="133"/>
      <c r="C668" s="133"/>
      <c r="D668" s="135"/>
      <c r="E668" s="135"/>
      <c r="F668" s="137"/>
      <c r="AA668" s="116" t="str">
        <f t="shared" si="111"/>
        <v>00000000000000</v>
      </c>
      <c r="AB668" s="117" t="str">
        <f t="shared" si="113"/>
        <v>000000000000</v>
      </c>
      <c r="AC668" s="118">
        <f t="shared" si="114"/>
        <v>1</v>
      </c>
      <c r="AD668" s="47">
        <v>2</v>
      </c>
      <c r="AE668" s="66">
        <f t="shared" si="117"/>
        <v>0</v>
      </c>
      <c r="AF668" s="66">
        <f t="shared" si="110"/>
        <v>0</v>
      </c>
      <c r="AG668" s="67" t="str">
        <f t="shared" si="118"/>
        <v>0000000000</v>
      </c>
      <c r="AH668" s="67" t="str">
        <f t="shared" si="119"/>
        <v>.00</v>
      </c>
      <c r="AI668" s="67" t="str">
        <f t="shared" si="115"/>
        <v>00</v>
      </c>
      <c r="AJ668" s="67" t="str">
        <f t="shared" si="120"/>
        <v>000000000000</v>
      </c>
      <c r="AK668" s="119"/>
      <c r="AL668" s="120"/>
      <c r="AP668" s="115" t="str">
        <f t="shared" si="116"/>
        <v/>
      </c>
    </row>
    <row r="669" spans="1:42" x14ac:dyDescent="0.2">
      <c r="A669" s="63" t="str">
        <f t="shared" si="112"/>
        <v/>
      </c>
      <c r="B669" s="133"/>
      <c r="C669" s="133"/>
      <c r="D669" s="135"/>
      <c r="E669" s="135"/>
      <c r="F669" s="137"/>
      <c r="AA669" s="116" t="str">
        <f t="shared" si="111"/>
        <v>00000000000000</v>
      </c>
      <c r="AB669" s="117" t="str">
        <f t="shared" si="113"/>
        <v>000000000000</v>
      </c>
      <c r="AC669" s="118">
        <f t="shared" si="114"/>
        <v>1</v>
      </c>
      <c r="AD669" s="47">
        <v>2</v>
      </c>
      <c r="AE669" s="66">
        <f t="shared" si="117"/>
        <v>0</v>
      </c>
      <c r="AF669" s="66">
        <f t="shared" si="110"/>
        <v>0</v>
      </c>
      <c r="AG669" s="67" t="str">
        <f t="shared" si="118"/>
        <v>0000000000</v>
      </c>
      <c r="AH669" s="67" t="str">
        <f t="shared" si="119"/>
        <v>.00</v>
      </c>
      <c r="AI669" s="67" t="str">
        <f t="shared" si="115"/>
        <v>00</v>
      </c>
      <c r="AJ669" s="67" t="str">
        <f t="shared" si="120"/>
        <v>000000000000</v>
      </c>
      <c r="AK669" s="119"/>
      <c r="AL669" s="120"/>
      <c r="AP669" s="115" t="str">
        <f t="shared" si="116"/>
        <v/>
      </c>
    </row>
    <row r="670" spans="1:42" x14ac:dyDescent="0.2">
      <c r="A670" s="63" t="str">
        <f t="shared" si="112"/>
        <v/>
      </c>
      <c r="B670" s="133"/>
      <c r="C670" s="133"/>
      <c r="D670" s="135"/>
      <c r="E670" s="135"/>
      <c r="F670" s="137"/>
      <c r="AA670" s="116" t="str">
        <f t="shared" si="111"/>
        <v>00000000000000</v>
      </c>
      <c r="AB670" s="117" t="str">
        <f t="shared" si="113"/>
        <v>000000000000</v>
      </c>
      <c r="AC670" s="118">
        <f t="shared" si="114"/>
        <v>1</v>
      </c>
      <c r="AD670" s="47">
        <v>2</v>
      </c>
      <c r="AE670" s="66">
        <f t="shared" si="117"/>
        <v>0</v>
      </c>
      <c r="AF670" s="66">
        <f t="shared" si="110"/>
        <v>0</v>
      </c>
      <c r="AG670" s="67" t="str">
        <f t="shared" si="118"/>
        <v>0000000000</v>
      </c>
      <c r="AH670" s="67" t="str">
        <f t="shared" si="119"/>
        <v>.00</v>
      </c>
      <c r="AI670" s="67" t="str">
        <f t="shared" si="115"/>
        <v>00</v>
      </c>
      <c r="AJ670" s="67" t="str">
        <f t="shared" si="120"/>
        <v>000000000000</v>
      </c>
      <c r="AK670" s="119"/>
      <c r="AL670" s="120"/>
      <c r="AP670" s="115" t="str">
        <f t="shared" si="116"/>
        <v/>
      </c>
    </row>
    <row r="671" spans="1:42" x14ac:dyDescent="0.2">
      <c r="A671" s="63" t="str">
        <f t="shared" si="112"/>
        <v/>
      </c>
      <c r="B671" s="133"/>
      <c r="C671" s="133"/>
      <c r="D671" s="135"/>
      <c r="E671" s="135"/>
      <c r="F671" s="137"/>
      <c r="AA671" s="116" t="str">
        <f t="shared" si="111"/>
        <v>00000000000000</v>
      </c>
      <c r="AB671" s="117" t="str">
        <f t="shared" si="113"/>
        <v>000000000000</v>
      </c>
      <c r="AC671" s="118">
        <f t="shared" si="114"/>
        <v>1</v>
      </c>
      <c r="AD671" s="47">
        <v>2</v>
      </c>
      <c r="AE671" s="66">
        <f t="shared" si="117"/>
        <v>0</v>
      </c>
      <c r="AF671" s="66">
        <f t="shared" si="110"/>
        <v>0</v>
      </c>
      <c r="AG671" s="67" t="str">
        <f t="shared" si="118"/>
        <v>0000000000</v>
      </c>
      <c r="AH671" s="67" t="str">
        <f t="shared" si="119"/>
        <v>.00</v>
      </c>
      <c r="AI671" s="67" t="str">
        <f t="shared" si="115"/>
        <v>00</v>
      </c>
      <c r="AJ671" s="67" t="str">
        <f t="shared" si="120"/>
        <v>000000000000</v>
      </c>
      <c r="AK671" s="119"/>
      <c r="AL671" s="120"/>
      <c r="AP671" s="115" t="str">
        <f t="shared" si="116"/>
        <v/>
      </c>
    </row>
    <row r="672" spans="1:42" x14ac:dyDescent="0.2">
      <c r="A672" s="63" t="str">
        <f t="shared" si="112"/>
        <v/>
      </c>
      <c r="B672" s="133"/>
      <c r="C672" s="133"/>
      <c r="D672" s="135"/>
      <c r="E672" s="135"/>
      <c r="F672" s="137"/>
      <c r="AA672" s="116" t="str">
        <f t="shared" si="111"/>
        <v>00000000000000</v>
      </c>
      <c r="AB672" s="117" t="str">
        <f t="shared" si="113"/>
        <v>000000000000</v>
      </c>
      <c r="AC672" s="118">
        <f t="shared" si="114"/>
        <v>1</v>
      </c>
      <c r="AD672" s="47">
        <v>2</v>
      </c>
      <c r="AE672" s="66">
        <f t="shared" si="117"/>
        <v>0</v>
      </c>
      <c r="AF672" s="66">
        <f t="shared" si="110"/>
        <v>0</v>
      </c>
      <c r="AG672" s="67" t="str">
        <f t="shared" si="118"/>
        <v>0000000000</v>
      </c>
      <c r="AH672" s="67" t="str">
        <f t="shared" si="119"/>
        <v>.00</v>
      </c>
      <c r="AI672" s="67" t="str">
        <f t="shared" si="115"/>
        <v>00</v>
      </c>
      <c r="AJ672" s="67" t="str">
        <f t="shared" si="120"/>
        <v>000000000000</v>
      </c>
      <c r="AK672" s="119"/>
      <c r="AL672" s="120"/>
      <c r="AP672" s="115" t="str">
        <f t="shared" si="116"/>
        <v/>
      </c>
    </row>
    <row r="673" spans="1:42" x14ac:dyDescent="0.2">
      <c r="A673" s="63" t="str">
        <f t="shared" si="112"/>
        <v/>
      </c>
      <c r="B673" s="133"/>
      <c r="C673" s="133"/>
      <c r="D673" s="135"/>
      <c r="E673" s="135"/>
      <c r="F673" s="137"/>
      <c r="AA673" s="116" t="str">
        <f t="shared" si="111"/>
        <v>00000000000000</v>
      </c>
      <c r="AB673" s="117" t="str">
        <f t="shared" si="113"/>
        <v>000000000000</v>
      </c>
      <c r="AC673" s="118">
        <f t="shared" si="114"/>
        <v>1</v>
      </c>
      <c r="AD673" s="47">
        <v>2</v>
      </c>
      <c r="AE673" s="66">
        <f t="shared" si="117"/>
        <v>0</v>
      </c>
      <c r="AF673" s="66">
        <f t="shared" si="110"/>
        <v>0</v>
      </c>
      <c r="AG673" s="67" t="str">
        <f t="shared" si="118"/>
        <v>0000000000</v>
      </c>
      <c r="AH673" s="67" t="str">
        <f t="shared" si="119"/>
        <v>.00</v>
      </c>
      <c r="AI673" s="67" t="str">
        <f t="shared" si="115"/>
        <v>00</v>
      </c>
      <c r="AJ673" s="67" t="str">
        <f t="shared" si="120"/>
        <v>000000000000</v>
      </c>
      <c r="AK673" s="119"/>
      <c r="AL673" s="120"/>
      <c r="AP673" s="115" t="str">
        <f t="shared" si="116"/>
        <v/>
      </c>
    </row>
    <row r="674" spans="1:42" x14ac:dyDescent="0.2">
      <c r="A674" s="63" t="str">
        <f t="shared" si="112"/>
        <v/>
      </c>
      <c r="B674" s="133"/>
      <c r="C674" s="133"/>
      <c r="D674" s="135"/>
      <c r="E674" s="135"/>
      <c r="F674" s="137"/>
      <c r="AA674" s="116" t="str">
        <f t="shared" si="111"/>
        <v>00000000000000</v>
      </c>
      <c r="AB674" s="117" t="str">
        <f t="shared" si="113"/>
        <v>000000000000</v>
      </c>
      <c r="AC674" s="118">
        <f t="shared" si="114"/>
        <v>1</v>
      </c>
      <c r="AD674" s="47">
        <v>2</v>
      </c>
      <c r="AE674" s="66">
        <f t="shared" si="117"/>
        <v>0</v>
      </c>
      <c r="AF674" s="66">
        <f t="shared" si="110"/>
        <v>0</v>
      </c>
      <c r="AG674" s="67" t="str">
        <f t="shared" si="118"/>
        <v>0000000000</v>
      </c>
      <c r="AH674" s="67" t="str">
        <f t="shared" si="119"/>
        <v>.00</v>
      </c>
      <c r="AI674" s="67" t="str">
        <f t="shared" si="115"/>
        <v>00</v>
      </c>
      <c r="AJ674" s="67" t="str">
        <f t="shared" si="120"/>
        <v>000000000000</v>
      </c>
      <c r="AK674" s="119"/>
      <c r="AL674" s="120"/>
      <c r="AP674" s="115" t="str">
        <f t="shared" si="116"/>
        <v/>
      </c>
    </row>
    <row r="675" spans="1:42" x14ac:dyDescent="0.2">
      <c r="A675" s="63" t="str">
        <f t="shared" si="112"/>
        <v/>
      </c>
      <c r="B675" s="133"/>
      <c r="C675" s="133"/>
      <c r="D675" s="135"/>
      <c r="E675" s="135"/>
      <c r="F675" s="137"/>
      <c r="AA675" s="116" t="str">
        <f t="shared" si="111"/>
        <v>00000000000000</v>
      </c>
      <c r="AB675" s="117" t="str">
        <f t="shared" si="113"/>
        <v>000000000000</v>
      </c>
      <c r="AC675" s="118">
        <f t="shared" si="114"/>
        <v>1</v>
      </c>
      <c r="AD675" s="47">
        <v>2</v>
      </c>
      <c r="AE675" s="66">
        <f t="shared" si="117"/>
        <v>0</v>
      </c>
      <c r="AF675" s="66">
        <f t="shared" si="110"/>
        <v>0</v>
      </c>
      <c r="AG675" s="67" t="str">
        <f t="shared" si="118"/>
        <v>0000000000</v>
      </c>
      <c r="AH675" s="67" t="str">
        <f t="shared" si="119"/>
        <v>.00</v>
      </c>
      <c r="AI675" s="67" t="str">
        <f t="shared" si="115"/>
        <v>00</v>
      </c>
      <c r="AJ675" s="67" t="str">
        <f t="shared" si="120"/>
        <v>000000000000</v>
      </c>
      <c r="AK675" s="119"/>
      <c r="AL675" s="120"/>
      <c r="AP675" s="115" t="str">
        <f t="shared" si="116"/>
        <v/>
      </c>
    </row>
    <row r="676" spans="1:42" x14ac:dyDescent="0.2">
      <c r="A676" s="63" t="str">
        <f t="shared" si="112"/>
        <v/>
      </c>
      <c r="B676" s="133"/>
      <c r="C676" s="133"/>
      <c r="D676" s="135"/>
      <c r="E676" s="135"/>
      <c r="F676" s="137"/>
      <c r="AA676" s="116" t="str">
        <f t="shared" si="111"/>
        <v>00000000000000</v>
      </c>
      <c r="AB676" s="117" t="str">
        <f t="shared" si="113"/>
        <v>000000000000</v>
      </c>
      <c r="AC676" s="118">
        <f t="shared" si="114"/>
        <v>1</v>
      </c>
      <c r="AD676" s="47">
        <v>2</v>
      </c>
      <c r="AE676" s="66">
        <f t="shared" si="117"/>
        <v>0</v>
      </c>
      <c r="AF676" s="66">
        <f t="shared" si="110"/>
        <v>0</v>
      </c>
      <c r="AG676" s="67" t="str">
        <f t="shared" si="118"/>
        <v>0000000000</v>
      </c>
      <c r="AH676" s="67" t="str">
        <f t="shared" si="119"/>
        <v>.00</v>
      </c>
      <c r="AI676" s="67" t="str">
        <f t="shared" si="115"/>
        <v>00</v>
      </c>
      <c r="AJ676" s="67" t="str">
        <f t="shared" si="120"/>
        <v>000000000000</v>
      </c>
      <c r="AK676" s="119"/>
      <c r="AL676" s="120"/>
      <c r="AP676" s="115" t="str">
        <f t="shared" si="116"/>
        <v/>
      </c>
    </row>
    <row r="677" spans="1:42" x14ac:dyDescent="0.2">
      <c r="A677" s="63" t="str">
        <f t="shared" si="112"/>
        <v/>
      </c>
      <c r="B677" s="133"/>
      <c r="C677" s="133"/>
      <c r="D677" s="135"/>
      <c r="E677" s="135"/>
      <c r="F677" s="137"/>
      <c r="AA677" s="116" t="str">
        <f t="shared" si="111"/>
        <v>00000000000000</v>
      </c>
      <c r="AB677" s="117" t="str">
        <f t="shared" si="113"/>
        <v>000000000000</v>
      </c>
      <c r="AC677" s="118">
        <f t="shared" si="114"/>
        <v>1</v>
      </c>
      <c r="AD677" s="47">
        <v>2</v>
      </c>
      <c r="AE677" s="66">
        <f t="shared" si="117"/>
        <v>0</v>
      </c>
      <c r="AF677" s="66">
        <f t="shared" si="110"/>
        <v>0</v>
      </c>
      <c r="AG677" s="67" t="str">
        <f t="shared" si="118"/>
        <v>0000000000</v>
      </c>
      <c r="AH677" s="67" t="str">
        <f t="shared" si="119"/>
        <v>.00</v>
      </c>
      <c r="AI677" s="67" t="str">
        <f t="shared" si="115"/>
        <v>00</v>
      </c>
      <c r="AJ677" s="67" t="str">
        <f t="shared" si="120"/>
        <v>000000000000</v>
      </c>
      <c r="AK677" s="119"/>
      <c r="AL677" s="120"/>
      <c r="AP677" s="115" t="str">
        <f t="shared" si="116"/>
        <v/>
      </c>
    </row>
    <row r="678" spans="1:42" x14ac:dyDescent="0.2">
      <c r="A678" s="63" t="str">
        <f t="shared" si="112"/>
        <v/>
      </c>
      <c r="B678" s="133"/>
      <c r="C678" s="133"/>
      <c r="D678" s="135"/>
      <c r="E678" s="135"/>
      <c r="F678" s="137"/>
      <c r="AA678" s="116" t="str">
        <f t="shared" si="111"/>
        <v>00000000000000</v>
      </c>
      <c r="AB678" s="117" t="str">
        <f t="shared" si="113"/>
        <v>000000000000</v>
      </c>
      <c r="AC678" s="118">
        <f t="shared" si="114"/>
        <v>1</v>
      </c>
      <c r="AD678" s="47">
        <v>2</v>
      </c>
      <c r="AE678" s="66">
        <f t="shared" si="117"/>
        <v>0</v>
      </c>
      <c r="AF678" s="66">
        <f t="shared" si="110"/>
        <v>0</v>
      </c>
      <c r="AG678" s="67" t="str">
        <f t="shared" si="118"/>
        <v>0000000000</v>
      </c>
      <c r="AH678" s="67" t="str">
        <f t="shared" si="119"/>
        <v>.00</v>
      </c>
      <c r="AI678" s="67" t="str">
        <f t="shared" si="115"/>
        <v>00</v>
      </c>
      <c r="AJ678" s="67" t="str">
        <f t="shared" si="120"/>
        <v>000000000000</v>
      </c>
      <c r="AK678" s="119"/>
      <c r="AL678" s="120"/>
      <c r="AP678" s="115" t="str">
        <f t="shared" si="116"/>
        <v/>
      </c>
    </row>
    <row r="679" spans="1:42" x14ac:dyDescent="0.2">
      <c r="A679" s="63" t="str">
        <f t="shared" si="112"/>
        <v/>
      </c>
      <c r="B679" s="133"/>
      <c r="C679" s="133"/>
      <c r="D679" s="135"/>
      <c r="E679" s="135"/>
      <c r="F679" s="137"/>
      <c r="AA679" s="116" t="str">
        <f t="shared" si="111"/>
        <v>00000000000000</v>
      </c>
      <c r="AB679" s="117" t="str">
        <f t="shared" si="113"/>
        <v>000000000000</v>
      </c>
      <c r="AC679" s="118">
        <f t="shared" si="114"/>
        <v>1</v>
      </c>
      <c r="AD679" s="47">
        <v>2</v>
      </c>
      <c r="AE679" s="66">
        <f t="shared" si="117"/>
        <v>0</v>
      </c>
      <c r="AF679" s="66">
        <f t="shared" si="110"/>
        <v>0</v>
      </c>
      <c r="AG679" s="67" t="str">
        <f t="shared" si="118"/>
        <v>0000000000</v>
      </c>
      <c r="AH679" s="67" t="str">
        <f t="shared" si="119"/>
        <v>.00</v>
      </c>
      <c r="AI679" s="67" t="str">
        <f t="shared" si="115"/>
        <v>00</v>
      </c>
      <c r="AJ679" s="67" t="str">
        <f t="shared" si="120"/>
        <v>000000000000</v>
      </c>
      <c r="AK679" s="119"/>
      <c r="AL679" s="120"/>
      <c r="AP679" s="115" t="str">
        <f t="shared" si="116"/>
        <v/>
      </c>
    </row>
    <row r="680" spans="1:42" x14ac:dyDescent="0.2">
      <c r="A680" s="63" t="str">
        <f t="shared" si="112"/>
        <v/>
      </c>
      <c r="B680" s="133"/>
      <c r="C680" s="133"/>
      <c r="D680" s="135"/>
      <c r="E680" s="135"/>
      <c r="F680" s="137"/>
      <c r="AA680" s="116" t="str">
        <f t="shared" si="111"/>
        <v>00000000000000</v>
      </c>
      <c r="AB680" s="117" t="str">
        <f t="shared" si="113"/>
        <v>000000000000</v>
      </c>
      <c r="AC680" s="118">
        <f t="shared" si="114"/>
        <v>1</v>
      </c>
      <c r="AD680" s="47">
        <v>2</v>
      </c>
      <c r="AE680" s="66">
        <f t="shared" si="117"/>
        <v>0</v>
      </c>
      <c r="AF680" s="66">
        <f t="shared" si="110"/>
        <v>0</v>
      </c>
      <c r="AG680" s="67" t="str">
        <f t="shared" si="118"/>
        <v>0000000000</v>
      </c>
      <c r="AH680" s="67" t="str">
        <f t="shared" si="119"/>
        <v>.00</v>
      </c>
      <c r="AI680" s="67" t="str">
        <f t="shared" si="115"/>
        <v>00</v>
      </c>
      <c r="AJ680" s="67" t="str">
        <f t="shared" si="120"/>
        <v>000000000000</v>
      </c>
      <c r="AK680" s="119"/>
      <c r="AL680" s="120"/>
      <c r="AP680" s="115" t="str">
        <f t="shared" si="116"/>
        <v/>
      </c>
    </row>
    <row r="681" spans="1:42" x14ac:dyDescent="0.2">
      <c r="A681" s="63" t="str">
        <f t="shared" si="112"/>
        <v/>
      </c>
      <c r="B681" s="133"/>
      <c r="C681" s="133"/>
      <c r="D681" s="135"/>
      <c r="E681" s="135"/>
      <c r="F681" s="137"/>
      <c r="AA681" s="116" t="str">
        <f t="shared" si="111"/>
        <v>00000000000000</v>
      </c>
      <c r="AB681" s="117" t="str">
        <f t="shared" si="113"/>
        <v>000000000000</v>
      </c>
      <c r="AC681" s="118">
        <f t="shared" si="114"/>
        <v>1</v>
      </c>
      <c r="AD681" s="47">
        <v>2</v>
      </c>
      <c r="AE681" s="66">
        <f t="shared" si="117"/>
        <v>0</v>
      </c>
      <c r="AF681" s="66">
        <f t="shared" si="110"/>
        <v>0</v>
      </c>
      <c r="AG681" s="67" t="str">
        <f t="shared" si="118"/>
        <v>0000000000</v>
      </c>
      <c r="AH681" s="67" t="str">
        <f t="shared" si="119"/>
        <v>.00</v>
      </c>
      <c r="AI681" s="67" t="str">
        <f t="shared" si="115"/>
        <v>00</v>
      </c>
      <c r="AJ681" s="67" t="str">
        <f t="shared" si="120"/>
        <v>000000000000</v>
      </c>
      <c r="AK681" s="119"/>
      <c r="AL681" s="120"/>
      <c r="AP681" s="115" t="str">
        <f t="shared" si="116"/>
        <v/>
      </c>
    </row>
    <row r="682" spans="1:42" x14ac:dyDescent="0.2">
      <c r="A682" s="63" t="str">
        <f t="shared" si="112"/>
        <v/>
      </c>
      <c r="B682" s="133"/>
      <c r="C682" s="133"/>
      <c r="D682" s="135"/>
      <c r="E682" s="135"/>
      <c r="F682" s="137"/>
      <c r="AA682" s="116" t="str">
        <f t="shared" si="111"/>
        <v>00000000000000</v>
      </c>
      <c r="AB682" s="117" t="str">
        <f t="shared" si="113"/>
        <v>000000000000</v>
      </c>
      <c r="AC682" s="118">
        <f t="shared" si="114"/>
        <v>1</v>
      </c>
      <c r="AD682" s="47">
        <v>2</v>
      </c>
      <c r="AE682" s="66">
        <f t="shared" si="117"/>
        <v>0</v>
      </c>
      <c r="AF682" s="66">
        <f t="shared" si="110"/>
        <v>0</v>
      </c>
      <c r="AG682" s="67" t="str">
        <f t="shared" si="118"/>
        <v>0000000000</v>
      </c>
      <c r="AH682" s="67" t="str">
        <f t="shared" si="119"/>
        <v>.00</v>
      </c>
      <c r="AI682" s="67" t="str">
        <f t="shared" si="115"/>
        <v>00</v>
      </c>
      <c r="AJ682" s="67" t="str">
        <f t="shared" si="120"/>
        <v>000000000000</v>
      </c>
      <c r="AK682" s="119"/>
      <c r="AL682" s="120"/>
      <c r="AP682" s="115" t="str">
        <f t="shared" si="116"/>
        <v/>
      </c>
    </row>
    <row r="683" spans="1:42" x14ac:dyDescent="0.2">
      <c r="A683" s="63" t="str">
        <f t="shared" si="112"/>
        <v/>
      </c>
      <c r="B683" s="133"/>
      <c r="C683" s="133"/>
      <c r="D683" s="135"/>
      <c r="E683" s="135"/>
      <c r="F683" s="137"/>
      <c r="AA683" s="116" t="str">
        <f t="shared" si="111"/>
        <v>00000000000000</v>
      </c>
      <c r="AB683" s="117" t="str">
        <f t="shared" si="113"/>
        <v>000000000000</v>
      </c>
      <c r="AC683" s="118">
        <f t="shared" si="114"/>
        <v>1</v>
      </c>
      <c r="AD683" s="47">
        <v>2</v>
      </c>
      <c r="AE683" s="66">
        <f t="shared" si="117"/>
        <v>0</v>
      </c>
      <c r="AF683" s="66">
        <f t="shared" si="110"/>
        <v>0</v>
      </c>
      <c r="AG683" s="67" t="str">
        <f t="shared" si="118"/>
        <v>0000000000</v>
      </c>
      <c r="AH683" s="67" t="str">
        <f t="shared" si="119"/>
        <v>.00</v>
      </c>
      <c r="AI683" s="67" t="str">
        <f t="shared" si="115"/>
        <v>00</v>
      </c>
      <c r="AJ683" s="67" t="str">
        <f t="shared" si="120"/>
        <v>000000000000</v>
      </c>
      <c r="AK683" s="119"/>
      <c r="AL683" s="120"/>
      <c r="AP683" s="115" t="str">
        <f t="shared" si="116"/>
        <v/>
      </c>
    </row>
    <row r="684" spans="1:42" x14ac:dyDescent="0.2">
      <c r="A684" s="63" t="str">
        <f t="shared" si="112"/>
        <v/>
      </c>
      <c r="B684" s="133"/>
      <c r="C684" s="133"/>
      <c r="D684" s="135"/>
      <c r="E684" s="135"/>
      <c r="F684" s="137"/>
      <c r="AA684" s="116" t="str">
        <f t="shared" si="111"/>
        <v>00000000000000</v>
      </c>
      <c r="AB684" s="117" t="str">
        <f t="shared" si="113"/>
        <v>000000000000</v>
      </c>
      <c r="AC684" s="118">
        <f t="shared" si="114"/>
        <v>1</v>
      </c>
      <c r="AD684" s="47">
        <v>2</v>
      </c>
      <c r="AE684" s="66">
        <f t="shared" si="117"/>
        <v>0</v>
      </c>
      <c r="AF684" s="66">
        <f t="shared" si="110"/>
        <v>0</v>
      </c>
      <c r="AG684" s="67" t="str">
        <f t="shared" si="118"/>
        <v>0000000000</v>
      </c>
      <c r="AH684" s="67" t="str">
        <f t="shared" si="119"/>
        <v>.00</v>
      </c>
      <c r="AI684" s="67" t="str">
        <f t="shared" si="115"/>
        <v>00</v>
      </c>
      <c r="AJ684" s="67" t="str">
        <f t="shared" si="120"/>
        <v>000000000000</v>
      </c>
      <c r="AK684" s="119"/>
      <c r="AL684" s="120"/>
      <c r="AP684" s="115" t="str">
        <f t="shared" si="116"/>
        <v/>
      </c>
    </row>
    <row r="685" spans="1:42" x14ac:dyDescent="0.2">
      <c r="A685" s="63" t="str">
        <f t="shared" si="112"/>
        <v/>
      </c>
      <c r="B685" s="133"/>
      <c r="C685" s="133"/>
      <c r="D685" s="135"/>
      <c r="E685" s="135"/>
      <c r="F685" s="137"/>
      <c r="AA685" s="116" t="str">
        <f t="shared" si="111"/>
        <v>00000000000000</v>
      </c>
      <c r="AB685" s="117" t="str">
        <f t="shared" si="113"/>
        <v>000000000000</v>
      </c>
      <c r="AC685" s="118">
        <f t="shared" si="114"/>
        <v>1</v>
      </c>
      <c r="AD685" s="47">
        <v>2</v>
      </c>
      <c r="AE685" s="66">
        <f t="shared" si="117"/>
        <v>0</v>
      </c>
      <c r="AF685" s="66">
        <f t="shared" si="110"/>
        <v>0</v>
      </c>
      <c r="AG685" s="67" t="str">
        <f t="shared" si="118"/>
        <v>0000000000</v>
      </c>
      <c r="AH685" s="67" t="str">
        <f t="shared" si="119"/>
        <v>.00</v>
      </c>
      <c r="AI685" s="67" t="str">
        <f t="shared" si="115"/>
        <v>00</v>
      </c>
      <c r="AJ685" s="67" t="str">
        <f t="shared" si="120"/>
        <v>000000000000</v>
      </c>
      <c r="AK685" s="119"/>
      <c r="AL685" s="120"/>
      <c r="AP685" s="115" t="str">
        <f t="shared" si="116"/>
        <v/>
      </c>
    </row>
    <row r="686" spans="1:42" x14ac:dyDescent="0.2">
      <c r="A686" s="63" t="str">
        <f t="shared" si="112"/>
        <v/>
      </c>
      <c r="B686" s="133"/>
      <c r="C686" s="133"/>
      <c r="D686" s="135"/>
      <c r="E686" s="135"/>
      <c r="F686" s="137"/>
      <c r="AA686" s="116" t="str">
        <f t="shared" si="111"/>
        <v>00000000000000</v>
      </c>
      <c r="AB686" s="117" t="str">
        <f t="shared" si="113"/>
        <v>000000000000</v>
      </c>
      <c r="AC686" s="118">
        <f t="shared" si="114"/>
        <v>1</v>
      </c>
      <c r="AD686" s="47">
        <v>2</v>
      </c>
      <c r="AE686" s="66">
        <f t="shared" si="117"/>
        <v>0</v>
      </c>
      <c r="AF686" s="66">
        <f t="shared" si="110"/>
        <v>0</v>
      </c>
      <c r="AG686" s="67" t="str">
        <f t="shared" si="118"/>
        <v>0000000000</v>
      </c>
      <c r="AH686" s="67" t="str">
        <f t="shared" si="119"/>
        <v>.00</v>
      </c>
      <c r="AI686" s="67" t="str">
        <f t="shared" si="115"/>
        <v>00</v>
      </c>
      <c r="AJ686" s="67" t="str">
        <f t="shared" si="120"/>
        <v>000000000000</v>
      </c>
      <c r="AK686" s="119"/>
      <c r="AL686" s="120"/>
      <c r="AP686" s="115" t="str">
        <f t="shared" si="116"/>
        <v/>
      </c>
    </row>
    <row r="687" spans="1:42" x14ac:dyDescent="0.2">
      <c r="A687" s="63" t="str">
        <f t="shared" si="112"/>
        <v/>
      </c>
      <c r="B687" s="133"/>
      <c r="C687" s="133"/>
      <c r="D687" s="135"/>
      <c r="E687" s="135"/>
      <c r="F687" s="137"/>
      <c r="AA687" s="116" t="str">
        <f t="shared" si="111"/>
        <v>00000000000000</v>
      </c>
      <c r="AB687" s="117" t="str">
        <f t="shared" si="113"/>
        <v>000000000000</v>
      </c>
      <c r="AC687" s="118">
        <f t="shared" si="114"/>
        <v>1</v>
      </c>
      <c r="AD687" s="47">
        <v>2</v>
      </c>
      <c r="AE687" s="66">
        <f t="shared" si="117"/>
        <v>0</v>
      </c>
      <c r="AF687" s="66">
        <f t="shared" si="110"/>
        <v>0</v>
      </c>
      <c r="AG687" s="67" t="str">
        <f t="shared" si="118"/>
        <v>0000000000</v>
      </c>
      <c r="AH687" s="67" t="str">
        <f t="shared" si="119"/>
        <v>.00</v>
      </c>
      <c r="AI687" s="67" t="str">
        <f t="shared" si="115"/>
        <v>00</v>
      </c>
      <c r="AJ687" s="67" t="str">
        <f t="shared" si="120"/>
        <v>000000000000</v>
      </c>
      <c r="AK687" s="119"/>
      <c r="AL687" s="120"/>
      <c r="AP687" s="115" t="str">
        <f t="shared" si="116"/>
        <v/>
      </c>
    </row>
    <row r="688" spans="1:42" x14ac:dyDescent="0.2">
      <c r="A688" s="63" t="str">
        <f t="shared" si="112"/>
        <v/>
      </c>
      <c r="B688" s="133"/>
      <c r="C688" s="133"/>
      <c r="D688" s="135"/>
      <c r="E688" s="135"/>
      <c r="F688" s="137"/>
      <c r="AA688" s="116" t="str">
        <f t="shared" si="111"/>
        <v>00000000000000</v>
      </c>
      <c r="AB688" s="117" t="str">
        <f t="shared" si="113"/>
        <v>000000000000</v>
      </c>
      <c r="AC688" s="118">
        <f t="shared" si="114"/>
        <v>1</v>
      </c>
      <c r="AD688" s="47">
        <v>2</v>
      </c>
      <c r="AE688" s="66">
        <f t="shared" si="117"/>
        <v>0</v>
      </c>
      <c r="AF688" s="66">
        <f t="shared" si="110"/>
        <v>0</v>
      </c>
      <c r="AG688" s="67" t="str">
        <f t="shared" si="118"/>
        <v>0000000000</v>
      </c>
      <c r="AH688" s="67" t="str">
        <f t="shared" si="119"/>
        <v>.00</v>
      </c>
      <c r="AI688" s="67" t="str">
        <f t="shared" si="115"/>
        <v>00</v>
      </c>
      <c r="AJ688" s="67" t="str">
        <f t="shared" si="120"/>
        <v>000000000000</v>
      </c>
      <c r="AK688" s="119"/>
      <c r="AL688" s="120"/>
      <c r="AP688" s="115" t="str">
        <f t="shared" si="116"/>
        <v/>
      </c>
    </row>
    <row r="689" spans="1:42" x14ac:dyDescent="0.2">
      <c r="A689" s="63" t="str">
        <f t="shared" si="112"/>
        <v/>
      </c>
      <c r="B689" s="133"/>
      <c r="C689" s="133"/>
      <c r="D689" s="135"/>
      <c r="E689" s="135"/>
      <c r="F689" s="137"/>
      <c r="AA689" s="116" t="str">
        <f t="shared" si="111"/>
        <v>00000000000000</v>
      </c>
      <c r="AB689" s="117" t="str">
        <f t="shared" si="113"/>
        <v>000000000000</v>
      </c>
      <c r="AC689" s="118">
        <f t="shared" si="114"/>
        <v>1</v>
      </c>
      <c r="AD689" s="47">
        <v>2</v>
      </c>
      <c r="AE689" s="66">
        <f t="shared" si="117"/>
        <v>0</v>
      </c>
      <c r="AF689" s="66">
        <f t="shared" si="110"/>
        <v>0</v>
      </c>
      <c r="AG689" s="67" t="str">
        <f t="shared" si="118"/>
        <v>0000000000</v>
      </c>
      <c r="AH689" s="67" t="str">
        <f t="shared" si="119"/>
        <v>.00</v>
      </c>
      <c r="AI689" s="67" t="str">
        <f t="shared" si="115"/>
        <v>00</v>
      </c>
      <c r="AJ689" s="67" t="str">
        <f t="shared" si="120"/>
        <v>000000000000</v>
      </c>
      <c r="AK689" s="119"/>
      <c r="AL689" s="120"/>
      <c r="AP689" s="115" t="str">
        <f t="shared" si="116"/>
        <v/>
      </c>
    </row>
    <row r="690" spans="1:42" x14ac:dyDescent="0.2">
      <c r="A690" s="63" t="str">
        <f t="shared" si="112"/>
        <v/>
      </c>
      <c r="B690" s="133"/>
      <c r="C690" s="133"/>
      <c r="D690" s="135"/>
      <c r="E690" s="135"/>
      <c r="F690" s="137"/>
      <c r="AA690" s="116" t="str">
        <f t="shared" si="111"/>
        <v>00000000000000</v>
      </c>
      <c r="AB690" s="117" t="str">
        <f t="shared" si="113"/>
        <v>000000000000</v>
      </c>
      <c r="AC690" s="118">
        <f t="shared" si="114"/>
        <v>1</v>
      </c>
      <c r="AD690" s="47">
        <v>2</v>
      </c>
      <c r="AE690" s="66">
        <f t="shared" si="117"/>
        <v>0</v>
      </c>
      <c r="AF690" s="66">
        <f t="shared" si="110"/>
        <v>0</v>
      </c>
      <c r="AG690" s="67" t="str">
        <f t="shared" si="118"/>
        <v>0000000000</v>
      </c>
      <c r="AH690" s="67" t="str">
        <f t="shared" si="119"/>
        <v>.00</v>
      </c>
      <c r="AI690" s="67" t="str">
        <f t="shared" si="115"/>
        <v>00</v>
      </c>
      <c r="AJ690" s="67" t="str">
        <f t="shared" si="120"/>
        <v>000000000000</v>
      </c>
      <c r="AK690" s="119"/>
      <c r="AL690" s="120"/>
      <c r="AP690" s="115" t="str">
        <f t="shared" si="116"/>
        <v/>
      </c>
    </row>
    <row r="691" spans="1:42" x14ac:dyDescent="0.2">
      <c r="A691" s="63" t="str">
        <f t="shared" si="112"/>
        <v/>
      </c>
      <c r="B691" s="133"/>
      <c r="C691" s="133"/>
      <c r="D691" s="135"/>
      <c r="E691" s="135"/>
      <c r="F691" s="137"/>
      <c r="AA691" s="116" t="str">
        <f t="shared" si="111"/>
        <v>00000000000000</v>
      </c>
      <c r="AB691" s="117" t="str">
        <f t="shared" si="113"/>
        <v>000000000000</v>
      </c>
      <c r="AC691" s="118">
        <f t="shared" si="114"/>
        <v>1</v>
      </c>
      <c r="AD691" s="47">
        <v>2</v>
      </c>
      <c r="AE691" s="66">
        <f t="shared" si="117"/>
        <v>0</v>
      </c>
      <c r="AF691" s="66">
        <f t="shared" si="110"/>
        <v>0</v>
      </c>
      <c r="AG691" s="67" t="str">
        <f t="shared" si="118"/>
        <v>0000000000</v>
      </c>
      <c r="AH691" s="67" t="str">
        <f t="shared" si="119"/>
        <v>.00</v>
      </c>
      <c r="AI691" s="67" t="str">
        <f t="shared" si="115"/>
        <v>00</v>
      </c>
      <c r="AJ691" s="67" t="str">
        <f t="shared" si="120"/>
        <v>000000000000</v>
      </c>
      <c r="AK691" s="119"/>
      <c r="AL691" s="120"/>
      <c r="AP691" s="115" t="str">
        <f t="shared" si="116"/>
        <v/>
      </c>
    </row>
    <row r="692" spans="1:42" x14ac:dyDescent="0.2">
      <c r="A692" s="63" t="str">
        <f t="shared" si="112"/>
        <v/>
      </c>
      <c r="B692" s="133"/>
      <c r="C692" s="133"/>
      <c r="D692" s="135"/>
      <c r="E692" s="135"/>
      <c r="F692" s="137"/>
      <c r="AA692" s="116" t="str">
        <f t="shared" si="111"/>
        <v>00000000000000</v>
      </c>
      <c r="AB692" s="117" t="str">
        <f t="shared" si="113"/>
        <v>000000000000</v>
      </c>
      <c r="AC692" s="118">
        <f t="shared" si="114"/>
        <v>1</v>
      </c>
      <c r="AD692" s="47">
        <v>2</v>
      </c>
      <c r="AE692" s="66">
        <f t="shared" si="117"/>
        <v>0</v>
      </c>
      <c r="AF692" s="66">
        <f t="shared" si="110"/>
        <v>0</v>
      </c>
      <c r="AG692" s="67" t="str">
        <f t="shared" si="118"/>
        <v>0000000000</v>
      </c>
      <c r="AH692" s="67" t="str">
        <f t="shared" si="119"/>
        <v>.00</v>
      </c>
      <c r="AI692" s="67" t="str">
        <f t="shared" si="115"/>
        <v>00</v>
      </c>
      <c r="AJ692" s="67" t="str">
        <f t="shared" si="120"/>
        <v>000000000000</v>
      </c>
      <c r="AK692" s="119"/>
      <c r="AL692" s="120"/>
      <c r="AP692" s="115" t="str">
        <f t="shared" si="116"/>
        <v/>
      </c>
    </row>
    <row r="693" spans="1:42" x14ac:dyDescent="0.2">
      <c r="A693" s="63" t="str">
        <f t="shared" si="112"/>
        <v/>
      </c>
      <c r="B693" s="133"/>
      <c r="C693" s="133"/>
      <c r="D693" s="135"/>
      <c r="E693" s="135"/>
      <c r="F693" s="137"/>
      <c r="AA693" s="116" t="str">
        <f t="shared" si="111"/>
        <v>00000000000000</v>
      </c>
      <c r="AB693" s="117" t="str">
        <f t="shared" si="113"/>
        <v>000000000000</v>
      </c>
      <c r="AC693" s="118">
        <f t="shared" si="114"/>
        <v>1</v>
      </c>
      <c r="AD693" s="47">
        <v>2</v>
      </c>
      <c r="AE693" s="66">
        <f t="shared" si="117"/>
        <v>0</v>
      </c>
      <c r="AF693" s="66">
        <f t="shared" si="110"/>
        <v>0</v>
      </c>
      <c r="AG693" s="67" t="str">
        <f t="shared" si="118"/>
        <v>0000000000</v>
      </c>
      <c r="AH693" s="67" t="str">
        <f t="shared" si="119"/>
        <v>.00</v>
      </c>
      <c r="AI693" s="67" t="str">
        <f t="shared" si="115"/>
        <v>00</v>
      </c>
      <c r="AJ693" s="67" t="str">
        <f t="shared" si="120"/>
        <v>000000000000</v>
      </c>
      <c r="AK693" s="119"/>
      <c r="AL693" s="120"/>
      <c r="AP693" s="115" t="str">
        <f t="shared" si="116"/>
        <v/>
      </c>
    </row>
    <row r="694" spans="1:42" x14ac:dyDescent="0.2">
      <c r="A694" s="63" t="str">
        <f t="shared" si="112"/>
        <v/>
      </c>
      <c r="B694" s="133"/>
      <c r="C694" s="133"/>
      <c r="D694" s="135"/>
      <c r="E694" s="135"/>
      <c r="F694" s="137"/>
      <c r="AA694" s="116" t="str">
        <f t="shared" si="111"/>
        <v>00000000000000</v>
      </c>
      <c r="AB694" s="117" t="str">
        <f t="shared" si="113"/>
        <v>000000000000</v>
      </c>
      <c r="AC694" s="118">
        <f t="shared" si="114"/>
        <v>1</v>
      </c>
      <c r="AD694" s="47">
        <v>2</v>
      </c>
      <c r="AE694" s="66">
        <f t="shared" si="117"/>
        <v>0</v>
      </c>
      <c r="AF694" s="66">
        <f t="shared" si="110"/>
        <v>0</v>
      </c>
      <c r="AG694" s="67" t="str">
        <f t="shared" si="118"/>
        <v>0000000000</v>
      </c>
      <c r="AH694" s="67" t="str">
        <f t="shared" si="119"/>
        <v>.00</v>
      </c>
      <c r="AI694" s="67" t="str">
        <f t="shared" si="115"/>
        <v>00</v>
      </c>
      <c r="AJ694" s="67" t="str">
        <f t="shared" si="120"/>
        <v>000000000000</v>
      </c>
      <c r="AK694" s="119"/>
      <c r="AL694" s="120"/>
      <c r="AP694" s="115" t="str">
        <f t="shared" si="116"/>
        <v/>
      </c>
    </row>
    <row r="695" spans="1:42" x14ac:dyDescent="0.2">
      <c r="A695" s="63" t="str">
        <f t="shared" si="112"/>
        <v/>
      </c>
      <c r="B695" s="133"/>
      <c r="C695" s="133"/>
      <c r="D695" s="135"/>
      <c r="E695" s="135"/>
      <c r="F695" s="137"/>
      <c r="AA695" s="116" t="str">
        <f t="shared" si="111"/>
        <v>00000000000000</v>
      </c>
      <c r="AB695" s="117" t="str">
        <f t="shared" si="113"/>
        <v>000000000000</v>
      </c>
      <c r="AC695" s="118">
        <f t="shared" si="114"/>
        <v>1</v>
      </c>
      <c r="AD695" s="47">
        <v>2</v>
      </c>
      <c r="AE695" s="66">
        <f t="shared" si="117"/>
        <v>0</v>
      </c>
      <c r="AF695" s="66">
        <f t="shared" si="110"/>
        <v>0</v>
      </c>
      <c r="AG695" s="67" t="str">
        <f t="shared" si="118"/>
        <v>0000000000</v>
      </c>
      <c r="AH695" s="67" t="str">
        <f t="shared" si="119"/>
        <v>.00</v>
      </c>
      <c r="AI695" s="67" t="str">
        <f t="shared" si="115"/>
        <v>00</v>
      </c>
      <c r="AJ695" s="67" t="str">
        <f t="shared" si="120"/>
        <v>000000000000</v>
      </c>
      <c r="AK695" s="119"/>
      <c r="AL695" s="120"/>
      <c r="AP695" s="115" t="str">
        <f t="shared" si="116"/>
        <v/>
      </c>
    </row>
    <row r="696" spans="1:42" x14ac:dyDescent="0.2">
      <c r="A696" s="63" t="str">
        <f t="shared" si="112"/>
        <v/>
      </c>
      <c r="B696" s="133"/>
      <c r="C696" s="133"/>
      <c r="D696" s="135"/>
      <c r="E696" s="135"/>
      <c r="F696" s="137"/>
      <c r="AA696" s="116" t="str">
        <f t="shared" si="111"/>
        <v>00000000000000</v>
      </c>
      <c r="AB696" s="117" t="str">
        <f t="shared" si="113"/>
        <v>000000000000</v>
      </c>
      <c r="AC696" s="118">
        <f t="shared" si="114"/>
        <v>1</v>
      </c>
      <c r="AD696" s="47">
        <v>2</v>
      </c>
      <c r="AE696" s="66">
        <f t="shared" si="117"/>
        <v>0</v>
      </c>
      <c r="AF696" s="66">
        <f t="shared" si="110"/>
        <v>0</v>
      </c>
      <c r="AG696" s="67" t="str">
        <f t="shared" si="118"/>
        <v>0000000000</v>
      </c>
      <c r="AH696" s="67" t="str">
        <f t="shared" si="119"/>
        <v>.00</v>
      </c>
      <c r="AI696" s="67" t="str">
        <f t="shared" si="115"/>
        <v>00</v>
      </c>
      <c r="AJ696" s="67" t="str">
        <f t="shared" si="120"/>
        <v>000000000000</v>
      </c>
      <c r="AK696" s="119"/>
      <c r="AL696" s="120"/>
      <c r="AP696" s="115" t="str">
        <f t="shared" si="116"/>
        <v/>
      </c>
    </row>
    <row r="697" spans="1:42" x14ac:dyDescent="0.2">
      <c r="A697" s="63" t="str">
        <f t="shared" si="112"/>
        <v/>
      </c>
      <c r="B697" s="133"/>
      <c r="C697" s="133"/>
      <c r="D697" s="135"/>
      <c r="E697" s="135"/>
      <c r="F697" s="137"/>
      <c r="AA697" s="116" t="str">
        <f t="shared" si="111"/>
        <v>00000000000000</v>
      </c>
      <c r="AB697" s="117" t="str">
        <f t="shared" si="113"/>
        <v>000000000000</v>
      </c>
      <c r="AC697" s="118">
        <f t="shared" si="114"/>
        <v>1</v>
      </c>
      <c r="AD697" s="47">
        <v>2</v>
      </c>
      <c r="AE697" s="66">
        <f t="shared" si="117"/>
        <v>0</v>
      </c>
      <c r="AF697" s="66">
        <f t="shared" si="110"/>
        <v>0</v>
      </c>
      <c r="AG697" s="67" t="str">
        <f t="shared" si="118"/>
        <v>0000000000</v>
      </c>
      <c r="AH697" s="67" t="str">
        <f t="shared" si="119"/>
        <v>.00</v>
      </c>
      <c r="AI697" s="67" t="str">
        <f t="shared" si="115"/>
        <v>00</v>
      </c>
      <c r="AJ697" s="67" t="str">
        <f t="shared" si="120"/>
        <v>000000000000</v>
      </c>
      <c r="AK697" s="119"/>
      <c r="AL697" s="120"/>
      <c r="AP697" s="115" t="str">
        <f t="shared" si="116"/>
        <v/>
      </c>
    </row>
    <row r="698" spans="1:42" x14ac:dyDescent="0.2">
      <c r="A698" s="63" t="str">
        <f t="shared" si="112"/>
        <v/>
      </c>
      <c r="B698" s="133"/>
      <c r="C698" s="133"/>
      <c r="D698" s="135"/>
      <c r="E698" s="135"/>
      <c r="F698" s="137"/>
      <c r="AA698" s="116" t="str">
        <f t="shared" si="111"/>
        <v>00000000000000</v>
      </c>
      <c r="AB698" s="117" t="str">
        <f t="shared" si="113"/>
        <v>000000000000</v>
      </c>
      <c r="AC698" s="118">
        <f t="shared" si="114"/>
        <v>1</v>
      </c>
      <c r="AD698" s="47">
        <v>2</v>
      </c>
      <c r="AE698" s="66">
        <f t="shared" si="117"/>
        <v>0</v>
      </c>
      <c r="AF698" s="66">
        <f t="shared" si="110"/>
        <v>0</v>
      </c>
      <c r="AG698" s="67" t="str">
        <f t="shared" si="118"/>
        <v>0000000000</v>
      </c>
      <c r="AH698" s="67" t="str">
        <f t="shared" si="119"/>
        <v>.00</v>
      </c>
      <c r="AI698" s="67" t="str">
        <f t="shared" si="115"/>
        <v>00</v>
      </c>
      <c r="AJ698" s="67" t="str">
        <f t="shared" si="120"/>
        <v>000000000000</v>
      </c>
      <c r="AK698" s="119"/>
      <c r="AL698" s="120"/>
      <c r="AP698" s="115" t="str">
        <f t="shared" si="116"/>
        <v/>
      </c>
    </row>
    <row r="699" spans="1:42" x14ac:dyDescent="0.2">
      <c r="A699" s="63" t="str">
        <f t="shared" si="112"/>
        <v/>
      </c>
      <c r="B699" s="133"/>
      <c r="C699" s="133"/>
      <c r="D699" s="135"/>
      <c r="E699" s="135"/>
      <c r="F699" s="137"/>
      <c r="AA699" s="116" t="str">
        <f t="shared" si="111"/>
        <v>00000000000000</v>
      </c>
      <c r="AB699" s="117" t="str">
        <f t="shared" si="113"/>
        <v>000000000000</v>
      </c>
      <c r="AC699" s="118">
        <f t="shared" si="114"/>
        <v>1</v>
      </c>
      <c r="AD699" s="47">
        <v>2</v>
      </c>
      <c r="AE699" s="66">
        <f t="shared" si="117"/>
        <v>0</v>
      </c>
      <c r="AF699" s="66">
        <f t="shared" si="110"/>
        <v>0</v>
      </c>
      <c r="AG699" s="67" t="str">
        <f t="shared" si="118"/>
        <v>0000000000</v>
      </c>
      <c r="AH699" s="67" t="str">
        <f t="shared" si="119"/>
        <v>.00</v>
      </c>
      <c r="AI699" s="67" t="str">
        <f t="shared" si="115"/>
        <v>00</v>
      </c>
      <c r="AJ699" s="67" t="str">
        <f t="shared" si="120"/>
        <v>000000000000</v>
      </c>
      <c r="AK699" s="119"/>
      <c r="AL699" s="120"/>
      <c r="AP699" s="115" t="str">
        <f t="shared" si="116"/>
        <v/>
      </c>
    </row>
    <row r="700" spans="1:42" x14ac:dyDescent="0.2">
      <c r="A700" s="63" t="str">
        <f t="shared" si="112"/>
        <v/>
      </c>
      <c r="B700" s="133"/>
      <c r="C700" s="133"/>
      <c r="D700" s="135"/>
      <c r="E700" s="135"/>
      <c r="F700" s="137"/>
      <c r="AA700" s="116" t="str">
        <f t="shared" si="111"/>
        <v>00000000000000</v>
      </c>
      <c r="AB700" s="117" t="str">
        <f t="shared" si="113"/>
        <v>000000000000</v>
      </c>
      <c r="AC700" s="118">
        <f t="shared" si="114"/>
        <v>1</v>
      </c>
      <c r="AD700" s="47">
        <v>2</v>
      </c>
      <c r="AE700" s="66">
        <f t="shared" si="117"/>
        <v>0</v>
      </c>
      <c r="AF700" s="66">
        <f t="shared" si="110"/>
        <v>0</v>
      </c>
      <c r="AG700" s="67" t="str">
        <f t="shared" si="118"/>
        <v>0000000000</v>
      </c>
      <c r="AH700" s="67" t="str">
        <f t="shared" si="119"/>
        <v>.00</v>
      </c>
      <c r="AI700" s="67" t="str">
        <f t="shared" si="115"/>
        <v>00</v>
      </c>
      <c r="AJ700" s="67" t="str">
        <f t="shared" si="120"/>
        <v>000000000000</v>
      </c>
      <c r="AK700" s="119"/>
      <c r="AL700" s="120"/>
      <c r="AP700" s="115" t="str">
        <f t="shared" si="116"/>
        <v/>
      </c>
    </row>
    <row r="701" spans="1:42" x14ac:dyDescent="0.2">
      <c r="A701" s="63" t="str">
        <f t="shared" si="112"/>
        <v/>
      </c>
      <c r="B701" s="133"/>
      <c r="C701" s="133"/>
      <c r="D701" s="135"/>
      <c r="E701" s="135"/>
      <c r="F701" s="137"/>
      <c r="AA701" s="116" t="str">
        <f t="shared" si="111"/>
        <v>00000000000000</v>
      </c>
      <c r="AB701" s="117" t="str">
        <f t="shared" si="113"/>
        <v>000000000000</v>
      </c>
      <c r="AC701" s="118">
        <f t="shared" si="114"/>
        <v>1</v>
      </c>
      <c r="AD701" s="47">
        <v>2</v>
      </c>
      <c r="AE701" s="66">
        <f t="shared" si="117"/>
        <v>0</v>
      </c>
      <c r="AF701" s="66">
        <f t="shared" si="110"/>
        <v>0</v>
      </c>
      <c r="AG701" s="67" t="str">
        <f t="shared" si="118"/>
        <v>0000000000</v>
      </c>
      <c r="AH701" s="67" t="str">
        <f t="shared" si="119"/>
        <v>.00</v>
      </c>
      <c r="AI701" s="67" t="str">
        <f t="shared" si="115"/>
        <v>00</v>
      </c>
      <c r="AJ701" s="67" t="str">
        <f t="shared" si="120"/>
        <v>000000000000</v>
      </c>
      <c r="AK701" s="119"/>
      <c r="AL701" s="120"/>
      <c r="AP701" s="115" t="str">
        <f t="shared" si="116"/>
        <v/>
      </c>
    </row>
    <row r="702" spans="1:42" x14ac:dyDescent="0.2">
      <c r="A702" s="63" t="str">
        <f t="shared" si="112"/>
        <v/>
      </c>
      <c r="B702" s="133"/>
      <c r="C702" s="133"/>
      <c r="D702" s="135"/>
      <c r="E702" s="135"/>
      <c r="F702" s="137"/>
      <c r="AA702" s="116" t="str">
        <f t="shared" si="111"/>
        <v>00000000000000</v>
      </c>
      <c r="AB702" s="117" t="str">
        <f t="shared" si="113"/>
        <v>000000000000</v>
      </c>
      <c r="AC702" s="118">
        <f t="shared" si="114"/>
        <v>1</v>
      </c>
      <c r="AD702" s="47">
        <v>2</v>
      </c>
      <c r="AE702" s="66">
        <f t="shared" si="117"/>
        <v>0</v>
      </c>
      <c r="AF702" s="66">
        <f t="shared" si="110"/>
        <v>0</v>
      </c>
      <c r="AG702" s="67" t="str">
        <f t="shared" si="118"/>
        <v>0000000000</v>
      </c>
      <c r="AH702" s="67" t="str">
        <f t="shared" si="119"/>
        <v>.00</v>
      </c>
      <c r="AI702" s="67" t="str">
        <f t="shared" si="115"/>
        <v>00</v>
      </c>
      <c r="AJ702" s="67" t="str">
        <f t="shared" si="120"/>
        <v>000000000000</v>
      </c>
      <c r="AK702" s="119"/>
      <c r="AL702" s="120"/>
      <c r="AP702" s="115" t="str">
        <f t="shared" si="116"/>
        <v/>
      </c>
    </row>
    <row r="703" spans="1:42" x14ac:dyDescent="0.2">
      <c r="A703" s="63" t="str">
        <f t="shared" si="112"/>
        <v/>
      </c>
      <c r="B703" s="133"/>
      <c r="C703" s="133"/>
      <c r="D703" s="135"/>
      <c r="E703" s="135"/>
      <c r="F703" s="137"/>
      <c r="AA703" s="116" t="str">
        <f t="shared" si="111"/>
        <v>00000000000000</v>
      </c>
      <c r="AB703" s="117" t="str">
        <f t="shared" si="113"/>
        <v>000000000000</v>
      </c>
      <c r="AC703" s="118">
        <f t="shared" si="114"/>
        <v>1</v>
      </c>
      <c r="AD703" s="47">
        <v>2</v>
      </c>
      <c r="AE703" s="66">
        <f t="shared" si="117"/>
        <v>0</v>
      </c>
      <c r="AF703" s="66">
        <f t="shared" si="110"/>
        <v>0</v>
      </c>
      <c r="AG703" s="67" t="str">
        <f t="shared" si="118"/>
        <v>0000000000</v>
      </c>
      <c r="AH703" s="67" t="str">
        <f t="shared" si="119"/>
        <v>.00</v>
      </c>
      <c r="AI703" s="67" t="str">
        <f t="shared" si="115"/>
        <v>00</v>
      </c>
      <c r="AJ703" s="67" t="str">
        <f t="shared" si="120"/>
        <v>000000000000</v>
      </c>
      <c r="AK703" s="119"/>
      <c r="AL703" s="120"/>
      <c r="AP703" s="115" t="str">
        <f t="shared" si="116"/>
        <v/>
      </c>
    </row>
    <row r="704" spans="1:42" x14ac:dyDescent="0.2">
      <c r="A704" s="63" t="str">
        <f t="shared" si="112"/>
        <v/>
      </c>
      <c r="B704" s="133"/>
      <c r="C704" s="133"/>
      <c r="D704" s="135"/>
      <c r="E704" s="135"/>
      <c r="F704" s="137"/>
      <c r="AA704" s="116" t="str">
        <f t="shared" si="111"/>
        <v>00000000000000</v>
      </c>
      <c r="AB704" s="117" t="str">
        <f t="shared" si="113"/>
        <v>000000000000</v>
      </c>
      <c r="AC704" s="118">
        <f t="shared" si="114"/>
        <v>1</v>
      </c>
      <c r="AD704" s="47">
        <v>2</v>
      </c>
      <c r="AE704" s="66">
        <f t="shared" si="117"/>
        <v>0</v>
      </c>
      <c r="AF704" s="66">
        <f t="shared" si="110"/>
        <v>0</v>
      </c>
      <c r="AG704" s="67" t="str">
        <f t="shared" si="118"/>
        <v>0000000000</v>
      </c>
      <c r="AH704" s="67" t="str">
        <f t="shared" si="119"/>
        <v>.00</v>
      </c>
      <c r="AI704" s="67" t="str">
        <f t="shared" si="115"/>
        <v>00</v>
      </c>
      <c r="AJ704" s="67" t="str">
        <f t="shared" si="120"/>
        <v>000000000000</v>
      </c>
      <c r="AK704" s="119"/>
      <c r="AL704" s="120"/>
      <c r="AP704" s="115" t="str">
        <f t="shared" si="116"/>
        <v/>
      </c>
    </row>
    <row r="705" spans="1:42" x14ac:dyDescent="0.2">
      <c r="A705" s="63" t="str">
        <f t="shared" si="112"/>
        <v/>
      </c>
      <c r="B705" s="133"/>
      <c r="C705" s="133"/>
      <c r="D705" s="135"/>
      <c r="E705" s="135"/>
      <c r="F705" s="137"/>
      <c r="AA705" s="116" t="str">
        <f t="shared" si="111"/>
        <v>00000000000000</v>
      </c>
      <c r="AB705" s="117" t="str">
        <f t="shared" si="113"/>
        <v>000000000000</v>
      </c>
      <c r="AC705" s="118">
        <f t="shared" si="114"/>
        <v>1</v>
      </c>
      <c r="AD705" s="47">
        <v>2</v>
      </c>
      <c r="AE705" s="66">
        <f t="shared" si="117"/>
        <v>0</v>
      </c>
      <c r="AF705" s="66">
        <f t="shared" si="110"/>
        <v>0</v>
      </c>
      <c r="AG705" s="67" t="str">
        <f t="shared" si="118"/>
        <v>0000000000</v>
      </c>
      <c r="AH705" s="67" t="str">
        <f t="shared" si="119"/>
        <v>.00</v>
      </c>
      <c r="AI705" s="67" t="str">
        <f t="shared" si="115"/>
        <v>00</v>
      </c>
      <c r="AJ705" s="67" t="str">
        <f t="shared" si="120"/>
        <v>000000000000</v>
      </c>
      <c r="AK705" s="119"/>
      <c r="AL705" s="120"/>
      <c r="AP705" s="115" t="str">
        <f t="shared" si="116"/>
        <v/>
      </c>
    </row>
    <row r="706" spans="1:42" x14ac:dyDescent="0.2">
      <c r="A706" s="63" t="str">
        <f t="shared" si="112"/>
        <v/>
      </c>
      <c r="B706" s="133"/>
      <c r="C706" s="133"/>
      <c r="D706" s="135"/>
      <c r="E706" s="135"/>
      <c r="F706" s="137"/>
      <c r="AA706" s="116" t="str">
        <f t="shared" si="111"/>
        <v>00000000000000</v>
      </c>
      <c r="AB706" s="117" t="str">
        <f t="shared" si="113"/>
        <v>000000000000</v>
      </c>
      <c r="AC706" s="118">
        <f t="shared" si="114"/>
        <v>1</v>
      </c>
      <c r="AD706" s="47">
        <v>2</v>
      </c>
      <c r="AE706" s="66">
        <f t="shared" si="117"/>
        <v>0</v>
      </c>
      <c r="AF706" s="66">
        <f t="shared" si="110"/>
        <v>0</v>
      </c>
      <c r="AG706" s="67" t="str">
        <f t="shared" si="118"/>
        <v>0000000000</v>
      </c>
      <c r="AH706" s="67" t="str">
        <f t="shared" si="119"/>
        <v>.00</v>
      </c>
      <c r="AI706" s="67" t="str">
        <f t="shared" si="115"/>
        <v>00</v>
      </c>
      <c r="AJ706" s="67" t="str">
        <f t="shared" si="120"/>
        <v>000000000000</v>
      </c>
      <c r="AK706" s="119"/>
      <c r="AL706" s="120"/>
      <c r="AP706" s="115" t="str">
        <f t="shared" si="116"/>
        <v/>
      </c>
    </row>
    <row r="707" spans="1:42" x14ac:dyDescent="0.2">
      <c r="A707" s="63" t="str">
        <f t="shared" si="112"/>
        <v/>
      </c>
      <c r="B707" s="133"/>
      <c r="C707" s="133"/>
      <c r="D707" s="135"/>
      <c r="E707" s="135"/>
      <c r="F707" s="137"/>
      <c r="AA707" s="116" t="str">
        <f t="shared" si="111"/>
        <v>00000000000000</v>
      </c>
      <c r="AB707" s="117" t="str">
        <f t="shared" si="113"/>
        <v>000000000000</v>
      </c>
      <c r="AC707" s="118">
        <f t="shared" si="114"/>
        <v>1</v>
      </c>
      <c r="AD707" s="47">
        <v>2</v>
      </c>
      <c r="AE707" s="66">
        <f t="shared" si="117"/>
        <v>0</v>
      </c>
      <c r="AF707" s="66">
        <f t="shared" ref="AF707:AF770" si="121">F707-AE707</f>
        <v>0</v>
      </c>
      <c r="AG707" s="67" t="str">
        <f t="shared" si="118"/>
        <v>0000000000</v>
      </c>
      <c r="AH707" s="67" t="str">
        <f t="shared" si="119"/>
        <v>.00</v>
      </c>
      <c r="AI707" s="67" t="str">
        <f t="shared" si="115"/>
        <v>00</v>
      </c>
      <c r="AJ707" s="67" t="str">
        <f t="shared" si="120"/>
        <v>000000000000</v>
      </c>
      <c r="AK707" s="119"/>
      <c r="AL707" s="120"/>
      <c r="AP707" s="115" t="str">
        <f t="shared" si="116"/>
        <v/>
      </c>
    </row>
    <row r="708" spans="1:42" x14ac:dyDescent="0.2">
      <c r="A708" s="63" t="str">
        <f t="shared" si="112"/>
        <v/>
      </c>
      <c r="B708" s="133"/>
      <c r="C708" s="133"/>
      <c r="D708" s="135"/>
      <c r="E708" s="135"/>
      <c r="F708" s="137"/>
      <c r="AA708" s="116" t="str">
        <f t="shared" ref="AA708:AA771" si="122">CONCATENATE(REPT("0",14-LEN(B708)),B708)</f>
        <v>00000000000000</v>
      </c>
      <c r="AB708" s="117" t="str">
        <f t="shared" si="113"/>
        <v>000000000000</v>
      </c>
      <c r="AC708" s="118">
        <f t="shared" si="114"/>
        <v>1</v>
      </c>
      <c r="AD708" s="47">
        <v>2</v>
      </c>
      <c r="AE708" s="66">
        <f t="shared" si="117"/>
        <v>0</v>
      </c>
      <c r="AF708" s="66">
        <f t="shared" si="121"/>
        <v>0</v>
      </c>
      <c r="AG708" s="67" t="str">
        <f t="shared" si="118"/>
        <v>0000000000</v>
      </c>
      <c r="AH708" s="67" t="str">
        <f t="shared" si="119"/>
        <v>.00</v>
      </c>
      <c r="AI708" s="67" t="str">
        <f t="shared" si="115"/>
        <v>00</v>
      </c>
      <c r="AJ708" s="67" t="str">
        <f t="shared" si="120"/>
        <v>000000000000</v>
      </c>
      <c r="AK708" s="119"/>
      <c r="AL708" s="120"/>
      <c r="AP708" s="115" t="str">
        <f t="shared" si="116"/>
        <v/>
      </c>
    </row>
    <row r="709" spans="1:42" x14ac:dyDescent="0.2">
      <c r="A709" s="63" t="str">
        <f t="shared" ref="A709:A772" si="123">IF(B709&lt;&gt;"",A708+1,"")</f>
        <v/>
      </c>
      <c r="B709" s="133"/>
      <c r="C709" s="133"/>
      <c r="D709" s="135"/>
      <c r="E709" s="135"/>
      <c r="F709" s="137"/>
      <c r="AA709" s="116" t="str">
        <f t="shared" si="122"/>
        <v>00000000000000</v>
      </c>
      <c r="AB709" s="117" t="str">
        <f t="shared" ref="AB709:AB772" si="124">CONCATENATE(REPT("0",12-LEN(C709)),C709)</f>
        <v>000000000000</v>
      </c>
      <c r="AC709" s="118">
        <f t="shared" ref="AC709:AC772" si="125">AC708</f>
        <v>1</v>
      </c>
      <c r="AD709" s="47">
        <v>2</v>
      </c>
      <c r="AE709" s="66">
        <f t="shared" si="117"/>
        <v>0</v>
      </c>
      <c r="AF709" s="66">
        <f t="shared" si="121"/>
        <v>0</v>
      </c>
      <c r="AG709" s="67" t="str">
        <f t="shared" si="118"/>
        <v>0000000000</v>
      </c>
      <c r="AH709" s="67" t="str">
        <f t="shared" si="119"/>
        <v>.00</v>
      </c>
      <c r="AI709" s="67" t="str">
        <f t="shared" ref="AI709:AI772" si="126">MID(AH709,2,2)</f>
        <v>00</v>
      </c>
      <c r="AJ709" s="67" t="str">
        <f t="shared" si="120"/>
        <v>000000000000</v>
      </c>
      <c r="AK709" s="119"/>
      <c r="AL709" s="120"/>
      <c r="AP709" s="115" t="str">
        <f t="shared" si="116"/>
        <v/>
      </c>
    </row>
    <row r="710" spans="1:42" x14ac:dyDescent="0.2">
      <c r="A710" s="63" t="str">
        <f t="shared" si="123"/>
        <v/>
      </c>
      <c r="B710" s="133"/>
      <c r="C710" s="133"/>
      <c r="D710" s="135"/>
      <c r="E710" s="135"/>
      <c r="F710" s="137"/>
      <c r="AA710" s="116" t="str">
        <f t="shared" si="122"/>
        <v>00000000000000</v>
      </c>
      <c r="AB710" s="117" t="str">
        <f t="shared" si="124"/>
        <v>000000000000</v>
      </c>
      <c r="AC710" s="118">
        <f t="shared" si="125"/>
        <v>1</v>
      </c>
      <c r="AD710" s="47">
        <v>2</v>
      </c>
      <c r="AE710" s="66">
        <f t="shared" si="117"/>
        <v>0</v>
      </c>
      <c r="AF710" s="66">
        <f t="shared" si="121"/>
        <v>0</v>
      </c>
      <c r="AG710" s="67" t="str">
        <f t="shared" si="118"/>
        <v>0000000000</v>
      </c>
      <c r="AH710" s="67" t="str">
        <f t="shared" si="119"/>
        <v>.00</v>
      </c>
      <c r="AI710" s="67" t="str">
        <f t="shared" si="126"/>
        <v>00</v>
      </c>
      <c r="AJ710" s="67" t="str">
        <f t="shared" si="120"/>
        <v>000000000000</v>
      </c>
      <c r="AK710" s="119"/>
      <c r="AL710" s="120"/>
      <c r="AP710" s="115" t="str">
        <f t="shared" ref="AP710:AP773" si="127">IF(B711&lt;&gt;"",CONCATENATE("00000",$AD$1,AA711,$AC$3,"2",AB711,AJ711,$AL$3,"0                                                  "),"")</f>
        <v/>
      </c>
    </row>
    <row r="711" spans="1:42" x14ac:dyDescent="0.2">
      <c r="A711" s="63" t="str">
        <f t="shared" si="123"/>
        <v/>
      </c>
      <c r="B711" s="133"/>
      <c r="C711" s="133"/>
      <c r="D711" s="135"/>
      <c r="E711" s="135"/>
      <c r="F711" s="137"/>
      <c r="AA711" s="116" t="str">
        <f t="shared" si="122"/>
        <v>00000000000000</v>
      </c>
      <c r="AB711" s="117" t="str">
        <f t="shared" si="124"/>
        <v>000000000000</v>
      </c>
      <c r="AC711" s="118">
        <f t="shared" si="125"/>
        <v>1</v>
      </c>
      <c r="AD711" s="47">
        <v>2</v>
      </c>
      <c r="AE711" s="66">
        <f t="shared" si="117"/>
        <v>0</v>
      </c>
      <c r="AF711" s="66">
        <f t="shared" si="121"/>
        <v>0</v>
      </c>
      <c r="AG711" s="67" t="str">
        <f t="shared" si="118"/>
        <v>0000000000</v>
      </c>
      <c r="AH711" s="67" t="str">
        <f t="shared" si="119"/>
        <v>.00</v>
      </c>
      <c r="AI711" s="67" t="str">
        <f t="shared" si="126"/>
        <v>00</v>
      </c>
      <c r="AJ711" s="67" t="str">
        <f t="shared" si="120"/>
        <v>000000000000</v>
      </c>
      <c r="AK711" s="119"/>
      <c r="AL711" s="120"/>
      <c r="AP711" s="115" t="str">
        <f t="shared" si="127"/>
        <v/>
      </c>
    </row>
    <row r="712" spans="1:42" x14ac:dyDescent="0.2">
      <c r="A712" s="63" t="str">
        <f t="shared" si="123"/>
        <v/>
      </c>
      <c r="B712" s="133"/>
      <c r="C712" s="133"/>
      <c r="D712" s="135"/>
      <c r="E712" s="135"/>
      <c r="F712" s="137"/>
      <c r="AA712" s="116" t="str">
        <f t="shared" si="122"/>
        <v>00000000000000</v>
      </c>
      <c r="AB712" s="117" t="str">
        <f t="shared" si="124"/>
        <v>000000000000</v>
      </c>
      <c r="AC712" s="118">
        <f t="shared" si="125"/>
        <v>1</v>
      </c>
      <c r="AD712" s="47">
        <v>2</v>
      </c>
      <c r="AE712" s="66">
        <f t="shared" ref="AE712:AE775" si="128">INT(F712)</f>
        <v>0</v>
      </c>
      <c r="AF712" s="66">
        <f t="shared" si="121"/>
        <v>0</v>
      </c>
      <c r="AG712" s="67" t="str">
        <f t="shared" ref="AG712:AG775" si="129">TEXT(AE712,"0000000000")</f>
        <v>0000000000</v>
      </c>
      <c r="AH712" s="67" t="str">
        <f t="shared" ref="AH712:AH775" si="130">TEXT(AF712,".00")</f>
        <v>.00</v>
      </c>
      <c r="AI712" s="67" t="str">
        <f t="shared" si="126"/>
        <v>00</v>
      </c>
      <c r="AJ712" s="67" t="str">
        <f t="shared" ref="AJ712:AJ775" si="131">CONCATENATE(AG712,AI712)</f>
        <v>000000000000</v>
      </c>
      <c r="AK712" s="119"/>
      <c r="AL712" s="120"/>
      <c r="AP712" s="115" t="str">
        <f t="shared" si="127"/>
        <v/>
      </c>
    </row>
    <row r="713" spans="1:42" x14ac:dyDescent="0.2">
      <c r="A713" s="63" t="str">
        <f t="shared" si="123"/>
        <v/>
      </c>
      <c r="B713" s="133"/>
      <c r="C713" s="133"/>
      <c r="D713" s="135"/>
      <c r="E713" s="135"/>
      <c r="F713" s="137"/>
      <c r="AA713" s="116" t="str">
        <f t="shared" si="122"/>
        <v>00000000000000</v>
      </c>
      <c r="AB713" s="117" t="str">
        <f t="shared" si="124"/>
        <v>000000000000</v>
      </c>
      <c r="AC713" s="118">
        <f t="shared" si="125"/>
        <v>1</v>
      </c>
      <c r="AD713" s="47">
        <v>2</v>
      </c>
      <c r="AE713" s="66">
        <f t="shared" si="128"/>
        <v>0</v>
      </c>
      <c r="AF713" s="66">
        <f t="shared" si="121"/>
        <v>0</v>
      </c>
      <c r="AG713" s="67" t="str">
        <f t="shared" si="129"/>
        <v>0000000000</v>
      </c>
      <c r="AH713" s="67" t="str">
        <f t="shared" si="130"/>
        <v>.00</v>
      </c>
      <c r="AI713" s="67" t="str">
        <f t="shared" si="126"/>
        <v>00</v>
      </c>
      <c r="AJ713" s="67" t="str">
        <f t="shared" si="131"/>
        <v>000000000000</v>
      </c>
      <c r="AK713" s="119"/>
      <c r="AL713" s="120"/>
      <c r="AP713" s="115" t="str">
        <f t="shared" si="127"/>
        <v/>
      </c>
    </row>
    <row r="714" spans="1:42" x14ac:dyDescent="0.2">
      <c r="A714" s="63" t="str">
        <f t="shared" si="123"/>
        <v/>
      </c>
      <c r="B714" s="133"/>
      <c r="C714" s="133"/>
      <c r="D714" s="135"/>
      <c r="E714" s="135"/>
      <c r="F714" s="137"/>
      <c r="AA714" s="116" t="str">
        <f t="shared" si="122"/>
        <v>00000000000000</v>
      </c>
      <c r="AB714" s="117" t="str">
        <f t="shared" si="124"/>
        <v>000000000000</v>
      </c>
      <c r="AC714" s="118">
        <f t="shared" si="125"/>
        <v>1</v>
      </c>
      <c r="AD714" s="47">
        <v>2</v>
      </c>
      <c r="AE714" s="66">
        <f t="shared" si="128"/>
        <v>0</v>
      </c>
      <c r="AF714" s="66">
        <f t="shared" si="121"/>
        <v>0</v>
      </c>
      <c r="AG714" s="67" t="str">
        <f t="shared" si="129"/>
        <v>0000000000</v>
      </c>
      <c r="AH714" s="67" t="str">
        <f t="shared" si="130"/>
        <v>.00</v>
      </c>
      <c r="AI714" s="67" t="str">
        <f t="shared" si="126"/>
        <v>00</v>
      </c>
      <c r="AJ714" s="67" t="str">
        <f t="shared" si="131"/>
        <v>000000000000</v>
      </c>
      <c r="AK714" s="119"/>
      <c r="AL714" s="120"/>
      <c r="AP714" s="115" t="str">
        <f t="shared" si="127"/>
        <v/>
      </c>
    </row>
    <row r="715" spans="1:42" x14ac:dyDescent="0.2">
      <c r="A715" s="63" t="str">
        <f t="shared" si="123"/>
        <v/>
      </c>
      <c r="B715" s="133"/>
      <c r="C715" s="133"/>
      <c r="D715" s="135"/>
      <c r="E715" s="135"/>
      <c r="F715" s="137"/>
      <c r="AA715" s="116" t="str">
        <f t="shared" si="122"/>
        <v>00000000000000</v>
      </c>
      <c r="AB715" s="117" t="str">
        <f t="shared" si="124"/>
        <v>000000000000</v>
      </c>
      <c r="AC715" s="118">
        <f t="shared" si="125"/>
        <v>1</v>
      </c>
      <c r="AD715" s="47">
        <v>2</v>
      </c>
      <c r="AE715" s="66">
        <f t="shared" si="128"/>
        <v>0</v>
      </c>
      <c r="AF715" s="66">
        <f t="shared" si="121"/>
        <v>0</v>
      </c>
      <c r="AG715" s="67" t="str">
        <f t="shared" si="129"/>
        <v>0000000000</v>
      </c>
      <c r="AH715" s="67" t="str">
        <f t="shared" si="130"/>
        <v>.00</v>
      </c>
      <c r="AI715" s="67" t="str">
        <f t="shared" si="126"/>
        <v>00</v>
      </c>
      <c r="AJ715" s="67" t="str">
        <f t="shared" si="131"/>
        <v>000000000000</v>
      </c>
      <c r="AK715" s="119"/>
      <c r="AL715" s="120"/>
      <c r="AP715" s="115" t="str">
        <f t="shared" si="127"/>
        <v/>
      </c>
    </row>
    <row r="716" spans="1:42" x14ac:dyDescent="0.2">
      <c r="A716" s="63" t="str">
        <f t="shared" si="123"/>
        <v/>
      </c>
      <c r="B716" s="133"/>
      <c r="C716" s="133"/>
      <c r="D716" s="135"/>
      <c r="E716" s="135"/>
      <c r="F716" s="137"/>
      <c r="AA716" s="116" t="str">
        <f t="shared" si="122"/>
        <v>00000000000000</v>
      </c>
      <c r="AB716" s="117" t="str">
        <f t="shared" si="124"/>
        <v>000000000000</v>
      </c>
      <c r="AC716" s="118">
        <f t="shared" si="125"/>
        <v>1</v>
      </c>
      <c r="AD716" s="47">
        <v>2</v>
      </c>
      <c r="AE716" s="66">
        <f t="shared" si="128"/>
        <v>0</v>
      </c>
      <c r="AF716" s="66">
        <f t="shared" si="121"/>
        <v>0</v>
      </c>
      <c r="AG716" s="67" t="str">
        <f t="shared" si="129"/>
        <v>0000000000</v>
      </c>
      <c r="AH716" s="67" t="str">
        <f t="shared" si="130"/>
        <v>.00</v>
      </c>
      <c r="AI716" s="67" t="str">
        <f t="shared" si="126"/>
        <v>00</v>
      </c>
      <c r="AJ716" s="67" t="str">
        <f t="shared" si="131"/>
        <v>000000000000</v>
      </c>
      <c r="AK716" s="119"/>
      <c r="AL716" s="120"/>
      <c r="AP716" s="115" t="str">
        <f t="shared" si="127"/>
        <v/>
      </c>
    </row>
    <row r="717" spans="1:42" x14ac:dyDescent="0.2">
      <c r="A717" s="63" t="str">
        <f t="shared" si="123"/>
        <v/>
      </c>
      <c r="B717" s="133"/>
      <c r="C717" s="133"/>
      <c r="D717" s="135"/>
      <c r="E717" s="135"/>
      <c r="F717" s="137"/>
      <c r="AA717" s="116" t="str">
        <f t="shared" si="122"/>
        <v>00000000000000</v>
      </c>
      <c r="AB717" s="117" t="str">
        <f t="shared" si="124"/>
        <v>000000000000</v>
      </c>
      <c r="AC717" s="118">
        <f t="shared" si="125"/>
        <v>1</v>
      </c>
      <c r="AD717" s="47">
        <v>2</v>
      </c>
      <c r="AE717" s="66">
        <f t="shared" si="128"/>
        <v>0</v>
      </c>
      <c r="AF717" s="66">
        <f t="shared" si="121"/>
        <v>0</v>
      </c>
      <c r="AG717" s="67" t="str">
        <f t="shared" si="129"/>
        <v>0000000000</v>
      </c>
      <c r="AH717" s="67" t="str">
        <f t="shared" si="130"/>
        <v>.00</v>
      </c>
      <c r="AI717" s="67" t="str">
        <f t="shared" si="126"/>
        <v>00</v>
      </c>
      <c r="AJ717" s="67" t="str">
        <f t="shared" si="131"/>
        <v>000000000000</v>
      </c>
      <c r="AK717" s="119"/>
      <c r="AL717" s="120"/>
      <c r="AP717" s="115" t="str">
        <f t="shared" si="127"/>
        <v/>
      </c>
    </row>
    <row r="718" spans="1:42" x14ac:dyDescent="0.2">
      <c r="A718" s="63" t="str">
        <f t="shared" si="123"/>
        <v/>
      </c>
      <c r="B718" s="133"/>
      <c r="C718" s="133"/>
      <c r="D718" s="135"/>
      <c r="E718" s="135"/>
      <c r="F718" s="137"/>
      <c r="AA718" s="116" t="str">
        <f t="shared" si="122"/>
        <v>00000000000000</v>
      </c>
      <c r="AB718" s="117" t="str">
        <f t="shared" si="124"/>
        <v>000000000000</v>
      </c>
      <c r="AC718" s="118">
        <f t="shared" si="125"/>
        <v>1</v>
      </c>
      <c r="AD718" s="47">
        <v>2</v>
      </c>
      <c r="AE718" s="66">
        <f t="shared" si="128"/>
        <v>0</v>
      </c>
      <c r="AF718" s="66">
        <f t="shared" si="121"/>
        <v>0</v>
      </c>
      <c r="AG718" s="67" t="str">
        <f t="shared" si="129"/>
        <v>0000000000</v>
      </c>
      <c r="AH718" s="67" t="str">
        <f t="shared" si="130"/>
        <v>.00</v>
      </c>
      <c r="AI718" s="67" t="str">
        <f t="shared" si="126"/>
        <v>00</v>
      </c>
      <c r="AJ718" s="67" t="str">
        <f t="shared" si="131"/>
        <v>000000000000</v>
      </c>
      <c r="AK718" s="119"/>
      <c r="AL718" s="120"/>
      <c r="AP718" s="115" t="str">
        <f t="shared" si="127"/>
        <v/>
      </c>
    </row>
    <row r="719" spans="1:42" x14ac:dyDescent="0.2">
      <c r="A719" s="63" t="str">
        <f t="shared" si="123"/>
        <v/>
      </c>
      <c r="B719" s="133"/>
      <c r="C719" s="133"/>
      <c r="D719" s="135"/>
      <c r="E719" s="135"/>
      <c r="F719" s="137"/>
      <c r="AA719" s="116" t="str">
        <f t="shared" si="122"/>
        <v>00000000000000</v>
      </c>
      <c r="AB719" s="117" t="str">
        <f t="shared" si="124"/>
        <v>000000000000</v>
      </c>
      <c r="AC719" s="118">
        <f t="shared" si="125"/>
        <v>1</v>
      </c>
      <c r="AD719" s="47">
        <v>2</v>
      </c>
      <c r="AE719" s="66">
        <f t="shared" si="128"/>
        <v>0</v>
      </c>
      <c r="AF719" s="66">
        <f t="shared" si="121"/>
        <v>0</v>
      </c>
      <c r="AG719" s="67" t="str">
        <f t="shared" si="129"/>
        <v>0000000000</v>
      </c>
      <c r="AH719" s="67" t="str">
        <f t="shared" si="130"/>
        <v>.00</v>
      </c>
      <c r="AI719" s="67" t="str">
        <f t="shared" si="126"/>
        <v>00</v>
      </c>
      <c r="AJ719" s="67" t="str">
        <f t="shared" si="131"/>
        <v>000000000000</v>
      </c>
      <c r="AK719" s="119"/>
      <c r="AL719" s="120"/>
      <c r="AP719" s="115" t="str">
        <f t="shared" si="127"/>
        <v/>
      </c>
    </row>
    <row r="720" spans="1:42" x14ac:dyDescent="0.2">
      <c r="A720" s="63" t="str">
        <f t="shared" si="123"/>
        <v/>
      </c>
      <c r="B720" s="133"/>
      <c r="C720" s="133"/>
      <c r="D720" s="135"/>
      <c r="E720" s="135"/>
      <c r="F720" s="137"/>
      <c r="AA720" s="116" t="str">
        <f t="shared" si="122"/>
        <v>00000000000000</v>
      </c>
      <c r="AB720" s="117" t="str">
        <f t="shared" si="124"/>
        <v>000000000000</v>
      </c>
      <c r="AC720" s="118">
        <f t="shared" si="125"/>
        <v>1</v>
      </c>
      <c r="AD720" s="47">
        <v>2</v>
      </c>
      <c r="AE720" s="66">
        <f t="shared" si="128"/>
        <v>0</v>
      </c>
      <c r="AF720" s="66">
        <f t="shared" si="121"/>
        <v>0</v>
      </c>
      <c r="AG720" s="67" t="str">
        <f t="shared" si="129"/>
        <v>0000000000</v>
      </c>
      <c r="AH720" s="67" t="str">
        <f t="shared" si="130"/>
        <v>.00</v>
      </c>
      <c r="AI720" s="67" t="str">
        <f t="shared" si="126"/>
        <v>00</v>
      </c>
      <c r="AJ720" s="67" t="str">
        <f t="shared" si="131"/>
        <v>000000000000</v>
      </c>
      <c r="AK720" s="119"/>
      <c r="AL720" s="120"/>
      <c r="AP720" s="115" t="str">
        <f t="shared" si="127"/>
        <v/>
      </c>
    </row>
    <row r="721" spans="1:42" x14ac:dyDescent="0.2">
      <c r="A721" s="63" t="str">
        <f t="shared" si="123"/>
        <v/>
      </c>
      <c r="B721" s="133"/>
      <c r="C721" s="133"/>
      <c r="D721" s="135"/>
      <c r="E721" s="135"/>
      <c r="F721" s="137"/>
      <c r="AA721" s="116" t="str">
        <f t="shared" si="122"/>
        <v>00000000000000</v>
      </c>
      <c r="AB721" s="117" t="str">
        <f t="shared" si="124"/>
        <v>000000000000</v>
      </c>
      <c r="AC721" s="118">
        <f t="shared" si="125"/>
        <v>1</v>
      </c>
      <c r="AD721" s="47">
        <v>2</v>
      </c>
      <c r="AE721" s="66">
        <f t="shared" si="128"/>
        <v>0</v>
      </c>
      <c r="AF721" s="66">
        <f t="shared" si="121"/>
        <v>0</v>
      </c>
      <c r="AG721" s="67" t="str">
        <f t="shared" si="129"/>
        <v>0000000000</v>
      </c>
      <c r="AH721" s="67" t="str">
        <f t="shared" si="130"/>
        <v>.00</v>
      </c>
      <c r="AI721" s="67" t="str">
        <f t="shared" si="126"/>
        <v>00</v>
      </c>
      <c r="AJ721" s="67" t="str">
        <f t="shared" si="131"/>
        <v>000000000000</v>
      </c>
      <c r="AK721" s="119"/>
      <c r="AL721" s="120"/>
      <c r="AP721" s="115" t="str">
        <f t="shared" si="127"/>
        <v/>
      </c>
    </row>
    <row r="722" spans="1:42" x14ac:dyDescent="0.2">
      <c r="A722" s="63" t="str">
        <f t="shared" si="123"/>
        <v/>
      </c>
      <c r="B722" s="133"/>
      <c r="C722" s="133"/>
      <c r="D722" s="135"/>
      <c r="E722" s="135"/>
      <c r="F722" s="137"/>
      <c r="AA722" s="116" t="str">
        <f t="shared" si="122"/>
        <v>00000000000000</v>
      </c>
      <c r="AB722" s="117" t="str">
        <f t="shared" si="124"/>
        <v>000000000000</v>
      </c>
      <c r="AC722" s="118">
        <f t="shared" si="125"/>
        <v>1</v>
      </c>
      <c r="AD722" s="47">
        <v>2</v>
      </c>
      <c r="AE722" s="66">
        <f t="shared" si="128"/>
        <v>0</v>
      </c>
      <c r="AF722" s="66">
        <f t="shared" si="121"/>
        <v>0</v>
      </c>
      <c r="AG722" s="67" t="str">
        <f t="shared" si="129"/>
        <v>0000000000</v>
      </c>
      <c r="AH722" s="67" t="str">
        <f t="shared" si="130"/>
        <v>.00</v>
      </c>
      <c r="AI722" s="67" t="str">
        <f t="shared" si="126"/>
        <v>00</v>
      </c>
      <c r="AJ722" s="67" t="str">
        <f t="shared" si="131"/>
        <v>000000000000</v>
      </c>
      <c r="AK722" s="119"/>
      <c r="AL722" s="120"/>
      <c r="AP722" s="115" t="str">
        <f t="shared" si="127"/>
        <v/>
      </c>
    </row>
    <row r="723" spans="1:42" x14ac:dyDescent="0.2">
      <c r="A723" s="63" t="str">
        <f t="shared" si="123"/>
        <v/>
      </c>
      <c r="B723" s="133"/>
      <c r="C723" s="133"/>
      <c r="D723" s="135"/>
      <c r="E723" s="135"/>
      <c r="F723" s="137"/>
      <c r="AA723" s="116" t="str">
        <f t="shared" si="122"/>
        <v>00000000000000</v>
      </c>
      <c r="AB723" s="117" t="str">
        <f t="shared" si="124"/>
        <v>000000000000</v>
      </c>
      <c r="AC723" s="118">
        <f t="shared" si="125"/>
        <v>1</v>
      </c>
      <c r="AD723" s="47">
        <v>2</v>
      </c>
      <c r="AE723" s="66">
        <f t="shared" si="128"/>
        <v>0</v>
      </c>
      <c r="AF723" s="66">
        <f t="shared" si="121"/>
        <v>0</v>
      </c>
      <c r="AG723" s="67" t="str">
        <f t="shared" si="129"/>
        <v>0000000000</v>
      </c>
      <c r="AH723" s="67" t="str">
        <f t="shared" si="130"/>
        <v>.00</v>
      </c>
      <c r="AI723" s="67" t="str">
        <f t="shared" si="126"/>
        <v>00</v>
      </c>
      <c r="AJ723" s="67" t="str">
        <f t="shared" si="131"/>
        <v>000000000000</v>
      </c>
      <c r="AK723" s="119"/>
      <c r="AL723" s="120"/>
      <c r="AP723" s="115" t="str">
        <f t="shared" si="127"/>
        <v/>
      </c>
    </row>
    <row r="724" spans="1:42" x14ac:dyDescent="0.2">
      <c r="A724" s="63" t="str">
        <f t="shared" si="123"/>
        <v/>
      </c>
      <c r="B724" s="133"/>
      <c r="C724" s="133"/>
      <c r="D724" s="135"/>
      <c r="E724" s="135"/>
      <c r="F724" s="137"/>
      <c r="AA724" s="116" t="str">
        <f t="shared" si="122"/>
        <v>00000000000000</v>
      </c>
      <c r="AB724" s="117" t="str">
        <f t="shared" si="124"/>
        <v>000000000000</v>
      </c>
      <c r="AC724" s="118">
        <f t="shared" si="125"/>
        <v>1</v>
      </c>
      <c r="AD724" s="47">
        <v>2</v>
      </c>
      <c r="AE724" s="66">
        <f t="shared" si="128"/>
        <v>0</v>
      </c>
      <c r="AF724" s="66">
        <f t="shared" si="121"/>
        <v>0</v>
      </c>
      <c r="AG724" s="67" t="str">
        <f t="shared" si="129"/>
        <v>0000000000</v>
      </c>
      <c r="AH724" s="67" t="str">
        <f t="shared" si="130"/>
        <v>.00</v>
      </c>
      <c r="AI724" s="67" t="str">
        <f t="shared" si="126"/>
        <v>00</v>
      </c>
      <c r="AJ724" s="67" t="str">
        <f t="shared" si="131"/>
        <v>000000000000</v>
      </c>
      <c r="AK724" s="119"/>
      <c r="AL724" s="120"/>
      <c r="AP724" s="115" t="str">
        <f t="shared" si="127"/>
        <v/>
      </c>
    </row>
    <row r="725" spans="1:42" x14ac:dyDescent="0.2">
      <c r="A725" s="63" t="str">
        <f t="shared" si="123"/>
        <v/>
      </c>
      <c r="B725" s="133"/>
      <c r="C725" s="133"/>
      <c r="D725" s="135"/>
      <c r="E725" s="135"/>
      <c r="F725" s="137"/>
      <c r="AA725" s="116" t="str">
        <f t="shared" si="122"/>
        <v>00000000000000</v>
      </c>
      <c r="AB725" s="117" t="str">
        <f t="shared" si="124"/>
        <v>000000000000</v>
      </c>
      <c r="AC725" s="118">
        <f t="shared" si="125"/>
        <v>1</v>
      </c>
      <c r="AD725" s="47">
        <v>2</v>
      </c>
      <c r="AE725" s="66">
        <f t="shared" si="128"/>
        <v>0</v>
      </c>
      <c r="AF725" s="66">
        <f t="shared" si="121"/>
        <v>0</v>
      </c>
      <c r="AG725" s="67" t="str">
        <f t="shared" si="129"/>
        <v>0000000000</v>
      </c>
      <c r="AH725" s="67" t="str">
        <f t="shared" si="130"/>
        <v>.00</v>
      </c>
      <c r="AI725" s="67" t="str">
        <f t="shared" si="126"/>
        <v>00</v>
      </c>
      <c r="AJ725" s="67" t="str">
        <f t="shared" si="131"/>
        <v>000000000000</v>
      </c>
      <c r="AK725" s="119"/>
      <c r="AL725" s="120"/>
      <c r="AP725" s="115" t="str">
        <f t="shared" si="127"/>
        <v/>
      </c>
    </row>
    <row r="726" spans="1:42" x14ac:dyDescent="0.2">
      <c r="A726" s="63" t="str">
        <f t="shared" si="123"/>
        <v/>
      </c>
      <c r="B726" s="133"/>
      <c r="C726" s="133"/>
      <c r="D726" s="135"/>
      <c r="E726" s="135"/>
      <c r="F726" s="137"/>
      <c r="AA726" s="116" t="str">
        <f t="shared" si="122"/>
        <v>00000000000000</v>
      </c>
      <c r="AB726" s="117" t="str">
        <f t="shared" si="124"/>
        <v>000000000000</v>
      </c>
      <c r="AC726" s="118">
        <f t="shared" si="125"/>
        <v>1</v>
      </c>
      <c r="AD726" s="47">
        <v>2</v>
      </c>
      <c r="AE726" s="66">
        <f t="shared" si="128"/>
        <v>0</v>
      </c>
      <c r="AF726" s="66">
        <f t="shared" si="121"/>
        <v>0</v>
      </c>
      <c r="AG726" s="67" t="str">
        <f t="shared" si="129"/>
        <v>0000000000</v>
      </c>
      <c r="AH726" s="67" t="str">
        <f t="shared" si="130"/>
        <v>.00</v>
      </c>
      <c r="AI726" s="67" t="str">
        <f t="shared" si="126"/>
        <v>00</v>
      </c>
      <c r="AJ726" s="67" t="str">
        <f t="shared" si="131"/>
        <v>000000000000</v>
      </c>
      <c r="AK726" s="119"/>
      <c r="AL726" s="120"/>
      <c r="AP726" s="115" t="str">
        <f t="shared" si="127"/>
        <v/>
      </c>
    </row>
    <row r="727" spans="1:42" x14ac:dyDescent="0.2">
      <c r="A727" s="63" t="str">
        <f t="shared" si="123"/>
        <v/>
      </c>
      <c r="B727" s="133"/>
      <c r="C727" s="133"/>
      <c r="D727" s="135"/>
      <c r="E727" s="135"/>
      <c r="F727" s="137"/>
      <c r="AA727" s="116" t="str">
        <f t="shared" si="122"/>
        <v>00000000000000</v>
      </c>
      <c r="AB727" s="117" t="str">
        <f t="shared" si="124"/>
        <v>000000000000</v>
      </c>
      <c r="AC727" s="118">
        <f t="shared" si="125"/>
        <v>1</v>
      </c>
      <c r="AD727" s="47">
        <v>2</v>
      </c>
      <c r="AE727" s="66">
        <f t="shared" si="128"/>
        <v>0</v>
      </c>
      <c r="AF727" s="66">
        <f t="shared" si="121"/>
        <v>0</v>
      </c>
      <c r="AG727" s="67" t="str">
        <f t="shared" si="129"/>
        <v>0000000000</v>
      </c>
      <c r="AH727" s="67" t="str">
        <f t="shared" si="130"/>
        <v>.00</v>
      </c>
      <c r="AI727" s="67" t="str">
        <f t="shared" si="126"/>
        <v>00</v>
      </c>
      <c r="AJ727" s="67" t="str">
        <f t="shared" si="131"/>
        <v>000000000000</v>
      </c>
      <c r="AK727" s="119"/>
      <c r="AL727" s="120"/>
      <c r="AP727" s="115" t="str">
        <f t="shared" si="127"/>
        <v/>
      </c>
    </row>
    <row r="728" spans="1:42" x14ac:dyDescent="0.2">
      <c r="A728" s="63" t="str">
        <f t="shared" si="123"/>
        <v/>
      </c>
      <c r="B728" s="133"/>
      <c r="C728" s="133"/>
      <c r="D728" s="135"/>
      <c r="E728" s="135"/>
      <c r="F728" s="137"/>
      <c r="AA728" s="116" t="str">
        <f t="shared" si="122"/>
        <v>00000000000000</v>
      </c>
      <c r="AB728" s="117" t="str">
        <f t="shared" si="124"/>
        <v>000000000000</v>
      </c>
      <c r="AC728" s="118">
        <f t="shared" si="125"/>
        <v>1</v>
      </c>
      <c r="AD728" s="47">
        <v>2</v>
      </c>
      <c r="AE728" s="66">
        <f t="shared" si="128"/>
        <v>0</v>
      </c>
      <c r="AF728" s="66">
        <f t="shared" si="121"/>
        <v>0</v>
      </c>
      <c r="AG728" s="67" t="str">
        <f t="shared" si="129"/>
        <v>0000000000</v>
      </c>
      <c r="AH728" s="67" t="str">
        <f t="shared" si="130"/>
        <v>.00</v>
      </c>
      <c r="AI728" s="67" t="str">
        <f t="shared" si="126"/>
        <v>00</v>
      </c>
      <c r="AJ728" s="67" t="str">
        <f t="shared" si="131"/>
        <v>000000000000</v>
      </c>
      <c r="AK728" s="119"/>
      <c r="AL728" s="120"/>
      <c r="AP728" s="115" t="str">
        <f t="shared" si="127"/>
        <v/>
      </c>
    </row>
    <row r="729" spans="1:42" x14ac:dyDescent="0.2">
      <c r="A729" s="63" t="str">
        <f t="shared" si="123"/>
        <v/>
      </c>
      <c r="B729" s="133"/>
      <c r="C729" s="133"/>
      <c r="D729" s="135"/>
      <c r="E729" s="135"/>
      <c r="F729" s="137"/>
      <c r="AA729" s="116" t="str">
        <f t="shared" si="122"/>
        <v>00000000000000</v>
      </c>
      <c r="AB729" s="117" t="str">
        <f t="shared" si="124"/>
        <v>000000000000</v>
      </c>
      <c r="AC729" s="118">
        <f t="shared" si="125"/>
        <v>1</v>
      </c>
      <c r="AD729" s="47">
        <v>2</v>
      </c>
      <c r="AE729" s="66">
        <f t="shared" si="128"/>
        <v>0</v>
      </c>
      <c r="AF729" s="66">
        <f t="shared" si="121"/>
        <v>0</v>
      </c>
      <c r="AG729" s="67" t="str">
        <f t="shared" si="129"/>
        <v>0000000000</v>
      </c>
      <c r="AH729" s="67" t="str">
        <f t="shared" si="130"/>
        <v>.00</v>
      </c>
      <c r="AI729" s="67" t="str">
        <f t="shared" si="126"/>
        <v>00</v>
      </c>
      <c r="AJ729" s="67" t="str">
        <f t="shared" si="131"/>
        <v>000000000000</v>
      </c>
      <c r="AK729" s="119"/>
      <c r="AL729" s="120"/>
      <c r="AP729" s="115" t="str">
        <f t="shared" si="127"/>
        <v/>
      </c>
    </row>
    <row r="730" spans="1:42" x14ac:dyDescent="0.2">
      <c r="A730" s="63" t="str">
        <f t="shared" si="123"/>
        <v/>
      </c>
      <c r="B730" s="133"/>
      <c r="C730" s="133"/>
      <c r="D730" s="135"/>
      <c r="E730" s="135"/>
      <c r="F730" s="137"/>
      <c r="AA730" s="116" t="str">
        <f t="shared" si="122"/>
        <v>00000000000000</v>
      </c>
      <c r="AB730" s="117" t="str">
        <f t="shared" si="124"/>
        <v>000000000000</v>
      </c>
      <c r="AC730" s="118">
        <f t="shared" si="125"/>
        <v>1</v>
      </c>
      <c r="AD730" s="47">
        <v>2</v>
      </c>
      <c r="AE730" s="66">
        <f t="shared" si="128"/>
        <v>0</v>
      </c>
      <c r="AF730" s="66">
        <f t="shared" si="121"/>
        <v>0</v>
      </c>
      <c r="AG730" s="67" t="str">
        <f t="shared" si="129"/>
        <v>0000000000</v>
      </c>
      <c r="AH730" s="67" t="str">
        <f t="shared" si="130"/>
        <v>.00</v>
      </c>
      <c r="AI730" s="67" t="str">
        <f t="shared" si="126"/>
        <v>00</v>
      </c>
      <c r="AJ730" s="67" t="str">
        <f t="shared" si="131"/>
        <v>000000000000</v>
      </c>
      <c r="AK730" s="119"/>
      <c r="AL730" s="120"/>
      <c r="AP730" s="115" t="str">
        <f t="shared" si="127"/>
        <v/>
      </c>
    </row>
    <row r="731" spans="1:42" x14ac:dyDescent="0.2">
      <c r="A731" s="63" t="str">
        <f t="shared" si="123"/>
        <v/>
      </c>
      <c r="B731" s="133"/>
      <c r="C731" s="133"/>
      <c r="D731" s="135"/>
      <c r="E731" s="135"/>
      <c r="F731" s="137"/>
      <c r="AA731" s="116" t="str">
        <f t="shared" si="122"/>
        <v>00000000000000</v>
      </c>
      <c r="AB731" s="117" t="str">
        <f t="shared" si="124"/>
        <v>000000000000</v>
      </c>
      <c r="AC731" s="118">
        <f t="shared" si="125"/>
        <v>1</v>
      </c>
      <c r="AD731" s="47">
        <v>2</v>
      </c>
      <c r="AE731" s="66">
        <f t="shared" si="128"/>
        <v>0</v>
      </c>
      <c r="AF731" s="66">
        <f t="shared" si="121"/>
        <v>0</v>
      </c>
      <c r="AG731" s="67" t="str">
        <f t="shared" si="129"/>
        <v>0000000000</v>
      </c>
      <c r="AH731" s="67" t="str">
        <f t="shared" si="130"/>
        <v>.00</v>
      </c>
      <c r="AI731" s="67" t="str">
        <f t="shared" si="126"/>
        <v>00</v>
      </c>
      <c r="AJ731" s="67" t="str">
        <f t="shared" si="131"/>
        <v>000000000000</v>
      </c>
      <c r="AK731" s="119"/>
      <c r="AL731" s="120"/>
      <c r="AP731" s="115" t="str">
        <f t="shared" si="127"/>
        <v/>
      </c>
    </row>
    <row r="732" spans="1:42" x14ac:dyDescent="0.2">
      <c r="A732" s="63" t="str">
        <f t="shared" si="123"/>
        <v/>
      </c>
      <c r="B732" s="133"/>
      <c r="C732" s="133"/>
      <c r="D732" s="135"/>
      <c r="E732" s="135"/>
      <c r="F732" s="137"/>
      <c r="AA732" s="116" t="str">
        <f t="shared" si="122"/>
        <v>00000000000000</v>
      </c>
      <c r="AB732" s="117" t="str">
        <f t="shared" si="124"/>
        <v>000000000000</v>
      </c>
      <c r="AC732" s="118">
        <f t="shared" si="125"/>
        <v>1</v>
      </c>
      <c r="AD732" s="47">
        <v>2</v>
      </c>
      <c r="AE732" s="66">
        <f t="shared" si="128"/>
        <v>0</v>
      </c>
      <c r="AF732" s="66">
        <f t="shared" si="121"/>
        <v>0</v>
      </c>
      <c r="AG732" s="67" t="str">
        <f t="shared" si="129"/>
        <v>0000000000</v>
      </c>
      <c r="AH732" s="67" t="str">
        <f t="shared" si="130"/>
        <v>.00</v>
      </c>
      <c r="AI732" s="67" t="str">
        <f t="shared" si="126"/>
        <v>00</v>
      </c>
      <c r="AJ732" s="67" t="str">
        <f t="shared" si="131"/>
        <v>000000000000</v>
      </c>
      <c r="AK732" s="119"/>
      <c r="AL732" s="120"/>
      <c r="AP732" s="115" t="str">
        <f t="shared" si="127"/>
        <v/>
      </c>
    </row>
    <row r="733" spans="1:42" x14ac:dyDescent="0.2">
      <c r="A733" s="63" t="str">
        <f t="shared" si="123"/>
        <v/>
      </c>
      <c r="B733" s="133"/>
      <c r="C733" s="133"/>
      <c r="D733" s="135"/>
      <c r="E733" s="135"/>
      <c r="F733" s="137"/>
      <c r="AA733" s="116" t="str">
        <f t="shared" si="122"/>
        <v>00000000000000</v>
      </c>
      <c r="AB733" s="117" t="str">
        <f t="shared" si="124"/>
        <v>000000000000</v>
      </c>
      <c r="AC733" s="118">
        <f t="shared" si="125"/>
        <v>1</v>
      </c>
      <c r="AD733" s="47">
        <v>2</v>
      </c>
      <c r="AE733" s="66">
        <f t="shared" si="128"/>
        <v>0</v>
      </c>
      <c r="AF733" s="66">
        <f t="shared" si="121"/>
        <v>0</v>
      </c>
      <c r="AG733" s="67" t="str">
        <f t="shared" si="129"/>
        <v>0000000000</v>
      </c>
      <c r="AH733" s="67" t="str">
        <f t="shared" si="130"/>
        <v>.00</v>
      </c>
      <c r="AI733" s="67" t="str">
        <f t="shared" si="126"/>
        <v>00</v>
      </c>
      <c r="AJ733" s="67" t="str">
        <f t="shared" si="131"/>
        <v>000000000000</v>
      </c>
      <c r="AK733" s="119"/>
      <c r="AL733" s="120"/>
      <c r="AP733" s="115" t="str">
        <f t="shared" si="127"/>
        <v/>
      </c>
    </row>
    <row r="734" spans="1:42" x14ac:dyDescent="0.2">
      <c r="A734" s="63" t="str">
        <f t="shared" si="123"/>
        <v/>
      </c>
      <c r="B734" s="133"/>
      <c r="C734" s="133"/>
      <c r="D734" s="135"/>
      <c r="E734" s="135"/>
      <c r="F734" s="137"/>
      <c r="AA734" s="116" t="str">
        <f t="shared" si="122"/>
        <v>00000000000000</v>
      </c>
      <c r="AB734" s="117" t="str">
        <f t="shared" si="124"/>
        <v>000000000000</v>
      </c>
      <c r="AC734" s="118">
        <f t="shared" si="125"/>
        <v>1</v>
      </c>
      <c r="AD734" s="47">
        <v>2</v>
      </c>
      <c r="AE734" s="66">
        <f t="shared" si="128"/>
        <v>0</v>
      </c>
      <c r="AF734" s="66">
        <f t="shared" si="121"/>
        <v>0</v>
      </c>
      <c r="AG734" s="67" t="str">
        <f t="shared" si="129"/>
        <v>0000000000</v>
      </c>
      <c r="AH734" s="67" t="str">
        <f t="shared" si="130"/>
        <v>.00</v>
      </c>
      <c r="AI734" s="67" t="str">
        <f t="shared" si="126"/>
        <v>00</v>
      </c>
      <c r="AJ734" s="67" t="str">
        <f t="shared" si="131"/>
        <v>000000000000</v>
      </c>
      <c r="AK734" s="119"/>
      <c r="AL734" s="120"/>
      <c r="AP734" s="115" t="str">
        <f t="shared" si="127"/>
        <v/>
      </c>
    </row>
    <row r="735" spans="1:42" x14ac:dyDescent="0.2">
      <c r="A735" s="63" t="str">
        <f t="shared" si="123"/>
        <v/>
      </c>
      <c r="B735" s="133"/>
      <c r="C735" s="133"/>
      <c r="D735" s="135"/>
      <c r="E735" s="135"/>
      <c r="F735" s="137"/>
      <c r="AA735" s="116" t="str">
        <f t="shared" si="122"/>
        <v>00000000000000</v>
      </c>
      <c r="AB735" s="117" t="str">
        <f t="shared" si="124"/>
        <v>000000000000</v>
      </c>
      <c r="AC735" s="118">
        <f t="shared" si="125"/>
        <v>1</v>
      </c>
      <c r="AD735" s="47">
        <v>2</v>
      </c>
      <c r="AE735" s="66">
        <f t="shared" si="128"/>
        <v>0</v>
      </c>
      <c r="AF735" s="66">
        <f t="shared" si="121"/>
        <v>0</v>
      </c>
      <c r="AG735" s="67" t="str">
        <f t="shared" si="129"/>
        <v>0000000000</v>
      </c>
      <c r="AH735" s="67" t="str">
        <f t="shared" si="130"/>
        <v>.00</v>
      </c>
      <c r="AI735" s="67" t="str">
        <f t="shared" si="126"/>
        <v>00</v>
      </c>
      <c r="AJ735" s="67" t="str">
        <f t="shared" si="131"/>
        <v>000000000000</v>
      </c>
      <c r="AK735" s="119"/>
      <c r="AL735" s="120"/>
      <c r="AP735" s="115" t="str">
        <f t="shared" si="127"/>
        <v/>
      </c>
    </row>
    <row r="736" spans="1:42" x14ac:dyDescent="0.2">
      <c r="A736" s="63" t="str">
        <f t="shared" si="123"/>
        <v/>
      </c>
      <c r="B736" s="133"/>
      <c r="C736" s="133"/>
      <c r="D736" s="135"/>
      <c r="E736" s="135"/>
      <c r="F736" s="137"/>
      <c r="AA736" s="116" t="str">
        <f t="shared" si="122"/>
        <v>00000000000000</v>
      </c>
      <c r="AB736" s="117" t="str">
        <f t="shared" si="124"/>
        <v>000000000000</v>
      </c>
      <c r="AC736" s="118">
        <f t="shared" si="125"/>
        <v>1</v>
      </c>
      <c r="AD736" s="47">
        <v>2</v>
      </c>
      <c r="AE736" s="66">
        <f t="shared" si="128"/>
        <v>0</v>
      </c>
      <c r="AF736" s="66">
        <f t="shared" si="121"/>
        <v>0</v>
      </c>
      <c r="AG736" s="67" t="str">
        <f t="shared" si="129"/>
        <v>0000000000</v>
      </c>
      <c r="AH736" s="67" t="str">
        <f t="shared" si="130"/>
        <v>.00</v>
      </c>
      <c r="AI736" s="67" t="str">
        <f t="shared" si="126"/>
        <v>00</v>
      </c>
      <c r="AJ736" s="67" t="str">
        <f t="shared" si="131"/>
        <v>000000000000</v>
      </c>
      <c r="AK736" s="119"/>
      <c r="AL736" s="120"/>
      <c r="AP736" s="115" t="str">
        <f t="shared" si="127"/>
        <v/>
      </c>
    </row>
    <row r="737" spans="1:42" x14ac:dyDescent="0.2">
      <c r="A737" s="63" t="str">
        <f t="shared" si="123"/>
        <v/>
      </c>
      <c r="B737" s="133"/>
      <c r="C737" s="133"/>
      <c r="D737" s="135"/>
      <c r="E737" s="135"/>
      <c r="F737" s="137"/>
      <c r="AA737" s="116" t="str">
        <f t="shared" si="122"/>
        <v>00000000000000</v>
      </c>
      <c r="AB737" s="117" t="str">
        <f t="shared" si="124"/>
        <v>000000000000</v>
      </c>
      <c r="AC737" s="118">
        <f t="shared" si="125"/>
        <v>1</v>
      </c>
      <c r="AD737" s="47">
        <v>2</v>
      </c>
      <c r="AE737" s="66">
        <f t="shared" si="128"/>
        <v>0</v>
      </c>
      <c r="AF737" s="66">
        <f t="shared" si="121"/>
        <v>0</v>
      </c>
      <c r="AG737" s="67" t="str">
        <f t="shared" si="129"/>
        <v>0000000000</v>
      </c>
      <c r="AH737" s="67" t="str">
        <f t="shared" si="130"/>
        <v>.00</v>
      </c>
      <c r="AI737" s="67" t="str">
        <f t="shared" si="126"/>
        <v>00</v>
      </c>
      <c r="AJ737" s="67" t="str">
        <f t="shared" si="131"/>
        <v>000000000000</v>
      </c>
      <c r="AK737" s="119"/>
      <c r="AL737" s="120"/>
      <c r="AP737" s="115" t="str">
        <f t="shared" si="127"/>
        <v/>
      </c>
    </row>
    <row r="738" spans="1:42" x14ac:dyDescent="0.2">
      <c r="A738" s="63" t="str">
        <f t="shared" si="123"/>
        <v/>
      </c>
      <c r="B738" s="133"/>
      <c r="C738" s="133"/>
      <c r="D738" s="135"/>
      <c r="E738" s="135"/>
      <c r="F738" s="137"/>
      <c r="AA738" s="116" t="str">
        <f t="shared" si="122"/>
        <v>00000000000000</v>
      </c>
      <c r="AB738" s="117" t="str">
        <f t="shared" si="124"/>
        <v>000000000000</v>
      </c>
      <c r="AC738" s="118">
        <f t="shared" si="125"/>
        <v>1</v>
      </c>
      <c r="AD738" s="47">
        <v>2</v>
      </c>
      <c r="AE738" s="66">
        <f t="shared" si="128"/>
        <v>0</v>
      </c>
      <c r="AF738" s="66">
        <f t="shared" si="121"/>
        <v>0</v>
      </c>
      <c r="AG738" s="67" t="str">
        <f t="shared" si="129"/>
        <v>0000000000</v>
      </c>
      <c r="AH738" s="67" t="str">
        <f t="shared" si="130"/>
        <v>.00</v>
      </c>
      <c r="AI738" s="67" t="str">
        <f t="shared" si="126"/>
        <v>00</v>
      </c>
      <c r="AJ738" s="67" t="str">
        <f t="shared" si="131"/>
        <v>000000000000</v>
      </c>
      <c r="AK738" s="119"/>
      <c r="AL738" s="120"/>
      <c r="AP738" s="115" t="str">
        <f t="shared" si="127"/>
        <v/>
      </c>
    </row>
    <row r="739" spans="1:42" x14ac:dyDescent="0.2">
      <c r="A739" s="63" t="str">
        <f t="shared" si="123"/>
        <v/>
      </c>
      <c r="B739" s="133"/>
      <c r="C739" s="133"/>
      <c r="D739" s="135"/>
      <c r="E739" s="135"/>
      <c r="F739" s="137"/>
      <c r="AA739" s="116" t="str">
        <f t="shared" si="122"/>
        <v>00000000000000</v>
      </c>
      <c r="AB739" s="117" t="str">
        <f t="shared" si="124"/>
        <v>000000000000</v>
      </c>
      <c r="AC739" s="118">
        <f t="shared" si="125"/>
        <v>1</v>
      </c>
      <c r="AD739" s="47">
        <v>2</v>
      </c>
      <c r="AE739" s="66">
        <f t="shared" si="128"/>
        <v>0</v>
      </c>
      <c r="AF739" s="66">
        <f t="shared" si="121"/>
        <v>0</v>
      </c>
      <c r="AG739" s="67" t="str">
        <f t="shared" si="129"/>
        <v>0000000000</v>
      </c>
      <c r="AH739" s="67" t="str">
        <f t="shared" si="130"/>
        <v>.00</v>
      </c>
      <c r="AI739" s="67" t="str">
        <f t="shared" si="126"/>
        <v>00</v>
      </c>
      <c r="AJ739" s="67" t="str">
        <f t="shared" si="131"/>
        <v>000000000000</v>
      </c>
      <c r="AK739" s="119"/>
      <c r="AL739" s="120"/>
      <c r="AP739" s="115" t="str">
        <f t="shared" si="127"/>
        <v/>
      </c>
    </row>
    <row r="740" spans="1:42" x14ac:dyDescent="0.2">
      <c r="A740" s="63" t="str">
        <f t="shared" si="123"/>
        <v/>
      </c>
      <c r="B740" s="133"/>
      <c r="C740" s="133"/>
      <c r="D740" s="135"/>
      <c r="E740" s="135"/>
      <c r="F740" s="137"/>
      <c r="AA740" s="116" t="str">
        <f t="shared" si="122"/>
        <v>00000000000000</v>
      </c>
      <c r="AB740" s="117" t="str">
        <f t="shared" si="124"/>
        <v>000000000000</v>
      </c>
      <c r="AC740" s="118">
        <f t="shared" si="125"/>
        <v>1</v>
      </c>
      <c r="AD740" s="47">
        <v>2</v>
      </c>
      <c r="AE740" s="66">
        <f t="shared" si="128"/>
        <v>0</v>
      </c>
      <c r="AF740" s="66">
        <f t="shared" si="121"/>
        <v>0</v>
      </c>
      <c r="AG740" s="67" t="str">
        <f t="shared" si="129"/>
        <v>0000000000</v>
      </c>
      <c r="AH740" s="67" t="str">
        <f t="shared" si="130"/>
        <v>.00</v>
      </c>
      <c r="AI740" s="67" t="str">
        <f t="shared" si="126"/>
        <v>00</v>
      </c>
      <c r="AJ740" s="67" t="str">
        <f t="shared" si="131"/>
        <v>000000000000</v>
      </c>
      <c r="AK740" s="119"/>
      <c r="AL740" s="120"/>
      <c r="AP740" s="115" t="str">
        <f t="shared" si="127"/>
        <v/>
      </c>
    </row>
    <row r="741" spans="1:42" x14ac:dyDescent="0.2">
      <c r="A741" s="63" t="str">
        <f t="shared" si="123"/>
        <v/>
      </c>
      <c r="B741" s="133"/>
      <c r="C741" s="133"/>
      <c r="D741" s="135"/>
      <c r="E741" s="135"/>
      <c r="F741" s="137"/>
      <c r="AA741" s="116" t="str">
        <f t="shared" si="122"/>
        <v>00000000000000</v>
      </c>
      <c r="AB741" s="117" t="str">
        <f t="shared" si="124"/>
        <v>000000000000</v>
      </c>
      <c r="AC741" s="118">
        <f t="shared" si="125"/>
        <v>1</v>
      </c>
      <c r="AD741" s="47">
        <v>2</v>
      </c>
      <c r="AE741" s="66">
        <f t="shared" si="128"/>
        <v>0</v>
      </c>
      <c r="AF741" s="66">
        <f t="shared" si="121"/>
        <v>0</v>
      </c>
      <c r="AG741" s="67" t="str">
        <f t="shared" si="129"/>
        <v>0000000000</v>
      </c>
      <c r="AH741" s="67" t="str">
        <f t="shared" si="130"/>
        <v>.00</v>
      </c>
      <c r="AI741" s="67" t="str">
        <f t="shared" si="126"/>
        <v>00</v>
      </c>
      <c r="AJ741" s="67" t="str">
        <f t="shared" si="131"/>
        <v>000000000000</v>
      </c>
      <c r="AK741" s="119"/>
      <c r="AL741" s="120"/>
      <c r="AP741" s="115" t="str">
        <f t="shared" si="127"/>
        <v/>
      </c>
    </row>
    <row r="742" spans="1:42" x14ac:dyDescent="0.2">
      <c r="A742" s="63" t="str">
        <f t="shared" si="123"/>
        <v/>
      </c>
      <c r="B742" s="133"/>
      <c r="C742" s="133"/>
      <c r="D742" s="135"/>
      <c r="E742" s="135"/>
      <c r="F742" s="137"/>
      <c r="AA742" s="116" t="str">
        <f t="shared" si="122"/>
        <v>00000000000000</v>
      </c>
      <c r="AB742" s="117" t="str">
        <f t="shared" si="124"/>
        <v>000000000000</v>
      </c>
      <c r="AC742" s="118">
        <f t="shared" si="125"/>
        <v>1</v>
      </c>
      <c r="AD742" s="47">
        <v>2</v>
      </c>
      <c r="AE742" s="66">
        <f t="shared" si="128"/>
        <v>0</v>
      </c>
      <c r="AF742" s="66">
        <f t="shared" si="121"/>
        <v>0</v>
      </c>
      <c r="AG742" s="67" t="str">
        <f t="shared" si="129"/>
        <v>0000000000</v>
      </c>
      <c r="AH742" s="67" t="str">
        <f t="shared" si="130"/>
        <v>.00</v>
      </c>
      <c r="AI742" s="67" t="str">
        <f t="shared" si="126"/>
        <v>00</v>
      </c>
      <c r="AJ742" s="67" t="str">
        <f t="shared" si="131"/>
        <v>000000000000</v>
      </c>
      <c r="AK742" s="119"/>
      <c r="AL742" s="120"/>
      <c r="AP742" s="115" t="str">
        <f t="shared" si="127"/>
        <v/>
      </c>
    </row>
    <row r="743" spans="1:42" x14ac:dyDescent="0.2">
      <c r="A743" s="63" t="str">
        <f t="shared" si="123"/>
        <v/>
      </c>
      <c r="B743" s="133"/>
      <c r="C743" s="133"/>
      <c r="D743" s="135"/>
      <c r="E743" s="135"/>
      <c r="F743" s="137"/>
      <c r="AA743" s="116" t="str">
        <f t="shared" si="122"/>
        <v>00000000000000</v>
      </c>
      <c r="AB743" s="117" t="str">
        <f t="shared" si="124"/>
        <v>000000000000</v>
      </c>
      <c r="AC743" s="118">
        <f t="shared" si="125"/>
        <v>1</v>
      </c>
      <c r="AD743" s="47">
        <v>2</v>
      </c>
      <c r="AE743" s="66">
        <f t="shared" si="128"/>
        <v>0</v>
      </c>
      <c r="AF743" s="66">
        <f t="shared" si="121"/>
        <v>0</v>
      </c>
      <c r="AG743" s="67" t="str">
        <f t="shared" si="129"/>
        <v>0000000000</v>
      </c>
      <c r="AH743" s="67" t="str">
        <f t="shared" si="130"/>
        <v>.00</v>
      </c>
      <c r="AI743" s="67" t="str">
        <f t="shared" si="126"/>
        <v>00</v>
      </c>
      <c r="AJ743" s="67" t="str">
        <f t="shared" si="131"/>
        <v>000000000000</v>
      </c>
      <c r="AK743" s="119"/>
      <c r="AL743" s="120"/>
      <c r="AP743" s="115" t="str">
        <f t="shared" si="127"/>
        <v/>
      </c>
    </row>
    <row r="744" spans="1:42" x14ac:dyDescent="0.2">
      <c r="A744" s="63" t="str">
        <f t="shared" si="123"/>
        <v/>
      </c>
      <c r="B744" s="133"/>
      <c r="C744" s="133"/>
      <c r="D744" s="135"/>
      <c r="E744" s="135"/>
      <c r="F744" s="137"/>
      <c r="AA744" s="116" t="str">
        <f t="shared" si="122"/>
        <v>00000000000000</v>
      </c>
      <c r="AB744" s="117" t="str">
        <f t="shared" si="124"/>
        <v>000000000000</v>
      </c>
      <c r="AC744" s="118">
        <f t="shared" si="125"/>
        <v>1</v>
      </c>
      <c r="AD744" s="47">
        <v>2</v>
      </c>
      <c r="AE744" s="66">
        <f t="shared" si="128"/>
        <v>0</v>
      </c>
      <c r="AF744" s="66">
        <f t="shared" si="121"/>
        <v>0</v>
      </c>
      <c r="AG744" s="67" t="str">
        <f t="shared" si="129"/>
        <v>0000000000</v>
      </c>
      <c r="AH744" s="67" t="str">
        <f t="shared" si="130"/>
        <v>.00</v>
      </c>
      <c r="AI744" s="67" t="str">
        <f t="shared" si="126"/>
        <v>00</v>
      </c>
      <c r="AJ744" s="67" t="str">
        <f t="shared" si="131"/>
        <v>000000000000</v>
      </c>
      <c r="AK744" s="119"/>
      <c r="AL744" s="120"/>
      <c r="AP744" s="115" t="str">
        <f t="shared" si="127"/>
        <v/>
      </c>
    </row>
    <row r="745" spans="1:42" x14ac:dyDescent="0.2">
      <c r="A745" s="63" t="str">
        <f t="shared" si="123"/>
        <v/>
      </c>
      <c r="B745" s="133"/>
      <c r="C745" s="133"/>
      <c r="D745" s="135"/>
      <c r="E745" s="135"/>
      <c r="F745" s="137"/>
      <c r="AA745" s="116" t="str">
        <f t="shared" si="122"/>
        <v>00000000000000</v>
      </c>
      <c r="AB745" s="117" t="str">
        <f t="shared" si="124"/>
        <v>000000000000</v>
      </c>
      <c r="AC745" s="118">
        <f t="shared" si="125"/>
        <v>1</v>
      </c>
      <c r="AD745" s="47">
        <v>2</v>
      </c>
      <c r="AE745" s="66">
        <f t="shared" si="128"/>
        <v>0</v>
      </c>
      <c r="AF745" s="66">
        <f t="shared" si="121"/>
        <v>0</v>
      </c>
      <c r="AG745" s="67" t="str">
        <f t="shared" si="129"/>
        <v>0000000000</v>
      </c>
      <c r="AH745" s="67" t="str">
        <f t="shared" si="130"/>
        <v>.00</v>
      </c>
      <c r="AI745" s="67" t="str">
        <f t="shared" si="126"/>
        <v>00</v>
      </c>
      <c r="AJ745" s="67" t="str">
        <f t="shared" si="131"/>
        <v>000000000000</v>
      </c>
      <c r="AK745" s="119"/>
      <c r="AL745" s="120"/>
      <c r="AP745" s="115" t="str">
        <f t="shared" si="127"/>
        <v/>
      </c>
    </row>
    <row r="746" spans="1:42" x14ac:dyDescent="0.2">
      <c r="A746" s="63" t="str">
        <f t="shared" si="123"/>
        <v/>
      </c>
      <c r="B746" s="133"/>
      <c r="C746" s="133"/>
      <c r="D746" s="135"/>
      <c r="E746" s="135"/>
      <c r="F746" s="137"/>
      <c r="AA746" s="116" t="str">
        <f t="shared" si="122"/>
        <v>00000000000000</v>
      </c>
      <c r="AB746" s="117" t="str">
        <f t="shared" si="124"/>
        <v>000000000000</v>
      </c>
      <c r="AC746" s="118">
        <f t="shared" si="125"/>
        <v>1</v>
      </c>
      <c r="AD746" s="47">
        <v>2</v>
      </c>
      <c r="AE746" s="66">
        <f t="shared" si="128"/>
        <v>0</v>
      </c>
      <c r="AF746" s="66">
        <f t="shared" si="121"/>
        <v>0</v>
      </c>
      <c r="AG746" s="67" t="str">
        <f t="shared" si="129"/>
        <v>0000000000</v>
      </c>
      <c r="AH746" s="67" t="str">
        <f t="shared" si="130"/>
        <v>.00</v>
      </c>
      <c r="AI746" s="67" t="str">
        <f t="shared" si="126"/>
        <v>00</v>
      </c>
      <c r="AJ746" s="67" t="str">
        <f t="shared" si="131"/>
        <v>000000000000</v>
      </c>
      <c r="AK746" s="119"/>
      <c r="AL746" s="120"/>
      <c r="AP746" s="115" t="str">
        <f t="shared" si="127"/>
        <v/>
      </c>
    </row>
    <row r="747" spans="1:42" x14ac:dyDescent="0.2">
      <c r="A747" s="63" t="str">
        <f t="shared" si="123"/>
        <v/>
      </c>
      <c r="B747" s="133"/>
      <c r="C747" s="133"/>
      <c r="D747" s="135"/>
      <c r="E747" s="135"/>
      <c r="F747" s="137"/>
      <c r="AA747" s="116" t="str">
        <f t="shared" si="122"/>
        <v>00000000000000</v>
      </c>
      <c r="AB747" s="117" t="str">
        <f t="shared" si="124"/>
        <v>000000000000</v>
      </c>
      <c r="AC747" s="118">
        <f t="shared" si="125"/>
        <v>1</v>
      </c>
      <c r="AD747" s="47">
        <v>2</v>
      </c>
      <c r="AE747" s="66">
        <f t="shared" si="128"/>
        <v>0</v>
      </c>
      <c r="AF747" s="66">
        <f t="shared" si="121"/>
        <v>0</v>
      </c>
      <c r="AG747" s="67" t="str">
        <f t="shared" si="129"/>
        <v>0000000000</v>
      </c>
      <c r="AH747" s="67" t="str">
        <f t="shared" si="130"/>
        <v>.00</v>
      </c>
      <c r="AI747" s="67" t="str">
        <f t="shared" si="126"/>
        <v>00</v>
      </c>
      <c r="AJ747" s="67" t="str">
        <f t="shared" si="131"/>
        <v>000000000000</v>
      </c>
      <c r="AK747" s="119"/>
      <c r="AL747" s="120"/>
      <c r="AP747" s="115" t="str">
        <f t="shared" si="127"/>
        <v/>
      </c>
    </row>
    <row r="748" spans="1:42" x14ac:dyDescent="0.2">
      <c r="A748" s="63" t="str">
        <f t="shared" si="123"/>
        <v/>
      </c>
      <c r="B748" s="133"/>
      <c r="C748" s="133"/>
      <c r="D748" s="135"/>
      <c r="E748" s="135"/>
      <c r="F748" s="137"/>
      <c r="AA748" s="116" t="str">
        <f t="shared" si="122"/>
        <v>00000000000000</v>
      </c>
      <c r="AB748" s="117" t="str">
        <f t="shared" si="124"/>
        <v>000000000000</v>
      </c>
      <c r="AC748" s="118">
        <f t="shared" si="125"/>
        <v>1</v>
      </c>
      <c r="AD748" s="47">
        <v>2</v>
      </c>
      <c r="AE748" s="66">
        <f t="shared" si="128"/>
        <v>0</v>
      </c>
      <c r="AF748" s="66">
        <f t="shared" si="121"/>
        <v>0</v>
      </c>
      <c r="AG748" s="67" t="str">
        <f t="shared" si="129"/>
        <v>0000000000</v>
      </c>
      <c r="AH748" s="67" t="str">
        <f t="shared" si="130"/>
        <v>.00</v>
      </c>
      <c r="AI748" s="67" t="str">
        <f t="shared" si="126"/>
        <v>00</v>
      </c>
      <c r="AJ748" s="67" t="str">
        <f t="shared" si="131"/>
        <v>000000000000</v>
      </c>
      <c r="AK748" s="119"/>
      <c r="AL748" s="120"/>
      <c r="AP748" s="115" t="str">
        <f t="shared" si="127"/>
        <v/>
      </c>
    </row>
    <row r="749" spans="1:42" x14ac:dyDescent="0.2">
      <c r="A749" s="63" t="str">
        <f t="shared" si="123"/>
        <v/>
      </c>
      <c r="B749" s="133"/>
      <c r="C749" s="133"/>
      <c r="D749" s="135"/>
      <c r="E749" s="135"/>
      <c r="F749" s="137"/>
      <c r="AA749" s="116" t="str">
        <f t="shared" si="122"/>
        <v>00000000000000</v>
      </c>
      <c r="AB749" s="117" t="str">
        <f t="shared" si="124"/>
        <v>000000000000</v>
      </c>
      <c r="AC749" s="118">
        <f t="shared" si="125"/>
        <v>1</v>
      </c>
      <c r="AD749" s="47">
        <v>2</v>
      </c>
      <c r="AE749" s="66">
        <f t="shared" si="128"/>
        <v>0</v>
      </c>
      <c r="AF749" s="66">
        <f t="shared" si="121"/>
        <v>0</v>
      </c>
      <c r="AG749" s="67" t="str">
        <f t="shared" si="129"/>
        <v>0000000000</v>
      </c>
      <c r="AH749" s="67" t="str">
        <f t="shared" si="130"/>
        <v>.00</v>
      </c>
      <c r="AI749" s="67" t="str">
        <f t="shared" si="126"/>
        <v>00</v>
      </c>
      <c r="AJ749" s="67" t="str">
        <f t="shared" si="131"/>
        <v>000000000000</v>
      </c>
      <c r="AK749" s="119"/>
      <c r="AL749" s="120"/>
      <c r="AP749" s="115" t="str">
        <f t="shared" si="127"/>
        <v/>
      </c>
    </row>
    <row r="750" spans="1:42" x14ac:dyDescent="0.2">
      <c r="A750" s="63" t="str">
        <f t="shared" si="123"/>
        <v/>
      </c>
      <c r="B750" s="133"/>
      <c r="C750" s="133"/>
      <c r="D750" s="135"/>
      <c r="E750" s="135"/>
      <c r="F750" s="137"/>
      <c r="AA750" s="116" t="str">
        <f t="shared" si="122"/>
        <v>00000000000000</v>
      </c>
      <c r="AB750" s="117" t="str">
        <f t="shared" si="124"/>
        <v>000000000000</v>
      </c>
      <c r="AC750" s="118">
        <f t="shared" si="125"/>
        <v>1</v>
      </c>
      <c r="AD750" s="47">
        <v>2</v>
      </c>
      <c r="AE750" s="66">
        <f t="shared" si="128"/>
        <v>0</v>
      </c>
      <c r="AF750" s="66">
        <f t="shared" si="121"/>
        <v>0</v>
      </c>
      <c r="AG750" s="67" t="str">
        <f t="shared" si="129"/>
        <v>0000000000</v>
      </c>
      <c r="AH750" s="67" t="str">
        <f t="shared" si="130"/>
        <v>.00</v>
      </c>
      <c r="AI750" s="67" t="str">
        <f t="shared" si="126"/>
        <v>00</v>
      </c>
      <c r="AJ750" s="67" t="str">
        <f t="shared" si="131"/>
        <v>000000000000</v>
      </c>
      <c r="AK750" s="119"/>
      <c r="AL750" s="120"/>
      <c r="AP750" s="115" t="str">
        <f t="shared" si="127"/>
        <v/>
      </c>
    </row>
    <row r="751" spans="1:42" x14ac:dyDescent="0.2">
      <c r="A751" s="63" t="str">
        <f t="shared" si="123"/>
        <v/>
      </c>
      <c r="B751" s="133"/>
      <c r="C751" s="133"/>
      <c r="D751" s="135"/>
      <c r="E751" s="135"/>
      <c r="F751" s="137"/>
      <c r="AA751" s="116" t="str">
        <f t="shared" si="122"/>
        <v>00000000000000</v>
      </c>
      <c r="AB751" s="117" t="str">
        <f t="shared" si="124"/>
        <v>000000000000</v>
      </c>
      <c r="AC751" s="118">
        <f t="shared" si="125"/>
        <v>1</v>
      </c>
      <c r="AD751" s="47">
        <v>2</v>
      </c>
      <c r="AE751" s="66">
        <f t="shared" si="128"/>
        <v>0</v>
      </c>
      <c r="AF751" s="66">
        <f t="shared" si="121"/>
        <v>0</v>
      </c>
      <c r="AG751" s="67" t="str">
        <f t="shared" si="129"/>
        <v>0000000000</v>
      </c>
      <c r="AH751" s="67" t="str">
        <f t="shared" si="130"/>
        <v>.00</v>
      </c>
      <c r="AI751" s="67" t="str">
        <f t="shared" si="126"/>
        <v>00</v>
      </c>
      <c r="AJ751" s="67" t="str">
        <f t="shared" si="131"/>
        <v>000000000000</v>
      </c>
      <c r="AK751" s="119"/>
      <c r="AL751" s="120"/>
      <c r="AP751" s="115" t="str">
        <f t="shared" si="127"/>
        <v/>
      </c>
    </row>
    <row r="752" spans="1:42" x14ac:dyDescent="0.2">
      <c r="A752" s="63" t="str">
        <f t="shared" si="123"/>
        <v/>
      </c>
      <c r="B752" s="133"/>
      <c r="C752" s="133"/>
      <c r="D752" s="135"/>
      <c r="E752" s="135"/>
      <c r="F752" s="137"/>
      <c r="AA752" s="116" t="str">
        <f t="shared" si="122"/>
        <v>00000000000000</v>
      </c>
      <c r="AB752" s="117" t="str">
        <f t="shared" si="124"/>
        <v>000000000000</v>
      </c>
      <c r="AC752" s="118">
        <f t="shared" si="125"/>
        <v>1</v>
      </c>
      <c r="AD752" s="47">
        <v>2</v>
      </c>
      <c r="AE752" s="66">
        <f t="shared" si="128"/>
        <v>0</v>
      </c>
      <c r="AF752" s="66">
        <f t="shared" si="121"/>
        <v>0</v>
      </c>
      <c r="AG752" s="67" t="str">
        <f t="shared" si="129"/>
        <v>0000000000</v>
      </c>
      <c r="AH752" s="67" t="str">
        <f t="shared" si="130"/>
        <v>.00</v>
      </c>
      <c r="AI752" s="67" t="str">
        <f t="shared" si="126"/>
        <v>00</v>
      </c>
      <c r="AJ752" s="67" t="str">
        <f t="shared" si="131"/>
        <v>000000000000</v>
      </c>
      <c r="AK752" s="119"/>
      <c r="AL752" s="120"/>
      <c r="AP752" s="115" t="str">
        <f t="shared" si="127"/>
        <v/>
      </c>
    </row>
    <row r="753" spans="1:42" x14ac:dyDescent="0.2">
      <c r="A753" s="63" t="str">
        <f t="shared" si="123"/>
        <v/>
      </c>
      <c r="B753" s="133"/>
      <c r="C753" s="133"/>
      <c r="D753" s="135"/>
      <c r="E753" s="135"/>
      <c r="F753" s="137"/>
      <c r="AA753" s="116" t="str">
        <f t="shared" si="122"/>
        <v>00000000000000</v>
      </c>
      <c r="AB753" s="117" t="str">
        <f t="shared" si="124"/>
        <v>000000000000</v>
      </c>
      <c r="AC753" s="118">
        <f t="shared" si="125"/>
        <v>1</v>
      </c>
      <c r="AD753" s="47">
        <v>2</v>
      </c>
      <c r="AE753" s="66">
        <f t="shared" si="128"/>
        <v>0</v>
      </c>
      <c r="AF753" s="66">
        <f t="shared" si="121"/>
        <v>0</v>
      </c>
      <c r="AG753" s="67" t="str">
        <f t="shared" si="129"/>
        <v>0000000000</v>
      </c>
      <c r="AH753" s="67" t="str">
        <f t="shared" si="130"/>
        <v>.00</v>
      </c>
      <c r="AI753" s="67" t="str">
        <f t="shared" si="126"/>
        <v>00</v>
      </c>
      <c r="AJ753" s="67" t="str">
        <f t="shared" si="131"/>
        <v>000000000000</v>
      </c>
      <c r="AK753" s="119"/>
      <c r="AL753" s="120"/>
      <c r="AP753" s="115" t="str">
        <f t="shared" si="127"/>
        <v/>
      </c>
    </row>
    <row r="754" spans="1:42" x14ac:dyDescent="0.2">
      <c r="A754" s="63" t="str">
        <f t="shared" si="123"/>
        <v/>
      </c>
      <c r="B754" s="133"/>
      <c r="C754" s="133"/>
      <c r="D754" s="135"/>
      <c r="E754" s="135"/>
      <c r="F754" s="137"/>
      <c r="AA754" s="116" t="str">
        <f t="shared" si="122"/>
        <v>00000000000000</v>
      </c>
      <c r="AB754" s="117" t="str">
        <f t="shared" si="124"/>
        <v>000000000000</v>
      </c>
      <c r="AC754" s="118">
        <f t="shared" si="125"/>
        <v>1</v>
      </c>
      <c r="AD754" s="47">
        <v>2</v>
      </c>
      <c r="AE754" s="66">
        <f t="shared" si="128"/>
        <v>0</v>
      </c>
      <c r="AF754" s="66">
        <f t="shared" si="121"/>
        <v>0</v>
      </c>
      <c r="AG754" s="67" t="str">
        <f t="shared" si="129"/>
        <v>0000000000</v>
      </c>
      <c r="AH754" s="67" t="str">
        <f t="shared" si="130"/>
        <v>.00</v>
      </c>
      <c r="AI754" s="67" t="str">
        <f t="shared" si="126"/>
        <v>00</v>
      </c>
      <c r="AJ754" s="67" t="str">
        <f t="shared" si="131"/>
        <v>000000000000</v>
      </c>
      <c r="AK754" s="119"/>
      <c r="AL754" s="120"/>
      <c r="AP754" s="115" t="str">
        <f t="shared" si="127"/>
        <v/>
      </c>
    </row>
    <row r="755" spans="1:42" x14ac:dyDescent="0.2">
      <c r="A755" s="63" t="str">
        <f t="shared" si="123"/>
        <v/>
      </c>
      <c r="B755" s="133"/>
      <c r="C755" s="133"/>
      <c r="D755" s="135"/>
      <c r="E755" s="135"/>
      <c r="F755" s="137"/>
      <c r="AA755" s="116" t="str">
        <f t="shared" si="122"/>
        <v>00000000000000</v>
      </c>
      <c r="AB755" s="117" t="str">
        <f t="shared" si="124"/>
        <v>000000000000</v>
      </c>
      <c r="AC755" s="118">
        <f t="shared" si="125"/>
        <v>1</v>
      </c>
      <c r="AD755" s="47">
        <v>2</v>
      </c>
      <c r="AE755" s="66">
        <f t="shared" si="128"/>
        <v>0</v>
      </c>
      <c r="AF755" s="66">
        <f t="shared" si="121"/>
        <v>0</v>
      </c>
      <c r="AG755" s="67" t="str">
        <f t="shared" si="129"/>
        <v>0000000000</v>
      </c>
      <c r="AH755" s="67" t="str">
        <f t="shared" si="130"/>
        <v>.00</v>
      </c>
      <c r="AI755" s="67" t="str">
        <f t="shared" si="126"/>
        <v>00</v>
      </c>
      <c r="AJ755" s="67" t="str">
        <f t="shared" si="131"/>
        <v>000000000000</v>
      </c>
      <c r="AK755" s="119"/>
      <c r="AL755" s="120"/>
      <c r="AP755" s="115" t="str">
        <f t="shared" si="127"/>
        <v/>
      </c>
    </row>
    <row r="756" spans="1:42" x14ac:dyDescent="0.2">
      <c r="A756" s="63" t="str">
        <f t="shared" si="123"/>
        <v/>
      </c>
      <c r="B756" s="133"/>
      <c r="C756" s="133"/>
      <c r="D756" s="135"/>
      <c r="E756" s="135"/>
      <c r="F756" s="137"/>
      <c r="AA756" s="116" t="str">
        <f t="shared" si="122"/>
        <v>00000000000000</v>
      </c>
      <c r="AB756" s="117" t="str">
        <f t="shared" si="124"/>
        <v>000000000000</v>
      </c>
      <c r="AC756" s="118">
        <f t="shared" si="125"/>
        <v>1</v>
      </c>
      <c r="AD756" s="47">
        <v>2</v>
      </c>
      <c r="AE756" s="66">
        <f t="shared" si="128"/>
        <v>0</v>
      </c>
      <c r="AF756" s="66">
        <f t="shared" si="121"/>
        <v>0</v>
      </c>
      <c r="AG756" s="67" t="str">
        <f t="shared" si="129"/>
        <v>0000000000</v>
      </c>
      <c r="AH756" s="67" t="str">
        <f t="shared" si="130"/>
        <v>.00</v>
      </c>
      <c r="AI756" s="67" t="str">
        <f t="shared" si="126"/>
        <v>00</v>
      </c>
      <c r="AJ756" s="67" t="str">
        <f t="shared" si="131"/>
        <v>000000000000</v>
      </c>
      <c r="AK756" s="119"/>
      <c r="AL756" s="120"/>
      <c r="AP756" s="115" t="str">
        <f t="shared" si="127"/>
        <v/>
      </c>
    </row>
    <row r="757" spans="1:42" x14ac:dyDescent="0.2">
      <c r="A757" s="63" t="str">
        <f t="shared" si="123"/>
        <v/>
      </c>
      <c r="B757" s="133"/>
      <c r="C757" s="133"/>
      <c r="D757" s="135"/>
      <c r="E757" s="135"/>
      <c r="F757" s="137"/>
      <c r="AA757" s="116" t="str">
        <f t="shared" si="122"/>
        <v>00000000000000</v>
      </c>
      <c r="AB757" s="117" t="str">
        <f t="shared" si="124"/>
        <v>000000000000</v>
      </c>
      <c r="AC757" s="118">
        <f t="shared" si="125"/>
        <v>1</v>
      </c>
      <c r="AD757" s="47">
        <v>2</v>
      </c>
      <c r="AE757" s="66">
        <f t="shared" si="128"/>
        <v>0</v>
      </c>
      <c r="AF757" s="66">
        <f t="shared" si="121"/>
        <v>0</v>
      </c>
      <c r="AG757" s="67" t="str">
        <f t="shared" si="129"/>
        <v>0000000000</v>
      </c>
      <c r="AH757" s="67" t="str">
        <f t="shared" si="130"/>
        <v>.00</v>
      </c>
      <c r="AI757" s="67" t="str">
        <f t="shared" si="126"/>
        <v>00</v>
      </c>
      <c r="AJ757" s="67" t="str">
        <f t="shared" si="131"/>
        <v>000000000000</v>
      </c>
      <c r="AK757" s="119"/>
      <c r="AL757" s="120"/>
      <c r="AP757" s="115" t="str">
        <f t="shared" si="127"/>
        <v/>
      </c>
    </row>
    <row r="758" spans="1:42" x14ac:dyDescent="0.2">
      <c r="A758" s="63" t="str">
        <f t="shared" si="123"/>
        <v/>
      </c>
      <c r="B758" s="133"/>
      <c r="C758" s="133"/>
      <c r="D758" s="135"/>
      <c r="E758" s="135"/>
      <c r="F758" s="137"/>
      <c r="AA758" s="116" t="str">
        <f t="shared" si="122"/>
        <v>00000000000000</v>
      </c>
      <c r="AB758" s="117" t="str">
        <f t="shared" si="124"/>
        <v>000000000000</v>
      </c>
      <c r="AC758" s="118">
        <f t="shared" si="125"/>
        <v>1</v>
      </c>
      <c r="AD758" s="47">
        <v>2</v>
      </c>
      <c r="AE758" s="66">
        <f t="shared" si="128"/>
        <v>0</v>
      </c>
      <c r="AF758" s="66">
        <f t="shared" si="121"/>
        <v>0</v>
      </c>
      <c r="AG758" s="67" t="str">
        <f t="shared" si="129"/>
        <v>0000000000</v>
      </c>
      <c r="AH758" s="67" t="str">
        <f t="shared" si="130"/>
        <v>.00</v>
      </c>
      <c r="AI758" s="67" t="str">
        <f t="shared" si="126"/>
        <v>00</v>
      </c>
      <c r="AJ758" s="67" t="str">
        <f t="shared" si="131"/>
        <v>000000000000</v>
      </c>
      <c r="AK758" s="119"/>
      <c r="AL758" s="120"/>
      <c r="AP758" s="115" t="str">
        <f t="shared" si="127"/>
        <v/>
      </c>
    </row>
    <row r="759" spans="1:42" x14ac:dyDescent="0.2">
      <c r="A759" s="63" t="str">
        <f t="shared" si="123"/>
        <v/>
      </c>
      <c r="B759" s="133"/>
      <c r="C759" s="133"/>
      <c r="D759" s="135"/>
      <c r="E759" s="135"/>
      <c r="F759" s="137"/>
      <c r="AA759" s="116" t="str">
        <f t="shared" si="122"/>
        <v>00000000000000</v>
      </c>
      <c r="AB759" s="117" t="str">
        <f t="shared" si="124"/>
        <v>000000000000</v>
      </c>
      <c r="AC759" s="118">
        <f t="shared" si="125"/>
        <v>1</v>
      </c>
      <c r="AD759" s="47">
        <v>2</v>
      </c>
      <c r="AE759" s="66">
        <f t="shared" si="128"/>
        <v>0</v>
      </c>
      <c r="AF759" s="66">
        <f t="shared" si="121"/>
        <v>0</v>
      </c>
      <c r="AG759" s="67" t="str">
        <f t="shared" si="129"/>
        <v>0000000000</v>
      </c>
      <c r="AH759" s="67" t="str">
        <f t="shared" si="130"/>
        <v>.00</v>
      </c>
      <c r="AI759" s="67" t="str">
        <f t="shared" si="126"/>
        <v>00</v>
      </c>
      <c r="AJ759" s="67" t="str">
        <f t="shared" si="131"/>
        <v>000000000000</v>
      </c>
      <c r="AK759" s="119"/>
      <c r="AL759" s="120"/>
      <c r="AP759" s="115" t="str">
        <f t="shared" si="127"/>
        <v/>
      </c>
    </row>
    <row r="760" spans="1:42" x14ac:dyDescent="0.2">
      <c r="A760" s="63" t="str">
        <f t="shared" si="123"/>
        <v/>
      </c>
      <c r="B760" s="133"/>
      <c r="C760" s="133"/>
      <c r="D760" s="135"/>
      <c r="E760" s="135"/>
      <c r="F760" s="137"/>
      <c r="AA760" s="116" t="str">
        <f t="shared" si="122"/>
        <v>00000000000000</v>
      </c>
      <c r="AB760" s="117" t="str">
        <f t="shared" si="124"/>
        <v>000000000000</v>
      </c>
      <c r="AC760" s="118">
        <f t="shared" si="125"/>
        <v>1</v>
      </c>
      <c r="AD760" s="47">
        <v>2</v>
      </c>
      <c r="AE760" s="66">
        <f t="shared" si="128"/>
        <v>0</v>
      </c>
      <c r="AF760" s="66">
        <f t="shared" si="121"/>
        <v>0</v>
      </c>
      <c r="AG760" s="67" t="str">
        <f t="shared" si="129"/>
        <v>0000000000</v>
      </c>
      <c r="AH760" s="67" t="str">
        <f t="shared" si="130"/>
        <v>.00</v>
      </c>
      <c r="AI760" s="67" t="str">
        <f t="shared" si="126"/>
        <v>00</v>
      </c>
      <c r="AJ760" s="67" t="str">
        <f t="shared" si="131"/>
        <v>000000000000</v>
      </c>
      <c r="AK760" s="119"/>
      <c r="AL760" s="120"/>
      <c r="AP760" s="115" t="str">
        <f t="shared" si="127"/>
        <v/>
      </c>
    </row>
    <row r="761" spans="1:42" x14ac:dyDescent="0.2">
      <c r="A761" s="63" t="str">
        <f t="shared" si="123"/>
        <v/>
      </c>
      <c r="B761" s="133"/>
      <c r="C761" s="133"/>
      <c r="D761" s="135"/>
      <c r="E761" s="135"/>
      <c r="F761" s="137"/>
      <c r="AA761" s="116" t="str">
        <f t="shared" si="122"/>
        <v>00000000000000</v>
      </c>
      <c r="AB761" s="117" t="str">
        <f t="shared" si="124"/>
        <v>000000000000</v>
      </c>
      <c r="AC761" s="118">
        <f t="shared" si="125"/>
        <v>1</v>
      </c>
      <c r="AD761" s="47">
        <v>2</v>
      </c>
      <c r="AE761" s="66">
        <f t="shared" si="128"/>
        <v>0</v>
      </c>
      <c r="AF761" s="66">
        <f t="shared" si="121"/>
        <v>0</v>
      </c>
      <c r="AG761" s="67" t="str">
        <f t="shared" si="129"/>
        <v>0000000000</v>
      </c>
      <c r="AH761" s="67" t="str">
        <f t="shared" si="130"/>
        <v>.00</v>
      </c>
      <c r="AI761" s="67" t="str">
        <f t="shared" si="126"/>
        <v>00</v>
      </c>
      <c r="AJ761" s="67" t="str">
        <f t="shared" si="131"/>
        <v>000000000000</v>
      </c>
      <c r="AK761" s="119"/>
      <c r="AL761" s="120"/>
      <c r="AP761" s="115" t="str">
        <f t="shared" si="127"/>
        <v/>
      </c>
    </row>
    <row r="762" spans="1:42" x14ac:dyDescent="0.2">
      <c r="A762" s="63" t="str">
        <f t="shared" si="123"/>
        <v/>
      </c>
      <c r="B762" s="133"/>
      <c r="C762" s="133"/>
      <c r="D762" s="135"/>
      <c r="E762" s="135"/>
      <c r="F762" s="137"/>
      <c r="AA762" s="116" t="str">
        <f t="shared" si="122"/>
        <v>00000000000000</v>
      </c>
      <c r="AB762" s="117" t="str">
        <f t="shared" si="124"/>
        <v>000000000000</v>
      </c>
      <c r="AC762" s="118">
        <f t="shared" si="125"/>
        <v>1</v>
      </c>
      <c r="AD762" s="47">
        <v>2</v>
      </c>
      <c r="AE762" s="66">
        <f t="shared" si="128"/>
        <v>0</v>
      </c>
      <c r="AF762" s="66">
        <f t="shared" si="121"/>
        <v>0</v>
      </c>
      <c r="AG762" s="67" t="str">
        <f t="shared" si="129"/>
        <v>0000000000</v>
      </c>
      <c r="AH762" s="67" t="str">
        <f t="shared" si="130"/>
        <v>.00</v>
      </c>
      <c r="AI762" s="67" t="str">
        <f t="shared" si="126"/>
        <v>00</v>
      </c>
      <c r="AJ762" s="67" t="str">
        <f t="shared" si="131"/>
        <v>000000000000</v>
      </c>
      <c r="AK762" s="119"/>
      <c r="AL762" s="120"/>
      <c r="AP762" s="115" t="str">
        <f t="shared" si="127"/>
        <v/>
      </c>
    </row>
    <row r="763" spans="1:42" x14ac:dyDescent="0.2">
      <c r="A763" s="63" t="str">
        <f t="shared" si="123"/>
        <v/>
      </c>
      <c r="B763" s="133"/>
      <c r="C763" s="133"/>
      <c r="D763" s="135"/>
      <c r="E763" s="135"/>
      <c r="F763" s="137"/>
      <c r="AA763" s="116" t="str">
        <f t="shared" si="122"/>
        <v>00000000000000</v>
      </c>
      <c r="AB763" s="117" t="str">
        <f t="shared" si="124"/>
        <v>000000000000</v>
      </c>
      <c r="AC763" s="118">
        <f t="shared" si="125"/>
        <v>1</v>
      </c>
      <c r="AD763" s="47">
        <v>2</v>
      </c>
      <c r="AE763" s="66">
        <f t="shared" si="128"/>
        <v>0</v>
      </c>
      <c r="AF763" s="66">
        <f t="shared" si="121"/>
        <v>0</v>
      </c>
      <c r="AG763" s="67" t="str">
        <f t="shared" si="129"/>
        <v>0000000000</v>
      </c>
      <c r="AH763" s="67" t="str">
        <f t="shared" si="130"/>
        <v>.00</v>
      </c>
      <c r="AI763" s="67" t="str">
        <f t="shared" si="126"/>
        <v>00</v>
      </c>
      <c r="AJ763" s="67" t="str">
        <f t="shared" si="131"/>
        <v>000000000000</v>
      </c>
      <c r="AK763" s="119"/>
      <c r="AL763" s="120"/>
      <c r="AP763" s="115" t="str">
        <f t="shared" si="127"/>
        <v/>
      </c>
    </row>
    <row r="764" spans="1:42" x14ac:dyDescent="0.2">
      <c r="A764" s="63" t="str">
        <f t="shared" si="123"/>
        <v/>
      </c>
      <c r="B764" s="133"/>
      <c r="C764" s="133"/>
      <c r="D764" s="135"/>
      <c r="E764" s="135"/>
      <c r="F764" s="137"/>
      <c r="AA764" s="116" t="str">
        <f t="shared" si="122"/>
        <v>00000000000000</v>
      </c>
      <c r="AB764" s="117" t="str">
        <f t="shared" si="124"/>
        <v>000000000000</v>
      </c>
      <c r="AC764" s="118">
        <f t="shared" si="125"/>
        <v>1</v>
      </c>
      <c r="AD764" s="47">
        <v>2</v>
      </c>
      <c r="AE764" s="66">
        <f t="shared" si="128"/>
        <v>0</v>
      </c>
      <c r="AF764" s="66">
        <f t="shared" si="121"/>
        <v>0</v>
      </c>
      <c r="AG764" s="67" t="str">
        <f t="shared" si="129"/>
        <v>0000000000</v>
      </c>
      <c r="AH764" s="67" t="str">
        <f t="shared" si="130"/>
        <v>.00</v>
      </c>
      <c r="AI764" s="67" t="str">
        <f t="shared" si="126"/>
        <v>00</v>
      </c>
      <c r="AJ764" s="67" t="str">
        <f t="shared" si="131"/>
        <v>000000000000</v>
      </c>
      <c r="AK764" s="119"/>
      <c r="AL764" s="120"/>
      <c r="AP764" s="115" t="str">
        <f t="shared" si="127"/>
        <v/>
      </c>
    </row>
    <row r="765" spans="1:42" x14ac:dyDescent="0.2">
      <c r="A765" s="63" t="str">
        <f t="shared" si="123"/>
        <v/>
      </c>
      <c r="B765" s="133"/>
      <c r="C765" s="133"/>
      <c r="D765" s="135"/>
      <c r="E765" s="135"/>
      <c r="F765" s="137"/>
      <c r="AA765" s="116" t="str">
        <f t="shared" si="122"/>
        <v>00000000000000</v>
      </c>
      <c r="AB765" s="117" t="str">
        <f t="shared" si="124"/>
        <v>000000000000</v>
      </c>
      <c r="AC765" s="118">
        <f t="shared" si="125"/>
        <v>1</v>
      </c>
      <c r="AD765" s="47">
        <v>2</v>
      </c>
      <c r="AE765" s="66">
        <f t="shared" si="128"/>
        <v>0</v>
      </c>
      <c r="AF765" s="66">
        <f t="shared" si="121"/>
        <v>0</v>
      </c>
      <c r="AG765" s="67" t="str">
        <f t="shared" si="129"/>
        <v>0000000000</v>
      </c>
      <c r="AH765" s="67" t="str">
        <f t="shared" si="130"/>
        <v>.00</v>
      </c>
      <c r="AI765" s="67" t="str">
        <f t="shared" si="126"/>
        <v>00</v>
      </c>
      <c r="AJ765" s="67" t="str">
        <f t="shared" si="131"/>
        <v>000000000000</v>
      </c>
      <c r="AK765" s="119"/>
      <c r="AL765" s="120"/>
      <c r="AP765" s="115" t="str">
        <f t="shared" si="127"/>
        <v/>
      </c>
    </row>
    <row r="766" spans="1:42" x14ac:dyDescent="0.2">
      <c r="A766" s="63" t="str">
        <f t="shared" si="123"/>
        <v/>
      </c>
      <c r="B766" s="133"/>
      <c r="C766" s="133"/>
      <c r="D766" s="135"/>
      <c r="E766" s="135"/>
      <c r="F766" s="137"/>
      <c r="AA766" s="116" t="str">
        <f t="shared" si="122"/>
        <v>00000000000000</v>
      </c>
      <c r="AB766" s="117" t="str">
        <f t="shared" si="124"/>
        <v>000000000000</v>
      </c>
      <c r="AC766" s="118">
        <f t="shared" si="125"/>
        <v>1</v>
      </c>
      <c r="AD766" s="47">
        <v>2</v>
      </c>
      <c r="AE766" s="66">
        <f t="shared" si="128"/>
        <v>0</v>
      </c>
      <c r="AF766" s="66">
        <f t="shared" si="121"/>
        <v>0</v>
      </c>
      <c r="AG766" s="67" t="str">
        <f t="shared" si="129"/>
        <v>0000000000</v>
      </c>
      <c r="AH766" s="67" t="str">
        <f t="shared" si="130"/>
        <v>.00</v>
      </c>
      <c r="AI766" s="67" t="str">
        <f t="shared" si="126"/>
        <v>00</v>
      </c>
      <c r="AJ766" s="67" t="str">
        <f t="shared" si="131"/>
        <v>000000000000</v>
      </c>
      <c r="AK766" s="119"/>
      <c r="AL766" s="120"/>
      <c r="AP766" s="115" t="str">
        <f t="shared" si="127"/>
        <v/>
      </c>
    </row>
    <row r="767" spans="1:42" x14ac:dyDescent="0.2">
      <c r="A767" s="63" t="str">
        <f t="shared" si="123"/>
        <v/>
      </c>
      <c r="B767" s="133"/>
      <c r="C767" s="133"/>
      <c r="D767" s="135"/>
      <c r="E767" s="135"/>
      <c r="F767" s="137"/>
      <c r="AA767" s="116" t="str">
        <f t="shared" si="122"/>
        <v>00000000000000</v>
      </c>
      <c r="AB767" s="117" t="str">
        <f t="shared" si="124"/>
        <v>000000000000</v>
      </c>
      <c r="AC767" s="118">
        <f t="shared" si="125"/>
        <v>1</v>
      </c>
      <c r="AD767" s="47">
        <v>2</v>
      </c>
      <c r="AE767" s="66">
        <f t="shared" si="128"/>
        <v>0</v>
      </c>
      <c r="AF767" s="66">
        <f t="shared" si="121"/>
        <v>0</v>
      </c>
      <c r="AG767" s="67" t="str">
        <f t="shared" si="129"/>
        <v>0000000000</v>
      </c>
      <c r="AH767" s="67" t="str">
        <f t="shared" si="130"/>
        <v>.00</v>
      </c>
      <c r="AI767" s="67" t="str">
        <f t="shared" si="126"/>
        <v>00</v>
      </c>
      <c r="AJ767" s="67" t="str">
        <f t="shared" si="131"/>
        <v>000000000000</v>
      </c>
      <c r="AK767" s="119"/>
      <c r="AL767" s="120"/>
      <c r="AP767" s="115" t="str">
        <f t="shared" si="127"/>
        <v/>
      </c>
    </row>
    <row r="768" spans="1:42" x14ac:dyDescent="0.2">
      <c r="A768" s="63" t="str">
        <f t="shared" si="123"/>
        <v/>
      </c>
      <c r="B768" s="133"/>
      <c r="C768" s="133"/>
      <c r="D768" s="135"/>
      <c r="E768" s="135"/>
      <c r="F768" s="137"/>
      <c r="AA768" s="116" t="str">
        <f t="shared" si="122"/>
        <v>00000000000000</v>
      </c>
      <c r="AB768" s="117" t="str">
        <f t="shared" si="124"/>
        <v>000000000000</v>
      </c>
      <c r="AC768" s="118">
        <f t="shared" si="125"/>
        <v>1</v>
      </c>
      <c r="AD768" s="47">
        <v>2</v>
      </c>
      <c r="AE768" s="66">
        <f t="shared" si="128"/>
        <v>0</v>
      </c>
      <c r="AF768" s="66">
        <f t="shared" si="121"/>
        <v>0</v>
      </c>
      <c r="AG768" s="67" t="str">
        <f t="shared" si="129"/>
        <v>0000000000</v>
      </c>
      <c r="AH768" s="67" t="str">
        <f t="shared" si="130"/>
        <v>.00</v>
      </c>
      <c r="AI768" s="67" t="str">
        <f t="shared" si="126"/>
        <v>00</v>
      </c>
      <c r="AJ768" s="67" t="str">
        <f t="shared" si="131"/>
        <v>000000000000</v>
      </c>
      <c r="AK768" s="119"/>
      <c r="AL768" s="120"/>
      <c r="AP768" s="115" t="str">
        <f t="shared" si="127"/>
        <v/>
      </c>
    </row>
    <row r="769" spans="1:42" x14ac:dyDescent="0.2">
      <c r="A769" s="63" t="str">
        <f t="shared" si="123"/>
        <v/>
      </c>
      <c r="B769" s="133"/>
      <c r="C769" s="133"/>
      <c r="D769" s="135"/>
      <c r="E769" s="135"/>
      <c r="F769" s="137"/>
      <c r="AA769" s="116" t="str">
        <f t="shared" si="122"/>
        <v>00000000000000</v>
      </c>
      <c r="AB769" s="117" t="str">
        <f t="shared" si="124"/>
        <v>000000000000</v>
      </c>
      <c r="AC769" s="118">
        <f t="shared" si="125"/>
        <v>1</v>
      </c>
      <c r="AD769" s="47">
        <v>2</v>
      </c>
      <c r="AE769" s="66">
        <f t="shared" si="128"/>
        <v>0</v>
      </c>
      <c r="AF769" s="66">
        <f t="shared" si="121"/>
        <v>0</v>
      </c>
      <c r="AG769" s="67" t="str">
        <f t="shared" si="129"/>
        <v>0000000000</v>
      </c>
      <c r="AH769" s="67" t="str">
        <f t="shared" si="130"/>
        <v>.00</v>
      </c>
      <c r="AI769" s="67" t="str">
        <f t="shared" si="126"/>
        <v>00</v>
      </c>
      <c r="AJ769" s="67" t="str">
        <f t="shared" si="131"/>
        <v>000000000000</v>
      </c>
      <c r="AK769" s="119"/>
      <c r="AL769" s="120"/>
      <c r="AP769" s="115" t="str">
        <f t="shared" si="127"/>
        <v/>
      </c>
    </row>
    <row r="770" spans="1:42" x14ac:dyDescent="0.2">
      <c r="A770" s="63" t="str">
        <f t="shared" si="123"/>
        <v/>
      </c>
      <c r="B770" s="133"/>
      <c r="C770" s="133"/>
      <c r="D770" s="135"/>
      <c r="E770" s="135"/>
      <c r="F770" s="137"/>
      <c r="AA770" s="116" t="str">
        <f t="shared" si="122"/>
        <v>00000000000000</v>
      </c>
      <c r="AB770" s="117" t="str">
        <f t="shared" si="124"/>
        <v>000000000000</v>
      </c>
      <c r="AC770" s="118">
        <f t="shared" si="125"/>
        <v>1</v>
      </c>
      <c r="AD770" s="47">
        <v>2</v>
      </c>
      <c r="AE770" s="66">
        <f t="shared" si="128"/>
        <v>0</v>
      </c>
      <c r="AF770" s="66">
        <f t="shared" si="121"/>
        <v>0</v>
      </c>
      <c r="AG770" s="67" t="str">
        <f t="shared" si="129"/>
        <v>0000000000</v>
      </c>
      <c r="AH770" s="67" t="str">
        <f t="shared" si="130"/>
        <v>.00</v>
      </c>
      <c r="AI770" s="67" t="str">
        <f t="shared" si="126"/>
        <v>00</v>
      </c>
      <c r="AJ770" s="67" t="str">
        <f t="shared" si="131"/>
        <v>000000000000</v>
      </c>
      <c r="AK770" s="119"/>
      <c r="AL770" s="120"/>
      <c r="AP770" s="115" t="str">
        <f t="shared" si="127"/>
        <v/>
      </c>
    </row>
    <row r="771" spans="1:42" x14ac:dyDescent="0.2">
      <c r="A771" s="63" t="str">
        <f t="shared" si="123"/>
        <v/>
      </c>
      <c r="B771" s="133"/>
      <c r="C771" s="133"/>
      <c r="D771" s="135"/>
      <c r="E771" s="135"/>
      <c r="F771" s="137"/>
      <c r="AA771" s="116" t="str">
        <f t="shared" si="122"/>
        <v>00000000000000</v>
      </c>
      <c r="AB771" s="117" t="str">
        <f t="shared" si="124"/>
        <v>000000000000</v>
      </c>
      <c r="AC771" s="118">
        <f t="shared" si="125"/>
        <v>1</v>
      </c>
      <c r="AD771" s="47">
        <v>2</v>
      </c>
      <c r="AE771" s="66">
        <f t="shared" si="128"/>
        <v>0</v>
      </c>
      <c r="AF771" s="66">
        <f t="shared" ref="AF771:AF834" si="132">F771-AE771</f>
        <v>0</v>
      </c>
      <c r="AG771" s="67" t="str">
        <f t="shared" si="129"/>
        <v>0000000000</v>
      </c>
      <c r="AH771" s="67" t="str">
        <f t="shared" si="130"/>
        <v>.00</v>
      </c>
      <c r="AI771" s="67" t="str">
        <f t="shared" si="126"/>
        <v>00</v>
      </c>
      <c r="AJ771" s="67" t="str">
        <f t="shared" si="131"/>
        <v>000000000000</v>
      </c>
      <c r="AK771" s="119"/>
      <c r="AL771" s="120"/>
      <c r="AP771" s="115" t="str">
        <f t="shared" si="127"/>
        <v/>
      </c>
    </row>
    <row r="772" spans="1:42" x14ac:dyDescent="0.2">
      <c r="A772" s="63" t="str">
        <f t="shared" si="123"/>
        <v/>
      </c>
      <c r="B772" s="133"/>
      <c r="C772" s="133"/>
      <c r="D772" s="135"/>
      <c r="E772" s="135"/>
      <c r="F772" s="137"/>
      <c r="AA772" s="116" t="str">
        <f t="shared" ref="AA772:AA835" si="133">CONCATENATE(REPT("0",14-LEN(B772)),B772)</f>
        <v>00000000000000</v>
      </c>
      <c r="AB772" s="117" t="str">
        <f t="shared" si="124"/>
        <v>000000000000</v>
      </c>
      <c r="AC772" s="118">
        <f t="shared" si="125"/>
        <v>1</v>
      </c>
      <c r="AD772" s="47">
        <v>2</v>
      </c>
      <c r="AE772" s="66">
        <f t="shared" si="128"/>
        <v>0</v>
      </c>
      <c r="AF772" s="66">
        <f t="shared" si="132"/>
        <v>0</v>
      </c>
      <c r="AG772" s="67" t="str">
        <f t="shared" si="129"/>
        <v>0000000000</v>
      </c>
      <c r="AH772" s="67" t="str">
        <f t="shared" si="130"/>
        <v>.00</v>
      </c>
      <c r="AI772" s="67" t="str">
        <f t="shared" si="126"/>
        <v>00</v>
      </c>
      <c r="AJ772" s="67" t="str">
        <f t="shared" si="131"/>
        <v>000000000000</v>
      </c>
      <c r="AK772" s="119"/>
      <c r="AL772" s="120"/>
      <c r="AP772" s="115" t="str">
        <f t="shared" si="127"/>
        <v/>
      </c>
    </row>
    <row r="773" spans="1:42" x14ac:dyDescent="0.2">
      <c r="A773" s="63" t="str">
        <f t="shared" ref="A773:A836" si="134">IF(B773&lt;&gt;"",A772+1,"")</f>
        <v/>
      </c>
      <c r="B773" s="133"/>
      <c r="C773" s="133"/>
      <c r="D773" s="135"/>
      <c r="E773" s="135"/>
      <c r="F773" s="137"/>
      <c r="AA773" s="116" t="str">
        <f t="shared" si="133"/>
        <v>00000000000000</v>
      </c>
      <c r="AB773" s="117" t="str">
        <f t="shared" ref="AB773:AB836" si="135">CONCATENATE(REPT("0",12-LEN(C773)),C773)</f>
        <v>000000000000</v>
      </c>
      <c r="AC773" s="118">
        <f t="shared" ref="AC773:AC836" si="136">AC772</f>
        <v>1</v>
      </c>
      <c r="AD773" s="47">
        <v>2</v>
      </c>
      <c r="AE773" s="66">
        <f t="shared" si="128"/>
        <v>0</v>
      </c>
      <c r="AF773" s="66">
        <f t="shared" si="132"/>
        <v>0</v>
      </c>
      <c r="AG773" s="67" t="str">
        <f t="shared" si="129"/>
        <v>0000000000</v>
      </c>
      <c r="AH773" s="67" t="str">
        <f t="shared" si="130"/>
        <v>.00</v>
      </c>
      <c r="AI773" s="67" t="str">
        <f t="shared" ref="AI773:AI836" si="137">MID(AH773,2,2)</f>
        <v>00</v>
      </c>
      <c r="AJ773" s="67" t="str">
        <f t="shared" si="131"/>
        <v>000000000000</v>
      </c>
      <c r="AK773" s="119"/>
      <c r="AL773" s="120"/>
      <c r="AP773" s="115" t="str">
        <f t="shared" si="127"/>
        <v/>
      </c>
    </row>
    <row r="774" spans="1:42" x14ac:dyDescent="0.2">
      <c r="A774" s="63" t="str">
        <f t="shared" si="134"/>
        <v/>
      </c>
      <c r="B774" s="133"/>
      <c r="C774" s="133"/>
      <c r="D774" s="135"/>
      <c r="E774" s="135"/>
      <c r="F774" s="137"/>
      <c r="AA774" s="116" t="str">
        <f t="shared" si="133"/>
        <v>00000000000000</v>
      </c>
      <c r="AB774" s="117" t="str">
        <f t="shared" si="135"/>
        <v>000000000000</v>
      </c>
      <c r="AC774" s="118">
        <f t="shared" si="136"/>
        <v>1</v>
      </c>
      <c r="AD774" s="47">
        <v>2</v>
      </c>
      <c r="AE774" s="66">
        <f t="shared" si="128"/>
        <v>0</v>
      </c>
      <c r="AF774" s="66">
        <f t="shared" si="132"/>
        <v>0</v>
      </c>
      <c r="AG774" s="67" t="str">
        <f t="shared" si="129"/>
        <v>0000000000</v>
      </c>
      <c r="AH774" s="67" t="str">
        <f t="shared" si="130"/>
        <v>.00</v>
      </c>
      <c r="AI774" s="67" t="str">
        <f t="shared" si="137"/>
        <v>00</v>
      </c>
      <c r="AJ774" s="67" t="str">
        <f t="shared" si="131"/>
        <v>000000000000</v>
      </c>
      <c r="AK774" s="119"/>
      <c r="AL774" s="120"/>
      <c r="AP774" s="115" t="str">
        <f t="shared" ref="AP774:AP837" si="138">IF(B775&lt;&gt;"",CONCATENATE("00000",$AD$1,AA775,$AC$3,"2",AB775,AJ775,$AL$3,"0                                                  "),"")</f>
        <v/>
      </c>
    </row>
    <row r="775" spans="1:42" x14ac:dyDescent="0.2">
      <c r="A775" s="63" t="str">
        <f t="shared" si="134"/>
        <v/>
      </c>
      <c r="B775" s="133"/>
      <c r="C775" s="133"/>
      <c r="D775" s="135"/>
      <c r="E775" s="135"/>
      <c r="F775" s="137"/>
      <c r="AA775" s="116" t="str">
        <f t="shared" si="133"/>
        <v>00000000000000</v>
      </c>
      <c r="AB775" s="117" t="str">
        <f t="shared" si="135"/>
        <v>000000000000</v>
      </c>
      <c r="AC775" s="118">
        <f t="shared" si="136"/>
        <v>1</v>
      </c>
      <c r="AD775" s="47">
        <v>2</v>
      </c>
      <c r="AE775" s="66">
        <f t="shared" si="128"/>
        <v>0</v>
      </c>
      <c r="AF775" s="66">
        <f t="shared" si="132"/>
        <v>0</v>
      </c>
      <c r="AG775" s="67" t="str">
        <f t="shared" si="129"/>
        <v>0000000000</v>
      </c>
      <c r="AH775" s="67" t="str">
        <f t="shared" si="130"/>
        <v>.00</v>
      </c>
      <c r="AI775" s="67" t="str">
        <f t="shared" si="137"/>
        <v>00</v>
      </c>
      <c r="AJ775" s="67" t="str">
        <f t="shared" si="131"/>
        <v>000000000000</v>
      </c>
      <c r="AK775" s="119"/>
      <c r="AL775" s="120"/>
      <c r="AP775" s="115" t="str">
        <f t="shared" si="138"/>
        <v/>
      </c>
    </row>
    <row r="776" spans="1:42" x14ac:dyDescent="0.2">
      <c r="A776" s="63" t="str">
        <f t="shared" si="134"/>
        <v/>
      </c>
      <c r="B776" s="133"/>
      <c r="C776" s="133"/>
      <c r="D776" s="135"/>
      <c r="E776" s="135"/>
      <c r="F776" s="137"/>
      <c r="AA776" s="116" t="str">
        <f t="shared" si="133"/>
        <v>00000000000000</v>
      </c>
      <c r="AB776" s="117" t="str">
        <f t="shared" si="135"/>
        <v>000000000000</v>
      </c>
      <c r="AC776" s="118">
        <f t="shared" si="136"/>
        <v>1</v>
      </c>
      <c r="AD776" s="47">
        <v>2</v>
      </c>
      <c r="AE776" s="66">
        <f t="shared" ref="AE776:AE839" si="139">INT(F776)</f>
        <v>0</v>
      </c>
      <c r="AF776" s="66">
        <f t="shared" si="132"/>
        <v>0</v>
      </c>
      <c r="AG776" s="67" t="str">
        <f t="shared" ref="AG776:AG839" si="140">TEXT(AE776,"0000000000")</f>
        <v>0000000000</v>
      </c>
      <c r="AH776" s="67" t="str">
        <f t="shared" ref="AH776:AH839" si="141">TEXT(AF776,".00")</f>
        <v>.00</v>
      </c>
      <c r="AI776" s="67" t="str">
        <f t="shared" si="137"/>
        <v>00</v>
      </c>
      <c r="AJ776" s="67" t="str">
        <f t="shared" ref="AJ776:AJ839" si="142">CONCATENATE(AG776,AI776)</f>
        <v>000000000000</v>
      </c>
      <c r="AK776" s="119"/>
      <c r="AL776" s="120"/>
      <c r="AP776" s="115" t="str">
        <f t="shared" si="138"/>
        <v/>
      </c>
    </row>
    <row r="777" spans="1:42" x14ac:dyDescent="0.2">
      <c r="A777" s="63" t="str">
        <f t="shared" si="134"/>
        <v/>
      </c>
      <c r="B777" s="133"/>
      <c r="C777" s="133"/>
      <c r="D777" s="135"/>
      <c r="E777" s="135"/>
      <c r="F777" s="137"/>
      <c r="AA777" s="116" t="str">
        <f t="shared" si="133"/>
        <v>00000000000000</v>
      </c>
      <c r="AB777" s="117" t="str">
        <f t="shared" si="135"/>
        <v>000000000000</v>
      </c>
      <c r="AC777" s="118">
        <f t="shared" si="136"/>
        <v>1</v>
      </c>
      <c r="AD777" s="47">
        <v>2</v>
      </c>
      <c r="AE777" s="66">
        <f t="shared" si="139"/>
        <v>0</v>
      </c>
      <c r="AF777" s="66">
        <f t="shared" si="132"/>
        <v>0</v>
      </c>
      <c r="AG777" s="67" t="str">
        <f t="shared" si="140"/>
        <v>0000000000</v>
      </c>
      <c r="AH777" s="67" t="str">
        <f t="shared" si="141"/>
        <v>.00</v>
      </c>
      <c r="AI777" s="67" t="str">
        <f t="shared" si="137"/>
        <v>00</v>
      </c>
      <c r="AJ777" s="67" t="str">
        <f t="shared" si="142"/>
        <v>000000000000</v>
      </c>
      <c r="AK777" s="119"/>
      <c r="AL777" s="120"/>
      <c r="AP777" s="115" t="str">
        <f t="shared" si="138"/>
        <v/>
      </c>
    </row>
    <row r="778" spans="1:42" x14ac:dyDescent="0.2">
      <c r="A778" s="63" t="str">
        <f t="shared" si="134"/>
        <v/>
      </c>
      <c r="B778" s="133"/>
      <c r="C778" s="133"/>
      <c r="D778" s="135"/>
      <c r="E778" s="135"/>
      <c r="F778" s="137"/>
      <c r="AA778" s="116" t="str">
        <f t="shared" si="133"/>
        <v>00000000000000</v>
      </c>
      <c r="AB778" s="117" t="str">
        <f t="shared" si="135"/>
        <v>000000000000</v>
      </c>
      <c r="AC778" s="118">
        <f t="shared" si="136"/>
        <v>1</v>
      </c>
      <c r="AD778" s="47">
        <v>2</v>
      </c>
      <c r="AE778" s="66">
        <f t="shared" si="139"/>
        <v>0</v>
      </c>
      <c r="AF778" s="66">
        <f t="shared" si="132"/>
        <v>0</v>
      </c>
      <c r="AG778" s="67" t="str">
        <f t="shared" si="140"/>
        <v>0000000000</v>
      </c>
      <c r="AH778" s="67" t="str">
        <f t="shared" si="141"/>
        <v>.00</v>
      </c>
      <c r="AI778" s="67" t="str">
        <f t="shared" si="137"/>
        <v>00</v>
      </c>
      <c r="AJ778" s="67" t="str">
        <f t="shared" si="142"/>
        <v>000000000000</v>
      </c>
      <c r="AK778" s="119"/>
      <c r="AL778" s="120"/>
      <c r="AP778" s="115" t="str">
        <f t="shared" si="138"/>
        <v/>
      </c>
    </row>
    <row r="779" spans="1:42" x14ac:dyDescent="0.2">
      <c r="A779" s="63" t="str">
        <f t="shared" si="134"/>
        <v/>
      </c>
      <c r="B779" s="133"/>
      <c r="C779" s="133"/>
      <c r="D779" s="135"/>
      <c r="E779" s="135"/>
      <c r="F779" s="137"/>
      <c r="AA779" s="116" t="str">
        <f t="shared" si="133"/>
        <v>00000000000000</v>
      </c>
      <c r="AB779" s="117" t="str">
        <f t="shared" si="135"/>
        <v>000000000000</v>
      </c>
      <c r="AC779" s="118">
        <f t="shared" si="136"/>
        <v>1</v>
      </c>
      <c r="AD779" s="47">
        <v>2</v>
      </c>
      <c r="AE779" s="66">
        <f t="shared" si="139"/>
        <v>0</v>
      </c>
      <c r="AF779" s="66">
        <f t="shared" si="132"/>
        <v>0</v>
      </c>
      <c r="AG779" s="67" t="str">
        <f t="shared" si="140"/>
        <v>0000000000</v>
      </c>
      <c r="AH779" s="67" t="str">
        <f t="shared" si="141"/>
        <v>.00</v>
      </c>
      <c r="AI779" s="67" t="str">
        <f t="shared" si="137"/>
        <v>00</v>
      </c>
      <c r="AJ779" s="67" t="str">
        <f t="shared" si="142"/>
        <v>000000000000</v>
      </c>
      <c r="AK779" s="119"/>
      <c r="AL779" s="120"/>
      <c r="AP779" s="115" t="str">
        <f t="shared" si="138"/>
        <v/>
      </c>
    </row>
    <row r="780" spans="1:42" x14ac:dyDescent="0.2">
      <c r="A780" s="63" t="str">
        <f t="shared" si="134"/>
        <v/>
      </c>
      <c r="B780" s="133"/>
      <c r="C780" s="133"/>
      <c r="D780" s="135"/>
      <c r="E780" s="135"/>
      <c r="F780" s="137"/>
      <c r="AA780" s="116" t="str">
        <f t="shared" si="133"/>
        <v>00000000000000</v>
      </c>
      <c r="AB780" s="117" t="str">
        <f t="shared" si="135"/>
        <v>000000000000</v>
      </c>
      <c r="AC780" s="118">
        <f t="shared" si="136"/>
        <v>1</v>
      </c>
      <c r="AD780" s="47">
        <v>2</v>
      </c>
      <c r="AE780" s="66">
        <f t="shared" si="139"/>
        <v>0</v>
      </c>
      <c r="AF780" s="66">
        <f t="shared" si="132"/>
        <v>0</v>
      </c>
      <c r="AG780" s="67" t="str">
        <f t="shared" si="140"/>
        <v>0000000000</v>
      </c>
      <c r="AH780" s="67" t="str">
        <f t="shared" si="141"/>
        <v>.00</v>
      </c>
      <c r="AI780" s="67" t="str">
        <f t="shared" si="137"/>
        <v>00</v>
      </c>
      <c r="AJ780" s="67" t="str">
        <f t="shared" si="142"/>
        <v>000000000000</v>
      </c>
      <c r="AK780" s="119"/>
      <c r="AL780" s="120"/>
      <c r="AP780" s="115" t="str">
        <f t="shared" si="138"/>
        <v/>
      </c>
    </row>
    <row r="781" spans="1:42" x14ac:dyDescent="0.2">
      <c r="A781" s="63" t="str">
        <f t="shared" si="134"/>
        <v/>
      </c>
      <c r="B781" s="133"/>
      <c r="C781" s="133"/>
      <c r="D781" s="135"/>
      <c r="E781" s="135"/>
      <c r="F781" s="137"/>
      <c r="AA781" s="116" t="str">
        <f t="shared" si="133"/>
        <v>00000000000000</v>
      </c>
      <c r="AB781" s="117" t="str">
        <f t="shared" si="135"/>
        <v>000000000000</v>
      </c>
      <c r="AC781" s="118">
        <f t="shared" si="136"/>
        <v>1</v>
      </c>
      <c r="AD781" s="47">
        <v>2</v>
      </c>
      <c r="AE781" s="66">
        <f t="shared" si="139"/>
        <v>0</v>
      </c>
      <c r="AF781" s="66">
        <f t="shared" si="132"/>
        <v>0</v>
      </c>
      <c r="AG781" s="67" t="str">
        <f t="shared" si="140"/>
        <v>0000000000</v>
      </c>
      <c r="AH781" s="67" t="str">
        <f t="shared" si="141"/>
        <v>.00</v>
      </c>
      <c r="AI781" s="67" t="str">
        <f t="shared" si="137"/>
        <v>00</v>
      </c>
      <c r="AJ781" s="67" t="str">
        <f t="shared" si="142"/>
        <v>000000000000</v>
      </c>
      <c r="AK781" s="119"/>
      <c r="AL781" s="120"/>
      <c r="AP781" s="115" t="str">
        <f t="shared" si="138"/>
        <v/>
      </c>
    </row>
    <row r="782" spans="1:42" x14ac:dyDescent="0.2">
      <c r="A782" s="63" t="str">
        <f t="shared" si="134"/>
        <v/>
      </c>
      <c r="B782" s="133"/>
      <c r="C782" s="133"/>
      <c r="D782" s="135"/>
      <c r="E782" s="135"/>
      <c r="F782" s="137"/>
      <c r="AA782" s="116" t="str">
        <f t="shared" si="133"/>
        <v>00000000000000</v>
      </c>
      <c r="AB782" s="117" t="str">
        <f t="shared" si="135"/>
        <v>000000000000</v>
      </c>
      <c r="AC782" s="118">
        <f t="shared" si="136"/>
        <v>1</v>
      </c>
      <c r="AD782" s="47">
        <v>2</v>
      </c>
      <c r="AE782" s="66">
        <f t="shared" si="139"/>
        <v>0</v>
      </c>
      <c r="AF782" s="66">
        <f t="shared" si="132"/>
        <v>0</v>
      </c>
      <c r="AG782" s="67" t="str">
        <f t="shared" si="140"/>
        <v>0000000000</v>
      </c>
      <c r="AH782" s="67" t="str">
        <f t="shared" si="141"/>
        <v>.00</v>
      </c>
      <c r="AI782" s="67" t="str">
        <f t="shared" si="137"/>
        <v>00</v>
      </c>
      <c r="AJ782" s="67" t="str">
        <f t="shared" si="142"/>
        <v>000000000000</v>
      </c>
      <c r="AK782" s="119"/>
      <c r="AL782" s="120"/>
      <c r="AP782" s="115" t="str">
        <f t="shared" si="138"/>
        <v/>
      </c>
    </row>
    <row r="783" spans="1:42" x14ac:dyDescent="0.2">
      <c r="A783" s="63" t="str">
        <f t="shared" si="134"/>
        <v/>
      </c>
      <c r="B783" s="133"/>
      <c r="C783" s="133"/>
      <c r="D783" s="135"/>
      <c r="E783" s="135"/>
      <c r="F783" s="137"/>
      <c r="AA783" s="116" t="str">
        <f t="shared" si="133"/>
        <v>00000000000000</v>
      </c>
      <c r="AB783" s="117" t="str">
        <f t="shared" si="135"/>
        <v>000000000000</v>
      </c>
      <c r="AC783" s="118">
        <f t="shared" si="136"/>
        <v>1</v>
      </c>
      <c r="AD783" s="47">
        <v>2</v>
      </c>
      <c r="AE783" s="66">
        <f t="shared" si="139"/>
        <v>0</v>
      </c>
      <c r="AF783" s="66">
        <f t="shared" si="132"/>
        <v>0</v>
      </c>
      <c r="AG783" s="67" t="str">
        <f t="shared" si="140"/>
        <v>0000000000</v>
      </c>
      <c r="AH783" s="67" t="str">
        <f t="shared" si="141"/>
        <v>.00</v>
      </c>
      <c r="AI783" s="67" t="str">
        <f t="shared" si="137"/>
        <v>00</v>
      </c>
      <c r="AJ783" s="67" t="str">
        <f t="shared" si="142"/>
        <v>000000000000</v>
      </c>
      <c r="AK783" s="119"/>
      <c r="AL783" s="120"/>
      <c r="AP783" s="115" t="str">
        <f t="shared" si="138"/>
        <v/>
      </c>
    </row>
    <row r="784" spans="1:42" x14ac:dyDescent="0.2">
      <c r="A784" s="63" t="str">
        <f t="shared" si="134"/>
        <v/>
      </c>
      <c r="B784" s="133"/>
      <c r="C784" s="133"/>
      <c r="D784" s="135"/>
      <c r="E784" s="135"/>
      <c r="F784" s="137"/>
      <c r="AA784" s="116" t="str">
        <f t="shared" si="133"/>
        <v>00000000000000</v>
      </c>
      <c r="AB784" s="117" t="str">
        <f t="shared" si="135"/>
        <v>000000000000</v>
      </c>
      <c r="AC784" s="118">
        <f t="shared" si="136"/>
        <v>1</v>
      </c>
      <c r="AD784" s="47">
        <v>2</v>
      </c>
      <c r="AE784" s="66">
        <f t="shared" si="139"/>
        <v>0</v>
      </c>
      <c r="AF784" s="66">
        <f t="shared" si="132"/>
        <v>0</v>
      </c>
      <c r="AG784" s="67" t="str">
        <f t="shared" si="140"/>
        <v>0000000000</v>
      </c>
      <c r="AH784" s="67" t="str">
        <f t="shared" si="141"/>
        <v>.00</v>
      </c>
      <c r="AI784" s="67" t="str">
        <f t="shared" si="137"/>
        <v>00</v>
      </c>
      <c r="AJ784" s="67" t="str">
        <f t="shared" si="142"/>
        <v>000000000000</v>
      </c>
      <c r="AK784" s="119"/>
      <c r="AL784" s="120"/>
      <c r="AP784" s="115" t="str">
        <f t="shared" si="138"/>
        <v/>
      </c>
    </row>
    <row r="785" spans="1:42" x14ac:dyDescent="0.2">
      <c r="A785" s="63" t="str">
        <f t="shared" si="134"/>
        <v/>
      </c>
      <c r="B785" s="133"/>
      <c r="C785" s="133"/>
      <c r="D785" s="135"/>
      <c r="E785" s="135"/>
      <c r="F785" s="137"/>
      <c r="AA785" s="116" t="str">
        <f t="shared" si="133"/>
        <v>00000000000000</v>
      </c>
      <c r="AB785" s="117" t="str">
        <f t="shared" si="135"/>
        <v>000000000000</v>
      </c>
      <c r="AC785" s="118">
        <f t="shared" si="136"/>
        <v>1</v>
      </c>
      <c r="AD785" s="47">
        <v>2</v>
      </c>
      <c r="AE785" s="66">
        <f t="shared" si="139"/>
        <v>0</v>
      </c>
      <c r="AF785" s="66">
        <f t="shared" si="132"/>
        <v>0</v>
      </c>
      <c r="AG785" s="67" t="str">
        <f t="shared" si="140"/>
        <v>0000000000</v>
      </c>
      <c r="AH785" s="67" t="str">
        <f t="shared" si="141"/>
        <v>.00</v>
      </c>
      <c r="AI785" s="67" t="str">
        <f t="shared" si="137"/>
        <v>00</v>
      </c>
      <c r="AJ785" s="67" t="str">
        <f t="shared" si="142"/>
        <v>000000000000</v>
      </c>
      <c r="AK785" s="119"/>
      <c r="AL785" s="120"/>
      <c r="AP785" s="115" t="str">
        <f t="shared" si="138"/>
        <v/>
      </c>
    </row>
    <row r="786" spans="1:42" x14ac:dyDescent="0.2">
      <c r="A786" s="63" t="str">
        <f t="shared" si="134"/>
        <v/>
      </c>
      <c r="B786" s="133"/>
      <c r="C786" s="133"/>
      <c r="D786" s="135"/>
      <c r="E786" s="135"/>
      <c r="F786" s="137"/>
      <c r="AA786" s="116" t="str">
        <f t="shared" si="133"/>
        <v>00000000000000</v>
      </c>
      <c r="AB786" s="117" t="str">
        <f t="shared" si="135"/>
        <v>000000000000</v>
      </c>
      <c r="AC786" s="118">
        <f t="shared" si="136"/>
        <v>1</v>
      </c>
      <c r="AD786" s="47">
        <v>2</v>
      </c>
      <c r="AE786" s="66">
        <f t="shared" si="139"/>
        <v>0</v>
      </c>
      <c r="AF786" s="66">
        <f t="shared" si="132"/>
        <v>0</v>
      </c>
      <c r="AG786" s="67" t="str">
        <f t="shared" si="140"/>
        <v>0000000000</v>
      </c>
      <c r="AH786" s="67" t="str">
        <f t="shared" si="141"/>
        <v>.00</v>
      </c>
      <c r="AI786" s="67" t="str">
        <f t="shared" si="137"/>
        <v>00</v>
      </c>
      <c r="AJ786" s="67" t="str">
        <f t="shared" si="142"/>
        <v>000000000000</v>
      </c>
      <c r="AK786" s="119"/>
      <c r="AL786" s="120"/>
      <c r="AP786" s="115" t="str">
        <f t="shared" si="138"/>
        <v/>
      </c>
    </row>
    <row r="787" spans="1:42" x14ac:dyDescent="0.2">
      <c r="A787" s="63" t="str">
        <f t="shared" si="134"/>
        <v/>
      </c>
      <c r="B787" s="133"/>
      <c r="C787" s="133"/>
      <c r="D787" s="135"/>
      <c r="E787" s="135"/>
      <c r="F787" s="137"/>
      <c r="AA787" s="116" t="str">
        <f t="shared" si="133"/>
        <v>00000000000000</v>
      </c>
      <c r="AB787" s="117" t="str">
        <f t="shared" si="135"/>
        <v>000000000000</v>
      </c>
      <c r="AC787" s="118">
        <f t="shared" si="136"/>
        <v>1</v>
      </c>
      <c r="AD787" s="47">
        <v>2</v>
      </c>
      <c r="AE787" s="66">
        <f t="shared" si="139"/>
        <v>0</v>
      </c>
      <c r="AF787" s="66">
        <f t="shared" si="132"/>
        <v>0</v>
      </c>
      <c r="AG787" s="67" t="str">
        <f t="shared" si="140"/>
        <v>0000000000</v>
      </c>
      <c r="AH787" s="67" t="str">
        <f t="shared" si="141"/>
        <v>.00</v>
      </c>
      <c r="AI787" s="67" t="str">
        <f t="shared" si="137"/>
        <v>00</v>
      </c>
      <c r="AJ787" s="67" t="str">
        <f t="shared" si="142"/>
        <v>000000000000</v>
      </c>
      <c r="AK787" s="119"/>
      <c r="AL787" s="120"/>
      <c r="AP787" s="115" t="str">
        <f t="shared" si="138"/>
        <v/>
      </c>
    </row>
    <row r="788" spans="1:42" x14ac:dyDescent="0.2">
      <c r="A788" s="63" t="str">
        <f t="shared" si="134"/>
        <v/>
      </c>
      <c r="B788" s="133"/>
      <c r="C788" s="133"/>
      <c r="D788" s="135"/>
      <c r="E788" s="135"/>
      <c r="F788" s="137"/>
      <c r="AA788" s="116" t="str">
        <f t="shared" si="133"/>
        <v>00000000000000</v>
      </c>
      <c r="AB788" s="117" t="str">
        <f t="shared" si="135"/>
        <v>000000000000</v>
      </c>
      <c r="AC788" s="118">
        <f t="shared" si="136"/>
        <v>1</v>
      </c>
      <c r="AD788" s="47">
        <v>2</v>
      </c>
      <c r="AE788" s="66">
        <f t="shared" si="139"/>
        <v>0</v>
      </c>
      <c r="AF788" s="66">
        <f t="shared" si="132"/>
        <v>0</v>
      </c>
      <c r="AG788" s="67" t="str">
        <f t="shared" si="140"/>
        <v>0000000000</v>
      </c>
      <c r="AH788" s="67" t="str">
        <f t="shared" si="141"/>
        <v>.00</v>
      </c>
      <c r="AI788" s="67" t="str">
        <f t="shared" si="137"/>
        <v>00</v>
      </c>
      <c r="AJ788" s="67" t="str">
        <f t="shared" si="142"/>
        <v>000000000000</v>
      </c>
      <c r="AK788" s="119"/>
      <c r="AL788" s="120"/>
      <c r="AP788" s="115" t="str">
        <f t="shared" si="138"/>
        <v/>
      </c>
    </row>
    <row r="789" spans="1:42" x14ac:dyDescent="0.2">
      <c r="A789" s="63" t="str">
        <f t="shared" si="134"/>
        <v/>
      </c>
      <c r="B789" s="133"/>
      <c r="C789" s="133"/>
      <c r="D789" s="135"/>
      <c r="E789" s="135"/>
      <c r="F789" s="137"/>
      <c r="AA789" s="116" t="str">
        <f t="shared" si="133"/>
        <v>00000000000000</v>
      </c>
      <c r="AB789" s="117" t="str">
        <f t="shared" si="135"/>
        <v>000000000000</v>
      </c>
      <c r="AC789" s="118">
        <f t="shared" si="136"/>
        <v>1</v>
      </c>
      <c r="AD789" s="47">
        <v>2</v>
      </c>
      <c r="AE789" s="66">
        <f t="shared" si="139"/>
        <v>0</v>
      </c>
      <c r="AF789" s="66">
        <f t="shared" si="132"/>
        <v>0</v>
      </c>
      <c r="AG789" s="67" t="str">
        <f t="shared" si="140"/>
        <v>0000000000</v>
      </c>
      <c r="AH789" s="67" t="str">
        <f t="shared" si="141"/>
        <v>.00</v>
      </c>
      <c r="AI789" s="67" t="str">
        <f t="shared" si="137"/>
        <v>00</v>
      </c>
      <c r="AJ789" s="67" t="str">
        <f t="shared" si="142"/>
        <v>000000000000</v>
      </c>
      <c r="AK789" s="119"/>
      <c r="AL789" s="120"/>
      <c r="AP789" s="115" t="str">
        <f t="shared" si="138"/>
        <v/>
      </c>
    </row>
    <row r="790" spans="1:42" x14ac:dyDescent="0.2">
      <c r="A790" s="63" t="str">
        <f t="shared" si="134"/>
        <v/>
      </c>
      <c r="B790" s="133"/>
      <c r="C790" s="133"/>
      <c r="D790" s="135"/>
      <c r="E790" s="135"/>
      <c r="F790" s="137"/>
      <c r="AA790" s="116" t="str">
        <f t="shared" si="133"/>
        <v>00000000000000</v>
      </c>
      <c r="AB790" s="117" t="str">
        <f t="shared" si="135"/>
        <v>000000000000</v>
      </c>
      <c r="AC790" s="118">
        <f t="shared" si="136"/>
        <v>1</v>
      </c>
      <c r="AD790" s="47">
        <v>2</v>
      </c>
      <c r="AE790" s="66">
        <f t="shared" si="139"/>
        <v>0</v>
      </c>
      <c r="AF790" s="66">
        <f t="shared" si="132"/>
        <v>0</v>
      </c>
      <c r="AG790" s="67" t="str">
        <f t="shared" si="140"/>
        <v>0000000000</v>
      </c>
      <c r="AH790" s="67" t="str">
        <f t="shared" si="141"/>
        <v>.00</v>
      </c>
      <c r="AI790" s="67" t="str">
        <f t="shared" si="137"/>
        <v>00</v>
      </c>
      <c r="AJ790" s="67" t="str">
        <f t="shared" si="142"/>
        <v>000000000000</v>
      </c>
      <c r="AK790" s="119"/>
      <c r="AL790" s="120"/>
      <c r="AP790" s="115" t="str">
        <f t="shared" si="138"/>
        <v/>
      </c>
    </row>
    <row r="791" spans="1:42" x14ac:dyDescent="0.2">
      <c r="A791" s="63" t="str">
        <f t="shared" si="134"/>
        <v/>
      </c>
      <c r="B791" s="133"/>
      <c r="C791" s="133"/>
      <c r="D791" s="135"/>
      <c r="E791" s="135"/>
      <c r="F791" s="137"/>
      <c r="AA791" s="116" t="str">
        <f t="shared" si="133"/>
        <v>00000000000000</v>
      </c>
      <c r="AB791" s="117" t="str">
        <f t="shared" si="135"/>
        <v>000000000000</v>
      </c>
      <c r="AC791" s="118">
        <f t="shared" si="136"/>
        <v>1</v>
      </c>
      <c r="AD791" s="47">
        <v>2</v>
      </c>
      <c r="AE791" s="66">
        <f t="shared" si="139"/>
        <v>0</v>
      </c>
      <c r="AF791" s="66">
        <f t="shared" si="132"/>
        <v>0</v>
      </c>
      <c r="AG791" s="67" t="str">
        <f t="shared" si="140"/>
        <v>0000000000</v>
      </c>
      <c r="AH791" s="67" t="str">
        <f t="shared" si="141"/>
        <v>.00</v>
      </c>
      <c r="AI791" s="67" t="str">
        <f t="shared" si="137"/>
        <v>00</v>
      </c>
      <c r="AJ791" s="67" t="str">
        <f t="shared" si="142"/>
        <v>000000000000</v>
      </c>
      <c r="AK791" s="119"/>
      <c r="AL791" s="120"/>
      <c r="AP791" s="115" t="str">
        <f t="shared" si="138"/>
        <v/>
      </c>
    </row>
    <row r="792" spans="1:42" x14ac:dyDescent="0.2">
      <c r="A792" s="63" t="str">
        <f t="shared" si="134"/>
        <v/>
      </c>
      <c r="B792" s="133"/>
      <c r="C792" s="133"/>
      <c r="D792" s="135"/>
      <c r="E792" s="135"/>
      <c r="F792" s="137"/>
      <c r="AA792" s="116" t="str">
        <f t="shared" si="133"/>
        <v>00000000000000</v>
      </c>
      <c r="AB792" s="117" t="str">
        <f t="shared" si="135"/>
        <v>000000000000</v>
      </c>
      <c r="AC792" s="118">
        <f t="shared" si="136"/>
        <v>1</v>
      </c>
      <c r="AD792" s="47">
        <v>2</v>
      </c>
      <c r="AE792" s="66">
        <f t="shared" si="139"/>
        <v>0</v>
      </c>
      <c r="AF792" s="66">
        <f t="shared" si="132"/>
        <v>0</v>
      </c>
      <c r="AG792" s="67" t="str">
        <f t="shared" si="140"/>
        <v>0000000000</v>
      </c>
      <c r="AH792" s="67" t="str">
        <f t="shared" si="141"/>
        <v>.00</v>
      </c>
      <c r="AI792" s="67" t="str">
        <f t="shared" si="137"/>
        <v>00</v>
      </c>
      <c r="AJ792" s="67" t="str">
        <f t="shared" si="142"/>
        <v>000000000000</v>
      </c>
      <c r="AK792" s="119"/>
      <c r="AL792" s="120"/>
      <c r="AP792" s="115" t="str">
        <f t="shared" si="138"/>
        <v/>
      </c>
    </row>
    <row r="793" spans="1:42" x14ac:dyDescent="0.2">
      <c r="A793" s="63" t="str">
        <f t="shared" si="134"/>
        <v/>
      </c>
      <c r="B793" s="133"/>
      <c r="C793" s="133"/>
      <c r="D793" s="135"/>
      <c r="E793" s="135"/>
      <c r="F793" s="137"/>
      <c r="AA793" s="116" t="str">
        <f t="shared" si="133"/>
        <v>00000000000000</v>
      </c>
      <c r="AB793" s="117" t="str">
        <f t="shared" si="135"/>
        <v>000000000000</v>
      </c>
      <c r="AC793" s="118">
        <f t="shared" si="136"/>
        <v>1</v>
      </c>
      <c r="AD793" s="47">
        <v>2</v>
      </c>
      <c r="AE793" s="66">
        <f t="shared" si="139"/>
        <v>0</v>
      </c>
      <c r="AF793" s="66">
        <f t="shared" si="132"/>
        <v>0</v>
      </c>
      <c r="AG793" s="67" t="str">
        <f t="shared" si="140"/>
        <v>0000000000</v>
      </c>
      <c r="AH793" s="67" t="str">
        <f t="shared" si="141"/>
        <v>.00</v>
      </c>
      <c r="AI793" s="67" t="str">
        <f t="shared" si="137"/>
        <v>00</v>
      </c>
      <c r="AJ793" s="67" t="str">
        <f t="shared" si="142"/>
        <v>000000000000</v>
      </c>
      <c r="AK793" s="119"/>
      <c r="AL793" s="120"/>
      <c r="AP793" s="115" t="str">
        <f t="shared" si="138"/>
        <v/>
      </c>
    </row>
    <row r="794" spans="1:42" x14ac:dyDescent="0.2">
      <c r="A794" s="63" t="str">
        <f t="shared" si="134"/>
        <v/>
      </c>
      <c r="B794" s="133"/>
      <c r="C794" s="133"/>
      <c r="D794" s="135"/>
      <c r="E794" s="135"/>
      <c r="F794" s="137"/>
      <c r="AA794" s="116" t="str">
        <f t="shared" si="133"/>
        <v>00000000000000</v>
      </c>
      <c r="AB794" s="117" t="str">
        <f t="shared" si="135"/>
        <v>000000000000</v>
      </c>
      <c r="AC794" s="118">
        <f t="shared" si="136"/>
        <v>1</v>
      </c>
      <c r="AD794" s="47">
        <v>2</v>
      </c>
      <c r="AE794" s="66">
        <f t="shared" si="139"/>
        <v>0</v>
      </c>
      <c r="AF794" s="66">
        <f t="shared" si="132"/>
        <v>0</v>
      </c>
      <c r="AG794" s="67" t="str">
        <f t="shared" si="140"/>
        <v>0000000000</v>
      </c>
      <c r="AH794" s="67" t="str">
        <f t="shared" si="141"/>
        <v>.00</v>
      </c>
      <c r="AI794" s="67" t="str">
        <f t="shared" si="137"/>
        <v>00</v>
      </c>
      <c r="AJ794" s="67" t="str">
        <f t="shared" si="142"/>
        <v>000000000000</v>
      </c>
      <c r="AK794" s="119"/>
      <c r="AL794" s="120"/>
      <c r="AP794" s="115" t="str">
        <f t="shared" si="138"/>
        <v/>
      </c>
    </row>
    <row r="795" spans="1:42" x14ac:dyDescent="0.2">
      <c r="A795" s="63" t="str">
        <f t="shared" si="134"/>
        <v/>
      </c>
      <c r="B795" s="133"/>
      <c r="C795" s="133"/>
      <c r="D795" s="135"/>
      <c r="E795" s="135"/>
      <c r="F795" s="137"/>
      <c r="AA795" s="116" t="str">
        <f t="shared" si="133"/>
        <v>00000000000000</v>
      </c>
      <c r="AB795" s="117" t="str">
        <f t="shared" si="135"/>
        <v>000000000000</v>
      </c>
      <c r="AC795" s="118">
        <f t="shared" si="136"/>
        <v>1</v>
      </c>
      <c r="AD795" s="47">
        <v>2</v>
      </c>
      <c r="AE795" s="66">
        <f t="shared" si="139"/>
        <v>0</v>
      </c>
      <c r="AF795" s="66">
        <f t="shared" si="132"/>
        <v>0</v>
      </c>
      <c r="AG795" s="67" t="str">
        <f t="shared" si="140"/>
        <v>0000000000</v>
      </c>
      <c r="AH795" s="67" t="str">
        <f t="shared" si="141"/>
        <v>.00</v>
      </c>
      <c r="AI795" s="67" t="str">
        <f t="shared" si="137"/>
        <v>00</v>
      </c>
      <c r="AJ795" s="67" t="str">
        <f t="shared" si="142"/>
        <v>000000000000</v>
      </c>
      <c r="AK795" s="119"/>
      <c r="AL795" s="120"/>
      <c r="AP795" s="115" t="str">
        <f t="shared" si="138"/>
        <v/>
      </c>
    </row>
    <row r="796" spans="1:42" x14ac:dyDescent="0.2">
      <c r="A796" s="63" t="str">
        <f t="shared" si="134"/>
        <v/>
      </c>
      <c r="B796" s="133"/>
      <c r="C796" s="133"/>
      <c r="D796" s="135"/>
      <c r="E796" s="135"/>
      <c r="F796" s="137"/>
      <c r="AA796" s="116" t="str">
        <f t="shared" si="133"/>
        <v>00000000000000</v>
      </c>
      <c r="AB796" s="117" t="str">
        <f t="shared" si="135"/>
        <v>000000000000</v>
      </c>
      <c r="AC796" s="118">
        <f t="shared" si="136"/>
        <v>1</v>
      </c>
      <c r="AD796" s="47">
        <v>2</v>
      </c>
      <c r="AE796" s="66">
        <f t="shared" si="139"/>
        <v>0</v>
      </c>
      <c r="AF796" s="66">
        <f t="shared" si="132"/>
        <v>0</v>
      </c>
      <c r="AG796" s="67" t="str">
        <f t="shared" si="140"/>
        <v>0000000000</v>
      </c>
      <c r="AH796" s="67" t="str">
        <f t="shared" si="141"/>
        <v>.00</v>
      </c>
      <c r="AI796" s="67" t="str">
        <f t="shared" si="137"/>
        <v>00</v>
      </c>
      <c r="AJ796" s="67" t="str">
        <f t="shared" si="142"/>
        <v>000000000000</v>
      </c>
      <c r="AK796" s="119"/>
      <c r="AL796" s="120"/>
      <c r="AP796" s="115" t="str">
        <f t="shared" si="138"/>
        <v/>
      </c>
    </row>
    <row r="797" spans="1:42" x14ac:dyDescent="0.2">
      <c r="A797" s="63" t="str">
        <f t="shared" si="134"/>
        <v/>
      </c>
      <c r="B797" s="133"/>
      <c r="C797" s="133"/>
      <c r="D797" s="135"/>
      <c r="E797" s="135"/>
      <c r="F797" s="137"/>
      <c r="AA797" s="116" t="str">
        <f t="shared" si="133"/>
        <v>00000000000000</v>
      </c>
      <c r="AB797" s="117" t="str">
        <f t="shared" si="135"/>
        <v>000000000000</v>
      </c>
      <c r="AC797" s="118">
        <f t="shared" si="136"/>
        <v>1</v>
      </c>
      <c r="AD797" s="47">
        <v>2</v>
      </c>
      <c r="AE797" s="66">
        <f t="shared" si="139"/>
        <v>0</v>
      </c>
      <c r="AF797" s="66">
        <f t="shared" si="132"/>
        <v>0</v>
      </c>
      <c r="AG797" s="67" t="str">
        <f t="shared" si="140"/>
        <v>0000000000</v>
      </c>
      <c r="AH797" s="67" t="str">
        <f t="shared" si="141"/>
        <v>.00</v>
      </c>
      <c r="AI797" s="67" t="str">
        <f t="shared" si="137"/>
        <v>00</v>
      </c>
      <c r="AJ797" s="67" t="str">
        <f t="shared" si="142"/>
        <v>000000000000</v>
      </c>
      <c r="AK797" s="119"/>
      <c r="AL797" s="120"/>
      <c r="AP797" s="115" t="str">
        <f t="shared" si="138"/>
        <v/>
      </c>
    </row>
    <row r="798" spans="1:42" x14ac:dyDescent="0.2">
      <c r="A798" s="63" t="str">
        <f t="shared" si="134"/>
        <v/>
      </c>
      <c r="B798" s="133"/>
      <c r="C798" s="133"/>
      <c r="D798" s="135"/>
      <c r="E798" s="135"/>
      <c r="F798" s="137"/>
      <c r="AA798" s="116" t="str">
        <f t="shared" si="133"/>
        <v>00000000000000</v>
      </c>
      <c r="AB798" s="117" t="str">
        <f t="shared" si="135"/>
        <v>000000000000</v>
      </c>
      <c r="AC798" s="118">
        <f t="shared" si="136"/>
        <v>1</v>
      </c>
      <c r="AD798" s="47">
        <v>2</v>
      </c>
      <c r="AE798" s="66">
        <f t="shared" si="139"/>
        <v>0</v>
      </c>
      <c r="AF798" s="66">
        <f t="shared" si="132"/>
        <v>0</v>
      </c>
      <c r="AG798" s="67" t="str">
        <f t="shared" si="140"/>
        <v>0000000000</v>
      </c>
      <c r="AH798" s="67" t="str">
        <f t="shared" si="141"/>
        <v>.00</v>
      </c>
      <c r="AI798" s="67" t="str">
        <f t="shared" si="137"/>
        <v>00</v>
      </c>
      <c r="AJ798" s="67" t="str">
        <f t="shared" si="142"/>
        <v>000000000000</v>
      </c>
      <c r="AK798" s="119"/>
      <c r="AL798" s="120"/>
      <c r="AP798" s="115" t="str">
        <f t="shared" si="138"/>
        <v/>
      </c>
    </row>
    <row r="799" spans="1:42" x14ac:dyDescent="0.2">
      <c r="A799" s="63" t="str">
        <f t="shared" si="134"/>
        <v/>
      </c>
      <c r="B799" s="133"/>
      <c r="C799" s="133"/>
      <c r="D799" s="135"/>
      <c r="E799" s="135"/>
      <c r="F799" s="137"/>
      <c r="AA799" s="116" t="str">
        <f t="shared" si="133"/>
        <v>00000000000000</v>
      </c>
      <c r="AB799" s="117" t="str">
        <f t="shared" si="135"/>
        <v>000000000000</v>
      </c>
      <c r="AC799" s="118">
        <f t="shared" si="136"/>
        <v>1</v>
      </c>
      <c r="AD799" s="47">
        <v>2</v>
      </c>
      <c r="AE799" s="66">
        <f t="shared" si="139"/>
        <v>0</v>
      </c>
      <c r="AF799" s="66">
        <f t="shared" si="132"/>
        <v>0</v>
      </c>
      <c r="AG799" s="67" t="str">
        <f t="shared" si="140"/>
        <v>0000000000</v>
      </c>
      <c r="AH799" s="67" t="str">
        <f t="shared" si="141"/>
        <v>.00</v>
      </c>
      <c r="AI799" s="67" t="str">
        <f t="shared" si="137"/>
        <v>00</v>
      </c>
      <c r="AJ799" s="67" t="str">
        <f t="shared" si="142"/>
        <v>000000000000</v>
      </c>
      <c r="AK799" s="119"/>
      <c r="AL799" s="120"/>
      <c r="AP799" s="115" t="str">
        <f t="shared" si="138"/>
        <v/>
      </c>
    </row>
    <row r="800" spans="1:42" x14ac:dyDescent="0.2">
      <c r="A800" s="63" t="str">
        <f t="shared" si="134"/>
        <v/>
      </c>
      <c r="B800" s="133"/>
      <c r="C800" s="133"/>
      <c r="D800" s="135"/>
      <c r="E800" s="135"/>
      <c r="F800" s="137"/>
      <c r="AA800" s="116" t="str">
        <f t="shared" si="133"/>
        <v>00000000000000</v>
      </c>
      <c r="AB800" s="117" t="str">
        <f t="shared" si="135"/>
        <v>000000000000</v>
      </c>
      <c r="AC800" s="118">
        <f t="shared" si="136"/>
        <v>1</v>
      </c>
      <c r="AD800" s="47">
        <v>2</v>
      </c>
      <c r="AE800" s="66">
        <f t="shared" si="139"/>
        <v>0</v>
      </c>
      <c r="AF800" s="66">
        <f t="shared" si="132"/>
        <v>0</v>
      </c>
      <c r="AG800" s="67" t="str">
        <f t="shared" si="140"/>
        <v>0000000000</v>
      </c>
      <c r="AH800" s="67" t="str">
        <f t="shared" si="141"/>
        <v>.00</v>
      </c>
      <c r="AI800" s="67" t="str">
        <f t="shared" si="137"/>
        <v>00</v>
      </c>
      <c r="AJ800" s="67" t="str">
        <f t="shared" si="142"/>
        <v>000000000000</v>
      </c>
      <c r="AK800" s="119"/>
      <c r="AL800" s="120"/>
      <c r="AP800" s="115" t="str">
        <f t="shared" si="138"/>
        <v/>
      </c>
    </row>
    <row r="801" spans="1:42" x14ac:dyDescent="0.2">
      <c r="A801" s="63" t="str">
        <f t="shared" si="134"/>
        <v/>
      </c>
      <c r="B801" s="133"/>
      <c r="C801" s="133"/>
      <c r="D801" s="135"/>
      <c r="E801" s="135"/>
      <c r="F801" s="137"/>
      <c r="AA801" s="116" t="str">
        <f t="shared" si="133"/>
        <v>00000000000000</v>
      </c>
      <c r="AB801" s="117" t="str">
        <f t="shared" si="135"/>
        <v>000000000000</v>
      </c>
      <c r="AC801" s="118">
        <f t="shared" si="136"/>
        <v>1</v>
      </c>
      <c r="AD801" s="47">
        <v>2</v>
      </c>
      <c r="AE801" s="66">
        <f t="shared" si="139"/>
        <v>0</v>
      </c>
      <c r="AF801" s="66">
        <f t="shared" si="132"/>
        <v>0</v>
      </c>
      <c r="AG801" s="67" t="str">
        <f t="shared" si="140"/>
        <v>0000000000</v>
      </c>
      <c r="AH801" s="67" t="str">
        <f t="shared" si="141"/>
        <v>.00</v>
      </c>
      <c r="AI801" s="67" t="str">
        <f t="shared" si="137"/>
        <v>00</v>
      </c>
      <c r="AJ801" s="67" t="str">
        <f t="shared" si="142"/>
        <v>000000000000</v>
      </c>
      <c r="AK801" s="119"/>
      <c r="AL801" s="120"/>
      <c r="AP801" s="115" t="str">
        <f t="shared" si="138"/>
        <v/>
      </c>
    </row>
    <row r="802" spans="1:42" x14ac:dyDescent="0.2">
      <c r="A802" s="63" t="str">
        <f t="shared" si="134"/>
        <v/>
      </c>
      <c r="B802" s="133"/>
      <c r="C802" s="133"/>
      <c r="D802" s="135"/>
      <c r="E802" s="135"/>
      <c r="F802" s="137"/>
      <c r="AA802" s="116" t="str">
        <f t="shared" si="133"/>
        <v>00000000000000</v>
      </c>
      <c r="AB802" s="117" t="str">
        <f t="shared" si="135"/>
        <v>000000000000</v>
      </c>
      <c r="AC802" s="118">
        <f t="shared" si="136"/>
        <v>1</v>
      </c>
      <c r="AD802" s="47">
        <v>2</v>
      </c>
      <c r="AE802" s="66">
        <f t="shared" si="139"/>
        <v>0</v>
      </c>
      <c r="AF802" s="66">
        <f t="shared" si="132"/>
        <v>0</v>
      </c>
      <c r="AG802" s="67" t="str">
        <f t="shared" si="140"/>
        <v>0000000000</v>
      </c>
      <c r="AH802" s="67" t="str">
        <f t="shared" si="141"/>
        <v>.00</v>
      </c>
      <c r="AI802" s="67" t="str">
        <f t="shared" si="137"/>
        <v>00</v>
      </c>
      <c r="AJ802" s="67" t="str">
        <f t="shared" si="142"/>
        <v>000000000000</v>
      </c>
      <c r="AK802" s="119"/>
      <c r="AL802" s="120"/>
      <c r="AP802" s="115" t="str">
        <f t="shared" si="138"/>
        <v/>
      </c>
    </row>
    <row r="803" spans="1:42" x14ac:dyDescent="0.2">
      <c r="A803" s="63" t="str">
        <f t="shared" si="134"/>
        <v/>
      </c>
      <c r="B803" s="133"/>
      <c r="C803" s="133"/>
      <c r="D803" s="135"/>
      <c r="E803" s="135"/>
      <c r="F803" s="137"/>
      <c r="AA803" s="116" t="str">
        <f t="shared" si="133"/>
        <v>00000000000000</v>
      </c>
      <c r="AB803" s="117" t="str">
        <f t="shared" si="135"/>
        <v>000000000000</v>
      </c>
      <c r="AC803" s="118">
        <f t="shared" si="136"/>
        <v>1</v>
      </c>
      <c r="AD803" s="47">
        <v>2</v>
      </c>
      <c r="AE803" s="66">
        <f t="shared" si="139"/>
        <v>0</v>
      </c>
      <c r="AF803" s="66">
        <f t="shared" si="132"/>
        <v>0</v>
      </c>
      <c r="AG803" s="67" t="str">
        <f t="shared" si="140"/>
        <v>0000000000</v>
      </c>
      <c r="AH803" s="67" t="str">
        <f t="shared" si="141"/>
        <v>.00</v>
      </c>
      <c r="AI803" s="67" t="str">
        <f t="shared" si="137"/>
        <v>00</v>
      </c>
      <c r="AJ803" s="67" t="str">
        <f t="shared" si="142"/>
        <v>000000000000</v>
      </c>
      <c r="AK803" s="119"/>
      <c r="AL803" s="120"/>
      <c r="AP803" s="115" t="str">
        <f t="shared" si="138"/>
        <v/>
      </c>
    </row>
    <row r="804" spans="1:42" x14ac:dyDescent="0.2">
      <c r="A804" s="63" t="str">
        <f t="shared" si="134"/>
        <v/>
      </c>
      <c r="B804" s="133"/>
      <c r="C804" s="133"/>
      <c r="D804" s="135"/>
      <c r="E804" s="135"/>
      <c r="F804" s="137"/>
      <c r="AA804" s="116" t="str">
        <f t="shared" si="133"/>
        <v>00000000000000</v>
      </c>
      <c r="AB804" s="117" t="str">
        <f t="shared" si="135"/>
        <v>000000000000</v>
      </c>
      <c r="AC804" s="118">
        <f t="shared" si="136"/>
        <v>1</v>
      </c>
      <c r="AD804" s="47">
        <v>2</v>
      </c>
      <c r="AE804" s="66">
        <f t="shared" si="139"/>
        <v>0</v>
      </c>
      <c r="AF804" s="66">
        <f t="shared" si="132"/>
        <v>0</v>
      </c>
      <c r="AG804" s="67" t="str">
        <f t="shared" si="140"/>
        <v>0000000000</v>
      </c>
      <c r="AH804" s="67" t="str">
        <f t="shared" si="141"/>
        <v>.00</v>
      </c>
      <c r="AI804" s="67" t="str">
        <f t="shared" si="137"/>
        <v>00</v>
      </c>
      <c r="AJ804" s="67" t="str">
        <f t="shared" si="142"/>
        <v>000000000000</v>
      </c>
      <c r="AK804" s="119"/>
      <c r="AL804" s="120"/>
      <c r="AP804" s="115" t="str">
        <f t="shared" si="138"/>
        <v/>
      </c>
    </row>
    <row r="805" spans="1:42" x14ac:dyDescent="0.2">
      <c r="A805" s="63" t="str">
        <f t="shared" si="134"/>
        <v/>
      </c>
      <c r="B805" s="133"/>
      <c r="C805" s="133"/>
      <c r="D805" s="135"/>
      <c r="E805" s="135"/>
      <c r="F805" s="137"/>
      <c r="AA805" s="116" t="str">
        <f t="shared" si="133"/>
        <v>00000000000000</v>
      </c>
      <c r="AB805" s="117" t="str">
        <f t="shared" si="135"/>
        <v>000000000000</v>
      </c>
      <c r="AC805" s="118">
        <f t="shared" si="136"/>
        <v>1</v>
      </c>
      <c r="AD805" s="47">
        <v>2</v>
      </c>
      <c r="AE805" s="66">
        <f t="shared" si="139"/>
        <v>0</v>
      </c>
      <c r="AF805" s="66">
        <f t="shared" si="132"/>
        <v>0</v>
      </c>
      <c r="AG805" s="67" t="str">
        <f t="shared" si="140"/>
        <v>0000000000</v>
      </c>
      <c r="AH805" s="67" t="str">
        <f t="shared" si="141"/>
        <v>.00</v>
      </c>
      <c r="AI805" s="67" t="str">
        <f t="shared" si="137"/>
        <v>00</v>
      </c>
      <c r="AJ805" s="67" t="str">
        <f t="shared" si="142"/>
        <v>000000000000</v>
      </c>
      <c r="AK805" s="119"/>
      <c r="AL805" s="120"/>
      <c r="AP805" s="115" t="str">
        <f t="shared" si="138"/>
        <v/>
      </c>
    </row>
    <row r="806" spans="1:42" x14ac:dyDescent="0.2">
      <c r="A806" s="63" t="str">
        <f t="shared" si="134"/>
        <v/>
      </c>
      <c r="B806" s="133"/>
      <c r="C806" s="133"/>
      <c r="D806" s="135"/>
      <c r="E806" s="135"/>
      <c r="F806" s="137"/>
      <c r="AA806" s="116" t="str">
        <f t="shared" si="133"/>
        <v>00000000000000</v>
      </c>
      <c r="AB806" s="117" t="str">
        <f t="shared" si="135"/>
        <v>000000000000</v>
      </c>
      <c r="AC806" s="118">
        <f t="shared" si="136"/>
        <v>1</v>
      </c>
      <c r="AD806" s="47">
        <v>2</v>
      </c>
      <c r="AE806" s="66">
        <f t="shared" si="139"/>
        <v>0</v>
      </c>
      <c r="AF806" s="66">
        <f t="shared" si="132"/>
        <v>0</v>
      </c>
      <c r="AG806" s="67" t="str">
        <f t="shared" si="140"/>
        <v>0000000000</v>
      </c>
      <c r="AH806" s="67" t="str">
        <f t="shared" si="141"/>
        <v>.00</v>
      </c>
      <c r="AI806" s="67" t="str">
        <f t="shared" si="137"/>
        <v>00</v>
      </c>
      <c r="AJ806" s="67" t="str">
        <f t="shared" si="142"/>
        <v>000000000000</v>
      </c>
      <c r="AK806" s="119"/>
      <c r="AL806" s="120"/>
      <c r="AP806" s="115" t="str">
        <f t="shared" si="138"/>
        <v/>
      </c>
    </row>
    <row r="807" spans="1:42" x14ac:dyDescent="0.2">
      <c r="A807" s="63" t="str">
        <f t="shared" si="134"/>
        <v/>
      </c>
      <c r="B807" s="133"/>
      <c r="C807" s="133"/>
      <c r="D807" s="135"/>
      <c r="E807" s="135"/>
      <c r="F807" s="137"/>
      <c r="AA807" s="116" t="str">
        <f t="shared" si="133"/>
        <v>00000000000000</v>
      </c>
      <c r="AB807" s="117" t="str">
        <f t="shared" si="135"/>
        <v>000000000000</v>
      </c>
      <c r="AC807" s="118">
        <f t="shared" si="136"/>
        <v>1</v>
      </c>
      <c r="AD807" s="47">
        <v>2</v>
      </c>
      <c r="AE807" s="66">
        <f t="shared" si="139"/>
        <v>0</v>
      </c>
      <c r="AF807" s="66">
        <f t="shared" si="132"/>
        <v>0</v>
      </c>
      <c r="AG807" s="67" t="str">
        <f t="shared" si="140"/>
        <v>0000000000</v>
      </c>
      <c r="AH807" s="67" t="str">
        <f t="shared" si="141"/>
        <v>.00</v>
      </c>
      <c r="AI807" s="67" t="str">
        <f t="shared" si="137"/>
        <v>00</v>
      </c>
      <c r="AJ807" s="67" t="str">
        <f t="shared" si="142"/>
        <v>000000000000</v>
      </c>
      <c r="AK807" s="119"/>
      <c r="AL807" s="120"/>
      <c r="AP807" s="115" t="str">
        <f t="shared" si="138"/>
        <v/>
      </c>
    </row>
    <row r="808" spans="1:42" x14ac:dyDescent="0.2">
      <c r="A808" s="63" t="str">
        <f t="shared" si="134"/>
        <v/>
      </c>
      <c r="B808" s="133"/>
      <c r="C808" s="133"/>
      <c r="D808" s="135"/>
      <c r="E808" s="135"/>
      <c r="F808" s="137"/>
      <c r="AA808" s="116" t="str">
        <f t="shared" si="133"/>
        <v>00000000000000</v>
      </c>
      <c r="AB808" s="117" t="str">
        <f t="shared" si="135"/>
        <v>000000000000</v>
      </c>
      <c r="AC808" s="118">
        <f t="shared" si="136"/>
        <v>1</v>
      </c>
      <c r="AD808" s="47">
        <v>2</v>
      </c>
      <c r="AE808" s="66">
        <f t="shared" si="139"/>
        <v>0</v>
      </c>
      <c r="AF808" s="66">
        <f t="shared" si="132"/>
        <v>0</v>
      </c>
      <c r="AG808" s="67" t="str">
        <f t="shared" si="140"/>
        <v>0000000000</v>
      </c>
      <c r="AH808" s="67" t="str">
        <f t="shared" si="141"/>
        <v>.00</v>
      </c>
      <c r="AI808" s="67" t="str">
        <f t="shared" si="137"/>
        <v>00</v>
      </c>
      <c r="AJ808" s="67" t="str">
        <f t="shared" si="142"/>
        <v>000000000000</v>
      </c>
      <c r="AK808" s="119"/>
      <c r="AL808" s="120"/>
      <c r="AP808" s="115" t="str">
        <f t="shared" si="138"/>
        <v/>
      </c>
    </row>
    <row r="809" spans="1:42" x14ac:dyDescent="0.2">
      <c r="A809" s="63" t="str">
        <f t="shared" si="134"/>
        <v/>
      </c>
      <c r="B809" s="133"/>
      <c r="C809" s="133"/>
      <c r="D809" s="135"/>
      <c r="E809" s="135"/>
      <c r="F809" s="137"/>
      <c r="AA809" s="116" t="str">
        <f t="shared" si="133"/>
        <v>00000000000000</v>
      </c>
      <c r="AB809" s="117" t="str">
        <f t="shared" si="135"/>
        <v>000000000000</v>
      </c>
      <c r="AC809" s="118">
        <f t="shared" si="136"/>
        <v>1</v>
      </c>
      <c r="AD809" s="47">
        <v>2</v>
      </c>
      <c r="AE809" s="66">
        <f t="shared" si="139"/>
        <v>0</v>
      </c>
      <c r="AF809" s="66">
        <f t="shared" si="132"/>
        <v>0</v>
      </c>
      <c r="AG809" s="67" t="str">
        <f t="shared" si="140"/>
        <v>0000000000</v>
      </c>
      <c r="AH809" s="67" t="str">
        <f t="shared" si="141"/>
        <v>.00</v>
      </c>
      <c r="AI809" s="67" t="str">
        <f t="shared" si="137"/>
        <v>00</v>
      </c>
      <c r="AJ809" s="67" t="str">
        <f t="shared" si="142"/>
        <v>000000000000</v>
      </c>
      <c r="AK809" s="119"/>
      <c r="AL809" s="120"/>
      <c r="AP809" s="115" t="str">
        <f t="shared" si="138"/>
        <v/>
      </c>
    </row>
    <row r="810" spans="1:42" x14ac:dyDescent="0.2">
      <c r="A810" s="63" t="str">
        <f t="shared" si="134"/>
        <v/>
      </c>
      <c r="B810" s="133"/>
      <c r="C810" s="133"/>
      <c r="D810" s="135"/>
      <c r="E810" s="135"/>
      <c r="F810" s="137"/>
      <c r="AA810" s="116" t="str">
        <f t="shared" si="133"/>
        <v>00000000000000</v>
      </c>
      <c r="AB810" s="117" t="str">
        <f t="shared" si="135"/>
        <v>000000000000</v>
      </c>
      <c r="AC810" s="118">
        <f t="shared" si="136"/>
        <v>1</v>
      </c>
      <c r="AD810" s="47">
        <v>2</v>
      </c>
      <c r="AE810" s="66">
        <f t="shared" si="139"/>
        <v>0</v>
      </c>
      <c r="AF810" s="66">
        <f t="shared" si="132"/>
        <v>0</v>
      </c>
      <c r="AG810" s="67" t="str">
        <f t="shared" si="140"/>
        <v>0000000000</v>
      </c>
      <c r="AH810" s="67" t="str">
        <f t="shared" si="141"/>
        <v>.00</v>
      </c>
      <c r="AI810" s="67" t="str">
        <f t="shared" si="137"/>
        <v>00</v>
      </c>
      <c r="AJ810" s="67" t="str">
        <f t="shared" si="142"/>
        <v>000000000000</v>
      </c>
      <c r="AK810" s="119"/>
      <c r="AL810" s="120"/>
      <c r="AP810" s="115" t="str">
        <f t="shared" si="138"/>
        <v/>
      </c>
    </row>
    <row r="811" spans="1:42" x14ac:dyDescent="0.2">
      <c r="A811" s="63" t="str">
        <f t="shared" si="134"/>
        <v/>
      </c>
      <c r="B811" s="133"/>
      <c r="C811" s="133"/>
      <c r="D811" s="135"/>
      <c r="E811" s="135"/>
      <c r="F811" s="137"/>
      <c r="AA811" s="116" t="str">
        <f t="shared" si="133"/>
        <v>00000000000000</v>
      </c>
      <c r="AB811" s="117" t="str">
        <f t="shared" si="135"/>
        <v>000000000000</v>
      </c>
      <c r="AC811" s="118">
        <f t="shared" si="136"/>
        <v>1</v>
      </c>
      <c r="AD811" s="47">
        <v>2</v>
      </c>
      <c r="AE811" s="66">
        <f t="shared" si="139"/>
        <v>0</v>
      </c>
      <c r="AF811" s="66">
        <f t="shared" si="132"/>
        <v>0</v>
      </c>
      <c r="AG811" s="67" t="str">
        <f t="shared" si="140"/>
        <v>0000000000</v>
      </c>
      <c r="AH811" s="67" t="str">
        <f t="shared" si="141"/>
        <v>.00</v>
      </c>
      <c r="AI811" s="67" t="str">
        <f t="shared" si="137"/>
        <v>00</v>
      </c>
      <c r="AJ811" s="67" t="str">
        <f t="shared" si="142"/>
        <v>000000000000</v>
      </c>
      <c r="AK811" s="119"/>
      <c r="AL811" s="120"/>
      <c r="AP811" s="115" t="str">
        <f t="shared" si="138"/>
        <v/>
      </c>
    </row>
    <row r="812" spans="1:42" x14ac:dyDescent="0.2">
      <c r="A812" s="63" t="str">
        <f t="shared" si="134"/>
        <v/>
      </c>
      <c r="B812" s="133"/>
      <c r="C812" s="133"/>
      <c r="D812" s="135"/>
      <c r="E812" s="135"/>
      <c r="F812" s="137"/>
      <c r="AA812" s="116" t="str">
        <f t="shared" si="133"/>
        <v>00000000000000</v>
      </c>
      <c r="AB812" s="117" t="str">
        <f t="shared" si="135"/>
        <v>000000000000</v>
      </c>
      <c r="AC812" s="118">
        <f t="shared" si="136"/>
        <v>1</v>
      </c>
      <c r="AD812" s="47">
        <v>2</v>
      </c>
      <c r="AE812" s="66">
        <f t="shared" si="139"/>
        <v>0</v>
      </c>
      <c r="AF812" s="66">
        <f t="shared" si="132"/>
        <v>0</v>
      </c>
      <c r="AG812" s="67" t="str">
        <f t="shared" si="140"/>
        <v>0000000000</v>
      </c>
      <c r="AH812" s="67" t="str">
        <f t="shared" si="141"/>
        <v>.00</v>
      </c>
      <c r="AI812" s="67" t="str">
        <f t="shared" si="137"/>
        <v>00</v>
      </c>
      <c r="AJ812" s="67" t="str">
        <f t="shared" si="142"/>
        <v>000000000000</v>
      </c>
      <c r="AK812" s="119"/>
      <c r="AL812" s="120"/>
      <c r="AP812" s="115" t="str">
        <f t="shared" si="138"/>
        <v/>
      </c>
    </row>
    <row r="813" spans="1:42" x14ac:dyDescent="0.2">
      <c r="A813" s="63" t="str">
        <f t="shared" si="134"/>
        <v/>
      </c>
      <c r="B813" s="133"/>
      <c r="C813" s="133"/>
      <c r="D813" s="135"/>
      <c r="E813" s="135"/>
      <c r="F813" s="137"/>
      <c r="AA813" s="116" t="str">
        <f t="shared" si="133"/>
        <v>00000000000000</v>
      </c>
      <c r="AB813" s="117" t="str">
        <f t="shared" si="135"/>
        <v>000000000000</v>
      </c>
      <c r="AC813" s="118">
        <f t="shared" si="136"/>
        <v>1</v>
      </c>
      <c r="AD813" s="47">
        <v>2</v>
      </c>
      <c r="AE813" s="66">
        <f t="shared" si="139"/>
        <v>0</v>
      </c>
      <c r="AF813" s="66">
        <f t="shared" si="132"/>
        <v>0</v>
      </c>
      <c r="AG813" s="67" t="str">
        <f t="shared" si="140"/>
        <v>0000000000</v>
      </c>
      <c r="AH813" s="67" t="str">
        <f t="shared" si="141"/>
        <v>.00</v>
      </c>
      <c r="AI813" s="67" t="str">
        <f t="shared" si="137"/>
        <v>00</v>
      </c>
      <c r="AJ813" s="67" t="str">
        <f t="shared" si="142"/>
        <v>000000000000</v>
      </c>
      <c r="AK813" s="119"/>
      <c r="AL813" s="120"/>
      <c r="AP813" s="115" t="str">
        <f t="shared" si="138"/>
        <v/>
      </c>
    </row>
    <row r="814" spans="1:42" x14ac:dyDescent="0.2">
      <c r="A814" s="63" t="str">
        <f t="shared" si="134"/>
        <v/>
      </c>
      <c r="B814" s="133"/>
      <c r="C814" s="133"/>
      <c r="D814" s="135"/>
      <c r="E814" s="135"/>
      <c r="F814" s="137"/>
      <c r="AA814" s="116" t="str">
        <f t="shared" si="133"/>
        <v>00000000000000</v>
      </c>
      <c r="AB814" s="117" t="str">
        <f t="shared" si="135"/>
        <v>000000000000</v>
      </c>
      <c r="AC814" s="118">
        <f t="shared" si="136"/>
        <v>1</v>
      </c>
      <c r="AD814" s="47">
        <v>2</v>
      </c>
      <c r="AE814" s="66">
        <f t="shared" si="139"/>
        <v>0</v>
      </c>
      <c r="AF814" s="66">
        <f t="shared" si="132"/>
        <v>0</v>
      </c>
      <c r="AG814" s="67" t="str">
        <f t="shared" si="140"/>
        <v>0000000000</v>
      </c>
      <c r="AH814" s="67" t="str">
        <f t="shared" si="141"/>
        <v>.00</v>
      </c>
      <c r="AI814" s="67" t="str">
        <f t="shared" si="137"/>
        <v>00</v>
      </c>
      <c r="AJ814" s="67" t="str">
        <f t="shared" si="142"/>
        <v>000000000000</v>
      </c>
      <c r="AK814" s="119"/>
      <c r="AL814" s="120"/>
      <c r="AP814" s="115" t="str">
        <f t="shared" si="138"/>
        <v/>
      </c>
    </row>
    <row r="815" spans="1:42" x14ac:dyDescent="0.2">
      <c r="A815" s="63" t="str">
        <f t="shared" si="134"/>
        <v/>
      </c>
      <c r="B815" s="133"/>
      <c r="C815" s="133"/>
      <c r="D815" s="135"/>
      <c r="E815" s="135"/>
      <c r="F815" s="137"/>
      <c r="AA815" s="116" t="str">
        <f t="shared" si="133"/>
        <v>00000000000000</v>
      </c>
      <c r="AB815" s="117" t="str">
        <f t="shared" si="135"/>
        <v>000000000000</v>
      </c>
      <c r="AC815" s="118">
        <f t="shared" si="136"/>
        <v>1</v>
      </c>
      <c r="AD815" s="47">
        <v>2</v>
      </c>
      <c r="AE815" s="66">
        <f t="shared" si="139"/>
        <v>0</v>
      </c>
      <c r="AF815" s="66">
        <f t="shared" si="132"/>
        <v>0</v>
      </c>
      <c r="AG815" s="67" t="str">
        <f t="shared" si="140"/>
        <v>0000000000</v>
      </c>
      <c r="AH815" s="67" t="str">
        <f t="shared" si="141"/>
        <v>.00</v>
      </c>
      <c r="AI815" s="67" t="str">
        <f t="shared" si="137"/>
        <v>00</v>
      </c>
      <c r="AJ815" s="67" t="str">
        <f t="shared" si="142"/>
        <v>000000000000</v>
      </c>
      <c r="AK815" s="119"/>
      <c r="AL815" s="120"/>
      <c r="AP815" s="115" t="str">
        <f t="shared" si="138"/>
        <v/>
      </c>
    </row>
    <row r="816" spans="1:42" x14ac:dyDescent="0.2">
      <c r="A816" s="63" t="str">
        <f t="shared" si="134"/>
        <v/>
      </c>
      <c r="B816" s="133"/>
      <c r="C816" s="133"/>
      <c r="D816" s="135"/>
      <c r="E816" s="135"/>
      <c r="F816" s="137"/>
      <c r="AA816" s="116" t="str">
        <f t="shared" si="133"/>
        <v>00000000000000</v>
      </c>
      <c r="AB816" s="117" t="str">
        <f t="shared" si="135"/>
        <v>000000000000</v>
      </c>
      <c r="AC816" s="118">
        <f t="shared" si="136"/>
        <v>1</v>
      </c>
      <c r="AD816" s="47">
        <v>2</v>
      </c>
      <c r="AE816" s="66">
        <f t="shared" si="139"/>
        <v>0</v>
      </c>
      <c r="AF816" s="66">
        <f t="shared" si="132"/>
        <v>0</v>
      </c>
      <c r="AG816" s="67" t="str">
        <f t="shared" si="140"/>
        <v>0000000000</v>
      </c>
      <c r="AH816" s="67" t="str">
        <f t="shared" si="141"/>
        <v>.00</v>
      </c>
      <c r="AI816" s="67" t="str">
        <f t="shared" si="137"/>
        <v>00</v>
      </c>
      <c r="AJ816" s="67" t="str">
        <f t="shared" si="142"/>
        <v>000000000000</v>
      </c>
      <c r="AK816" s="119"/>
      <c r="AL816" s="120"/>
      <c r="AP816" s="115" t="str">
        <f t="shared" si="138"/>
        <v/>
      </c>
    </row>
    <row r="817" spans="1:42" x14ac:dyDescent="0.2">
      <c r="A817" s="63" t="str">
        <f t="shared" si="134"/>
        <v/>
      </c>
      <c r="B817" s="133"/>
      <c r="C817" s="133"/>
      <c r="D817" s="135"/>
      <c r="E817" s="135"/>
      <c r="F817" s="137"/>
      <c r="AA817" s="116" t="str">
        <f t="shared" si="133"/>
        <v>00000000000000</v>
      </c>
      <c r="AB817" s="117" t="str">
        <f t="shared" si="135"/>
        <v>000000000000</v>
      </c>
      <c r="AC817" s="118">
        <f t="shared" si="136"/>
        <v>1</v>
      </c>
      <c r="AD817" s="47">
        <v>2</v>
      </c>
      <c r="AE817" s="66">
        <f t="shared" si="139"/>
        <v>0</v>
      </c>
      <c r="AF817" s="66">
        <f t="shared" si="132"/>
        <v>0</v>
      </c>
      <c r="AG817" s="67" t="str">
        <f t="shared" si="140"/>
        <v>0000000000</v>
      </c>
      <c r="AH817" s="67" t="str">
        <f t="shared" si="141"/>
        <v>.00</v>
      </c>
      <c r="AI817" s="67" t="str">
        <f t="shared" si="137"/>
        <v>00</v>
      </c>
      <c r="AJ817" s="67" t="str">
        <f t="shared" si="142"/>
        <v>000000000000</v>
      </c>
      <c r="AK817" s="119"/>
      <c r="AL817" s="120"/>
      <c r="AP817" s="115" t="str">
        <f t="shared" si="138"/>
        <v/>
      </c>
    </row>
    <row r="818" spans="1:42" x14ac:dyDescent="0.2">
      <c r="A818" s="63" t="str">
        <f t="shared" si="134"/>
        <v/>
      </c>
      <c r="B818" s="133"/>
      <c r="C818" s="133"/>
      <c r="D818" s="135"/>
      <c r="E818" s="135"/>
      <c r="F818" s="137"/>
      <c r="AA818" s="116" t="str">
        <f t="shared" si="133"/>
        <v>00000000000000</v>
      </c>
      <c r="AB818" s="117" t="str">
        <f t="shared" si="135"/>
        <v>000000000000</v>
      </c>
      <c r="AC818" s="118">
        <f t="shared" si="136"/>
        <v>1</v>
      </c>
      <c r="AD818" s="47">
        <v>2</v>
      </c>
      <c r="AE818" s="66">
        <f t="shared" si="139"/>
        <v>0</v>
      </c>
      <c r="AF818" s="66">
        <f t="shared" si="132"/>
        <v>0</v>
      </c>
      <c r="AG818" s="67" t="str">
        <f t="shared" si="140"/>
        <v>0000000000</v>
      </c>
      <c r="AH818" s="67" t="str">
        <f t="shared" si="141"/>
        <v>.00</v>
      </c>
      <c r="AI818" s="67" t="str">
        <f t="shared" si="137"/>
        <v>00</v>
      </c>
      <c r="AJ818" s="67" t="str">
        <f t="shared" si="142"/>
        <v>000000000000</v>
      </c>
      <c r="AK818" s="119"/>
      <c r="AL818" s="120"/>
      <c r="AP818" s="115" t="str">
        <f t="shared" si="138"/>
        <v/>
      </c>
    </row>
    <row r="819" spans="1:42" x14ac:dyDescent="0.2">
      <c r="A819" s="63" t="str">
        <f t="shared" si="134"/>
        <v/>
      </c>
      <c r="B819" s="133"/>
      <c r="C819" s="133"/>
      <c r="D819" s="135"/>
      <c r="E819" s="135"/>
      <c r="F819" s="137"/>
      <c r="AA819" s="116" t="str">
        <f t="shared" si="133"/>
        <v>00000000000000</v>
      </c>
      <c r="AB819" s="117" t="str">
        <f t="shared" si="135"/>
        <v>000000000000</v>
      </c>
      <c r="AC819" s="118">
        <f t="shared" si="136"/>
        <v>1</v>
      </c>
      <c r="AD819" s="47">
        <v>2</v>
      </c>
      <c r="AE819" s="66">
        <f t="shared" si="139"/>
        <v>0</v>
      </c>
      <c r="AF819" s="66">
        <f t="shared" si="132"/>
        <v>0</v>
      </c>
      <c r="AG819" s="67" t="str">
        <f t="shared" si="140"/>
        <v>0000000000</v>
      </c>
      <c r="AH819" s="67" t="str">
        <f t="shared" si="141"/>
        <v>.00</v>
      </c>
      <c r="AI819" s="67" t="str">
        <f t="shared" si="137"/>
        <v>00</v>
      </c>
      <c r="AJ819" s="67" t="str">
        <f t="shared" si="142"/>
        <v>000000000000</v>
      </c>
      <c r="AK819" s="119"/>
      <c r="AL819" s="120"/>
      <c r="AP819" s="115" t="str">
        <f t="shared" si="138"/>
        <v/>
      </c>
    </row>
    <row r="820" spans="1:42" x14ac:dyDescent="0.2">
      <c r="A820" s="63" t="str">
        <f t="shared" si="134"/>
        <v/>
      </c>
      <c r="B820" s="133"/>
      <c r="C820" s="133"/>
      <c r="D820" s="135"/>
      <c r="E820" s="135"/>
      <c r="F820" s="137"/>
      <c r="AA820" s="116" t="str">
        <f t="shared" si="133"/>
        <v>00000000000000</v>
      </c>
      <c r="AB820" s="117" t="str">
        <f t="shared" si="135"/>
        <v>000000000000</v>
      </c>
      <c r="AC820" s="118">
        <f t="shared" si="136"/>
        <v>1</v>
      </c>
      <c r="AD820" s="47">
        <v>2</v>
      </c>
      <c r="AE820" s="66">
        <f t="shared" si="139"/>
        <v>0</v>
      </c>
      <c r="AF820" s="66">
        <f t="shared" si="132"/>
        <v>0</v>
      </c>
      <c r="AG820" s="67" t="str">
        <f t="shared" si="140"/>
        <v>0000000000</v>
      </c>
      <c r="AH820" s="67" t="str">
        <f t="shared" si="141"/>
        <v>.00</v>
      </c>
      <c r="AI820" s="67" t="str">
        <f t="shared" si="137"/>
        <v>00</v>
      </c>
      <c r="AJ820" s="67" t="str">
        <f t="shared" si="142"/>
        <v>000000000000</v>
      </c>
      <c r="AK820" s="119"/>
      <c r="AL820" s="120"/>
      <c r="AP820" s="115" t="str">
        <f t="shared" si="138"/>
        <v/>
      </c>
    </row>
    <row r="821" spans="1:42" x14ac:dyDescent="0.2">
      <c r="A821" s="63" t="str">
        <f t="shared" si="134"/>
        <v/>
      </c>
      <c r="B821" s="133"/>
      <c r="C821" s="133"/>
      <c r="D821" s="135"/>
      <c r="E821" s="135"/>
      <c r="F821" s="137"/>
      <c r="AA821" s="116" t="str">
        <f t="shared" si="133"/>
        <v>00000000000000</v>
      </c>
      <c r="AB821" s="117" t="str">
        <f t="shared" si="135"/>
        <v>000000000000</v>
      </c>
      <c r="AC821" s="118">
        <f t="shared" si="136"/>
        <v>1</v>
      </c>
      <c r="AD821" s="47">
        <v>2</v>
      </c>
      <c r="AE821" s="66">
        <f t="shared" si="139"/>
        <v>0</v>
      </c>
      <c r="AF821" s="66">
        <f t="shared" si="132"/>
        <v>0</v>
      </c>
      <c r="AG821" s="67" t="str">
        <f t="shared" si="140"/>
        <v>0000000000</v>
      </c>
      <c r="AH821" s="67" t="str">
        <f t="shared" si="141"/>
        <v>.00</v>
      </c>
      <c r="AI821" s="67" t="str">
        <f t="shared" si="137"/>
        <v>00</v>
      </c>
      <c r="AJ821" s="67" t="str">
        <f t="shared" si="142"/>
        <v>000000000000</v>
      </c>
      <c r="AK821" s="119"/>
      <c r="AL821" s="120"/>
      <c r="AP821" s="115" t="str">
        <f t="shared" si="138"/>
        <v/>
      </c>
    </row>
    <row r="822" spans="1:42" x14ac:dyDescent="0.2">
      <c r="A822" s="63" t="str">
        <f t="shared" si="134"/>
        <v/>
      </c>
      <c r="B822" s="133"/>
      <c r="C822" s="133"/>
      <c r="D822" s="135"/>
      <c r="E822" s="135"/>
      <c r="F822" s="137"/>
      <c r="AA822" s="116" t="str">
        <f t="shared" si="133"/>
        <v>00000000000000</v>
      </c>
      <c r="AB822" s="117" t="str">
        <f t="shared" si="135"/>
        <v>000000000000</v>
      </c>
      <c r="AC822" s="118">
        <f t="shared" si="136"/>
        <v>1</v>
      </c>
      <c r="AD822" s="47">
        <v>2</v>
      </c>
      <c r="AE822" s="66">
        <f t="shared" si="139"/>
        <v>0</v>
      </c>
      <c r="AF822" s="66">
        <f t="shared" si="132"/>
        <v>0</v>
      </c>
      <c r="AG822" s="67" t="str">
        <f t="shared" si="140"/>
        <v>0000000000</v>
      </c>
      <c r="AH822" s="67" t="str">
        <f t="shared" si="141"/>
        <v>.00</v>
      </c>
      <c r="AI822" s="67" t="str">
        <f t="shared" si="137"/>
        <v>00</v>
      </c>
      <c r="AJ822" s="67" t="str">
        <f t="shared" si="142"/>
        <v>000000000000</v>
      </c>
      <c r="AK822" s="119"/>
      <c r="AL822" s="120"/>
      <c r="AP822" s="115" t="str">
        <f t="shared" si="138"/>
        <v/>
      </c>
    </row>
    <row r="823" spans="1:42" x14ac:dyDescent="0.2">
      <c r="A823" s="63" t="str">
        <f t="shared" si="134"/>
        <v/>
      </c>
      <c r="B823" s="133"/>
      <c r="C823" s="133"/>
      <c r="D823" s="135"/>
      <c r="E823" s="135"/>
      <c r="F823" s="137"/>
      <c r="AA823" s="116" t="str">
        <f t="shared" si="133"/>
        <v>00000000000000</v>
      </c>
      <c r="AB823" s="117" t="str">
        <f t="shared" si="135"/>
        <v>000000000000</v>
      </c>
      <c r="AC823" s="118">
        <f t="shared" si="136"/>
        <v>1</v>
      </c>
      <c r="AD823" s="47">
        <v>2</v>
      </c>
      <c r="AE823" s="66">
        <f t="shared" si="139"/>
        <v>0</v>
      </c>
      <c r="AF823" s="66">
        <f t="shared" si="132"/>
        <v>0</v>
      </c>
      <c r="AG823" s="67" t="str">
        <f t="shared" si="140"/>
        <v>0000000000</v>
      </c>
      <c r="AH823" s="67" t="str">
        <f t="shared" si="141"/>
        <v>.00</v>
      </c>
      <c r="AI823" s="67" t="str">
        <f t="shared" si="137"/>
        <v>00</v>
      </c>
      <c r="AJ823" s="67" t="str">
        <f t="shared" si="142"/>
        <v>000000000000</v>
      </c>
      <c r="AK823" s="119"/>
      <c r="AL823" s="120"/>
      <c r="AP823" s="115" t="str">
        <f t="shared" si="138"/>
        <v/>
      </c>
    </row>
    <row r="824" spans="1:42" x14ac:dyDescent="0.2">
      <c r="A824" s="63" t="str">
        <f t="shared" si="134"/>
        <v/>
      </c>
      <c r="B824" s="133"/>
      <c r="C824" s="133"/>
      <c r="D824" s="135"/>
      <c r="E824" s="135"/>
      <c r="F824" s="137"/>
      <c r="AA824" s="116" t="str">
        <f t="shared" si="133"/>
        <v>00000000000000</v>
      </c>
      <c r="AB824" s="117" t="str">
        <f t="shared" si="135"/>
        <v>000000000000</v>
      </c>
      <c r="AC824" s="118">
        <f t="shared" si="136"/>
        <v>1</v>
      </c>
      <c r="AD824" s="47">
        <v>2</v>
      </c>
      <c r="AE824" s="66">
        <f t="shared" si="139"/>
        <v>0</v>
      </c>
      <c r="AF824" s="66">
        <f t="shared" si="132"/>
        <v>0</v>
      </c>
      <c r="AG824" s="67" t="str">
        <f t="shared" si="140"/>
        <v>0000000000</v>
      </c>
      <c r="AH824" s="67" t="str">
        <f t="shared" si="141"/>
        <v>.00</v>
      </c>
      <c r="AI824" s="67" t="str">
        <f t="shared" si="137"/>
        <v>00</v>
      </c>
      <c r="AJ824" s="67" t="str">
        <f t="shared" si="142"/>
        <v>000000000000</v>
      </c>
      <c r="AK824" s="119"/>
      <c r="AL824" s="120"/>
      <c r="AP824" s="115" t="str">
        <f t="shared" si="138"/>
        <v/>
      </c>
    </row>
    <row r="825" spans="1:42" x14ac:dyDescent="0.2">
      <c r="A825" s="63" t="str">
        <f t="shared" si="134"/>
        <v/>
      </c>
      <c r="B825" s="133"/>
      <c r="C825" s="133"/>
      <c r="D825" s="135"/>
      <c r="E825" s="135"/>
      <c r="F825" s="137"/>
      <c r="AA825" s="116" t="str">
        <f t="shared" si="133"/>
        <v>00000000000000</v>
      </c>
      <c r="AB825" s="117" t="str">
        <f t="shared" si="135"/>
        <v>000000000000</v>
      </c>
      <c r="AC825" s="118">
        <f t="shared" si="136"/>
        <v>1</v>
      </c>
      <c r="AD825" s="47">
        <v>2</v>
      </c>
      <c r="AE825" s="66">
        <f t="shared" si="139"/>
        <v>0</v>
      </c>
      <c r="AF825" s="66">
        <f t="shared" si="132"/>
        <v>0</v>
      </c>
      <c r="AG825" s="67" t="str">
        <f t="shared" si="140"/>
        <v>0000000000</v>
      </c>
      <c r="AH825" s="67" t="str">
        <f t="shared" si="141"/>
        <v>.00</v>
      </c>
      <c r="AI825" s="67" t="str">
        <f t="shared" si="137"/>
        <v>00</v>
      </c>
      <c r="AJ825" s="67" t="str">
        <f t="shared" si="142"/>
        <v>000000000000</v>
      </c>
      <c r="AK825" s="119"/>
      <c r="AL825" s="120"/>
      <c r="AP825" s="115" t="str">
        <f t="shared" si="138"/>
        <v/>
      </c>
    </row>
    <row r="826" spans="1:42" x14ac:dyDescent="0.2">
      <c r="A826" s="63" t="str">
        <f t="shared" si="134"/>
        <v/>
      </c>
      <c r="B826" s="133"/>
      <c r="C826" s="133"/>
      <c r="D826" s="135"/>
      <c r="E826" s="135"/>
      <c r="F826" s="137"/>
      <c r="AA826" s="116" t="str">
        <f t="shared" si="133"/>
        <v>00000000000000</v>
      </c>
      <c r="AB826" s="117" t="str">
        <f t="shared" si="135"/>
        <v>000000000000</v>
      </c>
      <c r="AC826" s="118">
        <f t="shared" si="136"/>
        <v>1</v>
      </c>
      <c r="AD826" s="47">
        <v>2</v>
      </c>
      <c r="AE826" s="66">
        <f t="shared" si="139"/>
        <v>0</v>
      </c>
      <c r="AF826" s="66">
        <f t="shared" si="132"/>
        <v>0</v>
      </c>
      <c r="AG826" s="67" t="str">
        <f t="shared" si="140"/>
        <v>0000000000</v>
      </c>
      <c r="AH826" s="67" t="str">
        <f t="shared" si="141"/>
        <v>.00</v>
      </c>
      <c r="AI826" s="67" t="str">
        <f t="shared" si="137"/>
        <v>00</v>
      </c>
      <c r="AJ826" s="67" t="str">
        <f t="shared" si="142"/>
        <v>000000000000</v>
      </c>
      <c r="AK826" s="119"/>
      <c r="AL826" s="120"/>
      <c r="AP826" s="115" t="str">
        <f t="shared" si="138"/>
        <v/>
      </c>
    </row>
    <row r="827" spans="1:42" x14ac:dyDescent="0.2">
      <c r="A827" s="63" t="str">
        <f t="shared" si="134"/>
        <v/>
      </c>
      <c r="B827" s="133"/>
      <c r="C827" s="133"/>
      <c r="D827" s="135"/>
      <c r="E827" s="135"/>
      <c r="F827" s="137"/>
      <c r="AA827" s="116" t="str">
        <f t="shared" si="133"/>
        <v>00000000000000</v>
      </c>
      <c r="AB827" s="117" t="str">
        <f t="shared" si="135"/>
        <v>000000000000</v>
      </c>
      <c r="AC827" s="118">
        <f t="shared" si="136"/>
        <v>1</v>
      </c>
      <c r="AD827" s="47">
        <v>2</v>
      </c>
      <c r="AE827" s="66">
        <f t="shared" si="139"/>
        <v>0</v>
      </c>
      <c r="AF827" s="66">
        <f t="shared" si="132"/>
        <v>0</v>
      </c>
      <c r="AG827" s="67" t="str">
        <f t="shared" si="140"/>
        <v>0000000000</v>
      </c>
      <c r="AH827" s="67" t="str">
        <f t="shared" si="141"/>
        <v>.00</v>
      </c>
      <c r="AI827" s="67" t="str">
        <f t="shared" si="137"/>
        <v>00</v>
      </c>
      <c r="AJ827" s="67" t="str">
        <f t="shared" si="142"/>
        <v>000000000000</v>
      </c>
      <c r="AK827" s="119"/>
      <c r="AL827" s="120"/>
      <c r="AP827" s="115" t="str">
        <f t="shared" si="138"/>
        <v/>
      </c>
    </row>
    <row r="828" spans="1:42" x14ac:dyDescent="0.2">
      <c r="A828" s="63" t="str">
        <f t="shared" si="134"/>
        <v/>
      </c>
      <c r="B828" s="133"/>
      <c r="C828" s="133"/>
      <c r="D828" s="135"/>
      <c r="E828" s="135"/>
      <c r="F828" s="137"/>
      <c r="AA828" s="116" t="str">
        <f t="shared" si="133"/>
        <v>00000000000000</v>
      </c>
      <c r="AB828" s="117" t="str">
        <f t="shared" si="135"/>
        <v>000000000000</v>
      </c>
      <c r="AC828" s="118">
        <f t="shared" si="136"/>
        <v>1</v>
      </c>
      <c r="AD828" s="47">
        <v>2</v>
      </c>
      <c r="AE828" s="66">
        <f t="shared" si="139"/>
        <v>0</v>
      </c>
      <c r="AF828" s="66">
        <f t="shared" si="132"/>
        <v>0</v>
      </c>
      <c r="AG828" s="67" t="str">
        <f t="shared" si="140"/>
        <v>0000000000</v>
      </c>
      <c r="AH828" s="67" t="str">
        <f t="shared" si="141"/>
        <v>.00</v>
      </c>
      <c r="AI828" s="67" t="str">
        <f t="shared" si="137"/>
        <v>00</v>
      </c>
      <c r="AJ828" s="67" t="str">
        <f t="shared" si="142"/>
        <v>000000000000</v>
      </c>
      <c r="AK828" s="119"/>
      <c r="AL828" s="120"/>
      <c r="AP828" s="115" t="str">
        <f t="shared" si="138"/>
        <v/>
      </c>
    </row>
    <row r="829" spans="1:42" x14ac:dyDescent="0.2">
      <c r="A829" s="63" t="str">
        <f t="shared" si="134"/>
        <v/>
      </c>
      <c r="B829" s="133"/>
      <c r="C829" s="133"/>
      <c r="D829" s="135"/>
      <c r="E829" s="135"/>
      <c r="F829" s="137"/>
      <c r="AA829" s="116" t="str">
        <f t="shared" si="133"/>
        <v>00000000000000</v>
      </c>
      <c r="AB829" s="117" t="str">
        <f t="shared" si="135"/>
        <v>000000000000</v>
      </c>
      <c r="AC829" s="118">
        <f t="shared" si="136"/>
        <v>1</v>
      </c>
      <c r="AD829" s="47">
        <v>2</v>
      </c>
      <c r="AE829" s="66">
        <f t="shared" si="139"/>
        <v>0</v>
      </c>
      <c r="AF829" s="66">
        <f t="shared" si="132"/>
        <v>0</v>
      </c>
      <c r="AG829" s="67" t="str">
        <f t="shared" si="140"/>
        <v>0000000000</v>
      </c>
      <c r="AH829" s="67" t="str">
        <f t="shared" si="141"/>
        <v>.00</v>
      </c>
      <c r="AI829" s="67" t="str">
        <f t="shared" si="137"/>
        <v>00</v>
      </c>
      <c r="AJ829" s="67" t="str">
        <f t="shared" si="142"/>
        <v>000000000000</v>
      </c>
      <c r="AK829" s="119"/>
      <c r="AL829" s="120"/>
      <c r="AP829" s="115" t="str">
        <f t="shared" si="138"/>
        <v/>
      </c>
    </row>
    <row r="830" spans="1:42" x14ac:dyDescent="0.2">
      <c r="A830" s="63" t="str">
        <f t="shared" si="134"/>
        <v/>
      </c>
      <c r="B830" s="133"/>
      <c r="C830" s="133"/>
      <c r="D830" s="135"/>
      <c r="E830" s="135"/>
      <c r="F830" s="137"/>
      <c r="AA830" s="116" t="str">
        <f t="shared" si="133"/>
        <v>00000000000000</v>
      </c>
      <c r="AB830" s="117" t="str">
        <f t="shared" si="135"/>
        <v>000000000000</v>
      </c>
      <c r="AC830" s="118">
        <f t="shared" si="136"/>
        <v>1</v>
      </c>
      <c r="AD830" s="47">
        <v>2</v>
      </c>
      <c r="AE830" s="66">
        <f t="shared" si="139"/>
        <v>0</v>
      </c>
      <c r="AF830" s="66">
        <f t="shared" si="132"/>
        <v>0</v>
      </c>
      <c r="AG830" s="67" t="str">
        <f t="shared" si="140"/>
        <v>0000000000</v>
      </c>
      <c r="AH830" s="67" t="str">
        <f t="shared" si="141"/>
        <v>.00</v>
      </c>
      <c r="AI830" s="67" t="str">
        <f t="shared" si="137"/>
        <v>00</v>
      </c>
      <c r="AJ830" s="67" t="str">
        <f t="shared" si="142"/>
        <v>000000000000</v>
      </c>
      <c r="AK830" s="119"/>
      <c r="AL830" s="120"/>
      <c r="AP830" s="115" t="str">
        <f t="shared" si="138"/>
        <v/>
      </c>
    </row>
    <row r="831" spans="1:42" x14ac:dyDescent="0.2">
      <c r="A831" s="63" t="str">
        <f t="shared" si="134"/>
        <v/>
      </c>
      <c r="B831" s="133"/>
      <c r="C831" s="133"/>
      <c r="D831" s="135"/>
      <c r="E831" s="135"/>
      <c r="F831" s="137"/>
      <c r="AA831" s="116" t="str">
        <f t="shared" si="133"/>
        <v>00000000000000</v>
      </c>
      <c r="AB831" s="117" t="str">
        <f t="shared" si="135"/>
        <v>000000000000</v>
      </c>
      <c r="AC831" s="118">
        <f t="shared" si="136"/>
        <v>1</v>
      </c>
      <c r="AD831" s="47">
        <v>2</v>
      </c>
      <c r="AE831" s="66">
        <f t="shared" si="139"/>
        <v>0</v>
      </c>
      <c r="AF831" s="66">
        <f t="shared" si="132"/>
        <v>0</v>
      </c>
      <c r="AG831" s="67" t="str">
        <f t="shared" si="140"/>
        <v>0000000000</v>
      </c>
      <c r="AH831" s="67" t="str">
        <f t="shared" si="141"/>
        <v>.00</v>
      </c>
      <c r="AI831" s="67" t="str">
        <f t="shared" si="137"/>
        <v>00</v>
      </c>
      <c r="AJ831" s="67" t="str">
        <f t="shared" si="142"/>
        <v>000000000000</v>
      </c>
      <c r="AK831" s="119"/>
      <c r="AL831" s="120"/>
      <c r="AP831" s="115" t="str">
        <f t="shared" si="138"/>
        <v/>
      </c>
    </row>
    <row r="832" spans="1:42" x14ac:dyDescent="0.2">
      <c r="A832" s="63" t="str">
        <f t="shared" si="134"/>
        <v/>
      </c>
      <c r="B832" s="133"/>
      <c r="C832" s="133"/>
      <c r="D832" s="135"/>
      <c r="E832" s="135"/>
      <c r="F832" s="137"/>
      <c r="AA832" s="116" t="str">
        <f t="shared" si="133"/>
        <v>00000000000000</v>
      </c>
      <c r="AB832" s="117" t="str">
        <f t="shared" si="135"/>
        <v>000000000000</v>
      </c>
      <c r="AC832" s="118">
        <f t="shared" si="136"/>
        <v>1</v>
      </c>
      <c r="AD832" s="47">
        <v>2</v>
      </c>
      <c r="AE832" s="66">
        <f t="shared" si="139"/>
        <v>0</v>
      </c>
      <c r="AF832" s="66">
        <f t="shared" si="132"/>
        <v>0</v>
      </c>
      <c r="AG832" s="67" t="str">
        <f t="shared" si="140"/>
        <v>0000000000</v>
      </c>
      <c r="AH832" s="67" t="str">
        <f t="shared" si="141"/>
        <v>.00</v>
      </c>
      <c r="AI832" s="67" t="str">
        <f t="shared" si="137"/>
        <v>00</v>
      </c>
      <c r="AJ832" s="67" t="str">
        <f t="shared" si="142"/>
        <v>000000000000</v>
      </c>
      <c r="AK832" s="119"/>
      <c r="AL832" s="120"/>
      <c r="AP832" s="115" t="str">
        <f t="shared" si="138"/>
        <v/>
      </c>
    </row>
    <row r="833" spans="1:42" x14ac:dyDescent="0.2">
      <c r="A833" s="63" t="str">
        <f t="shared" si="134"/>
        <v/>
      </c>
      <c r="B833" s="133"/>
      <c r="C833" s="133"/>
      <c r="D833" s="135"/>
      <c r="E833" s="135"/>
      <c r="F833" s="137"/>
      <c r="AA833" s="116" t="str">
        <f t="shared" si="133"/>
        <v>00000000000000</v>
      </c>
      <c r="AB833" s="117" t="str">
        <f t="shared" si="135"/>
        <v>000000000000</v>
      </c>
      <c r="AC833" s="118">
        <f t="shared" si="136"/>
        <v>1</v>
      </c>
      <c r="AD833" s="47">
        <v>2</v>
      </c>
      <c r="AE833" s="66">
        <f t="shared" si="139"/>
        <v>0</v>
      </c>
      <c r="AF833" s="66">
        <f t="shared" si="132"/>
        <v>0</v>
      </c>
      <c r="AG833" s="67" t="str">
        <f t="shared" si="140"/>
        <v>0000000000</v>
      </c>
      <c r="AH833" s="67" t="str">
        <f t="shared" si="141"/>
        <v>.00</v>
      </c>
      <c r="AI833" s="67" t="str">
        <f t="shared" si="137"/>
        <v>00</v>
      </c>
      <c r="AJ833" s="67" t="str">
        <f t="shared" si="142"/>
        <v>000000000000</v>
      </c>
      <c r="AK833" s="119"/>
      <c r="AL833" s="120"/>
      <c r="AP833" s="115" t="str">
        <f t="shared" si="138"/>
        <v/>
      </c>
    </row>
    <row r="834" spans="1:42" x14ac:dyDescent="0.2">
      <c r="A834" s="63" t="str">
        <f t="shared" si="134"/>
        <v/>
      </c>
      <c r="B834" s="133"/>
      <c r="C834" s="133"/>
      <c r="D834" s="135"/>
      <c r="E834" s="135"/>
      <c r="F834" s="137"/>
      <c r="AA834" s="116" t="str">
        <f t="shared" si="133"/>
        <v>00000000000000</v>
      </c>
      <c r="AB834" s="117" t="str">
        <f t="shared" si="135"/>
        <v>000000000000</v>
      </c>
      <c r="AC834" s="118">
        <f t="shared" si="136"/>
        <v>1</v>
      </c>
      <c r="AD834" s="47">
        <v>2</v>
      </c>
      <c r="AE834" s="66">
        <f t="shared" si="139"/>
        <v>0</v>
      </c>
      <c r="AF834" s="66">
        <f t="shared" si="132"/>
        <v>0</v>
      </c>
      <c r="AG834" s="67" t="str">
        <f t="shared" si="140"/>
        <v>0000000000</v>
      </c>
      <c r="AH834" s="67" t="str">
        <f t="shared" si="141"/>
        <v>.00</v>
      </c>
      <c r="AI834" s="67" t="str">
        <f t="shared" si="137"/>
        <v>00</v>
      </c>
      <c r="AJ834" s="67" t="str">
        <f t="shared" si="142"/>
        <v>000000000000</v>
      </c>
      <c r="AK834" s="119"/>
      <c r="AL834" s="120"/>
      <c r="AP834" s="115" t="str">
        <f t="shared" si="138"/>
        <v/>
      </c>
    </row>
    <row r="835" spans="1:42" x14ac:dyDescent="0.2">
      <c r="A835" s="63" t="str">
        <f t="shared" si="134"/>
        <v/>
      </c>
      <c r="B835" s="133"/>
      <c r="C835" s="133"/>
      <c r="D835" s="135"/>
      <c r="E835" s="135"/>
      <c r="F835" s="137"/>
      <c r="AA835" s="116" t="str">
        <f t="shared" si="133"/>
        <v>00000000000000</v>
      </c>
      <c r="AB835" s="117" t="str">
        <f t="shared" si="135"/>
        <v>000000000000</v>
      </c>
      <c r="AC835" s="118">
        <f t="shared" si="136"/>
        <v>1</v>
      </c>
      <c r="AD835" s="47">
        <v>2</v>
      </c>
      <c r="AE835" s="66">
        <f t="shared" si="139"/>
        <v>0</v>
      </c>
      <c r="AF835" s="66">
        <f t="shared" ref="AF835:AF898" si="143">F835-AE835</f>
        <v>0</v>
      </c>
      <c r="AG835" s="67" t="str">
        <f t="shared" si="140"/>
        <v>0000000000</v>
      </c>
      <c r="AH835" s="67" t="str">
        <f t="shared" si="141"/>
        <v>.00</v>
      </c>
      <c r="AI835" s="67" t="str">
        <f t="shared" si="137"/>
        <v>00</v>
      </c>
      <c r="AJ835" s="67" t="str">
        <f t="shared" si="142"/>
        <v>000000000000</v>
      </c>
      <c r="AK835" s="119"/>
      <c r="AL835" s="120"/>
      <c r="AP835" s="115" t="str">
        <f t="shared" si="138"/>
        <v/>
      </c>
    </row>
    <row r="836" spans="1:42" x14ac:dyDescent="0.2">
      <c r="A836" s="63" t="str">
        <f t="shared" si="134"/>
        <v/>
      </c>
      <c r="B836" s="133"/>
      <c r="C836" s="133"/>
      <c r="D836" s="135"/>
      <c r="E836" s="135"/>
      <c r="F836" s="137"/>
      <c r="AA836" s="116" t="str">
        <f t="shared" ref="AA836:AA899" si="144">CONCATENATE(REPT("0",14-LEN(B836)),B836)</f>
        <v>00000000000000</v>
      </c>
      <c r="AB836" s="117" t="str">
        <f t="shared" si="135"/>
        <v>000000000000</v>
      </c>
      <c r="AC836" s="118">
        <f t="shared" si="136"/>
        <v>1</v>
      </c>
      <c r="AD836" s="47">
        <v>2</v>
      </c>
      <c r="AE836" s="66">
        <f t="shared" si="139"/>
        <v>0</v>
      </c>
      <c r="AF836" s="66">
        <f t="shared" si="143"/>
        <v>0</v>
      </c>
      <c r="AG836" s="67" t="str">
        <f t="shared" si="140"/>
        <v>0000000000</v>
      </c>
      <c r="AH836" s="67" t="str">
        <f t="shared" si="141"/>
        <v>.00</v>
      </c>
      <c r="AI836" s="67" t="str">
        <f t="shared" si="137"/>
        <v>00</v>
      </c>
      <c r="AJ836" s="67" t="str">
        <f t="shared" si="142"/>
        <v>000000000000</v>
      </c>
      <c r="AK836" s="119"/>
      <c r="AL836" s="120"/>
      <c r="AP836" s="115" t="str">
        <f t="shared" si="138"/>
        <v/>
      </c>
    </row>
    <row r="837" spans="1:42" x14ac:dyDescent="0.2">
      <c r="A837" s="63" t="str">
        <f t="shared" ref="A837:A900" si="145">IF(B837&lt;&gt;"",A836+1,"")</f>
        <v/>
      </c>
      <c r="B837" s="133"/>
      <c r="C837" s="133"/>
      <c r="D837" s="135"/>
      <c r="E837" s="135"/>
      <c r="F837" s="137"/>
      <c r="AA837" s="116" t="str">
        <f t="shared" si="144"/>
        <v>00000000000000</v>
      </c>
      <c r="AB837" s="117" t="str">
        <f t="shared" ref="AB837:AB900" si="146">CONCATENATE(REPT("0",12-LEN(C837)),C837)</f>
        <v>000000000000</v>
      </c>
      <c r="AC837" s="118">
        <f t="shared" ref="AC837:AC900" si="147">AC836</f>
        <v>1</v>
      </c>
      <c r="AD837" s="47">
        <v>2</v>
      </c>
      <c r="AE837" s="66">
        <f t="shared" si="139"/>
        <v>0</v>
      </c>
      <c r="AF837" s="66">
        <f t="shared" si="143"/>
        <v>0</v>
      </c>
      <c r="AG837" s="67" t="str">
        <f t="shared" si="140"/>
        <v>0000000000</v>
      </c>
      <c r="AH837" s="67" t="str">
        <f t="shared" si="141"/>
        <v>.00</v>
      </c>
      <c r="AI837" s="67" t="str">
        <f t="shared" ref="AI837:AI900" si="148">MID(AH837,2,2)</f>
        <v>00</v>
      </c>
      <c r="AJ837" s="67" t="str">
        <f t="shared" si="142"/>
        <v>000000000000</v>
      </c>
      <c r="AK837" s="119"/>
      <c r="AL837" s="120"/>
      <c r="AP837" s="115" t="str">
        <f t="shared" si="138"/>
        <v/>
      </c>
    </row>
    <row r="838" spans="1:42" x14ac:dyDescent="0.2">
      <c r="A838" s="63" t="str">
        <f t="shared" si="145"/>
        <v/>
      </c>
      <c r="B838" s="133"/>
      <c r="C838" s="133"/>
      <c r="D838" s="135"/>
      <c r="E838" s="135"/>
      <c r="F838" s="137"/>
      <c r="AA838" s="116" t="str">
        <f t="shared" si="144"/>
        <v>00000000000000</v>
      </c>
      <c r="AB838" s="117" t="str">
        <f t="shared" si="146"/>
        <v>000000000000</v>
      </c>
      <c r="AC838" s="118">
        <f t="shared" si="147"/>
        <v>1</v>
      </c>
      <c r="AD838" s="47">
        <v>2</v>
      </c>
      <c r="AE838" s="66">
        <f t="shared" si="139"/>
        <v>0</v>
      </c>
      <c r="AF838" s="66">
        <f t="shared" si="143"/>
        <v>0</v>
      </c>
      <c r="AG838" s="67" t="str">
        <f t="shared" si="140"/>
        <v>0000000000</v>
      </c>
      <c r="AH838" s="67" t="str">
        <f t="shared" si="141"/>
        <v>.00</v>
      </c>
      <c r="AI838" s="67" t="str">
        <f t="shared" si="148"/>
        <v>00</v>
      </c>
      <c r="AJ838" s="67" t="str">
        <f t="shared" si="142"/>
        <v>000000000000</v>
      </c>
      <c r="AK838" s="119"/>
      <c r="AL838" s="120"/>
      <c r="AP838" s="115" t="str">
        <f t="shared" ref="AP838:AP901" si="149">IF(B839&lt;&gt;"",CONCATENATE("00000",$AD$1,AA839,$AC$3,"2",AB839,AJ839,$AL$3,"0                                                  "),"")</f>
        <v/>
      </c>
    </row>
    <row r="839" spans="1:42" x14ac:dyDescent="0.2">
      <c r="A839" s="63" t="str">
        <f t="shared" si="145"/>
        <v/>
      </c>
      <c r="B839" s="133"/>
      <c r="C839" s="133"/>
      <c r="D839" s="135"/>
      <c r="E839" s="135"/>
      <c r="F839" s="137"/>
      <c r="AA839" s="116" t="str">
        <f t="shared" si="144"/>
        <v>00000000000000</v>
      </c>
      <c r="AB839" s="117" t="str">
        <f t="shared" si="146"/>
        <v>000000000000</v>
      </c>
      <c r="AC839" s="118">
        <f t="shared" si="147"/>
        <v>1</v>
      </c>
      <c r="AD839" s="47">
        <v>2</v>
      </c>
      <c r="AE839" s="66">
        <f t="shared" si="139"/>
        <v>0</v>
      </c>
      <c r="AF839" s="66">
        <f t="shared" si="143"/>
        <v>0</v>
      </c>
      <c r="AG839" s="67" t="str">
        <f t="shared" si="140"/>
        <v>0000000000</v>
      </c>
      <c r="AH839" s="67" t="str">
        <f t="shared" si="141"/>
        <v>.00</v>
      </c>
      <c r="AI839" s="67" t="str">
        <f t="shared" si="148"/>
        <v>00</v>
      </c>
      <c r="AJ839" s="67" t="str">
        <f t="shared" si="142"/>
        <v>000000000000</v>
      </c>
      <c r="AK839" s="119"/>
      <c r="AL839" s="120"/>
      <c r="AP839" s="115" t="str">
        <f t="shared" si="149"/>
        <v/>
      </c>
    </row>
    <row r="840" spans="1:42" x14ac:dyDescent="0.2">
      <c r="A840" s="63" t="str">
        <f t="shared" si="145"/>
        <v/>
      </c>
      <c r="B840" s="133"/>
      <c r="C840" s="133"/>
      <c r="D840" s="135"/>
      <c r="E840" s="135"/>
      <c r="F840" s="137"/>
      <c r="AA840" s="116" t="str">
        <f t="shared" si="144"/>
        <v>00000000000000</v>
      </c>
      <c r="AB840" s="117" t="str">
        <f t="shared" si="146"/>
        <v>000000000000</v>
      </c>
      <c r="AC840" s="118">
        <f t="shared" si="147"/>
        <v>1</v>
      </c>
      <c r="AD840" s="47">
        <v>2</v>
      </c>
      <c r="AE840" s="66">
        <f t="shared" ref="AE840:AE903" si="150">INT(F840)</f>
        <v>0</v>
      </c>
      <c r="AF840" s="66">
        <f t="shared" si="143"/>
        <v>0</v>
      </c>
      <c r="AG840" s="67" t="str">
        <f t="shared" ref="AG840:AG903" si="151">TEXT(AE840,"0000000000")</f>
        <v>0000000000</v>
      </c>
      <c r="AH840" s="67" t="str">
        <f t="shared" ref="AH840:AH903" si="152">TEXT(AF840,".00")</f>
        <v>.00</v>
      </c>
      <c r="AI840" s="67" t="str">
        <f t="shared" si="148"/>
        <v>00</v>
      </c>
      <c r="AJ840" s="67" t="str">
        <f t="shared" ref="AJ840:AJ903" si="153">CONCATENATE(AG840,AI840)</f>
        <v>000000000000</v>
      </c>
      <c r="AK840" s="119"/>
      <c r="AL840" s="120"/>
      <c r="AP840" s="115" t="str">
        <f t="shared" si="149"/>
        <v/>
      </c>
    </row>
    <row r="841" spans="1:42" x14ac:dyDescent="0.2">
      <c r="A841" s="63" t="str">
        <f t="shared" si="145"/>
        <v/>
      </c>
      <c r="B841" s="133"/>
      <c r="C841" s="133"/>
      <c r="D841" s="135"/>
      <c r="E841" s="135"/>
      <c r="F841" s="137"/>
      <c r="AA841" s="116" t="str">
        <f t="shared" si="144"/>
        <v>00000000000000</v>
      </c>
      <c r="AB841" s="117" t="str">
        <f t="shared" si="146"/>
        <v>000000000000</v>
      </c>
      <c r="AC841" s="118">
        <f t="shared" si="147"/>
        <v>1</v>
      </c>
      <c r="AD841" s="47">
        <v>2</v>
      </c>
      <c r="AE841" s="66">
        <f t="shared" si="150"/>
        <v>0</v>
      </c>
      <c r="AF841" s="66">
        <f t="shared" si="143"/>
        <v>0</v>
      </c>
      <c r="AG841" s="67" t="str">
        <f t="shared" si="151"/>
        <v>0000000000</v>
      </c>
      <c r="AH841" s="67" t="str">
        <f t="shared" si="152"/>
        <v>.00</v>
      </c>
      <c r="AI841" s="67" t="str">
        <f t="shared" si="148"/>
        <v>00</v>
      </c>
      <c r="AJ841" s="67" t="str">
        <f t="shared" si="153"/>
        <v>000000000000</v>
      </c>
      <c r="AK841" s="119"/>
      <c r="AL841" s="120"/>
      <c r="AP841" s="115" t="str">
        <f t="shared" si="149"/>
        <v/>
      </c>
    </row>
    <row r="842" spans="1:42" x14ac:dyDescent="0.2">
      <c r="A842" s="63" t="str">
        <f t="shared" si="145"/>
        <v/>
      </c>
      <c r="B842" s="133"/>
      <c r="C842" s="133"/>
      <c r="D842" s="135"/>
      <c r="E842" s="135"/>
      <c r="F842" s="137"/>
      <c r="AA842" s="116" t="str">
        <f t="shared" si="144"/>
        <v>00000000000000</v>
      </c>
      <c r="AB842" s="117" t="str">
        <f t="shared" si="146"/>
        <v>000000000000</v>
      </c>
      <c r="AC842" s="118">
        <f t="shared" si="147"/>
        <v>1</v>
      </c>
      <c r="AD842" s="47">
        <v>2</v>
      </c>
      <c r="AE842" s="66">
        <f t="shared" si="150"/>
        <v>0</v>
      </c>
      <c r="AF842" s="66">
        <f t="shared" si="143"/>
        <v>0</v>
      </c>
      <c r="AG842" s="67" t="str">
        <f t="shared" si="151"/>
        <v>0000000000</v>
      </c>
      <c r="AH842" s="67" t="str">
        <f t="shared" si="152"/>
        <v>.00</v>
      </c>
      <c r="AI842" s="67" t="str">
        <f t="shared" si="148"/>
        <v>00</v>
      </c>
      <c r="AJ842" s="67" t="str">
        <f t="shared" si="153"/>
        <v>000000000000</v>
      </c>
      <c r="AK842" s="119"/>
      <c r="AL842" s="120"/>
      <c r="AP842" s="115" t="str">
        <f t="shared" si="149"/>
        <v/>
      </c>
    </row>
    <row r="843" spans="1:42" x14ac:dyDescent="0.2">
      <c r="A843" s="63" t="str">
        <f t="shared" si="145"/>
        <v/>
      </c>
      <c r="B843" s="133"/>
      <c r="C843" s="133"/>
      <c r="D843" s="135"/>
      <c r="E843" s="135"/>
      <c r="F843" s="137"/>
      <c r="AA843" s="116" t="str">
        <f t="shared" si="144"/>
        <v>00000000000000</v>
      </c>
      <c r="AB843" s="117" t="str">
        <f t="shared" si="146"/>
        <v>000000000000</v>
      </c>
      <c r="AC843" s="118">
        <f t="shared" si="147"/>
        <v>1</v>
      </c>
      <c r="AD843" s="47">
        <v>2</v>
      </c>
      <c r="AE843" s="66">
        <f t="shared" si="150"/>
        <v>0</v>
      </c>
      <c r="AF843" s="66">
        <f t="shared" si="143"/>
        <v>0</v>
      </c>
      <c r="AG843" s="67" t="str">
        <f t="shared" si="151"/>
        <v>0000000000</v>
      </c>
      <c r="AH843" s="67" t="str">
        <f t="shared" si="152"/>
        <v>.00</v>
      </c>
      <c r="AI843" s="67" t="str">
        <f t="shared" si="148"/>
        <v>00</v>
      </c>
      <c r="AJ843" s="67" t="str">
        <f t="shared" si="153"/>
        <v>000000000000</v>
      </c>
      <c r="AK843" s="119"/>
      <c r="AL843" s="120"/>
      <c r="AP843" s="115" t="str">
        <f t="shared" si="149"/>
        <v/>
      </c>
    </row>
    <row r="844" spans="1:42" x14ac:dyDescent="0.2">
      <c r="A844" s="63" t="str">
        <f t="shared" si="145"/>
        <v/>
      </c>
      <c r="B844" s="133"/>
      <c r="C844" s="133"/>
      <c r="D844" s="135"/>
      <c r="E844" s="135"/>
      <c r="F844" s="137"/>
      <c r="AA844" s="116" t="str">
        <f t="shared" si="144"/>
        <v>00000000000000</v>
      </c>
      <c r="AB844" s="117" t="str">
        <f t="shared" si="146"/>
        <v>000000000000</v>
      </c>
      <c r="AC844" s="118">
        <f t="shared" si="147"/>
        <v>1</v>
      </c>
      <c r="AD844" s="47">
        <v>2</v>
      </c>
      <c r="AE844" s="66">
        <f t="shared" si="150"/>
        <v>0</v>
      </c>
      <c r="AF844" s="66">
        <f t="shared" si="143"/>
        <v>0</v>
      </c>
      <c r="AG844" s="67" t="str">
        <f t="shared" si="151"/>
        <v>0000000000</v>
      </c>
      <c r="AH844" s="67" t="str">
        <f t="shared" si="152"/>
        <v>.00</v>
      </c>
      <c r="AI844" s="67" t="str">
        <f t="shared" si="148"/>
        <v>00</v>
      </c>
      <c r="AJ844" s="67" t="str">
        <f t="shared" si="153"/>
        <v>000000000000</v>
      </c>
      <c r="AK844" s="119"/>
      <c r="AL844" s="120"/>
      <c r="AP844" s="115" t="str">
        <f t="shared" si="149"/>
        <v/>
      </c>
    </row>
    <row r="845" spans="1:42" x14ac:dyDescent="0.2">
      <c r="A845" s="63" t="str">
        <f t="shared" si="145"/>
        <v/>
      </c>
      <c r="B845" s="133"/>
      <c r="C845" s="133"/>
      <c r="D845" s="135"/>
      <c r="E845" s="135"/>
      <c r="F845" s="137"/>
      <c r="AA845" s="116" t="str">
        <f t="shared" si="144"/>
        <v>00000000000000</v>
      </c>
      <c r="AB845" s="117" t="str">
        <f t="shared" si="146"/>
        <v>000000000000</v>
      </c>
      <c r="AC845" s="118">
        <f t="shared" si="147"/>
        <v>1</v>
      </c>
      <c r="AD845" s="47">
        <v>2</v>
      </c>
      <c r="AE845" s="66">
        <f t="shared" si="150"/>
        <v>0</v>
      </c>
      <c r="AF845" s="66">
        <f t="shared" si="143"/>
        <v>0</v>
      </c>
      <c r="AG845" s="67" t="str">
        <f t="shared" si="151"/>
        <v>0000000000</v>
      </c>
      <c r="AH845" s="67" t="str">
        <f t="shared" si="152"/>
        <v>.00</v>
      </c>
      <c r="AI845" s="67" t="str">
        <f t="shared" si="148"/>
        <v>00</v>
      </c>
      <c r="AJ845" s="67" t="str">
        <f t="shared" si="153"/>
        <v>000000000000</v>
      </c>
      <c r="AK845" s="119"/>
      <c r="AL845" s="120"/>
      <c r="AP845" s="115" t="str">
        <f t="shared" si="149"/>
        <v/>
      </c>
    </row>
    <row r="846" spans="1:42" x14ac:dyDescent="0.2">
      <c r="A846" s="63" t="str">
        <f t="shared" si="145"/>
        <v/>
      </c>
      <c r="B846" s="133"/>
      <c r="C846" s="133"/>
      <c r="D846" s="135"/>
      <c r="E846" s="135"/>
      <c r="F846" s="137"/>
      <c r="AA846" s="116" t="str">
        <f t="shared" si="144"/>
        <v>00000000000000</v>
      </c>
      <c r="AB846" s="117" t="str">
        <f t="shared" si="146"/>
        <v>000000000000</v>
      </c>
      <c r="AC846" s="118">
        <f t="shared" si="147"/>
        <v>1</v>
      </c>
      <c r="AD846" s="47">
        <v>2</v>
      </c>
      <c r="AE846" s="66">
        <f t="shared" si="150"/>
        <v>0</v>
      </c>
      <c r="AF846" s="66">
        <f t="shared" si="143"/>
        <v>0</v>
      </c>
      <c r="AG846" s="67" t="str">
        <f t="shared" si="151"/>
        <v>0000000000</v>
      </c>
      <c r="AH846" s="67" t="str">
        <f t="shared" si="152"/>
        <v>.00</v>
      </c>
      <c r="AI846" s="67" t="str">
        <f t="shared" si="148"/>
        <v>00</v>
      </c>
      <c r="AJ846" s="67" t="str">
        <f t="shared" si="153"/>
        <v>000000000000</v>
      </c>
      <c r="AK846" s="119"/>
      <c r="AL846" s="120"/>
      <c r="AP846" s="115" t="str">
        <f t="shared" si="149"/>
        <v/>
      </c>
    </row>
    <row r="847" spans="1:42" x14ac:dyDescent="0.2">
      <c r="A847" s="63" t="str">
        <f t="shared" si="145"/>
        <v/>
      </c>
      <c r="B847" s="133"/>
      <c r="C847" s="133"/>
      <c r="D847" s="135"/>
      <c r="E847" s="135"/>
      <c r="F847" s="137"/>
      <c r="AA847" s="116" t="str">
        <f t="shared" si="144"/>
        <v>00000000000000</v>
      </c>
      <c r="AB847" s="117" t="str">
        <f t="shared" si="146"/>
        <v>000000000000</v>
      </c>
      <c r="AC847" s="118">
        <f t="shared" si="147"/>
        <v>1</v>
      </c>
      <c r="AD847" s="47">
        <v>2</v>
      </c>
      <c r="AE847" s="66">
        <f t="shared" si="150"/>
        <v>0</v>
      </c>
      <c r="AF847" s="66">
        <f t="shared" si="143"/>
        <v>0</v>
      </c>
      <c r="AG847" s="67" t="str">
        <f t="shared" si="151"/>
        <v>0000000000</v>
      </c>
      <c r="AH847" s="67" t="str">
        <f t="shared" si="152"/>
        <v>.00</v>
      </c>
      <c r="AI847" s="67" t="str">
        <f t="shared" si="148"/>
        <v>00</v>
      </c>
      <c r="AJ847" s="67" t="str">
        <f t="shared" si="153"/>
        <v>000000000000</v>
      </c>
      <c r="AK847" s="119"/>
      <c r="AL847" s="120"/>
      <c r="AP847" s="115" t="str">
        <f t="shared" si="149"/>
        <v/>
      </c>
    </row>
    <row r="848" spans="1:42" x14ac:dyDescent="0.2">
      <c r="A848" s="63" t="str">
        <f t="shared" si="145"/>
        <v/>
      </c>
      <c r="B848" s="133"/>
      <c r="C848" s="133"/>
      <c r="D848" s="135"/>
      <c r="E848" s="135"/>
      <c r="F848" s="137"/>
      <c r="AA848" s="116" t="str">
        <f t="shared" si="144"/>
        <v>00000000000000</v>
      </c>
      <c r="AB848" s="117" t="str">
        <f t="shared" si="146"/>
        <v>000000000000</v>
      </c>
      <c r="AC848" s="118">
        <f t="shared" si="147"/>
        <v>1</v>
      </c>
      <c r="AD848" s="47">
        <v>2</v>
      </c>
      <c r="AE848" s="66">
        <f t="shared" si="150"/>
        <v>0</v>
      </c>
      <c r="AF848" s="66">
        <f t="shared" si="143"/>
        <v>0</v>
      </c>
      <c r="AG848" s="67" t="str">
        <f t="shared" si="151"/>
        <v>0000000000</v>
      </c>
      <c r="AH848" s="67" t="str">
        <f t="shared" si="152"/>
        <v>.00</v>
      </c>
      <c r="AI848" s="67" t="str">
        <f t="shared" si="148"/>
        <v>00</v>
      </c>
      <c r="AJ848" s="67" t="str">
        <f t="shared" si="153"/>
        <v>000000000000</v>
      </c>
      <c r="AK848" s="119"/>
      <c r="AL848" s="120"/>
      <c r="AP848" s="115" t="str">
        <f t="shared" si="149"/>
        <v/>
      </c>
    </row>
    <row r="849" spans="1:42" x14ac:dyDescent="0.2">
      <c r="A849" s="63" t="str">
        <f t="shared" si="145"/>
        <v/>
      </c>
      <c r="B849" s="133"/>
      <c r="C849" s="133"/>
      <c r="D849" s="135"/>
      <c r="E849" s="135"/>
      <c r="F849" s="137"/>
      <c r="AA849" s="116" t="str">
        <f t="shared" si="144"/>
        <v>00000000000000</v>
      </c>
      <c r="AB849" s="117" t="str">
        <f t="shared" si="146"/>
        <v>000000000000</v>
      </c>
      <c r="AC849" s="118">
        <f t="shared" si="147"/>
        <v>1</v>
      </c>
      <c r="AD849" s="47">
        <v>2</v>
      </c>
      <c r="AE849" s="66">
        <f t="shared" si="150"/>
        <v>0</v>
      </c>
      <c r="AF849" s="66">
        <f t="shared" si="143"/>
        <v>0</v>
      </c>
      <c r="AG849" s="67" t="str">
        <f t="shared" si="151"/>
        <v>0000000000</v>
      </c>
      <c r="AH849" s="67" t="str">
        <f t="shared" si="152"/>
        <v>.00</v>
      </c>
      <c r="AI849" s="67" t="str">
        <f t="shared" si="148"/>
        <v>00</v>
      </c>
      <c r="AJ849" s="67" t="str">
        <f t="shared" si="153"/>
        <v>000000000000</v>
      </c>
      <c r="AK849" s="119"/>
      <c r="AL849" s="120"/>
      <c r="AP849" s="115" t="str">
        <f t="shared" si="149"/>
        <v/>
      </c>
    </row>
    <row r="850" spans="1:42" x14ac:dyDescent="0.2">
      <c r="A850" s="63" t="str">
        <f t="shared" si="145"/>
        <v/>
      </c>
      <c r="B850" s="133"/>
      <c r="C850" s="133"/>
      <c r="D850" s="135"/>
      <c r="E850" s="135"/>
      <c r="F850" s="137"/>
      <c r="AA850" s="116" t="str">
        <f t="shared" si="144"/>
        <v>00000000000000</v>
      </c>
      <c r="AB850" s="117" t="str">
        <f t="shared" si="146"/>
        <v>000000000000</v>
      </c>
      <c r="AC850" s="118">
        <f t="shared" si="147"/>
        <v>1</v>
      </c>
      <c r="AD850" s="47">
        <v>2</v>
      </c>
      <c r="AE850" s="66">
        <f t="shared" si="150"/>
        <v>0</v>
      </c>
      <c r="AF850" s="66">
        <f t="shared" si="143"/>
        <v>0</v>
      </c>
      <c r="AG850" s="67" t="str">
        <f t="shared" si="151"/>
        <v>0000000000</v>
      </c>
      <c r="AH850" s="67" t="str">
        <f t="shared" si="152"/>
        <v>.00</v>
      </c>
      <c r="AI850" s="67" t="str">
        <f t="shared" si="148"/>
        <v>00</v>
      </c>
      <c r="AJ850" s="67" t="str">
        <f t="shared" si="153"/>
        <v>000000000000</v>
      </c>
      <c r="AK850" s="119"/>
      <c r="AL850" s="120"/>
      <c r="AP850" s="115" t="str">
        <f t="shared" si="149"/>
        <v/>
      </c>
    </row>
    <row r="851" spans="1:42" x14ac:dyDescent="0.2">
      <c r="A851" s="63" t="str">
        <f t="shared" si="145"/>
        <v/>
      </c>
      <c r="B851" s="133"/>
      <c r="C851" s="133"/>
      <c r="D851" s="135"/>
      <c r="E851" s="135"/>
      <c r="F851" s="137"/>
      <c r="AA851" s="116" t="str">
        <f t="shared" si="144"/>
        <v>00000000000000</v>
      </c>
      <c r="AB851" s="117" t="str">
        <f t="shared" si="146"/>
        <v>000000000000</v>
      </c>
      <c r="AC851" s="118">
        <f t="shared" si="147"/>
        <v>1</v>
      </c>
      <c r="AD851" s="47">
        <v>2</v>
      </c>
      <c r="AE851" s="66">
        <f t="shared" si="150"/>
        <v>0</v>
      </c>
      <c r="AF851" s="66">
        <f t="shared" si="143"/>
        <v>0</v>
      </c>
      <c r="AG851" s="67" t="str">
        <f t="shared" si="151"/>
        <v>0000000000</v>
      </c>
      <c r="AH851" s="67" t="str">
        <f t="shared" si="152"/>
        <v>.00</v>
      </c>
      <c r="AI851" s="67" t="str">
        <f t="shared" si="148"/>
        <v>00</v>
      </c>
      <c r="AJ851" s="67" t="str">
        <f t="shared" si="153"/>
        <v>000000000000</v>
      </c>
      <c r="AK851" s="119"/>
      <c r="AL851" s="120"/>
      <c r="AP851" s="115" t="str">
        <f t="shared" si="149"/>
        <v/>
      </c>
    </row>
    <row r="852" spans="1:42" x14ac:dyDescent="0.2">
      <c r="A852" s="63" t="str">
        <f t="shared" si="145"/>
        <v/>
      </c>
      <c r="B852" s="133"/>
      <c r="C852" s="133"/>
      <c r="D852" s="135"/>
      <c r="E852" s="135"/>
      <c r="F852" s="137"/>
      <c r="AA852" s="116" t="str">
        <f t="shared" si="144"/>
        <v>00000000000000</v>
      </c>
      <c r="AB852" s="117" t="str">
        <f t="shared" si="146"/>
        <v>000000000000</v>
      </c>
      <c r="AC852" s="118">
        <f t="shared" si="147"/>
        <v>1</v>
      </c>
      <c r="AD852" s="47">
        <v>2</v>
      </c>
      <c r="AE852" s="66">
        <f t="shared" si="150"/>
        <v>0</v>
      </c>
      <c r="AF852" s="66">
        <f t="shared" si="143"/>
        <v>0</v>
      </c>
      <c r="AG852" s="67" t="str">
        <f t="shared" si="151"/>
        <v>0000000000</v>
      </c>
      <c r="AH852" s="67" t="str">
        <f t="shared" si="152"/>
        <v>.00</v>
      </c>
      <c r="AI852" s="67" t="str">
        <f t="shared" si="148"/>
        <v>00</v>
      </c>
      <c r="AJ852" s="67" t="str">
        <f t="shared" si="153"/>
        <v>000000000000</v>
      </c>
      <c r="AK852" s="119"/>
      <c r="AL852" s="120"/>
      <c r="AP852" s="115" t="str">
        <f t="shared" si="149"/>
        <v/>
      </c>
    </row>
    <row r="853" spans="1:42" x14ac:dyDescent="0.2">
      <c r="A853" s="63" t="str">
        <f t="shared" si="145"/>
        <v/>
      </c>
      <c r="B853" s="133"/>
      <c r="C853" s="133"/>
      <c r="D853" s="135"/>
      <c r="E853" s="135"/>
      <c r="F853" s="137"/>
      <c r="AA853" s="116" t="str">
        <f t="shared" si="144"/>
        <v>00000000000000</v>
      </c>
      <c r="AB853" s="117" t="str">
        <f t="shared" si="146"/>
        <v>000000000000</v>
      </c>
      <c r="AC853" s="118">
        <f t="shared" si="147"/>
        <v>1</v>
      </c>
      <c r="AD853" s="47">
        <v>2</v>
      </c>
      <c r="AE853" s="66">
        <f t="shared" si="150"/>
        <v>0</v>
      </c>
      <c r="AF853" s="66">
        <f t="shared" si="143"/>
        <v>0</v>
      </c>
      <c r="AG853" s="67" t="str">
        <f t="shared" si="151"/>
        <v>0000000000</v>
      </c>
      <c r="AH853" s="67" t="str">
        <f t="shared" si="152"/>
        <v>.00</v>
      </c>
      <c r="AI853" s="67" t="str">
        <f t="shared" si="148"/>
        <v>00</v>
      </c>
      <c r="AJ853" s="67" t="str">
        <f t="shared" si="153"/>
        <v>000000000000</v>
      </c>
      <c r="AK853" s="119"/>
      <c r="AL853" s="120"/>
      <c r="AP853" s="115" t="str">
        <f t="shared" si="149"/>
        <v/>
      </c>
    </row>
    <row r="854" spans="1:42" x14ac:dyDescent="0.2">
      <c r="A854" s="63" t="str">
        <f t="shared" si="145"/>
        <v/>
      </c>
      <c r="B854" s="133"/>
      <c r="C854" s="133"/>
      <c r="D854" s="135"/>
      <c r="E854" s="135"/>
      <c r="F854" s="137"/>
      <c r="AA854" s="116" t="str">
        <f t="shared" si="144"/>
        <v>00000000000000</v>
      </c>
      <c r="AB854" s="117" t="str">
        <f t="shared" si="146"/>
        <v>000000000000</v>
      </c>
      <c r="AC854" s="118">
        <f t="shared" si="147"/>
        <v>1</v>
      </c>
      <c r="AD854" s="47">
        <v>2</v>
      </c>
      <c r="AE854" s="66">
        <f t="shared" si="150"/>
        <v>0</v>
      </c>
      <c r="AF854" s="66">
        <f t="shared" si="143"/>
        <v>0</v>
      </c>
      <c r="AG854" s="67" t="str">
        <f t="shared" si="151"/>
        <v>0000000000</v>
      </c>
      <c r="AH854" s="67" t="str">
        <f t="shared" si="152"/>
        <v>.00</v>
      </c>
      <c r="AI854" s="67" t="str">
        <f t="shared" si="148"/>
        <v>00</v>
      </c>
      <c r="AJ854" s="67" t="str">
        <f t="shared" si="153"/>
        <v>000000000000</v>
      </c>
      <c r="AK854" s="119"/>
      <c r="AL854" s="120"/>
      <c r="AP854" s="115" t="str">
        <f t="shared" si="149"/>
        <v/>
      </c>
    </row>
    <row r="855" spans="1:42" x14ac:dyDescent="0.2">
      <c r="A855" s="63" t="str">
        <f t="shared" si="145"/>
        <v/>
      </c>
      <c r="B855" s="133"/>
      <c r="C855" s="133"/>
      <c r="D855" s="135"/>
      <c r="E855" s="135"/>
      <c r="F855" s="137"/>
      <c r="AA855" s="116" t="str">
        <f t="shared" si="144"/>
        <v>00000000000000</v>
      </c>
      <c r="AB855" s="117" t="str">
        <f t="shared" si="146"/>
        <v>000000000000</v>
      </c>
      <c r="AC855" s="118">
        <f t="shared" si="147"/>
        <v>1</v>
      </c>
      <c r="AD855" s="47">
        <v>2</v>
      </c>
      <c r="AE855" s="66">
        <f t="shared" si="150"/>
        <v>0</v>
      </c>
      <c r="AF855" s="66">
        <f t="shared" si="143"/>
        <v>0</v>
      </c>
      <c r="AG855" s="67" t="str">
        <f t="shared" si="151"/>
        <v>0000000000</v>
      </c>
      <c r="AH855" s="67" t="str">
        <f t="shared" si="152"/>
        <v>.00</v>
      </c>
      <c r="AI855" s="67" t="str">
        <f t="shared" si="148"/>
        <v>00</v>
      </c>
      <c r="AJ855" s="67" t="str">
        <f t="shared" si="153"/>
        <v>000000000000</v>
      </c>
      <c r="AK855" s="119"/>
      <c r="AL855" s="120"/>
      <c r="AP855" s="115" t="str">
        <f t="shared" si="149"/>
        <v/>
      </c>
    </row>
    <row r="856" spans="1:42" x14ac:dyDescent="0.2">
      <c r="A856" s="63" t="str">
        <f t="shared" si="145"/>
        <v/>
      </c>
      <c r="B856" s="133"/>
      <c r="C856" s="133"/>
      <c r="D856" s="135"/>
      <c r="E856" s="135"/>
      <c r="F856" s="137"/>
      <c r="AA856" s="116" t="str">
        <f t="shared" si="144"/>
        <v>00000000000000</v>
      </c>
      <c r="AB856" s="117" t="str">
        <f t="shared" si="146"/>
        <v>000000000000</v>
      </c>
      <c r="AC856" s="118">
        <f t="shared" si="147"/>
        <v>1</v>
      </c>
      <c r="AD856" s="47">
        <v>2</v>
      </c>
      <c r="AE856" s="66">
        <f t="shared" si="150"/>
        <v>0</v>
      </c>
      <c r="AF856" s="66">
        <f t="shared" si="143"/>
        <v>0</v>
      </c>
      <c r="AG856" s="67" t="str">
        <f t="shared" si="151"/>
        <v>0000000000</v>
      </c>
      <c r="AH856" s="67" t="str">
        <f t="shared" si="152"/>
        <v>.00</v>
      </c>
      <c r="AI856" s="67" t="str">
        <f t="shared" si="148"/>
        <v>00</v>
      </c>
      <c r="AJ856" s="67" t="str">
        <f t="shared" si="153"/>
        <v>000000000000</v>
      </c>
      <c r="AK856" s="119"/>
      <c r="AL856" s="120"/>
      <c r="AP856" s="115" t="str">
        <f t="shared" si="149"/>
        <v/>
      </c>
    </row>
    <row r="857" spans="1:42" x14ac:dyDescent="0.2">
      <c r="A857" s="63" t="str">
        <f t="shared" si="145"/>
        <v/>
      </c>
      <c r="B857" s="133"/>
      <c r="C857" s="133"/>
      <c r="D857" s="135"/>
      <c r="E857" s="135"/>
      <c r="F857" s="137"/>
      <c r="AA857" s="116" t="str">
        <f t="shared" si="144"/>
        <v>00000000000000</v>
      </c>
      <c r="AB857" s="117" t="str">
        <f t="shared" si="146"/>
        <v>000000000000</v>
      </c>
      <c r="AC857" s="118">
        <f t="shared" si="147"/>
        <v>1</v>
      </c>
      <c r="AD857" s="47">
        <v>2</v>
      </c>
      <c r="AE857" s="66">
        <f t="shared" si="150"/>
        <v>0</v>
      </c>
      <c r="AF857" s="66">
        <f t="shared" si="143"/>
        <v>0</v>
      </c>
      <c r="AG857" s="67" t="str">
        <f t="shared" si="151"/>
        <v>0000000000</v>
      </c>
      <c r="AH857" s="67" t="str">
        <f t="shared" si="152"/>
        <v>.00</v>
      </c>
      <c r="AI857" s="67" t="str">
        <f t="shared" si="148"/>
        <v>00</v>
      </c>
      <c r="AJ857" s="67" t="str">
        <f t="shared" si="153"/>
        <v>000000000000</v>
      </c>
      <c r="AK857" s="119"/>
      <c r="AL857" s="120"/>
      <c r="AP857" s="115" t="str">
        <f t="shared" si="149"/>
        <v/>
      </c>
    </row>
    <row r="858" spans="1:42" x14ac:dyDescent="0.2">
      <c r="A858" s="63" t="str">
        <f t="shared" si="145"/>
        <v/>
      </c>
      <c r="B858" s="133"/>
      <c r="C858" s="133"/>
      <c r="D858" s="135"/>
      <c r="E858" s="135"/>
      <c r="F858" s="137"/>
      <c r="AA858" s="116" t="str">
        <f t="shared" si="144"/>
        <v>00000000000000</v>
      </c>
      <c r="AB858" s="117" t="str">
        <f t="shared" si="146"/>
        <v>000000000000</v>
      </c>
      <c r="AC858" s="118">
        <f t="shared" si="147"/>
        <v>1</v>
      </c>
      <c r="AD858" s="47">
        <v>2</v>
      </c>
      <c r="AE858" s="66">
        <f t="shared" si="150"/>
        <v>0</v>
      </c>
      <c r="AF858" s="66">
        <f t="shared" si="143"/>
        <v>0</v>
      </c>
      <c r="AG858" s="67" t="str">
        <f t="shared" si="151"/>
        <v>0000000000</v>
      </c>
      <c r="AH858" s="67" t="str">
        <f t="shared" si="152"/>
        <v>.00</v>
      </c>
      <c r="AI858" s="67" t="str">
        <f t="shared" si="148"/>
        <v>00</v>
      </c>
      <c r="AJ858" s="67" t="str">
        <f t="shared" si="153"/>
        <v>000000000000</v>
      </c>
      <c r="AK858" s="119"/>
      <c r="AL858" s="120"/>
      <c r="AP858" s="115" t="str">
        <f t="shared" si="149"/>
        <v/>
      </c>
    </row>
    <row r="859" spans="1:42" x14ac:dyDescent="0.2">
      <c r="A859" s="63" t="str">
        <f t="shared" si="145"/>
        <v/>
      </c>
      <c r="B859" s="133"/>
      <c r="C859" s="133"/>
      <c r="D859" s="135"/>
      <c r="E859" s="135"/>
      <c r="F859" s="137"/>
      <c r="AA859" s="116" t="str">
        <f t="shared" si="144"/>
        <v>00000000000000</v>
      </c>
      <c r="AB859" s="117" t="str">
        <f t="shared" si="146"/>
        <v>000000000000</v>
      </c>
      <c r="AC859" s="118">
        <f t="shared" si="147"/>
        <v>1</v>
      </c>
      <c r="AD859" s="47">
        <v>2</v>
      </c>
      <c r="AE859" s="66">
        <f t="shared" si="150"/>
        <v>0</v>
      </c>
      <c r="AF859" s="66">
        <f t="shared" si="143"/>
        <v>0</v>
      </c>
      <c r="AG859" s="67" t="str">
        <f t="shared" si="151"/>
        <v>0000000000</v>
      </c>
      <c r="AH859" s="67" t="str">
        <f t="shared" si="152"/>
        <v>.00</v>
      </c>
      <c r="AI859" s="67" t="str">
        <f t="shared" si="148"/>
        <v>00</v>
      </c>
      <c r="AJ859" s="67" t="str">
        <f t="shared" si="153"/>
        <v>000000000000</v>
      </c>
      <c r="AK859" s="119"/>
      <c r="AL859" s="120"/>
      <c r="AP859" s="115" t="str">
        <f t="shared" si="149"/>
        <v/>
      </c>
    </row>
    <row r="860" spans="1:42" x14ac:dyDescent="0.2">
      <c r="A860" s="63" t="str">
        <f t="shared" si="145"/>
        <v/>
      </c>
      <c r="B860" s="133"/>
      <c r="C860" s="133"/>
      <c r="D860" s="135"/>
      <c r="E860" s="135"/>
      <c r="F860" s="137"/>
      <c r="AA860" s="116" t="str">
        <f t="shared" si="144"/>
        <v>00000000000000</v>
      </c>
      <c r="AB860" s="117" t="str">
        <f t="shared" si="146"/>
        <v>000000000000</v>
      </c>
      <c r="AC860" s="118">
        <f t="shared" si="147"/>
        <v>1</v>
      </c>
      <c r="AD860" s="47">
        <v>2</v>
      </c>
      <c r="AE860" s="66">
        <f t="shared" si="150"/>
        <v>0</v>
      </c>
      <c r="AF860" s="66">
        <f t="shared" si="143"/>
        <v>0</v>
      </c>
      <c r="AG860" s="67" t="str">
        <f t="shared" si="151"/>
        <v>0000000000</v>
      </c>
      <c r="AH860" s="67" t="str">
        <f t="shared" si="152"/>
        <v>.00</v>
      </c>
      <c r="AI860" s="67" t="str">
        <f t="shared" si="148"/>
        <v>00</v>
      </c>
      <c r="AJ860" s="67" t="str">
        <f t="shared" si="153"/>
        <v>000000000000</v>
      </c>
      <c r="AK860" s="119"/>
      <c r="AL860" s="120"/>
      <c r="AP860" s="115" t="str">
        <f t="shared" si="149"/>
        <v/>
      </c>
    </row>
    <row r="861" spans="1:42" x14ac:dyDescent="0.2">
      <c r="A861" s="63" t="str">
        <f t="shared" si="145"/>
        <v/>
      </c>
      <c r="B861" s="133"/>
      <c r="C861" s="133"/>
      <c r="D861" s="135"/>
      <c r="E861" s="135"/>
      <c r="F861" s="137"/>
      <c r="AA861" s="116" t="str">
        <f t="shared" si="144"/>
        <v>00000000000000</v>
      </c>
      <c r="AB861" s="117" t="str">
        <f t="shared" si="146"/>
        <v>000000000000</v>
      </c>
      <c r="AC861" s="118">
        <f t="shared" si="147"/>
        <v>1</v>
      </c>
      <c r="AD861" s="47">
        <v>2</v>
      </c>
      <c r="AE861" s="66">
        <f t="shared" si="150"/>
        <v>0</v>
      </c>
      <c r="AF861" s="66">
        <f t="shared" si="143"/>
        <v>0</v>
      </c>
      <c r="AG861" s="67" t="str">
        <f t="shared" si="151"/>
        <v>0000000000</v>
      </c>
      <c r="AH861" s="67" t="str">
        <f t="shared" si="152"/>
        <v>.00</v>
      </c>
      <c r="AI861" s="67" t="str">
        <f t="shared" si="148"/>
        <v>00</v>
      </c>
      <c r="AJ861" s="67" t="str">
        <f t="shared" si="153"/>
        <v>000000000000</v>
      </c>
      <c r="AK861" s="119"/>
      <c r="AL861" s="120"/>
      <c r="AP861" s="115" t="str">
        <f t="shared" si="149"/>
        <v/>
      </c>
    </row>
    <row r="862" spans="1:42" x14ac:dyDescent="0.2">
      <c r="A862" s="63" t="str">
        <f t="shared" si="145"/>
        <v/>
      </c>
      <c r="B862" s="133"/>
      <c r="C862" s="133"/>
      <c r="D862" s="135"/>
      <c r="E862" s="135"/>
      <c r="F862" s="137"/>
      <c r="AA862" s="116" t="str">
        <f t="shared" si="144"/>
        <v>00000000000000</v>
      </c>
      <c r="AB862" s="117" t="str">
        <f t="shared" si="146"/>
        <v>000000000000</v>
      </c>
      <c r="AC862" s="118">
        <f t="shared" si="147"/>
        <v>1</v>
      </c>
      <c r="AD862" s="47">
        <v>2</v>
      </c>
      <c r="AE862" s="66">
        <f t="shared" si="150"/>
        <v>0</v>
      </c>
      <c r="AF862" s="66">
        <f t="shared" si="143"/>
        <v>0</v>
      </c>
      <c r="AG862" s="67" t="str">
        <f t="shared" si="151"/>
        <v>0000000000</v>
      </c>
      <c r="AH862" s="67" t="str">
        <f t="shared" si="152"/>
        <v>.00</v>
      </c>
      <c r="AI862" s="67" t="str">
        <f t="shared" si="148"/>
        <v>00</v>
      </c>
      <c r="AJ862" s="67" t="str">
        <f t="shared" si="153"/>
        <v>000000000000</v>
      </c>
      <c r="AK862" s="119"/>
      <c r="AL862" s="120"/>
      <c r="AP862" s="115" t="str">
        <f t="shared" si="149"/>
        <v/>
      </c>
    </row>
    <row r="863" spans="1:42" x14ac:dyDescent="0.2">
      <c r="A863" s="63" t="str">
        <f t="shared" si="145"/>
        <v/>
      </c>
      <c r="B863" s="133"/>
      <c r="C863" s="133"/>
      <c r="D863" s="135"/>
      <c r="E863" s="135"/>
      <c r="F863" s="137"/>
      <c r="AA863" s="116" t="str">
        <f t="shared" si="144"/>
        <v>00000000000000</v>
      </c>
      <c r="AB863" s="117" t="str">
        <f t="shared" si="146"/>
        <v>000000000000</v>
      </c>
      <c r="AC863" s="118">
        <f t="shared" si="147"/>
        <v>1</v>
      </c>
      <c r="AD863" s="47">
        <v>2</v>
      </c>
      <c r="AE863" s="66">
        <f t="shared" si="150"/>
        <v>0</v>
      </c>
      <c r="AF863" s="66">
        <f t="shared" si="143"/>
        <v>0</v>
      </c>
      <c r="AG863" s="67" t="str">
        <f t="shared" si="151"/>
        <v>0000000000</v>
      </c>
      <c r="AH863" s="67" t="str">
        <f t="shared" si="152"/>
        <v>.00</v>
      </c>
      <c r="AI863" s="67" t="str">
        <f t="shared" si="148"/>
        <v>00</v>
      </c>
      <c r="AJ863" s="67" t="str">
        <f t="shared" si="153"/>
        <v>000000000000</v>
      </c>
      <c r="AK863" s="119"/>
      <c r="AL863" s="120"/>
      <c r="AP863" s="115" t="str">
        <f t="shared" si="149"/>
        <v/>
      </c>
    </row>
    <row r="864" spans="1:42" x14ac:dyDescent="0.2">
      <c r="A864" s="63" t="str">
        <f t="shared" si="145"/>
        <v/>
      </c>
      <c r="B864" s="133"/>
      <c r="C864" s="133"/>
      <c r="D864" s="135"/>
      <c r="E864" s="135"/>
      <c r="F864" s="137"/>
      <c r="AA864" s="116" t="str">
        <f t="shared" si="144"/>
        <v>00000000000000</v>
      </c>
      <c r="AB864" s="117" t="str">
        <f t="shared" si="146"/>
        <v>000000000000</v>
      </c>
      <c r="AC864" s="118">
        <f t="shared" si="147"/>
        <v>1</v>
      </c>
      <c r="AD864" s="47">
        <v>2</v>
      </c>
      <c r="AE864" s="66">
        <f t="shared" si="150"/>
        <v>0</v>
      </c>
      <c r="AF864" s="66">
        <f t="shared" si="143"/>
        <v>0</v>
      </c>
      <c r="AG864" s="67" t="str">
        <f t="shared" si="151"/>
        <v>0000000000</v>
      </c>
      <c r="AH864" s="67" t="str">
        <f t="shared" si="152"/>
        <v>.00</v>
      </c>
      <c r="AI864" s="67" t="str">
        <f t="shared" si="148"/>
        <v>00</v>
      </c>
      <c r="AJ864" s="67" t="str">
        <f t="shared" si="153"/>
        <v>000000000000</v>
      </c>
      <c r="AK864" s="119"/>
      <c r="AL864" s="120"/>
      <c r="AP864" s="115" t="str">
        <f t="shared" si="149"/>
        <v/>
      </c>
    </row>
    <row r="865" spans="1:42" x14ac:dyDescent="0.2">
      <c r="A865" s="63" t="str">
        <f t="shared" si="145"/>
        <v/>
      </c>
      <c r="B865" s="133"/>
      <c r="C865" s="133"/>
      <c r="D865" s="135"/>
      <c r="E865" s="135"/>
      <c r="F865" s="137"/>
      <c r="AA865" s="116" t="str">
        <f t="shared" si="144"/>
        <v>00000000000000</v>
      </c>
      <c r="AB865" s="117" t="str">
        <f t="shared" si="146"/>
        <v>000000000000</v>
      </c>
      <c r="AC865" s="118">
        <f t="shared" si="147"/>
        <v>1</v>
      </c>
      <c r="AD865" s="47">
        <v>2</v>
      </c>
      <c r="AE865" s="66">
        <f t="shared" si="150"/>
        <v>0</v>
      </c>
      <c r="AF865" s="66">
        <f t="shared" si="143"/>
        <v>0</v>
      </c>
      <c r="AG865" s="67" t="str">
        <f t="shared" si="151"/>
        <v>0000000000</v>
      </c>
      <c r="AH865" s="67" t="str">
        <f t="shared" si="152"/>
        <v>.00</v>
      </c>
      <c r="AI865" s="67" t="str">
        <f t="shared" si="148"/>
        <v>00</v>
      </c>
      <c r="AJ865" s="67" t="str">
        <f t="shared" si="153"/>
        <v>000000000000</v>
      </c>
      <c r="AK865" s="119"/>
      <c r="AL865" s="120"/>
      <c r="AP865" s="115" t="str">
        <f t="shared" si="149"/>
        <v/>
      </c>
    </row>
    <row r="866" spans="1:42" x14ac:dyDescent="0.2">
      <c r="A866" s="63" t="str">
        <f t="shared" si="145"/>
        <v/>
      </c>
      <c r="B866" s="133"/>
      <c r="C866" s="133"/>
      <c r="D866" s="135"/>
      <c r="E866" s="135"/>
      <c r="F866" s="137"/>
      <c r="AA866" s="116" t="str">
        <f t="shared" si="144"/>
        <v>00000000000000</v>
      </c>
      <c r="AB866" s="117" t="str">
        <f t="shared" si="146"/>
        <v>000000000000</v>
      </c>
      <c r="AC866" s="118">
        <f t="shared" si="147"/>
        <v>1</v>
      </c>
      <c r="AD866" s="47">
        <v>2</v>
      </c>
      <c r="AE866" s="66">
        <f t="shared" si="150"/>
        <v>0</v>
      </c>
      <c r="AF866" s="66">
        <f t="shared" si="143"/>
        <v>0</v>
      </c>
      <c r="AG866" s="67" t="str">
        <f t="shared" si="151"/>
        <v>0000000000</v>
      </c>
      <c r="AH866" s="67" t="str">
        <f t="shared" si="152"/>
        <v>.00</v>
      </c>
      <c r="AI866" s="67" t="str">
        <f t="shared" si="148"/>
        <v>00</v>
      </c>
      <c r="AJ866" s="67" t="str">
        <f t="shared" si="153"/>
        <v>000000000000</v>
      </c>
      <c r="AK866" s="119"/>
      <c r="AL866" s="120"/>
      <c r="AP866" s="115" t="str">
        <f t="shared" si="149"/>
        <v/>
      </c>
    </row>
    <row r="867" spans="1:42" x14ac:dyDescent="0.2">
      <c r="A867" s="63" t="str">
        <f t="shared" si="145"/>
        <v/>
      </c>
      <c r="B867" s="133"/>
      <c r="C867" s="133"/>
      <c r="D867" s="135"/>
      <c r="E867" s="135"/>
      <c r="F867" s="137"/>
      <c r="AA867" s="116" t="str">
        <f t="shared" si="144"/>
        <v>00000000000000</v>
      </c>
      <c r="AB867" s="117" t="str">
        <f t="shared" si="146"/>
        <v>000000000000</v>
      </c>
      <c r="AC867" s="118">
        <f t="shared" si="147"/>
        <v>1</v>
      </c>
      <c r="AD867" s="47">
        <v>2</v>
      </c>
      <c r="AE867" s="66">
        <f t="shared" si="150"/>
        <v>0</v>
      </c>
      <c r="AF867" s="66">
        <f t="shared" si="143"/>
        <v>0</v>
      </c>
      <c r="AG867" s="67" t="str">
        <f t="shared" si="151"/>
        <v>0000000000</v>
      </c>
      <c r="AH867" s="67" t="str">
        <f t="shared" si="152"/>
        <v>.00</v>
      </c>
      <c r="AI867" s="67" t="str">
        <f t="shared" si="148"/>
        <v>00</v>
      </c>
      <c r="AJ867" s="67" t="str">
        <f t="shared" si="153"/>
        <v>000000000000</v>
      </c>
      <c r="AK867" s="119"/>
      <c r="AL867" s="120"/>
      <c r="AP867" s="115" t="str">
        <f t="shared" si="149"/>
        <v/>
      </c>
    </row>
    <row r="868" spans="1:42" x14ac:dyDescent="0.2">
      <c r="A868" s="63" t="str">
        <f t="shared" si="145"/>
        <v/>
      </c>
      <c r="B868" s="133"/>
      <c r="C868" s="133"/>
      <c r="D868" s="135"/>
      <c r="E868" s="135"/>
      <c r="F868" s="137"/>
      <c r="AA868" s="116" t="str">
        <f t="shared" si="144"/>
        <v>00000000000000</v>
      </c>
      <c r="AB868" s="117" t="str">
        <f t="shared" si="146"/>
        <v>000000000000</v>
      </c>
      <c r="AC868" s="118">
        <f t="shared" si="147"/>
        <v>1</v>
      </c>
      <c r="AD868" s="47">
        <v>2</v>
      </c>
      <c r="AE868" s="66">
        <f t="shared" si="150"/>
        <v>0</v>
      </c>
      <c r="AF868" s="66">
        <f t="shared" si="143"/>
        <v>0</v>
      </c>
      <c r="AG868" s="67" t="str">
        <f t="shared" si="151"/>
        <v>0000000000</v>
      </c>
      <c r="AH868" s="67" t="str">
        <f t="shared" si="152"/>
        <v>.00</v>
      </c>
      <c r="AI868" s="67" t="str">
        <f t="shared" si="148"/>
        <v>00</v>
      </c>
      <c r="AJ868" s="67" t="str">
        <f t="shared" si="153"/>
        <v>000000000000</v>
      </c>
      <c r="AK868" s="119"/>
      <c r="AL868" s="120"/>
      <c r="AP868" s="115" t="str">
        <f t="shared" si="149"/>
        <v/>
      </c>
    </row>
    <row r="869" spans="1:42" x14ac:dyDescent="0.2">
      <c r="A869" s="63" t="str">
        <f t="shared" si="145"/>
        <v/>
      </c>
      <c r="B869" s="133"/>
      <c r="C869" s="133"/>
      <c r="D869" s="135"/>
      <c r="E869" s="135"/>
      <c r="F869" s="137"/>
      <c r="AA869" s="116" t="str">
        <f t="shared" si="144"/>
        <v>00000000000000</v>
      </c>
      <c r="AB869" s="117" t="str">
        <f t="shared" si="146"/>
        <v>000000000000</v>
      </c>
      <c r="AC869" s="118">
        <f t="shared" si="147"/>
        <v>1</v>
      </c>
      <c r="AD869" s="47">
        <v>2</v>
      </c>
      <c r="AE869" s="66">
        <f t="shared" si="150"/>
        <v>0</v>
      </c>
      <c r="AF869" s="66">
        <f t="shared" si="143"/>
        <v>0</v>
      </c>
      <c r="AG869" s="67" t="str">
        <f t="shared" si="151"/>
        <v>0000000000</v>
      </c>
      <c r="AH869" s="67" t="str">
        <f t="shared" si="152"/>
        <v>.00</v>
      </c>
      <c r="AI869" s="67" t="str">
        <f t="shared" si="148"/>
        <v>00</v>
      </c>
      <c r="AJ869" s="67" t="str">
        <f t="shared" si="153"/>
        <v>000000000000</v>
      </c>
      <c r="AK869" s="119"/>
      <c r="AL869" s="120"/>
      <c r="AP869" s="115" t="str">
        <f t="shared" si="149"/>
        <v/>
      </c>
    </row>
    <row r="870" spans="1:42" x14ac:dyDescent="0.2">
      <c r="A870" s="63" t="str">
        <f t="shared" si="145"/>
        <v/>
      </c>
      <c r="B870" s="133"/>
      <c r="C870" s="133"/>
      <c r="D870" s="135"/>
      <c r="E870" s="135"/>
      <c r="F870" s="137"/>
      <c r="AA870" s="116" t="str">
        <f t="shared" si="144"/>
        <v>00000000000000</v>
      </c>
      <c r="AB870" s="117" t="str">
        <f t="shared" si="146"/>
        <v>000000000000</v>
      </c>
      <c r="AC870" s="118">
        <f t="shared" si="147"/>
        <v>1</v>
      </c>
      <c r="AD870" s="47">
        <v>2</v>
      </c>
      <c r="AE870" s="66">
        <f t="shared" si="150"/>
        <v>0</v>
      </c>
      <c r="AF870" s="66">
        <f t="shared" si="143"/>
        <v>0</v>
      </c>
      <c r="AG870" s="67" t="str">
        <f t="shared" si="151"/>
        <v>0000000000</v>
      </c>
      <c r="AH870" s="67" t="str">
        <f t="shared" si="152"/>
        <v>.00</v>
      </c>
      <c r="AI870" s="67" t="str">
        <f t="shared" si="148"/>
        <v>00</v>
      </c>
      <c r="AJ870" s="67" t="str">
        <f t="shared" si="153"/>
        <v>000000000000</v>
      </c>
      <c r="AK870" s="119"/>
      <c r="AL870" s="120"/>
      <c r="AP870" s="115" t="str">
        <f t="shared" si="149"/>
        <v/>
      </c>
    </row>
    <row r="871" spans="1:42" x14ac:dyDescent="0.2">
      <c r="A871" s="63" t="str">
        <f t="shared" si="145"/>
        <v/>
      </c>
      <c r="B871" s="133"/>
      <c r="C871" s="133"/>
      <c r="D871" s="135"/>
      <c r="E871" s="135"/>
      <c r="F871" s="137"/>
      <c r="AA871" s="116" t="str">
        <f t="shared" si="144"/>
        <v>00000000000000</v>
      </c>
      <c r="AB871" s="117" t="str">
        <f t="shared" si="146"/>
        <v>000000000000</v>
      </c>
      <c r="AC871" s="118">
        <f t="shared" si="147"/>
        <v>1</v>
      </c>
      <c r="AD871" s="47">
        <v>2</v>
      </c>
      <c r="AE871" s="66">
        <f t="shared" si="150"/>
        <v>0</v>
      </c>
      <c r="AF871" s="66">
        <f t="shared" si="143"/>
        <v>0</v>
      </c>
      <c r="AG871" s="67" t="str">
        <f t="shared" si="151"/>
        <v>0000000000</v>
      </c>
      <c r="AH871" s="67" t="str">
        <f t="shared" si="152"/>
        <v>.00</v>
      </c>
      <c r="AI871" s="67" t="str">
        <f t="shared" si="148"/>
        <v>00</v>
      </c>
      <c r="AJ871" s="67" t="str">
        <f t="shared" si="153"/>
        <v>000000000000</v>
      </c>
      <c r="AK871" s="119"/>
      <c r="AL871" s="120"/>
      <c r="AP871" s="115" t="str">
        <f t="shared" si="149"/>
        <v/>
      </c>
    </row>
    <row r="872" spans="1:42" x14ac:dyDescent="0.2">
      <c r="A872" s="63" t="str">
        <f t="shared" si="145"/>
        <v/>
      </c>
      <c r="B872" s="133"/>
      <c r="C872" s="133"/>
      <c r="D872" s="135"/>
      <c r="E872" s="135"/>
      <c r="F872" s="137"/>
      <c r="AA872" s="116" t="str">
        <f t="shared" si="144"/>
        <v>00000000000000</v>
      </c>
      <c r="AB872" s="117" t="str">
        <f t="shared" si="146"/>
        <v>000000000000</v>
      </c>
      <c r="AC872" s="118">
        <f t="shared" si="147"/>
        <v>1</v>
      </c>
      <c r="AD872" s="47">
        <v>2</v>
      </c>
      <c r="AE872" s="66">
        <f t="shared" si="150"/>
        <v>0</v>
      </c>
      <c r="AF872" s="66">
        <f t="shared" si="143"/>
        <v>0</v>
      </c>
      <c r="AG872" s="67" t="str">
        <f t="shared" si="151"/>
        <v>0000000000</v>
      </c>
      <c r="AH872" s="67" t="str">
        <f t="shared" si="152"/>
        <v>.00</v>
      </c>
      <c r="AI872" s="67" t="str">
        <f t="shared" si="148"/>
        <v>00</v>
      </c>
      <c r="AJ872" s="67" t="str">
        <f t="shared" si="153"/>
        <v>000000000000</v>
      </c>
      <c r="AK872" s="119"/>
      <c r="AL872" s="120"/>
      <c r="AP872" s="115" t="str">
        <f t="shared" si="149"/>
        <v/>
      </c>
    </row>
    <row r="873" spans="1:42" x14ac:dyDescent="0.2">
      <c r="A873" s="63" t="str">
        <f t="shared" si="145"/>
        <v/>
      </c>
      <c r="B873" s="133"/>
      <c r="C873" s="133"/>
      <c r="D873" s="135"/>
      <c r="E873" s="135"/>
      <c r="F873" s="137"/>
      <c r="AA873" s="116" t="str">
        <f t="shared" si="144"/>
        <v>00000000000000</v>
      </c>
      <c r="AB873" s="117" t="str">
        <f t="shared" si="146"/>
        <v>000000000000</v>
      </c>
      <c r="AC873" s="118">
        <f t="shared" si="147"/>
        <v>1</v>
      </c>
      <c r="AD873" s="47">
        <v>2</v>
      </c>
      <c r="AE873" s="66">
        <f t="shared" si="150"/>
        <v>0</v>
      </c>
      <c r="AF873" s="66">
        <f t="shared" si="143"/>
        <v>0</v>
      </c>
      <c r="AG873" s="67" t="str">
        <f t="shared" si="151"/>
        <v>0000000000</v>
      </c>
      <c r="AH873" s="67" t="str">
        <f t="shared" si="152"/>
        <v>.00</v>
      </c>
      <c r="AI873" s="67" t="str">
        <f t="shared" si="148"/>
        <v>00</v>
      </c>
      <c r="AJ873" s="67" t="str">
        <f t="shared" si="153"/>
        <v>000000000000</v>
      </c>
      <c r="AK873" s="119"/>
      <c r="AL873" s="120"/>
      <c r="AP873" s="115" t="str">
        <f t="shared" si="149"/>
        <v/>
      </c>
    </row>
    <row r="874" spans="1:42" x14ac:dyDescent="0.2">
      <c r="A874" s="63" t="str">
        <f t="shared" si="145"/>
        <v/>
      </c>
      <c r="B874" s="133"/>
      <c r="C874" s="133"/>
      <c r="D874" s="135"/>
      <c r="E874" s="135"/>
      <c r="F874" s="137"/>
      <c r="AA874" s="116" t="str">
        <f t="shared" si="144"/>
        <v>00000000000000</v>
      </c>
      <c r="AB874" s="117" t="str">
        <f t="shared" si="146"/>
        <v>000000000000</v>
      </c>
      <c r="AC874" s="118">
        <f t="shared" si="147"/>
        <v>1</v>
      </c>
      <c r="AD874" s="47">
        <v>2</v>
      </c>
      <c r="AE874" s="66">
        <f t="shared" si="150"/>
        <v>0</v>
      </c>
      <c r="AF874" s="66">
        <f t="shared" si="143"/>
        <v>0</v>
      </c>
      <c r="AG874" s="67" t="str">
        <f t="shared" si="151"/>
        <v>0000000000</v>
      </c>
      <c r="AH874" s="67" t="str">
        <f t="shared" si="152"/>
        <v>.00</v>
      </c>
      <c r="AI874" s="67" t="str">
        <f t="shared" si="148"/>
        <v>00</v>
      </c>
      <c r="AJ874" s="67" t="str">
        <f t="shared" si="153"/>
        <v>000000000000</v>
      </c>
      <c r="AK874" s="119"/>
      <c r="AL874" s="120"/>
      <c r="AP874" s="115" t="str">
        <f t="shared" si="149"/>
        <v/>
      </c>
    </row>
    <row r="875" spans="1:42" x14ac:dyDescent="0.2">
      <c r="A875" s="63" t="str">
        <f t="shared" si="145"/>
        <v/>
      </c>
      <c r="B875" s="133"/>
      <c r="C875" s="133"/>
      <c r="D875" s="135"/>
      <c r="E875" s="135"/>
      <c r="F875" s="137"/>
      <c r="AA875" s="116" t="str">
        <f t="shared" si="144"/>
        <v>00000000000000</v>
      </c>
      <c r="AB875" s="117" t="str">
        <f t="shared" si="146"/>
        <v>000000000000</v>
      </c>
      <c r="AC875" s="118">
        <f t="shared" si="147"/>
        <v>1</v>
      </c>
      <c r="AD875" s="47">
        <v>2</v>
      </c>
      <c r="AE875" s="66">
        <f t="shared" si="150"/>
        <v>0</v>
      </c>
      <c r="AF875" s="66">
        <f t="shared" si="143"/>
        <v>0</v>
      </c>
      <c r="AG875" s="67" t="str">
        <f t="shared" si="151"/>
        <v>0000000000</v>
      </c>
      <c r="AH875" s="67" t="str">
        <f t="shared" si="152"/>
        <v>.00</v>
      </c>
      <c r="AI875" s="67" t="str">
        <f t="shared" si="148"/>
        <v>00</v>
      </c>
      <c r="AJ875" s="67" t="str">
        <f t="shared" si="153"/>
        <v>000000000000</v>
      </c>
      <c r="AK875" s="119"/>
      <c r="AL875" s="120"/>
      <c r="AP875" s="115" t="str">
        <f t="shared" si="149"/>
        <v/>
      </c>
    </row>
    <row r="876" spans="1:42" x14ac:dyDescent="0.2">
      <c r="A876" s="63" t="str">
        <f t="shared" si="145"/>
        <v/>
      </c>
      <c r="B876" s="133"/>
      <c r="C876" s="133"/>
      <c r="D876" s="135"/>
      <c r="E876" s="135"/>
      <c r="F876" s="137"/>
      <c r="AA876" s="116" t="str">
        <f t="shared" si="144"/>
        <v>00000000000000</v>
      </c>
      <c r="AB876" s="117" t="str">
        <f t="shared" si="146"/>
        <v>000000000000</v>
      </c>
      <c r="AC876" s="118">
        <f t="shared" si="147"/>
        <v>1</v>
      </c>
      <c r="AD876" s="47">
        <v>2</v>
      </c>
      <c r="AE876" s="66">
        <f t="shared" si="150"/>
        <v>0</v>
      </c>
      <c r="AF876" s="66">
        <f t="shared" si="143"/>
        <v>0</v>
      </c>
      <c r="AG876" s="67" t="str">
        <f t="shared" si="151"/>
        <v>0000000000</v>
      </c>
      <c r="AH876" s="67" t="str">
        <f t="shared" si="152"/>
        <v>.00</v>
      </c>
      <c r="AI876" s="67" t="str">
        <f t="shared" si="148"/>
        <v>00</v>
      </c>
      <c r="AJ876" s="67" t="str">
        <f t="shared" si="153"/>
        <v>000000000000</v>
      </c>
      <c r="AK876" s="119"/>
      <c r="AL876" s="120"/>
      <c r="AP876" s="115" t="str">
        <f t="shared" si="149"/>
        <v/>
      </c>
    </row>
    <row r="877" spans="1:42" x14ac:dyDescent="0.2">
      <c r="A877" s="63" t="str">
        <f t="shared" si="145"/>
        <v/>
      </c>
      <c r="B877" s="133"/>
      <c r="C877" s="133"/>
      <c r="D877" s="135"/>
      <c r="E877" s="135"/>
      <c r="F877" s="137"/>
      <c r="AA877" s="116" t="str">
        <f t="shared" si="144"/>
        <v>00000000000000</v>
      </c>
      <c r="AB877" s="117" t="str">
        <f t="shared" si="146"/>
        <v>000000000000</v>
      </c>
      <c r="AC877" s="118">
        <f t="shared" si="147"/>
        <v>1</v>
      </c>
      <c r="AD877" s="47">
        <v>2</v>
      </c>
      <c r="AE877" s="66">
        <f t="shared" si="150"/>
        <v>0</v>
      </c>
      <c r="AF877" s="66">
        <f t="shared" si="143"/>
        <v>0</v>
      </c>
      <c r="AG877" s="67" t="str">
        <f t="shared" si="151"/>
        <v>0000000000</v>
      </c>
      <c r="AH877" s="67" t="str">
        <f t="shared" si="152"/>
        <v>.00</v>
      </c>
      <c r="AI877" s="67" t="str">
        <f t="shared" si="148"/>
        <v>00</v>
      </c>
      <c r="AJ877" s="67" t="str">
        <f t="shared" si="153"/>
        <v>000000000000</v>
      </c>
      <c r="AK877" s="119"/>
      <c r="AL877" s="120"/>
      <c r="AP877" s="115" t="str">
        <f t="shared" si="149"/>
        <v/>
      </c>
    </row>
    <row r="878" spans="1:42" x14ac:dyDescent="0.2">
      <c r="A878" s="63" t="str">
        <f t="shared" si="145"/>
        <v/>
      </c>
      <c r="B878" s="133"/>
      <c r="C878" s="133"/>
      <c r="D878" s="135"/>
      <c r="E878" s="135"/>
      <c r="F878" s="137"/>
      <c r="AA878" s="116" t="str">
        <f t="shared" si="144"/>
        <v>00000000000000</v>
      </c>
      <c r="AB878" s="117" t="str">
        <f t="shared" si="146"/>
        <v>000000000000</v>
      </c>
      <c r="AC878" s="118">
        <f t="shared" si="147"/>
        <v>1</v>
      </c>
      <c r="AD878" s="47">
        <v>2</v>
      </c>
      <c r="AE878" s="66">
        <f t="shared" si="150"/>
        <v>0</v>
      </c>
      <c r="AF878" s="66">
        <f t="shared" si="143"/>
        <v>0</v>
      </c>
      <c r="AG878" s="67" t="str">
        <f t="shared" si="151"/>
        <v>0000000000</v>
      </c>
      <c r="AH878" s="67" t="str">
        <f t="shared" si="152"/>
        <v>.00</v>
      </c>
      <c r="AI878" s="67" t="str">
        <f t="shared" si="148"/>
        <v>00</v>
      </c>
      <c r="AJ878" s="67" t="str">
        <f t="shared" si="153"/>
        <v>000000000000</v>
      </c>
      <c r="AK878" s="119"/>
      <c r="AL878" s="120"/>
      <c r="AP878" s="115" t="str">
        <f t="shared" si="149"/>
        <v/>
      </c>
    </row>
    <row r="879" spans="1:42" x14ac:dyDescent="0.2">
      <c r="A879" s="63" t="str">
        <f t="shared" si="145"/>
        <v/>
      </c>
      <c r="B879" s="133"/>
      <c r="C879" s="133"/>
      <c r="D879" s="135"/>
      <c r="E879" s="135"/>
      <c r="F879" s="137"/>
      <c r="AA879" s="116" t="str">
        <f t="shared" si="144"/>
        <v>00000000000000</v>
      </c>
      <c r="AB879" s="117" t="str">
        <f t="shared" si="146"/>
        <v>000000000000</v>
      </c>
      <c r="AC879" s="118">
        <f t="shared" si="147"/>
        <v>1</v>
      </c>
      <c r="AD879" s="47">
        <v>2</v>
      </c>
      <c r="AE879" s="66">
        <f t="shared" si="150"/>
        <v>0</v>
      </c>
      <c r="AF879" s="66">
        <f t="shared" si="143"/>
        <v>0</v>
      </c>
      <c r="AG879" s="67" t="str">
        <f t="shared" si="151"/>
        <v>0000000000</v>
      </c>
      <c r="AH879" s="67" t="str">
        <f t="shared" si="152"/>
        <v>.00</v>
      </c>
      <c r="AI879" s="67" t="str">
        <f t="shared" si="148"/>
        <v>00</v>
      </c>
      <c r="AJ879" s="67" t="str">
        <f t="shared" si="153"/>
        <v>000000000000</v>
      </c>
      <c r="AK879" s="119"/>
      <c r="AL879" s="120"/>
      <c r="AP879" s="115" t="str">
        <f t="shared" si="149"/>
        <v/>
      </c>
    </row>
    <row r="880" spans="1:42" x14ac:dyDescent="0.2">
      <c r="A880" s="63" t="str">
        <f t="shared" si="145"/>
        <v/>
      </c>
      <c r="B880" s="133"/>
      <c r="C880" s="133"/>
      <c r="D880" s="135"/>
      <c r="E880" s="135"/>
      <c r="F880" s="137"/>
      <c r="AA880" s="116" t="str">
        <f t="shared" si="144"/>
        <v>00000000000000</v>
      </c>
      <c r="AB880" s="117" t="str">
        <f t="shared" si="146"/>
        <v>000000000000</v>
      </c>
      <c r="AC880" s="118">
        <f t="shared" si="147"/>
        <v>1</v>
      </c>
      <c r="AD880" s="47">
        <v>2</v>
      </c>
      <c r="AE880" s="66">
        <f t="shared" si="150"/>
        <v>0</v>
      </c>
      <c r="AF880" s="66">
        <f t="shared" si="143"/>
        <v>0</v>
      </c>
      <c r="AG880" s="67" t="str">
        <f t="shared" si="151"/>
        <v>0000000000</v>
      </c>
      <c r="AH880" s="67" t="str">
        <f t="shared" si="152"/>
        <v>.00</v>
      </c>
      <c r="AI880" s="67" t="str">
        <f t="shared" si="148"/>
        <v>00</v>
      </c>
      <c r="AJ880" s="67" t="str">
        <f t="shared" si="153"/>
        <v>000000000000</v>
      </c>
      <c r="AK880" s="119"/>
      <c r="AL880" s="120"/>
      <c r="AP880" s="115" t="str">
        <f t="shared" si="149"/>
        <v/>
      </c>
    </row>
    <row r="881" spans="1:42" x14ac:dyDescent="0.2">
      <c r="A881" s="63" t="str">
        <f t="shared" si="145"/>
        <v/>
      </c>
      <c r="B881" s="133"/>
      <c r="C881" s="133"/>
      <c r="D881" s="135"/>
      <c r="E881" s="135"/>
      <c r="F881" s="137"/>
      <c r="AA881" s="116" t="str">
        <f t="shared" si="144"/>
        <v>00000000000000</v>
      </c>
      <c r="AB881" s="117" t="str">
        <f t="shared" si="146"/>
        <v>000000000000</v>
      </c>
      <c r="AC881" s="118">
        <f t="shared" si="147"/>
        <v>1</v>
      </c>
      <c r="AD881" s="47">
        <v>2</v>
      </c>
      <c r="AE881" s="66">
        <f t="shared" si="150"/>
        <v>0</v>
      </c>
      <c r="AF881" s="66">
        <f t="shared" si="143"/>
        <v>0</v>
      </c>
      <c r="AG881" s="67" t="str">
        <f t="shared" si="151"/>
        <v>0000000000</v>
      </c>
      <c r="AH881" s="67" t="str">
        <f t="shared" si="152"/>
        <v>.00</v>
      </c>
      <c r="AI881" s="67" t="str">
        <f t="shared" si="148"/>
        <v>00</v>
      </c>
      <c r="AJ881" s="67" t="str">
        <f t="shared" si="153"/>
        <v>000000000000</v>
      </c>
      <c r="AK881" s="119"/>
      <c r="AL881" s="120"/>
      <c r="AP881" s="115" t="str">
        <f t="shared" si="149"/>
        <v/>
      </c>
    </row>
    <row r="882" spans="1:42" x14ac:dyDescent="0.2">
      <c r="A882" s="63" t="str">
        <f t="shared" si="145"/>
        <v/>
      </c>
      <c r="B882" s="133"/>
      <c r="C882" s="133"/>
      <c r="D882" s="135"/>
      <c r="E882" s="135"/>
      <c r="F882" s="137"/>
      <c r="AA882" s="116" t="str">
        <f t="shared" si="144"/>
        <v>00000000000000</v>
      </c>
      <c r="AB882" s="117" t="str">
        <f t="shared" si="146"/>
        <v>000000000000</v>
      </c>
      <c r="AC882" s="118">
        <f t="shared" si="147"/>
        <v>1</v>
      </c>
      <c r="AD882" s="47">
        <v>2</v>
      </c>
      <c r="AE882" s="66">
        <f t="shared" si="150"/>
        <v>0</v>
      </c>
      <c r="AF882" s="66">
        <f t="shared" si="143"/>
        <v>0</v>
      </c>
      <c r="AG882" s="67" t="str">
        <f t="shared" si="151"/>
        <v>0000000000</v>
      </c>
      <c r="AH882" s="67" t="str">
        <f t="shared" si="152"/>
        <v>.00</v>
      </c>
      <c r="AI882" s="67" t="str">
        <f t="shared" si="148"/>
        <v>00</v>
      </c>
      <c r="AJ882" s="67" t="str">
        <f t="shared" si="153"/>
        <v>000000000000</v>
      </c>
      <c r="AK882" s="119"/>
      <c r="AL882" s="120"/>
      <c r="AP882" s="115" t="str">
        <f t="shared" si="149"/>
        <v/>
      </c>
    </row>
    <row r="883" spans="1:42" x14ac:dyDescent="0.2">
      <c r="A883" s="63" t="str">
        <f t="shared" si="145"/>
        <v/>
      </c>
      <c r="B883" s="133"/>
      <c r="C883" s="133"/>
      <c r="D883" s="135"/>
      <c r="E883" s="135"/>
      <c r="F883" s="137"/>
      <c r="AA883" s="116" t="str">
        <f t="shared" si="144"/>
        <v>00000000000000</v>
      </c>
      <c r="AB883" s="117" t="str">
        <f t="shared" si="146"/>
        <v>000000000000</v>
      </c>
      <c r="AC883" s="118">
        <f t="shared" si="147"/>
        <v>1</v>
      </c>
      <c r="AD883" s="47">
        <v>2</v>
      </c>
      <c r="AE883" s="66">
        <f t="shared" si="150"/>
        <v>0</v>
      </c>
      <c r="AF883" s="66">
        <f t="shared" si="143"/>
        <v>0</v>
      </c>
      <c r="AG883" s="67" t="str">
        <f t="shared" si="151"/>
        <v>0000000000</v>
      </c>
      <c r="AH883" s="67" t="str">
        <f t="shared" si="152"/>
        <v>.00</v>
      </c>
      <c r="AI883" s="67" t="str">
        <f t="shared" si="148"/>
        <v>00</v>
      </c>
      <c r="AJ883" s="67" t="str">
        <f t="shared" si="153"/>
        <v>000000000000</v>
      </c>
      <c r="AK883" s="119"/>
      <c r="AL883" s="120"/>
      <c r="AP883" s="115" t="str">
        <f t="shared" si="149"/>
        <v/>
      </c>
    </row>
    <row r="884" spans="1:42" x14ac:dyDescent="0.2">
      <c r="A884" s="63" t="str">
        <f t="shared" si="145"/>
        <v/>
      </c>
      <c r="B884" s="133"/>
      <c r="C884" s="133"/>
      <c r="D884" s="135"/>
      <c r="E884" s="135"/>
      <c r="F884" s="137"/>
      <c r="AA884" s="116" t="str">
        <f t="shared" si="144"/>
        <v>00000000000000</v>
      </c>
      <c r="AB884" s="117" t="str">
        <f t="shared" si="146"/>
        <v>000000000000</v>
      </c>
      <c r="AC884" s="118">
        <f t="shared" si="147"/>
        <v>1</v>
      </c>
      <c r="AD884" s="47">
        <v>2</v>
      </c>
      <c r="AE884" s="66">
        <f t="shared" si="150"/>
        <v>0</v>
      </c>
      <c r="AF884" s="66">
        <f t="shared" si="143"/>
        <v>0</v>
      </c>
      <c r="AG884" s="67" t="str">
        <f t="shared" si="151"/>
        <v>0000000000</v>
      </c>
      <c r="AH884" s="67" t="str">
        <f t="shared" si="152"/>
        <v>.00</v>
      </c>
      <c r="AI884" s="67" t="str">
        <f t="shared" si="148"/>
        <v>00</v>
      </c>
      <c r="AJ884" s="67" t="str">
        <f t="shared" si="153"/>
        <v>000000000000</v>
      </c>
      <c r="AK884" s="119"/>
      <c r="AL884" s="120"/>
      <c r="AP884" s="115" t="str">
        <f t="shared" si="149"/>
        <v/>
      </c>
    </row>
    <row r="885" spans="1:42" x14ac:dyDescent="0.2">
      <c r="A885" s="63" t="str">
        <f t="shared" si="145"/>
        <v/>
      </c>
      <c r="B885" s="133"/>
      <c r="C885" s="133"/>
      <c r="D885" s="135"/>
      <c r="E885" s="135"/>
      <c r="F885" s="137"/>
      <c r="AA885" s="116" t="str">
        <f t="shared" si="144"/>
        <v>00000000000000</v>
      </c>
      <c r="AB885" s="117" t="str">
        <f t="shared" si="146"/>
        <v>000000000000</v>
      </c>
      <c r="AC885" s="118">
        <f t="shared" si="147"/>
        <v>1</v>
      </c>
      <c r="AD885" s="47">
        <v>2</v>
      </c>
      <c r="AE885" s="66">
        <f t="shared" si="150"/>
        <v>0</v>
      </c>
      <c r="AF885" s="66">
        <f t="shared" si="143"/>
        <v>0</v>
      </c>
      <c r="AG885" s="67" t="str">
        <f t="shared" si="151"/>
        <v>0000000000</v>
      </c>
      <c r="AH885" s="67" t="str">
        <f t="shared" si="152"/>
        <v>.00</v>
      </c>
      <c r="AI885" s="67" t="str">
        <f t="shared" si="148"/>
        <v>00</v>
      </c>
      <c r="AJ885" s="67" t="str">
        <f t="shared" si="153"/>
        <v>000000000000</v>
      </c>
      <c r="AK885" s="119"/>
      <c r="AL885" s="120"/>
      <c r="AP885" s="115" t="str">
        <f t="shared" si="149"/>
        <v/>
      </c>
    </row>
    <row r="886" spans="1:42" x14ac:dyDescent="0.2">
      <c r="A886" s="63" t="str">
        <f t="shared" si="145"/>
        <v/>
      </c>
      <c r="B886" s="133"/>
      <c r="C886" s="133"/>
      <c r="D886" s="135"/>
      <c r="E886" s="135"/>
      <c r="F886" s="137"/>
      <c r="AA886" s="116" t="str">
        <f t="shared" si="144"/>
        <v>00000000000000</v>
      </c>
      <c r="AB886" s="117" t="str">
        <f t="shared" si="146"/>
        <v>000000000000</v>
      </c>
      <c r="AC886" s="118">
        <f t="shared" si="147"/>
        <v>1</v>
      </c>
      <c r="AD886" s="47">
        <v>2</v>
      </c>
      <c r="AE886" s="66">
        <f t="shared" si="150"/>
        <v>0</v>
      </c>
      <c r="AF886" s="66">
        <f t="shared" si="143"/>
        <v>0</v>
      </c>
      <c r="AG886" s="67" t="str">
        <f t="shared" si="151"/>
        <v>0000000000</v>
      </c>
      <c r="AH886" s="67" t="str">
        <f t="shared" si="152"/>
        <v>.00</v>
      </c>
      <c r="AI886" s="67" t="str">
        <f t="shared" si="148"/>
        <v>00</v>
      </c>
      <c r="AJ886" s="67" t="str">
        <f t="shared" si="153"/>
        <v>000000000000</v>
      </c>
      <c r="AK886" s="119"/>
      <c r="AL886" s="120"/>
      <c r="AP886" s="115" t="str">
        <f t="shared" si="149"/>
        <v/>
      </c>
    </row>
    <row r="887" spans="1:42" x14ac:dyDescent="0.2">
      <c r="A887" s="63" t="str">
        <f t="shared" si="145"/>
        <v/>
      </c>
      <c r="B887" s="133"/>
      <c r="C887" s="133"/>
      <c r="D887" s="135"/>
      <c r="E887" s="135"/>
      <c r="F887" s="137"/>
      <c r="AA887" s="116" t="str">
        <f t="shared" si="144"/>
        <v>00000000000000</v>
      </c>
      <c r="AB887" s="117" t="str">
        <f t="shared" si="146"/>
        <v>000000000000</v>
      </c>
      <c r="AC887" s="118">
        <f t="shared" si="147"/>
        <v>1</v>
      </c>
      <c r="AD887" s="47">
        <v>2</v>
      </c>
      <c r="AE887" s="66">
        <f t="shared" si="150"/>
        <v>0</v>
      </c>
      <c r="AF887" s="66">
        <f t="shared" si="143"/>
        <v>0</v>
      </c>
      <c r="AG887" s="67" t="str">
        <f t="shared" si="151"/>
        <v>0000000000</v>
      </c>
      <c r="AH887" s="67" t="str">
        <f t="shared" si="152"/>
        <v>.00</v>
      </c>
      <c r="AI887" s="67" t="str">
        <f t="shared" si="148"/>
        <v>00</v>
      </c>
      <c r="AJ887" s="67" t="str">
        <f t="shared" si="153"/>
        <v>000000000000</v>
      </c>
      <c r="AK887" s="119"/>
      <c r="AL887" s="120"/>
      <c r="AP887" s="115" t="str">
        <f t="shared" si="149"/>
        <v/>
      </c>
    </row>
    <row r="888" spans="1:42" x14ac:dyDescent="0.2">
      <c r="A888" s="63" t="str">
        <f t="shared" si="145"/>
        <v/>
      </c>
      <c r="B888" s="133"/>
      <c r="C888" s="133"/>
      <c r="D888" s="135"/>
      <c r="E888" s="135"/>
      <c r="F888" s="137"/>
      <c r="AA888" s="116" t="str">
        <f t="shared" si="144"/>
        <v>00000000000000</v>
      </c>
      <c r="AB888" s="117" t="str">
        <f t="shared" si="146"/>
        <v>000000000000</v>
      </c>
      <c r="AC888" s="118">
        <f t="shared" si="147"/>
        <v>1</v>
      </c>
      <c r="AD888" s="47">
        <v>2</v>
      </c>
      <c r="AE888" s="66">
        <f t="shared" si="150"/>
        <v>0</v>
      </c>
      <c r="AF888" s="66">
        <f t="shared" si="143"/>
        <v>0</v>
      </c>
      <c r="AG888" s="67" t="str">
        <f t="shared" si="151"/>
        <v>0000000000</v>
      </c>
      <c r="AH888" s="67" t="str">
        <f t="shared" si="152"/>
        <v>.00</v>
      </c>
      <c r="AI888" s="67" t="str">
        <f t="shared" si="148"/>
        <v>00</v>
      </c>
      <c r="AJ888" s="67" t="str">
        <f t="shared" si="153"/>
        <v>000000000000</v>
      </c>
      <c r="AK888" s="119"/>
      <c r="AL888" s="120"/>
      <c r="AP888" s="115" t="str">
        <f t="shared" si="149"/>
        <v/>
      </c>
    </row>
    <row r="889" spans="1:42" x14ac:dyDescent="0.2">
      <c r="A889" s="63" t="str">
        <f t="shared" si="145"/>
        <v/>
      </c>
      <c r="B889" s="133"/>
      <c r="C889" s="133"/>
      <c r="D889" s="135"/>
      <c r="E889" s="135"/>
      <c r="F889" s="137"/>
      <c r="AA889" s="116" t="str">
        <f t="shared" si="144"/>
        <v>00000000000000</v>
      </c>
      <c r="AB889" s="117" t="str">
        <f t="shared" si="146"/>
        <v>000000000000</v>
      </c>
      <c r="AC889" s="118">
        <f t="shared" si="147"/>
        <v>1</v>
      </c>
      <c r="AD889" s="47">
        <v>2</v>
      </c>
      <c r="AE889" s="66">
        <f t="shared" si="150"/>
        <v>0</v>
      </c>
      <c r="AF889" s="66">
        <f t="shared" si="143"/>
        <v>0</v>
      </c>
      <c r="AG889" s="67" t="str">
        <f t="shared" si="151"/>
        <v>0000000000</v>
      </c>
      <c r="AH889" s="67" t="str">
        <f t="shared" si="152"/>
        <v>.00</v>
      </c>
      <c r="AI889" s="67" t="str">
        <f t="shared" si="148"/>
        <v>00</v>
      </c>
      <c r="AJ889" s="67" t="str">
        <f t="shared" si="153"/>
        <v>000000000000</v>
      </c>
      <c r="AK889" s="119"/>
      <c r="AL889" s="120"/>
      <c r="AP889" s="115" t="str">
        <f t="shared" si="149"/>
        <v/>
      </c>
    </row>
    <row r="890" spans="1:42" x14ac:dyDescent="0.2">
      <c r="A890" s="63" t="str">
        <f t="shared" si="145"/>
        <v/>
      </c>
      <c r="B890" s="133"/>
      <c r="C890" s="133"/>
      <c r="D890" s="135"/>
      <c r="E890" s="135"/>
      <c r="F890" s="137"/>
      <c r="AA890" s="116" t="str">
        <f t="shared" si="144"/>
        <v>00000000000000</v>
      </c>
      <c r="AB890" s="117" t="str">
        <f t="shared" si="146"/>
        <v>000000000000</v>
      </c>
      <c r="AC890" s="118">
        <f t="shared" si="147"/>
        <v>1</v>
      </c>
      <c r="AD890" s="47">
        <v>2</v>
      </c>
      <c r="AE890" s="66">
        <f t="shared" si="150"/>
        <v>0</v>
      </c>
      <c r="AF890" s="66">
        <f t="shared" si="143"/>
        <v>0</v>
      </c>
      <c r="AG890" s="67" t="str">
        <f t="shared" si="151"/>
        <v>0000000000</v>
      </c>
      <c r="AH890" s="67" t="str">
        <f t="shared" si="152"/>
        <v>.00</v>
      </c>
      <c r="AI890" s="67" t="str">
        <f t="shared" si="148"/>
        <v>00</v>
      </c>
      <c r="AJ890" s="67" t="str">
        <f t="shared" si="153"/>
        <v>000000000000</v>
      </c>
      <c r="AK890" s="119"/>
      <c r="AL890" s="120"/>
      <c r="AP890" s="115" t="str">
        <f t="shared" si="149"/>
        <v/>
      </c>
    </row>
    <row r="891" spans="1:42" x14ac:dyDescent="0.2">
      <c r="A891" s="63" t="str">
        <f t="shared" si="145"/>
        <v/>
      </c>
      <c r="B891" s="133"/>
      <c r="C891" s="133"/>
      <c r="D891" s="135"/>
      <c r="E891" s="135"/>
      <c r="F891" s="137"/>
      <c r="AA891" s="116" t="str">
        <f t="shared" si="144"/>
        <v>00000000000000</v>
      </c>
      <c r="AB891" s="117" t="str">
        <f t="shared" si="146"/>
        <v>000000000000</v>
      </c>
      <c r="AC891" s="118">
        <f t="shared" si="147"/>
        <v>1</v>
      </c>
      <c r="AD891" s="47">
        <v>2</v>
      </c>
      <c r="AE891" s="66">
        <f t="shared" si="150"/>
        <v>0</v>
      </c>
      <c r="AF891" s="66">
        <f t="shared" si="143"/>
        <v>0</v>
      </c>
      <c r="AG891" s="67" t="str">
        <f t="shared" si="151"/>
        <v>0000000000</v>
      </c>
      <c r="AH891" s="67" t="str">
        <f t="shared" si="152"/>
        <v>.00</v>
      </c>
      <c r="AI891" s="67" t="str">
        <f t="shared" si="148"/>
        <v>00</v>
      </c>
      <c r="AJ891" s="67" t="str">
        <f t="shared" si="153"/>
        <v>000000000000</v>
      </c>
      <c r="AK891" s="119"/>
      <c r="AL891" s="120"/>
      <c r="AP891" s="115" t="str">
        <f t="shared" si="149"/>
        <v/>
      </c>
    </row>
    <row r="892" spans="1:42" x14ac:dyDescent="0.2">
      <c r="A892" s="63" t="str">
        <f t="shared" si="145"/>
        <v/>
      </c>
      <c r="B892" s="133"/>
      <c r="C892" s="133"/>
      <c r="D892" s="135"/>
      <c r="E892" s="135"/>
      <c r="F892" s="137"/>
      <c r="AA892" s="116" t="str">
        <f t="shared" si="144"/>
        <v>00000000000000</v>
      </c>
      <c r="AB892" s="117" t="str">
        <f t="shared" si="146"/>
        <v>000000000000</v>
      </c>
      <c r="AC892" s="118">
        <f t="shared" si="147"/>
        <v>1</v>
      </c>
      <c r="AD892" s="47">
        <v>2</v>
      </c>
      <c r="AE892" s="66">
        <f t="shared" si="150"/>
        <v>0</v>
      </c>
      <c r="AF892" s="66">
        <f t="shared" si="143"/>
        <v>0</v>
      </c>
      <c r="AG892" s="67" t="str">
        <f t="shared" si="151"/>
        <v>0000000000</v>
      </c>
      <c r="AH892" s="67" t="str">
        <f t="shared" si="152"/>
        <v>.00</v>
      </c>
      <c r="AI892" s="67" t="str">
        <f t="shared" si="148"/>
        <v>00</v>
      </c>
      <c r="AJ892" s="67" t="str">
        <f t="shared" si="153"/>
        <v>000000000000</v>
      </c>
      <c r="AK892" s="119"/>
      <c r="AL892" s="120"/>
      <c r="AP892" s="115" t="str">
        <f t="shared" si="149"/>
        <v/>
      </c>
    </row>
    <row r="893" spans="1:42" x14ac:dyDescent="0.2">
      <c r="A893" s="63" t="str">
        <f t="shared" si="145"/>
        <v/>
      </c>
      <c r="B893" s="133"/>
      <c r="C893" s="133"/>
      <c r="D893" s="135"/>
      <c r="E893" s="135"/>
      <c r="F893" s="137"/>
      <c r="AA893" s="116" t="str">
        <f t="shared" si="144"/>
        <v>00000000000000</v>
      </c>
      <c r="AB893" s="117" t="str">
        <f t="shared" si="146"/>
        <v>000000000000</v>
      </c>
      <c r="AC893" s="118">
        <f t="shared" si="147"/>
        <v>1</v>
      </c>
      <c r="AD893" s="47">
        <v>2</v>
      </c>
      <c r="AE893" s="66">
        <f t="shared" si="150"/>
        <v>0</v>
      </c>
      <c r="AF893" s="66">
        <f t="shared" si="143"/>
        <v>0</v>
      </c>
      <c r="AG893" s="67" t="str">
        <f t="shared" si="151"/>
        <v>0000000000</v>
      </c>
      <c r="AH893" s="67" t="str">
        <f t="shared" si="152"/>
        <v>.00</v>
      </c>
      <c r="AI893" s="67" t="str">
        <f t="shared" si="148"/>
        <v>00</v>
      </c>
      <c r="AJ893" s="67" t="str">
        <f t="shared" si="153"/>
        <v>000000000000</v>
      </c>
      <c r="AK893" s="119"/>
      <c r="AL893" s="120"/>
      <c r="AP893" s="115" t="str">
        <f t="shared" si="149"/>
        <v/>
      </c>
    </row>
    <row r="894" spans="1:42" x14ac:dyDescent="0.2">
      <c r="A894" s="63" t="str">
        <f t="shared" si="145"/>
        <v/>
      </c>
      <c r="B894" s="133"/>
      <c r="C894" s="133"/>
      <c r="D894" s="135"/>
      <c r="E894" s="135"/>
      <c r="F894" s="137"/>
      <c r="AA894" s="116" t="str">
        <f t="shared" si="144"/>
        <v>00000000000000</v>
      </c>
      <c r="AB894" s="117" t="str">
        <f t="shared" si="146"/>
        <v>000000000000</v>
      </c>
      <c r="AC894" s="118">
        <f t="shared" si="147"/>
        <v>1</v>
      </c>
      <c r="AD894" s="47">
        <v>2</v>
      </c>
      <c r="AE894" s="66">
        <f t="shared" si="150"/>
        <v>0</v>
      </c>
      <c r="AF894" s="66">
        <f t="shared" si="143"/>
        <v>0</v>
      </c>
      <c r="AG894" s="67" t="str">
        <f t="shared" si="151"/>
        <v>0000000000</v>
      </c>
      <c r="AH894" s="67" t="str">
        <f t="shared" si="152"/>
        <v>.00</v>
      </c>
      <c r="AI894" s="67" t="str">
        <f t="shared" si="148"/>
        <v>00</v>
      </c>
      <c r="AJ894" s="67" t="str">
        <f t="shared" si="153"/>
        <v>000000000000</v>
      </c>
      <c r="AK894" s="119"/>
      <c r="AL894" s="120"/>
      <c r="AP894" s="115" t="str">
        <f t="shared" si="149"/>
        <v/>
      </c>
    </row>
    <row r="895" spans="1:42" x14ac:dyDescent="0.2">
      <c r="A895" s="63" t="str">
        <f t="shared" si="145"/>
        <v/>
      </c>
      <c r="B895" s="133"/>
      <c r="C895" s="133"/>
      <c r="D895" s="135"/>
      <c r="E895" s="135"/>
      <c r="F895" s="137"/>
      <c r="AA895" s="116" t="str">
        <f t="shared" si="144"/>
        <v>00000000000000</v>
      </c>
      <c r="AB895" s="117" t="str">
        <f t="shared" si="146"/>
        <v>000000000000</v>
      </c>
      <c r="AC895" s="118">
        <f t="shared" si="147"/>
        <v>1</v>
      </c>
      <c r="AD895" s="47">
        <v>2</v>
      </c>
      <c r="AE895" s="66">
        <f t="shared" si="150"/>
        <v>0</v>
      </c>
      <c r="AF895" s="66">
        <f t="shared" si="143"/>
        <v>0</v>
      </c>
      <c r="AG895" s="67" t="str">
        <f t="shared" si="151"/>
        <v>0000000000</v>
      </c>
      <c r="AH895" s="67" t="str">
        <f t="shared" si="152"/>
        <v>.00</v>
      </c>
      <c r="AI895" s="67" t="str">
        <f t="shared" si="148"/>
        <v>00</v>
      </c>
      <c r="AJ895" s="67" t="str">
        <f t="shared" si="153"/>
        <v>000000000000</v>
      </c>
      <c r="AK895" s="119"/>
      <c r="AL895" s="120"/>
      <c r="AP895" s="115" t="str">
        <f t="shared" si="149"/>
        <v/>
      </c>
    </row>
    <row r="896" spans="1:42" x14ac:dyDescent="0.2">
      <c r="A896" s="63" t="str">
        <f t="shared" si="145"/>
        <v/>
      </c>
      <c r="B896" s="133"/>
      <c r="C896" s="133"/>
      <c r="D896" s="135"/>
      <c r="E896" s="135"/>
      <c r="F896" s="137"/>
      <c r="AA896" s="116" t="str">
        <f t="shared" si="144"/>
        <v>00000000000000</v>
      </c>
      <c r="AB896" s="117" t="str">
        <f t="shared" si="146"/>
        <v>000000000000</v>
      </c>
      <c r="AC896" s="118">
        <f t="shared" si="147"/>
        <v>1</v>
      </c>
      <c r="AD896" s="47">
        <v>2</v>
      </c>
      <c r="AE896" s="66">
        <f t="shared" si="150"/>
        <v>0</v>
      </c>
      <c r="AF896" s="66">
        <f t="shared" si="143"/>
        <v>0</v>
      </c>
      <c r="AG896" s="67" t="str">
        <f t="shared" si="151"/>
        <v>0000000000</v>
      </c>
      <c r="AH896" s="67" t="str">
        <f t="shared" si="152"/>
        <v>.00</v>
      </c>
      <c r="AI896" s="67" t="str">
        <f t="shared" si="148"/>
        <v>00</v>
      </c>
      <c r="AJ896" s="67" t="str">
        <f t="shared" si="153"/>
        <v>000000000000</v>
      </c>
      <c r="AK896" s="119"/>
      <c r="AL896" s="120"/>
      <c r="AP896" s="115" t="str">
        <f t="shared" si="149"/>
        <v/>
      </c>
    </row>
    <row r="897" spans="1:42" x14ac:dyDescent="0.2">
      <c r="A897" s="63" t="str">
        <f t="shared" si="145"/>
        <v/>
      </c>
      <c r="B897" s="133"/>
      <c r="C897" s="133"/>
      <c r="D897" s="135"/>
      <c r="E897" s="135"/>
      <c r="F897" s="137"/>
      <c r="AA897" s="116" t="str">
        <f t="shared" si="144"/>
        <v>00000000000000</v>
      </c>
      <c r="AB897" s="117" t="str">
        <f t="shared" si="146"/>
        <v>000000000000</v>
      </c>
      <c r="AC897" s="118">
        <f t="shared" si="147"/>
        <v>1</v>
      </c>
      <c r="AD897" s="47">
        <v>2</v>
      </c>
      <c r="AE897" s="66">
        <f t="shared" si="150"/>
        <v>0</v>
      </c>
      <c r="AF897" s="66">
        <f t="shared" si="143"/>
        <v>0</v>
      </c>
      <c r="AG897" s="67" t="str">
        <f t="shared" si="151"/>
        <v>0000000000</v>
      </c>
      <c r="AH897" s="67" t="str">
        <f t="shared" si="152"/>
        <v>.00</v>
      </c>
      <c r="AI897" s="67" t="str">
        <f t="shared" si="148"/>
        <v>00</v>
      </c>
      <c r="AJ897" s="67" t="str">
        <f t="shared" si="153"/>
        <v>000000000000</v>
      </c>
      <c r="AK897" s="119"/>
      <c r="AL897" s="120"/>
      <c r="AP897" s="115" t="str">
        <f t="shared" si="149"/>
        <v/>
      </c>
    </row>
    <row r="898" spans="1:42" x14ac:dyDescent="0.2">
      <c r="A898" s="63" t="str">
        <f t="shared" si="145"/>
        <v/>
      </c>
      <c r="B898" s="133"/>
      <c r="C898" s="133"/>
      <c r="D898" s="135"/>
      <c r="E898" s="135"/>
      <c r="F898" s="137"/>
      <c r="AA898" s="116" t="str">
        <f t="shared" si="144"/>
        <v>00000000000000</v>
      </c>
      <c r="AB898" s="117" t="str">
        <f t="shared" si="146"/>
        <v>000000000000</v>
      </c>
      <c r="AC898" s="118">
        <f t="shared" si="147"/>
        <v>1</v>
      </c>
      <c r="AD898" s="47">
        <v>2</v>
      </c>
      <c r="AE898" s="66">
        <f t="shared" si="150"/>
        <v>0</v>
      </c>
      <c r="AF898" s="66">
        <f t="shared" si="143"/>
        <v>0</v>
      </c>
      <c r="AG898" s="67" t="str">
        <f t="shared" si="151"/>
        <v>0000000000</v>
      </c>
      <c r="AH898" s="67" t="str">
        <f t="shared" si="152"/>
        <v>.00</v>
      </c>
      <c r="AI898" s="67" t="str">
        <f t="shared" si="148"/>
        <v>00</v>
      </c>
      <c r="AJ898" s="67" t="str">
        <f t="shared" si="153"/>
        <v>000000000000</v>
      </c>
      <c r="AK898" s="119"/>
      <c r="AL898" s="120"/>
      <c r="AP898" s="115" t="str">
        <f t="shared" si="149"/>
        <v/>
      </c>
    </row>
    <row r="899" spans="1:42" x14ac:dyDescent="0.2">
      <c r="A899" s="63" t="str">
        <f t="shared" si="145"/>
        <v/>
      </c>
      <c r="B899" s="133"/>
      <c r="C899" s="133"/>
      <c r="D899" s="135"/>
      <c r="E899" s="135"/>
      <c r="F899" s="137"/>
      <c r="AA899" s="116" t="str">
        <f t="shared" si="144"/>
        <v>00000000000000</v>
      </c>
      <c r="AB899" s="117" t="str">
        <f t="shared" si="146"/>
        <v>000000000000</v>
      </c>
      <c r="AC899" s="118">
        <f t="shared" si="147"/>
        <v>1</v>
      </c>
      <c r="AD899" s="47">
        <v>2</v>
      </c>
      <c r="AE899" s="66">
        <f t="shared" si="150"/>
        <v>0</v>
      </c>
      <c r="AF899" s="66">
        <f t="shared" ref="AF899:AF962" si="154">F899-AE899</f>
        <v>0</v>
      </c>
      <c r="AG899" s="67" t="str">
        <f t="shared" si="151"/>
        <v>0000000000</v>
      </c>
      <c r="AH899" s="67" t="str">
        <f t="shared" si="152"/>
        <v>.00</v>
      </c>
      <c r="AI899" s="67" t="str">
        <f t="shared" si="148"/>
        <v>00</v>
      </c>
      <c r="AJ899" s="67" t="str">
        <f t="shared" si="153"/>
        <v>000000000000</v>
      </c>
      <c r="AK899" s="119"/>
      <c r="AL899" s="120"/>
      <c r="AP899" s="115" t="str">
        <f t="shared" si="149"/>
        <v/>
      </c>
    </row>
    <row r="900" spans="1:42" x14ac:dyDescent="0.2">
      <c r="A900" s="63" t="str">
        <f t="shared" si="145"/>
        <v/>
      </c>
      <c r="B900" s="133"/>
      <c r="C900" s="133"/>
      <c r="D900" s="135"/>
      <c r="E900" s="135"/>
      <c r="F900" s="137"/>
      <c r="AA900" s="116" t="str">
        <f t="shared" ref="AA900:AA963" si="155">CONCATENATE(REPT("0",14-LEN(B900)),B900)</f>
        <v>00000000000000</v>
      </c>
      <c r="AB900" s="117" t="str">
        <f t="shared" si="146"/>
        <v>000000000000</v>
      </c>
      <c r="AC900" s="118">
        <f t="shared" si="147"/>
        <v>1</v>
      </c>
      <c r="AD900" s="47">
        <v>2</v>
      </c>
      <c r="AE900" s="66">
        <f t="shared" si="150"/>
        <v>0</v>
      </c>
      <c r="AF900" s="66">
        <f t="shared" si="154"/>
        <v>0</v>
      </c>
      <c r="AG900" s="67" t="str">
        <f t="shared" si="151"/>
        <v>0000000000</v>
      </c>
      <c r="AH900" s="67" t="str">
        <f t="shared" si="152"/>
        <v>.00</v>
      </c>
      <c r="AI900" s="67" t="str">
        <f t="shared" si="148"/>
        <v>00</v>
      </c>
      <c r="AJ900" s="67" t="str">
        <f t="shared" si="153"/>
        <v>000000000000</v>
      </c>
      <c r="AK900" s="119"/>
      <c r="AL900" s="120"/>
      <c r="AP900" s="115" t="str">
        <f t="shared" si="149"/>
        <v/>
      </c>
    </row>
    <row r="901" spans="1:42" x14ac:dyDescent="0.2">
      <c r="A901" s="63" t="str">
        <f t="shared" ref="A901:A964" si="156">IF(B901&lt;&gt;"",A900+1,"")</f>
        <v/>
      </c>
      <c r="B901" s="133"/>
      <c r="C901" s="133"/>
      <c r="D901" s="135"/>
      <c r="E901" s="135"/>
      <c r="F901" s="137"/>
      <c r="AA901" s="116" t="str">
        <f t="shared" si="155"/>
        <v>00000000000000</v>
      </c>
      <c r="AB901" s="117" t="str">
        <f t="shared" ref="AB901:AB964" si="157">CONCATENATE(REPT("0",12-LEN(C901)),C901)</f>
        <v>000000000000</v>
      </c>
      <c r="AC901" s="118">
        <f t="shared" ref="AC901:AC964" si="158">AC900</f>
        <v>1</v>
      </c>
      <c r="AD901" s="47">
        <v>2</v>
      </c>
      <c r="AE901" s="66">
        <f t="shared" si="150"/>
        <v>0</v>
      </c>
      <c r="AF901" s="66">
        <f t="shared" si="154"/>
        <v>0</v>
      </c>
      <c r="AG901" s="67" t="str">
        <f t="shared" si="151"/>
        <v>0000000000</v>
      </c>
      <c r="AH901" s="67" t="str">
        <f t="shared" si="152"/>
        <v>.00</v>
      </c>
      <c r="AI901" s="67" t="str">
        <f t="shared" ref="AI901:AI964" si="159">MID(AH901,2,2)</f>
        <v>00</v>
      </c>
      <c r="AJ901" s="67" t="str">
        <f t="shared" si="153"/>
        <v>000000000000</v>
      </c>
      <c r="AK901" s="119"/>
      <c r="AL901" s="120"/>
      <c r="AP901" s="115" t="str">
        <f t="shared" si="149"/>
        <v/>
      </c>
    </row>
    <row r="902" spans="1:42" x14ac:dyDescent="0.2">
      <c r="A902" s="63" t="str">
        <f t="shared" si="156"/>
        <v/>
      </c>
      <c r="B902" s="133"/>
      <c r="C902" s="133"/>
      <c r="D902" s="135"/>
      <c r="E902" s="135"/>
      <c r="F902" s="137"/>
      <c r="AA902" s="116" t="str">
        <f t="shared" si="155"/>
        <v>00000000000000</v>
      </c>
      <c r="AB902" s="117" t="str">
        <f t="shared" si="157"/>
        <v>000000000000</v>
      </c>
      <c r="AC902" s="118">
        <f t="shared" si="158"/>
        <v>1</v>
      </c>
      <c r="AD902" s="47">
        <v>2</v>
      </c>
      <c r="AE902" s="66">
        <f t="shared" si="150"/>
        <v>0</v>
      </c>
      <c r="AF902" s="66">
        <f t="shared" si="154"/>
        <v>0</v>
      </c>
      <c r="AG902" s="67" t="str">
        <f t="shared" si="151"/>
        <v>0000000000</v>
      </c>
      <c r="AH902" s="67" t="str">
        <f t="shared" si="152"/>
        <v>.00</v>
      </c>
      <c r="AI902" s="67" t="str">
        <f t="shared" si="159"/>
        <v>00</v>
      </c>
      <c r="AJ902" s="67" t="str">
        <f t="shared" si="153"/>
        <v>000000000000</v>
      </c>
      <c r="AK902" s="119"/>
      <c r="AL902" s="120"/>
      <c r="AP902" s="115" t="str">
        <f t="shared" ref="AP902:AP965" si="160">IF(B903&lt;&gt;"",CONCATENATE("00000",$AD$1,AA903,$AC$3,"2",AB903,AJ903,$AL$3,"0                                                  "),"")</f>
        <v/>
      </c>
    </row>
    <row r="903" spans="1:42" x14ac:dyDescent="0.2">
      <c r="A903" s="63" t="str">
        <f t="shared" si="156"/>
        <v/>
      </c>
      <c r="B903" s="133"/>
      <c r="C903" s="133"/>
      <c r="D903" s="135"/>
      <c r="E903" s="135"/>
      <c r="F903" s="137"/>
      <c r="AA903" s="116" t="str">
        <f t="shared" si="155"/>
        <v>00000000000000</v>
      </c>
      <c r="AB903" s="117" t="str">
        <f t="shared" si="157"/>
        <v>000000000000</v>
      </c>
      <c r="AC903" s="118">
        <f t="shared" si="158"/>
        <v>1</v>
      </c>
      <c r="AD903" s="47">
        <v>2</v>
      </c>
      <c r="AE903" s="66">
        <f t="shared" si="150"/>
        <v>0</v>
      </c>
      <c r="AF903" s="66">
        <f t="shared" si="154"/>
        <v>0</v>
      </c>
      <c r="AG903" s="67" t="str">
        <f t="shared" si="151"/>
        <v>0000000000</v>
      </c>
      <c r="AH903" s="67" t="str">
        <f t="shared" si="152"/>
        <v>.00</v>
      </c>
      <c r="AI903" s="67" t="str">
        <f t="shared" si="159"/>
        <v>00</v>
      </c>
      <c r="AJ903" s="67" t="str">
        <f t="shared" si="153"/>
        <v>000000000000</v>
      </c>
      <c r="AK903" s="119"/>
      <c r="AL903" s="120"/>
      <c r="AP903" s="115" t="str">
        <f t="shared" si="160"/>
        <v/>
      </c>
    </row>
    <row r="904" spans="1:42" x14ac:dyDescent="0.2">
      <c r="A904" s="63" t="str">
        <f t="shared" si="156"/>
        <v/>
      </c>
      <c r="B904" s="133"/>
      <c r="C904" s="133"/>
      <c r="D904" s="135"/>
      <c r="E904" s="135"/>
      <c r="F904" s="137"/>
      <c r="AA904" s="116" t="str">
        <f t="shared" si="155"/>
        <v>00000000000000</v>
      </c>
      <c r="AB904" s="117" t="str">
        <f t="shared" si="157"/>
        <v>000000000000</v>
      </c>
      <c r="AC904" s="118">
        <f t="shared" si="158"/>
        <v>1</v>
      </c>
      <c r="AD904" s="47">
        <v>2</v>
      </c>
      <c r="AE904" s="66">
        <f t="shared" ref="AE904:AE967" si="161">INT(F904)</f>
        <v>0</v>
      </c>
      <c r="AF904" s="66">
        <f t="shared" si="154"/>
        <v>0</v>
      </c>
      <c r="AG904" s="67" t="str">
        <f t="shared" ref="AG904:AG967" si="162">TEXT(AE904,"0000000000")</f>
        <v>0000000000</v>
      </c>
      <c r="AH904" s="67" t="str">
        <f t="shared" ref="AH904:AH967" si="163">TEXT(AF904,".00")</f>
        <v>.00</v>
      </c>
      <c r="AI904" s="67" t="str">
        <f t="shared" si="159"/>
        <v>00</v>
      </c>
      <c r="AJ904" s="67" t="str">
        <f t="shared" ref="AJ904:AJ967" si="164">CONCATENATE(AG904,AI904)</f>
        <v>000000000000</v>
      </c>
      <c r="AK904" s="119"/>
      <c r="AL904" s="120"/>
      <c r="AP904" s="115" t="str">
        <f t="shared" si="160"/>
        <v/>
      </c>
    </row>
    <row r="905" spans="1:42" x14ac:dyDescent="0.2">
      <c r="A905" s="63" t="str">
        <f t="shared" si="156"/>
        <v/>
      </c>
      <c r="B905" s="133"/>
      <c r="C905" s="133"/>
      <c r="D905" s="135"/>
      <c r="E905" s="135"/>
      <c r="F905" s="137"/>
      <c r="AA905" s="116" t="str">
        <f t="shared" si="155"/>
        <v>00000000000000</v>
      </c>
      <c r="AB905" s="117" t="str">
        <f t="shared" si="157"/>
        <v>000000000000</v>
      </c>
      <c r="AC905" s="118">
        <f t="shared" si="158"/>
        <v>1</v>
      </c>
      <c r="AD905" s="47">
        <v>2</v>
      </c>
      <c r="AE905" s="66">
        <f t="shared" si="161"/>
        <v>0</v>
      </c>
      <c r="AF905" s="66">
        <f t="shared" si="154"/>
        <v>0</v>
      </c>
      <c r="AG905" s="67" t="str">
        <f t="shared" si="162"/>
        <v>0000000000</v>
      </c>
      <c r="AH905" s="67" t="str">
        <f t="shared" si="163"/>
        <v>.00</v>
      </c>
      <c r="AI905" s="67" t="str">
        <f t="shared" si="159"/>
        <v>00</v>
      </c>
      <c r="AJ905" s="67" t="str">
        <f t="shared" si="164"/>
        <v>000000000000</v>
      </c>
      <c r="AK905" s="119"/>
      <c r="AL905" s="120"/>
      <c r="AP905" s="115" t="str">
        <f t="shared" si="160"/>
        <v/>
      </c>
    </row>
    <row r="906" spans="1:42" x14ac:dyDescent="0.2">
      <c r="A906" s="63" t="str">
        <f t="shared" si="156"/>
        <v/>
      </c>
      <c r="B906" s="133"/>
      <c r="C906" s="133"/>
      <c r="D906" s="135"/>
      <c r="E906" s="135"/>
      <c r="F906" s="137"/>
      <c r="AA906" s="116" t="str">
        <f t="shared" si="155"/>
        <v>00000000000000</v>
      </c>
      <c r="AB906" s="117" t="str">
        <f t="shared" si="157"/>
        <v>000000000000</v>
      </c>
      <c r="AC906" s="118">
        <f t="shared" si="158"/>
        <v>1</v>
      </c>
      <c r="AD906" s="47">
        <v>2</v>
      </c>
      <c r="AE906" s="66">
        <f t="shared" si="161"/>
        <v>0</v>
      </c>
      <c r="AF906" s="66">
        <f t="shared" si="154"/>
        <v>0</v>
      </c>
      <c r="AG906" s="67" t="str">
        <f t="shared" si="162"/>
        <v>0000000000</v>
      </c>
      <c r="AH906" s="67" t="str">
        <f t="shared" si="163"/>
        <v>.00</v>
      </c>
      <c r="AI906" s="67" t="str">
        <f t="shared" si="159"/>
        <v>00</v>
      </c>
      <c r="AJ906" s="67" t="str">
        <f t="shared" si="164"/>
        <v>000000000000</v>
      </c>
      <c r="AK906" s="119"/>
      <c r="AL906" s="120"/>
      <c r="AP906" s="115" t="str">
        <f t="shared" si="160"/>
        <v/>
      </c>
    </row>
    <row r="907" spans="1:42" x14ac:dyDescent="0.2">
      <c r="A907" s="63" t="str">
        <f t="shared" si="156"/>
        <v/>
      </c>
      <c r="B907" s="133"/>
      <c r="C907" s="133"/>
      <c r="D907" s="135"/>
      <c r="E907" s="135"/>
      <c r="F907" s="137"/>
      <c r="AA907" s="116" t="str">
        <f t="shared" si="155"/>
        <v>00000000000000</v>
      </c>
      <c r="AB907" s="117" t="str">
        <f t="shared" si="157"/>
        <v>000000000000</v>
      </c>
      <c r="AC907" s="118">
        <f t="shared" si="158"/>
        <v>1</v>
      </c>
      <c r="AD907" s="47">
        <v>2</v>
      </c>
      <c r="AE907" s="66">
        <f t="shared" si="161"/>
        <v>0</v>
      </c>
      <c r="AF907" s="66">
        <f t="shared" si="154"/>
        <v>0</v>
      </c>
      <c r="AG907" s="67" t="str">
        <f t="shared" si="162"/>
        <v>0000000000</v>
      </c>
      <c r="AH907" s="67" t="str">
        <f t="shared" si="163"/>
        <v>.00</v>
      </c>
      <c r="AI907" s="67" t="str">
        <f t="shared" si="159"/>
        <v>00</v>
      </c>
      <c r="AJ907" s="67" t="str">
        <f t="shared" si="164"/>
        <v>000000000000</v>
      </c>
      <c r="AK907" s="119"/>
      <c r="AL907" s="120"/>
      <c r="AP907" s="115" t="str">
        <f t="shared" si="160"/>
        <v/>
      </c>
    </row>
    <row r="908" spans="1:42" x14ac:dyDescent="0.2">
      <c r="A908" s="63" t="str">
        <f t="shared" si="156"/>
        <v/>
      </c>
      <c r="B908" s="133"/>
      <c r="C908" s="133"/>
      <c r="D908" s="135"/>
      <c r="E908" s="135"/>
      <c r="F908" s="137"/>
      <c r="AA908" s="116" t="str">
        <f t="shared" si="155"/>
        <v>00000000000000</v>
      </c>
      <c r="AB908" s="117" t="str">
        <f t="shared" si="157"/>
        <v>000000000000</v>
      </c>
      <c r="AC908" s="118">
        <f t="shared" si="158"/>
        <v>1</v>
      </c>
      <c r="AD908" s="47">
        <v>2</v>
      </c>
      <c r="AE908" s="66">
        <f t="shared" si="161"/>
        <v>0</v>
      </c>
      <c r="AF908" s="66">
        <f t="shared" si="154"/>
        <v>0</v>
      </c>
      <c r="AG908" s="67" t="str">
        <f t="shared" si="162"/>
        <v>0000000000</v>
      </c>
      <c r="AH908" s="67" t="str">
        <f t="shared" si="163"/>
        <v>.00</v>
      </c>
      <c r="AI908" s="67" t="str">
        <f t="shared" si="159"/>
        <v>00</v>
      </c>
      <c r="AJ908" s="67" t="str">
        <f t="shared" si="164"/>
        <v>000000000000</v>
      </c>
      <c r="AK908" s="119"/>
      <c r="AL908" s="120"/>
      <c r="AP908" s="115" t="str">
        <f t="shared" si="160"/>
        <v/>
      </c>
    </row>
    <row r="909" spans="1:42" x14ac:dyDescent="0.2">
      <c r="A909" s="63" t="str">
        <f t="shared" si="156"/>
        <v/>
      </c>
      <c r="B909" s="133"/>
      <c r="C909" s="133"/>
      <c r="D909" s="135"/>
      <c r="E909" s="135"/>
      <c r="F909" s="137"/>
      <c r="AA909" s="116" t="str">
        <f t="shared" si="155"/>
        <v>00000000000000</v>
      </c>
      <c r="AB909" s="117" t="str">
        <f t="shared" si="157"/>
        <v>000000000000</v>
      </c>
      <c r="AC909" s="118">
        <f t="shared" si="158"/>
        <v>1</v>
      </c>
      <c r="AD909" s="47">
        <v>2</v>
      </c>
      <c r="AE909" s="66">
        <f t="shared" si="161"/>
        <v>0</v>
      </c>
      <c r="AF909" s="66">
        <f t="shared" si="154"/>
        <v>0</v>
      </c>
      <c r="AG909" s="67" t="str">
        <f t="shared" si="162"/>
        <v>0000000000</v>
      </c>
      <c r="AH909" s="67" t="str">
        <f t="shared" si="163"/>
        <v>.00</v>
      </c>
      <c r="AI909" s="67" t="str">
        <f t="shared" si="159"/>
        <v>00</v>
      </c>
      <c r="AJ909" s="67" t="str">
        <f t="shared" si="164"/>
        <v>000000000000</v>
      </c>
      <c r="AK909" s="119"/>
      <c r="AL909" s="120"/>
      <c r="AP909" s="115" t="str">
        <f t="shared" si="160"/>
        <v/>
      </c>
    </row>
    <row r="910" spans="1:42" x14ac:dyDescent="0.2">
      <c r="A910" s="63" t="str">
        <f t="shared" si="156"/>
        <v/>
      </c>
      <c r="B910" s="133"/>
      <c r="C910" s="133"/>
      <c r="D910" s="135"/>
      <c r="E910" s="135"/>
      <c r="F910" s="137"/>
      <c r="AA910" s="116" t="str">
        <f t="shared" si="155"/>
        <v>00000000000000</v>
      </c>
      <c r="AB910" s="117" t="str">
        <f t="shared" si="157"/>
        <v>000000000000</v>
      </c>
      <c r="AC910" s="118">
        <f t="shared" si="158"/>
        <v>1</v>
      </c>
      <c r="AD910" s="47">
        <v>2</v>
      </c>
      <c r="AE910" s="66">
        <f t="shared" si="161"/>
        <v>0</v>
      </c>
      <c r="AF910" s="66">
        <f t="shared" si="154"/>
        <v>0</v>
      </c>
      <c r="AG910" s="67" t="str">
        <f t="shared" si="162"/>
        <v>0000000000</v>
      </c>
      <c r="AH910" s="67" t="str">
        <f t="shared" si="163"/>
        <v>.00</v>
      </c>
      <c r="AI910" s="67" t="str">
        <f t="shared" si="159"/>
        <v>00</v>
      </c>
      <c r="AJ910" s="67" t="str">
        <f t="shared" si="164"/>
        <v>000000000000</v>
      </c>
      <c r="AK910" s="119"/>
      <c r="AL910" s="120"/>
      <c r="AP910" s="115" t="str">
        <f t="shared" si="160"/>
        <v/>
      </c>
    </row>
    <row r="911" spans="1:42" x14ac:dyDescent="0.2">
      <c r="A911" s="63" t="str">
        <f t="shared" si="156"/>
        <v/>
      </c>
      <c r="B911" s="133"/>
      <c r="C911" s="133"/>
      <c r="D911" s="135"/>
      <c r="E911" s="135"/>
      <c r="F911" s="137"/>
      <c r="AA911" s="116" t="str">
        <f t="shared" si="155"/>
        <v>00000000000000</v>
      </c>
      <c r="AB911" s="117" t="str">
        <f t="shared" si="157"/>
        <v>000000000000</v>
      </c>
      <c r="AC911" s="118">
        <f t="shared" si="158"/>
        <v>1</v>
      </c>
      <c r="AD911" s="47">
        <v>2</v>
      </c>
      <c r="AE911" s="66">
        <f t="shared" si="161"/>
        <v>0</v>
      </c>
      <c r="AF911" s="66">
        <f t="shared" si="154"/>
        <v>0</v>
      </c>
      <c r="AG911" s="67" t="str">
        <f t="shared" si="162"/>
        <v>0000000000</v>
      </c>
      <c r="AH911" s="67" t="str">
        <f t="shared" si="163"/>
        <v>.00</v>
      </c>
      <c r="AI911" s="67" t="str">
        <f t="shared" si="159"/>
        <v>00</v>
      </c>
      <c r="AJ911" s="67" t="str">
        <f t="shared" si="164"/>
        <v>000000000000</v>
      </c>
      <c r="AK911" s="119"/>
      <c r="AL911" s="120"/>
      <c r="AP911" s="115" t="str">
        <f t="shared" si="160"/>
        <v/>
      </c>
    </row>
    <row r="912" spans="1:42" x14ac:dyDescent="0.2">
      <c r="A912" s="63" t="str">
        <f t="shared" si="156"/>
        <v/>
      </c>
      <c r="B912" s="133"/>
      <c r="C912" s="133"/>
      <c r="D912" s="135"/>
      <c r="E912" s="135"/>
      <c r="F912" s="137"/>
      <c r="AA912" s="116" t="str">
        <f t="shared" si="155"/>
        <v>00000000000000</v>
      </c>
      <c r="AB912" s="117" t="str">
        <f t="shared" si="157"/>
        <v>000000000000</v>
      </c>
      <c r="AC912" s="118">
        <f t="shared" si="158"/>
        <v>1</v>
      </c>
      <c r="AD912" s="47">
        <v>2</v>
      </c>
      <c r="AE912" s="66">
        <f t="shared" si="161"/>
        <v>0</v>
      </c>
      <c r="AF912" s="66">
        <f t="shared" si="154"/>
        <v>0</v>
      </c>
      <c r="AG912" s="67" t="str">
        <f t="shared" si="162"/>
        <v>0000000000</v>
      </c>
      <c r="AH912" s="67" t="str">
        <f t="shared" si="163"/>
        <v>.00</v>
      </c>
      <c r="AI912" s="67" t="str">
        <f t="shared" si="159"/>
        <v>00</v>
      </c>
      <c r="AJ912" s="67" t="str">
        <f t="shared" si="164"/>
        <v>000000000000</v>
      </c>
      <c r="AK912" s="119"/>
      <c r="AL912" s="120"/>
      <c r="AP912" s="115" t="str">
        <f t="shared" si="160"/>
        <v/>
      </c>
    </row>
    <row r="913" spans="1:42" x14ac:dyDescent="0.2">
      <c r="A913" s="63" t="str">
        <f t="shared" si="156"/>
        <v/>
      </c>
      <c r="B913" s="133"/>
      <c r="C913" s="133"/>
      <c r="D913" s="135"/>
      <c r="E913" s="135"/>
      <c r="F913" s="137"/>
      <c r="AA913" s="116" t="str">
        <f t="shared" si="155"/>
        <v>00000000000000</v>
      </c>
      <c r="AB913" s="117" t="str">
        <f t="shared" si="157"/>
        <v>000000000000</v>
      </c>
      <c r="AC913" s="118">
        <f t="shared" si="158"/>
        <v>1</v>
      </c>
      <c r="AD913" s="47">
        <v>2</v>
      </c>
      <c r="AE913" s="66">
        <f t="shared" si="161"/>
        <v>0</v>
      </c>
      <c r="AF913" s="66">
        <f t="shared" si="154"/>
        <v>0</v>
      </c>
      <c r="AG913" s="67" t="str">
        <f t="shared" si="162"/>
        <v>0000000000</v>
      </c>
      <c r="AH913" s="67" t="str">
        <f t="shared" si="163"/>
        <v>.00</v>
      </c>
      <c r="AI913" s="67" t="str">
        <f t="shared" si="159"/>
        <v>00</v>
      </c>
      <c r="AJ913" s="67" t="str">
        <f t="shared" si="164"/>
        <v>000000000000</v>
      </c>
      <c r="AK913" s="119"/>
      <c r="AL913" s="120"/>
      <c r="AP913" s="115" t="str">
        <f t="shared" si="160"/>
        <v/>
      </c>
    </row>
    <row r="914" spans="1:42" x14ac:dyDescent="0.2">
      <c r="A914" s="63" t="str">
        <f t="shared" si="156"/>
        <v/>
      </c>
      <c r="B914" s="133"/>
      <c r="C914" s="133"/>
      <c r="D914" s="135"/>
      <c r="E914" s="135"/>
      <c r="F914" s="137"/>
      <c r="AA914" s="116" t="str">
        <f t="shared" si="155"/>
        <v>00000000000000</v>
      </c>
      <c r="AB914" s="117" t="str">
        <f t="shared" si="157"/>
        <v>000000000000</v>
      </c>
      <c r="AC914" s="118">
        <f t="shared" si="158"/>
        <v>1</v>
      </c>
      <c r="AD914" s="47">
        <v>2</v>
      </c>
      <c r="AE914" s="66">
        <f t="shared" si="161"/>
        <v>0</v>
      </c>
      <c r="AF914" s="66">
        <f t="shared" si="154"/>
        <v>0</v>
      </c>
      <c r="AG914" s="67" t="str">
        <f t="shared" si="162"/>
        <v>0000000000</v>
      </c>
      <c r="AH914" s="67" t="str">
        <f t="shared" si="163"/>
        <v>.00</v>
      </c>
      <c r="AI914" s="67" t="str">
        <f t="shared" si="159"/>
        <v>00</v>
      </c>
      <c r="AJ914" s="67" t="str">
        <f t="shared" si="164"/>
        <v>000000000000</v>
      </c>
      <c r="AK914" s="119"/>
      <c r="AL914" s="120"/>
      <c r="AP914" s="115" t="str">
        <f t="shared" si="160"/>
        <v/>
      </c>
    </row>
    <row r="915" spans="1:42" x14ac:dyDescent="0.2">
      <c r="A915" s="63" t="str">
        <f t="shared" si="156"/>
        <v/>
      </c>
      <c r="B915" s="133"/>
      <c r="C915" s="133"/>
      <c r="D915" s="135"/>
      <c r="E915" s="135"/>
      <c r="F915" s="137"/>
      <c r="AA915" s="116" t="str">
        <f t="shared" si="155"/>
        <v>00000000000000</v>
      </c>
      <c r="AB915" s="117" t="str">
        <f t="shared" si="157"/>
        <v>000000000000</v>
      </c>
      <c r="AC915" s="118">
        <f t="shared" si="158"/>
        <v>1</v>
      </c>
      <c r="AD915" s="47">
        <v>2</v>
      </c>
      <c r="AE915" s="66">
        <f t="shared" si="161"/>
        <v>0</v>
      </c>
      <c r="AF915" s="66">
        <f t="shared" si="154"/>
        <v>0</v>
      </c>
      <c r="AG915" s="67" t="str">
        <f t="shared" si="162"/>
        <v>0000000000</v>
      </c>
      <c r="AH915" s="67" t="str">
        <f t="shared" si="163"/>
        <v>.00</v>
      </c>
      <c r="AI915" s="67" t="str">
        <f t="shared" si="159"/>
        <v>00</v>
      </c>
      <c r="AJ915" s="67" t="str">
        <f t="shared" si="164"/>
        <v>000000000000</v>
      </c>
      <c r="AK915" s="119"/>
      <c r="AL915" s="120"/>
      <c r="AP915" s="115" t="str">
        <f t="shared" si="160"/>
        <v/>
      </c>
    </row>
    <row r="916" spans="1:42" x14ac:dyDescent="0.2">
      <c r="A916" s="63" t="str">
        <f t="shared" si="156"/>
        <v/>
      </c>
      <c r="B916" s="133"/>
      <c r="C916" s="133"/>
      <c r="D916" s="135"/>
      <c r="E916" s="135"/>
      <c r="F916" s="137"/>
      <c r="AA916" s="116" t="str">
        <f t="shared" si="155"/>
        <v>00000000000000</v>
      </c>
      <c r="AB916" s="117" t="str">
        <f t="shared" si="157"/>
        <v>000000000000</v>
      </c>
      <c r="AC916" s="118">
        <f t="shared" si="158"/>
        <v>1</v>
      </c>
      <c r="AD916" s="47">
        <v>2</v>
      </c>
      <c r="AE916" s="66">
        <f t="shared" si="161"/>
        <v>0</v>
      </c>
      <c r="AF916" s="66">
        <f t="shared" si="154"/>
        <v>0</v>
      </c>
      <c r="AG916" s="67" t="str">
        <f t="shared" si="162"/>
        <v>0000000000</v>
      </c>
      <c r="AH916" s="67" t="str">
        <f t="shared" si="163"/>
        <v>.00</v>
      </c>
      <c r="AI916" s="67" t="str">
        <f t="shared" si="159"/>
        <v>00</v>
      </c>
      <c r="AJ916" s="67" t="str">
        <f t="shared" si="164"/>
        <v>000000000000</v>
      </c>
      <c r="AK916" s="119"/>
      <c r="AL916" s="120"/>
      <c r="AP916" s="115" t="str">
        <f t="shared" si="160"/>
        <v/>
      </c>
    </row>
    <row r="917" spans="1:42" x14ac:dyDescent="0.2">
      <c r="A917" s="63" t="str">
        <f t="shared" si="156"/>
        <v/>
      </c>
      <c r="B917" s="133"/>
      <c r="C917" s="133"/>
      <c r="D917" s="135"/>
      <c r="E917" s="135"/>
      <c r="F917" s="137"/>
      <c r="AA917" s="116" t="str">
        <f t="shared" si="155"/>
        <v>00000000000000</v>
      </c>
      <c r="AB917" s="117" t="str">
        <f t="shared" si="157"/>
        <v>000000000000</v>
      </c>
      <c r="AC917" s="118">
        <f t="shared" si="158"/>
        <v>1</v>
      </c>
      <c r="AD917" s="47">
        <v>2</v>
      </c>
      <c r="AE917" s="66">
        <f t="shared" si="161"/>
        <v>0</v>
      </c>
      <c r="AF917" s="66">
        <f t="shared" si="154"/>
        <v>0</v>
      </c>
      <c r="AG917" s="67" t="str">
        <f t="shared" si="162"/>
        <v>0000000000</v>
      </c>
      <c r="AH917" s="67" t="str">
        <f t="shared" si="163"/>
        <v>.00</v>
      </c>
      <c r="AI917" s="67" t="str">
        <f t="shared" si="159"/>
        <v>00</v>
      </c>
      <c r="AJ917" s="67" t="str">
        <f t="shared" si="164"/>
        <v>000000000000</v>
      </c>
      <c r="AK917" s="119"/>
      <c r="AL917" s="120"/>
      <c r="AP917" s="115" t="str">
        <f t="shared" si="160"/>
        <v/>
      </c>
    </row>
    <row r="918" spans="1:42" x14ac:dyDescent="0.2">
      <c r="A918" s="63" t="str">
        <f t="shared" si="156"/>
        <v/>
      </c>
      <c r="B918" s="133"/>
      <c r="C918" s="133"/>
      <c r="D918" s="135"/>
      <c r="E918" s="135"/>
      <c r="F918" s="137"/>
      <c r="AA918" s="116" t="str">
        <f t="shared" si="155"/>
        <v>00000000000000</v>
      </c>
      <c r="AB918" s="117" t="str">
        <f t="shared" si="157"/>
        <v>000000000000</v>
      </c>
      <c r="AC918" s="118">
        <f t="shared" si="158"/>
        <v>1</v>
      </c>
      <c r="AD918" s="47">
        <v>2</v>
      </c>
      <c r="AE918" s="66">
        <f t="shared" si="161"/>
        <v>0</v>
      </c>
      <c r="AF918" s="66">
        <f t="shared" si="154"/>
        <v>0</v>
      </c>
      <c r="AG918" s="67" t="str">
        <f t="shared" si="162"/>
        <v>0000000000</v>
      </c>
      <c r="AH918" s="67" t="str">
        <f t="shared" si="163"/>
        <v>.00</v>
      </c>
      <c r="AI918" s="67" t="str">
        <f t="shared" si="159"/>
        <v>00</v>
      </c>
      <c r="AJ918" s="67" t="str">
        <f t="shared" si="164"/>
        <v>000000000000</v>
      </c>
      <c r="AK918" s="119"/>
      <c r="AL918" s="120"/>
      <c r="AP918" s="115" t="str">
        <f t="shared" si="160"/>
        <v/>
      </c>
    </row>
    <row r="919" spans="1:42" x14ac:dyDescent="0.2">
      <c r="A919" s="63" t="str">
        <f t="shared" si="156"/>
        <v/>
      </c>
      <c r="B919" s="133"/>
      <c r="C919" s="133"/>
      <c r="D919" s="135"/>
      <c r="E919" s="135"/>
      <c r="F919" s="137"/>
      <c r="AA919" s="116" t="str">
        <f t="shared" si="155"/>
        <v>00000000000000</v>
      </c>
      <c r="AB919" s="117" t="str">
        <f t="shared" si="157"/>
        <v>000000000000</v>
      </c>
      <c r="AC919" s="118">
        <f t="shared" si="158"/>
        <v>1</v>
      </c>
      <c r="AD919" s="47">
        <v>2</v>
      </c>
      <c r="AE919" s="66">
        <f t="shared" si="161"/>
        <v>0</v>
      </c>
      <c r="AF919" s="66">
        <f t="shared" si="154"/>
        <v>0</v>
      </c>
      <c r="AG919" s="67" t="str">
        <f t="shared" si="162"/>
        <v>0000000000</v>
      </c>
      <c r="AH919" s="67" t="str">
        <f t="shared" si="163"/>
        <v>.00</v>
      </c>
      <c r="AI919" s="67" t="str">
        <f t="shared" si="159"/>
        <v>00</v>
      </c>
      <c r="AJ919" s="67" t="str">
        <f t="shared" si="164"/>
        <v>000000000000</v>
      </c>
      <c r="AK919" s="119"/>
      <c r="AL919" s="120"/>
      <c r="AP919" s="115" t="str">
        <f t="shared" si="160"/>
        <v/>
      </c>
    </row>
    <row r="920" spans="1:42" x14ac:dyDescent="0.2">
      <c r="A920" s="63" t="str">
        <f t="shared" si="156"/>
        <v/>
      </c>
      <c r="B920" s="133"/>
      <c r="C920" s="133"/>
      <c r="D920" s="135"/>
      <c r="E920" s="135"/>
      <c r="F920" s="137"/>
      <c r="AA920" s="116" t="str">
        <f t="shared" si="155"/>
        <v>00000000000000</v>
      </c>
      <c r="AB920" s="117" t="str">
        <f t="shared" si="157"/>
        <v>000000000000</v>
      </c>
      <c r="AC920" s="118">
        <f t="shared" si="158"/>
        <v>1</v>
      </c>
      <c r="AD920" s="47">
        <v>2</v>
      </c>
      <c r="AE920" s="66">
        <f t="shared" si="161"/>
        <v>0</v>
      </c>
      <c r="AF920" s="66">
        <f t="shared" si="154"/>
        <v>0</v>
      </c>
      <c r="AG920" s="67" t="str">
        <f t="shared" si="162"/>
        <v>0000000000</v>
      </c>
      <c r="AH920" s="67" t="str">
        <f t="shared" si="163"/>
        <v>.00</v>
      </c>
      <c r="AI920" s="67" t="str">
        <f t="shared" si="159"/>
        <v>00</v>
      </c>
      <c r="AJ920" s="67" t="str">
        <f t="shared" si="164"/>
        <v>000000000000</v>
      </c>
      <c r="AK920" s="119"/>
      <c r="AL920" s="120"/>
      <c r="AP920" s="115" t="str">
        <f t="shared" si="160"/>
        <v/>
      </c>
    </row>
    <row r="921" spans="1:42" x14ac:dyDescent="0.2">
      <c r="A921" s="63" t="str">
        <f t="shared" si="156"/>
        <v/>
      </c>
      <c r="B921" s="133"/>
      <c r="C921" s="133"/>
      <c r="D921" s="135"/>
      <c r="E921" s="135"/>
      <c r="F921" s="137"/>
      <c r="AA921" s="116" t="str">
        <f t="shared" si="155"/>
        <v>00000000000000</v>
      </c>
      <c r="AB921" s="117" t="str">
        <f t="shared" si="157"/>
        <v>000000000000</v>
      </c>
      <c r="AC921" s="118">
        <f t="shared" si="158"/>
        <v>1</v>
      </c>
      <c r="AD921" s="47">
        <v>2</v>
      </c>
      <c r="AE921" s="66">
        <f t="shared" si="161"/>
        <v>0</v>
      </c>
      <c r="AF921" s="66">
        <f t="shared" si="154"/>
        <v>0</v>
      </c>
      <c r="AG921" s="67" t="str">
        <f t="shared" si="162"/>
        <v>0000000000</v>
      </c>
      <c r="AH921" s="67" t="str">
        <f t="shared" si="163"/>
        <v>.00</v>
      </c>
      <c r="AI921" s="67" t="str">
        <f t="shared" si="159"/>
        <v>00</v>
      </c>
      <c r="AJ921" s="67" t="str">
        <f t="shared" si="164"/>
        <v>000000000000</v>
      </c>
      <c r="AK921" s="119"/>
      <c r="AL921" s="120"/>
      <c r="AP921" s="115" t="str">
        <f t="shared" si="160"/>
        <v/>
      </c>
    </row>
    <row r="922" spans="1:42" x14ac:dyDescent="0.2">
      <c r="A922" s="63" t="str">
        <f t="shared" si="156"/>
        <v/>
      </c>
      <c r="B922" s="133"/>
      <c r="C922" s="133"/>
      <c r="D922" s="135"/>
      <c r="E922" s="135"/>
      <c r="F922" s="137"/>
      <c r="AA922" s="116" t="str">
        <f t="shared" si="155"/>
        <v>00000000000000</v>
      </c>
      <c r="AB922" s="117" t="str">
        <f t="shared" si="157"/>
        <v>000000000000</v>
      </c>
      <c r="AC922" s="118">
        <f t="shared" si="158"/>
        <v>1</v>
      </c>
      <c r="AD922" s="47">
        <v>2</v>
      </c>
      <c r="AE922" s="66">
        <f t="shared" si="161"/>
        <v>0</v>
      </c>
      <c r="AF922" s="66">
        <f t="shared" si="154"/>
        <v>0</v>
      </c>
      <c r="AG922" s="67" t="str">
        <f t="shared" si="162"/>
        <v>0000000000</v>
      </c>
      <c r="AH922" s="67" t="str">
        <f t="shared" si="163"/>
        <v>.00</v>
      </c>
      <c r="AI922" s="67" t="str">
        <f t="shared" si="159"/>
        <v>00</v>
      </c>
      <c r="AJ922" s="67" t="str">
        <f t="shared" si="164"/>
        <v>000000000000</v>
      </c>
      <c r="AK922" s="119"/>
      <c r="AL922" s="120"/>
      <c r="AP922" s="115" t="str">
        <f t="shared" si="160"/>
        <v/>
      </c>
    </row>
    <row r="923" spans="1:42" x14ac:dyDescent="0.2">
      <c r="A923" s="63" t="str">
        <f t="shared" si="156"/>
        <v/>
      </c>
      <c r="B923" s="133"/>
      <c r="C923" s="133"/>
      <c r="D923" s="135"/>
      <c r="E923" s="135"/>
      <c r="F923" s="137"/>
      <c r="AA923" s="116" t="str">
        <f t="shared" si="155"/>
        <v>00000000000000</v>
      </c>
      <c r="AB923" s="117" t="str">
        <f t="shared" si="157"/>
        <v>000000000000</v>
      </c>
      <c r="AC923" s="118">
        <f t="shared" si="158"/>
        <v>1</v>
      </c>
      <c r="AD923" s="47">
        <v>2</v>
      </c>
      <c r="AE923" s="66">
        <f t="shared" si="161"/>
        <v>0</v>
      </c>
      <c r="AF923" s="66">
        <f t="shared" si="154"/>
        <v>0</v>
      </c>
      <c r="AG923" s="67" t="str">
        <f t="shared" si="162"/>
        <v>0000000000</v>
      </c>
      <c r="AH923" s="67" t="str">
        <f t="shared" si="163"/>
        <v>.00</v>
      </c>
      <c r="AI923" s="67" t="str">
        <f t="shared" si="159"/>
        <v>00</v>
      </c>
      <c r="AJ923" s="67" t="str">
        <f t="shared" si="164"/>
        <v>000000000000</v>
      </c>
      <c r="AK923" s="119"/>
      <c r="AL923" s="120"/>
      <c r="AP923" s="115" t="str">
        <f t="shared" si="160"/>
        <v/>
      </c>
    </row>
    <row r="924" spans="1:42" x14ac:dyDescent="0.2">
      <c r="A924" s="63" t="str">
        <f t="shared" si="156"/>
        <v/>
      </c>
      <c r="B924" s="133"/>
      <c r="C924" s="133"/>
      <c r="D924" s="135"/>
      <c r="E924" s="135"/>
      <c r="F924" s="137"/>
      <c r="AA924" s="116" t="str">
        <f t="shared" si="155"/>
        <v>00000000000000</v>
      </c>
      <c r="AB924" s="117" t="str">
        <f t="shared" si="157"/>
        <v>000000000000</v>
      </c>
      <c r="AC924" s="118">
        <f t="shared" si="158"/>
        <v>1</v>
      </c>
      <c r="AD924" s="47">
        <v>2</v>
      </c>
      <c r="AE924" s="66">
        <f t="shared" si="161"/>
        <v>0</v>
      </c>
      <c r="AF924" s="66">
        <f t="shared" si="154"/>
        <v>0</v>
      </c>
      <c r="AG924" s="67" t="str">
        <f t="shared" si="162"/>
        <v>0000000000</v>
      </c>
      <c r="AH924" s="67" t="str">
        <f t="shared" si="163"/>
        <v>.00</v>
      </c>
      <c r="AI924" s="67" t="str">
        <f t="shared" si="159"/>
        <v>00</v>
      </c>
      <c r="AJ924" s="67" t="str">
        <f t="shared" si="164"/>
        <v>000000000000</v>
      </c>
      <c r="AK924" s="119"/>
      <c r="AL924" s="120"/>
      <c r="AP924" s="115" t="str">
        <f t="shared" si="160"/>
        <v/>
      </c>
    </row>
    <row r="925" spans="1:42" x14ac:dyDescent="0.2">
      <c r="A925" s="63" t="str">
        <f t="shared" si="156"/>
        <v/>
      </c>
      <c r="B925" s="133"/>
      <c r="C925" s="133"/>
      <c r="D925" s="135"/>
      <c r="E925" s="135"/>
      <c r="F925" s="137"/>
      <c r="AA925" s="116" t="str">
        <f t="shared" si="155"/>
        <v>00000000000000</v>
      </c>
      <c r="AB925" s="117" t="str">
        <f t="shared" si="157"/>
        <v>000000000000</v>
      </c>
      <c r="AC925" s="118">
        <f t="shared" si="158"/>
        <v>1</v>
      </c>
      <c r="AD925" s="47">
        <v>2</v>
      </c>
      <c r="AE925" s="66">
        <f t="shared" si="161"/>
        <v>0</v>
      </c>
      <c r="AF925" s="66">
        <f t="shared" si="154"/>
        <v>0</v>
      </c>
      <c r="AG925" s="67" t="str">
        <f t="shared" si="162"/>
        <v>0000000000</v>
      </c>
      <c r="AH925" s="67" t="str">
        <f t="shared" si="163"/>
        <v>.00</v>
      </c>
      <c r="AI925" s="67" t="str">
        <f t="shared" si="159"/>
        <v>00</v>
      </c>
      <c r="AJ925" s="67" t="str">
        <f t="shared" si="164"/>
        <v>000000000000</v>
      </c>
      <c r="AK925" s="119"/>
      <c r="AL925" s="120"/>
      <c r="AP925" s="115" t="str">
        <f t="shared" si="160"/>
        <v/>
      </c>
    </row>
    <row r="926" spans="1:42" x14ac:dyDescent="0.2">
      <c r="A926" s="63" t="str">
        <f t="shared" si="156"/>
        <v/>
      </c>
      <c r="B926" s="133"/>
      <c r="C926" s="133"/>
      <c r="D926" s="135"/>
      <c r="E926" s="135"/>
      <c r="F926" s="137"/>
      <c r="AA926" s="116" t="str">
        <f t="shared" si="155"/>
        <v>00000000000000</v>
      </c>
      <c r="AB926" s="117" t="str">
        <f t="shared" si="157"/>
        <v>000000000000</v>
      </c>
      <c r="AC926" s="118">
        <f t="shared" si="158"/>
        <v>1</v>
      </c>
      <c r="AD926" s="47">
        <v>2</v>
      </c>
      <c r="AE926" s="66">
        <f t="shared" si="161"/>
        <v>0</v>
      </c>
      <c r="AF926" s="66">
        <f t="shared" si="154"/>
        <v>0</v>
      </c>
      <c r="AG926" s="67" t="str">
        <f t="shared" si="162"/>
        <v>0000000000</v>
      </c>
      <c r="AH926" s="67" t="str">
        <f t="shared" si="163"/>
        <v>.00</v>
      </c>
      <c r="AI926" s="67" t="str">
        <f t="shared" si="159"/>
        <v>00</v>
      </c>
      <c r="AJ926" s="67" t="str">
        <f t="shared" si="164"/>
        <v>000000000000</v>
      </c>
      <c r="AK926" s="119"/>
      <c r="AL926" s="120"/>
      <c r="AP926" s="115" t="str">
        <f t="shared" si="160"/>
        <v/>
      </c>
    </row>
    <row r="927" spans="1:42" x14ac:dyDescent="0.2">
      <c r="A927" s="63" t="str">
        <f t="shared" si="156"/>
        <v/>
      </c>
      <c r="B927" s="133"/>
      <c r="C927" s="133"/>
      <c r="D927" s="135"/>
      <c r="E927" s="135"/>
      <c r="F927" s="137"/>
      <c r="AA927" s="116" t="str">
        <f t="shared" si="155"/>
        <v>00000000000000</v>
      </c>
      <c r="AB927" s="117" t="str">
        <f t="shared" si="157"/>
        <v>000000000000</v>
      </c>
      <c r="AC927" s="118">
        <f t="shared" si="158"/>
        <v>1</v>
      </c>
      <c r="AD927" s="47">
        <v>2</v>
      </c>
      <c r="AE927" s="66">
        <f t="shared" si="161"/>
        <v>0</v>
      </c>
      <c r="AF927" s="66">
        <f t="shared" si="154"/>
        <v>0</v>
      </c>
      <c r="AG927" s="67" t="str">
        <f t="shared" si="162"/>
        <v>0000000000</v>
      </c>
      <c r="AH927" s="67" t="str">
        <f t="shared" si="163"/>
        <v>.00</v>
      </c>
      <c r="AI927" s="67" t="str">
        <f t="shared" si="159"/>
        <v>00</v>
      </c>
      <c r="AJ927" s="67" t="str">
        <f t="shared" si="164"/>
        <v>000000000000</v>
      </c>
      <c r="AK927" s="119"/>
      <c r="AL927" s="120"/>
      <c r="AP927" s="115" t="str">
        <f t="shared" si="160"/>
        <v/>
      </c>
    </row>
    <row r="928" spans="1:42" x14ac:dyDescent="0.2">
      <c r="A928" s="63" t="str">
        <f t="shared" si="156"/>
        <v/>
      </c>
      <c r="B928" s="133"/>
      <c r="C928" s="133"/>
      <c r="D928" s="135"/>
      <c r="E928" s="135"/>
      <c r="F928" s="137"/>
      <c r="AA928" s="116" t="str">
        <f t="shared" si="155"/>
        <v>00000000000000</v>
      </c>
      <c r="AB928" s="117" t="str">
        <f t="shared" si="157"/>
        <v>000000000000</v>
      </c>
      <c r="AC928" s="118">
        <f t="shared" si="158"/>
        <v>1</v>
      </c>
      <c r="AD928" s="47">
        <v>2</v>
      </c>
      <c r="AE928" s="66">
        <f t="shared" si="161"/>
        <v>0</v>
      </c>
      <c r="AF928" s="66">
        <f t="shared" si="154"/>
        <v>0</v>
      </c>
      <c r="AG928" s="67" t="str">
        <f t="shared" si="162"/>
        <v>0000000000</v>
      </c>
      <c r="AH928" s="67" t="str">
        <f t="shared" si="163"/>
        <v>.00</v>
      </c>
      <c r="AI928" s="67" t="str">
        <f t="shared" si="159"/>
        <v>00</v>
      </c>
      <c r="AJ928" s="67" t="str">
        <f t="shared" si="164"/>
        <v>000000000000</v>
      </c>
      <c r="AK928" s="119"/>
      <c r="AL928" s="120"/>
      <c r="AP928" s="115" t="str">
        <f t="shared" si="160"/>
        <v/>
      </c>
    </row>
    <row r="929" spans="1:42" x14ac:dyDescent="0.2">
      <c r="A929" s="63" t="str">
        <f t="shared" si="156"/>
        <v/>
      </c>
      <c r="B929" s="133"/>
      <c r="C929" s="133"/>
      <c r="D929" s="135"/>
      <c r="E929" s="135"/>
      <c r="F929" s="137"/>
      <c r="AA929" s="116" t="str">
        <f t="shared" si="155"/>
        <v>00000000000000</v>
      </c>
      <c r="AB929" s="117" t="str">
        <f t="shared" si="157"/>
        <v>000000000000</v>
      </c>
      <c r="AC929" s="118">
        <f t="shared" si="158"/>
        <v>1</v>
      </c>
      <c r="AD929" s="47">
        <v>2</v>
      </c>
      <c r="AE929" s="66">
        <f t="shared" si="161"/>
        <v>0</v>
      </c>
      <c r="AF929" s="66">
        <f t="shared" si="154"/>
        <v>0</v>
      </c>
      <c r="AG929" s="67" t="str">
        <f t="shared" si="162"/>
        <v>0000000000</v>
      </c>
      <c r="AH929" s="67" t="str">
        <f t="shared" si="163"/>
        <v>.00</v>
      </c>
      <c r="AI929" s="67" t="str">
        <f t="shared" si="159"/>
        <v>00</v>
      </c>
      <c r="AJ929" s="67" t="str">
        <f t="shared" si="164"/>
        <v>000000000000</v>
      </c>
      <c r="AK929" s="119"/>
      <c r="AL929" s="120"/>
      <c r="AP929" s="115" t="str">
        <f t="shared" si="160"/>
        <v/>
      </c>
    </row>
    <row r="930" spans="1:42" x14ac:dyDescent="0.2">
      <c r="A930" s="63" t="str">
        <f t="shared" si="156"/>
        <v/>
      </c>
      <c r="B930" s="133"/>
      <c r="C930" s="133"/>
      <c r="D930" s="135"/>
      <c r="E930" s="135"/>
      <c r="F930" s="137"/>
      <c r="AA930" s="116" t="str">
        <f t="shared" si="155"/>
        <v>00000000000000</v>
      </c>
      <c r="AB930" s="117" t="str">
        <f t="shared" si="157"/>
        <v>000000000000</v>
      </c>
      <c r="AC930" s="118">
        <f t="shared" si="158"/>
        <v>1</v>
      </c>
      <c r="AD930" s="47">
        <v>2</v>
      </c>
      <c r="AE930" s="66">
        <f t="shared" si="161"/>
        <v>0</v>
      </c>
      <c r="AF930" s="66">
        <f t="shared" si="154"/>
        <v>0</v>
      </c>
      <c r="AG930" s="67" t="str">
        <f t="shared" si="162"/>
        <v>0000000000</v>
      </c>
      <c r="AH930" s="67" t="str">
        <f t="shared" si="163"/>
        <v>.00</v>
      </c>
      <c r="AI930" s="67" t="str">
        <f t="shared" si="159"/>
        <v>00</v>
      </c>
      <c r="AJ930" s="67" t="str">
        <f t="shared" si="164"/>
        <v>000000000000</v>
      </c>
      <c r="AK930" s="119"/>
      <c r="AL930" s="120"/>
      <c r="AP930" s="115" t="str">
        <f t="shared" si="160"/>
        <v/>
      </c>
    </row>
    <row r="931" spans="1:42" x14ac:dyDescent="0.2">
      <c r="A931" s="63" t="str">
        <f t="shared" si="156"/>
        <v/>
      </c>
      <c r="B931" s="133"/>
      <c r="C931" s="133"/>
      <c r="D931" s="135"/>
      <c r="E931" s="135"/>
      <c r="F931" s="137"/>
      <c r="AA931" s="116" t="str">
        <f t="shared" si="155"/>
        <v>00000000000000</v>
      </c>
      <c r="AB931" s="117" t="str">
        <f t="shared" si="157"/>
        <v>000000000000</v>
      </c>
      <c r="AC931" s="118">
        <f t="shared" si="158"/>
        <v>1</v>
      </c>
      <c r="AD931" s="47">
        <v>2</v>
      </c>
      <c r="AE931" s="66">
        <f t="shared" si="161"/>
        <v>0</v>
      </c>
      <c r="AF931" s="66">
        <f t="shared" si="154"/>
        <v>0</v>
      </c>
      <c r="AG931" s="67" t="str">
        <f t="shared" si="162"/>
        <v>0000000000</v>
      </c>
      <c r="AH931" s="67" t="str">
        <f t="shared" si="163"/>
        <v>.00</v>
      </c>
      <c r="AI931" s="67" t="str">
        <f t="shared" si="159"/>
        <v>00</v>
      </c>
      <c r="AJ931" s="67" t="str">
        <f t="shared" si="164"/>
        <v>000000000000</v>
      </c>
      <c r="AK931" s="119"/>
      <c r="AL931" s="120"/>
      <c r="AP931" s="115" t="str">
        <f t="shared" si="160"/>
        <v/>
      </c>
    </row>
    <row r="932" spans="1:42" x14ac:dyDescent="0.2">
      <c r="A932" s="63" t="str">
        <f t="shared" si="156"/>
        <v/>
      </c>
      <c r="B932" s="133"/>
      <c r="C932" s="133"/>
      <c r="D932" s="135"/>
      <c r="E932" s="135"/>
      <c r="F932" s="137"/>
      <c r="AA932" s="116" t="str">
        <f t="shared" si="155"/>
        <v>00000000000000</v>
      </c>
      <c r="AB932" s="117" t="str">
        <f t="shared" si="157"/>
        <v>000000000000</v>
      </c>
      <c r="AC932" s="118">
        <f t="shared" si="158"/>
        <v>1</v>
      </c>
      <c r="AD932" s="47">
        <v>2</v>
      </c>
      <c r="AE932" s="66">
        <f t="shared" si="161"/>
        <v>0</v>
      </c>
      <c r="AF932" s="66">
        <f t="shared" si="154"/>
        <v>0</v>
      </c>
      <c r="AG932" s="67" t="str">
        <f t="shared" si="162"/>
        <v>0000000000</v>
      </c>
      <c r="AH932" s="67" t="str">
        <f t="shared" si="163"/>
        <v>.00</v>
      </c>
      <c r="AI932" s="67" t="str">
        <f t="shared" si="159"/>
        <v>00</v>
      </c>
      <c r="AJ932" s="67" t="str">
        <f t="shared" si="164"/>
        <v>000000000000</v>
      </c>
      <c r="AK932" s="119"/>
      <c r="AL932" s="120"/>
      <c r="AP932" s="115" t="str">
        <f t="shared" si="160"/>
        <v/>
      </c>
    </row>
    <row r="933" spans="1:42" x14ac:dyDescent="0.2">
      <c r="A933" s="63" t="str">
        <f t="shared" si="156"/>
        <v/>
      </c>
      <c r="B933" s="133"/>
      <c r="C933" s="133"/>
      <c r="D933" s="135"/>
      <c r="E933" s="135"/>
      <c r="F933" s="137"/>
      <c r="AA933" s="116" t="str">
        <f t="shared" si="155"/>
        <v>00000000000000</v>
      </c>
      <c r="AB933" s="117" t="str">
        <f t="shared" si="157"/>
        <v>000000000000</v>
      </c>
      <c r="AC933" s="118">
        <f t="shared" si="158"/>
        <v>1</v>
      </c>
      <c r="AD933" s="47">
        <v>2</v>
      </c>
      <c r="AE933" s="66">
        <f t="shared" si="161"/>
        <v>0</v>
      </c>
      <c r="AF933" s="66">
        <f t="shared" si="154"/>
        <v>0</v>
      </c>
      <c r="AG933" s="67" t="str">
        <f t="shared" si="162"/>
        <v>0000000000</v>
      </c>
      <c r="AH933" s="67" t="str">
        <f t="shared" si="163"/>
        <v>.00</v>
      </c>
      <c r="AI933" s="67" t="str">
        <f t="shared" si="159"/>
        <v>00</v>
      </c>
      <c r="AJ933" s="67" t="str">
        <f t="shared" si="164"/>
        <v>000000000000</v>
      </c>
      <c r="AK933" s="119"/>
      <c r="AL933" s="120"/>
      <c r="AP933" s="115" t="str">
        <f t="shared" si="160"/>
        <v/>
      </c>
    </row>
    <row r="934" spans="1:42" x14ac:dyDescent="0.2">
      <c r="A934" s="63" t="str">
        <f t="shared" si="156"/>
        <v/>
      </c>
      <c r="B934" s="133"/>
      <c r="C934" s="133"/>
      <c r="D934" s="135"/>
      <c r="E934" s="135"/>
      <c r="F934" s="137"/>
      <c r="AA934" s="116" t="str">
        <f t="shared" si="155"/>
        <v>00000000000000</v>
      </c>
      <c r="AB934" s="117" t="str">
        <f t="shared" si="157"/>
        <v>000000000000</v>
      </c>
      <c r="AC934" s="118">
        <f t="shared" si="158"/>
        <v>1</v>
      </c>
      <c r="AD934" s="47">
        <v>2</v>
      </c>
      <c r="AE934" s="66">
        <f t="shared" si="161"/>
        <v>0</v>
      </c>
      <c r="AF934" s="66">
        <f t="shared" si="154"/>
        <v>0</v>
      </c>
      <c r="AG934" s="67" t="str">
        <f t="shared" si="162"/>
        <v>0000000000</v>
      </c>
      <c r="AH934" s="67" t="str">
        <f t="shared" si="163"/>
        <v>.00</v>
      </c>
      <c r="AI934" s="67" t="str">
        <f t="shared" si="159"/>
        <v>00</v>
      </c>
      <c r="AJ934" s="67" t="str">
        <f t="shared" si="164"/>
        <v>000000000000</v>
      </c>
      <c r="AK934" s="119"/>
      <c r="AL934" s="120"/>
      <c r="AP934" s="115" t="str">
        <f t="shared" si="160"/>
        <v/>
      </c>
    </row>
    <row r="935" spans="1:42" x14ac:dyDescent="0.2">
      <c r="A935" s="63" t="str">
        <f t="shared" si="156"/>
        <v/>
      </c>
      <c r="B935" s="133"/>
      <c r="C935" s="133"/>
      <c r="D935" s="135"/>
      <c r="E935" s="135"/>
      <c r="F935" s="137"/>
      <c r="AA935" s="116" t="str">
        <f t="shared" si="155"/>
        <v>00000000000000</v>
      </c>
      <c r="AB935" s="117" t="str">
        <f t="shared" si="157"/>
        <v>000000000000</v>
      </c>
      <c r="AC935" s="118">
        <f t="shared" si="158"/>
        <v>1</v>
      </c>
      <c r="AD935" s="47">
        <v>2</v>
      </c>
      <c r="AE935" s="66">
        <f t="shared" si="161"/>
        <v>0</v>
      </c>
      <c r="AF935" s="66">
        <f t="shared" si="154"/>
        <v>0</v>
      </c>
      <c r="AG935" s="67" t="str">
        <f t="shared" si="162"/>
        <v>0000000000</v>
      </c>
      <c r="AH935" s="67" t="str">
        <f t="shared" si="163"/>
        <v>.00</v>
      </c>
      <c r="AI935" s="67" t="str">
        <f t="shared" si="159"/>
        <v>00</v>
      </c>
      <c r="AJ935" s="67" t="str">
        <f t="shared" si="164"/>
        <v>000000000000</v>
      </c>
      <c r="AK935" s="119"/>
      <c r="AL935" s="120"/>
      <c r="AP935" s="115" t="str">
        <f t="shared" si="160"/>
        <v/>
      </c>
    </row>
    <row r="936" spans="1:42" x14ac:dyDescent="0.2">
      <c r="A936" s="63" t="str">
        <f t="shared" si="156"/>
        <v/>
      </c>
      <c r="B936" s="133"/>
      <c r="C936" s="133"/>
      <c r="D936" s="135"/>
      <c r="E936" s="135"/>
      <c r="F936" s="137"/>
      <c r="AA936" s="116" t="str">
        <f t="shared" si="155"/>
        <v>00000000000000</v>
      </c>
      <c r="AB936" s="117" t="str">
        <f t="shared" si="157"/>
        <v>000000000000</v>
      </c>
      <c r="AC936" s="118">
        <f t="shared" si="158"/>
        <v>1</v>
      </c>
      <c r="AD936" s="47">
        <v>2</v>
      </c>
      <c r="AE936" s="66">
        <f t="shared" si="161"/>
        <v>0</v>
      </c>
      <c r="AF936" s="66">
        <f t="shared" si="154"/>
        <v>0</v>
      </c>
      <c r="AG936" s="67" t="str">
        <f t="shared" si="162"/>
        <v>0000000000</v>
      </c>
      <c r="AH936" s="67" t="str">
        <f t="shared" si="163"/>
        <v>.00</v>
      </c>
      <c r="AI936" s="67" t="str">
        <f t="shared" si="159"/>
        <v>00</v>
      </c>
      <c r="AJ936" s="67" t="str">
        <f t="shared" si="164"/>
        <v>000000000000</v>
      </c>
      <c r="AK936" s="119"/>
      <c r="AL936" s="120"/>
      <c r="AP936" s="115" t="str">
        <f t="shared" si="160"/>
        <v/>
      </c>
    </row>
    <row r="937" spans="1:42" x14ac:dyDescent="0.2">
      <c r="A937" s="63" t="str">
        <f t="shared" si="156"/>
        <v/>
      </c>
      <c r="B937" s="133"/>
      <c r="C937" s="133"/>
      <c r="D937" s="135"/>
      <c r="E937" s="135"/>
      <c r="F937" s="137"/>
      <c r="AA937" s="116" t="str">
        <f t="shared" si="155"/>
        <v>00000000000000</v>
      </c>
      <c r="AB937" s="117" t="str">
        <f t="shared" si="157"/>
        <v>000000000000</v>
      </c>
      <c r="AC937" s="118">
        <f t="shared" si="158"/>
        <v>1</v>
      </c>
      <c r="AD937" s="47">
        <v>2</v>
      </c>
      <c r="AE937" s="66">
        <f t="shared" si="161"/>
        <v>0</v>
      </c>
      <c r="AF937" s="66">
        <f t="shared" si="154"/>
        <v>0</v>
      </c>
      <c r="AG937" s="67" t="str">
        <f t="shared" si="162"/>
        <v>0000000000</v>
      </c>
      <c r="AH937" s="67" t="str">
        <f t="shared" si="163"/>
        <v>.00</v>
      </c>
      <c r="AI937" s="67" t="str">
        <f t="shared" si="159"/>
        <v>00</v>
      </c>
      <c r="AJ937" s="67" t="str">
        <f t="shared" si="164"/>
        <v>000000000000</v>
      </c>
      <c r="AK937" s="119"/>
      <c r="AL937" s="120"/>
      <c r="AP937" s="115" t="str">
        <f t="shared" si="160"/>
        <v/>
      </c>
    </row>
    <row r="938" spans="1:42" x14ac:dyDescent="0.2">
      <c r="A938" s="63" t="str">
        <f t="shared" si="156"/>
        <v/>
      </c>
      <c r="B938" s="133"/>
      <c r="C938" s="133"/>
      <c r="D938" s="135"/>
      <c r="E938" s="135"/>
      <c r="F938" s="137"/>
      <c r="AA938" s="116" t="str">
        <f t="shared" si="155"/>
        <v>00000000000000</v>
      </c>
      <c r="AB938" s="117" t="str">
        <f t="shared" si="157"/>
        <v>000000000000</v>
      </c>
      <c r="AC938" s="118">
        <f t="shared" si="158"/>
        <v>1</v>
      </c>
      <c r="AD938" s="47">
        <v>2</v>
      </c>
      <c r="AE938" s="66">
        <f t="shared" si="161"/>
        <v>0</v>
      </c>
      <c r="AF938" s="66">
        <f t="shared" si="154"/>
        <v>0</v>
      </c>
      <c r="AG938" s="67" t="str">
        <f t="shared" si="162"/>
        <v>0000000000</v>
      </c>
      <c r="AH938" s="67" t="str">
        <f t="shared" si="163"/>
        <v>.00</v>
      </c>
      <c r="AI938" s="67" t="str">
        <f t="shared" si="159"/>
        <v>00</v>
      </c>
      <c r="AJ938" s="67" t="str">
        <f t="shared" si="164"/>
        <v>000000000000</v>
      </c>
      <c r="AK938" s="119"/>
      <c r="AL938" s="120"/>
      <c r="AP938" s="115" t="str">
        <f t="shared" si="160"/>
        <v/>
      </c>
    </row>
    <row r="939" spans="1:42" x14ac:dyDescent="0.2">
      <c r="A939" s="63" t="str">
        <f t="shared" si="156"/>
        <v/>
      </c>
      <c r="B939" s="133"/>
      <c r="C939" s="133"/>
      <c r="D939" s="135"/>
      <c r="E939" s="135"/>
      <c r="F939" s="137"/>
      <c r="AA939" s="116" t="str">
        <f t="shared" si="155"/>
        <v>00000000000000</v>
      </c>
      <c r="AB939" s="117" t="str">
        <f t="shared" si="157"/>
        <v>000000000000</v>
      </c>
      <c r="AC939" s="118">
        <f t="shared" si="158"/>
        <v>1</v>
      </c>
      <c r="AD939" s="47">
        <v>2</v>
      </c>
      <c r="AE939" s="66">
        <f t="shared" si="161"/>
        <v>0</v>
      </c>
      <c r="AF939" s="66">
        <f t="shared" si="154"/>
        <v>0</v>
      </c>
      <c r="AG939" s="67" t="str">
        <f t="shared" si="162"/>
        <v>0000000000</v>
      </c>
      <c r="AH939" s="67" t="str">
        <f t="shared" si="163"/>
        <v>.00</v>
      </c>
      <c r="AI939" s="67" t="str">
        <f t="shared" si="159"/>
        <v>00</v>
      </c>
      <c r="AJ939" s="67" t="str">
        <f t="shared" si="164"/>
        <v>000000000000</v>
      </c>
      <c r="AK939" s="119"/>
      <c r="AL939" s="120"/>
      <c r="AP939" s="115" t="str">
        <f t="shared" si="160"/>
        <v/>
      </c>
    </row>
    <row r="940" spans="1:42" x14ac:dyDescent="0.2">
      <c r="A940" s="63" t="str">
        <f t="shared" si="156"/>
        <v/>
      </c>
      <c r="B940" s="133"/>
      <c r="C940" s="133"/>
      <c r="D940" s="135"/>
      <c r="E940" s="135"/>
      <c r="F940" s="137"/>
      <c r="AA940" s="116" t="str">
        <f t="shared" si="155"/>
        <v>00000000000000</v>
      </c>
      <c r="AB940" s="117" t="str">
        <f t="shared" si="157"/>
        <v>000000000000</v>
      </c>
      <c r="AC940" s="118">
        <f t="shared" si="158"/>
        <v>1</v>
      </c>
      <c r="AD940" s="47">
        <v>2</v>
      </c>
      <c r="AE940" s="66">
        <f t="shared" si="161"/>
        <v>0</v>
      </c>
      <c r="AF940" s="66">
        <f t="shared" si="154"/>
        <v>0</v>
      </c>
      <c r="AG940" s="67" t="str">
        <f t="shared" si="162"/>
        <v>0000000000</v>
      </c>
      <c r="AH940" s="67" t="str">
        <f t="shared" si="163"/>
        <v>.00</v>
      </c>
      <c r="AI940" s="67" t="str">
        <f t="shared" si="159"/>
        <v>00</v>
      </c>
      <c r="AJ940" s="67" t="str">
        <f t="shared" si="164"/>
        <v>000000000000</v>
      </c>
      <c r="AK940" s="119"/>
      <c r="AL940" s="120"/>
      <c r="AP940" s="115" t="str">
        <f t="shared" si="160"/>
        <v/>
      </c>
    </row>
    <row r="941" spans="1:42" x14ac:dyDescent="0.2">
      <c r="A941" s="63" t="str">
        <f t="shared" si="156"/>
        <v/>
      </c>
      <c r="B941" s="133"/>
      <c r="C941" s="133"/>
      <c r="D941" s="135"/>
      <c r="E941" s="135"/>
      <c r="F941" s="137"/>
      <c r="AA941" s="116" t="str">
        <f t="shared" si="155"/>
        <v>00000000000000</v>
      </c>
      <c r="AB941" s="117" t="str">
        <f t="shared" si="157"/>
        <v>000000000000</v>
      </c>
      <c r="AC941" s="118">
        <f t="shared" si="158"/>
        <v>1</v>
      </c>
      <c r="AD941" s="47">
        <v>2</v>
      </c>
      <c r="AE941" s="66">
        <f t="shared" si="161"/>
        <v>0</v>
      </c>
      <c r="AF941" s="66">
        <f t="shared" si="154"/>
        <v>0</v>
      </c>
      <c r="AG941" s="67" t="str">
        <f t="shared" si="162"/>
        <v>0000000000</v>
      </c>
      <c r="AH941" s="67" t="str">
        <f t="shared" si="163"/>
        <v>.00</v>
      </c>
      <c r="AI941" s="67" t="str">
        <f t="shared" si="159"/>
        <v>00</v>
      </c>
      <c r="AJ941" s="67" t="str">
        <f t="shared" si="164"/>
        <v>000000000000</v>
      </c>
      <c r="AK941" s="119"/>
      <c r="AL941" s="120"/>
      <c r="AP941" s="115" t="str">
        <f t="shared" si="160"/>
        <v/>
      </c>
    </row>
    <row r="942" spans="1:42" x14ac:dyDescent="0.2">
      <c r="A942" s="63" t="str">
        <f t="shared" si="156"/>
        <v/>
      </c>
      <c r="B942" s="133"/>
      <c r="C942" s="133"/>
      <c r="D942" s="135"/>
      <c r="E942" s="135"/>
      <c r="F942" s="137"/>
      <c r="AA942" s="116" t="str">
        <f t="shared" si="155"/>
        <v>00000000000000</v>
      </c>
      <c r="AB942" s="117" t="str">
        <f t="shared" si="157"/>
        <v>000000000000</v>
      </c>
      <c r="AC942" s="118">
        <f t="shared" si="158"/>
        <v>1</v>
      </c>
      <c r="AD942" s="47">
        <v>2</v>
      </c>
      <c r="AE942" s="66">
        <f t="shared" si="161"/>
        <v>0</v>
      </c>
      <c r="AF942" s="66">
        <f t="shared" si="154"/>
        <v>0</v>
      </c>
      <c r="AG942" s="67" t="str">
        <f t="shared" si="162"/>
        <v>0000000000</v>
      </c>
      <c r="AH942" s="67" t="str">
        <f t="shared" si="163"/>
        <v>.00</v>
      </c>
      <c r="AI942" s="67" t="str">
        <f t="shared" si="159"/>
        <v>00</v>
      </c>
      <c r="AJ942" s="67" t="str">
        <f t="shared" si="164"/>
        <v>000000000000</v>
      </c>
      <c r="AK942" s="119"/>
      <c r="AL942" s="120"/>
      <c r="AP942" s="115" t="str">
        <f t="shared" si="160"/>
        <v/>
      </c>
    </row>
    <row r="943" spans="1:42" x14ac:dyDescent="0.2">
      <c r="A943" s="63" t="str">
        <f t="shared" si="156"/>
        <v/>
      </c>
      <c r="B943" s="133"/>
      <c r="C943" s="133"/>
      <c r="D943" s="135"/>
      <c r="E943" s="135"/>
      <c r="F943" s="137"/>
      <c r="AA943" s="116" t="str">
        <f t="shared" si="155"/>
        <v>00000000000000</v>
      </c>
      <c r="AB943" s="117" t="str">
        <f t="shared" si="157"/>
        <v>000000000000</v>
      </c>
      <c r="AC943" s="118">
        <f t="shared" si="158"/>
        <v>1</v>
      </c>
      <c r="AD943" s="47">
        <v>2</v>
      </c>
      <c r="AE943" s="66">
        <f t="shared" si="161"/>
        <v>0</v>
      </c>
      <c r="AF943" s="66">
        <f t="shared" si="154"/>
        <v>0</v>
      </c>
      <c r="AG943" s="67" t="str">
        <f t="shared" si="162"/>
        <v>0000000000</v>
      </c>
      <c r="AH943" s="67" t="str">
        <f t="shared" si="163"/>
        <v>.00</v>
      </c>
      <c r="AI943" s="67" t="str">
        <f t="shared" si="159"/>
        <v>00</v>
      </c>
      <c r="AJ943" s="67" t="str">
        <f t="shared" si="164"/>
        <v>000000000000</v>
      </c>
      <c r="AK943" s="119"/>
      <c r="AL943" s="120"/>
      <c r="AP943" s="115" t="str">
        <f t="shared" si="160"/>
        <v/>
      </c>
    </row>
    <row r="944" spans="1:42" x14ac:dyDescent="0.2">
      <c r="A944" s="63" t="str">
        <f t="shared" si="156"/>
        <v/>
      </c>
      <c r="B944" s="133"/>
      <c r="C944" s="133"/>
      <c r="D944" s="135"/>
      <c r="E944" s="135"/>
      <c r="F944" s="137"/>
      <c r="AA944" s="116" t="str">
        <f t="shared" si="155"/>
        <v>00000000000000</v>
      </c>
      <c r="AB944" s="117" t="str">
        <f t="shared" si="157"/>
        <v>000000000000</v>
      </c>
      <c r="AC944" s="118">
        <f t="shared" si="158"/>
        <v>1</v>
      </c>
      <c r="AD944" s="47">
        <v>2</v>
      </c>
      <c r="AE944" s="66">
        <f t="shared" si="161"/>
        <v>0</v>
      </c>
      <c r="AF944" s="66">
        <f t="shared" si="154"/>
        <v>0</v>
      </c>
      <c r="AG944" s="67" t="str">
        <f t="shared" si="162"/>
        <v>0000000000</v>
      </c>
      <c r="AH944" s="67" t="str">
        <f t="shared" si="163"/>
        <v>.00</v>
      </c>
      <c r="AI944" s="67" t="str">
        <f t="shared" si="159"/>
        <v>00</v>
      </c>
      <c r="AJ944" s="67" t="str">
        <f t="shared" si="164"/>
        <v>000000000000</v>
      </c>
      <c r="AK944" s="119"/>
      <c r="AL944" s="120"/>
      <c r="AP944" s="115" t="str">
        <f t="shared" si="160"/>
        <v/>
      </c>
    </row>
    <row r="945" spans="1:42" x14ac:dyDescent="0.2">
      <c r="A945" s="63" t="str">
        <f t="shared" si="156"/>
        <v/>
      </c>
      <c r="B945" s="133"/>
      <c r="C945" s="133"/>
      <c r="D945" s="135"/>
      <c r="E945" s="135"/>
      <c r="F945" s="137"/>
      <c r="AA945" s="116" t="str">
        <f t="shared" si="155"/>
        <v>00000000000000</v>
      </c>
      <c r="AB945" s="117" t="str">
        <f t="shared" si="157"/>
        <v>000000000000</v>
      </c>
      <c r="AC945" s="118">
        <f t="shared" si="158"/>
        <v>1</v>
      </c>
      <c r="AD945" s="47">
        <v>2</v>
      </c>
      <c r="AE945" s="66">
        <f t="shared" si="161"/>
        <v>0</v>
      </c>
      <c r="AF945" s="66">
        <f t="shared" si="154"/>
        <v>0</v>
      </c>
      <c r="AG945" s="67" t="str">
        <f t="shared" si="162"/>
        <v>0000000000</v>
      </c>
      <c r="AH945" s="67" t="str">
        <f t="shared" si="163"/>
        <v>.00</v>
      </c>
      <c r="AI945" s="67" t="str">
        <f t="shared" si="159"/>
        <v>00</v>
      </c>
      <c r="AJ945" s="67" t="str">
        <f t="shared" si="164"/>
        <v>000000000000</v>
      </c>
      <c r="AK945" s="119"/>
      <c r="AL945" s="120"/>
      <c r="AP945" s="115" t="str">
        <f t="shared" si="160"/>
        <v/>
      </c>
    </row>
    <row r="946" spans="1:42" x14ac:dyDescent="0.2">
      <c r="A946" s="63" t="str">
        <f t="shared" si="156"/>
        <v/>
      </c>
      <c r="B946" s="133"/>
      <c r="C946" s="133"/>
      <c r="D946" s="135"/>
      <c r="E946" s="135"/>
      <c r="F946" s="137"/>
      <c r="AA946" s="116" t="str">
        <f t="shared" si="155"/>
        <v>00000000000000</v>
      </c>
      <c r="AB946" s="117" t="str">
        <f t="shared" si="157"/>
        <v>000000000000</v>
      </c>
      <c r="AC946" s="118">
        <f t="shared" si="158"/>
        <v>1</v>
      </c>
      <c r="AD946" s="47">
        <v>2</v>
      </c>
      <c r="AE946" s="66">
        <f t="shared" si="161"/>
        <v>0</v>
      </c>
      <c r="AF946" s="66">
        <f t="shared" si="154"/>
        <v>0</v>
      </c>
      <c r="AG946" s="67" t="str">
        <f t="shared" si="162"/>
        <v>0000000000</v>
      </c>
      <c r="AH946" s="67" t="str">
        <f t="shared" si="163"/>
        <v>.00</v>
      </c>
      <c r="AI946" s="67" t="str">
        <f t="shared" si="159"/>
        <v>00</v>
      </c>
      <c r="AJ946" s="67" t="str">
        <f t="shared" si="164"/>
        <v>000000000000</v>
      </c>
      <c r="AK946" s="119"/>
      <c r="AL946" s="120"/>
      <c r="AP946" s="115" t="str">
        <f t="shared" si="160"/>
        <v/>
      </c>
    </row>
    <row r="947" spans="1:42" x14ac:dyDescent="0.2">
      <c r="A947" s="63" t="str">
        <f t="shared" si="156"/>
        <v/>
      </c>
      <c r="B947" s="133"/>
      <c r="C947" s="133"/>
      <c r="D947" s="135"/>
      <c r="E947" s="135"/>
      <c r="F947" s="137"/>
      <c r="AA947" s="116" t="str">
        <f t="shared" si="155"/>
        <v>00000000000000</v>
      </c>
      <c r="AB947" s="117" t="str">
        <f t="shared" si="157"/>
        <v>000000000000</v>
      </c>
      <c r="AC947" s="118">
        <f t="shared" si="158"/>
        <v>1</v>
      </c>
      <c r="AD947" s="47">
        <v>2</v>
      </c>
      <c r="AE947" s="66">
        <f t="shared" si="161"/>
        <v>0</v>
      </c>
      <c r="AF947" s="66">
        <f t="shared" si="154"/>
        <v>0</v>
      </c>
      <c r="AG947" s="67" t="str">
        <f t="shared" si="162"/>
        <v>0000000000</v>
      </c>
      <c r="AH947" s="67" t="str">
        <f t="shared" si="163"/>
        <v>.00</v>
      </c>
      <c r="AI947" s="67" t="str">
        <f t="shared" si="159"/>
        <v>00</v>
      </c>
      <c r="AJ947" s="67" t="str">
        <f t="shared" si="164"/>
        <v>000000000000</v>
      </c>
      <c r="AK947" s="119"/>
      <c r="AL947" s="120"/>
      <c r="AP947" s="115" t="str">
        <f t="shared" si="160"/>
        <v/>
      </c>
    </row>
    <row r="948" spans="1:42" x14ac:dyDescent="0.2">
      <c r="A948" s="63" t="str">
        <f t="shared" si="156"/>
        <v/>
      </c>
      <c r="B948" s="133"/>
      <c r="C948" s="133"/>
      <c r="D948" s="135"/>
      <c r="E948" s="135"/>
      <c r="F948" s="137"/>
      <c r="AA948" s="116" t="str">
        <f t="shared" si="155"/>
        <v>00000000000000</v>
      </c>
      <c r="AB948" s="117" t="str">
        <f t="shared" si="157"/>
        <v>000000000000</v>
      </c>
      <c r="AC948" s="118">
        <f t="shared" si="158"/>
        <v>1</v>
      </c>
      <c r="AD948" s="47">
        <v>2</v>
      </c>
      <c r="AE948" s="66">
        <f t="shared" si="161"/>
        <v>0</v>
      </c>
      <c r="AF948" s="66">
        <f t="shared" si="154"/>
        <v>0</v>
      </c>
      <c r="AG948" s="67" t="str">
        <f t="shared" si="162"/>
        <v>0000000000</v>
      </c>
      <c r="AH948" s="67" t="str">
        <f t="shared" si="163"/>
        <v>.00</v>
      </c>
      <c r="AI948" s="67" t="str">
        <f t="shared" si="159"/>
        <v>00</v>
      </c>
      <c r="AJ948" s="67" t="str">
        <f t="shared" si="164"/>
        <v>000000000000</v>
      </c>
      <c r="AK948" s="119"/>
      <c r="AL948" s="120"/>
      <c r="AP948" s="115" t="str">
        <f t="shared" si="160"/>
        <v/>
      </c>
    </row>
    <row r="949" spans="1:42" x14ac:dyDescent="0.2">
      <c r="A949" s="63" t="str">
        <f t="shared" si="156"/>
        <v/>
      </c>
      <c r="B949" s="133"/>
      <c r="C949" s="133"/>
      <c r="D949" s="135"/>
      <c r="E949" s="135"/>
      <c r="F949" s="137"/>
      <c r="AA949" s="116" t="str">
        <f t="shared" si="155"/>
        <v>00000000000000</v>
      </c>
      <c r="AB949" s="117" t="str">
        <f t="shared" si="157"/>
        <v>000000000000</v>
      </c>
      <c r="AC949" s="118">
        <f t="shared" si="158"/>
        <v>1</v>
      </c>
      <c r="AD949" s="47">
        <v>2</v>
      </c>
      <c r="AE949" s="66">
        <f t="shared" si="161"/>
        <v>0</v>
      </c>
      <c r="AF949" s="66">
        <f t="shared" si="154"/>
        <v>0</v>
      </c>
      <c r="AG949" s="67" t="str">
        <f t="shared" si="162"/>
        <v>0000000000</v>
      </c>
      <c r="AH949" s="67" t="str">
        <f t="shared" si="163"/>
        <v>.00</v>
      </c>
      <c r="AI949" s="67" t="str">
        <f t="shared" si="159"/>
        <v>00</v>
      </c>
      <c r="AJ949" s="67" t="str">
        <f t="shared" si="164"/>
        <v>000000000000</v>
      </c>
      <c r="AK949" s="119"/>
      <c r="AL949" s="120"/>
      <c r="AP949" s="115" t="str">
        <f t="shared" si="160"/>
        <v/>
      </c>
    </row>
    <row r="950" spans="1:42" x14ac:dyDescent="0.2">
      <c r="A950" s="63" t="str">
        <f t="shared" si="156"/>
        <v/>
      </c>
      <c r="B950" s="133"/>
      <c r="C950" s="133"/>
      <c r="D950" s="135"/>
      <c r="E950" s="135"/>
      <c r="F950" s="137"/>
      <c r="AA950" s="116" t="str">
        <f t="shared" si="155"/>
        <v>00000000000000</v>
      </c>
      <c r="AB950" s="117" t="str">
        <f t="shared" si="157"/>
        <v>000000000000</v>
      </c>
      <c r="AC950" s="118">
        <f t="shared" si="158"/>
        <v>1</v>
      </c>
      <c r="AD950" s="47">
        <v>2</v>
      </c>
      <c r="AE950" s="66">
        <f t="shared" si="161"/>
        <v>0</v>
      </c>
      <c r="AF950" s="66">
        <f t="shared" si="154"/>
        <v>0</v>
      </c>
      <c r="AG950" s="67" t="str">
        <f t="shared" si="162"/>
        <v>0000000000</v>
      </c>
      <c r="AH950" s="67" t="str">
        <f t="shared" si="163"/>
        <v>.00</v>
      </c>
      <c r="AI950" s="67" t="str">
        <f t="shared" si="159"/>
        <v>00</v>
      </c>
      <c r="AJ950" s="67" t="str">
        <f t="shared" si="164"/>
        <v>000000000000</v>
      </c>
      <c r="AK950" s="119"/>
      <c r="AL950" s="120"/>
      <c r="AP950" s="115" t="str">
        <f t="shared" si="160"/>
        <v/>
      </c>
    </row>
    <row r="951" spans="1:42" x14ac:dyDescent="0.2">
      <c r="A951" s="63" t="str">
        <f t="shared" si="156"/>
        <v/>
      </c>
      <c r="B951" s="133"/>
      <c r="C951" s="133"/>
      <c r="D951" s="135"/>
      <c r="E951" s="135"/>
      <c r="F951" s="137"/>
      <c r="AA951" s="116" t="str">
        <f t="shared" si="155"/>
        <v>00000000000000</v>
      </c>
      <c r="AB951" s="117" t="str">
        <f t="shared" si="157"/>
        <v>000000000000</v>
      </c>
      <c r="AC951" s="118">
        <f t="shared" si="158"/>
        <v>1</v>
      </c>
      <c r="AD951" s="47">
        <v>2</v>
      </c>
      <c r="AE951" s="66">
        <f t="shared" si="161"/>
        <v>0</v>
      </c>
      <c r="AF951" s="66">
        <f t="shared" si="154"/>
        <v>0</v>
      </c>
      <c r="AG951" s="67" t="str">
        <f t="shared" si="162"/>
        <v>0000000000</v>
      </c>
      <c r="AH951" s="67" t="str">
        <f t="shared" si="163"/>
        <v>.00</v>
      </c>
      <c r="AI951" s="67" t="str">
        <f t="shared" si="159"/>
        <v>00</v>
      </c>
      <c r="AJ951" s="67" t="str">
        <f t="shared" si="164"/>
        <v>000000000000</v>
      </c>
      <c r="AK951" s="119"/>
      <c r="AL951" s="120"/>
      <c r="AP951" s="115" t="str">
        <f t="shared" si="160"/>
        <v/>
      </c>
    </row>
    <row r="952" spans="1:42" x14ac:dyDescent="0.2">
      <c r="A952" s="63" t="str">
        <f t="shared" si="156"/>
        <v/>
      </c>
      <c r="B952" s="133"/>
      <c r="C952" s="133"/>
      <c r="D952" s="135"/>
      <c r="E952" s="135"/>
      <c r="F952" s="137"/>
      <c r="AA952" s="116" t="str">
        <f t="shared" si="155"/>
        <v>00000000000000</v>
      </c>
      <c r="AB952" s="117" t="str">
        <f t="shared" si="157"/>
        <v>000000000000</v>
      </c>
      <c r="AC952" s="118">
        <f t="shared" si="158"/>
        <v>1</v>
      </c>
      <c r="AD952" s="47">
        <v>2</v>
      </c>
      <c r="AE952" s="66">
        <f t="shared" si="161"/>
        <v>0</v>
      </c>
      <c r="AF952" s="66">
        <f t="shared" si="154"/>
        <v>0</v>
      </c>
      <c r="AG952" s="67" t="str">
        <f t="shared" si="162"/>
        <v>0000000000</v>
      </c>
      <c r="AH952" s="67" t="str">
        <f t="shared" si="163"/>
        <v>.00</v>
      </c>
      <c r="AI952" s="67" t="str">
        <f t="shared" si="159"/>
        <v>00</v>
      </c>
      <c r="AJ952" s="67" t="str">
        <f t="shared" si="164"/>
        <v>000000000000</v>
      </c>
      <c r="AK952" s="119"/>
      <c r="AL952" s="120"/>
      <c r="AP952" s="115" t="str">
        <f t="shared" si="160"/>
        <v/>
      </c>
    </row>
    <row r="953" spans="1:42" x14ac:dyDescent="0.2">
      <c r="A953" s="63" t="str">
        <f t="shared" si="156"/>
        <v/>
      </c>
      <c r="B953" s="133"/>
      <c r="C953" s="133"/>
      <c r="D953" s="135"/>
      <c r="E953" s="135"/>
      <c r="F953" s="137"/>
      <c r="AA953" s="116" t="str">
        <f t="shared" si="155"/>
        <v>00000000000000</v>
      </c>
      <c r="AB953" s="117" t="str">
        <f t="shared" si="157"/>
        <v>000000000000</v>
      </c>
      <c r="AC953" s="118">
        <f t="shared" si="158"/>
        <v>1</v>
      </c>
      <c r="AD953" s="47">
        <v>2</v>
      </c>
      <c r="AE953" s="66">
        <f t="shared" si="161"/>
        <v>0</v>
      </c>
      <c r="AF953" s="66">
        <f t="shared" si="154"/>
        <v>0</v>
      </c>
      <c r="AG953" s="67" t="str">
        <f t="shared" si="162"/>
        <v>0000000000</v>
      </c>
      <c r="AH953" s="67" t="str">
        <f t="shared" si="163"/>
        <v>.00</v>
      </c>
      <c r="AI953" s="67" t="str">
        <f t="shared" si="159"/>
        <v>00</v>
      </c>
      <c r="AJ953" s="67" t="str">
        <f t="shared" si="164"/>
        <v>000000000000</v>
      </c>
      <c r="AK953" s="119"/>
      <c r="AL953" s="120"/>
      <c r="AP953" s="115" t="str">
        <f t="shared" si="160"/>
        <v/>
      </c>
    </row>
    <row r="954" spans="1:42" x14ac:dyDescent="0.2">
      <c r="A954" s="63" t="str">
        <f t="shared" si="156"/>
        <v/>
      </c>
      <c r="B954" s="133"/>
      <c r="C954" s="133"/>
      <c r="D954" s="135"/>
      <c r="E954" s="135"/>
      <c r="F954" s="137"/>
      <c r="AA954" s="116" t="str">
        <f t="shared" si="155"/>
        <v>00000000000000</v>
      </c>
      <c r="AB954" s="117" t="str">
        <f t="shared" si="157"/>
        <v>000000000000</v>
      </c>
      <c r="AC954" s="118">
        <f t="shared" si="158"/>
        <v>1</v>
      </c>
      <c r="AD954" s="47">
        <v>2</v>
      </c>
      <c r="AE954" s="66">
        <f t="shared" si="161"/>
        <v>0</v>
      </c>
      <c r="AF954" s="66">
        <f t="shared" si="154"/>
        <v>0</v>
      </c>
      <c r="AG954" s="67" t="str">
        <f t="shared" si="162"/>
        <v>0000000000</v>
      </c>
      <c r="AH954" s="67" t="str">
        <f t="shared" si="163"/>
        <v>.00</v>
      </c>
      <c r="AI954" s="67" t="str">
        <f t="shared" si="159"/>
        <v>00</v>
      </c>
      <c r="AJ954" s="67" t="str">
        <f t="shared" si="164"/>
        <v>000000000000</v>
      </c>
      <c r="AK954" s="119"/>
      <c r="AL954" s="120"/>
      <c r="AP954" s="115" t="str">
        <f t="shared" si="160"/>
        <v/>
      </c>
    </row>
    <row r="955" spans="1:42" x14ac:dyDescent="0.2">
      <c r="A955" s="63" t="str">
        <f t="shared" si="156"/>
        <v/>
      </c>
      <c r="B955" s="133"/>
      <c r="C955" s="133"/>
      <c r="D955" s="135"/>
      <c r="E955" s="135"/>
      <c r="F955" s="137"/>
      <c r="AA955" s="116" t="str">
        <f t="shared" si="155"/>
        <v>00000000000000</v>
      </c>
      <c r="AB955" s="117" t="str">
        <f t="shared" si="157"/>
        <v>000000000000</v>
      </c>
      <c r="AC955" s="118">
        <f t="shared" si="158"/>
        <v>1</v>
      </c>
      <c r="AD955" s="47">
        <v>2</v>
      </c>
      <c r="AE955" s="66">
        <f t="shared" si="161"/>
        <v>0</v>
      </c>
      <c r="AF955" s="66">
        <f t="shared" si="154"/>
        <v>0</v>
      </c>
      <c r="AG955" s="67" t="str">
        <f t="shared" si="162"/>
        <v>0000000000</v>
      </c>
      <c r="AH955" s="67" t="str">
        <f t="shared" si="163"/>
        <v>.00</v>
      </c>
      <c r="AI955" s="67" t="str">
        <f t="shared" si="159"/>
        <v>00</v>
      </c>
      <c r="AJ955" s="67" t="str">
        <f t="shared" si="164"/>
        <v>000000000000</v>
      </c>
      <c r="AK955" s="119"/>
      <c r="AL955" s="120"/>
      <c r="AP955" s="115" t="str">
        <f t="shared" si="160"/>
        <v/>
      </c>
    </row>
    <row r="956" spans="1:42" x14ac:dyDescent="0.2">
      <c r="A956" s="63" t="str">
        <f t="shared" si="156"/>
        <v/>
      </c>
      <c r="B956" s="133"/>
      <c r="C956" s="133"/>
      <c r="D956" s="135"/>
      <c r="E956" s="135"/>
      <c r="F956" s="137"/>
      <c r="AA956" s="116" t="str">
        <f t="shared" si="155"/>
        <v>00000000000000</v>
      </c>
      <c r="AB956" s="117" t="str">
        <f t="shared" si="157"/>
        <v>000000000000</v>
      </c>
      <c r="AC956" s="118">
        <f t="shared" si="158"/>
        <v>1</v>
      </c>
      <c r="AD956" s="47">
        <v>2</v>
      </c>
      <c r="AE956" s="66">
        <f t="shared" si="161"/>
        <v>0</v>
      </c>
      <c r="AF956" s="66">
        <f t="shared" si="154"/>
        <v>0</v>
      </c>
      <c r="AG956" s="67" t="str">
        <f t="shared" si="162"/>
        <v>0000000000</v>
      </c>
      <c r="AH956" s="67" t="str">
        <f t="shared" si="163"/>
        <v>.00</v>
      </c>
      <c r="AI956" s="67" t="str">
        <f t="shared" si="159"/>
        <v>00</v>
      </c>
      <c r="AJ956" s="67" t="str">
        <f t="shared" si="164"/>
        <v>000000000000</v>
      </c>
      <c r="AK956" s="119"/>
      <c r="AL956" s="120"/>
      <c r="AP956" s="115" t="str">
        <f t="shared" si="160"/>
        <v/>
      </c>
    </row>
    <row r="957" spans="1:42" x14ac:dyDescent="0.2">
      <c r="A957" s="63" t="str">
        <f t="shared" si="156"/>
        <v/>
      </c>
      <c r="B957" s="133"/>
      <c r="C957" s="133"/>
      <c r="D957" s="135"/>
      <c r="E957" s="135"/>
      <c r="F957" s="137"/>
      <c r="AA957" s="116" t="str">
        <f t="shared" si="155"/>
        <v>00000000000000</v>
      </c>
      <c r="AB957" s="117" t="str">
        <f t="shared" si="157"/>
        <v>000000000000</v>
      </c>
      <c r="AC957" s="118">
        <f t="shared" si="158"/>
        <v>1</v>
      </c>
      <c r="AD957" s="47">
        <v>2</v>
      </c>
      <c r="AE957" s="66">
        <f t="shared" si="161"/>
        <v>0</v>
      </c>
      <c r="AF957" s="66">
        <f t="shared" si="154"/>
        <v>0</v>
      </c>
      <c r="AG957" s="67" t="str">
        <f t="shared" si="162"/>
        <v>0000000000</v>
      </c>
      <c r="AH957" s="67" t="str">
        <f t="shared" si="163"/>
        <v>.00</v>
      </c>
      <c r="AI957" s="67" t="str">
        <f t="shared" si="159"/>
        <v>00</v>
      </c>
      <c r="AJ957" s="67" t="str">
        <f t="shared" si="164"/>
        <v>000000000000</v>
      </c>
      <c r="AK957" s="119"/>
      <c r="AL957" s="120"/>
      <c r="AP957" s="115" t="str">
        <f t="shared" si="160"/>
        <v/>
      </c>
    </row>
    <row r="958" spans="1:42" x14ac:dyDescent="0.2">
      <c r="A958" s="63" t="str">
        <f t="shared" si="156"/>
        <v/>
      </c>
      <c r="B958" s="133"/>
      <c r="C958" s="133"/>
      <c r="D958" s="135"/>
      <c r="E958" s="135"/>
      <c r="F958" s="137"/>
      <c r="AA958" s="116" t="str">
        <f t="shared" si="155"/>
        <v>00000000000000</v>
      </c>
      <c r="AB958" s="117" t="str">
        <f t="shared" si="157"/>
        <v>000000000000</v>
      </c>
      <c r="AC958" s="118">
        <f t="shared" si="158"/>
        <v>1</v>
      </c>
      <c r="AD958" s="47">
        <v>2</v>
      </c>
      <c r="AE958" s="66">
        <f t="shared" si="161"/>
        <v>0</v>
      </c>
      <c r="AF958" s="66">
        <f t="shared" si="154"/>
        <v>0</v>
      </c>
      <c r="AG958" s="67" t="str">
        <f t="shared" si="162"/>
        <v>0000000000</v>
      </c>
      <c r="AH958" s="67" t="str">
        <f t="shared" si="163"/>
        <v>.00</v>
      </c>
      <c r="AI958" s="67" t="str">
        <f t="shared" si="159"/>
        <v>00</v>
      </c>
      <c r="AJ958" s="67" t="str">
        <f t="shared" si="164"/>
        <v>000000000000</v>
      </c>
      <c r="AK958" s="119"/>
      <c r="AL958" s="120"/>
      <c r="AP958" s="115" t="str">
        <f t="shared" si="160"/>
        <v/>
      </c>
    </row>
    <row r="959" spans="1:42" x14ac:dyDescent="0.2">
      <c r="A959" s="63" t="str">
        <f t="shared" si="156"/>
        <v/>
      </c>
      <c r="B959" s="133"/>
      <c r="C959" s="133"/>
      <c r="D959" s="135"/>
      <c r="E959" s="135"/>
      <c r="F959" s="137"/>
      <c r="AA959" s="116" t="str">
        <f t="shared" si="155"/>
        <v>00000000000000</v>
      </c>
      <c r="AB959" s="117" t="str">
        <f t="shared" si="157"/>
        <v>000000000000</v>
      </c>
      <c r="AC959" s="118">
        <f t="shared" si="158"/>
        <v>1</v>
      </c>
      <c r="AD959" s="47">
        <v>2</v>
      </c>
      <c r="AE959" s="66">
        <f t="shared" si="161"/>
        <v>0</v>
      </c>
      <c r="AF959" s="66">
        <f t="shared" si="154"/>
        <v>0</v>
      </c>
      <c r="AG959" s="67" t="str">
        <f t="shared" si="162"/>
        <v>0000000000</v>
      </c>
      <c r="AH959" s="67" t="str">
        <f t="shared" si="163"/>
        <v>.00</v>
      </c>
      <c r="AI959" s="67" t="str">
        <f t="shared" si="159"/>
        <v>00</v>
      </c>
      <c r="AJ959" s="67" t="str">
        <f t="shared" si="164"/>
        <v>000000000000</v>
      </c>
      <c r="AK959" s="119"/>
      <c r="AL959" s="120"/>
      <c r="AP959" s="115" t="str">
        <f t="shared" si="160"/>
        <v/>
      </c>
    </row>
    <row r="960" spans="1:42" x14ac:dyDescent="0.2">
      <c r="A960" s="63" t="str">
        <f t="shared" si="156"/>
        <v/>
      </c>
      <c r="B960" s="133"/>
      <c r="C960" s="133"/>
      <c r="D960" s="135"/>
      <c r="E960" s="135"/>
      <c r="F960" s="137"/>
      <c r="AA960" s="116" t="str">
        <f t="shared" si="155"/>
        <v>00000000000000</v>
      </c>
      <c r="AB960" s="117" t="str">
        <f t="shared" si="157"/>
        <v>000000000000</v>
      </c>
      <c r="AC960" s="118">
        <f t="shared" si="158"/>
        <v>1</v>
      </c>
      <c r="AD960" s="47">
        <v>2</v>
      </c>
      <c r="AE960" s="66">
        <f t="shared" si="161"/>
        <v>0</v>
      </c>
      <c r="AF960" s="66">
        <f t="shared" si="154"/>
        <v>0</v>
      </c>
      <c r="AG960" s="67" t="str">
        <f t="shared" si="162"/>
        <v>0000000000</v>
      </c>
      <c r="AH960" s="67" t="str">
        <f t="shared" si="163"/>
        <v>.00</v>
      </c>
      <c r="AI960" s="67" t="str">
        <f t="shared" si="159"/>
        <v>00</v>
      </c>
      <c r="AJ960" s="67" t="str">
        <f t="shared" si="164"/>
        <v>000000000000</v>
      </c>
      <c r="AK960" s="119"/>
      <c r="AL960" s="120"/>
      <c r="AP960" s="115" t="str">
        <f t="shared" si="160"/>
        <v/>
      </c>
    </row>
    <row r="961" spans="1:42" x14ac:dyDescent="0.2">
      <c r="A961" s="63" t="str">
        <f t="shared" si="156"/>
        <v/>
      </c>
      <c r="B961" s="133"/>
      <c r="C961" s="133"/>
      <c r="D961" s="135"/>
      <c r="E961" s="135"/>
      <c r="F961" s="137"/>
      <c r="AA961" s="116" t="str">
        <f t="shared" si="155"/>
        <v>00000000000000</v>
      </c>
      <c r="AB961" s="117" t="str">
        <f t="shared" si="157"/>
        <v>000000000000</v>
      </c>
      <c r="AC961" s="118">
        <f t="shared" si="158"/>
        <v>1</v>
      </c>
      <c r="AD961" s="47">
        <v>2</v>
      </c>
      <c r="AE961" s="66">
        <f t="shared" si="161"/>
        <v>0</v>
      </c>
      <c r="AF961" s="66">
        <f t="shared" si="154"/>
        <v>0</v>
      </c>
      <c r="AG961" s="67" t="str">
        <f t="shared" si="162"/>
        <v>0000000000</v>
      </c>
      <c r="AH961" s="67" t="str">
        <f t="shared" si="163"/>
        <v>.00</v>
      </c>
      <c r="AI961" s="67" t="str">
        <f t="shared" si="159"/>
        <v>00</v>
      </c>
      <c r="AJ961" s="67" t="str">
        <f t="shared" si="164"/>
        <v>000000000000</v>
      </c>
      <c r="AK961" s="119"/>
      <c r="AL961" s="120"/>
      <c r="AP961" s="115" t="str">
        <f t="shared" si="160"/>
        <v/>
      </c>
    </row>
    <row r="962" spans="1:42" x14ac:dyDescent="0.2">
      <c r="A962" s="63" t="str">
        <f t="shared" si="156"/>
        <v/>
      </c>
      <c r="B962" s="133"/>
      <c r="C962" s="133"/>
      <c r="D962" s="135"/>
      <c r="E962" s="135"/>
      <c r="F962" s="137"/>
      <c r="AA962" s="116" t="str">
        <f t="shared" si="155"/>
        <v>00000000000000</v>
      </c>
      <c r="AB962" s="117" t="str">
        <f t="shared" si="157"/>
        <v>000000000000</v>
      </c>
      <c r="AC962" s="118">
        <f t="shared" si="158"/>
        <v>1</v>
      </c>
      <c r="AD962" s="47">
        <v>2</v>
      </c>
      <c r="AE962" s="66">
        <f t="shared" si="161"/>
        <v>0</v>
      </c>
      <c r="AF962" s="66">
        <f t="shared" si="154"/>
        <v>0</v>
      </c>
      <c r="AG962" s="67" t="str">
        <f t="shared" si="162"/>
        <v>0000000000</v>
      </c>
      <c r="AH962" s="67" t="str">
        <f t="shared" si="163"/>
        <v>.00</v>
      </c>
      <c r="AI962" s="67" t="str">
        <f t="shared" si="159"/>
        <v>00</v>
      </c>
      <c r="AJ962" s="67" t="str">
        <f t="shared" si="164"/>
        <v>000000000000</v>
      </c>
      <c r="AK962" s="119"/>
      <c r="AL962" s="120"/>
      <c r="AP962" s="115" t="str">
        <f t="shared" si="160"/>
        <v/>
      </c>
    </row>
    <row r="963" spans="1:42" x14ac:dyDescent="0.2">
      <c r="A963" s="63" t="str">
        <f t="shared" si="156"/>
        <v/>
      </c>
      <c r="B963" s="133"/>
      <c r="C963" s="133"/>
      <c r="D963" s="135"/>
      <c r="E963" s="135"/>
      <c r="F963" s="137"/>
      <c r="AA963" s="116" t="str">
        <f t="shared" si="155"/>
        <v>00000000000000</v>
      </c>
      <c r="AB963" s="117" t="str">
        <f t="shared" si="157"/>
        <v>000000000000</v>
      </c>
      <c r="AC963" s="118">
        <f t="shared" si="158"/>
        <v>1</v>
      </c>
      <c r="AD963" s="47">
        <v>2</v>
      </c>
      <c r="AE963" s="66">
        <f t="shared" si="161"/>
        <v>0</v>
      </c>
      <c r="AF963" s="66">
        <f t="shared" ref="AF963:AF1000" si="165">F963-AE963</f>
        <v>0</v>
      </c>
      <c r="AG963" s="67" t="str">
        <f t="shared" si="162"/>
        <v>0000000000</v>
      </c>
      <c r="AH963" s="67" t="str">
        <f t="shared" si="163"/>
        <v>.00</v>
      </c>
      <c r="AI963" s="67" t="str">
        <f t="shared" si="159"/>
        <v>00</v>
      </c>
      <c r="AJ963" s="67" t="str">
        <f t="shared" si="164"/>
        <v>000000000000</v>
      </c>
      <c r="AK963" s="119"/>
      <c r="AL963" s="120"/>
      <c r="AP963" s="115" t="str">
        <f t="shared" si="160"/>
        <v/>
      </c>
    </row>
    <row r="964" spans="1:42" x14ac:dyDescent="0.2">
      <c r="A964" s="63" t="str">
        <f t="shared" si="156"/>
        <v/>
      </c>
      <c r="B964" s="133"/>
      <c r="C964" s="133"/>
      <c r="D964" s="135"/>
      <c r="E964" s="135"/>
      <c r="F964" s="137"/>
      <c r="AA964" s="116" t="str">
        <f t="shared" ref="AA964:AA1000" si="166">CONCATENATE(REPT("0",14-LEN(B964)),B964)</f>
        <v>00000000000000</v>
      </c>
      <c r="AB964" s="117" t="str">
        <f t="shared" si="157"/>
        <v>000000000000</v>
      </c>
      <c r="AC964" s="118">
        <f t="shared" si="158"/>
        <v>1</v>
      </c>
      <c r="AD964" s="47">
        <v>2</v>
      </c>
      <c r="AE964" s="66">
        <f t="shared" si="161"/>
        <v>0</v>
      </c>
      <c r="AF964" s="66">
        <f t="shared" si="165"/>
        <v>0</v>
      </c>
      <c r="AG964" s="67" t="str">
        <f t="shared" si="162"/>
        <v>0000000000</v>
      </c>
      <c r="AH964" s="67" t="str">
        <f t="shared" si="163"/>
        <v>.00</v>
      </c>
      <c r="AI964" s="67" t="str">
        <f t="shared" si="159"/>
        <v>00</v>
      </c>
      <c r="AJ964" s="67" t="str">
        <f t="shared" si="164"/>
        <v>000000000000</v>
      </c>
      <c r="AK964" s="119"/>
      <c r="AL964" s="120"/>
      <c r="AP964" s="115" t="str">
        <f t="shared" si="160"/>
        <v/>
      </c>
    </row>
    <row r="965" spans="1:42" x14ac:dyDescent="0.2">
      <c r="A965" s="63" t="str">
        <f t="shared" ref="A965:A1000" si="167">IF(B965&lt;&gt;"",A964+1,"")</f>
        <v/>
      </c>
      <c r="B965" s="133"/>
      <c r="C965" s="133"/>
      <c r="D965" s="135"/>
      <c r="E965" s="135"/>
      <c r="F965" s="137"/>
      <c r="AA965" s="116" t="str">
        <f t="shared" si="166"/>
        <v>00000000000000</v>
      </c>
      <c r="AB965" s="117" t="str">
        <f t="shared" ref="AB965:AB1000" si="168">CONCATENATE(REPT("0",12-LEN(C965)),C965)</f>
        <v>000000000000</v>
      </c>
      <c r="AC965" s="118">
        <f t="shared" ref="AC965:AC1000" si="169">AC964</f>
        <v>1</v>
      </c>
      <c r="AD965" s="47">
        <v>2</v>
      </c>
      <c r="AE965" s="66">
        <f t="shared" si="161"/>
        <v>0</v>
      </c>
      <c r="AF965" s="66">
        <f t="shared" si="165"/>
        <v>0</v>
      </c>
      <c r="AG965" s="67" t="str">
        <f t="shared" si="162"/>
        <v>0000000000</v>
      </c>
      <c r="AH965" s="67" t="str">
        <f t="shared" si="163"/>
        <v>.00</v>
      </c>
      <c r="AI965" s="67" t="str">
        <f t="shared" ref="AI965:AI1000" si="170">MID(AH965,2,2)</f>
        <v>00</v>
      </c>
      <c r="AJ965" s="67" t="str">
        <f t="shared" si="164"/>
        <v>000000000000</v>
      </c>
      <c r="AK965" s="119"/>
      <c r="AL965" s="120"/>
      <c r="AP965" s="115" t="str">
        <f t="shared" si="160"/>
        <v/>
      </c>
    </row>
    <row r="966" spans="1:42" x14ac:dyDescent="0.2">
      <c r="A966" s="63" t="str">
        <f t="shared" si="167"/>
        <v/>
      </c>
      <c r="B966" s="133"/>
      <c r="C966" s="133"/>
      <c r="D966" s="135"/>
      <c r="E966" s="135"/>
      <c r="F966" s="137"/>
      <c r="AA966" s="116" t="str">
        <f t="shared" si="166"/>
        <v>00000000000000</v>
      </c>
      <c r="AB966" s="117" t="str">
        <f t="shared" si="168"/>
        <v>000000000000</v>
      </c>
      <c r="AC966" s="118">
        <f t="shared" si="169"/>
        <v>1</v>
      </c>
      <c r="AD966" s="47">
        <v>2</v>
      </c>
      <c r="AE966" s="66">
        <f t="shared" si="161"/>
        <v>0</v>
      </c>
      <c r="AF966" s="66">
        <f t="shared" si="165"/>
        <v>0</v>
      </c>
      <c r="AG966" s="67" t="str">
        <f t="shared" si="162"/>
        <v>0000000000</v>
      </c>
      <c r="AH966" s="67" t="str">
        <f t="shared" si="163"/>
        <v>.00</v>
      </c>
      <c r="AI966" s="67" t="str">
        <f t="shared" si="170"/>
        <v>00</v>
      </c>
      <c r="AJ966" s="67" t="str">
        <f t="shared" si="164"/>
        <v>000000000000</v>
      </c>
      <c r="AK966" s="119"/>
      <c r="AL966" s="120"/>
      <c r="AP966" s="115" t="str">
        <f t="shared" ref="AP966:AP1000" si="171">IF(B967&lt;&gt;"",CONCATENATE("00000",$AD$1,AA967,$AC$3,"2",AB967,AJ967,$AL$3,"0                                                  "),"")</f>
        <v/>
      </c>
    </row>
    <row r="967" spans="1:42" x14ac:dyDescent="0.2">
      <c r="A967" s="63" t="str">
        <f t="shared" si="167"/>
        <v/>
      </c>
      <c r="B967" s="133"/>
      <c r="C967" s="133"/>
      <c r="D967" s="135"/>
      <c r="E967" s="135"/>
      <c r="F967" s="137"/>
      <c r="AA967" s="116" t="str">
        <f t="shared" si="166"/>
        <v>00000000000000</v>
      </c>
      <c r="AB967" s="117" t="str">
        <f t="shared" si="168"/>
        <v>000000000000</v>
      </c>
      <c r="AC967" s="118">
        <f t="shared" si="169"/>
        <v>1</v>
      </c>
      <c r="AD967" s="47">
        <v>2</v>
      </c>
      <c r="AE967" s="66">
        <f t="shared" si="161"/>
        <v>0</v>
      </c>
      <c r="AF967" s="66">
        <f t="shared" si="165"/>
        <v>0</v>
      </c>
      <c r="AG967" s="67" t="str">
        <f t="shared" si="162"/>
        <v>0000000000</v>
      </c>
      <c r="AH967" s="67" t="str">
        <f t="shared" si="163"/>
        <v>.00</v>
      </c>
      <c r="AI967" s="67" t="str">
        <f t="shared" si="170"/>
        <v>00</v>
      </c>
      <c r="AJ967" s="67" t="str">
        <f t="shared" si="164"/>
        <v>000000000000</v>
      </c>
      <c r="AK967" s="119"/>
      <c r="AL967" s="120"/>
      <c r="AP967" s="115" t="str">
        <f t="shared" si="171"/>
        <v/>
      </c>
    </row>
    <row r="968" spans="1:42" x14ac:dyDescent="0.2">
      <c r="A968" s="63" t="str">
        <f t="shared" si="167"/>
        <v/>
      </c>
      <c r="B968" s="133"/>
      <c r="C968" s="133"/>
      <c r="D968" s="135"/>
      <c r="E968" s="135"/>
      <c r="F968" s="137"/>
      <c r="AA968" s="116" t="str">
        <f t="shared" si="166"/>
        <v>00000000000000</v>
      </c>
      <c r="AB968" s="117" t="str">
        <f t="shared" si="168"/>
        <v>000000000000</v>
      </c>
      <c r="AC968" s="118">
        <f t="shared" si="169"/>
        <v>1</v>
      </c>
      <c r="AD968" s="47">
        <v>2</v>
      </c>
      <c r="AE968" s="66">
        <f t="shared" ref="AE968:AE1000" si="172">INT(F968)</f>
        <v>0</v>
      </c>
      <c r="AF968" s="66">
        <f t="shared" si="165"/>
        <v>0</v>
      </c>
      <c r="AG968" s="67" t="str">
        <f t="shared" ref="AG968:AG1000" si="173">TEXT(AE968,"0000000000")</f>
        <v>0000000000</v>
      </c>
      <c r="AH968" s="67" t="str">
        <f t="shared" ref="AH968:AH1000" si="174">TEXT(AF968,".00")</f>
        <v>.00</v>
      </c>
      <c r="AI968" s="67" t="str">
        <f t="shared" si="170"/>
        <v>00</v>
      </c>
      <c r="AJ968" s="67" t="str">
        <f t="shared" ref="AJ968:AJ1000" si="175">CONCATENATE(AG968,AI968)</f>
        <v>000000000000</v>
      </c>
      <c r="AK968" s="119"/>
      <c r="AL968" s="120"/>
      <c r="AP968" s="115" t="str">
        <f t="shared" si="171"/>
        <v/>
      </c>
    </row>
    <row r="969" spans="1:42" x14ac:dyDescent="0.2">
      <c r="A969" s="63" t="str">
        <f t="shared" si="167"/>
        <v/>
      </c>
      <c r="B969" s="133"/>
      <c r="C969" s="133"/>
      <c r="D969" s="135"/>
      <c r="E969" s="135"/>
      <c r="F969" s="137"/>
      <c r="AA969" s="116" t="str">
        <f t="shared" si="166"/>
        <v>00000000000000</v>
      </c>
      <c r="AB969" s="117" t="str">
        <f t="shared" si="168"/>
        <v>000000000000</v>
      </c>
      <c r="AC969" s="118">
        <f t="shared" si="169"/>
        <v>1</v>
      </c>
      <c r="AD969" s="47">
        <v>2</v>
      </c>
      <c r="AE969" s="66">
        <f t="shared" si="172"/>
        <v>0</v>
      </c>
      <c r="AF969" s="66">
        <f t="shared" si="165"/>
        <v>0</v>
      </c>
      <c r="AG969" s="67" t="str">
        <f t="shared" si="173"/>
        <v>0000000000</v>
      </c>
      <c r="AH969" s="67" t="str">
        <f t="shared" si="174"/>
        <v>.00</v>
      </c>
      <c r="AI969" s="67" t="str">
        <f t="shared" si="170"/>
        <v>00</v>
      </c>
      <c r="AJ969" s="67" t="str">
        <f t="shared" si="175"/>
        <v>000000000000</v>
      </c>
      <c r="AK969" s="119"/>
      <c r="AL969" s="120"/>
      <c r="AP969" s="115" t="str">
        <f t="shared" si="171"/>
        <v/>
      </c>
    </row>
    <row r="970" spans="1:42" x14ac:dyDescent="0.2">
      <c r="A970" s="63" t="str">
        <f t="shared" si="167"/>
        <v/>
      </c>
      <c r="B970" s="133"/>
      <c r="C970" s="133"/>
      <c r="D970" s="135"/>
      <c r="E970" s="135"/>
      <c r="F970" s="137"/>
      <c r="AA970" s="116" t="str">
        <f t="shared" si="166"/>
        <v>00000000000000</v>
      </c>
      <c r="AB970" s="117" t="str">
        <f t="shared" si="168"/>
        <v>000000000000</v>
      </c>
      <c r="AC970" s="118">
        <f t="shared" si="169"/>
        <v>1</v>
      </c>
      <c r="AD970" s="47">
        <v>2</v>
      </c>
      <c r="AE970" s="66">
        <f t="shared" si="172"/>
        <v>0</v>
      </c>
      <c r="AF970" s="66">
        <f t="shared" si="165"/>
        <v>0</v>
      </c>
      <c r="AG970" s="67" t="str">
        <f t="shared" si="173"/>
        <v>0000000000</v>
      </c>
      <c r="AH970" s="67" t="str">
        <f t="shared" si="174"/>
        <v>.00</v>
      </c>
      <c r="AI970" s="67" t="str">
        <f t="shared" si="170"/>
        <v>00</v>
      </c>
      <c r="AJ970" s="67" t="str">
        <f t="shared" si="175"/>
        <v>000000000000</v>
      </c>
      <c r="AK970" s="119"/>
      <c r="AL970" s="120"/>
      <c r="AP970" s="115" t="str">
        <f t="shared" si="171"/>
        <v/>
      </c>
    </row>
    <row r="971" spans="1:42" x14ac:dyDescent="0.2">
      <c r="A971" s="63" t="str">
        <f t="shared" si="167"/>
        <v/>
      </c>
      <c r="B971" s="133"/>
      <c r="C971" s="133"/>
      <c r="D971" s="135"/>
      <c r="E971" s="135"/>
      <c r="F971" s="137"/>
      <c r="AA971" s="116" t="str">
        <f t="shared" si="166"/>
        <v>00000000000000</v>
      </c>
      <c r="AB971" s="117" t="str">
        <f t="shared" si="168"/>
        <v>000000000000</v>
      </c>
      <c r="AC971" s="118">
        <f t="shared" si="169"/>
        <v>1</v>
      </c>
      <c r="AD971" s="47">
        <v>2</v>
      </c>
      <c r="AE971" s="66">
        <f t="shared" si="172"/>
        <v>0</v>
      </c>
      <c r="AF971" s="66">
        <f t="shared" si="165"/>
        <v>0</v>
      </c>
      <c r="AG971" s="67" t="str">
        <f t="shared" si="173"/>
        <v>0000000000</v>
      </c>
      <c r="AH971" s="67" t="str">
        <f t="shared" si="174"/>
        <v>.00</v>
      </c>
      <c r="AI971" s="67" t="str">
        <f t="shared" si="170"/>
        <v>00</v>
      </c>
      <c r="AJ971" s="67" t="str">
        <f t="shared" si="175"/>
        <v>000000000000</v>
      </c>
      <c r="AK971" s="119"/>
      <c r="AL971" s="120"/>
      <c r="AP971" s="115" t="str">
        <f t="shared" si="171"/>
        <v/>
      </c>
    </row>
    <row r="972" spans="1:42" x14ac:dyDescent="0.2">
      <c r="A972" s="63" t="str">
        <f t="shared" si="167"/>
        <v/>
      </c>
      <c r="B972" s="133"/>
      <c r="C972" s="133"/>
      <c r="D972" s="135"/>
      <c r="E972" s="135"/>
      <c r="F972" s="137"/>
      <c r="AA972" s="116" t="str">
        <f t="shared" si="166"/>
        <v>00000000000000</v>
      </c>
      <c r="AB972" s="117" t="str">
        <f t="shared" si="168"/>
        <v>000000000000</v>
      </c>
      <c r="AC972" s="118">
        <f t="shared" si="169"/>
        <v>1</v>
      </c>
      <c r="AD972" s="47">
        <v>2</v>
      </c>
      <c r="AE972" s="66">
        <f t="shared" si="172"/>
        <v>0</v>
      </c>
      <c r="AF972" s="66">
        <f t="shared" si="165"/>
        <v>0</v>
      </c>
      <c r="AG972" s="67" t="str">
        <f t="shared" si="173"/>
        <v>0000000000</v>
      </c>
      <c r="AH972" s="67" t="str">
        <f t="shared" si="174"/>
        <v>.00</v>
      </c>
      <c r="AI972" s="67" t="str">
        <f t="shared" si="170"/>
        <v>00</v>
      </c>
      <c r="AJ972" s="67" t="str">
        <f t="shared" si="175"/>
        <v>000000000000</v>
      </c>
      <c r="AK972" s="119"/>
      <c r="AL972" s="120"/>
      <c r="AP972" s="115" t="str">
        <f t="shared" si="171"/>
        <v/>
      </c>
    </row>
    <row r="973" spans="1:42" x14ac:dyDescent="0.2">
      <c r="A973" s="63" t="str">
        <f t="shared" si="167"/>
        <v/>
      </c>
      <c r="B973" s="133"/>
      <c r="C973" s="133"/>
      <c r="D973" s="135"/>
      <c r="E973" s="135"/>
      <c r="F973" s="137"/>
      <c r="AA973" s="116" t="str">
        <f t="shared" si="166"/>
        <v>00000000000000</v>
      </c>
      <c r="AB973" s="117" t="str">
        <f t="shared" si="168"/>
        <v>000000000000</v>
      </c>
      <c r="AC973" s="118">
        <f t="shared" si="169"/>
        <v>1</v>
      </c>
      <c r="AD973" s="47">
        <v>2</v>
      </c>
      <c r="AE973" s="66">
        <f t="shared" si="172"/>
        <v>0</v>
      </c>
      <c r="AF973" s="66">
        <f t="shared" si="165"/>
        <v>0</v>
      </c>
      <c r="AG973" s="67" t="str">
        <f t="shared" si="173"/>
        <v>0000000000</v>
      </c>
      <c r="AH973" s="67" t="str">
        <f t="shared" si="174"/>
        <v>.00</v>
      </c>
      <c r="AI973" s="67" t="str">
        <f t="shared" si="170"/>
        <v>00</v>
      </c>
      <c r="AJ973" s="67" t="str">
        <f t="shared" si="175"/>
        <v>000000000000</v>
      </c>
      <c r="AK973" s="119"/>
      <c r="AL973" s="120"/>
      <c r="AP973" s="115" t="str">
        <f t="shared" si="171"/>
        <v/>
      </c>
    </row>
    <row r="974" spans="1:42" x14ac:dyDescent="0.2">
      <c r="A974" s="63" t="str">
        <f t="shared" si="167"/>
        <v/>
      </c>
      <c r="B974" s="133"/>
      <c r="C974" s="133"/>
      <c r="D974" s="135"/>
      <c r="E974" s="135"/>
      <c r="F974" s="137"/>
      <c r="AA974" s="116" t="str">
        <f t="shared" si="166"/>
        <v>00000000000000</v>
      </c>
      <c r="AB974" s="117" t="str">
        <f t="shared" si="168"/>
        <v>000000000000</v>
      </c>
      <c r="AC974" s="118">
        <f t="shared" si="169"/>
        <v>1</v>
      </c>
      <c r="AD974" s="47">
        <v>2</v>
      </c>
      <c r="AE974" s="66">
        <f t="shared" si="172"/>
        <v>0</v>
      </c>
      <c r="AF974" s="66">
        <f t="shared" si="165"/>
        <v>0</v>
      </c>
      <c r="AG974" s="67" t="str">
        <f t="shared" si="173"/>
        <v>0000000000</v>
      </c>
      <c r="AH974" s="67" t="str">
        <f t="shared" si="174"/>
        <v>.00</v>
      </c>
      <c r="AI974" s="67" t="str">
        <f t="shared" si="170"/>
        <v>00</v>
      </c>
      <c r="AJ974" s="67" t="str">
        <f t="shared" si="175"/>
        <v>000000000000</v>
      </c>
      <c r="AK974" s="119"/>
      <c r="AL974" s="120"/>
      <c r="AP974" s="115" t="str">
        <f t="shared" si="171"/>
        <v/>
      </c>
    </row>
    <row r="975" spans="1:42" x14ac:dyDescent="0.2">
      <c r="A975" s="63" t="str">
        <f t="shared" si="167"/>
        <v/>
      </c>
      <c r="B975" s="133"/>
      <c r="C975" s="133"/>
      <c r="D975" s="135"/>
      <c r="E975" s="135"/>
      <c r="F975" s="137"/>
      <c r="AA975" s="116" t="str">
        <f t="shared" si="166"/>
        <v>00000000000000</v>
      </c>
      <c r="AB975" s="117" t="str">
        <f t="shared" si="168"/>
        <v>000000000000</v>
      </c>
      <c r="AC975" s="118">
        <f t="shared" si="169"/>
        <v>1</v>
      </c>
      <c r="AD975" s="47">
        <v>2</v>
      </c>
      <c r="AE975" s="66">
        <f t="shared" si="172"/>
        <v>0</v>
      </c>
      <c r="AF975" s="66">
        <f t="shared" si="165"/>
        <v>0</v>
      </c>
      <c r="AG975" s="67" t="str">
        <f t="shared" si="173"/>
        <v>0000000000</v>
      </c>
      <c r="AH975" s="67" t="str">
        <f t="shared" si="174"/>
        <v>.00</v>
      </c>
      <c r="AI975" s="67" t="str">
        <f t="shared" si="170"/>
        <v>00</v>
      </c>
      <c r="AJ975" s="67" t="str">
        <f t="shared" si="175"/>
        <v>000000000000</v>
      </c>
      <c r="AK975" s="119"/>
      <c r="AL975" s="120"/>
      <c r="AP975" s="115" t="str">
        <f t="shared" si="171"/>
        <v/>
      </c>
    </row>
    <row r="976" spans="1:42" x14ac:dyDescent="0.2">
      <c r="A976" s="63" t="str">
        <f t="shared" si="167"/>
        <v/>
      </c>
      <c r="B976" s="133"/>
      <c r="C976" s="133"/>
      <c r="D976" s="135"/>
      <c r="E976" s="135"/>
      <c r="F976" s="137"/>
      <c r="AA976" s="116" t="str">
        <f t="shared" si="166"/>
        <v>00000000000000</v>
      </c>
      <c r="AB976" s="117" t="str">
        <f t="shared" si="168"/>
        <v>000000000000</v>
      </c>
      <c r="AC976" s="118">
        <f t="shared" si="169"/>
        <v>1</v>
      </c>
      <c r="AD976" s="47">
        <v>2</v>
      </c>
      <c r="AE976" s="66">
        <f t="shared" si="172"/>
        <v>0</v>
      </c>
      <c r="AF976" s="66">
        <f t="shared" si="165"/>
        <v>0</v>
      </c>
      <c r="AG976" s="67" t="str">
        <f t="shared" si="173"/>
        <v>0000000000</v>
      </c>
      <c r="AH976" s="67" t="str">
        <f t="shared" si="174"/>
        <v>.00</v>
      </c>
      <c r="AI976" s="67" t="str">
        <f t="shared" si="170"/>
        <v>00</v>
      </c>
      <c r="AJ976" s="67" t="str">
        <f t="shared" si="175"/>
        <v>000000000000</v>
      </c>
      <c r="AK976" s="119"/>
      <c r="AL976" s="120"/>
      <c r="AP976" s="115" t="str">
        <f t="shared" si="171"/>
        <v/>
      </c>
    </row>
    <row r="977" spans="1:42" x14ac:dyDescent="0.2">
      <c r="A977" s="63" t="str">
        <f t="shared" si="167"/>
        <v/>
      </c>
      <c r="B977" s="133"/>
      <c r="C977" s="133"/>
      <c r="D977" s="135"/>
      <c r="E977" s="135"/>
      <c r="F977" s="137"/>
      <c r="AA977" s="116" t="str">
        <f t="shared" si="166"/>
        <v>00000000000000</v>
      </c>
      <c r="AB977" s="117" t="str">
        <f t="shared" si="168"/>
        <v>000000000000</v>
      </c>
      <c r="AC977" s="118">
        <f t="shared" si="169"/>
        <v>1</v>
      </c>
      <c r="AD977" s="47">
        <v>2</v>
      </c>
      <c r="AE977" s="66">
        <f t="shared" si="172"/>
        <v>0</v>
      </c>
      <c r="AF977" s="66">
        <f t="shared" si="165"/>
        <v>0</v>
      </c>
      <c r="AG977" s="67" t="str">
        <f t="shared" si="173"/>
        <v>0000000000</v>
      </c>
      <c r="AH977" s="67" t="str">
        <f t="shared" si="174"/>
        <v>.00</v>
      </c>
      <c r="AI977" s="67" t="str">
        <f t="shared" si="170"/>
        <v>00</v>
      </c>
      <c r="AJ977" s="67" t="str">
        <f t="shared" si="175"/>
        <v>000000000000</v>
      </c>
      <c r="AK977" s="119"/>
      <c r="AL977" s="120"/>
      <c r="AP977" s="115" t="str">
        <f t="shared" si="171"/>
        <v/>
      </c>
    </row>
    <row r="978" spans="1:42" x14ac:dyDescent="0.2">
      <c r="A978" s="63" t="str">
        <f t="shared" si="167"/>
        <v/>
      </c>
      <c r="B978" s="133"/>
      <c r="C978" s="133"/>
      <c r="D978" s="135"/>
      <c r="E978" s="135"/>
      <c r="F978" s="137"/>
      <c r="AA978" s="116" t="str">
        <f t="shared" si="166"/>
        <v>00000000000000</v>
      </c>
      <c r="AB978" s="117" t="str">
        <f t="shared" si="168"/>
        <v>000000000000</v>
      </c>
      <c r="AC978" s="118">
        <f t="shared" si="169"/>
        <v>1</v>
      </c>
      <c r="AD978" s="47">
        <v>2</v>
      </c>
      <c r="AE978" s="66">
        <f t="shared" si="172"/>
        <v>0</v>
      </c>
      <c r="AF978" s="66">
        <f t="shared" si="165"/>
        <v>0</v>
      </c>
      <c r="AG978" s="67" t="str">
        <f t="shared" si="173"/>
        <v>0000000000</v>
      </c>
      <c r="AH978" s="67" t="str">
        <f t="shared" si="174"/>
        <v>.00</v>
      </c>
      <c r="AI978" s="67" t="str">
        <f t="shared" si="170"/>
        <v>00</v>
      </c>
      <c r="AJ978" s="67" t="str">
        <f t="shared" si="175"/>
        <v>000000000000</v>
      </c>
      <c r="AK978" s="119"/>
      <c r="AL978" s="120"/>
      <c r="AP978" s="115" t="str">
        <f t="shared" si="171"/>
        <v/>
      </c>
    </row>
    <row r="979" spans="1:42" x14ac:dyDescent="0.2">
      <c r="A979" s="63" t="str">
        <f t="shared" si="167"/>
        <v/>
      </c>
      <c r="B979" s="133"/>
      <c r="C979" s="133"/>
      <c r="D979" s="135"/>
      <c r="E979" s="135"/>
      <c r="F979" s="137"/>
      <c r="AA979" s="116" t="str">
        <f t="shared" si="166"/>
        <v>00000000000000</v>
      </c>
      <c r="AB979" s="117" t="str">
        <f t="shared" si="168"/>
        <v>000000000000</v>
      </c>
      <c r="AC979" s="118">
        <f t="shared" si="169"/>
        <v>1</v>
      </c>
      <c r="AD979" s="47">
        <v>2</v>
      </c>
      <c r="AE979" s="66">
        <f t="shared" si="172"/>
        <v>0</v>
      </c>
      <c r="AF979" s="66">
        <f t="shared" si="165"/>
        <v>0</v>
      </c>
      <c r="AG979" s="67" t="str">
        <f t="shared" si="173"/>
        <v>0000000000</v>
      </c>
      <c r="AH979" s="67" t="str">
        <f t="shared" si="174"/>
        <v>.00</v>
      </c>
      <c r="AI979" s="67" t="str">
        <f t="shared" si="170"/>
        <v>00</v>
      </c>
      <c r="AJ979" s="67" t="str">
        <f t="shared" si="175"/>
        <v>000000000000</v>
      </c>
      <c r="AK979" s="119"/>
      <c r="AL979" s="120"/>
      <c r="AP979" s="115" t="str">
        <f t="shared" si="171"/>
        <v/>
      </c>
    </row>
    <row r="980" spans="1:42" x14ac:dyDescent="0.2">
      <c r="A980" s="63" t="str">
        <f t="shared" si="167"/>
        <v/>
      </c>
      <c r="B980" s="133"/>
      <c r="C980" s="133"/>
      <c r="D980" s="135"/>
      <c r="E980" s="135"/>
      <c r="F980" s="137"/>
      <c r="AA980" s="116" t="str">
        <f t="shared" si="166"/>
        <v>00000000000000</v>
      </c>
      <c r="AB980" s="117" t="str">
        <f t="shared" si="168"/>
        <v>000000000000</v>
      </c>
      <c r="AC980" s="118">
        <f t="shared" si="169"/>
        <v>1</v>
      </c>
      <c r="AD980" s="47">
        <v>2</v>
      </c>
      <c r="AE980" s="66">
        <f t="shared" si="172"/>
        <v>0</v>
      </c>
      <c r="AF980" s="66">
        <f t="shared" si="165"/>
        <v>0</v>
      </c>
      <c r="AG980" s="67" t="str">
        <f t="shared" si="173"/>
        <v>0000000000</v>
      </c>
      <c r="AH980" s="67" t="str">
        <f t="shared" si="174"/>
        <v>.00</v>
      </c>
      <c r="AI980" s="67" t="str">
        <f t="shared" si="170"/>
        <v>00</v>
      </c>
      <c r="AJ980" s="67" t="str">
        <f t="shared" si="175"/>
        <v>000000000000</v>
      </c>
      <c r="AK980" s="119"/>
      <c r="AL980" s="120"/>
      <c r="AP980" s="115" t="str">
        <f t="shared" si="171"/>
        <v/>
      </c>
    </row>
    <row r="981" spans="1:42" x14ac:dyDescent="0.2">
      <c r="A981" s="63" t="str">
        <f t="shared" si="167"/>
        <v/>
      </c>
      <c r="B981" s="133"/>
      <c r="C981" s="133"/>
      <c r="D981" s="135"/>
      <c r="E981" s="135"/>
      <c r="F981" s="137"/>
      <c r="AA981" s="116" t="str">
        <f t="shared" si="166"/>
        <v>00000000000000</v>
      </c>
      <c r="AB981" s="117" t="str">
        <f t="shared" si="168"/>
        <v>000000000000</v>
      </c>
      <c r="AC981" s="118">
        <f t="shared" si="169"/>
        <v>1</v>
      </c>
      <c r="AD981" s="47">
        <v>2</v>
      </c>
      <c r="AE981" s="66">
        <f t="shared" si="172"/>
        <v>0</v>
      </c>
      <c r="AF981" s="66">
        <f t="shared" si="165"/>
        <v>0</v>
      </c>
      <c r="AG981" s="67" t="str">
        <f t="shared" si="173"/>
        <v>0000000000</v>
      </c>
      <c r="AH981" s="67" t="str">
        <f t="shared" si="174"/>
        <v>.00</v>
      </c>
      <c r="AI981" s="67" t="str">
        <f t="shared" si="170"/>
        <v>00</v>
      </c>
      <c r="AJ981" s="67" t="str">
        <f t="shared" si="175"/>
        <v>000000000000</v>
      </c>
      <c r="AK981" s="119"/>
      <c r="AL981" s="120"/>
      <c r="AP981" s="115" t="str">
        <f t="shared" si="171"/>
        <v/>
      </c>
    </row>
    <row r="982" spans="1:42" x14ac:dyDescent="0.2">
      <c r="A982" s="63" t="str">
        <f t="shared" si="167"/>
        <v/>
      </c>
      <c r="B982" s="133"/>
      <c r="C982" s="133"/>
      <c r="D982" s="135"/>
      <c r="E982" s="135"/>
      <c r="F982" s="137"/>
      <c r="AA982" s="116" t="str">
        <f t="shared" si="166"/>
        <v>00000000000000</v>
      </c>
      <c r="AB982" s="117" t="str">
        <f t="shared" si="168"/>
        <v>000000000000</v>
      </c>
      <c r="AC982" s="118">
        <f t="shared" si="169"/>
        <v>1</v>
      </c>
      <c r="AD982" s="47">
        <v>2</v>
      </c>
      <c r="AE982" s="66">
        <f t="shared" si="172"/>
        <v>0</v>
      </c>
      <c r="AF982" s="66">
        <f t="shared" si="165"/>
        <v>0</v>
      </c>
      <c r="AG982" s="67" t="str">
        <f t="shared" si="173"/>
        <v>0000000000</v>
      </c>
      <c r="AH982" s="67" t="str">
        <f t="shared" si="174"/>
        <v>.00</v>
      </c>
      <c r="AI982" s="67" t="str">
        <f t="shared" si="170"/>
        <v>00</v>
      </c>
      <c r="AJ982" s="67" t="str">
        <f t="shared" si="175"/>
        <v>000000000000</v>
      </c>
      <c r="AK982" s="119"/>
      <c r="AL982" s="120"/>
      <c r="AP982" s="115" t="str">
        <f t="shared" si="171"/>
        <v/>
      </c>
    </row>
    <row r="983" spans="1:42" x14ac:dyDescent="0.2">
      <c r="A983" s="63" t="str">
        <f t="shared" si="167"/>
        <v/>
      </c>
      <c r="B983" s="133"/>
      <c r="C983" s="133"/>
      <c r="D983" s="135"/>
      <c r="E983" s="135"/>
      <c r="F983" s="137"/>
      <c r="AA983" s="116" t="str">
        <f t="shared" si="166"/>
        <v>00000000000000</v>
      </c>
      <c r="AB983" s="117" t="str">
        <f t="shared" si="168"/>
        <v>000000000000</v>
      </c>
      <c r="AC983" s="118">
        <f t="shared" si="169"/>
        <v>1</v>
      </c>
      <c r="AD983" s="47">
        <v>2</v>
      </c>
      <c r="AE983" s="66">
        <f t="shared" si="172"/>
        <v>0</v>
      </c>
      <c r="AF983" s="66">
        <f t="shared" si="165"/>
        <v>0</v>
      </c>
      <c r="AG983" s="67" t="str">
        <f t="shared" si="173"/>
        <v>0000000000</v>
      </c>
      <c r="AH983" s="67" t="str">
        <f t="shared" si="174"/>
        <v>.00</v>
      </c>
      <c r="AI983" s="67" t="str">
        <f t="shared" si="170"/>
        <v>00</v>
      </c>
      <c r="AJ983" s="67" t="str">
        <f t="shared" si="175"/>
        <v>000000000000</v>
      </c>
      <c r="AK983" s="119"/>
      <c r="AL983" s="120"/>
      <c r="AP983" s="115" t="str">
        <f t="shared" si="171"/>
        <v/>
      </c>
    </row>
    <row r="984" spans="1:42" x14ac:dyDescent="0.2">
      <c r="A984" s="63" t="str">
        <f t="shared" si="167"/>
        <v/>
      </c>
      <c r="B984" s="133"/>
      <c r="C984" s="133"/>
      <c r="D984" s="135"/>
      <c r="E984" s="135"/>
      <c r="F984" s="137"/>
      <c r="AA984" s="116" t="str">
        <f t="shared" si="166"/>
        <v>00000000000000</v>
      </c>
      <c r="AB984" s="117" t="str">
        <f t="shared" si="168"/>
        <v>000000000000</v>
      </c>
      <c r="AC984" s="118">
        <f t="shared" si="169"/>
        <v>1</v>
      </c>
      <c r="AD984" s="47">
        <v>2</v>
      </c>
      <c r="AE984" s="66">
        <f t="shared" si="172"/>
        <v>0</v>
      </c>
      <c r="AF984" s="66">
        <f t="shared" si="165"/>
        <v>0</v>
      </c>
      <c r="AG984" s="67" t="str">
        <f t="shared" si="173"/>
        <v>0000000000</v>
      </c>
      <c r="AH984" s="67" t="str">
        <f t="shared" si="174"/>
        <v>.00</v>
      </c>
      <c r="AI984" s="67" t="str">
        <f t="shared" si="170"/>
        <v>00</v>
      </c>
      <c r="AJ984" s="67" t="str">
        <f t="shared" si="175"/>
        <v>000000000000</v>
      </c>
      <c r="AK984" s="119"/>
      <c r="AL984" s="120"/>
      <c r="AP984" s="115" t="str">
        <f t="shared" si="171"/>
        <v/>
      </c>
    </row>
    <row r="985" spans="1:42" x14ac:dyDescent="0.2">
      <c r="A985" s="63" t="str">
        <f t="shared" si="167"/>
        <v/>
      </c>
      <c r="B985" s="133"/>
      <c r="C985" s="133"/>
      <c r="D985" s="135"/>
      <c r="E985" s="135"/>
      <c r="F985" s="137"/>
      <c r="AA985" s="116" t="str">
        <f t="shared" si="166"/>
        <v>00000000000000</v>
      </c>
      <c r="AB985" s="117" t="str">
        <f t="shared" si="168"/>
        <v>000000000000</v>
      </c>
      <c r="AC985" s="118">
        <f t="shared" si="169"/>
        <v>1</v>
      </c>
      <c r="AD985" s="47">
        <v>2</v>
      </c>
      <c r="AE985" s="66">
        <f t="shared" si="172"/>
        <v>0</v>
      </c>
      <c r="AF985" s="66">
        <f t="shared" si="165"/>
        <v>0</v>
      </c>
      <c r="AG985" s="67" t="str">
        <f t="shared" si="173"/>
        <v>0000000000</v>
      </c>
      <c r="AH985" s="67" t="str">
        <f t="shared" si="174"/>
        <v>.00</v>
      </c>
      <c r="AI985" s="67" t="str">
        <f t="shared" si="170"/>
        <v>00</v>
      </c>
      <c r="AJ985" s="67" t="str">
        <f t="shared" si="175"/>
        <v>000000000000</v>
      </c>
      <c r="AK985" s="119"/>
      <c r="AL985" s="120"/>
      <c r="AP985" s="115" t="str">
        <f t="shared" si="171"/>
        <v/>
      </c>
    </row>
    <row r="986" spans="1:42" x14ac:dyDescent="0.2">
      <c r="A986" s="63" t="str">
        <f t="shared" si="167"/>
        <v/>
      </c>
      <c r="B986" s="133"/>
      <c r="C986" s="133"/>
      <c r="D986" s="135"/>
      <c r="E986" s="135"/>
      <c r="F986" s="137"/>
      <c r="AA986" s="116" t="str">
        <f t="shared" si="166"/>
        <v>00000000000000</v>
      </c>
      <c r="AB986" s="117" t="str">
        <f t="shared" si="168"/>
        <v>000000000000</v>
      </c>
      <c r="AC986" s="118">
        <f t="shared" si="169"/>
        <v>1</v>
      </c>
      <c r="AD986" s="47">
        <v>2</v>
      </c>
      <c r="AE986" s="66">
        <f t="shared" si="172"/>
        <v>0</v>
      </c>
      <c r="AF986" s="66">
        <f t="shared" si="165"/>
        <v>0</v>
      </c>
      <c r="AG986" s="67" t="str">
        <f t="shared" si="173"/>
        <v>0000000000</v>
      </c>
      <c r="AH986" s="67" t="str">
        <f t="shared" si="174"/>
        <v>.00</v>
      </c>
      <c r="AI986" s="67" t="str">
        <f t="shared" si="170"/>
        <v>00</v>
      </c>
      <c r="AJ986" s="67" t="str">
        <f t="shared" si="175"/>
        <v>000000000000</v>
      </c>
      <c r="AK986" s="119"/>
      <c r="AL986" s="120"/>
      <c r="AP986" s="115" t="str">
        <f t="shared" si="171"/>
        <v/>
      </c>
    </row>
    <row r="987" spans="1:42" x14ac:dyDescent="0.2">
      <c r="A987" s="63" t="str">
        <f t="shared" si="167"/>
        <v/>
      </c>
      <c r="B987" s="133"/>
      <c r="C987" s="133"/>
      <c r="D987" s="135"/>
      <c r="E987" s="135"/>
      <c r="F987" s="137"/>
      <c r="AA987" s="116" t="str">
        <f t="shared" si="166"/>
        <v>00000000000000</v>
      </c>
      <c r="AB987" s="117" t="str">
        <f t="shared" si="168"/>
        <v>000000000000</v>
      </c>
      <c r="AC987" s="118">
        <f t="shared" si="169"/>
        <v>1</v>
      </c>
      <c r="AD987" s="47">
        <v>2</v>
      </c>
      <c r="AE987" s="66">
        <f t="shared" si="172"/>
        <v>0</v>
      </c>
      <c r="AF987" s="66">
        <f t="shared" si="165"/>
        <v>0</v>
      </c>
      <c r="AG987" s="67" t="str">
        <f t="shared" si="173"/>
        <v>0000000000</v>
      </c>
      <c r="AH987" s="67" t="str">
        <f t="shared" si="174"/>
        <v>.00</v>
      </c>
      <c r="AI987" s="67" t="str">
        <f t="shared" si="170"/>
        <v>00</v>
      </c>
      <c r="AJ987" s="67" t="str">
        <f t="shared" si="175"/>
        <v>000000000000</v>
      </c>
      <c r="AK987" s="119"/>
      <c r="AL987" s="120"/>
      <c r="AP987" s="115" t="str">
        <f t="shared" si="171"/>
        <v/>
      </c>
    </row>
    <row r="988" spans="1:42" x14ac:dyDescent="0.2">
      <c r="A988" s="63" t="str">
        <f t="shared" si="167"/>
        <v/>
      </c>
      <c r="B988" s="133"/>
      <c r="C988" s="133"/>
      <c r="D988" s="135"/>
      <c r="E988" s="135"/>
      <c r="F988" s="137"/>
      <c r="AA988" s="116" t="str">
        <f t="shared" si="166"/>
        <v>00000000000000</v>
      </c>
      <c r="AB988" s="117" t="str">
        <f t="shared" si="168"/>
        <v>000000000000</v>
      </c>
      <c r="AC988" s="118">
        <f t="shared" si="169"/>
        <v>1</v>
      </c>
      <c r="AD988" s="47">
        <v>2</v>
      </c>
      <c r="AE988" s="66">
        <f t="shared" si="172"/>
        <v>0</v>
      </c>
      <c r="AF988" s="66">
        <f t="shared" si="165"/>
        <v>0</v>
      </c>
      <c r="AG988" s="67" t="str">
        <f t="shared" si="173"/>
        <v>0000000000</v>
      </c>
      <c r="AH988" s="67" t="str">
        <f t="shared" si="174"/>
        <v>.00</v>
      </c>
      <c r="AI988" s="67" t="str">
        <f t="shared" si="170"/>
        <v>00</v>
      </c>
      <c r="AJ988" s="67" t="str">
        <f t="shared" si="175"/>
        <v>000000000000</v>
      </c>
      <c r="AK988" s="119"/>
      <c r="AL988" s="120"/>
      <c r="AP988" s="115" t="str">
        <f t="shared" si="171"/>
        <v/>
      </c>
    </row>
    <row r="989" spans="1:42" x14ac:dyDescent="0.2">
      <c r="A989" s="63" t="str">
        <f t="shared" si="167"/>
        <v/>
      </c>
      <c r="B989" s="133"/>
      <c r="C989" s="133"/>
      <c r="D989" s="135"/>
      <c r="E989" s="135"/>
      <c r="F989" s="137"/>
      <c r="AA989" s="116" t="str">
        <f t="shared" si="166"/>
        <v>00000000000000</v>
      </c>
      <c r="AB989" s="117" t="str">
        <f t="shared" si="168"/>
        <v>000000000000</v>
      </c>
      <c r="AC989" s="118">
        <f t="shared" si="169"/>
        <v>1</v>
      </c>
      <c r="AD989" s="47">
        <v>2</v>
      </c>
      <c r="AE989" s="66">
        <f t="shared" si="172"/>
        <v>0</v>
      </c>
      <c r="AF989" s="66">
        <f t="shared" si="165"/>
        <v>0</v>
      </c>
      <c r="AG989" s="67" t="str">
        <f t="shared" si="173"/>
        <v>0000000000</v>
      </c>
      <c r="AH989" s="67" t="str">
        <f t="shared" si="174"/>
        <v>.00</v>
      </c>
      <c r="AI989" s="67" t="str">
        <f t="shared" si="170"/>
        <v>00</v>
      </c>
      <c r="AJ989" s="67" t="str">
        <f t="shared" si="175"/>
        <v>000000000000</v>
      </c>
      <c r="AK989" s="119"/>
      <c r="AL989" s="120"/>
      <c r="AP989" s="115" t="str">
        <f t="shared" si="171"/>
        <v/>
      </c>
    </row>
    <row r="990" spans="1:42" x14ac:dyDescent="0.2">
      <c r="A990" s="63" t="str">
        <f t="shared" si="167"/>
        <v/>
      </c>
      <c r="B990" s="133"/>
      <c r="C990" s="133"/>
      <c r="D990" s="135"/>
      <c r="E990" s="135"/>
      <c r="F990" s="137"/>
      <c r="AA990" s="116" t="str">
        <f t="shared" si="166"/>
        <v>00000000000000</v>
      </c>
      <c r="AB990" s="117" t="str">
        <f t="shared" si="168"/>
        <v>000000000000</v>
      </c>
      <c r="AC990" s="118">
        <f t="shared" si="169"/>
        <v>1</v>
      </c>
      <c r="AD990" s="47">
        <v>2</v>
      </c>
      <c r="AE990" s="66">
        <f t="shared" si="172"/>
        <v>0</v>
      </c>
      <c r="AF990" s="66">
        <f t="shared" si="165"/>
        <v>0</v>
      </c>
      <c r="AG990" s="67" t="str">
        <f t="shared" si="173"/>
        <v>0000000000</v>
      </c>
      <c r="AH990" s="67" t="str">
        <f t="shared" si="174"/>
        <v>.00</v>
      </c>
      <c r="AI990" s="67" t="str">
        <f t="shared" si="170"/>
        <v>00</v>
      </c>
      <c r="AJ990" s="67" t="str">
        <f t="shared" si="175"/>
        <v>000000000000</v>
      </c>
      <c r="AK990" s="119"/>
      <c r="AL990" s="120"/>
      <c r="AP990" s="115" t="str">
        <f t="shared" si="171"/>
        <v/>
      </c>
    </row>
    <row r="991" spans="1:42" x14ac:dyDescent="0.2">
      <c r="A991" s="63" t="str">
        <f t="shared" si="167"/>
        <v/>
      </c>
      <c r="B991" s="133"/>
      <c r="C991" s="133"/>
      <c r="D991" s="135"/>
      <c r="E991" s="135"/>
      <c r="F991" s="137"/>
      <c r="AA991" s="116" t="str">
        <f t="shared" si="166"/>
        <v>00000000000000</v>
      </c>
      <c r="AB991" s="117" t="str">
        <f t="shared" si="168"/>
        <v>000000000000</v>
      </c>
      <c r="AC991" s="118">
        <f t="shared" si="169"/>
        <v>1</v>
      </c>
      <c r="AD991" s="47">
        <v>2</v>
      </c>
      <c r="AE991" s="66">
        <f t="shared" si="172"/>
        <v>0</v>
      </c>
      <c r="AF991" s="66">
        <f t="shared" si="165"/>
        <v>0</v>
      </c>
      <c r="AG991" s="67" t="str">
        <f t="shared" si="173"/>
        <v>0000000000</v>
      </c>
      <c r="AH991" s="67" t="str">
        <f t="shared" si="174"/>
        <v>.00</v>
      </c>
      <c r="AI991" s="67" t="str">
        <f t="shared" si="170"/>
        <v>00</v>
      </c>
      <c r="AJ991" s="67" t="str">
        <f t="shared" si="175"/>
        <v>000000000000</v>
      </c>
      <c r="AK991" s="119"/>
      <c r="AL991" s="120"/>
      <c r="AP991" s="115" t="str">
        <f t="shared" si="171"/>
        <v/>
      </c>
    </row>
    <row r="992" spans="1:42" x14ac:dyDescent="0.2">
      <c r="A992" s="63" t="str">
        <f t="shared" si="167"/>
        <v/>
      </c>
      <c r="B992" s="133"/>
      <c r="C992" s="133"/>
      <c r="D992" s="135"/>
      <c r="E992" s="135"/>
      <c r="F992" s="137"/>
      <c r="AA992" s="116" t="str">
        <f t="shared" si="166"/>
        <v>00000000000000</v>
      </c>
      <c r="AB992" s="117" t="str">
        <f t="shared" si="168"/>
        <v>000000000000</v>
      </c>
      <c r="AC992" s="118">
        <f t="shared" si="169"/>
        <v>1</v>
      </c>
      <c r="AD992" s="47">
        <v>2</v>
      </c>
      <c r="AE992" s="66">
        <f t="shared" si="172"/>
        <v>0</v>
      </c>
      <c r="AF992" s="66">
        <f t="shared" si="165"/>
        <v>0</v>
      </c>
      <c r="AG992" s="67" t="str">
        <f t="shared" si="173"/>
        <v>0000000000</v>
      </c>
      <c r="AH992" s="67" t="str">
        <f t="shared" si="174"/>
        <v>.00</v>
      </c>
      <c r="AI992" s="67" t="str">
        <f t="shared" si="170"/>
        <v>00</v>
      </c>
      <c r="AJ992" s="67" t="str">
        <f t="shared" si="175"/>
        <v>000000000000</v>
      </c>
      <c r="AK992" s="119"/>
      <c r="AL992" s="120"/>
      <c r="AP992" s="115" t="str">
        <f t="shared" si="171"/>
        <v/>
      </c>
    </row>
    <row r="993" spans="1:42" x14ac:dyDescent="0.2">
      <c r="A993" s="63" t="str">
        <f t="shared" si="167"/>
        <v/>
      </c>
      <c r="B993" s="133"/>
      <c r="C993" s="133"/>
      <c r="D993" s="135"/>
      <c r="E993" s="135"/>
      <c r="F993" s="137"/>
      <c r="AA993" s="116" t="str">
        <f t="shared" si="166"/>
        <v>00000000000000</v>
      </c>
      <c r="AB993" s="117" t="str">
        <f t="shared" si="168"/>
        <v>000000000000</v>
      </c>
      <c r="AC993" s="118">
        <f t="shared" si="169"/>
        <v>1</v>
      </c>
      <c r="AD993" s="47">
        <v>2</v>
      </c>
      <c r="AE993" s="66">
        <f t="shared" si="172"/>
        <v>0</v>
      </c>
      <c r="AF993" s="66">
        <f t="shared" si="165"/>
        <v>0</v>
      </c>
      <c r="AG993" s="67" t="str">
        <f t="shared" si="173"/>
        <v>0000000000</v>
      </c>
      <c r="AH993" s="67" t="str">
        <f t="shared" si="174"/>
        <v>.00</v>
      </c>
      <c r="AI993" s="67" t="str">
        <f t="shared" si="170"/>
        <v>00</v>
      </c>
      <c r="AJ993" s="67" t="str">
        <f t="shared" si="175"/>
        <v>000000000000</v>
      </c>
      <c r="AK993" s="119"/>
      <c r="AL993" s="120"/>
      <c r="AP993" s="115" t="str">
        <f t="shared" si="171"/>
        <v/>
      </c>
    </row>
    <row r="994" spans="1:42" x14ac:dyDescent="0.2">
      <c r="A994" s="63" t="str">
        <f t="shared" si="167"/>
        <v/>
      </c>
      <c r="B994" s="133"/>
      <c r="C994" s="133"/>
      <c r="D994" s="135"/>
      <c r="E994" s="135"/>
      <c r="F994" s="137"/>
      <c r="AA994" s="116" t="str">
        <f t="shared" si="166"/>
        <v>00000000000000</v>
      </c>
      <c r="AB994" s="117" t="str">
        <f t="shared" si="168"/>
        <v>000000000000</v>
      </c>
      <c r="AC994" s="118">
        <f t="shared" si="169"/>
        <v>1</v>
      </c>
      <c r="AD994" s="47">
        <v>2</v>
      </c>
      <c r="AE994" s="66">
        <f t="shared" si="172"/>
        <v>0</v>
      </c>
      <c r="AF994" s="66">
        <f t="shared" si="165"/>
        <v>0</v>
      </c>
      <c r="AG994" s="67" t="str">
        <f t="shared" si="173"/>
        <v>0000000000</v>
      </c>
      <c r="AH994" s="67" t="str">
        <f t="shared" si="174"/>
        <v>.00</v>
      </c>
      <c r="AI994" s="67" t="str">
        <f t="shared" si="170"/>
        <v>00</v>
      </c>
      <c r="AJ994" s="67" t="str">
        <f t="shared" si="175"/>
        <v>000000000000</v>
      </c>
      <c r="AK994" s="119"/>
      <c r="AL994" s="120"/>
      <c r="AP994" s="115" t="str">
        <f t="shared" si="171"/>
        <v/>
      </c>
    </row>
    <row r="995" spans="1:42" x14ac:dyDescent="0.2">
      <c r="A995" s="63" t="str">
        <f t="shared" si="167"/>
        <v/>
      </c>
      <c r="B995" s="133"/>
      <c r="C995" s="133"/>
      <c r="D995" s="135"/>
      <c r="E995" s="135"/>
      <c r="F995" s="137"/>
      <c r="AA995" s="116" t="str">
        <f t="shared" si="166"/>
        <v>00000000000000</v>
      </c>
      <c r="AB995" s="117" t="str">
        <f t="shared" si="168"/>
        <v>000000000000</v>
      </c>
      <c r="AC995" s="118">
        <f t="shared" si="169"/>
        <v>1</v>
      </c>
      <c r="AD995" s="47">
        <v>2</v>
      </c>
      <c r="AE995" s="66">
        <f t="shared" si="172"/>
        <v>0</v>
      </c>
      <c r="AF995" s="66">
        <f t="shared" si="165"/>
        <v>0</v>
      </c>
      <c r="AG995" s="67" t="str">
        <f t="shared" si="173"/>
        <v>0000000000</v>
      </c>
      <c r="AH995" s="67" t="str">
        <f t="shared" si="174"/>
        <v>.00</v>
      </c>
      <c r="AI995" s="67" t="str">
        <f t="shared" si="170"/>
        <v>00</v>
      </c>
      <c r="AJ995" s="67" t="str">
        <f t="shared" si="175"/>
        <v>000000000000</v>
      </c>
      <c r="AK995" s="119"/>
      <c r="AL995" s="120"/>
      <c r="AP995" s="115" t="str">
        <f t="shared" si="171"/>
        <v/>
      </c>
    </row>
    <row r="996" spans="1:42" x14ac:dyDescent="0.2">
      <c r="A996" s="63" t="str">
        <f t="shared" si="167"/>
        <v/>
      </c>
      <c r="B996" s="133"/>
      <c r="C996" s="133"/>
      <c r="D996" s="135"/>
      <c r="E996" s="135"/>
      <c r="F996" s="137"/>
      <c r="AA996" s="116" t="str">
        <f t="shared" si="166"/>
        <v>00000000000000</v>
      </c>
      <c r="AB996" s="117" t="str">
        <f t="shared" si="168"/>
        <v>000000000000</v>
      </c>
      <c r="AC996" s="118">
        <f t="shared" si="169"/>
        <v>1</v>
      </c>
      <c r="AD996" s="47">
        <v>2</v>
      </c>
      <c r="AE996" s="66">
        <f t="shared" si="172"/>
        <v>0</v>
      </c>
      <c r="AF996" s="66">
        <f t="shared" si="165"/>
        <v>0</v>
      </c>
      <c r="AG996" s="67" t="str">
        <f t="shared" si="173"/>
        <v>0000000000</v>
      </c>
      <c r="AH996" s="67" t="str">
        <f t="shared" si="174"/>
        <v>.00</v>
      </c>
      <c r="AI996" s="67" t="str">
        <f t="shared" si="170"/>
        <v>00</v>
      </c>
      <c r="AJ996" s="67" t="str">
        <f t="shared" si="175"/>
        <v>000000000000</v>
      </c>
      <c r="AK996" s="119"/>
      <c r="AL996" s="120"/>
      <c r="AP996" s="115" t="str">
        <f t="shared" si="171"/>
        <v/>
      </c>
    </row>
    <row r="997" spans="1:42" x14ac:dyDescent="0.2">
      <c r="A997" s="63" t="str">
        <f t="shared" si="167"/>
        <v/>
      </c>
      <c r="B997" s="133"/>
      <c r="C997" s="133"/>
      <c r="D997" s="135"/>
      <c r="E997" s="135"/>
      <c r="F997" s="137"/>
      <c r="AA997" s="116" t="str">
        <f t="shared" si="166"/>
        <v>00000000000000</v>
      </c>
      <c r="AB997" s="117" t="str">
        <f t="shared" si="168"/>
        <v>000000000000</v>
      </c>
      <c r="AC997" s="118">
        <f t="shared" si="169"/>
        <v>1</v>
      </c>
      <c r="AD997" s="47">
        <v>2</v>
      </c>
      <c r="AE997" s="66">
        <f t="shared" si="172"/>
        <v>0</v>
      </c>
      <c r="AF997" s="66">
        <f t="shared" si="165"/>
        <v>0</v>
      </c>
      <c r="AG997" s="67" t="str">
        <f t="shared" si="173"/>
        <v>0000000000</v>
      </c>
      <c r="AH997" s="67" t="str">
        <f t="shared" si="174"/>
        <v>.00</v>
      </c>
      <c r="AI997" s="67" t="str">
        <f t="shared" si="170"/>
        <v>00</v>
      </c>
      <c r="AJ997" s="67" t="str">
        <f t="shared" si="175"/>
        <v>000000000000</v>
      </c>
      <c r="AK997" s="119"/>
      <c r="AL997" s="120"/>
      <c r="AP997" s="115" t="str">
        <f t="shared" si="171"/>
        <v/>
      </c>
    </row>
    <row r="998" spans="1:42" x14ac:dyDescent="0.2">
      <c r="A998" s="63" t="str">
        <f t="shared" si="167"/>
        <v/>
      </c>
      <c r="B998" s="133"/>
      <c r="C998" s="133"/>
      <c r="D998" s="135"/>
      <c r="E998" s="135"/>
      <c r="F998" s="137"/>
      <c r="AA998" s="116" t="str">
        <f t="shared" si="166"/>
        <v>00000000000000</v>
      </c>
      <c r="AB998" s="117" t="str">
        <f t="shared" si="168"/>
        <v>000000000000</v>
      </c>
      <c r="AC998" s="118">
        <f t="shared" si="169"/>
        <v>1</v>
      </c>
      <c r="AD998" s="47">
        <v>2</v>
      </c>
      <c r="AE998" s="66">
        <f t="shared" si="172"/>
        <v>0</v>
      </c>
      <c r="AF998" s="66">
        <f t="shared" si="165"/>
        <v>0</v>
      </c>
      <c r="AG998" s="67" t="str">
        <f t="shared" si="173"/>
        <v>0000000000</v>
      </c>
      <c r="AH998" s="67" t="str">
        <f t="shared" si="174"/>
        <v>.00</v>
      </c>
      <c r="AI998" s="67" t="str">
        <f t="shared" si="170"/>
        <v>00</v>
      </c>
      <c r="AJ998" s="67" t="str">
        <f t="shared" si="175"/>
        <v>000000000000</v>
      </c>
      <c r="AK998" s="119"/>
      <c r="AL998" s="120"/>
      <c r="AP998" s="115" t="str">
        <f t="shared" si="171"/>
        <v/>
      </c>
    </row>
    <row r="999" spans="1:42" x14ac:dyDescent="0.2">
      <c r="A999" s="63" t="str">
        <f t="shared" si="167"/>
        <v/>
      </c>
      <c r="B999" s="133"/>
      <c r="C999" s="133"/>
      <c r="D999" s="135"/>
      <c r="E999" s="135"/>
      <c r="F999" s="137"/>
      <c r="AA999" s="116" t="str">
        <f t="shared" si="166"/>
        <v>00000000000000</v>
      </c>
      <c r="AB999" s="117" t="str">
        <f t="shared" si="168"/>
        <v>000000000000</v>
      </c>
      <c r="AC999" s="118">
        <f t="shared" si="169"/>
        <v>1</v>
      </c>
      <c r="AD999" s="47">
        <v>2</v>
      </c>
      <c r="AE999" s="66">
        <f t="shared" si="172"/>
        <v>0</v>
      </c>
      <c r="AF999" s="66">
        <f t="shared" si="165"/>
        <v>0</v>
      </c>
      <c r="AG999" s="67" t="str">
        <f t="shared" si="173"/>
        <v>0000000000</v>
      </c>
      <c r="AH999" s="67" t="str">
        <f t="shared" si="174"/>
        <v>.00</v>
      </c>
      <c r="AI999" s="67" t="str">
        <f t="shared" si="170"/>
        <v>00</v>
      </c>
      <c r="AJ999" s="67" t="str">
        <f t="shared" si="175"/>
        <v>000000000000</v>
      </c>
      <c r="AK999" s="119"/>
      <c r="AL999" s="120"/>
      <c r="AP999" s="115" t="str">
        <f t="shared" si="171"/>
        <v/>
      </c>
    </row>
    <row r="1000" spans="1:42" x14ac:dyDescent="0.2">
      <c r="A1000" s="63" t="str">
        <f t="shared" si="167"/>
        <v/>
      </c>
      <c r="B1000" s="133"/>
      <c r="C1000" s="133"/>
      <c r="D1000" s="135"/>
      <c r="E1000" s="135"/>
      <c r="F1000" s="137"/>
      <c r="AA1000" s="116" t="str">
        <f t="shared" si="166"/>
        <v>00000000000000</v>
      </c>
      <c r="AB1000" s="117" t="str">
        <f t="shared" si="168"/>
        <v>000000000000</v>
      </c>
      <c r="AC1000" s="118">
        <f t="shared" si="169"/>
        <v>1</v>
      </c>
      <c r="AD1000" s="47">
        <v>2</v>
      </c>
      <c r="AE1000" s="66">
        <f t="shared" si="172"/>
        <v>0</v>
      </c>
      <c r="AF1000" s="66">
        <f t="shared" si="165"/>
        <v>0</v>
      </c>
      <c r="AG1000" s="67" t="str">
        <f t="shared" si="173"/>
        <v>0000000000</v>
      </c>
      <c r="AH1000" s="67" t="str">
        <f t="shared" si="174"/>
        <v>.00</v>
      </c>
      <c r="AI1000" s="67" t="str">
        <f t="shared" si="170"/>
        <v>00</v>
      </c>
      <c r="AJ1000" s="67" t="str">
        <f t="shared" si="175"/>
        <v>000000000000</v>
      </c>
      <c r="AK1000" s="119"/>
      <c r="AL1000" s="120"/>
      <c r="AP1000" s="115" t="str">
        <f t="shared" si="171"/>
        <v/>
      </c>
    </row>
    <row r="1001" spans="1:42" s="44" customFormat="1" x14ac:dyDescent="0.2">
      <c r="A1001" s="63"/>
      <c r="B1001" s="72"/>
      <c r="C1001" s="72"/>
      <c r="D1001" s="72"/>
      <c r="F1001" s="70"/>
      <c r="AE1001" s="71"/>
      <c r="AF1001" s="71"/>
      <c r="AK1001" s="121"/>
      <c r="AL1001" s="121"/>
      <c r="AP1001" s="115"/>
    </row>
    <row r="1002" spans="1:42" s="44" customFormat="1" x14ac:dyDescent="0.2">
      <c r="A1002" s="63"/>
      <c r="B1002" s="72"/>
      <c r="C1002" s="72"/>
      <c r="D1002" s="72"/>
      <c r="F1002" s="70"/>
      <c r="AE1002" s="71"/>
      <c r="AF1002" s="71"/>
      <c r="AK1002" s="121"/>
      <c r="AL1002" s="121"/>
      <c r="AP1002" s="115"/>
    </row>
    <row r="1003" spans="1:42" s="44" customFormat="1" x14ac:dyDescent="0.2">
      <c r="A1003" s="63"/>
      <c r="B1003" s="72"/>
      <c r="C1003" s="72"/>
      <c r="D1003" s="72"/>
      <c r="F1003" s="70"/>
      <c r="AE1003" s="71"/>
      <c r="AF1003" s="71"/>
      <c r="AK1003" s="121"/>
      <c r="AL1003" s="121"/>
      <c r="AP1003" s="115"/>
    </row>
    <row r="1004" spans="1:42" s="44" customFormat="1" x14ac:dyDescent="0.2">
      <c r="A1004" s="63"/>
      <c r="B1004" s="72"/>
      <c r="C1004" s="72"/>
      <c r="D1004" s="72"/>
      <c r="F1004" s="70"/>
      <c r="AE1004" s="71"/>
      <c r="AF1004" s="71"/>
      <c r="AK1004" s="121"/>
      <c r="AL1004" s="121"/>
      <c r="AP1004" s="115"/>
    </row>
    <row r="1005" spans="1:42" s="44" customFormat="1" x14ac:dyDescent="0.2">
      <c r="A1005" s="63"/>
      <c r="B1005" s="72"/>
      <c r="C1005" s="72"/>
      <c r="D1005" s="72"/>
      <c r="F1005" s="70"/>
      <c r="AE1005" s="71"/>
      <c r="AF1005" s="71"/>
      <c r="AK1005" s="121"/>
      <c r="AL1005" s="121"/>
      <c r="AP1005" s="115"/>
    </row>
    <row r="1006" spans="1:42" s="44" customFormat="1" x14ac:dyDescent="0.2">
      <c r="A1006" s="63"/>
      <c r="B1006" s="72"/>
      <c r="C1006" s="72"/>
      <c r="D1006" s="72"/>
      <c r="F1006" s="70"/>
      <c r="AE1006" s="71"/>
      <c r="AF1006" s="71"/>
      <c r="AK1006" s="121"/>
      <c r="AL1006" s="121"/>
      <c r="AP1006" s="115"/>
    </row>
    <row r="1007" spans="1:42" s="44" customFormat="1" x14ac:dyDescent="0.2">
      <c r="A1007" s="63"/>
      <c r="B1007" s="72"/>
      <c r="C1007" s="72"/>
      <c r="D1007" s="72"/>
      <c r="F1007" s="70"/>
      <c r="AE1007" s="71"/>
      <c r="AF1007" s="71"/>
      <c r="AK1007" s="121"/>
      <c r="AL1007" s="121"/>
      <c r="AP1007" s="115"/>
    </row>
    <row r="1008" spans="1:42" s="44" customFormat="1" x14ac:dyDescent="0.2">
      <c r="A1008" s="63"/>
      <c r="B1008" s="72"/>
      <c r="C1008" s="72"/>
      <c r="D1008" s="72"/>
      <c r="F1008" s="70"/>
      <c r="AE1008" s="71"/>
      <c r="AF1008" s="71"/>
      <c r="AK1008" s="121"/>
      <c r="AL1008" s="121"/>
      <c r="AP1008" s="115"/>
    </row>
    <row r="1009" spans="1:42" s="44" customFormat="1" x14ac:dyDescent="0.2">
      <c r="A1009" s="63"/>
      <c r="B1009" s="72"/>
      <c r="C1009" s="72"/>
      <c r="D1009" s="72"/>
      <c r="F1009" s="70"/>
      <c r="AE1009" s="71"/>
      <c r="AF1009" s="71"/>
      <c r="AK1009" s="121"/>
      <c r="AL1009" s="121"/>
      <c r="AP1009" s="115"/>
    </row>
    <row r="1010" spans="1:42" s="44" customFormat="1" x14ac:dyDescent="0.2">
      <c r="A1010" s="63"/>
      <c r="B1010" s="72"/>
      <c r="C1010" s="72"/>
      <c r="D1010" s="72"/>
      <c r="F1010" s="70"/>
      <c r="AE1010" s="71"/>
      <c r="AF1010" s="71"/>
      <c r="AK1010" s="121"/>
      <c r="AL1010" s="121"/>
      <c r="AP1010" s="115"/>
    </row>
    <row r="1011" spans="1:42" s="44" customFormat="1" x14ac:dyDescent="0.2">
      <c r="A1011" s="63"/>
      <c r="B1011" s="72"/>
      <c r="C1011" s="72"/>
      <c r="D1011" s="72"/>
      <c r="F1011" s="70"/>
      <c r="AE1011" s="71"/>
      <c r="AF1011" s="71"/>
      <c r="AK1011" s="121"/>
      <c r="AL1011" s="121"/>
      <c r="AP1011" s="115"/>
    </row>
    <row r="1012" spans="1:42" s="44" customFormat="1" x14ac:dyDescent="0.2">
      <c r="A1012" s="63"/>
      <c r="B1012" s="72"/>
      <c r="C1012" s="72"/>
      <c r="D1012" s="72"/>
      <c r="F1012" s="70"/>
      <c r="AE1012" s="71"/>
      <c r="AF1012" s="71"/>
      <c r="AK1012" s="121"/>
      <c r="AL1012" s="121"/>
      <c r="AP1012" s="115"/>
    </row>
    <row r="1013" spans="1:42" s="44" customFormat="1" x14ac:dyDescent="0.2">
      <c r="A1013" s="63"/>
      <c r="B1013" s="72"/>
      <c r="C1013" s="72"/>
      <c r="D1013" s="72"/>
      <c r="F1013" s="70"/>
      <c r="AE1013" s="71"/>
      <c r="AF1013" s="71"/>
      <c r="AK1013" s="121"/>
      <c r="AL1013" s="121"/>
      <c r="AP1013" s="115"/>
    </row>
    <row r="1014" spans="1:42" s="44" customFormat="1" x14ac:dyDescent="0.2">
      <c r="A1014" s="63"/>
      <c r="B1014" s="72"/>
      <c r="C1014" s="72"/>
      <c r="D1014" s="72"/>
      <c r="F1014" s="70"/>
      <c r="AE1014" s="71"/>
      <c r="AF1014" s="71"/>
      <c r="AK1014" s="121"/>
      <c r="AL1014" s="121"/>
      <c r="AP1014" s="115"/>
    </row>
    <row r="1015" spans="1:42" s="44" customFormat="1" x14ac:dyDescent="0.2">
      <c r="A1015" s="63"/>
      <c r="B1015" s="72"/>
      <c r="C1015" s="72"/>
      <c r="D1015" s="72"/>
      <c r="F1015" s="70"/>
      <c r="AE1015" s="71"/>
      <c r="AF1015" s="71"/>
      <c r="AK1015" s="121"/>
      <c r="AL1015" s="121"/>
      <c r="AP1015" s="115"/>
    </row>
    <row r="1016" spans="1:42" s="44" customFormat="1" x14ac:dyDescent="0.2">
      <c r="A1016" s="63"/>
      <c r="B1016" s="72"/>
      <c r="C1016" s="72"/>
      <c r="D1016" s="72"/>
      <c r="F1016" s="70"/>
      <c r="AE1016" s="71"/>
      <c r="AF1016" s="71"/>
      <c r="AK1016" s="121"/>
      <c r="AL1016" s="121"/>
      <c r="AP1016" s="115"/>
    </row>
  </sheetData>
  <sheetProtection password="CCCB" sheet="1" objects="1" scenarios="1"/>
  <protectedRanges>
    <protectedRange password="C6E2" sqref="B2:C2 G9 D2:E3" name="Rango1"/>
  </protectedRanges>
  <conditionalFormatting sqref="A4:A1000">
    <cfRule type="cellIs" dxfId="0" priority="1" operator="lessThan">
      <formula>998</formula>
    </cfRule>
  </conditionalFormatting>
  <dataValidations count="7">
    <dataValidation type="textLength" operator="lessThan" allowBlank="1" showInputMessage="1" showErrorMessage="1" errorTitle="Depositante incorrecto" error="El nombre no puede ser mayor de 50 campos." sqref="D4:D1000">
      <formula1>50</formula1>
    </dataValidation>
    <dataValidation type="textLength" operator="lessThan" allowBlank="1" showInputMessage="1" showErrorMessage="1" errorTitle="Monto incorrecto" error="El monto no puede ser mayor de 10 campos." sqref="F4:F1000">
      <formula1>11</formula1>
    </dataValidation>
    <dataValidation type="textLength" operator="lessThan" allowBlank="1" showInputMessage="1" showErrorMessage="1" errorTitle="Identificación incorrecta" error="La identificación no puede ser mayor de 12 campos." sqref="C4:C1000">
      <formula1>13</formula1>
    </dataValidation>
    <dataValidation type="textLength" operator="lessThan" allowBlank="1" showInputMessage="1" showErrorMessage="1" errorTitle="Expediente incorrecto" error="El expediente no puede ser mayor de 14 campos." sqref="B4:B1000">
      <formula1>15</formula1>
    </dataValidation>
    <dataValidation operator="lessThan" allowBlank="1" showInputMessage="1" showErrorMessage="1" errorTitle="Cuenta incorrecta" error="La cuenta no puede ser mayor de 8 campos." sqref="B2:C2 G9 D2"/>
    <dataValidation type="textLength" operator="lessThan" allowBlank="1" showInputMessage="1" showErrorMessage="1" errorTitle="Cuenta incorrecta" error="La cuenta no puede ser mayor de 8 campos." sqref="B1:D1 B1001:D1048576 D3">
      <formula1>14</formula1>
    </dataValidation>
    <dataValidation type="list" allowBlank="1" showInputMessage="1" showErrorMessage="1" sqref="G10">
      <formula1>$AK$4:$AK$6</formula1>
    </dataValidation>
  </dataValidations>
  <pageMargins left="0.75" right="0.75" top="1" bottom="1" header="0" footer="0"/>
  <pageSetup paperSize="9" scale="68" orientation="portrait" r:id="rId1"/>
  <headerFooter alignWithMargins="0">
    <oddHeader>&amp;L&amp;G&amp;R&amp;12&amp;K03+038
BCR Planilla Empresarial</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9" r:id="rId5" name="Button 5">
              <controlPr locked="0" defaultSize="0" print="0" autoFill="0" autoPict="0" macro="[0]!Botón1_Haga_clic_en">
                <anchor moveWithCells="1">
                  <from>
                    <xdr:col>6</xdr:col>
                    <xdr:colOff>466725</xdr:colOff>
                    <xdr:row>3</xdr:row>
                    <xdr:rowOff>142875</xdr:rowOff>
                  </from>
                  <to>
                    <xdr:col>6</xdr:col>
                    <xdr:colOff>1219200</xdr:colOff>
                    <xdr:row>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Datos Empresa</vt:lpstr>
      <vt:lpstr>Ctas Crédito BCR</vt:lpstr>
      <vt:lpstr>Ctas Crédito SINPE</vt:lpstr>
      <vt:lpstr>Cheques</vt:lpstr>
      <vt:lpstr>Expedientes Judiciales</vt:lpstr>
      <vt:lpstr>'Ctas Crédito BCR'!Área_de_impresión</vt:lpstr>
      <vt:lpstr>'Ctas Crédito SINPE'!Área_de_impresión</vt:lpstr>
      <vt:lpstr>'Datos Empresa'!Área_de_impresión</vt:lpstr>
      <vt:lpstr>'Expedientes Judiciales'!Área_de_impresión</vt:lpstr>
    </vt:vector>
  </TitlesOfParts>
  <Company>Alonage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Alonso Aguero</dc:creator>
  <cp:lastModifiedBy>Rodriguez Carrion Leonardo (CoopeSuperacion)</cp:lastModifiedBy>
  <cp:lastPrinted>2012-02-29T17:48:55Z</cp:lastPrinted>
  <dcterms:created xsi:type="dcterms:W3CDTF">2009-10-12T19:39:30Z</dcterms:created>
  <dcterms:modified xsi:type="dcterms:W3CDTF">2016-03-18T00:36:24Z</dcterms:modified>
</cp:coreProperties>
</file>